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<sst xmlns="http://schemas.openxmlformats.org/spreadsheetml/2006/main" count="530" uniqueCount="155">
  <si>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</si>
  <si>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</si>
  <si>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</si>
  <si>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</si>
  <si>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</si>
  <si>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</si>
  <si>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</si>
  <si>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</si>
  <si>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</si>
  <si>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</si>
  <si>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</si>
  <si>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</si>
  <si>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焊缝</t>
  </si>
  <si>
    <t xml:space="preserve">按1.5%计</t>
  </si>
  <si>
    <t xml:space="preserve">其他钢板</t>
  </si>
  <si>
    <t xml:space="preserve">—</t>
  </si>
  <si>
    <t xml:space="preserve">Q355B 66338.2 + Q355C 28.4 + Q235B 484.4</t>
  </si>
  <si>
    <t xml:space="preserve">梁底挡块</t>
  </si>
  <si>
    <t xml:space="preserve">上层图册无梁底挡块数量，待设计核实</t>
  </si>
  <si>
    <t xml:space="preserve">钢梁制造合计</t>
  </si>
  <si>
    <t xml:space="preserve">附属预埋</t>
  </si>
  <si>
    <t xml:space="preserve">护栏</t>
  </si>
  <si>
    <t xml:space="preserve">路灯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</si>
  <si>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</si>
  <si>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</si>
  <si>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</si>
  <si>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</si>
  <si>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</si>
  <si>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</si>
  <si>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</si>
  <si>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</si>
  <si>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</si>
  <si>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</si>
  <si>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mm</t>
  </si>
  <si>
    <t xml:space="preserve">新沙高架桥</t>
  </si>
  <si>
    <t xml:space="preserve">主桁</t>
  </si>
  <si>
    <t xml:space="preserve">t=100</t>
  </si>
  <si>
    <t xml:space="preserve">Q420D</t>
  </si>
  <si>
    <t xml:space="preserve">图纸工程数量表(页20)按材质/板厚汇总值；构件级尺寸待设计提供</t>
  </si>
  <si>
    <t xml:space="preserve">t=80</t>
  </si>
  <si>
    <t xml:space="preserve">t=60</t>
  </si>
  <si>
    <t xml:space="preserve">t=48</t>
  </si>
  <si>
    <t xml:space="preserve">主桁(Z35)</t>
  </si>
  <si>
    <t xml:space="preserve">Z向钢</t>
  </si>
  <si>
    <t xml:space="preserve">t=44</t>
  </si>
  <si>
    <t xml:space="preserve">t=40</t>
  </si>
  <si>
    <t xml:space="preserve">t=36</t>
  </si>
  <si>
    <t xml:space="preserve">t=32</t>
  </si>
  <si>
    <t xml:space="preserve">t=16</t>
  </si>
  <si>
    <t xml:space="preserve">t=14</t>
  </si>
  <si>
    <t xml:space="preserve">Q355D</t>
  </si>
  <si>
    <t xml:space="preserve">t=28</t>
  </si>
  <si>
    <t xml:space="preserve">t=24</t>
  </si>
  <si>
    <t xml:space="preserve">t=20</t>
  </si>
  <si>
    <t xml:space="preserve">主桁拼接</t>
  </si>
  <si>
    <t xml:space="preserve">t=12</t>
  </si>
  <si>
    <t xml:space="preserve">t=8</t>
  </si>
  <si>
    <t xml:space="preserve">主桁焊缝重</t>
  </si>
  <si>
    <t xml:space="preserve">Q355D+Q420D</t>
  </si>
  <si>
    <t xml:space="preserve">Q355D 38341.2 + Q420D 16927.6</t>
  </si>
  <si>
    <t xml:space="preserve">主桁其他板件</t>
  </si>
  <si>
    <t xml:space="preserve">Q355B</t>
  </si>
  <si>
    <t xml:space="preserve">Q355B 311.1+513.6</t>
  </si>
  <si>
    <t xml:space="preserve">小计</t>
  </si>
  <si>
    <t xml:space="preserve">按厚度汇总</t>
  </si>
  <si>
    <t xml:space="preserve">全桥数量</t>
  </si>
  <si>
    <t xml:space="preserve">面积A(m2)</t>
  </si>
  <si>
    <t xml:space="preserve">横梁顶板</t>
  </si>
  <si>
    <t xml:space="preserve">T1</t>
  </si>
  <si>
    <t xml:space="preserve">横梁腹板</t>
  </si>
  <si>
    <t xml:space="preserve">T2</t>
  </si>
  <si>
    <t xml:space="preserve">A=31.01</t>
  </si>
  <si>
    <t xml:space="preserve">横梁底板</t>
  </si>
  <si>
    <t xml:space="preserve">T3</t>
  </si>
  <si>
    <t xml:space="preserve">横梁加劲板</t>
  </si>
  <si>
    <t xml:space="preserve">T4</t>
  </si>
  <si>
    <t xml:space="preserve">A=0.21</t>
  </si>
  <si>
    <t xml:space="preserve">T4a</t>
  </si>
  <si>
    <t xml:space="preserve">A=0.33</t>
  </si>
  <si>
    <t xml:space="preserve">小纵梁顶板</t>
  </si>
  <si>
    <t xml:space="preserve">T5</t>
  </si>
  <si>
    <t xml:space="preserve">A=1.43</t>
  </si>
  <si>
    <t xml:space="preserve">T5a</t>
  </si>
  <si>
    <t xml:space="preserve">A=1.31</t>
  </si>
  <si>
    <t xml:space="preserve">T5b</t>
  </si>
  <si>
    <t xml:space="preserve">A=1.13</t>
  </si>
  <si>
    <t xml:space="preserve">T5c</t>
  </si>
  <si>
    <t xml:space="preserve">A=0.88</t>
  </si>
  <si>
    <t xml:space="preserve">小纵梁腹板</t>
  </si>
  <si>
    <t xml:space="preserve">T6</t>
  </si>
  <si>
    <t xml:space="preserve">A=1.19</t>
  </si>
  <si>
    <t xml:space="preserve">T6a</t>
  </si>
  <si>
    <t xml:space="preserve">A=1.09</t>
  </si>
  <si>
    <t xml:space="preserve">T6b</t>
  </si>
  <si>
    <t xml:space="preserve">A=0.94</t>
  </si>
  <si>
    <t xml:space="preserve">T6c</t>
  </si>
  <si>
    <t xml:space="preserve">A=0.74</t>
  </si>
  <si>
    <t xml:space="preserve">小纵梁底板</t>
  </si>
  <si>
    <t xml:space="preserve">T7</t>
  </si>
  <si>
    <t xml:space="preserve">A=0.71</t>
  </si>
  <si>
    <t xml:space="preserve">T7a</t>
  </si>
  <si>
    <t xml:space="preserve">A=0.65</t>
  </si>
  <si>
    <t xml:space="preserve">T7b</t>
  </si>
  <si>
    <t xml:space="preserve">A=0.56</t>
  </si>
  <si>
    <t xml:space="preserve">T7c</t>
  </si>
  <si>
    <t xml:space="preserve">A=0.44</t>
  </si>
  <si>
    <t xml:space="preserve">端横梁顶板</t>
  </si>
  <si>
    <t xml:space="preserve">T21</t>
  </si>
  <si>
    <t xml:space="preserve">A=26.43</t>
  </si>
  <si>
    <t xml:space="preserve">端横梁腹板</t>
  </si>
  <si>
    <t xml:space="preserve">T22</t>
  </si>
  <si>
    <t xml:space="preserve">T22'</t>
  </si>
  <si>
    <t xml:space="preserve">A=30.56</t>
  </si>
  <si>
    <t xml:space="preserve">端横梁底板</t>
  </si>
  <si>
    <t xml:space="preserve">T23</t>
  </si>
  <si>
    <t xml:space="preserve">端横梁加劲板</t>
  </si>
  <si>
    <t xml:space="preserve">T24</t>
  </si>
  <si>
    <t xml:space="preserve">A=0.31</t>
  </si>
  <si>
    <t xml:space="preserve">T25</t>
  </si>
  <si>
    <t xml:space="preserve">A=2.23</t>
  </si>
  <si>
    <t xml:space="preserve">端横梁隔板加劲</t>
  </si>
  <si>
    <t xml:space="preserve">T26</t>
  </si>
  <si>
    <t xml:space="preserve">A=0.30</t>
  </si>
  <si>
    <t xml:space="preserve">小纵梁腹板接头</t>
  </si>
  <si>
    <t xml:space="preserve">T27</t>
  </si>
  <si>
    <t xml:space="preserve">A=0.2</t>
  </si>
  <si>
    <t xml:space="preserve">线缆孔加劲</t>
  </si>
  <si>
    <t xml:space="preserve">T30</t>
  </si>
  <si>
    <t xml:space="preserve">A=0.4</t>
  </si>
  <si>
    <t xml:space="preserve">小纵梁拼接板</t>
  </si>
  <si>
    <t xml:space="preserve">T50</t>
  </si>
  <si>
    <t xml:space="preserve">A=0.13</t>
  </si>
  <si>
    <t xml:space="preserve">横梁拼接板</t>
  </si>
  <si>
    <t xml:space="preserve">T60</t>
  </si>
  <si>
    <t xml:space="preserve">T61</t>
  </si>
  <si>
    <t xml:space="preserve">T62</t>
  </si>
  <si>
    <t xml:space="preserve">T63</t>
  </si>
  <si>
    <t xml:space="preserve">上层桥面系焊缝重</t>
  </si>
  <si>
    <t xml:space="preserve">上层桥面系其他</t>
  </si>
  <si>
    <t xml:space="preserve">Q235B/Q355C</t>
  </si>
  <si>
    <t xml:space="preserve">Q235B 484.4 + Q355C 28.4</t>
  </si>
  <si>
    <t xml:space="preserve">待设计核实</t>
  </si>
  <si>
    <t xml:space="preserve">本册为上层钢桁梁图册，梁底挡块数量见下部构造/支座相关图纸，待核实后补充</t>
  </si>
  <si>
    <t xml:space="preserve">防撞护栏</t>
  </si>
  <si>
    <t xml:space="preserve">SS级+SA级</t>
  </si>
  <si>
    <t xml:space="preserve">Q355C</t>
  </si>
  <si>
    <t xml:space="preserve">页21 附属工程</t>
  </si>
  <si>
    <t xml:space="preserve">路灯底座预埋</t>
  </si>
  <si>
    <t xml:space="preserve">LD</t>
  </si>
  <si>
    <t xml:space="preserve">伸缩缝</t>
  </si>
  <si>
    <t xml:space="preserve">D240/D320</t>
  </si>
  <si>
    <t xml:space="preserve">页20 附属工程</t>
  </si>
  <si>
    <t xml:space="preserve">集中排水</t>
  </si>
  <si>
    <t xml:space="preserve">PS-t20</t>
  </si>
  <si>
    <t xml:space="preserve">PS-t16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</si>
</sst>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497520</xdr:colOff>
      <xdr:row>26</xdr:row>
      <xdr:rowOff>18360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720" cy="3053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5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2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pageBreakPreview" topLeftCell="A1" colorId="64" zoomScale="114" zoomScaleNormal="100" zoomScalePageLayoutView="114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"/>
    <col collapsed="false" customWidth="false" hidden="false" outlineLevel="0" max="4" min="2" style="1" width="9"/>
    <col collapsed="false" customWidth="true" hidden="false" outlineLevel="0" max="5" min="5" style="1" width="9.55"/>
    <col collapsed="false" customWidth="true" hidden="false" outlineLevel="0" max="6" min="6" style="1" width="10.54"/>
    <col collapsed="false" customWidth="true" hidden="false" outlineLevel="0" max="7" min="7" style="1" width="12.91"/>
    <col collapsed="false" customWidth="true" hidden="false" outlineLevel="0" max="8" min="8" style="1" width="9.55"/>
    <col collapsed="false" customWidth="true" hidden="false" outlineLevel="0" max="9" min="9" style="1" width="53.13"/>
    <col collapsed="false" customWidth="false" hidden="false" outlineLevel="0" max="16384" min="10" style="1" width="9"/>
  </cols>
  <sheetData>
    <row r="1" customFormat="false" ht="19.5" hidden="false" customHeight="true" outlineLevel="0" collapsed="false"/>
    <row r="2" customFormat="false" ht="19.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/>
      <c r="F2" s="2"/>
      <c r="G2" s="2" t="s">
        <v>4</v>
      </c>
      <c r="H2" s="2" t="s">
        <v>5</v>
      </c>
      <c r="I2" s="2" t="s">
        <v>6</v>
      </c>
    </row>
    <row r="3" customFormat="false" ht="19.5" hidden="false" customHeight="true" outlineLevel="0" collapsed="false">
      <c r="A3" s="2"/>
      <c r="B3" s="2"/>
      <c r="C3" s="2"/>
      <c r="D3" s="2" t="s">
        <v>7</v>
      </c>
      <c r="E3" s="2" t="s">
        <v>8</v>
      </c>
      <c r="F3" s="2" t="s">
        <v>9</v>
      </c>
      <c r="G3" s="2"/>
      <c r="H3" s="2"/>
      <c r="I3" s="2"/>
    </row>
    <row r="4" customFormat="false" ht="19.5" hidden="false" customHeight="true" outlineLevel="0" collapsed="false">
      <c r="A4" s="2" t="s">
        <v>10</v>
      </c>
      <c r="B4" s="2" t="n">
        <v>8</v>
      </c>
      <c r="C4" s="2" t="s">
        <v>11</v>
      </c>
      <c r="D4" s="2" t="n">
        <v>1352.2</v>
      </c>
      <c r="E4" s="2" t="n">
        <v>0</v>
      </c>
      <c r="F4" s="2" t="n">
        <f aca="false">D4+E4</f>
        <v>1352.2</v>
      </c>
      <c r="G4" s="3" t="n">
        <f aca="false">主梁数量!N49+横隔板!N38+附属预埋件!N10</f>
        <v>1352.2</v>
      </c>
      <c r="H4" s="3" t="n">
        <f aca="false">G4-F4</f>
        <v>0</v>
      </c>
      <c r="I4" s="2"/>
    </row>
    <row r="5" customFormat="false" ht="19.5" hidden="false" customHeight="true" outlineLevel="0" collapsed="false">
      <c r="A5" s="2"/>
      <c r="B5" s="2" t="n">
        <v>10</v>
      </c>
      <c r="C5" s="2" t="s">
        <v>11</v>
      </c>
      <c r="D5" s="2" t="n">
        <v>40128</v>
      </c>
      <c r="E5" s="2" t="n">
        <v>0</v>
      </c>
      <c r="F5" s="2" t="n">
        <f aca="false">D5+E5</f>
        <v>40128</v>
      </c>
      <c r="G5" s="3" t="n">
        <f aca="false">主梁数量!O49+横隔板!O38+附属预埋件!O10</f>
        <v>39919.6992</v>
      </c>
      <c r="H5" s="3" t="n">
        <f aca="false">G5-F5</f>
        <v>-208.300799999997</v>
      </c>
      <c r="I5" s="2"/>
    </row>
    <row r="6" customFormat="false" ht="19.5" hidden="false" customHeight="true" outlineLevel="0" collapsed="false">
      <c r="A6" s="2"/>
      <c r="B6" s="2" t="n">
        <v>12</v>
      </c>
      <c r="C6" s="2" t="s">
        <v>11</v>
      </c>
      <c r="D6" s="2" t="n">
        <v>193459.1</v>
      </c>
      <c r="E6" s="2" t="n">
        <v>0</v>
      </c>
      <c r="F6" s="2" t="n">
        <f aca="false">D6+E6</f>
        <v>193459.1</v>
      </c>
      <c r="G6" s="3" t="n">
        <f aca="false">主梁数量!P49+横隔板!P38+附属预埋件!P10</f>
        <v>193416.50592</v>
      </c>
      <c r="H6" s="3" t="n">
        <f aca="false">G6-F6</f>
        <v>-42.5940800000099</v>
      </c>
      <c r="I6" s="2"/>
    </row>
    <row r="7" customFormat="false" ht="19.5" hidden="false" customHeight="true" outlineLevel="0" collapsed="false">
      <c r="A7" s="2"/>
      <c r="B7" s="2" t="n">
        <v>14</v>
      </c>
      <c r="C7" s="2" t="s">
        <v>11</v>
      </c>
      <c r="D7" s="2" t="n">
        <v>847139</v>
      </c>
      <c r="E7" s="2" t="n">
        <v>2518.5</v>
      </c>
      <c r="F7" s="2" t="n">
        <f aca="false">D7+E7</f>
        <v>849657.5</v>
      </c>
      <c r="G7" s="3" t="n">
        <f aca="false">主梁数量!Q49+横隔板!Q38+附属预埋件!Q10</f>
        <v>849696.02376</v>
      </c>
      <c r="H7" s="3" t="n">
        <f aca="false">G7-F7</f>
        <v>38.5237600001274</v>
      </c>
      <c r="I7" s="2"/>
    </row>
    <row r="8" customFormat="false" ht="19.5" hidden="false" customHeight="true" outlineLevel="0" collapsed="false">
      <c r="A8" s="2"/>
      <c r="B8" s="2" t="n">
        <v>16</v>
      </c>
      <c r="C8" s="2" t="s">
        <v>11</v>
      </c>
      <c r="D8" s="2" t="n">
        <v>129234.4</v>
      </c>
      <c r="E8" s="2" t="n">
        <v>27946.9</v>
      </c>
      <c r="F8" s="2" t="n">
        <f aca="false">D8+E8</f>
        <v>157181.3</v>
      </c>
      <c r="G8" s="3" t="n">
        <f aca="false">主梁数量!R49+横隔板!R38+附属预埋件!R10</f>
        <v>157183.028</v>
      </c>
      <c r="H8" s="3" t="n">
        <f aca="false">G8-F8</f>
        <v>1.7280000000319</v>
      </c>
      <c r="I8" s="2"/>
    </row>
    <row r="9" customFormat="false" ht="19.5" hidden="false" customHeight="true" outlineLevel="0" collapsed="false">
      <c r="A9" s="2"/>
      <c r="B9" s="2" t="n">
        <v>20</v>
      </c>
      <c r="C9" s="2" t="s">
        <v>11</v>
      </c>
      <c r="D9" s="2" t="n">
        <v>879520.9</v>
      </c>
      <c r="E9" s="2" t="n">
        <v>0</v>
      </c>
      <c r="F9" s="2" t="n">
        <f aca="false">D9+E9</f>
        <v>879520.9</v>
      </c>
      <c r="G9" s="3" t="n">
        <f aca="false">主梁数量!S49+横隔板!S38+附属预埋件!S10</f>
        <v>879585.3328</v>
      </c>
      <c r="H9" s="3" t="n">
        <f aca="false">G9-F9</f>
        <v>64.4327999999514</v>
      </c>
      <c r="I9" s="2"/>
    </row>
    <row r="10" customFormat="false" ht="19.5" hidden="false" customHeight="true" outlineLevel="0" collapsed="false">
      <c r="A10" s="2"/>
      <c r="B10" s="2" t="n">
        <v>24</v>
      </c>
      <c r="C10" s="2" t="s">
        <v>11</v>
      </c>
      <c r="D10" s="2" t="n">
        <v>890863</v>
      </c>
      <c r="E10" s="2" t="n">
        <v>11198.7</v>
      </c>
      <c r="F10" s="2" t="n">
        <f aca="false">D10+E10</f>
        <v>902061.7</v>
      </c>
      <c r="G10" s="3" t="n">
        <f aca="false">主梁数量!T49+横隔板!T38+附属预埋件!T10</f>
        <v>902061.7</v>
      </c>
      <c r="H10" s="3" t="n">
        <f aca="false">G10-F10</f>
        <v>0</v>
      </c>
      <c r="I10" s="2"/>
    </row>
    <row r="11" customFormat="false" ht="19.5" hidden="false" customHeight="true" outlineLevel="0" collapsed="false">
      <c r="A11" s="2"/>
      <c r="B11" s="2" t="n">
        <v>28</v>
      </c>
      <c r="C11" s="2" t="s">
        <v>11</v>
      </c>
      <c r="D11" s="2" t="n">
        <v>105369.4</v>
      </c>
      <c r="E11" s="2" t="n">
        <v>12062.2</v>
      </c>
      <c r="F11" s="2" t="n">
        <f aca="false">D11+E11</f>
        <v>117431.6</v>
      </c>
      <c r="G11" s="3" t="n">
        <f aca="false">主梁数量!U49+横隔板!U38+附属预埋件!U10</f>
        <v>117431.6</v>
      </c>
      <c r="H11" s="3" t="n">
        <f aca="false">G11-F11</f>
        <v>0</v>
      </c>
      <c r="I11" s="2"/>
    </row>
    <row r="12" customFormat="false" ht="19.5" hidden="false" customHeight="true" outlineLevel="0" collapsed="false">
      <c r="A12" s="2"/>
      <c r="B12" s="2" t="n">
        <v>32</v>
      </c>
      <c r="C12" s="2" t="s">
        <v>11</v>
      </c>
      <c r="D12" s="2" t="n">
        <v>408675.6</v>
      </c>
      <c r="E12" s="2" t="n">
        <v>285997.4</v>
      </c>
      <c r="F12" s="2" t="n">
        <f aca="false">D12+E12</f>
        <v>694673</v>
      </c>
      <c r="G12" s="3" t="n">
        <f aca="false">主梁数量!V49+横隔板!V38+附属预埋件!V10</f>
        <v>694673</v>
      </c>
      <c r="H12" s="3" t="n">
        <f aca="false">G12-F12</f>
        <v>0</v>
      </c>
      <c r="I12" s="2"/>
    </row>
    <row r="13" customFormat="false" ht="19.5" hidden="false" customHeight="true" outlineLevel="0" collapsed="false">
      <c r="A13" s="2"/>
      <c r="B13" s="2" t="n">
        <v>36</v>
      </c>
      <c r="C13" s="2" t="s">
        <v>11</v>
      </c>
      <c r="D13" s="2" t="n">
        <v>531775</v>
      </c>
      <c r="E13" s="2" t="n">
        <v>12270.3</v>
      </c>
      <c r="F13" s="2" t="n">
        <f aca="false">D13+E13</f>
        <v>544045.3</v>
      </c>
      <c r="G13" s="3" t="n">
        <f aca="false">主梁数量!W49+横隔板!W38+附属预埋件!W10</f>
        <v>544045.3</v>
      </c>
      <c r="H13" s="3" t="n">
        <f aca="false">G13-F13</f>
        <v>0</v>
      </c>
      <c r="I13" s="2"/>
    </row>
    <row r="14" customFormat="false" ht="19.5" hidden="false" customHeight="true" outlineLevel="0" collapsed="false">
      <c r="A14" s="2"/>
      <c r="B14" s="2" t="n">
        <v>40</v>
      </c>
      <c r="C14" s="2" t="s">
        <v>11</v>
      </c>
      <c r="D14" s="2" t="n">
        <v>497184.5</v>
      </c>
      <c r="E14" s="2" t="n">
        <v>341284.8</v>
      </c>
      <c r="F14" s="2" t="n">
        <f aca="false">D14+E14</f>
        <v>838469.3</v>
      </c>
      <c r="G14" s="3" t="n">
        <f aca="false">主梁数量!X49+横隔板!X38+附属预埋件!X10</f>
        <v>838469.3</v>
      </c>
      <c r="H14" s="3" t="n">
        <f aca="false">G14-F14</f>
        <v>0</v>
      </c>
      <c r="I14" s="2"/>
    </row>
    <row r="15" customFormat="false" ht="19.5" hidden="false" customHeight="true" outlineLevel="0" collapsed="false">
      <c r="A15" s="2"/>
      <c r="B15" s="2" t="n">
        <v>44</v>
      </c>
      <c r="C15" s="2" t="s">
        <v>11</v>
      </c>
      <c r="D15" s="2" t="n">
        <v>150793.2</v>
      </c>
      <c r="E15" s="2" t="n">
        <v>256021.5</v>
      </c>
      <c r="F15" s="2" t="n">
        <f aca="false">D15+E15</f>
        <v>406814.7</v>
      </c>
      <c r="G15" s="3" t="n">
        <f aca="false">主梁数量!Y49+横隔板!Y38+附属预埋件!Y10</f>
        <v>406814.7</v>
      </c>
      <c r="H15" s="3" t="n">
        <f aca="false">G15-F15</f>
        <v>0</v>
      </c>
      <c r="I15" s="2"/>
    </row>
    <row r="16" customFormat="false" ht="19.5" hidden="false" customHeight="true" outlineLevel="0" collapsed="false">
      <c r="A16" s="2"/>
      <c r="B16" s="2" t="n">
        <v>48</v>
      </c>
      <c r="C16" s="2" t="s">
        <v>11</v>
      </c>
      <c r="D16" s="2" t="n">
        <v>33973.3</v>
      </c>
      <c r="E16" s="2" t="n">
        <v>249660.1</v>
      </c>
      <c r="F16" s="2" t="n">
        <f aca="false">D16+E16</f>
        <v>283633.4</v>
      </c>
      <c r="G16" s="3" t="n">
        <f aca="false">主梁数量!Z49+横隔板!Z38+附属预埋件!Z10</f>
        <v>283633.4</v>
      </c>
      <c r="H16" s="3" t="n">
        <f aca="false">G16-F16</f>
        <v>0</v>
      </c>
      <c r="I16" s="2"/>
    </row>
    <row r="17" customFormat="false" ht="19.5" hidden="false" customHeight="true" outlineLevel="0" collapsed="false">
      <c r="A17" s="2"/>
      <c r="B17" s="2" t="n">
        <v>60</v>
      </c>
      <c r="C17" s="2" t="s">
        <v>11</v>
      </c>
      <c r="D17" s="2" t="n">
        <v>0</v>
      </c>
      <c r="E17" s="2" t="n">
        <v>2458.8</v>
      </c>
      <c r="F17" s="2" t="n">
        <f aca="false">D17+E17</f>
        <v>2458.8</v>
      </c>
      <c r="G17" s="3" t="n">
        <f aca="false">主梁数量!AA49+横隔板!AA38+附属预埋件!AA10</f>
        <v>2458.8</v>
      </c>
      <c r="H17" s="3" t="n">
        <f aca="false">G17-F17</f>
        <v>0</v>
      </c>
      <c r="I17" s="2"/>
    </row>
    <row r="18" customFormat="false" ht="19.5" hidden="false" customHeight="true" outlineLevel="0" collapsed="false">
      <c r="A18" s="2"/>
      <c r="B18" s="2" t="n">
        <v>80</v>
      </c>
      <c r="C18" s="2" t="s">
        <v>11</v>
      </c>
      <c r="D18" s="2" t="n">
        <v>3052.1</v>
      </c>
      <c r="E18" s="2" t="n">
        <v>6989.7</v>
      </c>
      <c r="F18" s="2" t="n">
        <f aca="false">D18+E18</f>
        <v>10041.8</v>
      </c>
      <c r="G18" s="3" t="n">
        <f aca="false">主梁数量!AB49+横隔板!AB38+附属预埋件!AB10</f>
        <v>10041.8</v>
      </c>
      <c r="H18" s="3" t="n">
        <f aca="false">G18-F18</f>
        <v>0</v>
      </c>
      <c r="I18" s="2"/>
    </row>
    <row r="19" customFormat="false" ht="13.8" hidden="false" customHeight="false" outlineLevel="0" collapsed="false">
      <c r="A19" s="2"/>
      <c r="B19" s="2" t="n">
        <v>100</v>
      </c>
      <c r="C19" s="2" t="s">
        <v>11</v>
      </c>
      <c r="D19" s="2" t="n">
        <v>3815.1</v>
      </c>
      <c r="E19" s="2" t="n">
        <v>8737.1</v>
      </c>
      <c r="F19" s="2" t="n">
        <f aca="false">D19+E19</f>
        <v>12552.2</v>
      </c>
      <c r="G19" s="3" t="n">
        <f aca="false">主梁数量!AC49+横隔板!AC38+附属预埋件!AC10</f>
        <v>12552.2</v>
      </c>
      <c r="H19" s="3" t="n">
        <f aca="false">G19-F19</f>
        <v>0</v>
      </c>
      <c r="I19" s="2"/>
    </row>
    <row r="20" customFormat="false" ht="13.8" hidden="false" customHeight="false" outlineLevel="0" collapsed="false">
      <c r="A20" s="2"/>
      <c r="B20" s="2" t="s">
        <v>12</v>
      </c>
      <c r="C20" s="2" t="s">
        <v>11</v>
      </c>
      <c r="D20" s="2" t="n">
        <v>68344.1</v>
      </c>
      <c r="E20" s="2" t="n">
        <v>16927.6</v>
      </c>
      <c r="F20" s="2" t="n">
        <f aca="false">D20+E20</f>
        <v>85271.7</v>
      </c>
      <c r="G20" s="3" t="n">
        <f aca="false">主梁数量!J46+横隔板!K35</f>
        <v>85271.7</v>
      </c>
      <c r="H20" s="3" t="n">
        <f aca="false">G20-F20</f>
        <v>0</v>
      </c>
      <c r="I20" s="2" t="s">
        <v>13</v>
      </c>
    </row>
    <row r="21" customFormat="false" ht="13.8" hidden="false" customHeight="false" outlineLevel="0" collapsed="false">
      <c r="A21" s="2" t="s">
        <v>14</v>
      </c>
      <c r="B21" s="2" t="s">
        <v>15</v>
      </c>
      <c r="C21" s="2" t="s">
        <v>11</v>
      </c>
      <c r="D21" s="2" t="n">
        <v>66851</v>
      </c>
      <c r="E21" s="2"/>
      <c r="F21" s="2" t="n">
        <f aca="false">D21+E21</f>
        <v>66851</v>
      </c>
      <c r="G21" s="3" t="n">
        <f aca="false">主梁数量!J47+横隔板!K36+附属预埋件!K6</f>
        <v>66851</v>
      </c>
      <c r="H21" s="3" t="n">
        <f aca="false">G21-F21</f>
        <v>0</v>
      </c>
      <c r="I21" s="2" t="s">
        <v>16</v>
      </c>
    </row>
    <row r="22" customFormat="false" ht="13.8" hidden="false" customHeight="false" outlineLevel="0" collapsed="false">
      <c r="A22" s="2" t="s">
        <v>17</v>
      </c>
      <c r="B22" s="2" t="s">
        <v>15</v>
      </c>
      <c r="C22" s="2" t="s">
        <v>11</v>
      </c>
      <c r="F22" s="2" t="n">
        <f aca="false">D22+E22</f>
        <v>0</v>
      </c>
      <c r="H22" s="3" t="n">
        <f aca="false">G22-F22</f>
        <v>0</v>
      </c>
      <c r="I22" s="2" t="s">
        <v>18</v>
      </c>
    </row>
    <row r="23" customFormat="false" ht="13.8" hidden="false" customHeight="false" outlineLevel="0" collapsed="false">
      <c r="A23" s="4" t="s">
        <v>19</v>
      </c>
      <c r="C23" s="2" t="s">
        <v>11</v>
      </c>
      <c r="D23" s="2" t="n">
        <f aca="false">SUM(D4:D21)</f>
        <v>4851529.9</v>
      </c>
      <c r="E23" s="2" t="n">
        <f aca="false">SUM(E4:E21)</f>
        <v>1234073.6</v>
      </c>
      <c r="F23" s="3" t="n">
        <f aca="false">SUM(F4:F21)</f>
        <v>6085603.5</v>
      </c>
      <c r="G23" s="3" t="n">
        <f aca="false">SUM(G4:G21)</f>
        <v>6085457.28968</v>
      </c>
      <c r="H23" s="5" t="n">
        <f aca="false">G23-F23</f>
        <v>-146.210319999605</v>
      </c>
    </row>
    <row r="24" customFormat="false" ht="13.8" hidden="false" customHeight="false" outlineLevel="0" collapsed="false">
      <c r="A24" s="2" t="s">
        <v>20</v>
      </c>
      <c r="B24" s="2" t="s">
        <v>21</v>
      </c>
      <c r="C24" s="2" t="s">
        <v>11</v>
      </c>
      <c r="D24" s="2" t="n">
        <v>250569.2</v>
      </c>
      <c r="F24" s="2" t="n">
        <f aca="false">D24+E24</f>
        <v>250569.2</v>
      </c>
      <c r="G24" s="3" t="n">
        <f aca="false">附属预埋件!K4</f>
        <v>250569.2</v>
      </c>
      <c r="H24" s="3" t="n">
        <f aca="false">G24-F24</f>
        <v>0</v>
      </c>
    </row>
    <row r="25" customFormat="false" ht="13.8" hidden="false" customHeight="false" outlineLevel="0" collapsed="false">
      <c r="A25" s="2" t="s">
        <v>20</v>
      </c>
      <c r="B25" s="2" t="s">
        <v>22</v>
      </c>
      <c r="C25" s="2" t="s">
        <v>11</v>
      </c>
      <c r="D25" s="2" t="n">
        <v>314</v>
      </c>
      <c r="F25" s="2" t="n">
        <f aca="false">D25+E25</f>
        <v>314</v>
      </c>
      <c r="G25" s="3" t="n">
        <f aca="false">附属预埋件!K5</f>
        <v>314</v>
      </c>
      <c r="H25" s="3" t="n">
        <f aca="false">G25-F25</f>
        <v>0</v>
      </c>
    </row>
  </sheetData>
  <mergeCells count="8">
    <mergeCell ref="A2:A3"/>
    <mergeCell ref="B2:B3"/>
    <mergeCell ref="C2:C3"/>
    <mergeCell ref="D2:F2"/>
    <mergeCell ref="G2:G3"/>
    <mergeCell ref="H2:H3"/>
    <mergeCell ref="I2:I3"/>
    <mergeCell ref="A4:A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D435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6" width="7.09"/>
    <col collapsed="false" customWidth="true" hidden="false" outlineLevel="0" max="2" min="2" style="6" width="8.64"/>
    <col collapsed="false" customWidth="true" hidden="false" outlineLevel="0" max="7" min="5" style="6" width="9.73"/>
    <col collapsed="false" customWidth="true" hidden="false" outlineLevel="0" max="9" min="9" style="6" width="7.27"/>
    <col collapsed="false" customWidth="true" hidden="false" outlineLevel="0" max="23" min="13" style="6" width="8.55"/>
  </cols>
  <sheetData>
    <row r="1" customFormat="false" ht="27" hidden="false" customHeight="true" outlineLevel="0" collapsed="false">
      <c r="A1" s="1"/>
    </row>
    <row r="2" s="9" customFormat="true" ht="19.5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6</v>
      </c>
      <c r="L2" s="7" t="s">
        <v>23</v>
      </c>
      <c r="M2" s="8"/>
      <c r="U2" s="7"/>
      <c r="V2" s="7"/>
      <c r="W2" s="7"/>
    </row>
    <row r="3" s="9" customFormat="true" ht="19.5" hidden="false" customHeight="true" outlineLevel="0" collapsed="false">
      <c r="E3" s="7" t="s">
        <v>33</v>
      </c>
      <c r="F3" s="7" t="s">
        <v>33</v>
      </c>
      <c r="G3" s="7" t="s">
        <v>33</v>
      </c>
      <c r="H3" s="7" t="s">
        <v>11</v>
      </c>
      <c r="I3" s="7"/>
      <c r="J3" s="7" t="s">
        <v>11</v>
      </c>
      <c r="M3" s="10"/>
      <c r="N3" s="10" t="n">
        <v>8</v>
      </c>
      <c r="O3" s="10" t="n">
        <v>10</v>
      </c>
      <c r="P3" s="10" t="n">
        <v>12</v>
      </c>
      <c r="Q3" s="10" t="n">
        <v>14</v>
      </c>
      <c r="R3" s="10" t="n">
        <v>16</v>
      </c>
      <c r="S3" s="10" t="n">
        <v>20</v>
      </c>
      <c r="T3" s="10" t="n">
        <v>24</v>
      </c>
      <c r="U3" s="11" t="n">
        <v>28</v>
      </c>
      <c r="V3" s="7" t="n">
        <v>32</v>
      </c>
      <c r="W3" s="7" t="n">
        <v>36</v>
      </c>
      <c r="X3" s="12" t="n">
        <v>40</v>
      </c>
      <c r="Y3" s="12" t="n">
        <v>44</v>
      </c>
      <c r="Z3" s="12" t="n">
        <v>48</v>
      </c>
      <c r="AA3" s="12" t="n">
        <v>60</v>
      </c>
      <c r="AB3" s="12" t="n">
        <v>80</v>
      </c>
      <c r="AC3" s="12" t="n">
        <v>100</v>
      </c>
      <c r="AD3" s="10" t="s">
        <v>9</v>
      </c>
    </row>
    <row r="4" s="9" customFormat="true" ht="19.5" hidden="false" customHeight="tru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/>
      <c r="F4" s="7"/>
      <c r="G4" s="7" t="n">
        <v>100</v>
      </c>
      <c r="H4" s="13" t="n">
        <v>8737.1</v>
      </c>
      <c r="I4" s="7" t="n">
        <v>1</v>
      </c>
      <c r="J4" s="14" t="n">
        <f aca="false">H4*I4</f>
        <v>8737.1</v>
      </c>
      <c r="K4" s="7" t="s">
        <v>38</v>
      </c>
      <c r="L4" s="7"/>
      <c r="M4" s="15"/>
      <c r="N4" s="15"/>
      <c r="O4" s="15"/>
      <c r="P4" s="15"/>
      <c r="Q4" s="15"/>
      <c r="R4" s="15"/>
      <c r="S4" s="15"/>
      <c r="T4" s="15"/>
      <c r="U4" s="15"/>
      <c r="V4" s="15"/>
      <c r="W4" s="7"/>
    </row>
    <row r="5" s="9" customFormat="true" ht="19.5" hidden="false" customHeight="true" outlineLevel="0" collapsed="false">
      <c r="A5" s="7" t="s">
        <v>34</v>
      </c>
      <c r="B5" s="7" t="s">
        <v>35</v>
      </c>
      <c r="C5" s="7" t="s">
        <v>39</v>
      </c>
      <c r="D5" s="7" t="s">
        <v>37</v>
      </c>
      <c r="E5" s="7"/>
      <c r="F5" s="7"/>
      <c r="G5" s="7" t="n">
        <v>80</v>
      </c>
      <c r="H5" s="13" t="n">
        <v>6989.7</v>
      </c>
      <c r="I5" s="7" t="n">
        <v>1</v>
      </c>
      <c r="J5" s="14" t="n">
        <f aca="false">H5*I5</f>
        <v>6989.7</v>
      </c>
      <c r="K5" s="7" t="s">
        <v>38</v>
      </c>
    </row>
    <row r="6" s="9" customFormat="true" ht="19.5" hidden="true" customHeight="true" outlineLevel="0" collapsed="false">
      <c r="A6" s="7" t="s">
        <v>34</v>
      </c>
      <c r="B6" s="7" t="s">
        <v>35</v>
      </c>
      <c r="C6" s="7" t="s">
        <v>40</v>
      </c>
      <c r="D6" s="7" t="s">
        <v>37</v>
      </c>
      <c r="E6" s="7"/>
      <c r="F6" s="7"/>
      <c r="G6" s="7" t="n">
        <v>60</v>
      </c>
      <c r="H6" s="13" t="n">
        <v>2458.8</v>
      </c>
      <c r="I6" s="7" t="n">
        <v>1</v>
      </c>
      <c r="J6" s="14" t="n">
        <f aca="false">H6*I6</f>
        <v>2458.8</v>
      </c>
      <c r="K6" s="7" t="s">
        <v>38</v>
      </c>
    </row>
    <row r="7" s="9" customFormat="true" ht="19.5" hidden="true" customHeight="true" outlineLevel="0" collapsed="false">
      <c r="A7" s="7" t="s">
        <v>34</v>
      </c>
      <c r="B7" s="7" t="s">
        <v>35</v>
      </c>
      <c r="C7" s="7" t="s">
        <v>41</v>
      </c>
      <c r="D7" s="7" t="s">
        <v>37</v>
      </c>
      <c r="E7" s="7"/>
      <c r="F7" s="7"/>
      <c r="G7" s="7" t="n">
        <v>48</v>
      </c>
      <c r="H7" s="13" t="n">
        <v>191337.7</v>
      </c>
      <c r="I7" s="7" t="n">
        <v>1</v>
      </c>
      <c r="J7" s="14" t="n">
        <f aca="false">H7*I7</f>
        <v>191337.7</v>
      </c>
      <c r="K7" s="7" t="s">
        <v>38</v>
      </c>
    </row>
    <row r="8" s="9" customFormat="true" ht="19.5" hidden="true" customHeight="true" outlineLevel="0" collapsed="false">
      <c r="A8" s="7" t="s">
        <v>34</v>
      </c>
      <c r="B8" s="7" t="s">
        <v>42</v>
      </c>
      <c r="C8" s="7" t="s">
        <v>41</v>
      </c>
      <c r="D8" s="7" t="s">
        <v>37</v>
      </c>
      <c r="E8" s="7"/>
      <c r="F8" s="7"/>
      <c r="G8" s="7" t="n">
        <v>48</v>
      </c>
      <c r="H8" s="13" t="n">
        <v>56689</v>
      </c>
      <c r="I8" s="7" t="n">
        <v>1</v>
      </c>
      <c r="J8" s="14" t="n">
        <f aca="false">H8*I8</f>
        <v>56689</v>
      </c>
      <c r="K8" s="7" t="s">
        <v>43</v>
      </c>
    </row>
    <row r="9" s="9" customFormat="true" ht="19.5" hidden="true" customHeight="true" outlineLevel="0" collapsed="false">
      <c r="A9" s="7" t="s">
        <v>34</v>
      </c>
      <c r="B9" s="7" t="s">
        <v>35</v>
      </c>
      <c r="C9" s="7" t="s">
        <v>44</v>
      </c>
      <c r="D9" s="7" t="s">
        <v>37</v>
      </c>
      <c r="E9" s="7"/>
      <c r="F9" s="7"/>
      <c r="G9" s="7" t="n">
        <v>44</v>
      </c>
      <c r="H9" s="13" t="n">
        <v>149564.2</v>
      </c>
      <c r="I9" s="7" t="n">
        <v>1</v>
      </c>
      <c r="J9" s="14" t="n">
        <f aca="false">H9*I9</f>
        <v>149564.2</v>
      </c>
      <c r="K9" s="7" t="s">
        <v>38</v>
      </c>
    </row>
    <row r="10" s="9" customFormat="true" ht="19.5" hidden="true" customHeight="true" outlineLevel="0" collapsed="false">
      <c r="A10" s="7" t="s">
        <v>34</v>
      </c>
      <c r="B10" s="7" t="s">
        <v>42</v>
      </c>
      <c r="C10" s="7" t="s">
        <v>44</v>
      </c>
      <c r="D10" s="7" t="s">
        <v>37</v>
      </c>
      <c r="E10" s="7"/>
      <c r="F10" s="7"/>
      <c r="G10" s="7" t="n">
        <v>44</v>
      </c>
      <c r="H10" s="13" t="n">
        <v>96292.7</v>
      </c>
      <c r="I10" s="7" t="n">
        <v>1</v>
      </c>
      <c r="J10" s="14" t="n">
        <f aca="false">H10*I10</f>
        <v>96292.7</v>
      </c>
      <c r="K10" s="7" t="s">
        <v>43</v>
      </c>
    </row>
    <row r="11" s="9" customFormat="true" ht="19.5" hidden="true" customHeight="true" outlineLevel="0" collapsed="false">
      <c r="A11" s="7" t="s">
        <v>34</v>
      </c>
      <c r="B11" s="7" t="s">
        <v>35</v>
      </c>
      <c r="C11" s="7" t="s">
        <v>45</v>
      </c>
      <c r="D11" s="7" t="s">
        <v>37</v>
      </c>
      <c r="E11" s="7"/>
      <c r="F11" s="7"/>
      <c r="G11" s="7" t="n">
        <v>40</v>
      </c>
      <c r="H11" s="13" t="n">
        <v>307680.3</v>
      </c>
      <c r="I11" s="7" t="n">
        <v>1</v>
      </c>
      <c r="J11" s="14" t="n">
        <f aca="false">H11*I11</f>
        <v>307680.3</v>
      </c>
      <c r="K11" s="7" t="s">
        <v>38</v>
      </c>
    </row>
    <row r="12" s="9" customFormat="true" ht="19.5" hidden="true" customHeight="true" outlineLevel="0" collapsed="false">
      <c r="A12" s="7" t="s">
        <v>34</v>
      </c>
      <c r="B12" s="7" t="s">
        <v>35</v>
      </c>
      <c r="C12" s="7" t="s">
        <v>46</v>
      </c>
      <c r="D12" s="7" t="s">
        <v>37</v>
      </c>
      <c r="E12" s="7"/>
      <c r="F12" s="7"/>
      <c r="G12" s="7" t="n">
        <v>36</v>
      </c>
      <c r="H12" s="13" t="n">
        <v>3283.8</v>
      </c>
      <c r="I12" s="7" t="n">
        <v>1</v>
      </c>
      <c r="J12" s="14" t="n">
        <f aca="false">H12*I12</f>
        <v>3283.8</v>
      </c>
      <c r="K12" s="7" t="s">
        <v>38</v>
      </c>
    </row>
    <row r="13" s="9" customFormat="true" ht="19.5" hidden="true" customHeight="true" outlineLevel="0" collapsed="false">
      <c r="A13" s="7" t="s">
        <v>34</v>
      </c>
      <c r="B13" s="7" t="s">
        <v>35</v>
      </c>
      <c r="C13" s="7" t="s">
        <v>47</v>
      </c>
      <c r="D13" s="7" t="s">
        <v>37</v>
      </c>
      <c r="E13" s="7"/>
      <c r="F13" s="7"/>
      <c r="G13" s="7" t="n">
        <v>32</v>
      </c>
      <c r="H13" s="13" t="n">
        <v>275007.2</v>
      </c>
      <c r="I13" s="7" t="n">
        <v>1</v>
      </c>
      <c r="J13" s="14" t="n">
        <f aca="false">H13*I13</f>
        <v>275007.2</v>
      </c>
      <c r="K13" s="7" t="s">
        <v>38</v>
      </c>
    </row>
    <row r="14" s="9" customFormat="true" ht="19.5" hidden="true" customHeight="true" outlineLevel="0" collapsed="false">
      <c r="A14" s="7" t="s">
        <v>34</v>
      </c>
      <c r="B14" s="7" t="s">
        <v>35</v>
      </c>
      <c r="C14" s="7" t="s">
        <v>48</v>
      </c>
      <c r="D14" s="7" t="s">
        <v>37</v>
      </c>
      <c r="E14" s="7"/>
      <c r="F14" s="7"/>
      <c r="G14" s="7" t="n">
        <v>16</v>
      </c>
      <c r="H14" s="13" t="n">
        <v>27946.9</v>
      </c>
      <c r="I14" s="7" t="n">
        <v>1</v>
      </c>
      <c r="J14" s="14" t="n">
        <f aca="false">H14*I14</f>
        <v>27946.9</v>
      </c>
      <c r="K14" s="7" t="s">
        <v>38</v>
      </c>
    </row>
    <row r="15" s="9" customFormat="true" ht="19.5" hidden="true" customHeight="true" outlineLevel="0" collapsed="false">
      <c r="A15" s="7" t="s">
        <v>34</v>
      </c>
      <c r="B15" s="7" t="s">
        <v>35</v>
      </c>
      <c r="C15" s="7" t="s">
        <v>49</v>
      </c>
      <c r="D15" s="7" t="s">
        <v>37</v>
      </c>
      <c r="E15" s="7"/>
      <c r="F15" s="7"/>
      <c r="G15" s="7" t="n">
        <v>14</v>
      </c>
      <c r="H15" s="13" t="n">
        <v>2518.5</v>
      </c>
      <c r="I15" s="7" t="n">
        <v>1</v>
      </c>
      <c r="J15" s="14" t="n">
        <f aca="false">H15*I15</f>
        <v>2518.5</v>
      </c>
      <c r="K15" s="7" t="s">
        <v>38</v>
      </c>
    </row>
    <row r="16" s="9" customFormat="true" ht="19.5" hidden="true" customHeight="true" outlineLevel="0" collapsed="false">
      <c r="A16" s="7" t="s">
        <v>34</v>
      </c>
      <c r="B16" s="7" t="s">
        <v>35</v>
      </c>
      <c r="C16" s="7" t="s">
        <v>36</v>
      </c>
      <c r="D16" s="7" t="s">
        <v>50</v>
      </c>
      <c r="E16" s="7"/>
      <c r="F16" s="7"/>
      <c r="G16" s="7" t="n">
        <v>100</v>
      </c>
      <c r="H16" s="13" t="n">
        <v>3815.1</v>
      </c>
      <c r="I16" s="7" t="n">
        <v>1</v>
      </c>
      <c r="J16" s="14" t="n">
        <f aca="false">H16*I16</f>
        <v>3815.1</v>
      </c>
      <c r="K16" s="7" t="s">
        <v>38</v>
      </c>
    </row>
    <row r="17" s="9" customFormat="true" ht="19.5" hidden="true" customHeight="true" outlineLevel="0" collapsed="false">
      <c r="A17" s="7" t="s">
        <v>34</v>
      </c>
      <c r="B17" s="7" t="s">
        <v>35</v>
      </c>
      <c r="C17" s="7" t="s">
        <v>39</v>
      </c>
      <c r="D17" s="7" t="s">
        <v>50</v>
      </c>
      <c r="E17" s="7"/>
      <c r="F17" s="7"/>
      <c r="G17" s="7" t="n">
        <v>80</v>
      </c>
      <c r="H17" s="13" t="n">
        <v>3052.1</v>
      </c>
      <c r="I17" s="7" t="n">
        <v>1</v>
      </c>
      <c r="J17" s="14" t="n">
        <f aca="false">H17*I17</f>
        <v>3052.1</v>
      </c>
      <c r="K17" s="7" t="s">
        <v>38</v>
      </c>
    </row>
    <row r="18" s="9" customFormat="true" ht="19.5" hidden="true" customHeight="true" outlineLevel="0" collapsed="false">
      <c r="A18" s="7" t="s">
        <v>34</v>
      </c>
      <c r="B18" s="7" t="s">
        <v>35</v>
      </c>
      <c r="C18" s="7" t="s">
        <v>41</v>
      </c>
      <c r="D18" s="7" t="s">
        <v>50</v>
      </c>
      <c r="E18" s="7"/>
      <c r="F18" s="7"/>
      <c r="G18" s="7" t="n">
        <v>48</v>
      </c>
      <c r="H18" s="13" t="n">
        <v>33973.3</v>
      </c>
      <c r="I18" s="7" t="n">
        <v>1</v>
      </c>
      <c r="J18" s="14" t="n">
        <f aca="false">H18*I18</f>
        <v>33973.3</v>
      </c>
      <c r="K18" s="7" t="s">
        <v>38</v>
      </c>
    </row>
    <row r="19" s="9" customFormat="true" ht="19.5" hidden="false" customHeight="true" outlineLevel="0" collapsed="false">
      <c r="A19" s="7" t="s">
        <v>34</v>
      </c>
      <c r="B19" s="7" t="s">
        <v>42</v>
      </c>
      <c r="C19" s="7" t="s">
        <v>44</v>
      </c>
      <c r="D19" s="7" t="s">
        <v>50</v>
      </c>
      <c r="E19" s="7"/>
      <c r="F19" s="7"/>
      <c r="G19" s="7" t="n">
        <v>44</v>
      </c>
      <c r="H19" s="13" t="n">
        <v>140063</v>
      </c>
      <c r="I19" s="7" t="n">
        <v>1</v>
      </c>
      <c r="J19" s="14" t="n">
        <f aca="false">H19*I19</f>
        <v>140063</v>
      </c>
      <c r="K19" s="7" t="s">
        <v>43</v>
      </c>
    </row>
    <row r="20" s="9" customFormat="true" ht="19.5" hidden="false" customHeight="true" outlineLevel="0" collapsed="false">
      <c r="A20" s="7" t="s">
        <v>34</v>
      </c>
      <c r="B20" s="7" t="s">
        <v>35</v>
      </c>
      <c r="C20" s="7" t="s">
        <v>45</v>
      </c>
      <c r="D20" s="7" t="s">
        <v>50</v>
      </c>
      <c r="E20" s="7"/>
      <c r="F20" s="7"/>
      <c r="G20" s="7" t="n">
        <v>40</v>
      </c>
      <c r="H20" s="13" t="n">
        <v>314452.2</v>
      </c>
      <c r="I20" s="7" t="n">
        <v>1</v>
      </c>
      <c r="J20" s="14" t="n">
        <f aca="false">H20*I20</f>
        <v>314452.2</v>
      </c>
      <c r="K20" s="7" t="s">
        <v>38</v>
      </c>
    </row>
    <row r="21" s="9" customFormat="true" ht="19.5" hidden="true" customHeight="true" outlineLevel="0" collapsed="false">
      <c r="A21" s="7" t="s">
        <v>34</v>
      </c>
      <c r="B21" s="7" t="s">
        <v>42</v>
      </c>
      <c r="C21" s="7" t="s">
        <v>45</v>
      </c>
      <c r="D21" s="7" t="s">
        <v>50</v>
      </c>
      <c r="E21" s="7"/>
      <c r="F21" s="7"/>
      <c r="G21" s="7" t="n">
        <v>40</v>
      </c>
      <c r="H21" s="13" t="n">
        <v>182732.3</v>
      </c>
      <c r="I21" s="7" t="n">
        <v>1</v>
      </c>
      <c r="J21" s="14" t="n">
        <f aca="false">H21*I21</f>
        <v>182732.3</v>
      </c>
      <c r="K21" s="7" t="s">
        <v>43</v>
      </c>
    </row>
    <row r="22" s="9" customFormat="true" ht="19.5" hidden="true" customHeight="true" outlineLevel="0" collapsed="false">
      <c r="A22" s="7" t="s">
        <v>34</v>
      </c>
      <c r="B22" s="7" t="s">
        <v>35</v>
      </c>
      <c r="C22" s="7" t="s">
        <v>46</v>
      </c>
      <c r="D22" s="7" t="s">
        <v>50</v>
      </c>
      <c r="E22" s="7"/>
      <c r="F22" s="7"/>
      <c r="G22" s="7" t="n">
        <v>36</v>
      </c>
      <c r="H22" s="13" t="n">
        <v>521193.4</v>
      </c>
      <c r="I22" s="7" t="n">
        <v>1</v>
      </c>
      <c r="J22" s="14" t="n">
        <f aca="false">H22*I22</f>
        <v>521193.4</v>
      </c>
      <c r="K22" s="7" t="s">
        <v>38</v>
      </c>
    </row>
    <row r="23" s="9" customFormat="true" ht="19.5" hidden="false" customHeight="true" outlineLevel="0" collapsed="false">
      <c r="A23" s="7" t="s">
        <v>34</v>
      </c>
      <c r="B23" s="7" t="s">
        <v>35</v>
      </c>
      <c r="C23" s="7" t="s">
        <v>47</v>
      </c>
      <c r="D23" s="7" t="s">
        <v>50</v>
      </c>
      <c r="E23" s="7"/>
      <c r="F23" s="7"/>
      <c r="G23" s="7" t="n">
        <v>32</v>
      </c>
      <c r="H23" s="13" t="n">
        <v>398720.8</v>
      </c>
      <c r="I23" s="7" t="n">
        <v>1</v>
      </c>
      <c r="J23" s="14" t="n">
        <f aca="false">H23*I23</f>
        <v>398720.8</v>
      </c>
      <c r="K23" s="7" t="s">
        <v>38</v>
      </c>
    </row>
    <row r="24" s="9" customFormat="true" ht="19.5" hidden="true" customHeight="true" outlineLevel="0" collapsed="false">
      <c r="A24" s="7" t="s">
        <v>34</v>
      </c>
      <c r="B24" s="7" t="s">
        <v>35</v>
      </c>
      <c r="C24" s="7" t="s">
        <v>51</v>
      </c>
      <c r="D24" s="7" t="s">
        <v>50</v>
      </c>
      <c r="E24" s="7"/>
      <c r="F24" s="7"/>
      <c r="G24" s="7" t="n">
        <v>28</v>
      </c>
      <c r="H24" s="13" t="n">
        <v>60106.8</v>
      </c>
      <c r="I24" s="7" t="n">
        <v>1</v>
      </c>
      <c r="J24" s="14" t="n">
        <f aca="false">H24*I24</f>
        <v>60106.8</v>
      </c>
      <c r="K24" s="7" t="s">
        <v>38</v>
      </c>
    </row>
    <row r="25" s="9" customFormat="true" ht="19.5" hidden="true" customHeight="true" outlineLevel="0" collapsed="false">
      <c r="A25" s="7" t="s">
        <v>34</v>
      </c>
      <c r="B25" s="7" t="s">
        <v>35</v>
      </c>
      <c r="C25" s="7" t="s">
        <v>52</v>
      </c>
      <c r="D25" s="7" t="s">
        <v>50</v>
      </c>
      <c r="E25" s="7"/>
      <c r="F25" s="7"/>
      <c r="G25" s="7" t="n">
        <v>24</v>
      </c>
      <c r="H25" s="13" t="n">
        <v>301501</v>
      </c>
      <c r="I25" s="7" t="n">
        <v>1</v>
      </c>
      <c r="J25" s="14" t="n">
        <f aca="false">H25*I25</f>
        <v>301501</v>
      </c>
      <c r="K25" s="7" t="s">
        <v>38</v>
      </c>
    </row>
    <row r="26" s="9" customFormat="true" ht="19.5" hidden="true" customHeight="true" outlineLevel="0" collapsed="false">
      <c r="A26" s="7" t="s">
        <v>34</v>
      </c>
      <c r="B26" s="7" t="s">
        <v>35</v>
      </c>
      <c r="C26" s="7" t="s">
        <v>53</v>
      </c>
      <c r="D26" s="7" t="s">
        <v>50</v>
      </c>
      <c r="E26" s="7"/>
      <c r="F26" s="7"/>
      <c r="G26" s="7" t="n">
        <v>20</v>
      </c>
      <c r="H26" s="13" t="n">
        <v>423735</v>
      </c>
      <c r="I26" s="7" t="n">
        <v>1</v>
      </c>
      <c r="J26" s="14" t="n">
        <f aca="false">H26*I26</f>
        <v>423735</v>
      </c>
      <c r="K26" s="7" t="s">
        <v>38</v>
      </c>
    </row>
    <row r="27" s="9" customFormat="true" ht="19.5" hidden="true" customHeight="true" outlineLevel="0" collapsed="false">
      <c r="A27" s="7" t="s">
        <v>34</v>
      </c>
      <c r="B27" s="7" t="s">
        <v>35</v>
      </c>
      <c r="C27" s="7" t="s">
        <v>48</v>
      </c>
      <c r="D27" s="7" t="s">
        <v>50</v>
      </c>
      <c r="E27" s="7"/>
      <c r="F27" s="7"/>
      <c r="G27" s="7" t="n">
        <v>16</v>
      </c>
      <c r="H27" s="13" t="n">
        <v>115785.1</v>
      </c>
      <c r="I27" s="7" t="n">
        <v>1</v>
      </c>
      <c r="J27" s="14" t="n">
        <f aca="false">H27*I27</f>
        <v>115785.1</v>
      </c>
      <c r="K27" s="7" t="s">
        <v>38</v>
      </c>
    </row>
    <row r="28" s="9" customFormat="true" ht="19.5" hidden="true" customHeight="true" outlineLevel="0" collapsed="false">
      <c r="A28" s="7" t="s">
        <v>34</v>
      </c>
      <c r="B28" s="7" t="s">
        <v>35</v>
      </c>
      <c r="C28" s="7" t="s">
        <v>49</v>
      </c>
      <c r="D28" s="7" t="s">
        <v>50</v>
      </c>
      <c r="E28" s="7"/>
      <c r="F28" s="7"/>
      <c r="G28" s="7" t="n">
        <v>14</v>
      </c>
      <c r="H28" s="13" t="n">
        <v>56947.4</v>
      </c>
      <c r="I28" s="7" t="n">
        <v>1</v>
      </c>
      <c r="J28" s="14" t="n">
        <f aca="false">H28*I28</f>
        <v>56947.4</v>
      </c>
      <c r="K28" s="7" t="s">
        <v>38</v>
      </c>
    </row>
    <row r="29" s="9" customFormat="true" ht="19.5" hidden="true" customHeight="true" outlineLevel="0" collapsed="false">
      <c r="A29" s="7" t="s">
        <v>34</v>
      </c>
      <c r="B29" s="7" t="s">
        <v>54</v>
      </c>
      <c r="C29" s="7" t="s">
        <v>41</v>
      </c>
      <c r="D29" s="7" t="s">
        <v>37</v>
      </c>
      <c r="E29" s="7"/>
      <c r="F29" s="7"/>
      <c r="G29" s="7" t="n">
        <v>48</v>
      </c>
      <c r="H29" s="13" t="n">
        <v>1633.4</v>
      </c>
      <c r="I29" s="7" t="n">
        <v>1</v>
      </c>
      <c r="J29" s="14" t="n">
        <f aca="false">H29*I29</f>
        <v>1633.4</v>
      </c>
      <c r="K29" s="7" t="s">
        <v>38</v>
      </c>
    </row>
    <row r="30" s="9" customFormat="true" ht="19.5" hidden="true" customHeight="true" outlineLevel="0" collapsed="false">
      <c r="A30" s="7" t="s">
        <v>34</v>
      </c>
      <c r="B30" s="7" t="s">
        <v>54</v>
      </c>
      <c r="C30" s="7" t="s">
        <v>44</v>
      </c>
      <c r="D30" s="7" t="s">
        <v>37</v>
      </c>
      <c r="E30" s="7"/>
      <c r="F30" s="7"/>
      <c r="G30" s="7" t="n">
        <v>44</v>
      </c>
      <c r="H30" s="13" t="n">
        <v>10164.6</v>
      </c>
      <c r="I30" s="7" t="n">
        <v>1</v>
      </c>
      <c r="J30" s="14" t="n">
        <f aca="false">H30*I30</f>
        <v>10164.6</v>
      </c>
      <c r="K30" s="7" t="s">
        <v>38</v>
      </c>
    </row>
    <row r="31" s="9" customFormat="true" ht="19.5" hidden="false" customHeight="true" outlineLevel="0" collapsed="false">
      <c r="A31" s="7" t="s">
        <v>34</v>
      </c>
      <c r="B31" s="7" t="s">
        <v>54</v>
      </c>
      <c r="C31" s="7" t="s">
        <v>45</v>
      </c>
      <c r="D31" s="7" t="s">
        <v>37</v>
      </c>
      <c r="E31" s="7"/>
      <c r="F31" s="7"/>
      <c r="G31" s="7" t="n">
        <v>40</v>
      </c>
      <c r="H31" s="13" t="n">
        <v>33604.5</v>
      </c>
      <c r="I31" s="7" t="n">
        <v>1</v>
      </c>
      <c r="J31" s="14" t="n">
        <f aca="false">H31*I31</f>
        <v>33604.5</v>
      </c>
      <c r="K31" s="7" t="s">
        <v>38</v>
      </c>
    </row>
    <row r="32" s="9" customFormat="true" ht="19.5" hidden="true" customHeight="true" outlineLevel="0" collapsed="false">
      <c r="A32" s="7" t="s">
        <v>34</v>
      </c>
      <c r="B32" s="7" t="s">
        <v>54</v>
      </c>
      <c r="C32" s="7" t="s">
        <v>46</v>
      </c>
      <c r="D32" s="7" t="s">
        <v>37</v>
      </c>
      <c r="E32" s="7"/>
      <c r="F32" s="7"/>
      <c r="G32" s="7" t="n">
        <v>36</v>
      </c>
      <c r="H32" s="13" t="n">
        <v>8986.5</v>
      </c>
      <c r="I32" s="7" t="n">
        <v>1</v>
      </c>
      <c r="J32" s="14" t="n">
        <f aca="false">H32*I32</f>
        <v>8986.5</v>
      </c>
      <c r="K32" s="7" t="s">
        <v>38</v>
      </c>
    </row>
    <row r="33" s="9" customFormat="true" ht="19.5" hidden="false" customHeight="true" outlineLevel="0" collapsed="false">
      <c r="A33" s="7" t="s">
        <v>34</v>
      </c>
      <c r="B33" s="7" t="s">
        <v>54</v>
      </c>
      <c r="C33" s="7" t="s">
        <v>47</v>
      </c>
      <c r="D33" s="7" t="s">
        <v>37</v>
      </c>
      <c r="E33" s="7"/>
      <c r="F33" s="7"/>
      <c r="G33" s="7" t="n">
        <v>32</v>
      </c>
      <c r="H33" s="13" t="n">
        <v>10990.2</v>
      </c>
      <c r="I33" s="7" t="n">
        <v>1</v>
      </c>
      <c r="J33" s="14" t="n">
        <f aca="false">H33*I33</f>
        <v>10990.2</v>
      </c>
      <c r="K33" s="7" t="s">
        <v>38</v>
      </c>
      <c r="L33" s="7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7"/>
    </row>
    <row r="34" s="9" customFormat="true" ht="19.5" hidden="false" customHeight="true" outlineLevel="0" collapsed="false">
      <c r="A34" s="7" t="s">
        <v>34</v>
      </c>
      <c r="B34" s="7" t="s">
        <v>54</v>
      </c>
      <c r="C34" s="7" t="s">
        <v>51</v>
      </c>
      <c r="D34" s="7" t="s">
        <v>37</v>
      </c>
      <c r="E34" s="7"/>
      <c r="F34" s="7"/>
      <c r="G34" s="7" t="n">
        <v>28</v>
      </c>
      <c r="H34" s="13" t="n">
        <v>12062.2</v>
      </c>
      <c r="I34" s="7" t="n">
        <v>1</v>
      </c>
      <c r="J34" s="14" t="n">
        <f aca="false">H34*I34</f>
        <v>12062.2</v>
      </c>
      <c r="K34" s="7" t="s">
        <v>38</v>
      </c>
    </row>
    <row r="35" s="9" customFormat="true" ht="19.5" hidden="true" customHeight="true" outlineLevel="0" collapsed="false">
      <c r="A35" s="7" t="s">
        <v>34</v>
      </c>
      <c r="B35" s="7" t="s">
        <v>54</v>
      </c>
      <c r="C35" s="7" t="s">
        <v>52</v>
      </c>
      <c r="D35" s="7" t="s">
        <v>37</v>
      </c>
      <c r="E35" s="7"/>
      <c r="F35" s="7"/>
      <c r="G35" s="7" t="n">
        <v>24</v>
      </c>
      <c r="H35" s="13" t="n">
        <v>11198.7</v>
      </c>
      <c r="I35" s="7" t="n">
        <v>1</v>
      </c>
      <c r="J35" s="14" t="n">
        <f aca="false">H35*I35</f>
        <v>11198.7</v>
      </c>
      <c r="K35" s="7" t="s">
        <v>38</v>
      </c>
    </row>
    <row r="36" s="9" customFormat="true" ht="19.5" hidden="true" customHeight="true" outlineLevel="0" collapsed="false">
      <c r="A36" s="7" t="s">
        <v>34</v>
      </c>
      <c r="B36" s="7" t="s">
        <v>54</v>
      </c>
      <c r="C36" s="7" t="s">
        <v>44</v>
      </c>
      <c r="D36" s="7" t="s">
        <v>50</v>
      </c>
      <c r="E36" s="7"/>
      <c r="F36" s="7"/>
      <c r="G36" s="7" t="n">
        <v>44</v>
      </c>
      <c r="H36" s="13" t="n">
        <v>10730.2</v>
      </c>
      <c r="I36" s="7" t="n">
        <v>1</v>
      </c>
      <c r="J36" s="14" t="n">
        <f aca="false">H36*I36</f>
        <v>10730.2</v>
      </c>
      <c r="K36" s="7" t="s">
        <v>38</v>
      </c>
    </row>
    <row r="37" s="9" customFormat="true" ht="19.5" hidden="true" customHeight="true" outlineLevel="0" collapsed="false">
      <c r="A37" s="7" t="s">
        <v>34</v>
      </c>
      <c r="B37" s="7" t="s">
        <v>54</v>
      </c>
      <c r="C37" s="7" t="s">
        <v>46</v>
      </c>
      <c r="D37" s="7" t="s">
        <v>50</v>
      </c>
      <c r="E37" s="7"/>
      <c r="F37" s="7"/>
      <c r="G37" s="7" t="n">
        <v>36</v>
      </c>
      <c r="H37" s="13" t="n">
        <v>10581.6</v>
      </c>
      <c r="I37" s="7" t="n">
        <v>1</v>
      </c>
      <c r="J37" s="14" t="n">
        <f aca="false">H37*I37</f>
        <v>10581.6</v>
      </c>
      <c r="K37" s="7" t="s">
        <v>38</v>
      </c>
    </row>
    <row r="38" s="9" customFormat="true" ht="19.5" hidden="true" customHeight="true" outlineLevel="0" collapsed="false">
      <c r="A38" s="7" t="s">
        <v>34</v>
      </c>
      <c r="B38" s="7" t="s">
        <v>54</v>
      </c>
      <c r="C38" s="7" t="s">
        <v>47</v>
      </c>
      <c r="D38" s="7" t="s">
        <v>50</v>
      </c>
      <c r="E38" s="7"/>
      <c r="F38" s="7"/>
      <c r="G38" s="7" t="n">
        <v>32</v>
      </c>
      <c r="H38" s="13" t="n">
        <v>9954.8</v>
      </c>
      <c r="I38" s="7" t="n">
        <v>1</v>
      </c>
      <c r="J38" s="14" t="n">
        <f aca="false">H38*I38</f>
        <v>9954.8</v>
      </c>
      <c r="K38" s="7" t="s">
        <v>38</v>
      </c>
    </row>
    <row r="39" s="9" customFormat="true" ht="19.5" hidden="true" customHeight="true" outlineLevel="0" collapsed="false">
      <c r="A39" s="7" t="s">
        <v>34</v>
      </c>
      <c r="B39" s="7" t="s">
        <v>54</v>
      </c>
      <c r="C39" s="7" t="s">
        <v>51</v>
      </c>
      <c r="D39" s="7" t="s">
        <v>50</v>
      </c>
      <c r="E39" s="7"/>
      <c r="F39" s="7"/>
      <c r="G39" s="7" t="n">
        <v>28</v>
      </c>
      <c r="H39" s="13" t="n">
        <v>45262.6</v>
      </c>
      <c r="I39" s="7" t="n">
        <v>1</v>
      </c>
      <c r="J39" s="14" t="n">
        <f aca="false">H39*I39</f>
        <v>45262.6</v>
      </c>
      <c r="K39" s="7" t="s">
        <v>38</v>
      </c>
    </row>
    <row r="40" s="9" customFormat="true" ht="19.5" hidden="true" customHeight="true" outlineLevel="0" collapsed="false">
      <c r="A40" s="7" t="s">
        <v>34</v>
      </c>
      <c r="B40" s="7" t="s">
        <v>54</v>
      </c>
      <c r="C40" s="7" t="s">
        <v>52</v>
      </c>
      <c r="D40" s="7" t="s">
        <v>50</v>
      </c>
      <c r="E40" s="7"/>
      <c r="F40" s="7"/>
      <c r="G40" s="7" t="n">
        <v>24</v>
      </c>
      <c r="H40" s="13" t="n">
        <v>43378.8</v>
      </c>
      <c r="I40" s="7" t="n">
        <v>1</v>
      </c>
      <c r="J40" s="14" t="n">
        <f aca="false">H40*I40</f>
        <v>43378.8</v>
      </c>
      <c r="K40" s="7" t="s">
        <v>38</v>
      </c>
    </row>
    <row r="41" s="9" customFormat="true" ht="19.5" hidden="true" customHeight="true" outlineLevel="0" collapsed="false">
      <c r="A41" s="7" t="s">
        <v>34</v>
      </c>
      <c r="B41" s="7" t="s">
        <v>54</v>
      </c>
      <c r="C41" s="7" t="s">
        <v>53</v>
      </c>
      <c r="D41" s="7" t="s">
        <v>50</v>
      </c>
      <c r="E41" s="7"/>
      <c r="F41" s="7"/>
      <c r="G41" s="7" t="n">
        <v>20</v>
      </c>
      <c r="H41" s="13" t="n">
        <v>22910.7</v>
      </c>
      <c r="I41" s="7" t="n">
        <v>1</v>
      </c>
      <c r="J41" s="14" t="n">
        <f aca="false">H41*I41</f>
        <v>22910.7</v>
      </c>
      <c r="K41" s="7" t="s">
        <v>38</v>
      </c>
    </row>
    <row r="42" s="9" customFormat="true" ht="19.5" hidden="true" customHeight="true" outlineLevel="0" collapsed="false">
      <c r="A42" s="7" t="s">
        <v>34</v>
      </c>
      <c r="B42" s="7" t="s">
        <v>54</v>
      </c>
      <c r="C42" s="7" t="s">
        <v>48</v>
      </c>
      <c r="D42" s="7" t="s">
        <v>50</v>
      </c>
      <c r="E42" s="7"/>
      <c r="F42" s="7"/>
      <c r="G42" s="7" t="n">
        <v>16</v>
      </c>
      <c r="H42" s="13" t="n">
        <v>9958.7</v>
      </c>
      <c r="I42" s="7" t="n">
        <v>1</v>
      </c>
      <c r="J42" s="14" t="n">
        <f aca="false">H42*I42</f>
        <v>9958.7</v>
      </c>
      <c r="K42" s="7" t="s">
        <v>38</v>
      </c>
    </row>
    <row r="43" s="9" customFormat="true" ht="19.5" hidden="true" customHeight="true" outlineLevel="0" collapsed="false">
      <c r="A43" s="7" t="s">
        <v>34</v>
      </c>
      <c r="B43" s="7" t="s">
        <v>54</v>
      </c>
      <c r="C43" s="7" t="s">
        <v>49</v>
      </c>
      <c r="D43" s="7" t="s">
        <v>50</v>
      </c>
      <c r="E43" s="7"/>
      <c r="F43" s="7"/>
      <c r="G43" s="7" t="n">
        <v>14</v>
      </c>
      <c r="H43" s="13" t="n">
        <v>554.4</v>
      </c>
      <c r="I43" s="7" t="n">
        <v>1</v>
      </c>
      <c r="J43" s="14" t="n">
        <f aca="false">H43*I43</f>
        <v>554.4</v>
      </c>
      <c r="K43" s="7" t="s">
        <v>38</v>
      </c>
    </row>
    <row r="44" s="9" customFormat="true" ht="19.5" hidden="true" customHeight="true" outlineLevel="0" collapsed="false">
      <c r="A44" s="7" t="s">
        <v>34</v>
      </c>
      <c r="B44" s="7" t="s">
        <v>54</v>
      </c>
      <c r="C44" s="7" t="s">
        <v>55</v>
      </c>
      <c r="D44" s="7" t="s">
        <v>50</v>
      </c>
      <c r="E44" s="7"/>
      <c r="F44" s="7"/>
      <c r="G44" s="7" t="n">
        <v>12</v>
      </c>
      <c r="H44" s="13" t="n">
        <v>2006.1</v>
      </c>
      <c r="I44" s="7" t="n">
        <v>1</v>
      </c>
      <c r="J44" s="14" t="n">
        <f aca="false">H44*I44</f>
        <v>2006.1</v>
      </c>
      <c r="K44" s="7" t="s">
        <v>38</v>
      </c>
    </row>
    <row r="45" s="9" customFormat="true" ht="19.5" hidden="false" customHeight="true" outlineLevel="0" collapsed="false">
      <c r="A45" s="7" t="s">
        <v>34</v>
      </c>
      <c r="B45" s="7" t="s">
        <v>54</v>
      </c>
      <c r="C45" s="7" t="s">
        <v>56</v>
      </c>
      <c r="D45" s="7" t="s">
        <v>50</v>
      </c>
      <c r="E45" s="7"/>
      <c r="F45" s="7"/>
      <c r="G45" s="7" t="n">
        <v>8</v>
      </c>
      <c r="H45" s="13" t="n">
        <v>1352.2</v>
      </c>
      <c r="I45" s="7" t="n">
        <v>1</v>
      </c>
      <c r="J45" s="14" t="n">
        <f aca="false">H45*I45</f>
        <v>1352.2</v>
      </c>
      <c r="K45" s="7" t="s">
        <v>38</v>
      </c>
    </row>
    <row r="46" s="9" customFormat="true" ht="19.5" hidden="false" customHeight="true" outlineLevel="0" collapsed="false">
      <c r="A46" s="7" t="s">
        <v>34</v>
      </c>
      <c r="B46" s="7" t="s">
        <v>57</v>
      </c>
      <c r="C46" s="7" t="s">
        <v>12</v>
      </c>
      <c r="D46" s="7" t="s">
        <v>58</v>
      </c>
      <c r="E46" s="7"/>
      <c r="F46" s="7"/>
      <c r="G46" s="7"/>
      <c r="H46" s="13" t="n">
        <v>55268.8</v>
      </c>
      <c r="I46" s="7" t="n">
        <v>1</v>
      </c>
      <c r="J46" s="14" t="n">
        <f aca="false">H46*I46</f>
        <v>55268.8</v>
      </c>
      <c r="K46" s="7" t="s">
        <v>59</v>
      </c>
    </row>
    <row r="47" s="9" customFormat="true" ht="19.5" hidden="true" customHeight="true" outlineLevel="0" collapsed="false">
      <c r="A47" s="7" t="s">
        <v>34</v>
      </c>
      <c r="B47" s="7" t="s">
        <v>60</v>
      </c>
      <c r="C47" s="7" t="s">
        <v>61</v>
      </c>
      <c r="D47" s="7" t="s">
        <v>61</v>
      </c>
      <c r="E47" s="7"/>
      <c r="F47" s="7"/>
      <c r="G47" s="7"/>
      <c r="H47" s="13" t="n">
        <v>824.7</v>
      </c>
      <c r="I47" s="7" t="n">
        <v>1</v>
      </c>
      <c r="J47" s="14" t="n">
        <f aca="false">H47*I47</f>
        <v>824.7</v>
      </c>
      <c r="K47" s="7" t="s">
        <v>62</v>
      </c>
    </row>
    <row r="48" s="9" customFormat="true" ht="19.5" hidden="true" customHeight="true" outlineLevel="0" collapsed="false">
      <c r="A48" s="7"/>
      <c r="B48" s="7" t="s">
        <v>63</v>
      </c>
      <c r="C48" s="7"/>
      <c r="D48" s="7"/>
      <c r="E48" s="7"/>
      <c r="F48" s="7"/>
      <c r="G48" s="7"/>
      <c r="H48" s="13"/>
      <c r="I48" s="7"/>
      <c r="J48" s="14" t="n">
        <f aca="false">SUM(J4:J47)</f>
        <v>3986007.1</v>
      </c>
      <c r="K48" s="7"/>
    </row>
    <row r="49" s="9" customFormat="true" ht="19.5" hidden="false" customHeight="true" outlineLevel="0" collapsed="false">
      <c r="A49" s="7"/>
      <c r="B49" s="7" t="s">
        <v>64</v>
      </c>
      <c r="C49" s="7"/>
      <c r="D49" s="7"/>
      <c r="E49" s="7"/>
      <c r="F49" s="7"/>
      <c r="G49" s="7"/>
      <c r="H49" s="13"/>
      <c r="I49" s="7"/>
      <c r="J49" s="14"/>
      <c r="K49" s="7"/>
      <c r="N49" s="15" t="n">
        <f aca="false">SUMIF($G$4:$G$47,N$3,$J$4:$J$47)</f>
        <v>1352.2</v>
      </c>
      <c r="O49" s="15" t="n">
        <f aca="false">SUMIF($G$4:$G$47,O$3,$J$4:$J$47)</f>
        <v>0</v>
      </c>
      <c r="P49" s="15" t="n">
        <f aca="false">SUMIF($G$4:$G$47,P$3,$J$4:$J$47)</f>
        <v>2006.1</v>
      </c>
      <c r="Q49" s="15" t="n">
        <f aca="false">SUMIF($G$4:$G$47,Q$3,$J$4:$J$47)</f>
        <v>60020.3</v>
      </c>
      <c r="R49" s="15" t="n">
        <f aca="false">SUMIF($G$4:$G$47,R$3,$J$4:$J$47)</f>
        <v>153690.7</v>
      </c>
      <c r="S49" s="15" t="n">
        <f aca="false">SUMIF($G$4:$G$47,S$3,$J$4:$J$47)</f>
        <v>446645.7</v>
      </c>
      <c r="T49" s="15" t="n">
        <f aca="false">SUMIF($G$4:$G$47,T$3,$J$4:$J$47)</f>
        <v>356078.5</v>
      </c>
      <c r="U49" s="15" t="n">
        <f aca="false">SUMIF($G$4:$G$47,U$3,$J$4:$J$47)</f>
        <v>117431.6</v>
      </c>
      <c r="V49" s="15" t="n">
        <f aca="false">SUMIF($G$4:$G$47,V$3,$J$4:$J$47)</f>
        <v>694673</v>
      </c>
      <c r="W49" s="15" t="n">
        <f aca="false">SUMIF($G$4:$G$47,W$3,$J$4:$J$47)</f>
        <v>544045.3</v>
      </c>
      <c r="X49" s="15" t="n">
        <f aca="false">SUMIF($G$4:$G$47,X$3,$J$4:$J$47)</f>
        <v>838469.3</v>
      </c>
      <c r="Y49" s="15" t="n">
        <f aca="false">SUMIF($G$4:$G$47,Y$3,$J$4:$J$47)</f>
        <v>406814.7</v>
      </c>
      <c r="Z49" s="15" t="n">
        <f aca="false">SUMIF($G$4:$G$47,Z$3,$J$4:$J$47)</f>
        <v>283633.4</v>
      </c>
      <c r="AA49" s="15" t="n">
        <f aca="false">SUMIF($G$4:$G$47,AA$3,$J$4:$J$47)</f>
        <v>2458.8</v>
      </c>
      <c r="AB49" s="15" t="n">
        <f aca="false">SUMIF($G$4:$G$47,AB$3,$J$4:$J$47)</f>
        <v>10041.8</v>
      </c>
      <c r="AC49" s="15" t="n">
        <f aca="false">SUMIF($G$4:$G$47,AC$3,$J$4:$J$47)</f>
        <v>12552.2</v>
      </c>
      <c r="AD49" s="15" t="n">
        <f aca="false">SUM(N49:AC49)</f>
        <v>3929913.6</v>
      </c>
    </row>
    <row r="50" s="9" customFormat="true" ht="19.5" hidden="true" customHeight="true" outlineLevel="0" collapsed="false">
      <c r="C50" s="7"/>
      <c r="D50" s="7"/>
      <c r="E50" s="7"/>
      <c r="F50" s="7"/>
      <c r="G50" s="7"/>
      <c r="H50" s="13"/>
      <c r="I50" s="7"/>
      <c r="J50" s="14"/>
      <c r="K50" s="7"/>
    </row>
    <row r="51" s="9" customFormat="true" ht="19.5" hidden="true" customHeight="true" outlineLevel="0" collapsed="false">
      <c r="B51" s="7"/>
      <c r="C51" s="7"/>
      <c r="D51" s="7"/>
      <c r="E51" s="16"/>
      <c r="F51" s="7"/>
      <c r="G51" s="7"/>
      <c r="H51" s="13"/>
      <c r="I51" s="7"/>
      <c r="J51" s="14"/>
      <c r="K51" s="17"/>
    </row>
    <row r="52" s="9" customFormat="true" ht="19.5" hidden="true" customHeight="true" outlineLevel="0" collapsed="false">
      <c r="C52" s="7"/>
      <c r="D52" s="7"/>
      <c r="E52" s="16"/>
      <c r="F52" s="7"/>
      <c r="G52" s="7"/>
      <c r="H52" s="13"/>
      <c r="I52" s="7"/>
      <c r="J52" s="14"/>
      <c r="K52" s="17"/>
    </row>
    <row r="53" s="9" customFormat="true" ht="19.5" hidden="true" customHeight="true" outlineLevel="0" collapsed="false">
      <c r="C53" s="7"/>
      <c r="D53" s="7"/>
      <c r="E53" s="16"/>
      <c r="F53" s="7"/>
      <c r="G53" s="7"/>
      <c r="H53" s="13"/>
      <c r="I53" s="7"/>
      <c r="J53" s="14"/>
      <c r="K53" s="17"/>
    </row>
    <row r="54" s="9" customFormat="true" ht="19.5" hidden="true" customHeight="true" outlineLevel="0" collapsed="false">
      <c r="B54" s="7"/>
      <c r="C54" s="7"/>
      <c r="D54" s="7"/>
      <c r="E54" s="7"/>
      <c r="F54" s="7"/>
      <c r="G54" s="7"/>
      <c r="H54" s="13"/>
      <c r="I54" s="7"/>
      <c r="J54" s="14"/>
      <c r="K54" s="7"/>
    </row>
    <row r="55" s="9" customFormat="true" ht="19.5" hidden="true" customHeight="true" outlineLevel="0" collapsed="false">
      <c r="C55" s="7"/>
      <c r="D55" s="7"/>
      <c r="E55" s="7"/>
      <c r="F55" s="7"/>
      <c r="G55" s="7"/>
      <c r="H55" s="13"/>
      <c r="I55" s="7"/>
      <c r="J55" s="14"/>
      <c r="K55" s="7"/>
    </row>
    <row r="56" s="9" customFormat="true" ht="19.5" hidden="true" customHeight="true" outlineLevel="0" collapsed="false">
      <c r="C56" s="7"/>
      <c r="D56" s="7"/>
      <c r="E56" s="7"/>
      <c r="F56" s="7"/>
      <c r="G56" s="7"/>
      <c r="H56" s="13"/>
      <c r="I56" s="7"/>
      <c r="J56" s="14"/>
      <c r="K56" s="7"/>
    </row>
    <row r="57" s="9" customFormat="true" ht="19.5" hidden="false" customHeight="true" outlineLevel="0" collapsed="false">
      <c r="C57" s="7"/>
      <c r="D57" s="7"/>
      <c r="E57" s="7"/>
      <c r="F57" s="7"/>
      <c r="G57" s="7"/>
      <c r="H57" s="13"/>
      <c r="I57" s="7"/>
      <c r="J57" s="14"/>
      <c r="K57" s="7"/>
    </row>
    <row r="58" s="9" customFormat="true" ht="19.5" hidden="true" customHeight="true" outlineLevel="0" collapsed="false">
      <c r="B58" s="7"/>
      <c r="D58" s="7"/>
      <c r="E58" s="7"/>
      <c r="F58" s="7"/>
      <c r="G58" s="7"/>
      <c r="H58" s="13"/>
      <c r="I58" s="7"/>
      <c r="J58" s="14"/>
      <c r="K58" s="7"/>
    </row>
    <row r="59" s="9" customFormat="true" ht="19.5" hidden="false" customHeight="true" outlineLevel="0" collapsed="false">
      <c r="A59" s="7"/>
      <c r="B59" s="7"/>
      <c r="C59" s="7"/>
      <c r="D59" s="7"/>
      <c r="E59" s="7"/>
      <c r="F59" s="7"/>
      <c r="G59" s="7"/>
      <c r="H59" s="13"/>
      <c r="I59" s="7"/>
      <c r="J59" s="14"/>
      <c r="K59" s="7"/>
      <c r="L59" s="7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7"/>
    </row>
    <row r="60" s="9" customFormat="true" ht="19.5" hidden="false" customHeight="true" outlineLevel="0" collapsed="false">
      <c r="C60" s="7"/>
      <c r="D60" s="7"/>
      <c r="E60" s="7"/>
      <c r="F60" s="7"/>
      <c r="G60" s="7"/>
      <c r="H60" s="13"/>
      <c r="I60" s="7"/>
      <c r="J60" s="14"/>
      <c r="K60" s="7"/>
    </row>
    <row r="61" s="9" customFormat="true" ht="19.5" hidden="true" customHeight="true" outlineLevel="0" collapsed="false">
      <c r="C61" s="7"/>
      <c r="D61" s="7"/>
      <c r="E61" s="7"/>
      <c r="F61" s="7"/>
      <c r="G61" s="7"/>
      <c r="H61" s="13"/>
      <c r="I61" s="7"/>
      <c r="J61" s="14"/>
      <c r="K61" s="7"/>
    </row>
    <row r="62" s="9" customFormat="true" ht="19.5" hidden="true" customHeight="true" outlineLevel="0" collapsed="false">
      <c r="C62" s="7"/>
      <c r="D62" s="7"/>
      <c r="E62" s="7"/>
      <c r="F62" s="7"/>
      <c r="G62" s="7"/>
      <c r="H62" s="13"/>
      <c r="I62" s="7"/>
      <c r="J62" s="14"/>
      <c r="K62" s="7"/>
    </row>
    <row r="63" s="9" customFormat="true" ht="19.5" hidden="true" customHeight="true" outlineLevel="0" collapsed="false">
      <c r="C63" s="7"/>
      <c r="D63" s="7"/>
      <c r="E63" s="7"/>
      <c r="F63" s="7"/>
      <c r="G63" s="7"/>
      <c r="H63" s="13"/>
      <c r="I63" s="7"/>
      <c r="J63" s="14"/>
      <c r="K63" s="7"/>
    </row>
    <row r="64" s="9" customFormat="true" ht="19.5" hidden="true" customHeight="true" outlineLevel="0" collapsed="false">
      <c r="C64" s="7"/>
      <c r="D64" s="7"/>
      <c r="E64" s="7"/>
      <c r="F64" s="7"/>
      <c r="G64" s="7"/>
      <c r="H64" s="13"/>
      <c r="I64" s="7"/>
      <c r="J64" s="14"/>
      <c r="K64" s="7"/>
    </row>
    <row r="65" s="9" customFormat="true" ht="19.5" hidden="true" customHeight="true" outlineLevel="0" collapsed="false">
      <c r="B65" s="7"/>
      <c r="C65" s="7"/>
      <c r="D65" s="7"/>
      <c r="E65" s="7"/>
      <c r="F65" s="7"/>
      <c r="G65" s="7"/>
      <c r="H65" s="13"/>
      <c r="I65" s="7"/>
      <c r="J65" s="14"/>
      <c r="K65" s="7"/>
    </row>
    <row r="66" s="9" customFormat="true" ht="19.5" hidden="true" customHeight="true" outlineLevel="0" collapsed="false">
      <c r="C66" s="7"/>
      <c r="D66" s="7"/>
      <c r="E66" s="7"/>
      <c r="F66" s="7"/>
      <c r="G66" s="7"/>
      <c r="H66" s="13"/>
      <c r="I66" s="7"/>
      <c r="J66" s="14"/>
      <c r="K66" s="7"/>
    </row>
    <row r="67" s="9" customFormat="true" ht="19.5" hidden="true" customHeight="true" outlineLevel="0" collapsed="false">
      <c r="C67" s="7"/>
      <c r="D67" s="7"/>
      <c r="E67" s="7"/>
      <c r="F67" s="7"/>
      <c r="G67" s="7"/>
      <c r="H67" s="13"/>
      <c r="I67" s="7"/>
      <c r="J67" s="14"/>
      <c r="K67" s="7"/>
    </row>
    <row r="68" s="9" customFormat="true" ht="19.5" hidden="true" customHeight="true" outlineLevel="0" collapsed="false">
      <c r="C68" s="7"/>
      <c r="D68" s="7"/>
      <c r="E68" s="7"/>
      <c r="F68" s="7"/>
      <c r="G68" s="7"/>
      <c r="H68" s="13"/>
      <c r="I68" s="7"/>
      <c r="J68" s="14"/>
      <c r="K68" s="7"/>
    </row>
    <row r="69" s="9" customFormat="true" ht="19.5" hidden="true" customHeight="true" outlineLevel="0" collapsed="false">
      <c r="C69" s="7"/>
      <c r="D69" s="7"/>
      <c r="E69" s="7"/>
      <c r="F69" s="7"/>
      <c r="G69" s="7"/>
      <c r="H69" s="13"/>
      <c r="I69" s="7"/>
      <c r="J69" s="14"/>
      <c r="K69" s="7"/>
    </row>
    <row r="70" s="9" customFormat="true" ht="19.5" hidden="true" customHeight="true" outlineLevel="0" collapsed="false">
      <c r="C70" s="7"/>
      <c r="D70" s="7"/>
      <c r="E70" s="7"/>
      <c r="F70" s="7"/>
      <c r="G70" s="7"/>
      <c r="H70" s="13"/>
      <c r="I70" s="7"/>
      <c r="J70" s="14"/>
      <c r="K70" s="7"/>
    </row>
    <row r="71" s="9" customFormat="true" ht="19.5" hidden="false" customHeight="true" outlineLevel="0" collapsed="false">
      <c r="C71" s="7"/>
      <c r="D71" s="7"/>
      <c r="E71" s="7"/>
      <c r="F71" s="7"/>
      <c r="G71" s="7"/>
      <c r="H71" s="13"/>
      <c r="I71" s="7"/>
      <c r="J71" s="14"/>
      <c r="K71" s="7"/>
    </row>
    <row r="72" s="9" customFormat="true" ht="19.5" hidden="false" customHeight="true" outlineLevel="0" collapsed="false">
      <c r="C72" s="7"/>
      <c r="D72" s="7"/>
      <c r="E72" s="7"/>
      <c r="F72" s="7"/>
      <c r="G72" s="7"/>
      <c r="H72" s="13"/>
      <c r="I72" s="7"/>
      <c r="J72" s="14"/>
      <c r="K72" s="7"/>
    </row>
    <row r="73" s="9" customFormat="true" ht="19.5" hidden="true" customHeight="true" outlineLevel="0" collapsed="false">
      <c r="B73" s="7"/>
      <c r="C73" s="7"/>
      <c r="D73" s="7"/>
      <c r="E73" s="7"/>
      <c r="F73" s="7"/>
      <c r="G73" s="7"/>
      <c r="H73" s="13"/>
      <c r="I73" s="7"/>
      <c r="J73" s="14"/>
      <c r="K73" s="7"/>
    </row>
    <row r="74" s="9" customFormat="true" ht="19.5" hidden="true" customHeight="true" outlineLevel="0" collapsed="false">
      <c r="C74" s="7"/>
      <c r="D74" s="7"/>
      <c r="E74" s="7"/>
      <c r="F74" s="7"/>
      <c r="G74" s="7"/>
      <c r="H74" s="13"/>
      <c r="I74" s="7"/>
      <c r="J74" s="14"/>
      <c r="K74" s="7"/>
    </row>
    <row r="75" s="9" customFormat="true" ht="19.5" hidden="false" customHeight="true" outlineLevel="0" collapsed="false">
      <c r="C75" s="7"/>
      <c r="D75" s="7"/>
      <c r="E75" s="7"/>
      <c r="F75" s="7"/>
      <c r="G75" s="7"/>
      <c r="H75" s="13"/>
      <c r="I75" s="7"/>
      <c r="J75" s="14"/>
      <c r="K75" s="7"/>
    </row>
    <row r="76" s="9" customFormat="true" ht="19.5" hidden="true" customHeight="true" outlineLevel="0" collapsed="false">
      <c r="C76" s="7"/>
      <c r="D76" s="7"/>
      <c r="E76" s="7"/>
      <c r="F76" s="7"/>
      <c r="G76" s="7"/>
      <c r="H76" s="13"/>
      <c r="I76" s="7"/>
      <c r="J76" s="14"/>
      <c r="K76" s="7"/>
    </row>
    <row r="77" s="9" customFormat="true" ht="19.5" hidden="true" customHeight="true" outlineLevel="0" collapsed="false">
      <c r="B77" s="7"/>
      <c r="C77" s="7"/>
      <c r="D77" s="7"/>
      <c r="E77" s="16"/>
      <c r="F77" s="7"/>
      <c r="G77" s="7"/>
      <c r="H77" s="13"/>
      <c r="I77" s="7"/>
      <c r="J77" s="14"/>
      <c r="K77" s="17"/>
    </row>
    <row r="78" s="9" customFormat="true" ht="19.5" hidden="true" customHeight="true" outlineLevel="0" collapsed="false">
      <c r="C78" s="7"/>
      <c r="D78" s="7"/>
      <c r="E78" s="16"/>
      <c r="F78" s="7"/>
      <c r="G78" s="7"/>
      <c r="H78" s="13"/>
      <c r="I78" s="7"/>
      <c r="J78" s="14"/>
      <c r="K78" s="17"/>
    </row>
    <row r="79" s="9" customFormat="true" ht="19.5" hidden="true" customHeight="true" outlineLevel="0" collapsed="false">
      <c r="C79" s="7"/>
      <c r="D79" s="7"/>
      <c r="E79" s="16"/>
      <c r="F79" s="7"/>
      <c r="G79" s="7"/>
      <c r="H79" s="13"/>
      <c r="I79" s="7"/>
      <c r="J79" s="14"/>
      <c r="K79" s="17"/>
    </row>
    <row r="80" s="9" customFormat="true" ht="19.5" hidden="true" customHeight="true" outlineLevel="0" collapsed="false">
      <c r="B80" s="7"/>
      <c r="C80" s="7"/>
      <c r="D80" s="7"/>
      <c r="E80" s="7"/>
      <c r="F80" s="7"/>
      <c r="G80" s="7"/>
      <c r="H80" s="13"/>
      <c r="I80" s="7"/>
      <c r="J80" s="14"/>
      <c r="K80" s="7"/>
    </row>
    <row r="81" s="9" customFormat="true" ht="19.5" hidden="true" customHeight="true" outlineLevel="0" collapsed="false">
      <c r="C81" s="7"/>
      <c r="D81" s="7"/>
      <c r="E81" s="7"/>
      <c r="F81" s="7"/>
      <c r="G81" s="7"/>
      <c r="H81" s="13"/>
      <c r="I81" s="7"/>
      <c r="J81" s="14"/>
      <c r="K81" s="7"/>
    </row>
    <row r="82" s="9" customFormat="true" ht="19.5" hidden="true" customHeight="true" outlineLevel="0" collapsed="false">
      <c r="C82" s="7"/>
      <c r="D82" s="7"/>
      <c r="E82" s="7"/>
      <c r="F82" s="7"/>
      <c r="G82" s="7"/>
      <c r="H82" s="13"/>
      <c r="I82" s="7"/>
      <c r="J82" s="14"/>
      <c r="K82" s="7"/>
    </row>
    <row r="83" s="9" customFormat="true" ht="19.5" hidden="false" customHeight="true" outlineLevel="0" collapsed="false">
      <c r="C83" s="7"/>
      <c r="D83" s="7"/>
      <c r="E83" s="7"/>
      <c r="F83" s="7"/>
      <c r="G83" s="7"/>
      <c r="H83" s="13"/>
      <c r="I83" s="7"/>
      <c r="J83" s="14"/>
      <c r="K83" s="7"/>
    </row>
    <row r="84" s="9" customFormat="true" ht="19.5" hidden="true" customHeight="true" outlineLevel="0" collapsed="false">
      <c r="B84" s="7"/>
      <c r="D84" s="7"/>
      <c r="E84" s="7"/>
      <c r="F84" s="7"/>
      <c r="G84" s="7"/>
      <c r="H84" s="13"/>
      <c r="I84" s="7"/>
      <c r="J84" s="14"/>
      <c r="K84" s="7"/>
    </row>
    <row r="85" s="9" customFormat="true" ht="19.5" hidden="false" customHeight="true" outlineLevel="0" collapsed="false">
      <c r="A85" s="7"/>
      <c r="B85" s="7"/>
      <c r="C85" s="7"/>
      <c r="D85" s="7"/>
      <c r="E85" s="7"/>
      <c r="F85" s="7"/>
      <c r="G85" s="7"/>
      <c r="H85" s="13"/>
      <c r="I85" s="7"/>
      <c r="J85" s="14"/>
      <c r="K85" s="7"/>
      <c r="L85" s="7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7"/>
    </row>
    <row r="86" s="9" customFormat="true" ht="19.5" hidden="false" customHeight="true" outlineLevel="0" collapsed="false">
      <c r="C86" s="7"/>
      <c r="D86" s="7"/>
      <c r="E86" s="7"/>
      <c r="F86" s="7"/>
      <c r="G86" s="7"/>
      <c r="H86" s="13"/>
      <c r="I86" s="7"/>
      <c r="J86" s="14"/>
      <c r="K86" s="7"/>
    </row>
    <row r="87" s="9" customFormat="true" ht="19.5" hidden="true" customHeight="true" outlineLevel="0" collapsed="false">
      <c r="C87" s="7"/>
      <c r="D87" s="7"/>
      <c r="E87" s="7"/>
      <c r="F87" s="7"/>
      <c r="G87" s="7"/>
      <c r="H87" s="13"/>
      <c r="I87" s="7"/>
      <c r="J87" s="14"/>
      <c r="K87" s="7"/>
    </row>
    <row r="88" s="9" customFormat="true" ht="19.5" hidden="true" customHeight="true" outlineLevel="0" collapsed="false">
      <c r="C88" s="7"/>
      <c r="D88" s="7"/>
      <c r="E88" s="7"/>
      <c r="F88" s="7"/>
      <c r="G88" s="7"/>
      <c r="H88" s="13"/>
      <c r="I88" s="7"/>
      <c r="J88" s="14"/>
      <c r="K88" s="7"/>
    </row>
    <row r="89" s="9" customFormat="true" ht="19.5" hidden="true" customHeight="true" outlineLevel="0" collapsed="false">
      <c r="C89" s="7"/>
      <c r="D89" s="7"/>
      <c r="E89" s="7"/>
      <c r="F89" s="7"/>
      <c r="G89" s="7"/>
      <c r="H89" s="13"/>
      <c r="I89" s="7"/>
      <c r="J89" s="14"/>
      <c r="K89" s="7"/>
    </row>
    <row r="90" s="9" customFormat="true" ht="19.5" hidden="true" customHeight="true" outlineLevel="0" collapsed="false">
      <c r="C90" s="7"/>
      <c r="D90" s="7"/>
      <c r="E90" s="7"/>
      <c r="F90" s="7"/>
      <c r="G90" s="7"/>
      <c r="H90" s="13"/>
      <c r="I90" s="7"/>
      <c r="J90" s="14"/>
      <c r="K90" s="7"/>
    </row>
    <row r="91" s="9" customFormat="true" ht="19.5" hidden="true" customHeight="true" outlineLevel="0" collapsed="false">
      <c r="B91" s="7"/>
      <c r="C91" s="7"/>
      <c r="D91" s="7"/>
      <c r="E91" s="7"/>
      <c r="F91" s="7"/>
      <c r="G91" s="7"/>
      <c r="H91" s="13"/>
      <c r="I91" s="7"/>
      <c r="J91" s="14"/>
      <c r="K91" s="7"/>
    </row>
    <row r="92" s="9" customFormat="true" ht="19.5" hidden="true" customHeight="true" outlineLevel="0" collapsed="false">
      <c r="C92" s="7"/>
      <c r="D92" s="7"/>
      <c r="E92" s="7"/>
      <c r="F92" s="7"/>
      <c r="G92" s="7"/>
      <c r="H92" s="13"/>
      <c r="I92" s="7"/>
      <c r="J92" s="14"/>
      <c r="K92" s="7"/>
    </row>
    <row r="93" s="9" customFormat="true" ht="19.5" hidden="true" customHeight="true" outlineLevel="0" collapsed="false">
      <c r="C93" s="7"/>
      <c r="D93" s="7"/>
      <c r="E93" s="7"/>
      <c r="F93" s="7"/>
      <c r="G93" s="7"/>
      <c r="H93" s="13"/>
      <c r="I93" s="7"/>
      <c r="J93" s="14"/>
      <c r="K93" s="7"/>
    </row>
    <row r="94" s="9" customFormat="true" ht="19.5" hidden="true" customHeight="true" outlineLevel="0" collapsed="false">
      <c r="C94" s="7"/>
      <c r="D94" s="7"/>
      <c r="E94" s="7"/>
      <c r="F94" s="7"/>
      <c r="G94" s="7"/>
      <c r="H94" s="13"/>
      <c r="I94" s="7"/>
      <c r="J94" s="14"/>
      <c r="K94" s="7"/>
    </row>
    <row r="95" s="9" customFormat="true" ht="19.5" hidden="true" customHeight="true" outlineLevel="0" collapsed="false">
      <c r="C95" s="7"/>
      <c r="D95" s="7"/>
      <c r="E95" s="7"/>
      <c r="F95" s="7"/>
      <c r="G95" s="7"/>
      <c r="H95" s="13"/>
      <c r="I95" s="7"/>
      <c r="J95" s="14"/>
      <c r="K95" s="7"/>
    </row>
    <row r="96" s="9" customFormat="true" ht="19.5" hidden="true" customHeight="true" outlineLevel="0" collapsed="false">
      <c r="C96" s="7"/>
      <c r="D96" s="7"/>
      <c r="E96" s="7"/>
      <c r="F96" s="7"/>
      <c r="G96" s="7"/>
      <c r="H96" s="13"/>
      <c r="I96" s="7"/>
      <c r="J96" s="14"/>
      <c r="K96" s="7"/>
    </row>
    <row r="97" s="9" customFormat="true" ht="19.5" hidden="false" customHeight="true" outlineLevel="0" collapsed="false">
      <c r="C97" s="7"/>
      <c r="D97" s="7"/>
      <c r="E97" s="7"/>
      <c r="F97" s="7"/>
      <c r="G97" s="7"/>
      <c r="H97" s="13"/>
      <c r="I97" s="7"/>
      <c r="J97" s="14"/>
      <c r="K97" s="7"/>
    </row>
    <row r="98" s="9" customFormat="true" ht="19.5" hidden="false" customHeight="true" outlineLevel="0" collapsed="false">
      <c r="C98" s="7"/>
      <c r="D98" s="7"/>
      <c r="E98" s="7"/>
      <c r="F98" s="7"/>
      <c r="G98" s="7"/>
      <c r="H98" s="13"/>
      <c r="I98" s="7"/>
      <c r="J98" s="14"/>
      <c r="K98" s="7"/>
    </row>
    <row r="99" s="9" customFormat="true" ht="19.5" hidden="true" customHeight="true" outlineLevel="0" collapsed="false">
      <c r="B99" s="7"/>
      <c r="C99" s="7"/>
      <c r="D99" s="7"/>
      <c r="E99" s="7"/>
      <c r="F99" s="7"/>
      <c r="G99" s="7"/>
      <c r="H99" s="13"/>
      <c r="I99" s="7"/>
      <c r="J99" s="14"/>
      <c r="K99" s="7"/>
    </row>
    <row r="100" s="9" customFormat="true" ht="19.5" hidden="true" customHeight="true" outlineLevel="0" collapsed="false">
      <c r="C100" s="7"/>
      <c r="D100" s="7"/>
      <c r="E100" s="7"/>
      <c r="F100" s="7"/>
      <c r="G100" s="7"/>
      <c r="H100" s="13"/>
      <c r="I100" s="7"/>
      <c r="J100" s="14"/>
      <c r="K100" s="7"/>
    </row>
    <row r="101" s="9" customFormat="true" ht="19.5" hidden="false" customHeight="true" outlineLevel="0" collapsed="false">
      <c r="C101" s="7"/>
      <c r="D101" s="7"/>
      <c r="E101" s="7"/>
      <c r="F101" s="7"/>
      <c r="G101" s="7"/>
      <c r="H101" s="13"/>
      <c r="I101" s="7"/>
      <c r="J101" s="14"/>
      <c r="K101" s="7"/>
    </row>
    <row r="102" s="9" customFormat="true" ht="19.5" hidden="true" customHeight="true" outlineLevel="0" collapsed="false">
      <c r="C102" s="7"/>
      <c r="D102" s="7"/>
      <c r="E102" s="7"/>
      <c r="F102" s="7"/>
      <c r="G102" s="7"/>
      <c r="H102" s="13"/>
      <c r="I102" s="7"/>
      <c r="J102" s="14"/>
      <c r="K102" s="7"/>
    </row>
    <row r="103" s="9" customFormat="true" ht="19.5" hidden="true" customHeight="true" outlineLevel="0" collapsed="false">
      <c r="B103" s="7"/>
      <c r="C103" s="7"/>
      <c r="D103" s="7"/>
      <c r="E103" s="16"/>
      <c r="F103" s="7"/>
      <c r="G103" s="7"/>
      <c r="H103" s="13"/>
      <c r="I103" s="7"/>
      <c r="J103" s="14"/>
      <c r="K103" s="17"/>
    </row>
    <row r="104" s="9" customFormat="true" ht="19.5" hidden="true" customHeight="true" outlineLevel="0" collapsed="false">
      <c r="C104" s="7"/>
      <c r="D104" s="7"/>
      <c r="E104" s="16"/>
      <c r="F104" s="7"/>
      <c r="G104" s="7"/>
      <c r="H104" s="13"/>
      <c r="I104" s="7"/>
      <c r="J104" s="14"/>
      <c r="K104" s="17"/>
    </row>
    <row r="105" s="9" customFormat="true" ht="19.5" hidden="true" customHeight="true" outlineLevel="0" collapsed="false">
      <c r="C105" s="7"/>
      <c r="D105" s="7"/>
      <c r="E105" s="16"/>
      <c r="F105" s="7"/>
      <c r="G105" s="7"/>
      <c r="H105" s="13"/>
      <c r="I105" s="7"/>
      <c r="J105" s="14"/>
      <c r="K105" s="17"/>
    </row>
    <row r="106" s="9" customFormat="true" ht="19.5" hidden="true" customHeight="true" outlineLevel="0" collapsed="false">
      <c r="B106" s="7"/>
      <c r="C106" s="7"/>
      <c r="D106" s="7"/>
      <c r="E106" s="7"/>
      <c r="F106" s="7"/>
      <c r="G106" s="7"/>
      <c r="H106" s="13"/>
      <c r="I106" s="7"/>
      <c r="J106" s="14"/>
      <c r="K106" s="7"/>
    </row>
    <row r="107" s="9" customFormat="true" ht="19.5" hidden="true" customHeight="true" outlineLevel="0" collapsed="false">
      <c r="C107" s="7"/>
      <c r="D107" s="7"/>
      <c r="E107" s="7"/>
      <c r="F107" s="7"/>
      <c r="G107" s="7"/>
      <c r="H107" s="13"/>
      <c r="I107" s="7"/>
      <c r="J107" s="14"/>
      <c r="K107" s="7"/>
    </row>
    <row r="108" s="9" customFormat="true" ht="19.5" hidden="true" customHeight="true" outlineLevel="0" collapsed="false">
      <c r="C108" s="7"/>
      <c r="D108" s="7"/>
      <c r="E108" s="7"/>
      <c r="F108" s="7"/>
      <c r="G108" s="7"/>
      <c r="H108" s="13"/>
      <c r="I108" s="7"/>
      <c r="J108" s="14"/>
      <c r="K108" s="7"/>
    </row>
    <row r="109" s="9" customFormat="true" ht="19.5" hidden="false" customHeight="true" outlineLevel="0" collapsed="false">
      <c r="C109" s="7"/>
      <c r="D109" s="7"/>
      <c r="E109" s="7"/>
      <c r="F109" s="7"/>
      <c r="G109" s="7"/>
      <c r="H109" s="13"/>
      <c r="I109" s="7"/>
      <c r="J109" s="14"/>
      <c r="K109" s="7"/>
    </row>
    <row r="110" s="9" customFormat="true" ht="19.5" hidden="true" customHeight="true" outlineLevel="0" collapsed="false">
      <c r="B110" s="7"/>
      <c r="D110" s="7"/>
      <c r="E110" s="7"/>
      <c r="F110" s="7"/>
      <c r="G110" s="7"/>
      <c r="H110" s="13"/>
      <c r="I110" s="7"/>
      <c r="J110" s="14"/>
      <c r="K110" s="7"/>
    </row>
    <row r="111" s="9" customFormat="true" ht="19.5" hidden="false" customHeight="true" outlineLevel="0" collapsed="false">
      <c r="A111" s="7"/>
      <c r="B111" s="7"/>
      <c r="C111" s="7"/>
      <c r="D111" s="7"/>
      <c r="E111" s="7"/>
      <c r="F111" s="7"/>
      <c r="G111" s="7"/>
      <c r="H111" s="13"/>
      <c r="I111" s="7"/>
      <c r="J111" s="14"/>
      <c r="K111" s="7"/>
      <c r="L111" s="7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7"/>
    </row>
    <row r="112" s="9" customFormat="true" ht="19.5" hidden="false" customHeight="true" outlineLevel="0" collapsed="false">
      <c r="C112" s="7"/>
      <c r="D112" s="7"/>
      <c r="E112" s="7"/>
      <c r="F112" s="7"/>
      <c r="G112" s="7"/>
      <c r="H112" s="13"/>
      <c r="I112" s="7"/>
      <c r="J112" s="14"/>
      <c r="K112" s="7"/>
    </row>
    <row r="113" s="9" customFormat="true" ht="19.5" hidden="true" customHeight="true" outlineLevel="0" collapsed="false">
      <c r="C113" s="7"/>
      <c r="D113" s="7"/>
      <c r="E113" s="7"/>
      <c r="F113" s="7"/>
      <c r="G113" s="7"/>
      <c r="H113" s="13"/>
      <c r="I113" s="7"/>
      <c r="J113" s="14"/>
      <c r="K113" s="7"/>
    </row>
    <row r="114" s="9" customFormat="true" ht="19.5" hidden="true" customHeight="true" outlineLevel="0" collapsed="false">
      <c r="C114" s="7"/>
      <c r="D114" s="7"/>
      <c r="E114" s="7"/>
      <c r="F114" s="7"/>
      <c r="G114" s="7"/>
      <c r="H114" s="13"/>
      <c r="I114" s="7"/>
      <c r="J114" s="14"/>
      <c r="K114" s="7"/>
    </row>
    <row r="115" s="9" customFormat="true" ht="19.5" hidden="true" customHeight="true" outlineLevel="0" collapsed="false">
      <c r="C115" s="7"/>
      <c r="D115" s="7"/>
      <c r="E115" s="7"/>
      <c r="F115" s="7"/>
      <c r="G115" s="7"/>
      <c r="H115" s="13"/>
      <c r="I115" s="7"/>
      <c r="J115" s="14"/>
      <c r="K115" s="7"/>
    </row>
    <row r="116" s="9" customFormat="true" ht="19.5" hidden="true" customHeight="true" outlineLevel="0" collapsed="false">
      <c r="C116" s="7"/>
      <c r="D116" s="7"/>
      <c r="E116" s="7"/>
      <c r="F116" s="7"/>
      <c r="G116" s="7"/>
      <c r="H116" s="13"/>
      <c r="I116" s="7"/>
      <c r="J116" s="14"/>
      <c r="K116" s="7"/>
    </row>
    <row r="117" s="9" customFormat="true" ht="19.5" hidden="true" customHeight="true" outlineLevel="0" collapsed="false">
      <c r="B117" s="7"/>
      <c r="C117" s="7"/>
      <c r="D117" s="7"/>
      <c r="E117" s="7"/>
      <c r="F117" s="7"/>
      <c r="G117" s="7"/>
      <c r="H117" s="13"/>
      <c r="I117" s="7"/>
      <c r="J117" s="14"/>
      <c r="K117" s="7"/>
    </row>
    <row r="118" s="9" customFormat="true" ht="19.5" hidden="true" customHeight="true" outlineLevel="0" collapsed="false">
      <c r="C118" s="7"/>
      <c r="D118" s="7"/>
      <c r="E118" s="7"/>
      <c r="F118" s="7"/>
      <c r="G118" s="7"/>
      <c r="H118" s="13"/>
      <c r="I118" s="7"/>
      <c r="J118" s="14"/>
      <c r="K118" s="7"/>
    </row>
    <row r="119" s="9" customFormat="true" ht="19.5" hidden="true" customHeight="true" outlineLevel="0" collapsed="false">
      <c r="C119" s="7"/>
      <c r="D119" s="7"/>
      <c r="E119" s="7"/>
      <c r="F119" s="7"/>
      <c r="G119" s="7"/>
      <c r="H119" s="13"/>
      <c r="I119" s="7"/>
      <c r="J119" s="14"/>
      <c r="K119" s="7"/>
    </row>
    <row r="120" s="9" customFormat="true" ht="19.5" hidden="true" customHeight="true" outlineLevel="0" collapsed="false">
      <c r="C120" s="7"/>
      <c r="D120" s="7"/>
      <c r="E120" s="7"/>
      <c r="F120" s="7"/>
      <c r="G120" s="7"/>
      <c r="H120" s="13"/>
      <c r="I120" s="7"/>
      <c r="J120" s="14"/>
      <c r="K120" s="7"/>
    </row>
    <row r="121" s="9" customFormat="true" ht="19.5" hidden="true" customHeight="true" outlineLevel="0" collapsed="false">
      <c r="C121" s="7"/>
      <c r="D121" s="7"/>
      <c r="E121" s="7"/>
      <c r="F121" s="7"/>
      <c r="G121" s="7"/>
      <c r="H121" s="13"/>
      <c r="I121" s="7"/>
      <c r="J121" s="14"/>
      <c r="K121" s="7"/>
    </row>
    <row r="122" s="9" customFormat="true" ht="19.5" hidden="true" customHeight="true" outlineLevel="0" collapsed="false">
      <c r="C122" s="7"/>
      <c r="D122" s="7"/>
      <c r="E122" s="7"/>
      <c r="F122" s="7"/>
      <c r="G122" s="7"/>
      <c r="H122" s="13"/>
      <c r="I122" s="7"/>
      <c r="J122" s="14"/>
      <c r="K122" s="7"/>
    </row>
    <row r="123" s="9" customFormat="true" ht="19.5" hidden="false" customHeight="true" outlineLevel="0" collapsed="false">
      <c r="C123" s="7"/>
      <c r="D123" s="7"/>
      <c r="E123" s="7"/>
      <c r="F123" s="7"/>
      <c r="G123" s="7"/>
      <c r="H123" s="13"/>
      <c r="I123" s="7"/>
      <c r="J123" s="14"/>
      <c r="K123" s="7"/>
    </row>
    <row r="124" s="9" customFormat="true" ht="19.5" hidden="false" customHeight="true" outlineLevel="0" collapsed="false">
      <c r="C124" s="7"/>
      <c r="D124" s="7"/>
      <c r="E124" s="7"/>
      <c r="F124" s="7"/>
      <c r="G124" s="7"/>
      <c r="H124" s="13"/>
      <c r="I124" s="7"/>
      <c r="J124" s="14"/>
      <c r="K124" s="7"/>
    </row>
    <row r="125" s="9" customFormat="true" ht="19.5" hidden="true" customHeight="true" outlineLevel="0" collapsed="false">
      <c r="B125" s="7"/>
      <c r="C125" s="7"/>
      <c r="D125" s="7"/>
      <c r="E125" s="7"/>
      <c r="F125" s="7"/>
      <c r="G125" s="7"/>
      <c r="H125" s="13"/>
      <c r="I125" s="7"/>
      <c r="J125" s="14"/>
      <c r="K125" s="7"/>
    </row>
    <row r="126" s="9" customFormat="true" ht="19.5" hidden="true" customHeight="true" outlineLevel="0" collapsed="false">
      <c r="C126" s="7"/>
      <c r="D126" s="7"/>
      <c r="E126" s="7"/>
      <c r="F126" s="7"/>
      <c r="G126" s="7"/>
      <c r="H126" s="13"/>
      <c r="I126" s="7"/>
      <c r="J126" s="14"/>
      <c r="K126" s="7"/>
    </row>
    <row r="127" s="9" customFormat="true" ht="19.5" hidden="false" customHeight="true" outlineLevel="0" collapsed="false">
      <c r="C127" s="7"/>
      <c r="D127" s="7"/>
      <c r="E127" s="7"/>
      <c r="F127" s="7"/>
      <c r="G127" s="7"/>
      <c r="H127" s="13"/>
      <c r="I127" s="7"/>
      <c r="J127" s="14"/>
      <c r="K127" s="7"/>
    </row>
    <row r="128" s="9" customFormat="true" ht="19.5" hidden="true" customHeight="true" outlineLevel="0" collapsed="false">
      <c r="C128" s="7"/>
      <c r="D128" s="7"/>
      <c r="E128" s="7"/>
      <c r="F128" s="7"/>
      <c r="G128" s="7"/>
      <c r="H128" s="13"/>
      <c r="I128" s="7"/>
      <c r="J128" s="14"/>
      <c r="K128" s="7"/>
    </row>
    <row r="129" s="9" customFormat="true" ht="19.5" hidden="true" customHeight="true" outlineLevel="0" collapsed="false">
      <c r="B129" s="7"/>
      <c r="C129" s="7"/>
      <c r="D129" s="7"/>
      <c r="E129" s="16"/>
      <c r="F129" s="7"/>
      <c r="G129" s="7"/>
      <c r="H129" s="13"/>
      <c r="I129" s="7"/>
      <c r="J129" s="14"/>
      <c r="K129" s="17"/>
    </row>
    <row r="130" s="9" customFormat="true" ht="19.5" hidden="true" customHeight="true" outlineLevel="0" collapsed="false">
      <c r="C130" s="7"/>
      <c r="D130" s="7"/>
      <c r="E130" s="16"/>
      <c r="F130" s="7"/>
      <c r="G130" s="7"/>
      <c r="H130" s="13"/>
      <c r="I130" s="7"/>
      <c r="J130" s="14"/>
      <c r="K130" s="17"/>
    </row>
    <row r="131" s="9" customFormat="true" ht="19.5" hidden="true" customHeight="true" outlineLevel="0" collapsed="false">
      <c r="C131" s="7"/>
      <c r="D131" s="7"/>
      <c r="E131" s="16"/>
      <c r="F131" s="7"/>
      <c r="G131" s="7"/>
      <c r="H131" s="13"/>
      <c r="I131" s="7"/>
      <c r="J131" s="14"/>
      <c r="K131" s="17"/>
    </row>
    <row r="132" s="9" customFormat="true" ht="19.5" hidden="true" customHeight="true" outlineLevel="0" collapsed="false">
      <c r="B132" s="7"/>
      <c r="C132" s="7"/>
      <c r="D132" s="7"/>
      <c r="E132" s="7"/>
      <c r="F132" s="7"/>
      <c r="G132" s="7"/>
      <c r="H132" s="13"/>
      <c r="I132" s="7"/>
      <c r="J132" s="14"/>
      <c r="K132" s="7"/>
    </row>
    <row r="133" s="9" customFormat="true" ht="19.5" hidden="true" customHeight="true" outlineLevel="0" collapsed="false">
      <c r="C133" s="7"/>
      <c r="D133" s="7"/>
      <c r="E133" s="7"/>
      <c r="F133" s="7"/>
      <c r="G133" s="7"/>
      <c r="H133" s="13"/>
      <c r="I133" s="7"/>
      <c r="J133" s="14"/>
      <c r="K133" s="7"/>
    </row>
    <row r="134" s="9" customFormat="true" ht="19.5" hidden="true" customHeight="true" outlineLevel="0" collapsed="false">
      <c r="C134" s="7"/>
      <c r="D134" s="7"/>
      <c r="E134" s="7"/>
      <c r="F134" s="7"/>
      <c r="G134" s="7"/>
      <c r="H134" s="13"/>
      <c r="I134" s="7"/>
      <c r="J134" s="14"/>
      <c r="K134" s="7"/>
    </row>
    <row r="135" s="9" customFormat="true" ht="19.5" hidden="false" customHeight="true" outlineLevel="0" collapsed="false">
      <c r="C135" s="7"/>
      <c r="D135" s="7"/>
      <c r="E135" s="7"/>
      <c r="F135" s="7"/>
      <c r="G135" s="7"/>
      <c r="H135" s="13"/>
      <c r="I135" s="7"/>
      <c r="J135" s="14"/>
      <c r="K135" s="7"/>
    </row>
    <row r="136" s="9" customFormat="true" ht="19.5" hidden="true" customHeight="true" outlineLevel="0" collapsed="false">
      <c r="B136" s="7"/>
      <c r="D136" s="7"/>
      <c r="E136" s="7"/>
      <c r="F136" s="7"/>
      <c r="G136" s="7"/>
      <c r="H136" s="13"/>
      <c r="I136" s="7"/>
      <c r="J136" s="14"/>
      <c r="K136" s="7"/>
    </row>
    <row r="137" s="9" customFormat="true" ht="19.5" hidden="false" customHeight="true" outlineLevel="0" collapsed="false">
      <c r="A137" s="7"/>
      <c r="B137" s="7"/>
      <c r="C137" s="7"/>
      <c r="D137" s="7"/>
      <c r="E137" s="7"/>
      <c r="F137" s="7"/>
      <c r="G137" s="7"/>
      <c r="H137" s="13"/>
      <c r="I137" s="7"/>
      <c r="J137" s="14"/>
      <c r="K137" s="7"/>
      <c r="L137" s="7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7"/>
    </row>
    <row r="138" s="9" customFormat="true" ht="19.5" hidden="false" customHeight="true" outlineLevel="0" collapsed="false">
      <c r="C138" s="7"/>
      <c r="D138" s="7"/>
      <c r="E138" s="7"/>
      <c r="F138" s="7"/>
      <c r="G138" s="7"/>
      <c r="H138" s="13"/>
      <c r="I138" s="7"/>
      <c r="J138" s="14"/>
      <c r="K138" s="7"/>
    </row>
    <row r="139" s="9" customFormat="true" ht="19.5" hidden="true" customHeight="true" outlineLevel="0" collapsed="false">
      <c r="C139" s="7"/>
      <c r="D139" s="7"/>
      <c r="E139" s="7"/>
      <c r="F139" s="7"/>
      <c r="G139" s="7"/>
      <c r="H139" s="13"/>
      <c r="I139" s="7"/>
      <c r="J139" s="14"/>
      <c r="K139" s="7"/>
    </row>
    <row r="140" s="9" customFormat="true" ht="19.5" hidden="true" customHeight="true" outlineLevel="0" collapsed="false">
      <c r="C140" s="7"/>
      <c r="D140" s="7"/>
      <c r="E140" s="7"/>
      <c r="F140" s="7"/>
      <c r="G140" s="7"/>
      <c r="H140" s="13"/>
      <c r="I140" s="7"/>
      <c r="J140" s="14"/>
      <c r="K140" s="7"/>
    </row>
    <row r="141" s="9" customFormat="true" ht="19.5" hidden="true" customHeight="true" outlineLevel="0" collapsed="false">
      <c r="C141" s="7"/>
      <c r="D141" s="7"/>
      <c r="E141" s="7"/>
      <c r="F141" s="7"/>
      <c r="G141" s="7"/>
      <c r="H141" s="13"/>
      <c r="I141" s="7"/>
      <c r="J141" s="14"/>
      <c r="K141" s="7"/>
    </row>
    <row r="142" s="9" customFormat="true" ht="19.5" hidden="true" customHeight="true" outlineLevel="0" collapsed="false">
      <c r="C142" s="7"/>
      <c r="D142" s="7"/>
      <c r="E142" s="7"/>
      <c r="F142" s="7"/>
      <c r="G142" s="7"/>
      <c r="H142" s="13"/>
      <c r="I142" s="7"/>
      <c r="J142" s="14"/>
      <c r="K142" s="7"/>
    </row>
    <row r="143" s="9" customFormat="true" ht="19.5" hidden="true" customHeight="true" outlineLevel="0" collapsed="false">
      <c r="B143" s="7"/>
      <c r="C143" s="7"/>
      <c r="D143" s="7"/>
      <c r="E143" s="7"/>
      <c r="F143" s="7"/>
      <c r="G143" s="7"/>
      <c r="H143" s="13"/>
      <c r="I143" s="7"/>
      <c r="J143" s="14"/>
      <c r="K143" s="7"/>
    </row>
    <row r="144" s="9" customFormat="true" ht="19.5" hidden="true" customHeight="true" outlineLevel="0" collapsed="false">
      <c r="C144" s="7"/>
      <c r="D144" s="7"/>
      <c r="E144" s="7"/>
      <c r="F144" s="7"/>
      <c r="G144" s="7"/>
      <c r="H144" s="13"/>
      <c r="I144" s="7"/>
      <c r="J144" s="14"/>
      <c r="K144" s="7"/>
    </row>
    <row r="145" s="9" customFormat="true" ht="19.5" hidden="true" customHeight="true" outlineLevel="0" collapsed="false">
      <c r="C145" s="7"/>
      <c r="D145" s="7"/>
      <c r="E145" s="7"/>
      <c r="F145" s="7"/>
      <c r="G145" s="7"/>
      <c r="H145" s="13"/>
      <c r="I145" s="7"/>
      <c r="J145" s="14"/>
      <c r="K145" s="7"/>
    </row>
    <row r="146" s="9" customFormat="true" ht="19.5" hidden="true" customHeight="true" outlineLevel="0" collapsed="false">
      <c r="C146" s="7"/>
      <c r="D146" s="7"/>
      <c r="E146" s="7"/>
      <c r="F146" s="7"/>
      <c r="G146" s="7"/>
      <c r="H146" s="13"/>
      <c r="I146" s="7"/>
      <c r="J146" s="14"/>
      <c r="K146" s="7"/>
    </row>
    <row r="147" s="9" customFormat="true" ht="19.5" hidden="true" customHeight="true" outlineLevel="0" collapsed="false">
      <c r="C147" s="7"/>
      <c r="D147" s="7"/>
      <c r="E147" s="7"/>
      <c r="F147" s="7"/>
      <c r="G147" s="7"/>
      <c r="H147" s="13"/>
      <c r="I147" s="7"/>
      <c r="J147" s="14"/>
      <c r="K147" s="7"/>
    </row>
    <row r="148" s="9" customFormat="true" ht="19.5" hidden="true" customHeight="true" outlineLevel="0" collapsed="false">
      <c r="C148" s="7"/>
      <c r="D148" s="7"/>
      <c r="E148" s="7"/>
      <c r="F148" s="7"/>
      <c r="G148" s="7"/>
      <c r="H148" s="13"/>
      <c r="I148" s="7"/>
      <c r="J148" s="14"/>
      <c r="K148" s="7"/>
    </row>
    <row r="149" s="9" customFormat="true" ht="19.5" hidden="false" customHeight="true" outlineLevel="0" collapsed="false">
      <c r="C149" s="7"/>
      <c r="D149" s="7"/>
      <c r="E149" s="7"/>
      <c r="F149" s="7"/>
      <c r="G149" s="7"/>
      <c r="H149" s="13"/>
      <c r="I149" s="7"/>
      <c r="J149" s="14"/>
      <c r="K149" s="7"/>
    </row>
    <row r="150" s="9" customFormat="true" ht="19.5" hidden="false" customHeight="true" outlineLevel="0" collapsed="false">
      <c r="C150" s="7"/>
      <c r="D150" s="7"/>
      <c r="E150" s="7"/>
      <c r="F150" s="7"/>
      <c r="G150" s="7"/>
      <c r="H150" s="13"/>
      <c r="I150" s="7"/>
      <c r="J150" s="14"/>
      <c r="K150" s="7"/>
    </row>
    <row r="151" s="9" customFormat="true" ht="19.5" hidden="true" customHeight="true" outlineLevel="0" collapsed="false">
      <c r="B151" s="7"/>
      <c r="C151" s="7"/>
      <c r="D151" s="7"/>
      <c r="E151" s="7"/>
      <c r="F151" s="7"/>
      <c r="G151" s="7"/>
      <c r="H151" s="13"/>
      <c r="I151" s="7"/>
      <c r="J151" s="14"/>
      <c r="K151" s="7"/>
    </row>
    <row r="152" s="9" customFormat="true" ht="19.5" hidden="true" customHeight="true" outlineLevel="0" collapsed="false">
      <c r="C152" s="7"/>
      <c r="D152" s="7"/>
      <c r="E152" s="7"/>
      <c r="F152" s="7"/>
      <c r="G152" s="7"/>
      <c r="H152" s="13"/>
      <c r="I152" s="7"/>
      <c r="J152" s="14"/>
      <c r="K152" s="7"/>
    </row>
    <row r="153" s="9" customFormat="true" ht="19.5" hidden="false" customHeight="true" outlineLevel="0" collapsed="false">
      <c r="C153" s="7"/>
      <c r="D153" s="7"/>
      <c r="E153" s="7"/>
      <c r="F153" s="7"/>
      <c r="G153" s="7"/>
      <c r="H153" s="13"/>
      <c r="I153" s="7"/>
      <c r="J153" s="14"/>
      <c r="K153" s="7"/>
    </row>
    <row r="154" s="9" customFormat="true" ht="19.5" hidden="true" customHeight="true" outlineLevel="0" collapsed="false">
      <c r="C154" s="7"/>
      <c r="D154" s="7"/>
      <c r="E154" s="7"/>
      <c r="F154" s="7"/>
      <c r="G154" s="7"/>
      <c r="H154" s="13"/>
      <c r="I154" s="7"/>
      <c r="J154" s="14"/>
      <c r="K154" s="7"/>
    </row>
    <row r="155" s="9" customFormat="true" ht="19.5" hidden="true" customHeight="true" outlineLevel="0" collapsed="false">
      <c r="B155" s="7"/>
      <c r="C155" s="7"/>
      <c r="D155" s="7"/>
      <c r="E155" s="16"/>
      <c r="F155" s="7"/>
      <c r="G155" s="7"/>
      <c r="H155" s="13"/>
      <c r="I155" s="7"/>
      <c r="J155" s="14"/>
      <c r="K155" s="17"/>
    </row>
    <row r="156" s="9" customFormat="true" ht="19.5" hidden="true" customHeight="true" outlineLevel="0" collapsed="false">
      <c r="C156" s="7"/>
      <c r="D156" s="7"/>
      <c r="E156" s="16"/>
      <c r="F156" s="7"/>
      <c r="G156" s="7"/>
      <c r="H156" s="13"/>
      <c r="I156" s="7"/>
      <c r="J156" s="14"/>
      <c r="K156" s="17"/>
    </row>
    <row r="157" s="9" customFormat="true" ht="19.5" hidden="true" customHeight="true" outlineLevel="0" collapsed="false">
      <c r="C157" s="7"/>
      <c r="D157" s="7"/>
      <c r="E157" s="16"/>
      <c r="F157" s="7"/>
      <c r="G157" s="7"/>
      <c r="H157" s="13"/>
      <c r="I157" s="7"/>
      <c r="J157" s="14"/>
      <c r="K157" s="17"/>
    </row>
    <row r="158" s="9" customFormat="true" ht="19.5" hidden="true" customHeight="true" outlineLevel="0" collapsed="false">
      <c r="B158" s="7"/>
      <c r="C158" s="7"/>
      <c r="D158" s="7"/>
      <c r="E158" s="7"/>
      <c r="F158" s="7"/>
      <c r="G158" s="7"/>
      <c r="H158" s="13"/>
      <c r="I158" s="7"/>
      <c r="J158" s="14"/>
      <c r="K158" s="7"/>
    </row>
    <row r="159" s="9" customFormat="true" ht="19.5" hidden="true" customHeight="true" outlineLevel="0" collapsed="false">
      <c r="C159" s="7"/>
      <c r="D159" s="7"/>
      <c r="E159" s="7"/>
      <c r="F159" s="7"/>
      <c r="G159" s="7"/>
      <c r="H159" s="13"/>
      <c r="I159" s="7"/>
      <c r="J159" s="14"/>
      <c r="K159" s="7"/>
    </row>
    <row r="160" s="9" customFormat="true" ht="19.5" hidden="true" customHeight="true" outlineLevel="0" collapsed="false">
      <c r="C160" s="7"/>
      <c r="D160" s="7"/>
      <c r="E160" s="7"/>
      <c r="F160" s="7"/>
      <c r="G160" s="7"/>
      <c r="H160" s="13"/>
      <c r="I160" s="7"/>
      <c r="J160" s="14"/>
      <c r="K160" s="7"/>
    </row>
    <row r="161" s="9" customFormat="true" ht="19.5" hidden="false" customHeight="true" outlineLevel="0" collapsed="false">
      <c r="C161" s="7"/>
      <c r="D161" s="7"/>
      <c r="E161" s="7"/>
      <c r="F161" s="7"/>
      <c r="G161" s="7"/>
      <c r="H161" s="13"/>
      <c r="I161" s="7"/>
      <c r="J161" s="14"/>
      <c r="K161" s="7"/>
    </row>
    <row r="162" s="9" customFormat="true" ht="19.5" hidden="true" customHeight="true" outlineLevel="0" collapsed="false">
      <c r="B162" s="7"/>
      <c r="D162" s="7"/>
      <c r="E162" s="7"/>
      <c r="F162" s="7"/>
      <c r="G162" s="7"/>
      <c r="H162" s="13"/>
      <c r="I162" s="7"/>
      <c r="J162" s="14"/>
      <c r="K162" s="7"/>
    </row>
    <row r="163" s="9" customFormat="true" ht="19.5" hidden="false" customHeight="true" outlineLevel="0" collapsed="false">
      <c r="A163" s="7"/>
      <c r="B163" s="7"/>
      <c r="C163" s="7"/>
      <c r="D163" s="7"/>
      <c r="E163" s="7"/>
      <c r="F163" s="7"/>
      <c r="G163" s="7"/>
      <c r="H163" s="13"/>
      <c r="I163" s="7"/>
      <c r="J163" s="14"/>
      <c r="K163" s="7"/>
      <c r="L163" s="7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7"/>
    </row>
    <row r="164" s="9" customFormat="true" ht="19.5" hidden="false" customHeight="true" outlineLevel="0" collapsed="false">
      <c r="C164" s="7"/>
      <c r="D164" s="7"/>
      <c r="E164" s="7"/>
      <c r="F164" s="7"/>
      <c r="G164" s="7"/>
      <c r="H164" s="13"/>
      <c r="I164" s="7"/>
      <c r="J164" s="14"/>
      <c r="K164" s="7"/>
    </row>
    <row r="165" s="9" customFormat="true" ht="19.5" hidden="true" customHeight="true" outlineLevel="0" collapsed="false">
      <c r="C165" s="7"/>
      <c r="D165" s="7"/>
      <c r="E165" s="7"/>
      <c r="F165" s="7"/>
      <c r="G165" s="7"/>
      <c r="H165" s="13"/>
      <c r="I165" s="7"/>
      <c r="J165" s="14"/>
      <c r="K165" s="7"/>
    </row>
    <row r="166" s="9" customFormat="true" ht="19.5" hidden="true" customHeight="true" outlineLevel="0" collapsed="false">
      <c r="C166" s="7"/>
      <c r="D166" s="7"/>
      <c r="E166" s="7"/>
      <c r="F166" s="7"/>
      <c r="G166" s="7"/>
      <c r="H166" s="13"/>
      <c r="I166" s="7"/>
      <c r="J166" s="14"/>
      <c r="K166" s="7"/>
    </row>
    <row r="167" s="9" customFormat="true" ht="19.5" hidden="true" customHeight="true" outlineLevel="0" collapsed="false">
      <c r="C167" s="7"/>
      <c r="D167" s="7"/>
      <c r="E167" s="7"/>
      <c r="F167" s="7"/>
      <c r="G167" s="7"/>
      <c r="H167" s="13"/>
      <c r="I167" s="7"/>
      <c r="J167" s="14"/>
      <c r="K167" s="7"/>
    </row>
    <row r="168" s="9" customFormat="true" ht="19.5" hidden="true" customHeight="true" outlineLevel="0" collapsed="false">
      <c r="C168" s="7"/>
      <c r="D168" s="7"/>
      <c r="E168" s="7"/>
      <c r="F168" s="7"/>
      <c r="G168" s="7"/>
      <c r="H168" s="13"/>
      <c r="I168" s="7"/>
      <c r="J168" s="14"/>
      <c r="K168" s="7"/>
    </row>
    <row r="169" s="9" customFormat="true" ht="19.5" hidden="true" customHeight="true" outlineLevel="0" collapsed="false">
      <c r="B169" s="7"/>
      <c r="C169" s="7"/>
      <c r="D169" s="7"/>
      <c r="E169" s="7"/>
      <c r="F169" s="7"/>
      <c r="G169" s="7"/>
      <c r="H169" s="13"/>
      <c r="I169" s="7"/>
      <c r="J169" s="14"/>
      <c r="K169" s="7"/>
    </row>
    <row r="170" s="9" customFormat="true" ht="19.5" hidden="true" customHeight="true" outlineLevel="0" collapsed="false">
      <c r="C170" s="7"/>
      <c r="D170" s="7"/>
      <c r="E170" s="7"/>
      <c r="F170" s="7"/>
      <c r="G170" s="7"/>
      <c r="H170" s="13"/>
      <c r="I170" s="7"/>
      <c r="J170" s="14"/>
      <c r="K170" s="7"/>
    </row>
    <row r="171" s="9" customFormat="true" ht="19.5" hidden="true" customHeight="true" outlineLevel="0" collapsed="false">
      <c r="C171" s="7"/>
      <c r="D171" s="7"/>
      <c r="E171" s="7"/>
      <c r="F171" s="7"/>
      <c r="G171" s="7"/>
      <c r="H171" s="13"/>
      <c r="I171" s="7"/>
      <c r="J171" s="14"/>
      <c r="K171" s="7"/>
    </row>
    <row r="172" s="9" customFormat="true" ht="19.5" hidden="true" customHeight="true" outlineLevel="0" collapsed="false">
      <c r="C172" s="7"/>
      <c r="D172" s="7"/>
      <c r="E172" s="7"/>
      <c r="F172" s="7"/>
      <c r="G172" s="7"/>
      <c r="H172" s="13"/>
      <c r="I172" s="7"/>
      <c r="J172" s="14"/>
      <c r="K172" s="7"/>
    </row>
    <row r="173" s="9" customFormat="true" ht="19.5" hidden="true" customHeight="true" outlineLevel="0" collapsed="false">
      <c r="C173" s="7"/>
      <c r="D173" s="7"/>
      <c r="E173" s="7"/>
      <c r="F173" s="7"/>
      <c r="G173" s="7"/>
      <c r="H173" s="13"/>
      <c r="I173" s="7"/>
      <c r="J173" s="14"/>
      <c r="K173" s="7"/>
    </row>
    <row r="174" s="9" customFormat="true" ht="19.5" hidden="true" customHeight="true" outlineLevel="0" collapsed="false">
      <c r="C174" s="7"/>
      <c r="D174" s="7"/>
      <c r="E174" s="7"/>
      <c r="F174" s="7"/>
      <c r="G174" s="7"/>
      <c r="H174" s="13"/>
      <c r="I174" s="7"/>
      <c r="J174" s="14"/>
      <c r="K174" s="7"/>
    </row>
    <row r="175" s="9" customFormat="true" ht="19.5" hidden="false" customHeight="true" outlineLevel="0" collapsed="false">
      <c r="C175" s="7"/>
      <c r="D175" s="7"/>
      <c r="E175" s="7"/>
      <c r="F175" s="7"/>
      <c r="G175" s="7"/>
      <c r="H175" s="13"/>
      <c r="I175" s="7"/>
      <c r="J175" s="14"/>
      <c r="K175" s="7"/>
    </row>
    <row r="176" s="9" customFormat="true" ht="19.5" hidden="false" customHeight="true" outlineLevel="0" collapsed="false">
      <c r="C176" s="7"/>
      <c r="D176" s="7"/>
      <c r="E176" s="7"/>
      <c r="F176" s="7"/>
      <c r="G176" s="7"/>
      <c r="H176" s="13"/>
      <c r="I176" s="7"/>
      <c r="J176" s="14"/>
      <c r="K176" s="7"/>
    </row>
    <row r="177" s="9" customFormat="true" ht="19.5" hidden="true" customHeight="true" outlineLevel="0" collapsed="false">
      <c r="B177" s="7"/>
      <c r="C177" s="7"/>
      <c r="D177" s="7"/>
      <c r="E177" s="7"/>
      <c r="F177" s="7"/>
      <c r="G177" s="7"/>
      <c r="H177" s="13"/>
      <c r="I177" s="7"/>
      <c r="J177" s="14"/>
      <c r="K177" s="7"/>
    </row>
    <row r="178" s="9" customFormat="true" ht="19.5" hidden="true" customHeight="true" outlineLevel="0" collapsed="false">
      <c r="C178" s="7"/>
      <c r="D178" s="7"/>
      <c r="E178" s="7"/>
      <c r="F178" s="7"/>
      <c r="G178" s="7"/>
      <c r="H178" s="13"/>
      <c r="I178" s="7"/>
      <c r="J178" s="14"/>
      <c r="K178" s="7"/>
    </row>
    <row r="179" s="9" customFormat="true" ht="19.5" hidden="false" customHeight="true" outlineLevel="0" collapsed="false">
      <c r="C179" s="7"/>
      <c r="D179" s="7"/>
      <c r="E179" s="7"/>
      <c r="F179" s="7"/>
      <c r="G179" s="7"/>
      <c r="H179" s="13"/>
      <c r="I179" s="7"/>
      <c r="J179" s="14"/>
      <c r="K179" s="7"/>
    </row>
    <row r="180" s="9" customFormat="true" ht="19.5" hidden="true" customHeight="true" outlineLevel="0" collapsed="false">
      <c r="C180" s="7"/>
      <c r="D180" s="7"/>
      <c r="E180" s="7"/>
      <c r="F180" s="7"/>
      <c r="G180" s="7"/>
      <c r="H180" s="13"/>
      <c r="I180" s="7"/>
      <c r="J180" s="14"/>
      <c r="K180" s="7"/>
    </row>
    <row r="181" s="9" customFormat="true" ht="19.5" hidden="true" customHeight="true" outlineLevel="0" collapsed="false">
      <c r="B181" s="7"/>
      <c r="C181" s="7"/>
      <c r="D181" s="7"/>
      <c r="E181" s="16"/>
      <c r="F181" s="7"/>
      <c r="G181" s="7"/>
      <c r="H181" s="13"/>
      <c r="I181" s="7"/>
      <c r="J181" s="14"/>
      <c r="K181" s="17"/>
    </row>
    <row r="182" s="9" customFormat="true" ht="19.5" hidden="true" customHeight="true" outlineLevel="0" collapsed="false">
      <c r="C182" s="7"/>
      <c r="D182" s="7"/>
      <c r="E182" s="16"/>
      <c r="F182" s="7"/>
      <c r="G182" s="7"/>
      <c r="H182" s="13"/>
      <c r="I182" s="7"/>
      <c r="J182" s="14"/>
      <c r="K182" s="17"/>
    </row>
    <row r="183" s="9" customFormat="true" ht="19.5" hidden="true" customHeight="true" outlineLevel="0" collapsed="false">
      <c r="C183" s="7"/>
      <c r="D183" s="7"/>
      <c r="E183" s="16"/>
      <c r="F183" s="7"/>
      <c r="G183" s="7"/>
      <c r="H183" s="13"/>
      <c r="I183" s="7"/>
      <c r="J183" s="14"/>
      <c r="K183" s="17"/>
    </row>
    <row r="184" s="9" customFormat="true" ht="19.5" hidden="true" customHeight="true" outlineLevel="0" collapsed="false">
      <c r="B184" s="7"/>
      <c r="C184" s="7"/>
      <c r="D184" s="7"/>
      <c r="E184" s="7"/>
      <c r="F184" s="7"/>
      <c r="G184" s="7"/>
      <c r="H184" s="13"/>
      <c r="I184" s="7"/>
      <c r="J184" s="14"/>
      <c r="K184" s="7"/>
    </row>
    <row r="185" s="9" customFormat="true" ht="19.5" hidden="true" customHeight="true" outlineLevel="0" collapsed="false">
      <c r="C185" s="7"/>
      <c r="D185" s="7"/>
      <c r="E185" s="7"/>
      <c r="F185" s="7"/>
      <c r="G185" s="7"/>
      <c r="H185" s="13"/>
      <c r="I185" s="7"/>
      <c r="J185" s="14"/>
      <c r="K185" s="7"/>
    </row>
    <row r="186" s="9" customFormat="true" ht="19.5" hidden="true" customHeight="true" outlineLevel="0" collapsed="false">
      <c r="C186" s="7"/>
      <c r="D186" s="7"/>
      <c r="E186" s="7"/>
      <c r="F186" s="7"/>
      <c r="G186" s="7"/>
      <c r="H186" s="13"/>
      <c r="I186" s="7"/>
      <c r="J186" s="14"/>
      <c r="K186" s="7"/>
    </row>
    <row r="187" s="9" customFormat="true" ht="19.5" hidden="false" customHeight="true" outlineLevel="0" collapsed="false">
      <c r="C187" s="7"/>
      <c r="D187" s="7"/>
      <c r="E187" s="7"/>
      <c r="F187" s="7"/>
      <c r="G187" s="7"/>
      <c r="H187" s="13"/>
      <c r="I187" s="7"/>
      <c r="J187" s="14"/>
      <c r="K187" s="7"/>
    </row>
    <row r="188" s="9" customFormat="true" ht="19.5" hidden="true" customHeight="true" outlineLevel="0" collapsed="false">
      <c r="B188" s="7"/>
      <c r="D188" s="7"/>
      <c r="E188" s="7"/>
      <c r="F188" s="7"/>
      <c r="G188" s="7"/>
      <c r="H188" s="13"/>
      <c r="I188" s="7"/>
      <c r="J188" s="14"/>
      <c r="K188" s="7"/>
    </row>
    <row r="189" s="9" customFormat="true" ht="19.5" hidden="false" customHeight="true" outlineLevel="0" collapsed="false">
      <c r="A189" s="7"/>
      <c r="B189" s="7"/>
      <c r="C189" s="7"/>
      <c r="D189" s="7"/>
      <c r="E189" s="7"/>
      <c r="F189" s="7"/>
      <c r="G189" s="7"/>
      <c r="H189" s="13"/>
      <c r="I189" s="7"/>
      <c r="J189" s="14"/>
      <c r="K189" s="7"/>
      <c r="L189" s="7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7"/>
    </row>
    <row r="190" s="9" customFormat="true" ht="19.5" hidden="false" customHeight="true" outlineLevel="0" collapsed="false">
      <c r="C190" s="7"/>
      <c r="D190" s="7"/>
      <c r="E190" s="7"/>
      <c r="F190" s="7"/>
      <c r="G190" s="7"/>
      <c r="H190" s="13"/>
      <c r="I190" s="7"/>
      <c r="J190" s="14"/>
      <c r="K190" s="7"/>
    </row>
    <row r="191" s="9" customFormat="true" ht="19.5" hidden="true" customHeight="true" outlineLevel="0" collapsed="false">
      <c r="C191" s="7"/>
      <c r="D191" s="7"/>
      <c r="E191" s="7"/>
      <c r="F191" s="7"/>
      <c r="G191" s="7"/>
      <c r="H191" s="13"/>
      <c r="I191" s="7"/>
      <c r="J191" s="14"/>
      <c r="K191" s="7"/>
    </row>
    <row r="192" s="9" customFormat="true" ht="19.5" hidden="true" customHeight="true" outlineLevel="0" collapsed="false">
      <c r="C192" s="7"/>
      <c r="D192" s="7"/>
      <c r="E192" s="7"/>
      <c r="F192" s="7"/>
      <c r="G192" s="7"/>
      <c r="H192" s="13"/>
      <c r="I192" s="7"/>
      <c r="J192" s="14"/>
      <c r="K192" s="7"/>
    </row>
    <row r="193" s="9" customFormat="true" ht="19.5" hidden="true" customHeight="true" outlineLevel="0" collapsed="false">
      <c r="C193" s="7"/>
      <c r="D193" s="7"/>
      <c r="E193" s="7"/>
      <c r="F193" s="7"/>
      <c r="G193" s="7"/>
      <c r="H193" s="13"/>
      <c r="I193" s="7"/>
      <c r="J193" s="14"/>
      <c r="K193" s="7"/>
    </row>
    <row r="194" s="9" customFormat="true" ht="19.5" hidden="true" customHeight="true" outlineLevel="0" collapsed="false">
      <c r="C194" s="7"/>
      <c r="D194" s="7"/>
      <c r="E194" s="7"/>
      <c r="F194" s="7"/>
      <c r="G194" s="7"/>
      <c r="H194" s="13"/>
      <c r="I194" s="7"/>
      <c r="J194" s="14"/>
      <c r="K194" s="7"/>
    </row>
    <row r="195" s="9" customFormat="true" ht="19.5" hidden="true" customHeight="true" outlineLevel="0" collapsed="false">
      <c r="C195" s="7"/>
      <c r="D195" s="7"/>
      <c r="E195" s="7"/>
      <c r="F195" s="7"/>
      <c r="G195" s="7"/>
      <c r="H195" s="13"/>
      <c r="I195" s="7"/>
      <c r="J195" s="14"/>
      <c r="K195" s="7"/>
    </row>
    <row r="196" s="9" customFormat="true" ht="19.5" hidden="true" customHeight="true" outlineLevel="0" collapsed="false">
      <c r="B196" s="7"/>
      <c r="C196" s="7"/>
      <c r="D196" s="7"/>
      <c r="E196" s="7"/>
      <c r="F196" s="7"/>
      <c r="G196" s="7"/>
      <c r="H196" s="13"/>
      <c r="I196" s="7"/>
      <c r="J196" s="14"/>
      <c r="K196" s="7"/>
    </row>
    <row r="197" s="9" customFormat="true" ht="19.5" hidden="true" customHeight="true" outlineLevel="0" collapsed="false">
      <c r="C197" s="7"/>
      <c r="D197" s="7"/>
      <c r="E197" s="7"/>
      <c r="F197" s="7"/>
      <c r="G197" s="7"/>
      <c r="H197" s="13"/>
      <c r="I197" s="7"/>
      <c r="J197" s="14"/>
      <c r="K197" s="7"/>
    </row>
    <row r="198" s="9" customFormat="true" ht="19.5" hidden="true" customHeight="true" outlineLevel="0" collapsed="false">
      <c r="C198" s="7"/>
      <c r="D198" s="7"/>
      <c r="E198" s="7"/>
      <c r="F198" s="7"/>
      <c r="G198" s="7"/>
      <c r="H198" s="13"/>
      <c r="I198" s="7"/>
      <c r="J198" s="14"/>
      <c r="K198" s="7"/>
    </row>
    <row r="199" s="9" customFormat="true" ht="19.5" hidden="true" customHeight="true" outlineLevel="0" collapsed="false">
      <c r="C199" s="7"/>
      <c r="D199" s="7"/>
      <c r="E199" s="7"/>
      <c r="F199" s="7"/>
      <c r="G199" s="7"/>
      <c r="H199" s="13"/>
      <c r="I199" s="7"/>
      <c r="J199" s="14"/>
      <c r="K199" s="7"/>
    </row>
    <row r="200" s="9" customFormat="true" ht="19.5" hidden="true" customHeight="true" outlineLevel="0" collapsed="false">
      <c r="C200" s="7"/>
      <c r="D200" s="7"/>
      <c r="E200" s="7"/>
      <c r="F200" s="7"/>
      <c r="G200" s="7"/>
      <c r="H200" s="13"/>
      <c r="I200" s="7"/>
      <c r="J200" s="14"/>
      <c r="K200" s="7"/>
    </row>
    <row r="201" s="9" customFormat="true" ht="19.5" hidden="true" customHeight="true" outlineLevel="0" collapsed="false">
      <c r="C201" s="7"/>
      <c r="D201" s="7"/>
      <c r="E201" s="7"/>
      <c r="F201" s="7"/>
      <c r="G201" s="7"/>
      <c r="H201" s="13"/>
      <c r="I201" s="7"/>
      <c r="J201" s="14"/>
      <c r="K201" s="7"/>
    </row>
    <row r="202" s="9" customFormat="true" ht="19.5" hidden="true" customHeight="true" outlineLevel="0" collapsed="false">
      <c r="C202" s="7"/>
      <c r="D202" s="7"/>
      <c r="E202" s="7"/>
      <c r="F202" s="7"/>
      <c r="G202" s="7"/>
      <c r="H202" s="13"/>
      <c r="I202" s="7"/>
      <c r="J202" s="14"/>
      <c r="K202" s="7"/>
    </row>
    <row r="203" s="9" customFormat="true" ht="19.5" hidden="true" customHeight="true" outlineLevel="0" collapsed="false">
      <c r="C203" s="7"/>
      <c r="D203" s="7"/>
      <c r="E203" s="7"/>
      <c r="F203" s="7"/>
      <c r="G203" s="7"/>
      <c r="H203" s="13"/>
      <c r="I203" s="7"/>
      <c r="J203" s="14"/>
      <c r="K203" s="7"/>
    </row>
    <row r="204" s="9" customFormat="true" ht="19.5" hidden="false" customHeight="true" outlineLevel="0" collapsed="false">
      <c r="C204" s="7"/>
      <c r="D204" s="7"/>
      <c r="E204" s="7"/>
      <c r="F204" s="7"/>
      <c r="G204" s="7"/>
      <c r="H204" s="13"/>
      <c r="I204" s="7"/>
      <c r="J204" s="14"/>
      <c r="K204" s="7"/>
    </row>
    <row r="205" s="9" customFormat="true" ht="19.5" hidden="false" customHeight="true" outlineLevel="0" collapsed="false">
      <c r="C205" s="7"/>
      <c r="D205" s="7"/>
      <c r="E205" s="7"/>
      <c r="F205" s="7"/>
      <c r="G205" s="7"/>
      <c r="H205" s="13"/>
      <c r="I205" s="7"/>
      <c r="J205" s="14"/>
      <c r="K205" s="7"/>
    </row>
    <row r="206" s="9" customFormat="true" ht="19.5" hidden="true" customHeight="true" outlineLevel="0" collapsed="false">
      <c r="B206" s="7"/>
      <c r="C206" s="7"/>
      <c r="D206" s="7"/>
      <c r="E206" s="7"/>
      <c r="F206" s="7"/>
      <c r="G206" s="7"/>
      <c r="H206" s="13"/>
      <c r="I206" s="7"/>
      <c r="J206" s="14"/>
      <c r="K206" s="7"/>
    </row>
    <row r="207" s="9" customFormat="true" ht="19.5" hidden="true" customHeight="true" outlineLevel="0" collapsed="false">
      <c r="C207" s="7"/>
      <c r="D207" s="7"/>
      <c r="E207" s="7"/>
      <c r="F207" s="7"/>
      <c r="G207" s="7"/>
      <c r="H207" s="13"/>
      <c r="I207" s="7"/>
      <c r="J207" s="14"/>
      <c r="K207" s="7"/>
    </row>
    <row r="208" s="9" customFormat="true" ht="19.5" hidden="false" customHeight="true" outlineLevel="0" collapsed="false">
      <c r="C208" s="7"/>
      <c r="D208" s="7"/>
      <c r="E208" s="7"/>
      <c r="F208" s="7"/>
      <c r="G208" s="7"/>
      <c r="H208" s="13"/>
      <c r="I208" s="7"/>
      <c r="J208" s="14"/>
      <c r="K208" s="7"/>
    </row>
    <row r="209" s="9" customFormat="true" ht="19.5" hidden="true" customHeight="true" outlineLevel="0" collapsed="false">
      <c r="C209" s="7"/>
      <c r="D209" s="7"/>
      <c r="E209" s="7"/>
      <c r="F209" s="7"/>
      <c r="G209" s="7"/>
      <c r="H209" s="13"/>
      <c r="I209" s="7"/>
      <c r="J209" s="14"/>
      <c r="K209" s="7"/>
    </row>
    <row r="210" s="9" customFormat="true" ht="19.5" hidden="true" customHeight="true" outlineLevel="0" collapsed="false">
      <c r="B210" s="7"/>
      <c r="C210" s="7"/>
      <c r="D210" s="7"/>
      <c r="E210" s="16"/>
      <c r="F210" s="7"/>
      <c r="G210" s="7"/>
      <c r="H210" s="13"/>
      <c r="I210" s="7"/>
      <c r="J210" s="14"/>
      <c r="K210" s="17"/>
    </row>
    <row r="211" s="9" customFormat="true" ht="19.5" hidden="true" customHeight="true" outlineLevel="0" collapsed="false">
      <c r="C211" s="7"/>
      <c r="D211" s="7"/>
      <c r="E211" s="16"/>
      <c r="F211" s="7"/>
      <c r="G211" s="7"/>
      <c r="H211" s="13"/>
      <c r="I211" s="7"/>
      <c r="J211" s="14"/>
      <c r="K211" s="17"/>
    </row>
    <row r="212" s="9" customFormat="true" ht="19.5" hidden="true" customHeight="true" outlineLevel="0" collapsed="false">
      <c r="C212" s="7"/>
      <c r="D212" s="7"/>
      <c r="E212" s="16"/>
      <c r="F212" s="7"/>
      <c r="G212" s="7"/>
      <c r="H212" s="13"/>
      <c r="I212" s="7"/>
      <c r="J212" s="14"/>
      <c r="K212" s="17"/>
    </row>
    <row r="213" s="9" customFormat="true" ht="19.5" hidden="true" customHeight="true" outlineLevel="0" collapsed="false">
      <c r="B213" s="7"/>
      <c r="C213" s="7"/>
      <c r="D213" s="7"/>
      <c r="E213" s="7"/>
      <c r="F213" s="7"/>
      <c r="G213" s="7"/>
      <c r="H213" s="13"/>
      <c r="I213" s="7"/>
      <c r="J213" s="14"/>
      <c r="K213" s="7"/>
    </row>
    <row r="214" s="9" customFormat="true" ht="19.5" hidden="true" customHeight="true" outlineLevel="0" collapsed="false">
      <c r="C214" s="7"/>
      <c r="D214" s="7"/>
      <c r="E214" s="7"/>
      <c r="F214" s="7"/>
      <c r="G214" s="7"/>
      <c r="H214" s="13"/>
      <c r="I214" s="7"/>
      <c r="J214" s="14"/>
      <c r="K214" s="7"/>
    </row>
    <row r="215" s="9" customFormat="true" ht="19.5" hidden="true" customHeight="true" outlineLevel="0" collapsed="false">
      <c r="C215" s="7"/>
      <c r="D215" s="7"/>
      <c r="E215" s="7"/>
      <c r="F215" s="7"/>
      <c r="G215" s="7"/>
      <c r="H215" s="13"/>
      <c r="I215" s="7"/>
      <c r="J215" s="14"/>
      <c r="K215" s="7"/>
    </row>
    <row r="216" s="9" customFormat="true" ht="19.5" hidden="false" customHeight="true" outlineLevel="0" collapsed="false">
      <c r="C216" s="7"/>
      <c r="D216" s="7"/>
      <c r="E216" s="7"/>
      <c r="F216" s="7"/>
      <c r="G216" s="7"/>
      <c r="H216" s="13"/>
      <c r="I216" s="7"/>
      <c r="J216" s="14"/>
      <c r="K216" s="7"/>
    </row>
    <row r="217" s="9" customFormat="true" ht="19.5" hidden="true" customHeight="true" outlineLevel="0" collapsed="false">
      <c r="B217" s="7"/>
      <c r="D217" s="7"/>
      <c r="E217" s="7"/>
      <c r="F217" s="7"/>
      <c r="G217" s="7"/>
      <c r="H217" s="13"/>
      <c r="I217" s="7"/>
      <c r="J217" s="14"/>
      <c r="K217" s="7"/>
    </row>
    <row r="218" s="9" customFormat="true" ht="19.5" hidden="false" customHeight="true" outlineLevel="0" collapsed="false">
      <c r="A218" s="7"/>
      <c r="B218" s="7"/>
      <c r="C218" s="7"/>
      <c r="D218" s="7"/>
      <c r="E218" s="7"/>
      <c r="F218" s="7"/>
      <c r="G218" s="7"/>
      <c r="H218" s="13"/>
      <c r="I218" s="7"/>
      <c r="J218" s="14"/>
      <c r="K218" s="7"/>
      <c r="L218" s="7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7"/>
    </row>
    <row r="219" s="9" customFormat="true" ht="19.5" hidden="false" customHeight="true" outlineLevel="0" collapsed="false">
      <c r="C219" s="7"/>
      <c r="D219" s="7"/>
      <c r="E219" s="7"/>
      <c r="F219" s="7"/>
      <c r="G219" s="7"/>
      <c r="H219" s="13"/>
      <c r="I219" s="7"/>
      <c r="J219" s="14"/>
      <c r="K219" s="7"/>
    </row>
    <row r="220" s="9" customFormat="true" ht="19.5" hidden="true" customHeight="true" outlineLevel="0" collapsed="false">
      <c r="C220" s="7"/>
      <c r="D220" s="7"/>
      <c r="E220" s="7"/>
      <c r="F220" s="7"/>
      <c r="G220" s="7"/>
      <c r="H220" s="13"/>
      <c r="I220" s="7"/>
      <c r="J220" s="14"/>
      <c r="K220" s="7"/>
    </row>
    <row r="221" s="9" customFormat="true" ht="19.5" hidden="true" customHeight="true" outlineLevel="0" collapsed="false">
      <c r="C221" s="7"/>
      <c r="D221" s="7"/>
      <c r="E221" s="7"/>
      <c r="F221" s="7"/>
      <c r="G221" s="7"/>
      <c r="H221" s="13"/>
      <c r="I221" s="7"/>
      <c r="J221" s="14"/>
      <c r="K221" s="7"/>
    </row>
    <row r="222" s="9" customFormat="true" ht="19.5" hidden="true" customHeight="true" outlineLevel="0" collapsed="false">
      <c r="C222" s="7"/>
      <c r="D222" s="7"/>
      <c r="E222" s="7"/>
      <c r="F222" s="7"/>
      <c r="G222" s="7"/>
      <c r="H222" s="13"/>
      <c r="I222" s="7"/>
      <c r="J222" s="14"/>
      <c r="K222" s="7"/>
    </row>
    <row r="223" s="9" customFormat="true" ht="19.5" hidden="true" customHeight="true" outlineLevel="0" collapsed="false">
      <c r="C223" s="7"/>
      <c r="D223" s="7"/>
      <c r="E223" s="7"/>
      <c r="F223" s="7"/>
      <c r="G223" s="7"/>
      <c r="H223" s="13"/>
      <c r="I223" s="7"/>
      <c r="J223" s="14"/>
      <c r="K223" s="7"/>
    </row>
    <row r="224" s="9" customFormat="true" ht="19.5" hidden="true" customHeight="true" outlineLevel="0" collapsed="false">
      <c r="C224" s="7"/>
      <c r="D224" s="7"/>
      <c r="E224" s="7"/>
      <c r="F224" s="7"/>
      <c r="G224" s="7"/>
      <c r="H224" s="13"/>
      <c r="I224" s="7"/>
      <c r="J224" s="14"/>
      <c r="K224" s="7"/>
    </row>
    <row r="225" s="9" customFormat="true" ht="19.5" hidden="true" customHeight="true" outlineLevel="0" collapsed="false">
      <c r="B225" s="7"/>
      <c r="C225" s="7"/>
      <c r="D225" s="7"/>
      <c r="E225" s="7"/>
      <c r="F225" s="7"/>
      <c r="G225" s="7"/>
      <c r="H225" s="13"/>
      <c r="I225" s="7"/>
      <c r="J225" s="14"/>
      <c r="K225" s="7"/>
    </row>
    <row r="226" s="9" customFormat="true" ht="19.5" hidden="true" customHeight="true" outlineLevel="0" collapsed="false">
      <c r="C226" s="7"/>
      <c r="D226" s="7"/>
      <c r="E226" s="7"/>
      <c r="F226" s="7"/>
      <c r="G226" s="7"/>
      <c r="H226" s="13"/>
      <c r="I226" s="7"/>
      <c r="J226" s="14"/>
      <c r="K226" s="7"/>
    </row>
    <row r="227" s="9" customFormat="true" ht="19.5" hidden="true" customHeight="true" outlineLevel="0" collapsed="false">
      <c r="C227" s="7"/>
      <c r="D227" s="7"/>
      <c r="E227" s="7"/>
      <c r="F227" s="7"/>
      <c r="G227" s="7"/>
      <c r="H227" s="13"/>
      <c r="I227" s="7"/>
      <c r="J227" s="14"/>
      <c r="K227" s="7"/>
    </row>
    <row r="228" s="9" customFormat="true" ht="19.5" hidden="true" customHeight="true" outlineLevel="0" collapsed="false">
      <c r="C228" s="7"/>
      <c r="D228" s="7"/>
      <c r="E228" s="7"/>
      <c r="F228" s="7"/>
      <c r="G228" s="7"/>
      <c r="H228" s="13"/>
      <c r="I228" s="7"/>
      <c r="J228" s="14"/>
      <c r="K228" s="7"/>
    </row>
    <row r="229" s="9" customFormat="true" ht="19.5" hidden="true" customHeight="true" outlineLevel="0" collapsed="false">
      <c r="C229" s="7"/>
      <c r="D229" s="7"/>
      <c r="E229" s="7"/>
      <c r="F229" s="7"/>
      <c r="G229" s="7"/>
      <c r="H229" s="13"/>
      <c r="I229" s="7"/>
      <c r="J229" s="14"/>
      <c r="K229" s="7"/>
    </row>
    <row r="230" s="9" customFormat="true" ht="19.5" hidden="true" customHeight="true" outlineLevel="0" collapsed="false">
      <c r="C230" s="7"/>
      <c r="D230" s="7"/>
      <c r="E230" s="7"/>
      <c r="F230" s="7"/>
      <c r="G230" s="7"/>
      <c r="H230" s="13"/>
      <c r="I230" s="7"/>
      <c r="J230" s="14"/>
      <c r="K230" s="7"/>
    </row>
    <row r="231" s="9" customFormat="true" ht="19.5" hidden="true" customHeight="true" outlineLevel="0" collapsed="false">
      <c r="C231" s="7"/>
      <c r="D231" s="7"/>
      <c r="E231" s="7"/>
      <c r="F231" s="7"/>
      <c r="G231" s="7"/>
      <c r="H231" s="13"/>
      <c r="I231" s="7"/>
      <c r="J231" s="14"/>
      <c r="K231" s="7"/>
    </row>
    <row r="232" s="9" customFormat="true" ht="19.5" hidden="true" customHeight="true" outlineLevel="0" collapsed="false">
      <c r="C232" s="7"/>
      <c r="D232" s="7"/>
      <c r="E232" s="7"/>
      <c r="F232" s="7"/>
      <c r="G232" s="7"/>
      <c r="H232" s="13"/>
      <c r="I232" s="7"/>
      <c r="J232" s="14"/>
      <c r="K232" s="7"/>
    </row>
    <row r="233" s="9" customFormat="true" ht="19.5" hidden="false" customHeight="true" outlineLevel="0" collapsed="false">
      <c r="C233" s="7"/>
      <c r="D233" s="7"/>
      <c r="E233" s="7"/>
      <c r="F233" s="7"/>
      <c r="G233" s="7"/>
      <c r="H233" s="13"/>
      <c r="I233" s="7"/>
      <c r="J233" s="14"/>
      <c r="K233" s="7"/>
    </row>
    <row r="234" s="9" customFormat="true" ht="19.5" hidden="false" customHeight="true" outlineLevel="0" collapsed="false">
      <c r="C234" s="7"/>
      <c r="D234" s="7"/>
      <c r="E234" s="7"/>
      <c r="F234" s="7"/>
      <c r="G234" s="7"/>
      <c r="H234" s="13"/>
      <c r="I234" s="7"/>
      <c r="J234" s="14"/>
      <c r="K234" s="7"/>
    </row>
    <row r="235" s="9" customFormat="true" ht="19.5" hidden="true" customHeight="true" outlineLevel="0" collapsed="false">
      <c r="B235" s="7"/>
      <c r="C235" s="7"/>
      <c r="D235" s="7"/>
      <c r="E235" s="7"/>
      <c r="F235" s="7"/>
      <c r="G235" s="7"/>
      <c r="H235" s="13"/>
      <c r="I235" s="7"/>
      <c r="J235" s="14"/>
      <c r="K235" s="7"/>
    </row>
    <row r="236" s="9" customFormat="true" ht="19.5" hidden="true" customHeight="true" outlineLevel="0" collapsed="false">
      <c r="C236" s="7"/>
      <c r="D236" s="7"/>
      <c r="E236" s="7"/>
      <c r="F236" s="7"/>
      <c r="G236" s="7"/>
      <c r="H236" s="13"/>
      <c r="I236" s="7"/>
      <c r="J236" s="14"/>
      <c r="K236" s="7"/>
    </row>
    <row r="237" s="9" customFormat="true" ht="19.5" hidden="false" customHeight="true" outlineLevel="0" collapsed="false">
      <c r="C237" s="7"/>
      <c r="D237" s="7"/>
      <c r="E237" s="7"/>
      <c r="F237" s="7"/>
      <c r="G237" s="7"/>
      <c r="H237" s="13"/>
      <c r="I237" s="7"/>
      <c r="J237" s="14"/>
      <c r="K237" s="7"/>
    </row>
    <row r="238" s="9" customFormat="true" ht="19.5" hidden="true" customHeight="true" outlineLevel="0" collapsed="false">
      <c r="C238" s="7"/>
      <c r="D238" s="7"/>
      <c r="E238" s="7"/>
      <c r="F238" s="7"/>
      <c r="G238" s="7"/>
      <c r="H238" s="13"/>
      <c r="I238" s="7"/>
      <c r="J238" s="14"/>
      <c r="K238" s="7"/>
    </row>
    <row r="239" s="9" customFormat="true" ht="19.5" hidden="true" customHeight="true" outlineLevel="0" collapsed="false">
      <c r="B239" s="7"/>
      <c r="C239" s="7"/>
      <c r="D239" s="7"/>
      <c r="E239" s="16"/>
      <c r="F239" s="7"/>
      <c r="G239" s="7"/>
      <c r="H239" s="13"/>
      <c r="I239" s="7"/>
      <c r="J239" s="14"/>
      <c r="K239" s="17"/>
    </row>
    <row r="240" s="9" customFormat="true" ht="19.5" hidden="true" customHeight="true" outlineLevel="0" collapsed="false">
      <c r="C240" s="7"/>
      <c r="D240" s="7"/>
      <c r="E240" s="16"/>
      <c r="F240" s="7"/>
      <c r="G240" s="7"/>
      <c r="H240" s="13"/>
      <c r="I240" s="7"/>
      <c r="J240" s="14"/>
      <c r="K240" s="17"/>
    </row>
    <row r="241" s="9" customFormat="true" ht="19.5" hidden="true" customHeight="true" outlineLevel="0" collapsed="false">
      <c r="C241" s="7"/>
      <c r="D241" s="7"/>
      <c r="E241" s="16"/>
      <c r="F241" s="7"/>
      <c r="G241" s="7"/>
      <c r="H241" s="13"/>
      <c r="I241" s="7"/>
      <c r="J241" s="14"/>
      <c r="K241" s="17"/>
    </row>
    <row r="242" s="9" customFormat="true" ht="19.5" hidden="true" customHeight="true" outlineLevel="0" collapsed="false">
      <c r="B242" s="7"/>
      <c r="C242" s="7"/>
      <c r="D242" s="7"/>
      <c r="E242" s="7"/>
      <c r="F242" s="7"/>
      <c r="G242" s="7"/>
      <c r="H242" s="13"/>
      <c r="I242" s="7"/>
      <c r="J242" s="14"/>
      <c r="K242" s="7"/>
    </row>
    <row r="243" s="9" customFormat="true" ht="19.5" hidden="true" customHeight="true" outlineLevel="0" collapsed="false">
      <c r="C243" s="7"/>
      <c r="D243" s="7"/>
      <c r="E243" s="7"/>
      <c r="F243" s="7"/>
      <c r="G243" s="7"/>
      <c r="H243" s="13"/>
      <c r="I243" s="7"/>
      <c r="J243" s="14"/>
      <c r="K243" s="7"/>
    </row>
    <row r="244" s="9" customFormat="true" ht="19.5" hidden="true" customHeight="true" outlineLevel="0" collapsed="false">
      <c r="C244" s="7"/>
      <c r="D244" s="7"/>
      <c r="E244" s="7"/>
      <c r="F244" s="7"/>
      <c r="G244" s="7"/>
      <c r="H244" s="13"/>
      <c r="I244" s="7"/>
      <c r="J244" s="14"/>
      <c r="K244" s="7"/>
    </row>
    <row r="245" s="9" customFormat="true" ht="19.5" hidden="false" customHeight="true" outlineLevel="0" collapsed="false">
      <c r="C245" s="7"/>
      <c r="D245" s="7"/>
      <c r="E245" s="7"/>
      <c r="F245" s="7"/>
      <c r="G245" s="7"/>
      <c r="H245" s="13"/>
      <c r="I245" s="7"/>
      <c r="J245" s="14"/>
      <c r="K245" s="7"/>
    </row>
    <row r="246" s="9" customFormat="true" ht="19.5" hidden="true" customHeight="true" outlineLevel="0" collapsed="false">
      <c r="B246" s="7"/>
      <c r="D246" s="7"/>
      <c r="E246" s="7"/>
      <c r="F246" s="7"/>
      <c r="G246" s="7"/>
      <c r="H246" s="13"/>
      <c r="I246" s="7"/>
      <c r="J246" s="14"/>
      <c r="K246" s="7"/>
    </row>
    <row r="247" s="9" customFormat="true" ht="19.5" hidden="false" customHeight="true" outlineLevel="0" collapsed="false">
      <c r="A247" s="7"/>
      <c r="B247" s="7"/>
      <c r="C247" s="7"/>
      <c r="D247" s="7"/>
      <c r="E247" s="7"/>
      <c r="F247" s="7"/>
      <c r="G247" s="7"/>
      <c r="H247" s="13"/>
      <c r="I247" s="7"/>
      <c r="J247" s="14"/>
      <c r="K247" s="7"/>
      <c r="L247" s="7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7"/>
    </row>
    <row r="248" s="9" customFormat="true" ht="19.5" hidden="false" customHeight="true" outlineLevel="0" collapsed="false">
      <c r="C248" s="7"/>
      <c r="D248" s="7"/>
      <c r="E248" s="7"/>
      <c r="F248" s="7"/>
      <c r="G248" s="7"/>
      <c r="H248" s="13"/>
      <c r="I248" s="7"/>
      <c r="J248" s="14"/>
      <c r="K248" s="7"/>
    </row>
    <row r="249" s="9" customFormat="true" ht="19.5" hidden="true" customHeight="true" outlineLevel="0" collapsed="false">
      <c r="C249" s="7"/>
      <c r="D249" s="7"/>
      <c r="E249" s="7"/>
      <c r="F249" s="7"/>
      <c r="G249" s="7"/>
      <c r="H249" s="13"/>
      <c r="I249" s="7"/>
      <c r="J249" s="14"/>
      <c r="K249" s="7"/>
    </row>
    <row r="250" s="9" customFormat="true" ht="19.5" hidden="true" customHeight="true" outlineLevel="0" collapsed="false">
      <c r="C250" s="7"/>
      <c r="D250" s="7"/>
      <c r="E250" s="7"/>
      <c r="F250" s="7"/>
      <c r="G250" s="7"/>
      <c r="H250" s="13"/>
      <c r="I250" s="7"/>
      <c r="J250" s="14"/>
      <c r="K250" s="7"/>
    </row>
    <row r="251" s="9" customFormat="true" ht="19.5" hidden="true" customHeight="true" outlineLevel="0" collapsed="false">
      <c r="C251" s="7"/>
      <c r="D251" s="7"/>
      <c r="E251" s="7"/>
      <c r="F251" s="7"/>
      <c r="G251" s="7"/>
      <c r="H251" s="13"/>
      <c r="I251" s="7"/>
      <c r="J251" s="14"/>
      <c r="K251" s="7"/>
    </row>
    <row r="252" s="9" customFormat="true" ht="19.5" hidden="true" customHeight="true" outlineLevel="0" collapsed="false">
      <c r="C252" s="7"/>
      <c r="D252" s="7"/>
      <c r="E252" s="7"/>
      <c r="F252" s="7"/>
      <c r="G252" s="7"/>
      <c r="H252" s="13"/>
      <c r="I252" s="7"/>
      <c r="J252" s="14"/>
      <c r="K252" s="7"/>
    </row>
    <row r="253" s="9" customFormat="true" ht="19.5" hidden="true" customHeight="true" outlineLevel="0" collapsed="false">
      <c r="B253" s="7"/>
      <c r="C253" s="7"/>
      <c r="D253" s="7"/>
      <c r="E253" s="7"/>
      <c r="F253" s="7"/>
      <c r="G253" s="7"/>
      <c r="H253" s="13"/>
      <c r="I253" s="7"/>
      <c r="J253" s="14"/>
      <c r="K253" s="7"/>
    </row>
    <row r="254" s="9" customFormat="true" ht="19.5" hidden="true" customHeight="true" outlineLevel="0" collapsed="false">
      <c r="C254" s="7"/>
      <c r="D254" s="7"/>
      <c r="E254" s="7"/>
      <c r="F254" s="7"/>
      <c r="G254" s="7"/>
      <c r="H254" s="13"/>
      <c r="I254" s="7"/>
      <c r="J254" s="14"/>
      <c r="K254" s="7"/>
    </row>
    <row r="255" s="9" customFormat="true" ht="19.5" hidden="true" customHeight="true" outlineLevel="0" collapsed="false">
      <c r="C255" s="7"/>
      <c r="D255" s="7"/>
      <c r="E255" s="7"/>
      <c r="F255" s="7"/>
      <c r="G255" s="7"/>
      <c r="H255" s="13"/>
      <c r="I255" s="7"/>
      <c r="J255" s="14"/>
      <c r="K255" s="7"/>
    </row>
    <row r="256" s="9" customFormat="true" ht="19.5" hidden="true" customHeight="true" outlineLevel="0" collapsed="false">
      <c r="C256" s="7"/>
      <c r="D256" s="7"/>
      <c r="E256" s="7"/>
      <c r="F256" s="7"/>
      <c r="G256" s="7"/>
      <c r="H256" s="13"/>
      <c r="I256" s="7"/>
      <c r="J256" s="14"/>
      <c r="K256" s="7"/>
    </row>
    <row r="257" s="9" customFormat="true" ht="19.5" hidden="true" customHeight="true" outlineLevel="0" collapsed="false">
      <c r="C257" s="7"/>
      <c r="D257" s="7"/>
      <c r="E257" s="7"/>
      <c r="F257" s="7"/>
      <c r="G257" s="7"/>
      <c r="H257" s="13"/>
      <c r="I257" s="7"/>
      <c r="J257" s="14"/>
      <c r="K257" s="7"/>
    </row>
    <row r="258" s="9" customFormat="true" ht="19.5" hidden="true" customHeight="true" outlineLevel="0" collapsed="false">
      <c r="C258" s="7"/>
      <c r="D258" s="7"/>
      <c r="E258" s="7"/>
      <c r="F258" s="7"/>
      <c r="G258" s="7"/>
      <c r="H258" s="13"/>
      <c r="I258" s="7"/>
      <c r="J258" s="14"/>
      <c r="K258" s="7"/>
    </row>
    <row r="259" s="9" customFormat="true" ht="19.5" hidden="false" customHeight="true" outlineLevel="0" collapsed="false">
      <c r="C259" s="7"/>
      <c r="D259" s="7"/>
      <c r="E259" s="7"/>
      <c r="F259" s="7"/>
      <c r="G259" s="7"/>
      <c r="H259" s="13"/>
      <c r="I259" s="7"/>
      <c r="J259" s="14"/>
      <c r="K259" s="7"/>
    </row>
    <row r="260" s="9" customFormat="true" ht="19.5" hidden="false" customHeight="true" outlineLevel="0" collapsed="false">
      <c r="C260" s="7"/>
      <c r="D260" s="7"/>
      <c r="E260" s="7"/>
      <c r="F260" s="7"/>
      <c r="G260" s="7"/>
      <c r="H260" s="13"/>
      <c r="I260" s="7"/>
      <c r="J260" s="14"/>
      <c r="K260" s="7"/>
    </row>
    <row r="261" s="9" customFormat="true" ht="19.5" hidden="true" customHeight="true" outlineLevel="0" collapsed="false">
      <c r="B261" s="7"/>
      <c r="C261" s="7"/>
      <c r="D261" s="7"/>
      <c r="E261" s="7"/>
      <c r="F261" s="7"/>
      <c r="G261" s="7"/>
      <c r="H261" s="13"/>
      <c r="I261" s="7"/>
      <c r="J261" s="14"/>
      <c r="K261" s="7"/>
    </row>
    <row r="262" s="9" customFormat="true" ht="19.5" hidden="true" customHeight="true" outlineLevel="0" collapsed="false">
      <c r="C262" s="7"/>
      <c r="D262" s="7"/>
      <c r="E262" s="7"/>
      <c r="F262" s="7"/>
      <c r="G262" s="7"/>
      <c r="H262" s="13"/>
      <c r="I262" s="7"/>
      <c r="J262" s="14"/>
      <c r="K262" s="7"/>
    </row>
    <row r="263" s="9" customFormat="true" ht="19.5" hidden="false" customHeight="true" outlineLevel="0" collapsed="false">
      <c r="C263" s="7"/>
      <c r="D263" s="7"/>
      <c r="E263" s="7"/>
      <c r="F263" s="7"/>
      <c r="G263" s="7"/>
      <c r="H263" s="13"/>
      <c r="I263" s="7"/>
      <c r="J263" s="14"/>
      <c r="K263" s="7"/>
    </row>
    <row r="264" s="9" customFormat="true" ht="19.5" hidden="true" customHeight="true" outlineLevel="0" collapsed="false">
      <c r="C264" s="7"/>
      <c r="D264" s="7"/>
      <c r="E264" s="7"/>
      <c r="F264" s="7"/>
      <c r="G264" s="7"/>
      <c r="H264" s="13"/>
      <c r="I264" s="7"/>
      <c r="J264" s="14"/>
      <c r="K264" s="7"/>
    </row>
    <row r="265" s="9" customFormat="true" ht="19.5" hidden="true" customHeight="true" outlineLevel="0" collapsed="false">
      <c r="B265" s="7"/>
      <c r="C265" s="7"/>
      <c r="D265" s="7"/>
      <c r="E265" s="16"/>
      <c r="F265" s="7"/>
      <c r="G265" s="7"/>
      <c r="H265" s="13"/>
      <c r="I265" s="7"/>
      <c r="J265" s="14"/>
      <c r="K265" s="17"/>
    </row>
    <row r="266" s="9" customFormat="true" ht="19.5" hidden="true" customHeight="true" outlineLevel="0" collapsed="false">
      <c r="C266" s="7"/>
      <c r="D266" s="7"/>
      <c r="E266" s="16"/>
      <c r="F266" s="7"/>
      <c r="G266" s="7"/>
      <c r="H266" s="13"/>
      <c r="I266" s="7"/>
      <c r="J266" s="14"/>
      <c r="K266" s="17"/>
    </row>
    <row r="267" s="9" customFormat="true" ht="19.5" hidden="true" customHeight="true" outlineLevel="0" collapsed="false">
      <c r="C267" s="7"/>
      <c r="D267" s="7"/>
      <c r="E267" s="16"/>
      <c r="F267" s="7"/>
      <c r="G267" s="7"/>
      <c r="H267" s="13"/>
      <c r="I267" s="7"/>
      <c r="J267" s="14"/>
      <c r="K267" s="17"/>
    </row>
    <row r="268" s="9" customFormat="true" ht="19.5" hidden="true" customHeight="true" outlineLevel="0" collapsed="false">
      <c r="B268" s="7"/>
      <c r="C268" s="7"/>
      <c r="D268" s="7"/>
      <c r="E268" s="7"/>
      <c r="F268" s="7"/>
      <c r="G268" s="7"/>
      <c r="H268" s="13"/>
      <c r="I268" s="7"/>
      <c r="J268" s="14"/>
      <c r="K268" s="7"/>
    </row>
    <row r="269" s="9" customFormat="true" ht="19.5" hidden="true" customHeight="true" outlineLevel="0" collapsed="false">
      <c r="C269" s="7"/>
      <c r="D269" s="7"/>
      <c r="E269" s="7"/>
      <c r="F269" s="7"/>
      <c r="G269" s="7"/>
      <c r="H269" s="13"/>
      <c r="I269" s="7"/>
      <c r="J269" s="14"/>
      <c r="K269" s="7"/>
    </row>
    <row r="270" s="9" customFormat="true" ht="19.5" hidden="true" customHeight="true" outlineLevel="0" collapsed="false">
      <c r="C270" s="7"/>
      <c r="D270" s="7"/>
      <c r="E270" s="7"/>
      <c r="F270" s="7"/>
      <c r="G270" s="7"/>
      <c r="H270" s="13"/>
      <c r="I270" s="7"/>
      <c r="J270" s="14"/>
      <c r="K270" s="7"/>
    </row>
    <row r="271" s="9" customFormat="true" ht="19.5" hidden="false" customHeight="true" outlineLevel="0" collapsed="false">
      <c r="C271" s="7"/>
      <c r="D271" s="7"/>
      <c r="E271" s="7"/>
      <c r="F271" s="7"/>
      <c r="G271" s="7"/>
      <c r="H271" s="13"/>
      <c r="I271" s="7"/>
      <c r="J271" s="14"/>
      <c r="K271" s="7"/>
    </row>
    <row r="272" s="9" customFormat="true" ht="19.5" hidden="true" customHeight="true" outlineLevel="0" collapsed="false">
      <c r="B272" s="7"/>
      <c r="D272" s="7"/>
      <c r="E272" s="7"/>
      <c r="F272" s="7"/>
      <c r="G272" s="7"/>
      <c r="H272" s="13"/>
      <c r="I272" s="7"/>
      <c r="J272" s="14"/>
      <c r="K272" s="7"/>
    </row>
    <row r="273" s="9" customFormat="true" ht="19.5" hidden="false" customHeight="true" outlineLevel="0" collapsed="false">
      <c r="A273" s="7"/>
      <c r="B273" s="7"/>
      <c r="C273" s="7"/>
      <c r="D273" s="7"/>
      <c r="E273" s="7"/>
      <c r="F273" s="7"/>
      <c r="G273" s="7"/>
      <c r="H273" s="13"/>
      <c r="I273" s="7"/>
      <c r="J273" s="14"/>
      <c r="K273" s="7"/>
      <c r="L273" s="7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7"/>
    </row>
    <row r="274" s="9" customFormat="true" ht="19.5" hidden="false" customHeight="true" outlineLevel="0" collapsed="false">
      <c r="C274" s="7"/>
      <c r="D274" s="7"/>
      <c r="E274" s="7"/>
      <c r="F274" s="7"/>
      <c r="G274" s="7"/>
      <c r="H274" s="13"/>
      <c r="I274" s="7"/>
      <c r="J274" s="14"/>
      <c r="K274" s="7"/>
    </row>
    <row r="275" s="9" customFormat="true" ht="19.5" hidden="true" customHeight="true" outlineLevel="0" collapsed="false">
      <c r="C275" s="7"/>
      <c r="D275" s="7"/>
      <c r="E275" s="7"/>
      <c r="F275" s="7"/>
      <c r="G275" s="7"/>
      <c r="H275" s="13"/>
      <c r="I275" s="7"/>
      <c r="J275" s="14"/>
      <c r="K275" s="7"/>
    </row>
    <row r="276" s="9" customFormat="true" ht="19.5" hidden="true" customHeight="true" outlineLevel="0" collapsed="false">
      <c r="C276" s="7"/>
      <c r="D276" s="7"/>
      <c r="E276" s="7"/>
      <c r="F276" s="7"/>
      <c r="G276" s="7"/>
      <c r="H276" s="13"/>
      <c r="I276" s="7"/>
      <c r="J276" s="14"/>
      <c r="K276" s="7"/>
    </row>
    <row r="277" s="9" customFormat="true" ht="19.5" hidden="true" customHeight="true" outlineLevel="0" collapsed="false">
      <c r="C277" s="7"/>
      <c r="D277" s="7"/>
      <c r="E277" s="7"/>
      <c r="F277" s="7"/>
      <c r="G277" s="7"/>
      <c r="H277" s="13"/>
      <c r="I277" s="7"/>
      <c r="J277" s="14"/>
      <c r="K277" s="7"/>
    </row>
    <row r="278" s="9" customFormat="true" ht="19.5" hidden="true" customHeight="true" outlineLevel="0" collapsed="false">
      <c r="C278" s="7"/>
      <c r="D278" s="7"/>
      <c r="E278" s="7"/>
      <c r="F278" s="7"/>
      <c r="G278" s="7"/>
      <c r="H278" s="13"/>
      <c r="I278" s="7"/>
      <c r="J278" s="14"/>
      <c r="K278" s="7"/>
    </row>
    <row r="279" s="9" customFormat="true" ht="19.5" hidden="true" customHeight="true" outlineLevel="0" collapsed="false">
      <c r="B279" s="7"/>
      <c r="C279" s="7"/>
      <c r="D279" s="7"/>
      <c r="E279" s="7"/>
      <c r="F279" s="7"/>
      <c r="G279" s="7"/>
      <c r="H279" s="13"/>
      <c r="I279" s="7"/>
      <c r="J279" s="14"/>
      <c r="K279" s="7"/>
    </row>
    <row r="280" s="9" customFormat="true" ht="19.5" hidden="true" customHeight="true" outlineLevel="0" collapsed="false">
      <c r="C280" s="7"/>
      <c r="D280" s="7"/>
      <c r="E280" s="7"/>
      <c r="F280" s="7"/>
      <c r="G280" s="7"/>
      <c r="H280" s="13"/>
      <c r="I280" s="7"/>
      <c r="J280" s="14"/>
      <c r="K280" s="7"/>
    </row>
    <row r="281" s="9" customFormat="true" ht="19.5" hidden="true" customHeight="true" outlineLevel="0" collapsed="false">
      <c r="C281" s="7"/>
      <c r="D281" s="7"/>
      <c r="E281" s="7"/>
      <c r="F281" s="7"/>
      <c r="G281" s="7"/>
      <c r="H281" s="13"/>
      <c r="I281" s="7"/>
      <c r="J281" s="14"/>
      <c r="K281" s="7"/>
    </row>
    <row r="282" s="9" customFormat="true" ht="19.5" hidden="true" customHeight="true" outlineLevel="0" collapsed="false">
      <c r="C282" s="7"/>
      <c r="D282" s="7"/>
      <c r="E282" s="7"/>
      <c r="F282" s="7"/>
      <c r="G282" s="7"/>
      <c r="H282" s="13"/>
      <c r="I282" s="7"/>
      <c r="J282" s="14"/>
      <c r="K282" s="7"/>
    </row>
    <row r="283" s="9" customFormat="true" ht="19.5" hidden="true" customHeight="true" outlineLevel="0" collapsed="false">
      <c r="C283" s="7"/>
      <c r="D283" s="7"/>
      <c r="E283" s="7"/>
      <c r="F283" s="7"/>
      <c r="G283" s="7"/>
      <c r="H283" s="13"/>
      <c r="I283" s="7"/>
      <c r="J283" s="14"/>
      <c r="K283" s="7"/>
    </row>
    <row r="284" s="9" customFormat="true" ht="19.5" hidden="true" customHeight="true" outlineLevel="0" collapsed="false">
      <c r="C284" s="7"/>
      <c r="D284" s="7"/>
      <c r="E284" s="7"/>
      <c r="F284" s="7"/>
      <c r="G284" s="7"/>
      <c r="H284" s="13"/>
      <c r="I284" s="7"/>
      <c r="J284" s="14"/>
      <c r="K284" s="7"/>
    </row>
    <row r="285" s="9" customFormat="true" ht="19.5" hidden="false" customHeight="true" outlineLevel="0" collapsed="false">
      <c r="C285" s="7"/>
      <c r="D285" s="7"/>
      <c r="E285" s="7"/>
      <c r="F285" s="7"/>
      <c r="G285" s="7"/>
      <c r="H285" s="13"/>
      <c r="I285" s="7"/>
      <c r="J285" s="14"/>
      <c r="K285" s="7"/>
    </row>
    <row r="286" s="9" customFormat="true" ht="19.5" hidden="false" customHeight="true" outlineLevel="0" collapsed="false">
      <c r="C286" s="7"/>
      <c r="D286" s="7"/>
      <c r="E286" s="7"/>
      <c r="F286" s="7"/>
      <c r="G286" s="7"/>
      <c r="H286" s="13"/>
      <c r="I286" s="7"/>
      <c r="J286" s="14"/>
      <c r="K286" s="7"/>
    </row>
    <row r="287" s="9" customFormat="true" ht="19.5" hidden="true" customHeight="true" outlineLevel="0" collapsed="false">
      <c r="B287" s="7"/>
      <c r="C287" s="7"/>
      <c r="D287" s="7"/>
      <c r="E287" s="7"/>
      <c r="F287" s="7"/>
      <c r="G287" s="7"/>
      <c r="H287" s="13"/>
      <c r="I287" s="7"/>
      <c r="J287" s="14"/>
      <c r="K287" s="7"/>
    </row>
    <row r="288" s="9" customFormat="true" ht="19.5" hidden="true" customHeight="true" outlineLevel="0" collapsed="false">
      <c r="C288" s="7"/>
      <c r="D288" s="7"/>
      <c r="E288" s="7"/>
      <c r="F288" s="7"/>
      <c r="G288" s="7"/>
      <c r="H288" s="13"/>
      <c r="I288" s="7"/>
      <c r="J288" s="14"/>
      <c r="K288" s="7"/>
    </row>
    <row r="289" s="9" customFormat="true" ht="19.5" hidden="false" customHeight="true" outlineLevel="0" collapsed="false">
      <c r="C289" s="7"/>
      <c r="D289" s="7"/>
      <c r="E289" s="7"/>
      <c r="F289" s="7"/>
      <c r="G289" s="7"/>
      <c r="H289" s="13"/>
      <c r="I289" s="7"/>
      <c r="J289" s="14"/>
      <c r="K289" s="7"/>
    </row>
    <row r="290" s="9" customFormat="true" ht="19.5" hidden="true" customHeight="true" outlineLevel="0" collapsed="false">
      <c r="C290" s="7"/>
      <c r="D290" s="7"/>
      <c r="E290" s="7"/>
      <c r="F290" s="7"/>
      <c r="G290" s="7"/>
      <c r="H290" s="13"/>
      <c r="I290" s="7"/>
      <c r="J290" s="14"/>
      <c r="K290" s="7"/>
    </row>
    <row r="291" s="9" customFormat="true" ht="19.5" hidden="true" customHeight="true" outlineLevel="0" collapsed="false">
      <c r="B291" s="7"/>
      <c r="C291" s="7"/>
      <c r="D291" s="7"/>
      <c r="E291" s="16"/>
      <c r="F291" s="7"/>
      <c r="G291" s="7"/>
      <c r="H291" s="13"/>
      <c r="I291" s="7"/>
      <c r="J291" s="14"/>
      <c r="K291" s="17"/>
    </row>
    <row r="292" s="9" customFormat="true" ht="19.5" hidden="true" customHeight="true" outlineLevel="0" collapsed="false">
      <c r="C292" s="7"/>
      <c r="D292" s="7"/>
      <c r="E292" s="16"/>
      <c r="F292" s="7"/>
      <c r="G292" s="7"/>
      <c r="H292" s="13"/>
      <c r="I292" s="7"/>
      <c r="J292" s="14"/>
      <c r="K292" s="17"/>
    </row>
    <row r="293" s="9" customFormat="true" ht="19.5" hidden="true" customHeight="true" outlineLevel="0" collapsed="false">
      <c r="C293" s="7"/>
      <c r="D293" s="7"/>
      <c r="E293" s="16"/>
      <c r="F293" s="7"/>
      <c r="G293" s="7"/>
      <c r="H293" s="13"/>
      <c r="I293" s="7"/>
      <c r="J293" s="14"/>
      <c r="K293" s="17"/>
    </row>
    <row r="294" s="9" customFormat="true" ht="19.5" hidden="true" customHeight="true" outlineLevel="0" collapsed="false">
      <c r="B294" s="7"/>
      <c r="C294" s="7"/>
      <c r="D294" s="7"/>
      <c r="E294" s="7"/>
      <c r="F294" s="7"/>
      <c r="G294" s="7"/>
      <c r="H294" s="13"/>
      <c r="I294" s="7"/>
      <c r="J294" s="14"/>
      <c r="K294" s="7"/>
    </row>
    <row r="295" s="9" customFormat="true" ht="19.5" hidden="true" customHeight="true" outlineLevel="0" collapsed="false">
      <c r="C295" s="7"/>
      <c r="D295" s="7"/>
      <c r="E295" s="7"/>
      <c r="F295" s="7"/>
      <c r="G295" s="7"/>
      <c r="H295" s="13"/>
      <c r="I295" s="7"/>
      <c r="J295" s="14"/>
      <c r="K295" s="7"/>
    </row>
    <row r="296" s="9" customFormat="true" ht="19.5" hidden="true" customHeight="true" outlineLevel="0" collapsed="false">
      <c r="C296" s="7"/>
      <c r="D296" s="7"/>
      <c r="E296" s="7"/>
      <c r="F296" s="7"/>
      <c r="G296" s="7"/>
      <c r="H296" s="13"/>
      <c r="I296" s="7"/>
      <c r="J296" s="14"/>
      <c r="K296" s="7"/>
    </row>
    <row r="297" s="9" customFormat="true" ht="19.5" hidden="false" customHeight="true" outlineLevel="0" collapsed="false">
      <c r="C297" s="7"/>
      <c r="D297" s="7"/>
      <c r="E297" s="7"/>
      <c r="F297" s="7"/>
      <c r="G297" s="7"/>
      <c r="H297" s="13"/>
      <c r="I297" s="7"/>
      <c r="J297" s="14"/>
      <c r="K297" s="7"/>
    </row>
    <row r="298" s="9" customFormat="true" ht="19.5" hidden="true" customHeight="true" outlineLevel="0" collapsed="false">
      <c r="B298" s="7"/>
      <c r="D298" s="7"/>
      <c r="E298" s="7"/>
      <c r="F298" s="7"/>
      <c r="G298" s="7"/>
      <c r="H298" s="13"/>
      <c r="I298" s="7"/>
      <c r="J298" s="14"/>
      <c r="K298" s="7"/>
    </row>
    <row r="299" s="9" customFormat="true" ht="19.5" hidden="false" customHeight="true" outlineLevel="0" collapsed="false">
      <c r="A299" s="7"/>
      <c r="B299" s="7"/>
      <c r="C299" s="7"/>
      <c r="D299" s="7"/>
      <c r="E299" s="7"/>
      <c r="F299" s="7"/>
      <c r="G299" s="7"/>
      <c r="H299" s="13"/>
      <c r="I299" s="7"/>
      <c r="J299" s="14"/>
      <c r="K299" s="7"/>
      <c r="L299" s="7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7"/>
    </row>
    <row r="300" s="9" customFormat="true" ht="19.5" hidden="false" customHeight="true" outlineLevel="0" collapsed="false">
      <c r="C300" s="7"/>
      <c r="D300" s="7"/>
      <c r="E300" s="7"/>
      <c r="F300" s="7"/>
      <c r="G300" s="7"/>
      <c r="H300" s="13"/>
      <c r="I300" s="7"/>
      <c r="J300" s="14"/>
      <c r="K300" s="7"/>
    </row>
    <row r="301" s="9" customFormat="true" ht="19.5" hidden="true" customHeight="true" outlineLevel="0" collapsed="false">
      <c r="C301" s="7"/>
      <c r="D301" s="7"/>
      <c r="E301" s="7"/>
      <c r="F301" s="7"/>
      <c r="G301" s="7"/>
      <c r="H301" s="13"/>
      <c r="I301" s="7"/>
      <c r="J301" s="14"/>
      <c r="K301" s="7"/>
    </row>
    <row r="302" s="9" customFormat="true" ht="19.5" hidden="true" customHeight="true" outlineLevel="0" collapsed="false">
      <c r="C302" s="7"/>
      <c r="D302" s="7"/>
      <c r="E302" s="7"/>
      <c r="F302" s="7"/>
      <c r="G302" s="7"/>
      <c r="H302" s="13"/>
      <c r="I302" s="7"/>
      <c r="J302" s="14"/>
      <c r="K302" s="7"/>
    </row>
    <row r="303" s="9" customFormat="true" ht="19.5" hidden="true" customHeight="true" outlineLevel="0" collapsed="false">
      <c r="C303" s="7"/>
      <c r="D303" s="7"/>
      <c r="E303" s="7"/>
      <c r="F303" s="7"/>
      <c r="G303" s="7"/>
      <c r="H303" s="13"/>
      <c r="I303" s="7"/>
      <c r="J303" s="14"/>
      <c r="K303" s="7"/>
    </row>
    <row r="304" s="9" customFormat="true" ht="19.5" hidden="true" customHeight="true" outlineLevel="0" collapsed="false">
      <c r="C304" s="7"/>
      <c r="D304" s="7"/>
      <c r="E304" s="7"/>
      <c r="F304" s="7"/>
      <c r="G304" s="7"/>
      <c r="H304" s="13"/>
      <c r="I304" s="7"/>
      <c r="J304" s="14"/>
      <c r="K304" s="7"/>
    </row>
    <row r="305" s="9" customFormat="true" ht="19.5" hidden="true" customHeight="true" outlineLevel="0" collapsed="false">
      <c r="B305" s="7"/>
      <c r="C305" s="7"/>
      <c r="D305" s="7"/>
      <c r="E305" s="7"/>
      <c r="F305" s="7"/>
      <c r="G305" s="7"/>
      <c r="H305" s="13"/>
      <c r="I305" s="7"/>
      <c r="J305" s="14"/>
      <c r="K305" s="7"/>
    </row>
    <row r="306" s="9" customFormat="true" ht="19.5" hidden="true" customHeight="true" outlineLevel="0" collapsed="false">
      <c r="C306" s="7"/>
      <c r="D306" s="7"/>
      <c r="E306" s="7"/>
      <c r="F306" s="7"/>
      <c r="G306" s="7"/>
      <c r="H306" s="13"/>
      <c r="I306" s="7"/>
      <c r="J306" s="14"/>
      <c r="K306" s="7"/>
    </row>
    <row r="307" s="9" customFormat="true" ht="19.5" hidden="true" customHeight="true" outlineLevel="0" collapsed="false">
      <c r="C307" s="7"/>
      <c r="D307" s="7"/>
      <c r="E307" s="7"/>
      <c r="F307" s="7"/>
      <c r="G307" s="7"/>
      <c r="H307" s="13"/>
      <c r="I307" s="7"/>
      <c r="J307" s="14"/>
      <c r="K307" s="7"/>
    </row>
    <row r="308" s="9" customFormat="true" ht="19.5" hidden="true" customHeight="true" outlineLevel="0" collapsed="false">
      <c r="C308" s="7"/>
      <c r="D308" s="7"/>
      <c r="E308" s="7"/>
      <c r="F308" s="7"/>
      <c r="G308" s="7"/>
      <c r="H308" s="13"/>
      <c r="I308" s="7"/>
      <c r="J308" s="14"/>
      <c r="K308" s="7"/>
    </row>
    <row r="309" s="9" customFormat="true" ht="19.5" hidden="true" customHeight="true" outlineLevel="0" collapsed="false">
      <c r="C309" s="7"/>
      <c r="D309" s="7"/>
      <c r="E309" s="7"/>
      <c r="F309" s="7"/>
      <c r="G309" s="7"/>
      <c r="H309" s="13"/>
      <c r="I309" s="7"/>
      <c r="J309" s="14"/>
      <c r="K309" s="7"/>
    </row>
    <row r="310" s="9" customFormat="true" ht="19.5" hidden="true" customHeight="true" outlineLevel="0" collapsed="false">
      <c r="C310" s="7"/>
      <c r="D310" s="7"/>
      <c r="E310" s="7"/>
      <c r="F310" s="7"/>
      <c r="G310" s="7"/>
      <c r="H310" s="13"/>
      <c r="I310" s="7"/>
      <c r="J310" s="14"/>
      <c r="K310" s="7"/>
    </row>
    <row r="311" s="9" customFormat="true" ht="19.5" hidden="false" customHeight="true" outlineLevel="0" collapsed="false">
      <c r="C311" s="7"/>
      <c r="D311" s="7"/>
      <c r="E311" s="7"/>
      <c r="F311" s="7"/>
      <c r="G311" s="7"/>
      <c r="H311" s="13"/>
      <c r="I311" s="7"/>
      <c r="J311" s="14"/>
      <c r="K311" s="7"/>
    </row>
    <row r="312" s="9" customFormat="true" ht="19.5" hidden="false" customHeight="true" outlineLevel="0" collapsed="false">
      <c r="C312" s="7"/>
      <c r="D312" s="7"/>
      <c r="E312" s="7"/>
      <c r="F312" s="7"/>
      <c r="G312" s="7"/>
      <c r="H312" s="13"/>
      <c r="I312" s="7"/>
      <c r="J312" s="14"/>
      <c r="K312" s="7"/>
    </row>
    <row r="313" s="9" customFormat="true" ht="19.5" hidden="true" customHeight="true" outlineLevel="0" collapsed="false">
      <c r="B313" s="7"/>
      <c r="C313" s="7"/>
      <c r="D313" s="7"/>
      <c r="E313" s="7"/>
      <c r="F313" s="7"/>
      <c r="G313" s="7"/>
      <c r="H313" s="13"/>
      <c r="I313" s="7"/>
      <c r="J313" s="14"/>
      <c r="K313" s="7"/>
    </row>
    <row r="314" s="9" customFormat="true" ht="19.5" hidden="true" customHeight="true" outlineLevel="0" collapsed="false">
      <c r="C314" s="7"/>
      <c r="D314" s="7"/>
      <c r="E314" s="7"/>
      <c r="F314" s="7"/>
      <c r="G314" s="7"/>
      <c r="H314" s="13"/>
      <c r="I314" s="7"/>
      <c r="J314" s="14"/>
      <c r="K314" s="7"/>
    </row>
    <row r="315" s="9" customFormat="true" ht="19.5" hidden="false" customHeight="true" outlineLevel="0" collapsed="false">
      <c r="C315" s="7"/>
      <c r="D315" s="7"/>
      <c r="E315" s="7"/>
      <c r="F315" s="7"/>
      <c r="G315" s="7"/>
      <c r="H315" s="13"/>
      <c r="I315" s="7"/>
      <c r="J315" s="14"/>
      <c r="K315" s="7"/>
    </row>
    <row r="316" s="9" customFormat="true" ht="19.5" hidden="true" customHeight="true" outlineLevel="0" collapsed="false">
      <c r="C316" s="7"/>
      <c r="D316" s="7"/>
      <c r="E316" s="7"/>
      <c r="F316" s="7"/>
      <c r="G316" s="7"/>
      <c r="H316" s="13"/>
      <c r="I316" s="7"/>
      <c r="J316" s="14"/>
      <c r="K316" s="7"/>
    </row>
    <row r="317" s="9" customFormat="true" ht="19.5" hidden="true" customHeight="true" outlineLevel="0" collapsed="false">
      <c r="B317" s="7"/>
      <c r="C317" s="7"/>
      <c r="D317" s="7"/>
      <c r="E317" s="16"/>
      <c r="F317" s="7"/>
      <c r="G317" s="7"/>
      <c r="H317" s="13"/>
      <c r="I317" s="7"/>
      <c r="J317" s="14"/>
      <c r="K317" s="17"/>
    </row>
    <row r="318" s="9" customFormat="true" ht="19.5" hidden="true" customHeight="true" outlineLevel="0" collapsed="false">
      <c r="C318" s="7"/>
      <c r="D318" s="7"/>
      <c r="E318" s="16"/>
      <c r="F318" s="7"/>
      <c r="G318" s="7"/>
      <c r="H318" s="13"/>
      <c r="I318" s="7"/>
      <c r="J318" s="14"/>
      <c r="K318" s="17"/>
    </row>
    <row r="319" s="9" customFormat="true" ht="19.5" hidden="true" customHeight="true" outlineLevel="0" collapsed="false">
      <c r="C319" s="7"/>
      <c r="D319" s="7"/>
      <c r="E319" s="16"/>
      <c r="F319" s="7"/>
      <c r="G319" s="7"/>
      <c r="H319" s="13"/>
      <c r="I319" s="7"/>
      <c r="J319" s="14"/>
      <c r="K319" s="17"/>
    </row>
    <row r="320" s="9" customFormat="true" ht="19.5" hidden="true" customHeight="true" outlineLevel="0" collapsed="false">
      <c r="B320" s="7"/>
      <c r="C320" s="7"/>
      <c r="D320" s="7"/>
      <c r="E320" s="7"/>
      <c r="F320" s="7"/>
      <c r="G320" s="7"/>
      <c r="H320" s="13"/>
      <c r="I320" s="7"/>
      <c r="J320" s="14"/>
      <c r="K320" s="7"/>
    </row>
    <row r="321" s="9" customFormat="true" ht="19.5" hidden="true" customHeight="true" outlineLevel="0" collapsed="false">
      <c r="C321" s="7"/>
      <c r="D321" s="7"/>
      <c r="E321" s="7"/>
      <c r="F321" s="7"/>
      <c r="G321" s="7"/>
      <c r="H321" s="13"/>
      <c r="I321" s="7"/>
      <c r="J321" s="14"/>
      <c r="K321" s="7"/>
    </row>
    <row r="322" s="9" customFormat="true" ht="19.5" hidden="true" customHeight="true" outlineLevel="0" collapsed="false">
      <c r="C322" s="7"/>
      <c r="D322" s="7"/>
      <c r="E322" s="7"/>
      <c r="F322" s="7"/>
      <c r="G322" s="7"/>
      <c r="H322" s="13"/>
      <c r="I322" s="7"/>
      <c r="J322" s="14"/>
      <c r="K322" s="7"/>
    </row>
    <row r="323" s="9" customFormat="true" ht="19.5" hidden="false" customHeight="true" outlineLevel="0" collapsed="false">
      <c r="C323" s="7"/>
      <c r="D323" s="7"/>
      <c r="E323" s="7"/>
      <c r="F323" s="7"/>
      <c r="G323" s="7"/>
      <c r="H323" s="13"/>
      <c r="I323" s="7"/>
      <c r="J323" s="14"/>
      <c r="K323" s="7"/>
    </row>
    <row r="324" s="9" customFormat="true" ht="19.5" hidden="true" customHeight="true" outlineLevel="0" collapsed="false">
      <c r="B324" s="7"/>
      <c r="D324" s="7"/>
      <c r="E324" s="7"/>
      <c r="F324" s="7"/>
      <c r="G324" s="7"/>
      <c r="H324" s="13"/>
      <c r="I324" s="7"/>
      <c r="J324" s="14"/>
      <c r="K324" s="7"/>
    </row>
    <row r="325" s="9" customFormat="true" ht="19.5" hidden="false" customHeight="true" outlineLevel="0" collapsed="false">
      <c r="A325" s="7"/>
      <c r="B325" s="7"/>
      <c r="C325" s="7"/>
      <c r="D325" s="7"/>
      <c r="E325" s="7"/>
      <c r="F325" s="7"/>
      <c r="G325" s="7"/>
      <c r="H325" s="13"/>
      <c r="I325" s="7"/>
      <c r="J325" s="14"/>
      <c r="K325" s="7"/>
      <c r="L325" s="7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7"/>
    </row>
    <row r="326" s="9" customFormat="true" ht="19.5" hidden="false" customHeight="true" outlineLevel="0" collapsed="false">
      <c r="C326" s="7"/>
      <c r="D326" s="7"/>
      <c r="E326" s="7"/>
      <c r="F326" s="7"/>
      <c r="G326" s="7"/>
      <c r="H326" s="13"/>
      <c r="I326" s="7"/>
      <c r="J326" s="14"/>
      <c r="K326" s="7"/>
    </row>
    <row r="327" s="9" customFormat="true" ht="19.5" hidden="true" customHeight="true" outlineLevel="0" collapsed="false">
      <c r="C327" s="7"/>
      <c r="D327" s="7"/>
      <c r="E327" s="7"/>
      <c r="F327" s="7"/>
      <c r="G327" s="7"/>
      <c r="H327" s="13"/>
      <c r="I327" s="7"/>
      <c r="J327" s="14"/>
      <c r="K327" s="7"/>
    </row>
    <row r="328" s="9" customFormat="true" ht="19.5" hidden="true" customHeight="true" outlineLevel="0" collapsed="false">
      <c r="C328" s="7"/>
      <c r="D328" s="7"/>
      <c r="E328" s="7"/>
      <c r="F328" s="7"/>
      <c r="G328" s="7"/>
      <c r="H328" s="13"/>
      <c r="I328" s="7"/>
      <c r="J328" s="14"/>
      <c r="K328" s="7"/>
    </row>
    <row r="329" s="9" customFormat="true" ht="19.5" hidden="true" customHeight="true" outlineLevel="0" collapsed="false">
      <c r="C329" s="7"/>
      <c r="D329" s="7"/>
      <c r="E329" s="7"/>
      <c r="F329" s="7"/>
      <c r="G329" s="7"/>
      <c r="H329" s="13"/>
      <c r="I329" s="7"/>
      <c r="J329" s="14"/>
      <c r="K329" s="7"/>
    </row>
    <row r="330" s="9" customFormat="true" ht="19.5" hidden="true" customHeight="true" outlineLevel="0" collapsed="false">
      <c r="C330" s="7"/>
      <c r="D330" s="7"/>
      <c r="E330" s="7"/>
      <c r="F330" s="7"/>
      <c r="G330" s="7"/>
      <c r="H330" s="13"/>
      <c r="I330" s="7"/>
      <c r="J330" s="14"/>
      <c r="K330" s="7"/>
    </row>
    <row r="331" s="9" customFormat="true" ht="19.5" hidden="true" customHeight="true" outlineLevel="0" collapsed="false">
      <c r="B331" s="7"/>
      <c r="C331" s="7"/>
      <c r="D331" s="7"/>
      <c r="E331" s="7"/>
      <c r="F331" s="7"/>
      <c r="G331" s="7"/>
      <c r="H331" s="13"/>
      <c r="I331" s="7"/>
      <c r="J331" s="14"/>
      <c r="K331" s="7"/>
    </row>
    <row r="332" s="9" customFormat="true" ht="19.5" hidden="true" customHeight="true" outlineLevel="0" collapsed="false">
      <c r="C332" s="7"/>
      <c r="D332" s="7"/>
      <c r="E332" s="7"/>
      <c r="F332" s="7"/>
      <c r="G332" s="7"/>
      <c r="H332" s="13"/>
      <c r="I332" s="7"/>
      <c r="J332" s="14"/>
      <c r="K332" s="7"/>
    </row>
    <row r="333" s="9" customFormat="true" ht="19.5" hidden="true" customHeight="true" outlineLevel="0" collapsed="false">
      <c r="C333" s="7"/>
      <c r="D333" s="7"/>
      <c r="E333" s="7"/>
      <c r="F333" s="7"/>
      <c r="G333" s="7"/>
      <c r="H333" s="13"/>
      <c r="I333" s="7"/>
      <c r="J333" s="14"/>
      <c r="K333" s="7"/>
    </row>
    <row r="334" s="9" customFormat="true" ht="19.5" hidden="true" customHeight="true" outlineLevel="0" collapsed="false">
      <c r="C334" s="7"/>
      <c r="D334" s="7"/>
      <c r="E334" s="7"/>
      <c r="F334" s="7"/>
      <c r="G334" s="7"/>
      <c r="H334" s="13"/>
      <c r="I334" s="7"/>
      <c r="J334" s="14"/>
      <c r="K334" s="7"/>
    </row>
    <row r="335" s="9" customFormat="true" ht="19.5" hidden="true" customHeight="true" outlineLevel="0" collapsed="false">
      <c r="C335" s="7"/>
      <c r="D335" s="7"/>
      <c r="E335" s="7"/>
      <c r="F335" s="7"/>
      <c r="G335" s="7"/>
      <c r="H335" s="13"/>
      <c r="I335" s="7"/>
      <c r="J335" s="14"/>
      <c r="K335" s="7"/>
    </row>
    <row r="336" s="9" customFormat="true" ht="19.5" hidden="true" customHeight="true" outlineLevel="0" collapsed="false">
      <c r="C336" s="7"/>
      <c r="D336" s="7"/>
      <c r="E336" s="7"/>
      <c r="F336" s="7"/>
      <c r="G336" s="7"/>
      <c r="H336" s="13"/>
      <c r="I336" s="7"/>
      <c r="J336" s="14"/>
      <c r="K336" s="7"/>
    </row>
    <row r="337" s="9" customFormat="true" ht="19.5" hidden="false" customHeight="true" outlineLevel="0" collapsed="false">
      <c r="C337" s="7"/>
      <c r="D337" s="7"/>
      <c r="E337" s="7"/>
      <c r="F337" s="7"/>
      <c r="G337" s="7"/>
      <c r="H337" s="13"/>
      <c r="I337" s="7"/>
      <c r="J337" s="14"/>
      <c r="K337" s="7"/>
    </row>
    <row r="338" s="9" customFormat="true" ht="19.5" hidden="false" customHeight="true" outlineLevel="0" collapsed="false">
      <c r="C338" s="7"/>
      <c r="D338" s="7"/>
      <c r="E338" s="7"/>
      <c r="F338" s="7"/>
      <c r="G338" s="7"/>
      <c r="H338" s="13"/>
      <c r="I338" s="7"/>
      <c r="J338" s="14"/>
      <c r="K338" s="7"/>
    </row>
    <row r="339" s="9" customFormat="true" ht="19.5" hidden="true" customHeight="true" outlineLevel="0" collapsed="false">
      <c r="B339" s="7"/>
      <c r="C339" s="7"/>
      <c r="D339" s="7"/>
      <c r="E339" s="7"/>
      <c r="F339" s="7"/>
      <c r="G339" s="7"/>
      <c r="H339" s="13"/>
      <c r="I339" s="7"/>
      <c r="J339" s="14"/>
      <c r="K339" s="7"/>
    </row>
    <row r="340" s="9" customFormat="true" ht="19.5" hidden="true" customHeight="true" outlineLevel="0" collapsed="false">
      <c r="C340" s="7"/>
      <c r="D340" s="7"/>
      <c r="E340" s="7"/>
      <c r="F340" s="7"/>
      <c r="G340" s="7"/>
      <c r="H340" s="13"/>
      <c r="I340" s="7"/>
      <c r="J340" s="14"/>
      <c r="K340" s="7"/>
    </row>
    <row r="341" s="9" customFormat="true" ht="19.5" hidden="false" customHeight="true" outlineLevel="0" collapsed="false">
      <c r="C341" s="7"/>
      <c r="D341" s="7"/>
      <c r="E341" s="7"/>
      <c r="F341" s="7"/>
      <c r="G341" s="7"/>
      <c r="H341" s="13"/>
      <c r="I341" s="7"/>
      <c r="J341" s="14"/>
      <c r="K341" s="7"/>
    </row>
    <row r="342" s="9" customFormat="true" ht="19.5" hidden="true" customHeight="true" outlineLevel="0" collapsed="false">
      <c r="C342" s="7"/>
      <c r="D342" s="7"/>
      <c r="E342" s="7"/>
      <c r="F342" s="7"/>
      <c r="G342" s="7"/>
      <c r="H342" s="13"/>
      <c r="I342" s="7"/>
      <c r="J342" s="14"/>
      <c r="K342" s="7"/>
    </row>
    <row r="343" s="9" customFormat="true" ht="19.5" hidden="true" customHeight="true" outlineLevel="0" collapsed="false">
      <c r="B343" s="7"/>
      <c r="C343" s="7"/>
      <c r="D343" s="7"/>
      <c r="E343" s="16"/>
      <c r="F343" s="7"/>
      <c r="G343" s="7"/>
      <c r="H343" s="13"/>
      <c r="I343" s="7"/>
      <c r="J343" s="14"/>
      <c r="K343" s="17"/>
    </row>
    <row r="344" s="9" customFormat="true" ht="19.5" hidden="true" customHeight="true" outlineLevel="0" collapsed="false">
      <c r="C344" s="7"/>
      <c r="D344" s="7"/>
      <c r="E344" s="16"/>
      <c r="F344" s="7"/>
      <c r="G344" s="7"/>
      <c r="H344" s="13"/>
      <c r="I344" s="7"/>
      <c r="J344" s="14"/>
      <c r="K344" s="17"/>
    </row>
    <row r="345" s="9" customFormat="true" ht="19.5" hidden="true" customHeight="true" outlineLevel="0" collapsed="false">
      <c r="C345" s="7"/>
      <c r="D345" s="7"/>
      <c r="E345" s="16"/>
      <c r="F345" s="7"/>
      <c r="G345" s="7"/>
      <c r="H345" s="13"/>
      <c r="I345" s="7"/>
      <c r="J345" s="14"/>
      <c r="K345" s="17"/>
    </row>
    <row r="346" s="9" customFormat="true" ht="19.5" hidden="true" customHeight="true" outlineLevel="0" collapsed="false">
      <c r="B346" s="7"/>
      <c r="C346" s="7"/>
      <c r="D346" s="7"/>
      <c r="E346" s="7"/>
      <c r="F346" s="7"/>
      <c r="G346" s="7"/>
      <c r="H346" s="13"/>
      <c r="I346" s="7"/>
      <c r="J346" s="14"/>
      <c r="K346" s="7"/>
    </row>
    <row r="347" s="9" customFormat="true" ht="19.5" hidden="true" customHeight="true" outlineLevel="0" collapsed="false">
      <c r="C347" s="7"/>
      <c r="D347" s="7"/>
      <c r="E347" s="7"/>
      <c r="F347" s="7"/>
      <c r="G347" s="7"/>
      <c r="H347" s="13"/>
      <c r="I347" s="7"/>
      <c r="J347" s="14"/>
      <c r="K347" s="7"/>
    </row>
    <row r="348" s="9" customFormat="true" ht="19.5" hidden="true" customHeight="true" outlineLevel="0" collapsed="false">
      <c r="C348" s="7"/>
      <c r="D348" s="7"/>
      <c r="E348" s="7"/>
      <c r="F348" s="7"/>
      <c r="G348" s="7"/>
      <c r="H348" s="13"/>
      <c r="I348" s="7"/>
      <c r="J348" s="14"/>
      <c r="K348" s="7"/>
    </row>
    <row r="349" s="9" customFormat="true" ht="19.5" hidden="false" customHeight="true" outlineLevel="0" collapsed="false">
      <c r="C349" s="7"/>
      <c r="D349" s="7"/>
      <c r="E349" s="7"/>
      <c r="F349" s="7"/>
      <c r="G349" s="7"/>
      <c r="H349" s="13"/>
      <c r="I349" s="7"/>
      <c r="J349" s="14"/>
      <c r="K349" s="7"/>
    </row>
    <row r="350" s="9" customFormat="true" ht="19.5" hidden="true" customHeight="true" outlineLevel="0" collapsed="false">
      <c r="B350" s="7"/>
      <c r="D350" s="7"/>
      <c r="E350" s="7"/>
      <c r="F350" s="7"/>
      <c r="G350" s="7"/>
      <c r="H350" s="13"/>
      <c r="I350" s="7"/>
      <c r="J350" s="14"/>
      <c r="K350" s="7"/>
    </row>
    <row r="351" s="9" customFormat="true" ht="19.5" hidden="false" customHeight="true" outlineLevel="0" collapsed="false">
      <c r="A351" s="7"/>
      <c r="B351" s="7"/>
      <c r="C351" s="7"/>
      <c r="D351" s="7"/>
      <c r="E351" s="7"/>
      <c r="F351" s="7"/>
      <c r="G351" s="7"/>
      <c r="H351" s="13"/>
      <c r="I351" s="7"/>
      <c r="J351" s="14"/>
      <c r="K351" s="7"/>
      <c r="L351" s="7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7"/>
    </row>
    <row r="352" s="9" customFormat="true" ht="19.5" hidden="false" customHeight="true" outlineLevel="0" collapsed="false">
      <c r="C352" s="7"/>
      <c r="D352" s="7"/>
      <c r="E352" s="7"/>
      <c r="F352" s="7"/>
      <c r="G352" s="7"/>
      <c r="H352" s="13"/>
      <c r="I352" s="7"/>
      <c r="J352" s="14"/>
      <c r="K352" s="7"/>
    </row>
    <row r="353" s="9" customFormat="true" ht="19.5" hidden="true" customHeight="true" outlineLevel="0" collapsed="false">
      <c r="C353" s="7"/>
      <c r="D353" s="7"/>
      <c r="E353" s="7"/>
      <c r="F353" s="7"/>
      <c r="G353" s="7"/>
      <c r="H353" s="13"/>
      <c r="I353" s="7"/>
      <c r="J353" s="14"/>
      <c r="K353" s="7"/>
    </row>
    <row r="354" s="9" customFormat="true" ht="19.5" hidden="true" customHeight="true" outlineLevel="0" collapsed="false">
      <c r="C354" s="7"/>
      <c r="D354" s="7"/>
      <c r="E354" s="7"/>
      <c r="F354" s="7"/>
      <c r="G354" s="7"/>
      <c r="H354" s="13"/>
      <c r="I354" s="7"/>
      <c r="J354" s="14"/>
      <c r="K354" s="7"/>
    </row>
    <row r="355" s="9" customFormat="true" ht="19.5" hidden="true" customHeight="true" outlineLevel="0" collapsed="false">
      <c r="C355" s="7"/>
      <c r="D355" s="7"/>
      <c r="E355" s="7"/>
      <c r="F355" s="7"/>
      <c r="G355" s="7"/>
      <c r="H355" s="13"/>
      <c r="I355" s="7"/>
      <c r="J355" s="14"/>
      <c r="K355" s="7"/>
    </row>
    <row r="356" s="9" customFormat="true" ht="19.5" hidden="true" customHeight="true" outlineLevel="0" collapsed="false">
      <c r="C356" s="7"/>
      <c r="D356" s="7"/>
      <c r="E356" s="7"/>
      <c r="F356" s="7"/>
      <c r="G356" s="7"/>
      <c r="H356" s="13"/>
      <c r="I356" s="7"/>
      <c r="J356" s="14"/>
      <c r="K356" s="7"/>
    </row>
    <row r="357" s="9" customFormat="true" ht="19.5" hidden="true" customHeight="true" outlineLevel="0" collapsed="false">
      <c r="B357" s="7"/>
      <c r="C357" s="7"/>
      <c r="D357" s="7"/>
      <c r="E357" s="7"/>
      <c r="F357" s="7"/>
      <c r="G357" s="7"/>
      <c r="H357" s="13"/>
      <c r="I357" s="7"/>
      <c r="J357" s="14"/>
      <c r="K357" s="7"/>
    </row>
    <row r="358" s="9" customFormat="true" ht="19.5" hidden="true" customHeight="true" outlineLevel="0" collapsed="false">
      <c r="C358" s="7"/>
      <c r="D358" s="7"/>
      <c r="E358" s="7"/>
      <c r="F358" s="7"/>
      <c r="G358" s="7"/>
      <c r="H358" s="13"/>
      <c r="I358" s="7"/>
      <c r="J358" s="14"/>
      <c r="K358" s="7"/>
    </row>
    <row r="359" s="9" customFormat="true" ht="19.5" hidden="true" customHeight="true" outlineLevel="0" collapsed="false">
      <c r="C359" s="7"/>
      <c r="D359" s="7"/>
      <c r="E359" s="7"/>
      <c r="F359" s="7"/>
      <c r="G359" s="7"/>
      <c r="H359" s="13"/>
      <c r="I359" s="7"/>
      <c r="J359" s="14"/>
      <c r="K359" s="7"/>
    </row>
    <row r="360" s="9" customFormat="true" ht="19.5" hidden="true" customHeight="true" outlineLevel="0" collapsed="false">
      <c r="C360" s="7"/>
      <c r="D360" s="7"/>
      <c r="E360" s="7"/>
      <c r="F360" s="7"/>
      <c r="G360" s="7"/>
      <c r="H360" s="13"/>
      <c r="I360" s="7"/>
      <c r="J360" s="14"/>
      <c r="K360" s="7"/>
    </row>
    <row r="361" s="9" customFormat="true" ht="19.5" hidden="true" customHeight="true" outlineLevel="0" collapsed="false">
      <c r="C361" s="7"/>
      <c r="D361" s="7"/>
      <c r="E361" s="7"/>
      <c r="F361" s="7"/>
      <c r="G361" s="7"/>
      <c r="H361" s="13"/>
      <c r="I361" s="7"/>
      <c r="J361" s="14"/>
      <c r="K361" s="7"/>
    </row>
    <row r="362" s="9" customFormat="true" ht="19.5" hidden="true" customHeight="true" outlineLevel="0" collapsed="false">
      <c r="C362" s="7"/>
      <c r="D362" s="7"/>
      <c r="E362" s="7"/>
      <c r="F362" s="7"/>
      <c r="G362" s="7"/>
      <c r="H362" s="13"/>
      <c r="I362" s="7"/>
      <c r="J362" s="14"/>
      <c r="K362" s="7"/>
    </row>
    <row r="363" s="9" customFormat="true" ht="19.5" hidden="false" customHeight="true" outlineLevel="0" collapsed="false">
      <c r="C363" s="7"/>
      <c r="D363" s="7"/>
      <c r="E363" s="7"/>
      <c r="F363" s="7"/>
      <c r="G363" s="7"/>
      <c r="H363" s="13"/>
      <c r="I363" s="7"/>
      <c r="J363" s="14"/>
      <c r="K363" s="7"/>
    </row>
    <row r="364" s="9" customFormat="true" ht="19.5" hidden="false" customHeight="true" outlineLevel="0" collapsed="false">
      <c r="C364" s="7"/>
      <c r="D364" s="7"/>
      <c r="E364" s="7"/>
      <c r="F364" s="7"/>
      <c r="G364" s="7"/>
      <c r="H364" s="13"/>
      <c r="I364" s="7"/>
      <c r="J364" s="14"/>
      <c r="K364" s="7"/>
    </row>
    <row r="365" s="9" customFormat="true" ht="19.5" hidden="true" customHeight="true" outlineLevel="0" collapsed="false">
      <c r="B365" s="7"/>
      <c r="C365" s="7"/>
      <c r="D365" s="7"/>
      <c r="E365" s="7"/>
      <c r="F365" s="7"/>
      <c r="G365" s="7"/>
      <c r="H365" s="13"/>
      <c r="I365" s="7"/>
      <c r="J365" s="14"/>
      <c r="K365" s="7"/>
    </row>
    <row r="366" s="9" customFormat="true" ht="19.5" hidden="true" customHeight="true" outlineLevel="0" collapsed="false">
      <c r="C366" s="7"/>
      <c r="D366" s="7"/>
      <c r="E366" s="7"/>
      <c r="F366" s="7"/>
      <c r="G366" s="7"/>
      <c r="H366" s="13"/>
      <c r="I366" s="7"/>
      <c r="J366" s="14"/>
      <c r="K366" s="7"/>
    </row>
    <row r="367" s="9" customFormat="true" ht="19.5" hidden="false" customHeight="true" outlineLevel="0" collapsed="false">
      <c r="C367" s="7"/>
      <c r="D367" s="7"/>
      <c r="E367" s="7"/>
      <c r="F367" s="7"/>
      <c r="G367" s="7"/>
      <c r="H367" s="13"/>
      <c r="I367" s="7"/>
      <c r="J367" s="14"/>
      <c r="K367" s="7"/>
    </row>
    <row r="368" s="9" customFormat="true" ht="19.5" hidden="true" customHeight="true" outlineLevel="0" collapsed="false">
      <c r="C368" s="7"/>
      <c r="D368" s="7"/>
      <c r="E368" s="7"/>
      <c r="F368" s="7"/>
      <c r="G368" s="7"/>
      <c r="H368" s="13"/>
      <c r="I368" s="7"/>
      <c r="J368" s="14"/>
      <c r="K368" s="7"/>
    </row>
    <row r="369" s="9" customFormat="true" ht="19.5" hidden="true" customHeight="true" outlineLevel="0" collapsed="false">
      <c r="B369" s="7"/>
      <c r="C369" s="7"/>
      <c r="D369" s="7"/>
      <c r="E369" s="16"/>
      <c r="F369" s="7"/>
      <c r="G369" s="7"/>
      <c r="H369" s="13"/>
      <c r="I369" s="7"/>
      <c r="J369" s="14"/>
      <c r="K369" s="17"/>
    </row>
    <row r="370" s="9" customFormat="true" ht="19.5" hidden="true" customHeight="true" outlineLevel="0" collapsed="false">
      <c r="C370" s="7"/>
      <c r="D370" s="7"/>
      <c r="E370" s="16"/>
      <c r="F370" s="7"/>
      <c r="G370" s="7"/>
      <c r="H370" s="13"/>
      <c r="I370" s="7"/>
      <c r="J370" s="14"/>
      <c r="K370" s="17"/>
    </row>
    <row r="371" s="9" customFormat="true" ht="19.5" hidden="true" customHeight="true" outlineLevel="0" collapsed="false">
      <c r="C371" s="7"/>
      <c r="D371" s="7"/>
      <c r="E371" s="16"/>
      <c r="F371" s="7"/>
      <c r="G371" s="7"/>
      <c r="H371" s="13"/>
      <c r="I371" s="7"/>
      <c r="J371" s="14"/>
      <c r="K371" s="17"/>
    </row>
    <row r="372" s="9" customFormat="true" ht="19.5" hidden="true" customHeight="true" outlineLevel="0" collapsed="false">
      <c r="B372" s="7"/>
      <c r="C372" s="7"/>
      <c r="D372" s="7"/>
      <c r="E372" s="7"/>
      <c r="F372" s="7"/>
      <c r="G372" s="7"/>
      <c r="H372" s="13"/>
      <c r="I372" s="7"/>
      <c r="J372" s="14"/>
      <c r="K372" s="7"/>
    </row>
    <row r="373" s="9" customFormat="true" ht="19.5" hidden="true" customHeight="true" outlineLevel="0" collapsed="false">
      <c r="C373" s="7"/>
      <c r="D373" s="7"/>
      <c r="E373" s="7"/>
      <c r="F373" s="7"/>
      <c r="G373" s="7"/>
      <c r="H373" s="13"/>
      <c r="I373" s="7"/>
      <c r="J373" s="14"/>
      <c r="K373" s="7"/>
    </row>
    <row r="374" s="9" customFormat="true" ht="19.5" hidden="true" customHeight="true" outlineLevel="0" collapsed="false">
      <c r="C374" s="7"/>
      <c r="D374" s="7"/>
      <c r="E374" s="7"/>
      <c r="F374" s="7"/>
      <c r="G374" s="7"/>
      <c r="H374" s="13"/>
      <c r="I374" s="7"/>
      <c r="J374" s="14"/>
      <c r="K374" s="7"/>
    </row>
    <row r="375" s="9" customFormat="true" ht="19.5" hidden="false" customHeight="true" outlineLevel="0" collapsed="false">
      <c r="C375" s="7"/>
      <c r="D375" s="7"/>
      <c r="E375" s="7"/>
      <c r="F375" s="7"/>
      <c r="G375" s="7"/>
      <c r="H375" s="13"/>
      <c r="I375" s="7"/>
      <c r="J375" s="14"/>
      <c r="K375" s="7"/>
    </row>
    <row r="376" s="9" customFormat="true" ht="19.5" hidden="true" customHeight="true" outlineLevel="0" collapsed="false">
      <c r="B376" s="7"/>
      <c r="D376" s="7"/>
      <c r="E376" s="7"/>
      <c r="F376" s="7"/>
      <c r="G376" s="7"/>
      <c r="H376" s="13"/>
      <c r="I376" s="7"/>
      <c r="J376" s="14"/>
      <c r="K376" s="7"/>
    </row>
    <row r="377" s="9" customFormat="true" ht="19.5" hidden="false" customHeight="true" outlineLevel="0" collapsed="false">
      <c r="A377" s="7"/>
      <c r="B377" s="7"/>
      <c r="C377" s="7"/>
      <c r="D377" s="7"/>
      <c r="E377" s="7"/>
      <c r="F377" s="7"/>
      <c r="G377" s="7"/>
      <c r="H377" s="13"/>
      <c r="I377" s="7"/>
      <c r="J377" s="14"/>
      <c r="K377" s="7"/>
      <c r="L377" s="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7"/>
    </row>
    <row r="378" s="9" customFormat="true" ht="19.5" hidden="false" customHeight="true" outlineLevel="0" collapsed="false">
      <c r="C378" s="7"/>
      <c r="D378" s="7"/>
      <c r="E378" s="7"/>
      <c r="F378" s="7"/>
      <c r="G378" s="7"/>
      <c r="H378" s="13"/>
      <c r="I378" s="7"/>
      <c r="J378" s="14"/>
      <c r="K378" s="7"/>
    </row>
    <row r="379" s="9" customFormat="true" ht="19.5" hidden="true" customHeight="true" outlineLevel="0" collapsed="false">
      <c r="C379" s="7"/>
      <c r="D379" s="7"/>
      <c r="E379" s="7"/>
      <c r="F379" s="7"/>
      <c r="G379" s="7"/>
      <c r="H379" s="13"/>
      <c r="I379" s="7"/>
      <c r="J379" s="14"/>
      <c r="K379" s="7"/>
    </row>
    <row r="380" s="9" customFormat="true" ht="19.5" hidden="true" customHeight="true" outlineLevel="0" collapsed="false">
      <c r="C380" s="7"/>
      <c r="D380" s="7"/>
      <c r="E380" s="7"/>
      <c r="F380" s="7"/>
      <c r="G380" s="7"/>
      <c r="H380" s="13"/>
      <c r="I380" s="7"/>
      <c r="J380" s="14"/>
      <c r="K380" s="7"/>
    </row>
    <row r="381" s="9" customFormat="true" ht="19.5" hidden="true" customHeight="true" outlineLevel="0" collapsed="false">
      <c r="C381" s="7"/>
      <c r="D381" s="7"/>
      <c r="E381" s="7"/>
      <c r="F381" s="7"/>
      <c r="G381" s="7"/>
      <c r="H381" s="13"/>
      <c r="I381" s="7"/>
      <c r="J381" s="14"/>
      <c r="K381" s="7"/>
    </row>
    <row r="382" s="9" customFormat="true" ht="19.5" hidden="true" customHeight="true" outlineLevel="0" collapsed="false">
      <c r="C382" s="7"/>
      <c r="D382" s="7"/>
      <c r="E382" s="7"/>
      <c r="F382" s="7"/>
      <c r="G382" s="7"/>
      <c r="H382" s="13"/>
      <c r="I382" s="7"/>
      <c r="J382" s="14"/>
      <c r="K382" s="7"/>
    </row>
    <row r="383" s="9" customFormat="true" ht="19.5" hidden="true" customHeight="true" outlineLevel="0" collapsed="false">
      <c r="B383" s="7"/>
      <c r="C383" s="7"/>
      <c r="D383" s="7"/>
      <c r="E383" s="7"/>
      <c r="F383" s="7"/>
      <c r="G383" s="7"/>
      <c r="H383" s="13"/>
      <c r="I383" s="7"/>
      <c r="J383" s="14"/>
      <c r="K383" s="7"/>
    </row>
    <row r="384" s="9" customFormat="true" ht="19.5" hidden="true" customHeight="true" outlineLevel="0" collapsed="false">
      <c r="C384" s="7"/>
      <c r="D384" s="7"/>
      <c r="E384" s="7"/>
      <c r="F384" s="7"/>
      <c r="G384" s="7"/>
      <c r="H384" s="13"/>
      <c r="I384" s="7"/>
      <c r="J384" s="14"/>
      <c r="K384" s="7"/>
    </row>
    <row r="385" s="9" customFormat="true" ht="19.5" hidden="true" customHeight="true" outlineLevel="0" collapsed="false">
      <c r="C385" s="7"/>
      <c r="D385" s="7"/>
      <c r="E385" s="7"/>
      <c r="F385" s="7"/>
      <c r="G385" s="7"/>
      <c r="H385" s="13"/>
      <c r="I385" s="7"/>
      <c r="J385" s="14"/>
      <c r="K385" s="7"/>
    </row>
    <row r="386" s="9" customFormat="true" ht="19.5" hidden="true" customHeight="true" outlineLevel="0" collapsed="false">
      <c r="C386" s="7"/>
      <c r="D386" s="7"/>
      <c r="E386" s="7"/>
      <c r="F386" s="7"/>
      <c r="G386" s="7"/>
      <c r="H386" s="13"/>
      <c r="I386" s="7"/>
      <c r="J386" s="14"/>
      <c r="K386" s="7"/>
    </row>
    <row r="387" s="9" customFormat="true" ht="19.5" hidden="true" customHeight="true" outlineLevel="0" collapsed="false">
      <c r="C387" s="7"/>
      <c r="D387" s="7"/>
      <c r="E387" s="7"/>
      <c r="F387" s="7"/>
      <c r="G387" s="7"/>
      <c r="H387" s="13"/>
      <c r="I387" s="7"/>
      <c r="J387" s="14"/>
      <c r="K387" s="7"/>
    </row>
    <row r="388" s="9" customFormat="true" ht="19.5" hidden="true" customHeight="true" outlineLevel="0" collapsed="false">
      <c r="C388" s="7"/>
      <c r="D388" s="7"/>
      <c r="E388" s="7"/>
      <c r="F388" s="7"/>
      <c r="G388" s="7"/>
      <c r="H388" s="13"/>
      <c r="I388" s="7"/>
      <c r="J388" s="14"/>
      <c r="K388" s="7"/>
    </row>
    <row r="389" s="9" customFormat="true" ht="19.5" hidden="false" customHeight="true" outlineLevel="0" collapsed="false">
      <c r="C389" s="7"/>
      <c r="D389" s="7"/>
      <c r="E389" s="7"/>
      <c r="F389" s="7"/>
      <c r="G389" s="7"/>
      <c r="H389" s="13"/>
      <c r="I389" s="7"/>
      <c r="J389" s="14"/>
      <c r="K389" s="7"/>
    </row>
    <row r="390" s="9" customFormat="true" ht="19.5" hidden="false" customHeight="true" outlineLevel="0" collapsed="false">
      <c r="C390" s="7"/>
      <c r="D390" s="7"/>
      <c r="E390" s="7"/>
      <c r="F390" s="7"/>
      <c r="G390" s="7"/>
      <c r="H390" s="13"/>
      <c r="I390" s="7"/>
      <c r="J390" s="14"/>
      <c r="K390" s="7"/>
    </row>
    <row r="391" s="9" customFormat="true" ht="19.5" hidden="true" customHeight="true" outlineLevel="0" collapsed="false">
      <c r="B391" s="7"/>
      <c r="C391" s="7"/>
      <c r="D391" s="7"/>
      <c r="E391" s="7"/>
      <c r="F391" s="7"/>
      <c r="G391" s="7"/>
      <c r="H391" s="13"/>
      <c r="I391" s="7"/>
      <c r="J391" s="14"/>
      <c r="K391" s="7"/>
    </row>
    <row r="392" s="9" customFormat="true" ht="19.5" hidden="true" customHeight="true" outlineLevel="0" collapsed="false">
      <c r="C392" s="7"/>
      <c r="D392" s="7"/>
      <c r="E392" s="7"/>
      <c r="F392" s="7"/>
      <c r="G392" s="7"/>
      <c r="H392" s="13"/>
      <c r="I392" s="7"/>
      <c r="J392" s="14"/>
      <c r="K392" s="7"/>
    </row>
    <row r="393" s="9" customFormat="true" ht="19.5" hidden="false" customHeight="true" outlineLevel="0" collapsed="false">
      <c r="C393" s="7"/>
      <c r="D393" s="7"/>
      <c r="E393" s="7"/>
      <c r="F393" s="7"/>
      <c r="G393" s="7"/>
      <c r="H393" s="13"/>
      <c r="I393" s="7"/>
      <c r="J393" s="14"/>
      <c r="K393" s="7"/>
    </row>
    <row r="394" s="9" customFormat="true" ht="19.5" hidden="true" customHeight="true" outlineLevel="0" collapsed="false">
      <c r="C394" s="7"/>
      <c r="D394" s="7"/>
      <c r="E394" s="7"/>
      <c r="F394" s="7"/>
      <c r="G394" s="7"/>
      <c r="H394" s="13"/>
      <c r="I394" s="7"/>
      <c r="J394" s="14"/>
      <c r="K394" s="7"/>
    </row>
    <row r="395" s="9" customFormat="true" ht="19.5" hidden="true" customHeight="true" outlineLevel="0" collapsed="false">
      <c r="B395" s="7"/>
      <c r="C395" s="7"/>
      <c r="D395" s="7"/>
      <c r="E395" s="16"/>
      <c r="F395" s="7"/>
      <c r="G395" s="7"/>
      <c r="H395" s="13"/>
      <c r="I395" s="7"/>
      <c r="J395" s="14"/>
      <c r="K395" s="17"/>
    </row>
    <row r="396" s="9" customFormat="true" ht="19.5" hidden="true" customHeight="true" outlineLevel="0" collapsed="false">
      <c r="C396" s="7"/>
      <c r="D396" s="7"/>
      <c r="E396" s="16"/>
      <c r="F396" s="7"/>
      <c r="G396" s="7"/>
      <c r="H396" s="13"/>
      <c r="I396" s="7"/>
      <c r="J396" s="14"/>
      <c r="K396" s="17"/>
    </row>
    <row r="397" s="9" customFormat="true" ht="19.5" hidden="true" customHeight="true" outlineLevel="0" collapsed="false">
      <c r="C397" s="7"/>
      <c r="D397" s="7"/>
      <c r="E397" s="16"/>
      <c r="F397" s="7"/>
      <c r="G397" s="7"/>
      <c r="H397" s="13"/>
      <c r="I397" s="7"/>
      <c r="J397" s="14"/>
      <c r="K397" s="17"/>
    </row>
    <row r="398" s="9" customFormat="true" ht="19.5" hidden="true" customHeight="true" outlineLevel="0" collapsed="false">
      <c r="B398" s="7"/>
      <c r="C398" s="7"/>
      <c r="D398" s="7"/>
      <c r="E398" s="7"/>
      <c r="F398" s="7"/>
      <c r="G398" s="7"/>
      <c r="H398" s="13"/>
      <c r="I398" s="7"/>
      <c r="J398" s="14"/>
      <c r="K398" s="7"/>
    </row>
    <row r="399" s="9" customFormat="true" ht="19.5" hidden="true" customHeight="true" outlineLevel="0" collapsed="false">
      <c r="C399" s="7"/>
      <c r="D399" s="7"/>
      <c r="E399" s="7"/>
      <c r="F399" s="7"/>
      <c r="G399" s="7"/>
      <c r="H399" s="13"/>
      <c r="I399" s="7"/>
      <c r="J399" s="14"/>
      <c r="K399" s="7"/>
    </row>
    <row r="400" s="9" customFormat="true" ht="19.5" hidden="true" customHeight="true" outlineLevel="0" collapsed="false">
      <c r="C400" s="7"/>
      <c r="D400" s="7"/>
      <c r="E400" s="7"/>
      <c r="F400" s="7"/>
      <c r="G400" s="7"/>
      <c r="H400" s="13"/>
      <c r="I400" s="7"/>
      <c r="J400" s="14"/>
      <c r="K400" s="7"/>
    </row>
    <row r="401" s="9" customFormat="true" ht="19.5" hidden="false" customHeight="true" outlineLevel="0" collapsed="false">
      <c r="C401" s="7"/>
      <c r="D401" s="7"/>
      <c r="E401" s="7"/>
      <c r="F401" s="7"/>
      <c r="G401" s="7"/>
      <c r="H401" s="13"/>
      <c r="I401" s="7"/>
      <c r="J401" s="14"/>
      <c r="K401" s="7"/>
    </row>
    <row r="402" s="9" customFormat="true" ht="19.5" hidden="true" customHeight="true" outlineLevel="0" collapsed="false">
      <c r="B402" s="7"/>
      <c r="D402" s="7"/>
      <c r="E402" s="7"/>
      <c r="F402" s="7"/>
      <c r="G402" s="7"/>
      <c r="H402" s="13"/>
      <c r="I402" s="7"/>
      <c r="J402" s="14"/>
      <c r="K402" s="7"/>
    </row>
    <row r="403" s="9" customFormat="true" ht="19.5" hidden="false" customHeight="true" outlineLevel="0" collapsed="false">
      <c r="A403" s="7"/>
      <c r="B403" s="7"/>
      <c r="C403" s="7"/>
      <c r="D403" s="7"/>
      <c r="E403" s="7"/>
      <c r="F403" s="7"/>
      <c r="G403" s="7"/>
      <c r="H403" s="13"/>
      <c r="I403" s="7"/>
      <c r="J403" s="14"/>
      <c r="K403" s="7"/>
      <c r="L403" s="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7"/>
    </row>
    <row r="404" s="9" customFormat="true" ht="19.5" hidden="false" customHeight="true" outlineLevel="0" collapsed="false">
      <c r="C404" s="7"/>
      <c r="D404" s="7"/>
      <c r="E404" s="7"/>
      <c r="F404" s="7"/>
      <c r="G404" s="7"/>
      <c r="H404" s="13"/>
      <c r="I404" s="7"/>
      <c r="J404" s="14"/>
      <c r="K404" s="7"/>
    </row>
    <row r="405" s="9" customFormat="true" ht="19.5" hidden="true" customHeight="true" outlineLevel="0" collapsed="false">
      <c r="C405" s="7"/>
      <c r="D405" s="7"/>
      <c r="E405" s="7"/>
      <c r="F405" s="7"/>
      <c r="G405" s="7"/>
      <c r="H405" s="13"/>
      <c r="I405" s="7"/>
      <c r="J405" s="14"/>
      <c r="K405" s="7"/>
    </row>
    <row r="406" s="9" customFormat="true" ht="19.5" hidden="true" customHeight="true" outlineLevel="0" collapsed="false">
      <c r="C406" s="7"/>
      <c r="D406" s="7"/>
      <c r="E406" s="7"/>
      <c r="F406" s="7"/>
      <c r="G406" s="7"/>
      <c r="H406" s="13"/>
      <c r="I406" s="7"/>
      <c r="J406" s="14"/>
      <c r="K406" s="7"/>
    </row>
    <row r="407" s="9" customFormat="true" ht="19.5" hidden="true" customHeight="true" outlineLevel="0" collapsed="false">
      <c r="C407" s="7"/>
      <c r="D407" s="7"/>
      <c r="E407" s="7"/>
      <c r="F407" s="7"/>
      <c r="G407" s="7"/>
      <c r="H407" s="13"/>
      <c r="I407" s="7"/>
      <c r="J407" s="14"/>
      <c r="K407" s="7"/>
    </row>
    <row r="408" s="9" customFormat="true" ht="19.5" hidden="true" customHeight="true" outlineLevel="0" collapsed="false">
      <c r="C408" s="7"/>
      <c r="D408" s="7"/>
      <c r="E408" s="7"/>
      <c r="F408" s="7"/>
      <c r="G408" s="7"/>
      <c r="H408" s="13"/>
      <c r="I408" s="7"/>
      <c r="J408" s="14"/>
      <c r="K408" s="7"/>
    </row>
    <row r="409" s="9" customFormat="true" ht="19.5" hidden="true" customHeight="true" outlineLevel="0" collapsed="false">
      <c r="C409" s="7"/>
      <c r="D409" s="7"/>
      <c r="E409" s="7"/>
      <c r="F409" s="7"/>
      <c r="G409" s="7"/>
      <c r="H409" s="13"/>
      <c r="I409" s="7"/>
      <c r="J409" s="14"/>
      <c r="K409" s="7"/>
    </row>
    <row r="410" s="9" customFormat="true" ht="19.5" hidden="true" customHeight="true" outlineLevel="0" collapsed="false">
      <c r="B410" s="7"/>
      <c r="C410" s="7"/>
      <c r="D410" s="7"/>
      <c r="E410" s="7"/>
      <c r="F410" s="7"/>
      <c r="G410" s="7"/>
      <c r="H410" s="13"/>
      <c r="I410" s="7"/>
      <c r="J410" s="14"/>
      <c r="K410" s="7"/>
    </row>
    <row r="411" s="9" customFormat="true" ht="19.5" hidden="true" customHeight="true" outlineLevel="0" collapsed="false">
      <c r="C411" s="7"/>
      <c r="D411" s="7"/>
      <c r="E411" s="7"/>
      <c r="F411" s="7"/>
      <c r="G411" s="7"/>
      <c r="H411" s="13"/>
      <c r="I411" s="7"/>
      <c r="J411" s="14"/>
      <c r="K411" s="7"/>
    </row>
    <row r="412" s="9" customFormat="true" ht="19.5" hidden="true" customHeight="true" outlineLevel="0" collapsed="false">
      <c r="C412" s="7"/>
      <c r="D412" s="7"/>
      <c r="E412" s="7"/>
      <c r="F412" s="7"/>
      <c r="G412" s="7"/>
      <c r="H412" s="13"/>
      <c r="I412" s="7"/>
      <c r="J412" s="14"/>
      <c r="K412" s="7"/>
    </row>
    <row r="413" s="9" customFormat="true" ht="19.5" hidden="true" customHeight="true" outlineLevel="0" collapsed="false">
      <c r="C413" s="7"/>
      <c r="D413" s="7"/>
      <c r="E413" s="7"/>
      <c r="F413" s="7"/>
      <c r="G413" s="7"/>
      <c r="H413" s="13"/>
      <c r="I413" s="7"/>
      <c r="J413" s="14"/>
      <c r="K413" s="7"/>
    </row>
    <row r="414" s="9" customFormat="true" ht="19.5" hidden="true" customHeight="true" outlineLevel="0" collapsed="false">
      <c r="C414" s="7"/>
      <c r="D414" s="7"/>
      <c r="E414" s="7"/>
      <c r="F414" s="7"/>
      <c r="G414" s="7"/>
      <c r="H414" s="13"/>
      <c r="I414" s="7"/>
      <c r="J414" s="14"/>
      <c r="K414" s="7"/>
    </row>
    <row r="415" s="9" customFormat="true" ht="19.5" hidden="true" customHeight="true" outlineLevel="0" collapsed="false">
      <c r="C415" s="7"/>
      <c r="D415" s="7"/>
      <c r="E415" s="7"/>
      <c r="F415" s="7"/>
      <c r="G415" s="7"/>
      <c r="H415" s="13"/>
      <c r="I415" s="7"/>
      <c r="J415" s="14"/>
      <c r="K415" s="7"/>
    </row>
    <row r="416" s="9" customFormat="true" ht="19.5" hidden="true" customHeight="true" outlineLevel="0" collapsed="false">
      <c r="C416" s="7"/>
      <c r="D416" s="7"/>
      <c r="E416" s="7"/>
      <c r="F416" s="7"/>
      <c r="G416" s="7"/>
      <c r="H416" s="13"/>
      <c r="I416" s="7"/>
      <c r="J416" s="14"/>
      <c r="K416" s="7"/>
    </row>
    <row r="417" s="9" customFormat="true" ht="19.5" hidden="true" customHeight="true" outlineLevel="0" collapsed="false">
      <c r="C417" s="7"/>
      <c r="D417" s="7"/>
      <c r="E417" s="7"/>
      <c r="F417" s="7"/>
      <c r="G417" s="7"/>
      <c r="H417" s="13"/>
      <c r="I417" s="7"/>
      <c r="J417" s="14"/>
      <c r="K417" s="7"/>
    </row>
    <row r="418" s="9" customFormat="true" ht="19.5" hidden="false" customHeight="true" outlineLevel="0" collapsed="false">
      <c r="C418" s="7"/>
      <c r="D418" s="7"/>
      <c r="E418" s="7"/>
      <c r="F418" s="7"/>
      <c r="G418" s="7"/>
      <c r="H418" s="13"/>
      <c r="I418" s="7"/>
      <c r="J418" s="14"/>
      <c r="K418" s="7"/>
    </row>
    <row r="419" s="9" customFormat="true" ht="19.5" hidden="false" customHeight="true" outlineLevel="0" collapsed="false">
      <c r="C419" s="7"/>
      <c r="D419" s="7"/>
      <c r="E419" s="7"/>
      <c r="F419" s="7"/>
      <c r="G419" s="7"/>
      <c r="H419" s="13"/>
      <c r="I419" s="7"/>
      <c r="J419" s="14"/>
      <c r="K419" s="7"/>
    </row>
    <row r="420" s="9" customFormat="true" ht="19.5" hidden="true" customHeight="true" outlineLevel="0" collapsed="false">
      <c r="B420" s="7"/>
      <c r="C420" s="7"/>
      <c r="D420" s="7"/>
      <c r="E420" s="7"/>
      <c r="F420" s="7"/>
      <c r="G420" s="7"/>
      <c r="H420" s="13"/>
      <c r="I420" s="7"/>
      <c r="J420" s="14"/>
      <c r="K420" s="7"/>
    </row>
    <row r="421" s="9" customFormat="true" ht="19.5" hidden="true" customHeight="true" outlineLevel="0" collapsed="false">
      <c r="C421" s="7"/>
      <c r="D421" s="7"/>
      <c r="E421" s="7"/>
      <c r="F421" s="7"/>
      <c r="G421" s="7"/>
      <c r="H421" s="13"/>
      <c r="I421" s="7"/>
      <c r="J421" s="14"/>
      <c r="K421" s="7"/>
    </row>
    <row r="422" s="9" customFormat="true" ht="19.5" hidden="false" customHeight="true" outlineLevel="0" collapsed="false">
      <c r="C422" s="7"/>
      <c r="D422" s="7"/>
      <c r="E422" s="7"/>
      <c r="F422" s="7"/>
      <c r="G422" s="7"/>
      <c r="H422" s="13"/>
      <c r="I422" s="7"/>
      <c r="J422" s="14"/>
      <c r="K422" s="7"/>
    </row>
    <row r="423" s="9" customFormat="true" ht="19.5" hidden="true" customHeight="true" outlineLevel="0" collapsed="false">
      <c r="C423" s="7"/>
      <c r="D423" s="7"/>
      <c r="E423" s="7"/>
      <c r="F423" s="7"/>
      <c r="G423" s="7"/>
      <c r="H423" s="13"/>
      <c r="I423" s="7"/>
      <c r="J423" s="14"/>
      <c r="K423" s="7"/>
    </row>
    <row r="424" s="9" customFormat="true" ht="19.5" hidden="true" customHeight="true" outlineLevel="0" collapsed="false">
      <c r="B424" s="7"/>
      <c r="C424" s="7"/>
      <c r="D424" s="7"/>
      <c r="E424" s="16"/>
      <c r="F424" s="7"/>
      <c r="G424" s="7"/>
      <c r="H424" s="13"/>
      <c r="I424" s="7"/>
      <c r="J424" s="14"/>
      <c r="K424" s="17"/>
    </row>
    <row r="425" s="9" customFormat="true" ht="19.5" hidden="true" customHeight="true" outlineLevel="0" collapsed="false">
      <c r="C425" s="7"/>
      <c r="D425" s="7"/>
      <c r="E425" s="16"/>
      <c r="F425" s="7"/>
      <c r="G425" s="7"/>
      <c r="H425" s="13"/>
      <c r="I425" s="7"/>
      <c r="J425" s="14"/>
      <c r="K425" s="17"/>
    </row>
    <row r="426" s="9" customFormat="true" ht="19.5" hidden="true" customHeight="true" outlineLevel="0" collapsed="false">
      <c r="C426" s="7"/>
      <c r="D426" s="7"/>
      <c r="E426" s="16"/>
      <c r="F426" s="7"/>
      <c r="G426" s="7"/>
      <c r="H426" s="13"/>
      <c r="I426" s="7"/>
      <c r="J426" s="14"/>
      <c r="K426" s="17"/>
    </row>
    <row r="427" s="9" customFormat="true" ht="19.5" hidden="true" customHeight="true" outlineLevel="0" collapsed="false">
      <c r="B427" s="7"/>
      <c r="C427" s="7"/>
      <c r="D427" s="7"/>
      <c r="E427" s="7"/>
      <c r="F427" s="7"/>
      <c r="G427" s="7"/>
      <c r="H427" s="13"/>
      <c r="I427" s="7"/>
      <c r="J427" s="14"/>
      <c r="K427" s="7"/>
    </row>
    <row r="428" s="9" customFormat="true" ht="19.5" hidden="true" customHeight="true" outlineLevel="0" collapsed="false">
      <c r="C428" s="7"/>
      <c r="D428" s="7"/>
      <c r="E428" s="7"/>
      <c r="F428" s="7"/>
      <c r="G428" s="7"/>
      <c r="H428" s="13"/>
      <c r="I428" s="7"/>
      <c r="J428" s="14"/>
      <c r="K428" s="7"/>
    </row>
    <row r="429" s="9" customFormat="true" ht="19.5" hidden="true" customHeight="true" outlineLevel="0" collapsed="false">
      <c r="C429" s="7"/>
      <c r="D429" s="7"/>
      <c r="E429" s="7"/>
      <c r="F429" s="7"/>
      <c r="G429" s="7"/>
      <c r="H429" s="13"/>
      <c r="I429" s="7"/>
      <c r="J429" s="14"/>
      <c r="K429" s="7"/>
    </row>
    <row r="430" s="9" customFormat="true" ht="19.5" hidden="false" customHeight="true" outlineLevel="0" collapsed="false">
      <c r="C430" s="7"/>
      <c r="D430" s="7"/>
      <c r="E430" s="7"/>
      <c r="F430" s="7"/>
      <c r="G430" s="7"/>
      <c r="H430" s="13"/>
      <c r="I430" s="7"/>
      <c r="J430" s="14"/>
      <c r="K430" s="7"/>
    </row>
    <row r="431" s="9" customFormat="true" ht="19.5" hidden="true" customHeight="true" outlineLevel="0" collapsed="false">
      <c r="B431" s="7"/>
      <c r="D431" s="7"/>
      <c r="E431" s="7"/>
      <c r="F431" s="7"/>
      <c r="G431" s="7"/>
      <c r="H431" s="13"/>
      <c r="I431" s="7"/>
      <c r="J431" s="14"/>
      <c r="K431" s="7"/>
    </row>
    <row r="432" s="9" customFormat="true" ht="25.5" hidden="true" customHeight="true" outlineLevel="0" collapsed="false">
      <c r="A432" s="18"/>
      <c r="D432" s="18"/>
      <c r="E432" s="18"/>
      <c r="F432" s="18"/>
      <c r="G432" s="18"/>
      <c r="H432" s="18"/>
      <c r="I432" s="7"/>
      <c r="J432" s="14"/>
      <c r="K432" s="7"/>
      <c r="L432" s="7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7"/>
    </row>
    <row r="433" s="9" customFormat="true" ht="25.5" hidden="true" customHeight="true" outlineLevel="0" collapsed="false">
      <c r="A433" s="18"/>
      <c r="D433" s="18"/>
      <c r="E433" s="18"/>
      <c r="F433" s="19"/>
      <c r="G433" s="19"/>
      <c r="H433" s="19"/>
      <c r="I433" s="7"/>
      <c r="J433" s="14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5"/>
      <c r="W433" s="7"/>
    </row>
    <row r="434" s="9" customFormat="true" ht="19.5" hidden="true" customHeight="true" outlineLevel="0" collapsed="false">
      <c r="A434" s="7"/>
      <c r="B434" s="7"/>
      <c r="C434" s="7"/>
      <c r="D434" s="7"/>
      <c r="E434" s="7"/>
      <c r="F434" s="7"/>
      <c r="G434" s="7"/>
      <c r="H434" s="13"/>
      <c r="I434" s="7"/>
      <c r="J434" s="14"/>
      <c r="K434" s="7"/>
      <c r="L434" s="7"/>
      <c r="M434" s="15"/>
      <c r="N434" s="15"/>
      <c r="O434" s="15"/>
      <c r="P434" s="15"/>
      <c r="Q434" s="15"/>
      <c r="R434" s="15"/>
      <c r="S434" s="15"/>
      <c r="T434" s="15"/>
      <c r="U434" s="7"/>
      <c r="V434" s="7"/>
      <c r="W434" s="7"/>
    </row>
    <row r="435" s="9" customFormat="true" ht="19.5" hidden="false" customHeight="true" outlineLevel="0" collapsed="false">
      <c r="A435" s="7"/>
      <c r="B435" s="7"/>
      <c r="C435" s="7"/>
      <c r="D435" s="7"/>
      <c r="E435" s="7"/>
      <c r="F435" s="7"/>
      <c r="G435" s="7"/>
      <c r="H435" s="13"/>
      <c r="I435" s="7"/>
      <c r="J435" s="14"/>
      <c r="K435" s="7"/>
    </row>
  </sheetData>
  <autoFilter ref="A3:W434">
    <filterColumn colId="6">
      <filters>
        <filter val="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D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0" width="5.73"/>
    <col collapsed="false" customWidth="true" hidden="false" outlineLevel="0" max="2" min="2" style="20" width="6.64"/>
    <col collapsed="false" customWidth="true" hidden="false" outlineLevel="0" max="3" min="3" style="20" width="6.82"/>
    <col collapsed="false" customWidth="true" hidden="false" outlineLevel="0" max="7" min="4" style="20" width="7.82"/>
    <col collapsed="false" customWidth="true" hidden="false" outlineLevel="0" max="8" min="8" style="20" width="6"/>
    <col collapsed="false" customWidth="true" hidden="false" outlineLevel="0" max="9" min="9" style="20" width="7.82"/>
    <col collapsed="false" customWidth="true" hidden="false" outlineLevel="0" max="10" min="10" style="20" width="7.27"/>
    <col collapsed="false" customWidth="false" hidden="false" outlineLevel="0" max="12" min="11" style="20" width="9"/>
    <col collapsed="false" customWidth="true" hidden="false" outlineLevel="0" max="27" min="13" style="20" width="7.82"/>
    <col collapsed="false" customWidth="false" hidden="false" outlineLevel="0" max="16384" min="28" style="20" width="9"/>
  </cols>
  <sheetData>
    <row r="1" customFormat="false" ht="27" hidden="false" customHeight="true" outlineLevel="0" collapsed="false">
      <c r="A1" s="21"/>
    </row>
    <row r="2" s="23" customFormat="true" ht="19.5" hidden="false" customHeight="true" outlineLevel="0" collapsed="false">
      <c r="A2" s="17" t="s">
        <v>23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31</v>
      </c>
      <c r="I2" s="17" t="s">
        <v>30</v>
      </c>
      <c r="J2" s="17" t="s">
        <v>65</v>
      </c>
      <c r="K2" s="17" t="s">
        <v>32</v>
      </c>
      <c r="L2" s="17" t="s">
        <v>6</v>
      </c>
      <c r="M2" s="22" t="s">
        <v>66</v>
      </c>
      <c r="N2" s="17"/>
      <c r="O2" s="17"/>
      <c r="Y2" s="17"/>
      <c r="Z2" s="17"/>
      <c r="AA2" s="17"/>
    </row>
    <row r="3" s="23" customFormat="true" ht="19.5" hidden="false" customHeight="true" outlineLevel="0" collapsed="false">
      <c r="E3" s="17" t="s">
        <v>33</v>
      </c>
      <c r="F3" s="17" t="s">
        <v>33</v>
      </c>
      <c r="G3" s="17" t="s">
        <v>33</v>
      </c>
      <c r="H3" s="17"/>
      <c r="I3" s="17" t="s">
        <v>11</v>
      </c>
      <c r="K3" s="17" t="s">
        <v>11</v>
      </c>
      <c r="N3" s="17" t="n">
        <v>8</v>
      </c>
      <c r="O3" s="17" t="n">
        <v>10</v>
      </c>
      <c r="P3" s="17" t="n">
        <v>12</v>
      </c>
      <c r="Q3" s="17" t="n">
        <v>14</v>
      </c>
      <c r="R3" s="17" t="n">
        <v>16</v>
      </c>
      <c r="S3" s="17" t="n">
        <v>20</v>
      </c>
      <c r="T3" s="17" t="n">
        <v>24</v>
      </c>
      <c r="U3" s="17" t="n">
        <v>28</v>
      </c>
      <c r="V3" s="17" t="n">
        <v>32</v>
      </c>
      <c r="W3" s="17" t="n">
        <v>36</v>
      </c>
      <c r="X3" s="17" t="n">
        <v>40</v>
      </c>
      <c r="Y3" s="11" t="n">
        <v>44</v>
      </c>
      <c r="Z3" s="17" t="n">
        <v>48</v>
      </c>
      <c r="AA3" s="17" t="n">
        <v>60</v>
      </c>
      <c r="AB3" s="12" t="n">
        <v>80</v>
      </c>
      <c r="AC3" s="12" t="n">
        <v>100</v>
      </c>
      <c r="AD3" s="17" t="s">
        <v>9</v>
      </c>
    </row>
    <row r="4" s="23" customFormat="true" ht="19.5" hidden="false" customHeight="true" outlineLevel="0" collapsed="false">
      <c r="A4" s="17" t="s">
        <v>34</v>
      </c>
      <c r="B4" s="24" t="s">
        <v>67</v>
      </c>
      <c r="C4" s="17" t="s">
        <v>68</v>
      </c>
      <c r="D4" s="17" t="s">
        <v>50</v>
      </c>
      <c r="E4" s="17" t="n">
        <v>17503</v>
      </c>
      <c r="F4" s="17" t="n">
        <v>600</v>
      </c>
      <c r="G4" s="17" t="n">
        <v>20</v>
      </c>
      <c r="H4" s="17" t="n">
        <v>1</v>
      </c>
      <c r="I4" s="22" t="n">
        <f aca="false">IF(M4="",(E4/1000)*(F4/1000)*(G4/1000)*7850,M4*(G4/1000)*7850)</f>
        <v>1648.7826</v>
      </c>
      <c r="J4" s="17" t="n">
        <v>228</v>
      </c>
      <c r="K4" s="22" t="n">
        <f aca="false">I4*J4</f>
        <v>375922.4328</v>
      </c>
      <c r="L4" s="17"/>
      <c r="M4" s="22"/>
      <c r="N4" s="17"/>
      <c r="O4" s="25"/>
      <c r="P4" s="25"/>
      <c r="Q4" s="25"/>
      <c r="R4" s="25"/>
      <c r="S4" s="25"/>
      <c r="T4" s="26"/>
      <c r="U4" s="25"/>
      <c r="V4" s="25"/>
      <c r="W4" s="26"/>
      <c r="X4" s="25"/>
      <c r="Y4" s="25"/>
      <c r="Z4" s="25"/>
      <c r="AA4" s="17"/>
    </row>
    <row r="5" s="23" customFormat="true" ht="19.5" hidden="false" customHeight="true" outlineLevel="0" collapsed="false">
      <c r="A5" s="17" t="s">
        <v>34</v>
      </c>
      <c r="B5" s="24" t="s">
        <v>69</v>
      </c>
      <c r="C5" s="17" t="s">
        <v>70</v>
      </c>
      <c r="D5" s="17" t="s">
        <v>50</v>
      </c>
      <c r="E5" s="17" t="n">
        <v>17500</v>
      </c>
      <c r="F5" s="17" t="n">
        <v>1955</v>
      </c>
      <c r="G5" s="17" t="n">
        <v>14</v>
      </c>
      <c r="H5" s="17" t="n">
        <v>1</v>
      </c>
      <c r="I5" s="22" t="n">
        <f aca="false">IF(M5="",(E5/1000)*(F5/1000)*(G5/1000)*7850,M5*(G5/1000)*7850)</f>
        <v>3407.999</v>
      </c>
      <c r="J5" s="17" t="n">
        <v>228</v>
      </c>
      <c r="K5" s="22" t="n">
        <f aca="false">I5*J5</f>
        <v>777023.772</v>
      </c>
      <c r="L5" s="17" t="s">
        <v>71</v>
      </c>
      <c r="M5" s="22" t="n">
        <v>31.01</v>
      </c>
      <c r="T5" s="27"/>
      <c r="W5" s="27"/>
    </row>
    <row r="6" s="23" customFormat="true" ht="19.5" hidden="false" customHeight="true" outlineLevel="0" collapsed="false">
      <c r="A6" s="17" t="s">
        <v>34</v>
      </c>
      <c r="B6" s="24" t="s">
        <v>72</v>
      </c>
      <c r="C6" s="17" t="s">
        <v>73</v>
      </c>
      <c r="D6" s="17" t="s">
        <v>50</v>
      </c>
      <c r="E6" s="17" t="n">
        <v>17500</v>
      </c>
      <c r="F6" s="17" t="n">
        <v>700</v>
      </c>
      <c r="G6" s="17" t="n">
        <v>24</v>
      </c>
      <c r="H6" s="17" t="n">
        <v>1</v>
      </c>
      <c r="I6" s="22" t="n">
        <f aca="false">IF(M6="",(E6/1000)*(F6/1000)*(G6/1000)*7850,M6*(G6/1000)*7850)</f>
        <v>2307.9</v>
      </c>
      <c r="J6" s="17" t="n">
        <v>228</v>
      </c>
      <c r="K6" s="22" t="n">
        <f aca="false">I6*J6</f>
        <v>526201.2</v>
      </c>
      <c r="L6" s="17"/>
      <c r="M6" s="22"/>
      <c r="T6" s="27"/>
      <c r="W6" s="27"/>
    </row>
    <row r="7" s="23" customFormat="true" ht="19.5" hidden="false" customHeight="true" outlineLevel="0" collapsed="false">
      <c r="A7" s="17" t="s">
        <v>34</v>
      </c>
      <c r="B7" s="24" t="s">
        <v>74</v>
      </c>
      <c r="C7" s="17" t="s">
        <v>75</v>
      </c>
      <c r="D7" s="17" t="s">
        <v>50</v>
      </c>
      <c r="E7" s="17" t="n">
        <v>1510</v>
      </c>
      <c r="F7" s="17" t="n">
        <v>150</v>
      </c>
      <c r="G7" s="17" t="n">
        <v>12</v>
      </c>
      <c r="H7" s="17" t="n">
        <v>1</v>
      </c>
      <c r="I7" s="22" t="n">
        <f aca="false">IF(M7="",(E7/1000)*(F7/1000)*(G7/1000)*7850,M7*(G7/1000)*7850)</f>
        <v>19.782</v>
      </c>
      <c r="J7" s="17" t="n">
        <v>4560</v>
      </c>
      <c r="K7" s="22" t="n">
        <f aca="false">I7*J7</f>
        <v>90205.92</v>
      </c>
      <c r="L7" s="17" t="s">
        <v>76</v>
      </c>
      <c r="M7" s="22" t="n">
        <v>0.21</v>
      </c>
      <c r="T7" s="27"/>
      <c r="W7" s="27"/>
    </row>
    <row r="8" s="23" customFormat="true" ht="19.5" hidden="false" customHeight="true" outlineLevel="0" collapsed="false">
      <c r="A8" s="17" t="s">
        <v>34</v>
      </c>
      <c r="B8" s="24" t="s">
        <v>74</v>
      </c>
      <c r="C8" s="17" t="s">
        <v>77</v>
      </c>
      <c r="D8" s="17" t="s">
        <v>50</v>
      </c>
      <c r="E8" s="17" t="n">
        <v>1632</v>
      </c>
      <c r="F8" s="17" t="n">
        <v>293</v>
      </c>
      <c r="G8" s="17" t="n">
        <v>12</v>
      </c>
      <c r="H8" s="17" t="n">
        <v>1</v>
      </c>
      <c r="I8" s="22" t="n">
        <f aca="false">IF(M8="",(E8/1000)*(F8/1000)*(G8/1000)*7850,M8*(G8/1000)*7850)</f>
        <v>31.086</v>
      </c>
      <c r="J8" s="17" t="n">
        <v>456</v>
      </c>
      <c r="K8" s="22" t="n">
        <f aca="false">I8*J8</f>
        <v>14175.216</v>
      </c>
      <c r="L8" s="17" t="s">
        <v>78</v>
      </c>
      <c r="M8" s="22" t="n">
        <v>0.33</v>
      </c>
      <c r="T8" s="27"/>
      <c r="W8" s="27"/>
    </row>
    <row r="9" s="23" customFormat="true" ht="19.5" hidden="false" customHeight="true" outlineLevel="0" collapsed="false">
      <c r="A9" s="17" t="s">
        <v>34</v>
      </c>
      <c r="B9" s="24" t="s">
        <v>79</v>
      </c>
      <c r="C9" s="17" t="s">
        <v>80</v>
      </c>
      <c r="D9" s="17" t="s">
        <v>50</v>
      </c>
      <c r="E9" s="17" t="n">
        <v>2380</v>
      </c>
      <c r="F9" s="17" t="n">
        <v>600</v>
      </c>
      <c r="G9" s="17" t="n">
        <v>12</v>
      </c>
      <c r="H9" s="17" t="n">
        <v>1</v>
      </c>
      <c r="I9" s="22" t="n">
        <f aca="false">IF(M9="",(E9/1000)*(F9/1000)*(G9/1000)*7850,M9*(G9/1000)*7850)</f>
        <v>134.706</v>
      </c>
      <c r="J9" s="17" t="n">
        <v>202</v>
      </c>
      <c r="K9" s="22" t="n">
        <f aca="false">I9*J9</f>
        <v>27210.612</v>
      </c>
      <c r="L9" s="17" t="s">
        <v>81</v>
      </c>
      <c r="M9" s="22" t="n">
        <v>1.43</v>
      </c>
      <c r="T9" s="27"/>
      <c r="W9" s="27"/>
    </row>
    <row r="10" s="23" customFormat="true" ht="19.5" hidden="false" customHeight="true" outlineLevel="0" collapsed="false">
      <c r="A10" s="17" t="s">
        <v>34</v>
      </c>
      <c r="B10" s="24" t="s">
        <v>79</v>
      </c>
      <c r="C10" s="17" t="s">
        <v>82</v>
      </c>
      <c r="D10" s="17" t="s">
        <v>50</v>
      </c>
      <c r="E10" s="17" t="n">
        <v>2180</v>
      </c>
      <c r="F10" s="17" t="n">
        <v>600</v>
      </c>
      <c r="G10" s="17" t="n">
        <v>12</v>
      </c>
      <c r="H10" s="17" t="n">
        <v>1</v>
      </c>
      <c r="I10" s="22" t="n">
        <f aca="false">IF(M10="",(E10/1000)*(F10/1000)*(G10/1000)*7850,M10*(G10/1000)*7850)</f>
        <v>123.402</v>
      </c>
      <c r="J10" s="17" t="n">
        <v>20</v>
      </c>
      <c r="K10" s="22" t="n">
        <f aca="false">I10*J10</f>
        <v>2468.04</v>
      </c>
      <c r="L10" s="17" t="s">
        <v>83</v>
      </c>
      <c r="M10" s="22" t="n">
        <v>1.31</v>
      </c>
      <c r="T10" s="27"/>
      <c r="W10" s="27"/>
    </row>
    <row r="11" s="23" customFormat="true" ht="19.5" hidden="false" customHeight="true" outlineLevel="0" collapsed="false">
      <c r="A11" s="17" t="s">
        <v>34</v>
      </c>
      <c r="B11" s="24" t="s">
        <v>79</v>
      </c>
      <c r="C11" s="17" t="s">
        <v>84</v>
      </c>
      <c r="D11" s="17" t="s">
        <v>50</v>
      </c>
      <c r="E11" s="17" t="n">
        <v>1880</v>
      </c>
      <c r="F11" s="17" t="n">
        <v>600</v>
      </c>
      <c r="G11" s="17" t="n">
        <v>12</v>
      </c>
      <c r="H11" s="17" t="n">
        <v>1</v>
      </c>
      <c r="I11" s="22" t="n">
        <f aca="false">IF(M11="",(E11/1000)*(F11/1000)*(G11/1000)*7850,M11*(G11/1000)*7850)</f>
        <v>106.446</v>
      </c>
      <c r="J11" s="17" t="n">
        <v>4</v>
      </c>
      <c r="K11" s="22" t="n">
        <f aca="false">I11*J11</f>
        <v>425.784</v>
      </c>
      <c r="L11" s="17" t="s">
        <v>85</v>
      </c>
      <c r="M11" s="22" t="n">
        <v>1.13</v>
      </c>
      <c r="T11" s="27"/>
      <c r="W11" s="27"/>
    </row>
    <row r="12" s="23" customFormat="true" ht="19.5" hidden="false" customHeight="true" outlineLevel="0" collapsed="false">
      <c r="A12" s="17" t="s">
        <v>34</v>
      </c>
      <c r="B12" s="24" t="s">
        <v>79</v>
      </c>
      <c r="C12" s="17" t="s">
        <v>86</v>
      </c>
      <c r="D12" s="17" t="s">
        <v>50</v>
      </c>
      <c r="E12" s="17" t="n">
        <v>1472</v>
      </c>
      <c r="F12" s="17" t="n">
        <v>600</v>
      </c>
      <c r="G12" s="17" t="n">
        <v>12</v>
      </c>
      <c r="H12" s="17" t="n">
        <v>1</v>
      </c>
      <c r="I12" s="22" t="n">
        <f aca="false">IF(M12="",(E12/1000)*(F12/1000)*(G12/1000)*7850,M12*(G12/1000)*7850)</f>
        <v>82.896</v>
      </c>
      <c r="J12" s="17" t="n">
        <v>4</v>
      </c>
      <c r="K12" s="22" t="n">
        <f aca="false">I12*J12</f>
        <v>331.584</v>
      </c>
      <c r="L12" s="17" t="s">
        <v>87</v>
      </c>
      <c r="M12" s="22" t="n">
        <v>0.88</v>
      </c>
      <c r="T12" s="27"/>
      <c r="W12" s="27"/>
    </row>
    <row r="13" s="23" customFormat="true" ht="19.5" hidden="false" customHeight="true" outlineLevel="0" collapsed="false">
      <c r="A13" s="17" t="s">
        <v>34</v>
      </c>
      <c r="B13" s="24" t="s">
        <v>88</v>
      </c>
      <c r="C13" s="17" t="s">
        <v>89</v>
      </c>
      <c r="D13" s="17" t="s">
        <v>50</v>
      </c>
      <c r="E13" s="17" t="n">
        <v>2380</v>
      </c>
      <c r="F13" s="17" t="n">
        <v>500</v>
      </c>
      <c r="G13" s="17" t="n">
        <v>12</v>
      </c>
      <c r="H13" s="17" t="n">
        <v>1</v>
      </c>
      <c r="I13" s="22" t="n">
        <f aca="false">IF(M13="",(E13/1000)*(F13/1000)*(G13/1000)*7850,M13*(G13/1000)*7850)</f>
        <v>112.098</v>
      </c>
      <c r="J13" s="17" t="n">
        <v>202</v>
      </c>
      <c r="K13" s="22" t="n">
        <f aca="false">I13*J13</f>
        <v>22643.796</v>
      </c>
      <c r="L13" s="17" t="s">
        <v>90</v>
      </c>
      <c r="M13" s="22" t="n">
        <v>1.19</v>
      </c>
      <c r="T13" s="27"/>
      <c r="W13" s="27"/>
    </row>
    <row r="14" s="23" customFormat="true" ht="19.5" hidden="false" customHeight="true" outlineLevel="0" collapsed="false">
      <c r="A14" s="17" t="s">
        <v>34</v>
      </c>
      <c r="B14" s="24" t="s">
        <v>88</v>
      </c>
      <c r="C14" s="17" t="s">
        <v>91</v>
      </c>
      <c r="D14" s="17" t="s">
        <v>50</v>
      </c>
      <c r="E14" s="17" t="n">
        <v>2180</v>
      </c>
      <c r="F14" s="17" t="n">
        <v>500</v>
      </c>
      <c r="G14" s="17" t="n">
        <v>12</v>
      </c>
      <c r="H14" s="17" t="n">
        <v>1</v>
      </c>
      <c r="I14" s="22" t="n">
        <f aca="false">IF(M14="",(E14/1000)*(F14/1000)*(G14/1000)*7850,M14*(G14/1000)*7850)</f>
        <v>102.678</v>
      </c>
      <c r="J14" s="17" t="n">
        <v>20</v>
      </c>
      <c r="K14" s="22" t="n">
        <f aca="false">I14*J14</f>
        <v>2053.56</v>
      </c>
      <c r="L14" s="17" t="s">
        <v>92</v>
      </c>
      <c r="M14" s="22" t="n">
        <v>1.09</v>
      </c>
      <c r="T14" s="27"/>
      <c r="W14" s="27"/>
    </row>
    <row r="15" s="23" customFormat="true" ht="19.5" hidden="false" customHeight="true" outlineLevel="0" collapsed="false">
      <c r="A15" s="17" t="s">
        <v>34</v>
      </c>
      <c r="B15" s="24" t="s">
        <v>88</v>
      </c>
      <c r="C15" s="17" t="s">
        <v>93</v>
      </c>
      <c r="D15" s="17" t="s">
        <v>50</v>
      </c>
      <c r="E15" s="17" t="n">
        <v>1880</v>
      </c>
      <c r="F15" s="17" t="n">
        <v>500</v>
      </c>
      <c r="G15" s="17" t="n">
        <v>12</v>
      </c>
      <c r="H15" s="17" t="n">
        <v>1</v>
      </c>
      <c r="I15" s="22" t="n">
        <f aca="false">IF(M15="",(E15/1000)*(F15/1000)*(G15/1000)*7850,M15*(G15/1000)*7850)</f>
        <v>88.548</v>
      </c>
      <c r="J15" s="17" t="n">
        <v>4</v>
      </c>
      <c r="K15" s="22" t="n">
        <f aca="false">I15*J15</f>
        <v>354.192</v>
      </c>
      <c r="L15" s="17" t="s">
        <v>94</v>
      </c>
      <c r="M15" s="22" t="n">
        <v>0.94</v>
      </c>
      <c r="T15" s="27"/>
      <c r="W15" s="27"/>
    </row>
    <row r="16" s="23" customFormat="true" ht="19.5" hidden="false" customHeight="true" outlineLevel="0" collapsed="false">
      <c r="A16" s="17" t="s">
        <v>34</v>
      </c>
      <c r="B16" s="24" t="s">
        <v>88</v>
      </c>
      <c r="C16" s="17" t="s">
        <v>95</v>
      </c>
      <c r="D16" s="17" t="s">
        <v>50</v>
      </c>
      <c r="E16" s="17" t="n">
        <v>1472</v>
      </c>
      <c r="F16" s="17" t="n">
        <v>500</v>
      </c>
      <c r="G16" s="17" t="n">
        <v>12</v>
      </c>
      <c r="H16" s="17" t="n">
        <v>1</v>
      </c>
      <c r="I16" s="22" t="n">
        <f aca="false">IF(M16="",(E16/1000)*(F16/1000)*(G16/1000)*7850,M16*(G16/1000)*7850)</f>
        <v>69.708</v>
      </c>
      <c r="J16" s="17" t="n">
        <v>4</v>
      </c>
      <c r="K16" s="22" t="n">
        <f aca="false">I16*J16</f>
        <v>278.832</v>
      </c>
      <c r="L16" s="17" t="s">
        <v>96</v>
      </c>
      <c r="M16" s="22" t="n">
        <v>0.74</v>
      </c>
      <c r="T16" s="27"/>
      <c r="W16" s="27"/>
    </row>
    <row r="17" s="23" customFormat="true" ht="19.5" hidden="false" customHeight="true" outlineLevel="0" collapsed="false">
      <c r="A17" s="17" t="s">
        <v>34</v>
      </c>
      <c r="B17" s="24" t="s">
        <v>97</v>
      </c>
      <c r="C17" s="17" t="s">
        <v>98</v>
      </c>
      <c r="D17" s="17" t="s">
        <v>50</v>
      </c>
      <c r="E17" s="17" t="n">
        <v>2380</v>
      </c>
      <c r="F17" s="17" t="n">
        <v>300</v>
      </c>
      <c r="G17" s="17" t="n">
        <v>12</v>
      </c>
      <c r="H17" s="17" t="n">
        <v>1</v>
      </c>
      <c r="I17" s="22" t="n">
        <f aca="false">IF(M17="",(E17/1000)*(F17/1000)*(G17/1000)*7850,M17*(G17/1000)*7850)</f>
        <v>66.882</v>
      </c>
      <c r="J17" s="17" t="n">
        <v>202</v>
      </c>
      <c r="K17" s="22" t="n">
        <f aca="false">I17*J17</f>
        <v>13510.164</v>
      </c>
      <c r="L17" s="17" t="s">
        <v>99</v>
      </c>
      <c r="M17" s="22" t="n">
        <v>0.71</v>
      </c>
      <c r="T17" s="27"/>
      <c r="W17" s="27"/>
    </row>
    <row r="18" s="23" customFormat="true" ht="19.5" hidden="true" customHeight="true" outlineLevel="0" collapsed="false">
      <c r="A18" s="17" t="s">
        <v>34</v>
      </c>
      <c r="B18" s="24" t="s">
        <v>97</v>
      </c>
      <c r="C18" s="17" t="s">
        <v>100</v>
      </c>
      <c r="D18" s="17" t="s">
        <v>50</v>
      </c>
      <c r="E18" s="17" t="n">
        <v>2180</v>
      </c>
      <c r="F18" s="17" t="n">
        <v>300</v>
      </c>
      <c r="G18" s="17" t="n">
        <v>12</v>
      </c>
      <c r="H18" s="17" t="n">
        <v>1</v>
      </c>
      <c r="I18" s="22" t="n">
        <f aca="false">IF(M18="",(E18/1000)*(F18/1000)*(G18/1000)*7850,M18*(G18/1000)*7850)</f>
        <v>61.23</v>
      </c>
      <c r="J18" s="17" t="n">
        <v>20</v>
      </c>
      <c r="K18" s="22" t="n">
        <f aca="false">I18*J18</f>
        <v>1224.6</v>
      </c>
      <c r="L18" s="17" t="s">
        <v>101</v>
      </c>
      <c r="M18" s="22" t="n">
        <v>0.65</v>
      </c>
      <c r="T18" s="27"/>
      <c r="W18" s="27"/>
    </row>
    <row r="19" s="23" customFormat="true" ht="19.5" hidden="true" customHeight="true" outlineLevel="0" collapsed="false">
      <c r="A19" s="17" t="s">
        <v>34</v>
      </c>
      <c r="B19" s="24" t="s">
        <v>97</v>
      </c>
      <c r="C19" s="17" t="s">
        <v>102</v>
      </c>
      <c r="D19" s="17" t="s">
        <v>50</v>
      </c>
      <c r="E19" s="17" t="n">
        <v>1880</v>
      </c>
      <c r="F19" s="17" t="n">
        <v>300</v>
      </c>
      <c r="G19" s="17" t="n">
        <v>12</v>
      </c>
      <c r="H19" s="17" t="n">
        <v>1</v>
      </c>
      <c r="I19" s="22" t="n">
        <f aca="false">IF(M19="",(E19/1000)*(F19/1000)*(G19/1000)*7850,M19*(G19/1000)*7850)</f>
        <v>52.752</v>
      </c>
      <c r="J19" s="17" t="n">
        <v>4</v>
      </c>
      <c r="K19" s="22" t="n">
        <f aca="false">I19*J19</f>
        <v>211.008</v>
      </c>
      <c r="L19" s="17" t="s">
        <v>103</v>
      </c>
      <c r="M19" s="22" t="n">
        <v>0.56</v>
      </c>
      <c r="T19" s="27"/>
      <c r="W19" s="27"/>
    </row>
    <row r="20" s="23" customFormat="true" ht="19.5" hidden="true" customHeight="true" outlineLevel="0" collapsed="false">
      <c r="A20" s="17" t="s">
        <v>34</v>
      </c>
      <c r="B20" s="24" t="s">
        <v>97</v>
      </c>
      <c r="C20" s="17" t="s">
        <v>104</v>
      </c>
      <c r="D20" s="17" t="s">
        <v>50</v>
      </c>
      <c r="E20" s="17" t="n">
        <v>1472</v>
      </c>
      <c r="F20" s="17" t="n">
        <v>300</v>
      </c>
      <c r="G20" s="17" t="n">
        <v>12</v>
      </c>
      <c r="H20" s="17" t="n">
        <v>1</v>
      </c>
      <c r="I20" s="22" t="n">
        <f aca="false">IF(M20="",(E20/1000)*(F20/1000)*(G20/1000)*7850,M20*(G20/1000)*7850)</f>
        <v>41.448</v>
      </c>
      <c r="J20" s="17" t="n">
        <v>4</v>
      </c>
      <c r="K20" s="22" t="n">
        <f aca="false">I20*J20</f>
        <v>165.792</v>
      </c>
      <c r="L20" s="17" t="s">
        <v>105</v>
      </c>
      <c r="M20" s="22" t="n">
        <v>0.44</v>
      </c>
      <c r="T20" s="27"/>
      <c r="W20" s="27"/>
    </row>
    <row r="21" s="23" customFormat="true" ht="19.5" hidden="false" customHeight="true" outlineLevel="0" collapsed="false">
      <c r="A21" s="17" t="s">
        <v>34</v>
      </c>
      <c r="B21" s="24" t="s">
        <v>106</v>
      </c>
      <c r="C21" s="17" t="s">
        <v>107</v>
      </c>
      <c r="D21" s="17" t="s">
        <v>50</v>
      </c>
      <c r="E21" s="17" t="n">
        <v>17503</v>
      </c>
      <c r="F21" s="17" t="n">
        <v>1758</v>
      </c>
      <c r="G21" s="17" t="n">
        <v>20</v>
      </c>
      <c r="H21" s="17" t="n">
        <v>1</v>
      </c>
      <c r="I21" s="22" t="n">
        <f aca="false">IF(M21="",(E21/1000)*(F21/1000)*(G21/1000)*7850,M21*(G21/1000)*7850)</f>
        <v>4149.51</v>
      </c>
      <c r="J21" s="17" t="n">
        <v>4</v>
      </c>
      <c r="K21" s="22" t="n">
        <f aca="false">I21*J21</f>
        <v>16598.04</v>
      </c>
      <c r="L21" s="17" t="s">
        <v>108</v>
      </c>
      <c r="M21" s="22" t="n">
        <v>26.43</v>
      </c>
      <c r="T21" s="27"/>
      <c r="W21" s="27"/>
    </row>
    <row r="22" s="23" customFormat="true" ht="19.5" hidden="false" customHeight="true" outlineLevel="0" collapsed="false">
      <c r="A22" s="17" t="s">
        <v>34</v>
      </c>
      <c r="B22" s="24" t="s">
        <v>109</v>
      </c>
      <c r="C22" s="17" t="s">
        <v>110</v>
      </c>
      <c r="D22" s="17" t="s">
        <v>50</v>
      </c>
      <c r="E22" s="17" t="n">
        <v>17500</v>
      </c>
      <c r="F22" s="17" t="n">
        <v>1955</v>
      </c>
      <c r="G22" s="17" t="n">
        <v>20</v>
      </c>
      <c r="H22" s="17" t="n">
        <v>1</v>
      </c>
      <c r="I22" s="22" t="n">
        <f aca="false">IF(M22="",(E22/1000)*(F22/1000)*(G22/1000)*7850,M22*(G22/1000)*7850)</f>
        <v>4868.57</v>
      </c>
      <c r="J22" s="17" t="n">
        <v>4</v>
      </c>
      <c r="K22" s="22" t="n">
        <f aca="false">I22*J22</f>
        <v>19474.28</v>
      </c>
      <c r="L22" s="17" t="s">
        <v>71</v>
      </c>
      <c r="M22" s="22" t="n">
        <v>31.01</v>
      </c>
      <c r="T22" s="27"/>
      <c r="W22" s="27"/>
    </row>
    <row r="23" s="23" customFormat="true" ht="19.5" hidden="true" customHeight="true" outlineLevel="0" collapsed="false">
      <c r="A23" s="17" t="s">
        <v>34</v>
      </c>
      <c r="B23" s="24" t="s">
        <v>109</v>
      </c>
      <c r="C23" s="17" t="s">
        <v>111</v>
      </c>
      <c r="D23" s="17" t="s">
        <v>50</v>
      </c>
      <c r="E23" s="17" t="n">
        <v>17500</v>
      </c>
      <c r="F23" s="17" t="n">
        <v>1955</v>
      </c>
      <c r="G23" s="17" t="n">
        <v>20</v>
      </c>
      <c r="H23" s="17" t="n">
        <v>1</v>
      </c>
      <c r="I23" s="22" t="n">
        <f aca="false">IF(M23="",(E23/1000)*(F23/1000)*(G23/1000)*7850,M23*(G23/1000)*7850)</f>
        <v>4797.92</v>
      </c>
      <c r="J23" s="17" t="n">
        <v>4</v>
      </c>
      <c r="K23" s="22" t="n">
        <f aca="false">I23*J23</f>
        <v>19191.68</v>
      </c>
      <c r="L23" s="17" t="s">
        <v>112</v>
      </c>
      <c r="M23" s="22" t="n">
        <v>30.56</v>
      </c>
      <c r="T23" s="28"/>
      <c r="W23" s="28"/>
    </row>
    <row r="24" s="23" customFormat="true" ht="19.5" hidden="false" customHeight="true" outlineLevel="0" collapsed="false">
      <c r="A24" s="17" t="s">
        <v>34</v>
      </c>
      <c r="B24" s="24" t="s">
        <v>113</v>
      </c>
      <c r="C24" s="17" t="s">
        <v>114</v>
      </c>
      <c r="D24" s="17" t="s">
        <v>50</v>
      </c>
      <c r="E24" s="17" t="n">
        <v>17500</v>
      </c>
      <c r="F24" s="17" t="n">
        <v>1500</v>
      </c>
      <c r="G24" s="17" t="n">
        <v>24</v>
      </c>
      <c r="H24" s="17" t="n">
        <v>1</v>
      </c>
      <c r="I24" s="22" t="n">
        <f aca="false">IF(M24="",(E24/1000)*(F24/1000)*(G24/1000)*7850,M24*(G24/1000)*7850)</f>
        <v>4945.5</v>
      </c>
      <c r="J24" s="17" t="n">
        <v>4</v>
      </c>
      <c r="K24" s="22" t="n">
        <f aca="false">I24*J24</f>
        <v>19782</v>
      </c>
      <c r="L24" s="17"/>
      <c r="M24" s="22"/>
      <c r="N24" s="29"/>
      <c r="O24" s="29"/>
      <c r="P24" s="29"/>
      <c r="Q24" s="29"/>
      <c r="R24" s="29"/>
      <c r="S24" s="29"/>
      <c r="T24" s="30"/>
      <c r="U24" s="29"/>
      <c r="V24" s="29"/>
      <c r="W24" s="30"/>
      <c r="X24" s="29"/>
      <c r="Y24" s="29"/>
      <c r="Z24" s="28"/>
      <c r="AA24" s="29"/>
    </row>
    <row r="25" s="23" customFormat="true" ht="19.5" hidden="false" customHeight="true" outlineLevel="0" collapsed="false">
      <c r="A25" s="17" t="s">
        <v>34</v>
      </c>
      <c r="B25" s="24" t="s">
        <v>115</v>
      </c>
      <c r="C25" s="17" t="s">
        <v>116</v>
      </c>
      <c r="D25" s="17" t="s">
        <v>50</v>
      </c>
      <c r="E25" s="17" t="n">
        <v>1510</v>
      </c>
      <c r="F25" s="17" t="n">
        <v>220</v>
      </c>
      <c r="G25" s="17" t="n">
        <v>16</v>
      </c>
      <c r="H25" s="17" t="n">
        <v>1</v>
      </c>
      <c r="I25" s="22" t="n">
        <f aca="false">IF(M25="",(E25/1000)*(F25/1000)*(G25/1000)*7850,M25*(G25/1000)*7850)</f>
        <v>38.936</v>
      </c>
      <c r="J25" s="17" t="n">
        <v>48</v>
      </c>
      <c r="K25" s="22" t="n">
        <f aca="false">I25*J25</f>
        <v>1868.928</v>
      </c>
      <c r="L25" s="17" t="s">
        <v>117</v>
      </c>
      <c r="M25" s="22" t="n">
        <v>0.31</v>
      </c>
      <c r="T25" s="30"/>
      <c r="W25" s="30"/>
    </row>
    <row r="26" s="23" customFormat="true" ht="19.5" hidden="true" customHeight="true" outlineLevel="0" collapsed="false">
      <c r="A26" s="17" t="s">
        <v>34</v>
      </c>
      <c r="B26" s="24" t="s">
        <v>115</v>
      </c>
      <c r="C26" s="17" t="s">
        <v>118</v>
      </c>
      <c r="D26" s="17" t="s">
        <v>50</v>
      </c>
      <c r="E26" s="17" t="n">
        <v>1396</v>
      </c>
      <c r="F26" s="17" t="n">
        <v>1782</v>
      </c>
      <c r="G26" s="17" t="n">
        <v>12</v>
      </c>
      <c r="H26" s="17" t="n">
        <v>1</v>
      </c>
      <c r="I26" s="22" t="n">
        <f aca="false">IF(M26="",(E26/1000)*(F26/1000)*(G26/1000)*7850,M26*(G26/1000)*7850)</f>
        <v>210.066</v>
      </c>
      <c r="J26" s="17" t="n">
        <v>20</v>
      </c>
      <c r="K26" s="22" t="n">
        <f aca="false">I26*J26</f>
        <v>4201.32</v>
      </c>
      <c r="L26" s="17" t="s">
        <v>119</v>
      </c>
      <c r="M26" s="22" t="n">
        <v>2.23</v>
      </c>
      <c r="T26" s="30"/>
      <c r="W26" s="30"/>
    </row>
    <row r="27" s="23" customFormat="true" ht="19.5" hidden="true" customHeight="true" outlineLevel="0" collapsed="false">
      <c r="A27" s="17" t="s">
        <v>34</v>
      </c>
      <c r="B27" s="24" t="s">
        <v>120</v>
      </c>
      <c r="C27" s="17" t="s">
        <v>121</v>
      </c>
      <c r="D27" s="17" t="s">
        <v>50</v>
      </c>
      <c r="E27" s="17" t="n">
        <v>2018</v>
      </c>
      <c r="F27" s="17" t="n">
        <v>160</v>
      </c>
      <c r="G27" s="17" t="n">
        <v>12</v>
      </c>
      <c r="H27" s="17" t="n">
        <v>1</v>
      </c>
      <c r="I27" s="22" t="n">
        <f aca="false">IF(M27="",(E27/1000)*(F27/1000)*(G27/1000)*7850,M27*(G27/1000)*7850)</f>
        <v>30.415296</v>
      </c>
      <c r="J27" s="17" t="n">
        <v>20</v>
      </c>
      <c r="K27" s="22" t="n">
        <f aca="false">I27*J27</f>
        <v>608.30592</v>
      </c>
      <c r="L27" s="17" t="s">
        <v>122</v>
      </c>
      <c r="M27" s="22"/>
      <c r="T27" s="30"/>
      <c r="W27" s="30"/>
    </row>
    <row r="28" s="23" customFormat="true" ht="19.5" hidden="true" customHeight="true" outlineLevel="0" collapsed="false">
      <c r="A28" s="17" t="s">
        <v>34</v>
      </c>
      <c r="B28" s="24" t="s">
        <v>123</v>
      </c>
      <c r="C28" s="17" t="s">
        <v>124</v>
      </c>
      <c r="D28" s="17" t="s">
        <v>50</v>
      </c>
      <c r="E28" s="17" t="n">
        <v>784</v>
      </c>
      <c r="F28" s="17" t="n">
        <v>292</v>
      </c>
      <c r="G28" s="17" t="n">
        <v>12</v>
      </c>
      <c r="H28" s="17" t="n">
        <v>1</v>
      </c>
      <c r="I28" s="22" t="n">
        <f aca="false">IF(M28="",(E28/1000)*(F28/1000)*(G28/1000)*7850,M28*(G28/1000)*7850)</f>
        <v>18.84</v>
      </c>
      <c r="J28" s="17" t="n">
        <v>4</v>
      </c>
      <c r="K28" s="22" t="n">
        <f aca="false">I28*J28</f>
        <v>75.36</v>
      </c>
      <c r="L28" s="17" t="s">
        <v>125</v>
      </c>
      <c r="M28" s="22" t="n">
        <v>0.2</v>
      </c>
      <c r="T28" s="30"/>
      <c r="W28" s="30"/>
    </row>
    <row r="29" s="23" customFormat="true" ht="19.5" hidden="true" customHeight="true" outlineLevel="0" collapsed="false">
      <c r="A29" s="17" t="s">
        <v>34</v>
      </c>
      <c r="B29" s="24" t="s">
        <v>126</v>
      </c>
      <c r="C29" s="17" t="s">
        <v>127</v>
      </c>
      <c r="D29" s="17" t="s">
        <v>50</v>
      </c>
      <c r="E29" s="17" t="n">
        <v>1374</v>
      </c>
      <c r="F29" s="17" t="n">
        <v>300</v>
      </c>
      <c r="G29" s="17" t="n">
        <v>14</v>
      </c>
      <c r="H29" s="17" t="n">
        <v>1</v>
      </c>
      <c r="I29" s="22" t="n">
        <f aca="false">IF(M29="",(E29/1000)*(F29/1000)*(G29/1000)*7850,M29*(G29/1000)*7850)</f>
        <v>45.30078</v>
      </c>
      <c r="J29" s="17" t="n">
        <v>236</v>
      </c>
      <c r="K29" s="22" t="n">
        <f aca="false">I29*J29</f>
        <v>10690.98408</v>
      </c>
      <c r="L29" s="17" t="s">
        <v>128</v>
      </c>
      <c r="M29" s="22"/>
      <c r="T29" s="29"/>
      <c r="W29" s="29"/>
    </row>
    <row r="30" s="23" customFormat="true" ht="19.5" hidden="false" customHeight="true" outlineLevel="0" collapsed="false">
      <c r="A30" s="17" t="s">
        <v>34</v>
      </c>
      <c r="B30" s="24" t="s">
        <v>129</v>
      </c>
      <c r="C30" s="17" t="s">
        <v>130</v>
      </c>
      <c r="D30" s="17" t="s">
        <v>50</v>
      </c>
      <c r="E30" s="17" t="n">
        <v>400</v>
      </c>
      <c r="F30" s="17" t="n">
        <v>330</v>
      </c>
      <c r="G30" s="17" t="n">
        <v>12</v>
      </c>
      <c r="H30" s="17" t="n">
        <v>1</v>
      </c>
      <c r="I30" s="22" t="n">
        <f aca="false">IF(M30="",(E30/1000)*(F30/1000)*(G30/1000)*7850,M30*(G30/1000)*7850)</f>
        <v>12.246</v>
      </c>
      <c r="J30" s="17" t="n">
        <v>920</v>
      </c>
      <c r="K30" s="22" t="n">
        <f aca="false">I30*J30</f>
        <v>11266.32</v>
      </c>
      <c r="L30" s="17" t="s">
        <v>131</v>
      </c>
      <c r="M30" s="22" t="n">
        <v>0.13</v>
      </c>
      <c r="N30" s="29"/>
      <c r="O30" s="29"/>
      <c r="P30" s="29"/>
      <c r="Q30" s="29"/>
      <c r="R30" s="29"/>
      <c r="S30" s="29"/>
      <c r="T30" s="30"/>
      <c r="U30" s="29"/>
      <c r="V30" s="29"/>
      <c r="W30" s="30"/>
      <c r="X30" s="29"/>
      <c r="Y30" s="29"/>
      <c r="Z30" s="28"/>
      <c r="AA30" s="29"/>
    </row>
    <row r="31" s="23" customFormat="true" ht="19.5" hidden="false" customHeight="true" outlineLevel="0" collapsed="false">
      <c r="A31" s="17" t="s">
        <v>34</v>
      </c>
      <c r="B31" s="24" t="s">
        <v>132</v>
      </c>
      <c r="C31" s="17" t="s">
        <v>133</v>
      </c>
      <c r="D31" s="17" t="s">
        <v>50</v>
      </c>
      <c r="E31" s="17" t="n">
        <v>1840</v>
      </c>
      <c r="F31" s="17" t="n">
        <v>340</v>
      </c>
      <c r="G31" s="17" t="n">
        <v>10</v>
      </c>
      <c r="H31" s="17" t="n">
        <v>1</v>
      </c>
      <c r="I31" s="22" t="n">
        <f aca="false">IF(M31="",(E31/1000)*(F31/1000)*(G31/1000)*7850,M31*(G31/1000)*7850)</f>
        <v>49.1096</v>
      </c>
      <c r="J31" s="17" t="n">
        <v>456</v>
      </c>
      <c r="K31" s="22" t="n">
        <f aca="false">I31*J31</f>
        <v>22393.9776</v>
      </c>
      <c r="L31" s="17"/>
      <c r="M31" s="22"/>
      <c r="T31" s="30"/>
      <c r="W31" s="30"/>
    </row>
    <row r="32" s="23" customFormat="true" ht="19.5" hidden="true" customHeight="true" outlineLevel="0" collapsed="false">
      <c r="A32" s="17" t="s">
        <v>34</v>
      </c>
      <c r="B32" s="24" t="s">
        <v>132</v>
      </c>
      <c r="C32" s="17" t="s">
        <v>134</v>
      </c>
      <c r="D32" s="17" t="s">
        <v>50</v>
      </c>
      <c r="E32" s="17" t="n">
        <v>1440</v>
      </c>
      <c r="F32" s="17" t="n">
        <v>340</v>
      </c>
      <c r="G32" s="17" t="n">
        <v>10</v>
      </c>
      <c r="H32" s="17" t="n">
        <v>1</v>
      </c>
      <c r="I32" s="22" t="n">
        <f aca="false">IF(M32="",(E32/1000)*(F32/1000)*(G32/1000)*7850,M32*(G32/1000)*7850)</f>
        <v>38.4336</v>
      </c>
      <c r="J32" s="17" t="n">
        <v>456</v>
      </c>
      <c r="K32" s="22" t="n">
        <f aca="false">I32*J32</f>
        <v>17525.7216</v>
      </c>
      <c r="L32" s="17"/>
      <c r="M32" s="22"/>
      <c r="T32" s="30"/>
      <c r="W32" s="30"/>
    </row>
    <row r="33" s="23" customFormat="true" ht="19.5" hidden="true" customHeight="true" outlineLevel="0" collapsed="false">
      <c r="A33" s="17" t="s">
        <v>34</v>
      </c>
      <c r="B33" s="24" t="s">
        <v>132</v>
      </c>
      <c r="C33" s="17" t="s">
        <v>135</v>
      </c>
      <c r="D33" s="17" t="s">
        <v>50</v>
      </c>
      <c r="E33" s="17" t="n">
        <v>1840</v>
      </c>
      <c r="F33" s="17" t="n">
        <v>340</v>
      </c>
      <c r="G33" s="17" t="n">
        <v>14</v>
      </c>
      <c r="H33" s="17" t="n">
        <v>1</v>
      </c>
      <c r="I33" s="22" t="n">
        <f aca="false">IF(M33="",(E33/1000)*(F33/1000)*(G33/1000)*7850,M33*(G33/1000)*7850)</f>
        <v>68.75344</v>
      </c>
      <c r="J33" s="17" t="n">
        <v>16</v>
      </c>
      <c r="K33" s="22" t="n">
        <f aca="false">I33*J33</f>
        <v>1100.05504</v>
      </c>
      <c r="L33" s="17"/>
      <c r="M33" s="22"/>
      <c r="T33" s="30"/>
      <c r="W33" s="30"/>
    </row>
    <row r="34" s="23" customFormat="true" ht="19.5" hidden="true" customHeight="true" outlineLevel="0" collapsed="false">
      <c r="A34" s="17" t="s">
        <v>34</v>
      </c>
      <c r="B34" s="24" t="s">
        <v>132</v>
      </c>
      <c r="C34" s="17" t="s">
        <v>136</v>
      </c>
      <c r="D34" s="17" t="s">
        <v>50</v>
      </c>
      <c r="E34" s="17" t="n">
        <v>1440</v>
      </c>
      <c r="F34" s="17" t="n">
        <v>340</v>
      </c>
      <c r="G34" s="17" t="n">
        <v>14</v>
      </c>
      <c r="H34" s="17" t="n">
        <v>1</v>
      </c>
      <c r="I34" s="22" t="n">
        <f aca="false">IF(M34="",(E34/1000)*(F34/1000)*(G34/1000)*7850,M34*(G34/1000)*7850)</f>
        <v>53.80704</v>
      </c>
      <c r="J34" s="17" t="n">
        <v>16</v>
      </c>
      <c r="K34" s="22" t="n">
        <f aca="false">I34*J34</f>
        <v>860.91264</v>
      </c>
      <c r="L34" s="17"/>
      <c r="M34" s="22"/>
      <c r="T34" s="30"/>
      <c r="W34" s="30"/>
    </row>
    <row r="35" s="23" customFormat="true" ht="19.5" hidden="true" customHeight="true" outlineLevel="0" collapsed="false">
      <c r="A35" s="17" t="s">
        <v>34</v>
      </c>
      <c r="B35" s="24" t="s">
        <v>137</v>
      </c>
      <c r="C35" s="17" t="s">
        <v>12</v>
      </c>
      <c r="D35" s="17" t="s">
        <v>50</v>
      </c>
      <c r="E35" s="17"/>
      <c r="F35" s="17"/>
      <c r="G35" s="17"/>
      <c r="H35" s="17" t="n">
        <v>1</v>
      </c>
      <c r="I35" s="22" t="n">
        <v>30002.9</v>
      </c>
      <c r="J35" s="17" t="n">
        <v>1</v>
      </c>
      <c r="K35" s="22" t="n">
        <f aca="false">I35*J35</f>
        <v>30002.9</v>
      </c>
      <c r="L35" s="17" t="s">
        <v>13</v>
      </c>
      <c r="T35" s="29"/>
      <c r="W35" s="29"/>
    </row>
    <row r="36" s="23" customFormat="true" ht="19.5" hidden="false" customHeight="true" outlineLevel="0" collapsed="false">
      <c r="A36" s="17" t="s">
        <v>34</v>
      </c>
      <c r="B36" s="24" t="s">
        <v>138</v>
      </c>
      <c r="C36" s="17" t="s">
        <v>15</v>
      </c>
      <c r="D36" s="17" t="s">
        <v>139</v>
      </c>
      <c r="E36" s="17"/>
      <c r="F36" s="17"/>
      <c r="G36" s="17"/>
      <c r="H36" s="17" t="n">
        <v>1</v>
      </c>
      <c r="I36" s="22" t="n">
        <v>512.8</v>
      </c>
      <c r="J36" s="17" t="n">
        <v>1</v>
      </c>
      <c r="K36" s="22" t="n">
        <f aca="false">I36*J36</f>
        <v>512.8</v>
      </c>
      <c r="L36" s="17" t="s">
        <v>140</v>
      </c>
      <c r="M36" s="29"/>
      <c r="N36" s="29"/>
      <c r="O36" s="29"/>
      <c r="P36" s="29"/>
      <c r="Q36" s="29"/>
      <c r="R36" s="29"/>
      <c r="S36" s="29"/>
      <c r="T36" s="30"/>
      <c r="U36" s="29"/>
      <c r="V36" s="29"/>
      <c r="W36" s="30"/>
      <c r="X36" s="29"/>
      <c r="Y36" s="29"/>
      <c r="Z36" s="28"/>
      <c r="AA36" s="29"/>
    </row>
    <row r="37" s="23" customFormat="true" ht="19.5" hidden="false" customHeight="true" outlineLevel="0" collapsed="false">
      <c r="A37" s="17"/>
      <c r="B37" s="24" t="s">
        <v>63</v>
      </c>
      <c r="C37" s="17"/>
      <c r="D37" s="17"/>
      <c r="E37" s="17"/>
      <c r="F37" s="17"/>
      <c r="G37" s="17"/>
      <c r="H37" s="17"/>
      <c r="I37" s="22"/>
      <c r="J37" s="17"/>
      <c r="K37" s="22" t="n">
        <f aca="false">SUM(K4:K36)</f>
        <v>2030560.08968</v>
      </c>
      <c r="L37" s="17"/>
      <c r="T37" s="30"/>
      <c r="W37" s="30"/>
    </row>
    <row r="38" s="23" customFormat="true" ht="19.5" hidden="true" customHeight="true" outlineLevel="0" collapsed="false">
      <c r="A38" s="17"/>
      <c r="B38" s="24" t="s">
        <v>64</v>
      </c>
      <c r="C38" s="17"/>
      <c r="D38" s="17"/>
      <c r="E38" s="17"/>
      <c r="F38" s="17"/>
      <c r="G38" s="17"/>
      <c r="H38" s="17"/>
      <c r="I38" s="22"/>
      <c r="J38" s="17"/>
      <c r="K38" s="22"/>
      <c r="L38" s="17"/>
      <c r="N38" s="17" t="n">
        <f aca="false">SUMIF($G$4:$G$36,N$3,$K$4:$K$36)</f>
        <v>0</v>
      </c>
      <c r="O38" s="17" t="n">
        <f aca="false">SUMIF($G$4:$G$36,O$3,$K$4:$K$36)</f>
        <v>39919.6992</v>
      </c>
      <c r="P38" s="17" t="n">
        <f aca="false">SUMIF($G$4:$G$36,P$3,$K$4:$K$36)</f>
        <v>191410.40592</v>
      </c>
      <c r="Q38" s="17" t="n">
        <f aca="false">SUMIF($G$4:$G$36,Q$3,$K$4:$K$36)</f>
        <v>789675.72376</v>
      </c>
      <c r="R38" s="17" t="n">
        <f aca="false">SUMIF($G$4:$G$36,R$3,$K$4:$K$36)</f>
        <v>1868.928</v>
      </c>
      <c r="S38" s="17" t="n">
        <f aca="false">SUMIF($G$4:$G$36,S$3,$K$4:$K$36)</f>
        <v>431186.4328</v>
      </c>
      <c r="T38" s="17" t="n">
        <f aca="false">SUMIF($G$4:$G$36,T$3,$K$4:$K$36)</f>
        <v>545983.2</v>
      </c>
      <c r="U38" s="17" t="n">
        <f aca="false">SUMIF($G$4:$G$36,U$3,$K$4:$K$36)</f>
        <v>0</v>
      </c>
      <c r="V38" s="17" t="n">
        <f aca="false">SUMIF($G$4:$G$36,V$3,$K$4:$K$36)</f>
        <v>0</v>
      </c>
      <c r="W38" s="17" t="n">
        <f aca="false">SUMIF($G$4:$G$36,W$3,$K$4:$K$36)</f>
        <v>0</v>
      </c>
      <c r="X38" s="17" t="n">
        <f aca="false">SUMIF($G$4:$G$36,X$3,$K$4:$K$36)</f>
        <v>0</v>
      </c>
      <c r="Y38" s="17" t="n">
        <f aca="false">SUMIF($G$4:$G$36,Y$3,$K$4:$K$36)</f>
        <v>0</v>
      </c>
      <c r="Z38" s="17" t="n">
        <f aca="false">SUMIF($G$4:$G$36,Z$3,$K$4:$K$36)</f>
        <v>0</v>
      </c>
      <c r="AA38" s="17" t="n">
        <f aca="false">SUMIF($G$4:$G$36,AA$3,$K$4:$K$36)</f>
        <v>0</v>
      </c>
      <c r="AB38" s="17" t="n">
        <f aca="false">SUMIF($G$4:$G$36,AB$3,$K$4:$K$36)</f>
        <v>0</v>
      </c>
      <c r="AC38" s="17" t="n">
        <f aca="false">SUMIF($G$4:$G$36,AC$3,$K$4:$K$36)</f>
        <v>0</v>
      </c>
      <c r="AD38" s="17" t="n">
        <f aca="false">SUM(N38:AC38)</f>
        <v>2000044.38968</v>
      </c>
    </row>
    <row r="39" s="23" customFormat="true" ht="19.5" hidden="true" customHeight="true" outlineLevel="0" collapsed="false">
      <c r="C39" s="17"/>
      <c r="D39" s="17"/>
      <c r="E39" s="17"/>
      <c r="F39" s="17"/>
      <c r="G39" s="17"/>
      <c r="H39" s="17"/>
      <c r="I39" s="22"/>
      <c r="J39" s="17"/>
      <c r="K39" s="22"/>
      <c r="L39" s="17"/>
      <c r="T39" s="30"/>
      <c r="W39" s="30"/>
    </row>
    <row r="40" s="23" customFormat="true" ht="19.5" hidden="true" customHeight="true" outlineLevel="0" collapsed="false">
      <c r="C40" s="17"/>
      <c r="D40" s="17"/>
      <c r="E40" s="17"/>
      <c r="F40" s="17"/>
      <c r="G40" s="17"/>
      <c r="H40" s="17"/>
      <c r="I40" s="22"/>
      <c r="J40" s="17"/>
      <c r="K40" s="22"/>
      <c r="L40" s="17"/>
      <c r="T40" s="30"/>
      <c r="W40" s="30"/>
    </row>
    <row r="41" s="23" customFormat="true" ht="19.5" hidden="true" customHeight="true" outlineLevel="0" collapsed="false">
      <c r="B41" s="17"/>
      <c r="D41" s="17"/>
      <c r="E41" s="17"/>
      <c r="F41" s="17"/>
      <c r="G41" s="17"/>
      <c r="H41" s="17"/>
      <c r="I41" s="31"/>
      <c r="J41" s="17"/>
      <c r="K41" s="22"/>
      <c r="L41" s="17"/>
      <c r="T41" s="29"/>
      <c r="W41" s="29"/>
    </row>
    <row r="42" s="23" customFormat="true" ht="19.5" hidden="false" customHeight="true" outlineLevel="0" collapsed="false">
      <c r="A42" s="17"/>
      <c r="B42" s="24"/>
      <c r="C42" s="17"/>
      <c r="D42" s="17"/>
      <c r="E42" s="17"/>
      <c r="F42" s="17"/>
      <c r="G42" s="17"/>
      <c r="H42" s="17"/>
      <c r="I42" s="22"/>
      <c r="J42" s="17"/>
      <c r="K42" s="22"/>
      <c r="L42" s="17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8"/>
      <c r="AA42" s="29"/>
    </row>
    <row r="43" s="23" customFormat="true" ht="19.5" hidden="true" customHeight="true" outlineLevel="0" collapsed="false">
      <c r="C43" s="17"/>
      <c r="D43" s="17"/>
      <c r="E43" s="17"/>
      <c r="F43" s="17"/>
      <c r="G43" s="17"/>
      <c r="H43" s="17"/>
      <c r="I43" s="22"/>
      <c r="J43" s="17"/>
      <c r="K43" s="22"/>
      <c r="L43" s="17"/>
    </row>
    <row r="44" s="23" customFormat="true" ht="19.5" hidden="true" customHeight="true" outlineLevel="0" collapsed="false">
      <c r="C44" s="17"/>
      <c r="D44" s="17"/>
      <c r="E44" s="17"/>
      <c r="F44" s="17"/>
      <c r="G44" s="17"/>
      <c r="H44" s="17"/>
      <c r="I44" s="22"/>
      <c r="J44" s="17"/>
      <c r="K44" s="22"/>
      <c r="L44" s="17"/>
    </row>
    <row r="45" s="23" customFormat="true" ht="19.5" hidden="true" customHeight="true" outlineLevel="0" collapsed="false">
      <c r="C45" s="17"/>
      <c r="D45" s="17"/>
      <c r="E45" s="17"/>
      <c r="F45" s="17"/>
      <c r="G45" s="17"/>
      <c r="H45" s="17"/>
      <c r="I45" s="22"/>
      <c r="J45" s="17"/>
      <c r="K45" s="22"/>
      <c r="L45" s="17"/>
    </row>
    <row r="46" s="23" customFormat="true" ht="19.5" hidden="true" customHeight="true" outlineLevel="0" collapsed="false">
      <c r="C46" s="17"/>
      <c r="D46" s="17"/>
      <c r="E46" s="17"/>
      <c r="F46" s="17"/>
      <c r="G46" s="17"/>
      <c r="H46" s="17"/>
      <c r="I46" s="22"/>
      <c r="J46" s="17"/>
      <c r="K46" s="22"/>
      <c r="L46" s="17"/>
    </row>
    <row r="47" s="23" customFormat="true" ht="19.5" hidden="true" customHeight="true" outlineLevel="0" collapsed="false">
      <c r="C47" s="17"/>
      <c r="D47" s="17"/>
      <c r="E47" s="17"/>
      <c r="F47" s="17"/>
      <c r="G47" s="17"/>
      <c r="H47" s="17"/>
      <c r="I47" s="22"/>
      <c r="J47" s="17"/>
      <c r="K47" s="22"/>
      <c r="L47" s="17"/>
    </row>
    <row r="48" s="23" customFormat="true" ht="19.5" hidden="false" customHeight="true" outlineLevel="0" collapsed="false">
      <c r="C48" s="17"/>
      <c r="D48" s="17"/>
      <c r="E48" s="17"/>
      <c r="F48" s="17"/>
      <c r="G48" s="17"/>
      <c r="H48" s="17"/>
      <c r="I48" s="22"/>
      <c r="J48" s="17"/>
      <c r="K48" s="22"/>
      <c r="L48" s="17"/>
    </row>
    <row r="49" s="23" customFormat="true" ht="19.5" hidden="true" customHeight="true" outlineLevel="0" collapsed="false">
      <c r="C49" s="17"/>
      <c r="D49" s="17"/>
      <c r="E49" s="17"/>
      <c r="F49" s="17"/>
      <c r="G49" s="17"/>
      <c r="H49" s="17"/>
      <c r="I49" s="22"/>
      <c r="J49" s="17"/>
      <c r="K49" s="22"/>
      <c r="L49" s="17"/>
    </row>
    <row r="50" s="23" customFormat="true" ht="19.5" hidden="true" customHeight="true" outlineLevel="0" collapsed="false">
      <c r="C50" s="17"/>
      <c r="D50" s="17"/>
      <c r="E50" s="17"/>
      <c r="F50" s="17"/>
      <c r="G50" s="17"/>
      <c r="H50" s="17"/>
      <c r="I50" s="22"/>
      <c r="J50" s="17"/>
      <c r="K50" s="22"/>
      <c r="L50" s="17"/>
    </row>
    <row r="51" s="23" customFormat="true" ht="19.5" hidden="true" customHeight="true" outlineLevel="0" collapsed="false">
      <c r="C51" s="17"/>
      <c r="D51" s="17"/>
      <c r="E51" s="17"/>
      <c r="F51" s="17"/>
      <c r="G51" s="17"/>
      <c r="H51" s="17"/>
      <c r="I51" s="22"/>
      <c r="J51" s="17"/>
      <c r="K51" s="22"/>
      <c r="L51" s="17"/>
    </row>
    <row r="52" s="23" customFormat="true" ht="19.5" hidden="true" customHeight="true" outlineLevel="0" collapsed="false">
      <c r="C52" s="17"/>
      <c r="D52" s="17"/>
      <c r="E52" s="17"/>
      <c r="F52" s="17"/>
      <c r="G52" s="17"/>
      <c r="H52" s="17"/>
      <c r="I52" s="22"/>
      <c r="J52" s="17"/>
      <c r="K52" s="22"/>
      <c r="L52" s="17"/>
    </row>
    <row r="53" s="23" customFormat="true" ht="19.5" hidden="true" customHeight="true" outlineLevel="0" collapsed="false">
      <c r="B53" s="17"/>
      <c r="D53" s="17"/>
      <c r="E53" s="17"/>
      <c r="F53" s="17"/>
      <c r="G53" s="17"/>
      <c r="H53" s="17"/>
      <c r="I53" s="31"/>
      <c r="J53" s="17"/>
      <c r="K53" s="22"/>
      <c r="L53" s="17"/>
    </row>
    <row r="54" s="23" customFormat="true" ht="19.5" hidden="true" customHeight="true" outlineLevel="0" collapsed="false">
      <c r="A54" s="17"/>
      <c r="B54" s="24"/>
      <c r="C54" s="17"/>
      <c r="D54" s="17"/>
      <c r="E54" s="17"/>
      <c r="F54" s="17"/>
      <c r="G54" s="17"/>
      <c r="H54" s="17"/>
      <c r="I54" s="22"/>
      <c r="J54" s="17"/>
      <c r="K54" s="22"/>
      <c r="L54" s="17"/>
      <c r="M54" s="29"/>
      <c r="N54" s="29"/>
      <c r="O54" s="29"/>
      <c r="P54" s="29"/>
      <c r="Q54" s="29"/>
      <c r="R54" s="29"/>
      <c r="S54" s="29"/>
      <c r="T54" s="30"/>
      <c r="U54" s="29"/>
      <c r="V54" s="29"/>
      <c r="W54" s="30"/>
      <c r="X54" s="29"/>
      <c r="Y54" s="29"/>
      <c r="Z54" s="28"/>
      <c r="AA54" s="29"/>
    </row>
    <row r="55" s="23" customFormat="true" ht="19.5" hidden="true" customHeight="true" outlineLevel="0" collapsed="false">
      <c r="C55" s="17"/>
      <c r="D55" s="17"/>
      <c r="E55" s="17"/>
      <c r="F55" s="17"/>
      <c r="G55" s="17"/>
      <c r="H55" s="17"/>
      <c r="I55" s="22"/>
      <c r="J55" s="17"/>
      <c r="K55" s="22"/>
      <c r="L55" s="17"/>
      <c r="T55" s="30"/>
      <c r="W55" s="30"/>
    </row>
    <row r="56" s="23" customFormat="true" ht="19.5" hidden="true" customHeight="true" outlineLevel="0" collapsed="false">
      <c r="C56" s="17"/>
      <c r="D56" s="17"/>
      <c r="E56" s="17"/>
      <c r="F56" s="17"/>
      <c r="G56" s="17"/>
      <c r="H56" s="17"/>
      <c r="I56" s="22"/>
      <c r="J56" s="17"/>
      <c r="K56" s="22"/>
      <c r="L56" s="17"/>
      <c r="T56" s="30"/>
      <c r="W56" s="30"/>
    </row>
    <row r="57" s="23" customFormat="true" ht="19.5" hidden="true" customHeight="true" outlineLevel="0" collapsed="false">
      <c r="B57" s="17"/>
      <c r="D57" s="17"/>
      <c r="E57" s="17"/>
      <c r="F57" s="17"/>
      <c r="G57" s="17"/>
      <c r="H57" s="17"/>
      <c r="I57" s="31"/>
      <c r="J57" s="17"/>
      <c r="K57" s="22"/>
      <c r="L57" s="17"/>
      <c r="T57" s="29"/>
      <c r="W57" s="29"/>
    </row>
    <row r="58" s="23" customFormat="true" ht="19.5" hidden="true" customHeight="true" outlineLevel="0" collapsed="false">
      <c r="A58" s="17"/>
      <c r="B58" s="24"/>
      <c r="C58" s="17"/>
      <c r="D58" s="17"/>
      <c r="E58" s="17"/>
      <c r="F58" s="17"/>
      <c r="G58" s="17"/>
      <c r="H58" s="17"/>
      <c r="I58" s="22"/>
      <c r="J58" s="17"/>
      <c r="K58" s="22"/>
      <c r="L58" s="17"/>
      <c r="M58" s="29"/>
      <c r="N58" s="29"/>
      <c r="O58" s="29"/>
      <c r="P58" s="29"/>
      <c r="Q58" s="29"/>
      <c r="R58" s="29"/>
      <c r="S58" s="29"/>
      <c r="T58" s="30"/>
      <c r="U58" s="29"/>
      <c r="V58" s="29"/>
      <c r="W58" s="30"/>
      <c r="X58" s="29"/>
      <c r="Y58" s="29"/>
      <c r="Z58" s="28"/>
      <c r="AA58" s="29"/>
    </row>
    <row r="59" s="23" customFormat="true" ht="19.5" hidden="true" customHeight="true" outlineLevel="0" collapsed="false">
      <c r="C59" s="17"/>
      <c r="D59" s="17"/>
      <c r="E59" s="17"/>
      <c r="F59" s="17"/>
      <c r="G59" s="17"/>
      <c r="H59" s="17"/>
      <c r="I59" s="22"/>
      <c r="J59" s="17"/>
      <c r="K59" s="22"/>
      <c r="L59" s="17"/>
      <c r="T59" s="30"/>
      <c r="W59" s="30"/>
    </row>
    <row r="60" s="23" customFormat="true" ht="19.5" hidden="true" customHeight="true" outlineLevel="0" collapsed="false">
      <c r="C60" s="17"/>
      <c r="D60" s="17"/>
      <c r="E60" s="17"/>
      <c r="F60" s="17"/>
      <c r="G60" s="17"/>
      <c r="H60" s="17"/>
      <c r="I60" s="22"/>
      <c r="J60" s="17"/>
      <c r="K60" s="22"/>
      <c r="L60" s="17"/>
      <c r="T60" s="30"/>
      <c r="W60" s="30"/>
    </row>
    <row r="61" s="23" customFormat="true" ht="19.5" hidden="true" customHeight="true" outlineLevel="0" collapsed="false">
      <c r="B61" s="17"/>
      <c r="D61" s="17"/>
      <c r="E61" s="17"/>
      <c r="F61" s="17"/>
      <c r="G61" s="17"/>
      <c r="H61" s="17"/>
      <c r="I61" s="31"/>
      <c r="J61" s="17"/>
      <c r="K61" s="22"/>
      <c r="L61" s="17"/>
      <c r="T61" s="29"/>
      <c r="W61" s="29"/>
    </row>
    <row r="62" s="23" customFormat="true" ht="19.5" hidden="true" customHeight="true" outlineLevel="0" collapsed="false">
      <c r="A62" s="17"/>
      <c r="B62" s="24"/>
      <c r="C62" s="17"/>
      <c r="D62" s="17"/>
      <c r="E62" s="17"/>
      <c r="F62" s="17"/>
      <c r="G62" s="17"/>
      <c r="H62" s="17"/>
      <c r="I62" s="22"/>
      <c r="J62" s="17"/>
      <c r="K62" s="22"/>
      <c r="L62" s="17"/>
      <c r="M62" s="29"/>
      <c r="N62" s="29"/>
      <c r="O62" s="29"/>
      <c r="P62" s="29"/>
      <c r="Q62" s="29"/>
      <c r="R62" s="29"/>
      <c r="S62" s="29"/>
      <c r="T62" s="30"/>
      <c r="U62" s="29"/>
      <c r="V62" s="29"/>
      <c r="W62" s="30"/>
      <c r="X62" s="29"/>
      <c r="Y62" s="29"/>
      <c r="Z62" s="28"/>
      <c r="AA62" s="29"/>
    </row>
    <row r="63" s="23" customFormat="true" ht="19.5" hidden="true" customHeight="true" outlineLevel="0" collapsed="false">
      <c r="C63" s="17"/>
      <c r="D63" s="17"/>
      <c r="E63" s="17"/>
      <c r="F63" s="17"/>
      <c r="G63" s="17"/>
      <c r="H63" s="17"/>
      <c r="I63" s="22"/>
      <c r="J63" s="17"/>
      <c r="K63" s="22"/>
      <c r="L63" s="17"/>
      <c r="T63" s="30"/>
      <c r="W63" s="30"/>
    </row>
    <row r="64" s="23" customFormat="true" ht="19.5" hidden="true" customHeight="true" outlineLevel="0" collapsed="false">
      <c r="C64" s="17"/>
      <c r="D64" s="17"/>
      <c r="E64" s="17"/>
      <c r="F64" s="17"/>
      <c r="G64" s="17"/>
      <c r="H64" s="17"/>
      <c r="I64" s="22"/>
      <c r="J64" s="17"/>
      <c r="K64" s="22"/>
      <c r="L64" s="17"/>
      <c r="T64" s="30"/>
      <c r="W64" s="30"/>
    </row>
    <row r="65" s="23" customFormat="true" ht="19.5" hidden="true" customHeight="true" outlineLevel="0" collapsed="false">
      <c r="B65" s="17"/>
      <c r="D65" s="17"/>
      <c r="E65" s="17"/>
      <c r="F65" s="17"/>
      <c r="G65" s="17"/>
      <c r="H65" s="17"/>
      <c r="I65" s="31"/>
      <c r="J65" s="17"/>
      <c r="K65" s="22"/>
      <c r="L65" s="17"/>
      <c r="T65" s="29"/>
      <c r="W65" s="29"/>
    </row>
    <row r="66" s="23" customFormat="true" ht="19.5" hidden="false" customHeight="true" outlineLevel="0" collapsed="false">
      <c r="A66" s="17"/>
      <c r="B66" s="24"/>
      <c r="C66" s="17"/>
      <c r="D66" s="17"/>
      <c r="E66" s="17"/>
      <c r="F66" s="17"/>
      <c r="G66" s="17"/>
      <c r="H66" s="17"/>
      <c r="I66" s="22"/>
      <c r="J66" s="17"/>
      <c r="K66" s="22"/>
      <c r="L66" s="17"/>
      <c r="M66" s="29"/>
      <c r="N66" s="29"/>
      <c r="O66" s="29"/>
      <c r="P66" s="29"/>
      <c r="Q66" s="29"/>
      <c r="R66" s="29"/>
      <c r="S66" s="29"/>
      <c r="T66" s="30"/>
      <c r="U66" s="29"/>
      <c r="V66" s="29"/>
      <c r="W66" s="30"/>
      <c r="X66" s="29"/>
      <c r="Y66" s="29"/>
      <c r="Z66" s="28"/>
      <c r="AA66" s="29"/>
    </row>
    <row r="67" s="23" customFormat="true" ht="19.5" hidden="true" customHeight="true" outlineLevel="0" collapsed="false">
      <c r="C67" s="17"/>
      <c r="D67" s="17"/>
      <c r="E67" s="17"/>
      <c r="F67" s="17"/>
      <c r="G67" s="17"/>
      <c r="H67" s="17"/>
      <c r="I67" s="22"/>
      <c r="J67" s="17"/>
      <c r="K67" s="22"/>
      <c r="L67" s="17"/>
      <c r="T67" s="30"/>
      <c r="W67" s="30"/>
    </row>
    <row r="68" s="23" customFormat="true" ht="19.5" hidden="true" customHeight="true" outlineLevel="0" collapsed="false">
      <c r="C68" s="17"/>
      <c r="D68" s="17"/>
      <c r="E68" s="17"/>
      <c r="F68" s="17"/>
      <c r="G68" s="17"/>
      <c r="H68" s="17"/>
      <c r="I68" s="22"/>
      <c r="J68" s="17"/>
      <c r="K68" s="22"/>
      <c r="L68" s="17"/>
      <c r="T68" s="30"/>
      <c r="W68" s="30"/>
    </row>
    <row r="69" s="23" customFormat="true" ht="19.5" hidden="true" customHeight="true" outlineLevel="0" collapsed="false">
      <c r="B69" s="17"/>
      <c r="D69" s="17"/>
      <c r="E69" s="17"/>
      <c r="F69" s="17"/>
      <c r="G69" s="17"/>
      <c r="H69" s="17"/>
      <c r="I69" s="31"/>
      <c r="J69" s="17"/>
      <c r="K69" s="22"/>
      <c r="L69" s="17"/>
      <c r="T69" s="29"/>
      <c r="W69" s="29"/>
    </row>
    <row r="70" s="23" customFormat="true" ht="19.5" hidden="false" customHeight="true" outlineLevel="0" collapsed="false">
      <c r="A70" s="17"/>
      <c r="B70" s="24"/>
      <c r="C70" s="17"/>
      <c r="D70" s="17"/>
      <c r="E70" s="17"/>
      <c r="F70" s="17"/>
      <c r="G70" s="17"/>
      <c r="H70" s="17"/>
      <c r="I70" s="22"/>
      <c r="J70" s="17"/>
      <c r="K70" s="22"/>
      <c r="L70" s="17"/>
      <c r="M70" s="29"/>
      <c r="N70" s="29"/>
      <c r="O70" s="29"/>
      <c r="P70" s="29"/>
      <c r="Q70" s="29"/>
      <c r="R70" s="29"/>
      <c r="S70" s="29"/>
      <c r="T70" s="30"/>
      <c r="U70" s="29"/>
      <c r="V70" s="29"/>
      <c r="W70" s="30"/>
      <c r="X70" s="29"/>
      <c r="Y70" s="29"/>
      <c r="Z70" s="28"/>
      <c r="AA70" s="29"/>
    </row>
    <row r="71" s="23" customFormat="true" ht="19.5" hidden="true" customHeight="true" outlineLevel="0" collapsed="false">
      <c r="C71" s="17"/>
      <c r="D71" s="17"/>
      <c r="E71" s="17"/>
      <c r="F71" s="17"/>
      <c r="G71" s="17"/>
      <c r="H71" s="17"/>
      <c r="I71" s="22"/>
      <c r="J71" s="17"/>
      <c r="K71" s="22"/>
      <c r="L71" s="17"/>
      <c r="T71" s="30"/>
      <c r="W71" s="30"/>
    </row>
    <row r="72" s="23" customFormat="true" ht="19.5" hidden="true" customHeight="true" outlineLevel="0" collapsed="false">
      <c r="C72" s="17"/>
      <c r="D72" s="17"/>
      <c r="E72" s="17"/>
      <c r="F72" s="17"/>
      <c r="G72" s="17"/>
      <c r="H72" s="17"/>
      <c r="I72" s="22"/>
      <c r="J72" s="17"/>
      <c r="K72" s="22"/>
      <c r="L72" s="17"/>
      <c r="T72" s="30"/>
      <c r="W72" s="30"/>
    </row>
    <row r="73" s="23" customFormat="true" ht="19.5" hidden="true" customHeight="true" outlineLevel="0" collapsed="false">
      <c r="B73" s="17"/>
      <c r="D73" s="17"/>
      <c r="E73" s="17"/>
      <c r="F73" s="17"/>
      <c r="G73" s="17"/>
      <c r="H73" s="17"/>
      <c r="I73" s="31"/>
      <c r="J73" s="17"/>
      <c r="K73" s="22"/>
      <c r="L73" s="17"/>
      <c r="T73" s="29"/>
      <c r="W73" s="29"/>
    </row>
    <row r="74" s="23" customFormat="true" ht="19.5" hidden="false" customHeight="true" outlineLevel="0" collapsed="false">
      <c r="A74" s="17"/>
      <c r="B74" s="24"/>
      <c r="C74" s="17"/>
      <c r="D74" s="17"/>
      <c r="E74" s="17"/>
      <c r="F74" s="17"/>
      <c r="G74" s="17"/>
      <c r="H74" s="17"/>
      <c r="I74" s="22"/>
      <c r="J74" s="17"/>
      <c r="K74" s="22"/>
      <c r="L74" s="17"/>
      <c r="M74" s="29"/>
      <c r="N74" s="29"/>
      <c r="O74" s="29"/>
      <c r="P74" s="29"/>
      <c r="Q74" s="29"/>
      <c r="R74" s="29"/>
      <c r="S74" s="29"/>
      <c r="T74" s="30"/>
      <c r="U74" s="29"/>
      <c r="V74" s="29"/>
      <c r="W74" s="30"/>
      <c r="X74" s="29"/>
      <c r="Y74" s="29"/>
      <c r="Z74" s="28"/>
      <c r="AA74" s="29"/>
    </row>
    <row r="75" s="23" customFormat="true" ht="19.5" hidden="true" customHeight="true" outlineLevel="0" collapsed="false">
      <c r="C75" s="17"/>
      <c r="D75" s="17"/>
      <c r="E75" s="17"/>
      <c r="F75" s="17"/>
      <c r="G75" s="17"/>
      <c r="H75" s="17"/>
      <c r="I75" s="22"/>
      <c r="J75" s="17"/>
      <c r="K75" s="22"/>
      <c r="L75" s="17"/>
      <c r="T75" s="30"/>
      <c r="W75" s="30"/>
    </row>
    <row r="76" s="23" customFormat="true" ht="19.5" hidden="true" customHeight="true" outlineLevel="0" collapsed="false">
      <c r="C76" s="17"/>
      <c r="D76" s="17"/>
      <c r="E76" s="17"/>
      <c r="F76" s="17"/>
      <c r="G76" s="17"/>
      <c r="H76" s="17"/>
      <c r="I76" s="22"/>
      <c r="J76" s="17"/>
      <c r="K76" s="22"/>
      <c r="L76" s="17"/>
      <c r="T76" s="30"/>
      <c r="W76" s="30"/>
    </row>
    <row r="77" s="23" customFormat="true" ht="19.5" hidden="true" customHeight="true" outlineLevel="0" collapsed="false">
      <c r="B77" s="17"/>
      <c r="D77" s="17"/>
      <c r="E77" s="17"/>
      <c r="F77" s="17"/>
      <c r="G77" s="17"/>
      <c r="H77" s="17"/>
      <c r="I77" s="31"/>
      <c r="J77" s="17"/>
      <c r="K77" s="22"/>
      <c r="L77" s="17"/>
      <c r="T77" s="29"/>
      <c r="W77" s="29"/>
    </row>
    <row r="78" s="23" customFormat="true" ht="19.5" hidden="true" customHeight="true" outlineLevel="0" collapsed="false">
      <c r="A78" s="17"/>
      <c r="B78" s="24"/>
      <c r="C78" s="17"/>
      <c r="D78" s="17"/>
      <c r="E78" s="17"/>
      <c r="F78" s="17"/>
      <c r="G78" s="17"/>
      <c r="H78" s="17"/>
      <c r="I78" s="22"/>
      <c r="J78" s="32"/>
      <c r="K78" s="22"/>
      <c r="L78" s="17"/>
      <c r="M78" s="29"/>
      <c r="N78" s="29"/>
      <c r="O78" s="29"/>
      <c r="P78" s="29"/>
      <c r="Q78" s="29"/>
      <c r="R78" s="29"/>
      <c r="S78" s="29"/>
      <c r="T78" s="30"/>
      <c r="U78" s="29"/>
      <c r="V78" s="29"/>
      <c r="W78" s="30"/>
      <c r="X78" s="29"/>
      <c r="Y78" s="29"/>
      <c r="Z78" s="28"/>
      <c r="AA78" s="29"/>
    </row>
    <row r="79" s="23" customFormat="true" ht="19.5" hidden="true" customHeight="true" outlineLevel="0" collapsed="false">
      <c r="C79" s="17"/>
      <c r="D79" s="17"/>
      <c r="E79" s="17"/>
      <c r="F79" s="17"/>
      <c r="G79" s="17"/>
      <c r="H79" s="17"/>
      <c r="I79" s="22"/>
      <c r="J79" s="32"/>
      <c r="K79" s="22"/>
      <c r="L79" s="17"/>
      <c r="T79" s="30"/>
      <c r="W79" s="30"/>
    </row>
    <row r="80" s="23" customFormat="true" ht="19.5" hidden="true" customHeight="true" outlineLevel="0" collapsed="false">
      <c r="B80" s="17"/>
      <c r="D80" s="17"/>
      <c r="E80" s="17"/>
      <c r="F80" s="17"/>
      <c r="G80" s="17"/>
      <c r="H80" s="17"/>
      <c r="I80" s="31"/>
      <c r="J80" s="17"/>
      <c r="K80" s="22"/>
      <c r="L80" s="17"/>
      <c r="T80" s="29"/>
      <c r="W80" s="29"/>
    </row>
    <row r="81" s="23" customFormat="true" ht="19.5" hidden="true" customHeight="true" outlineLevel="0" collapsed="false">
      <c r="A81" s="17"/>
      <c r="B81" s="24"/>
      <c r="C81" s="17"/>
      <c r="D81" s="17"/>
      <c r="E81" s="17"/>
      <c r="F81" s="17"/>
      <c r="G81" s="17"/>
      <c r="H81" s="17"/>
      <c r="I81" s="22"/>
      <c r="J81" s="17"/>
      <c r="K81" s="22"/>
      <c r="L81" s="17"/>
      <c r="M81" s="29"/>
      <c r="N81" s="29"/>
      <c r="O81" s="29"/>
      <c r="P81" s="29"/>
      <c r="Q81" s="29"/>
      <c r="R81" s="29"/>
      <c r="S81" s="29"/>
      <c r="T81" s="30"/>
      <c r="U81" s="29"/>
      <c r="V81" s="29"/>
      <c r="W81" s="30"/>
      <c r="X81" s="29"/>
      <c r="Y81" s="29"/>
      <c r="Z81" s="28"/>
      <c r="AA81" s="29"/>
    </row>
    <row r="82" s="23" customFormat="true" ht="19.5" hidden="true" customHeight="true" outlineLevel="0" collapsed="false">
      <c r="C82" s="17"/>
      <c r="D82" s="17"/>
      <c r="E82" s="17"/>
      <c r="F82" s="17"/>
      <c r="G82" s="17"/>
      <c r="H82" s="17"/>
      <c r="I82" s="22"/>
      <c r="J82" s="17"/>
      <c r="K82" s="22"/>
      <c r="L82" s="17"/>
      <c r="T82" s="30"/>
      <c r="W82" s="30"/>
    </row>
    <row r="83" s="23" customFormat="true" ht="19.5" hidden="true" customHeight="true" outlineLevel="0" collapsed="false">
      <c r="B83" s="17"/>
      <c r="D83" s="17"/>
      <c r="E83" s="17"/>
      <c r="F83" s="17"/>
      <c r="G83" s="17"/>
      <c r="H83" s="17"/>
      <c r="I83" s="22"/>
      <c r="J83" s="17"/>
      <c r="K83" s="22"/>
      <c r="L83" s="17"/>
      <c r="T83" s="29"/>
      <c r="W83" s="29"/>
    </row>
    <row r="84" s="23" customFormat="true" ht="19.5" hidden="true" customHeight="true" outlineLevel="0" collapsed="false">
      <c r="A84" s="17"/>
      <c r="B84" s="24"/>
      <c r="C84" s="17"/>
      <c r="D84" s="17"/>
      <c r="E84" s="17"/>
      <c r="F84" s="17"/>
      <c r="G84" s="17"/>
      <c r="H84" s="17"/>
      <c r="I84" s="22"/>
      <c r="J84" s="17"/>
      <c r="K84" s="22"/>
      <c r="L84" s="17"/>
      <c r="M84" s="29"/>
      <c r="N84" s="29"/>
      <c r="O84" s="29"/>
      <c r="P84" s="29"/>
      <c r="Q84" s="29"/>
      <c r="R84" s="29"/>
      <c r="S84" s="29"/>
      <c r="T84" s="30"/>
      <c r="U84" s="29"/>
      <c r="V84" s="29"/>
      <c r="W84" s="30"/>
      <c r="X84" s="29"/>
      <c r="Y84" s="29"/>
      <c r="Z84" s="28"/>
      <c r="AA84" s="29"/>
    </row>
    <row r="85" s="23" customFormat="true" ht="19.5" hidden="true" customHeight="true" outlineLevel="0" collapsed="false">
      <c r="C85" s="17"/>
      <c r="D85" s="17"/>
      <c r="E85" s="17"/>
      <c r="F85" s="17"/>
      <c r="G85" s="17"/>
      <c r="H85" s="17"/>
      <c r="I85" s="22"/>
      <c r="J85" s="17"/>
      <c r="K85" s="22"/>
      <c r="L85" s="17"/>
      <c r="T85" s="30"/>
      <c r="W85" s="30"/>
    </row>
    <row r="86" s="23" customFormat="true" ht="19.5" hidden="true" customHeight="true" outlineLevel="0" collapsed="false">
      <c r="B86" s="17"/>
      <c r="D86" s="17"/>
      <c r="E86" s="17"/>
      <c r="F86" s="17"/>
      <c r="G86" s="17"/>
      <c r="H86" s="17"/>
      <c r="I86" s="22"/>
      <c r="J86" s="17"/>
      <c r="K86" s="22"/>
      <c r="L86" s="17"/>
      <c r="T86" s="29"/>
      <c r="W86" s="29"/>
    </row>
    <row r="87" s="23" customFormat="true" ht="19.5" hidden="false" customHeight="true" outlineLevel="0" collapsed="false">
      <c r="A87" s="17"/>
      <c r="B87" s="24"/>
      <c r="C87" s="17"/>
      <c r="D87" s="17"/>
      <c r="E87" s="17"/>
      <c r="F87" s="17"/>
      <c r="G87" s="17"/>
      <c r="H87" s="17"/>
      <c r="I87" s="22"/>
      <c r="J87" s="17"/>
      <c r="K87" s="22"/>
      <c r="L87" s="17"/>
      <c r="M87" s="29"/>
      <c r="N87" s="29"/>
      <c r="O87" s="29"/>
      <c r="P87" s="29"/>
      <c r="Q87" s="29"/>
      <c r="R87" s="29"/>
      <c r="S87" s="29"/>
      <c r="T87" s="30"/>
      <c r="U87" s="29"/>
      <c r="V87" s="29"/>
      <c r="W87" s="30"/>
      <c r="X87" s="29"/>
      <c r="Y87" s="29"/>
      <c r="Z87" s="28"/>
      <c r="AA87" s="29"/>
    </row>
    <row r="88" s="23" customFormat="true" ht="19.5" hidden="false" customHeight="true" outlineLevel="0" collapsed="false">
      <c r="C88" s="17"/>
      <c r="D88" s="17"/>
      <c r="E88" s="17"/>
      <c r="F88" s="17"/>
      <c r="G88" s="17"/>
      <c r="H88" s="17"/>
      <c r="I88" s="33"/>
      <c r="J88" s="32"/>
      <c r="K88" s="22"/>
      <c r="L88" s="17"/>
      <c r="T88" s="30"/>
      <c r="W88" s="30"/>
    </row>
    <row r="89" s="23" customFormat="true" ht="19.5" hidden="true" customHeight="true" outlineLevel="0" collapsed="false">
      <c r="B89" s="17"/>
      <c r="D89" s="17"/>
      <c r="E89" s="17"/>
      <c r="F89" s="17"/>
      <c r="G89" s="17"/>
      <c r="H89" s="17"/>
      <c r="I89" s="22"/>
      <c r="J89" s="17"/>
      <c r="K89" s="22"/>
      <c r="L89" s="17"/>
      <c r="T89" s="29"/>
      <c r="W89" s="29"/>
    </row>
    <row r="90" s="23" customFormat="true" ht="19.5" hidden="true" customHeight="true" outlineLevel="0" collapsed="false">
      <c r="A90" s="17"/>
      <c r="B90" s="24"/>
      <c r="C90" s="17"/>
      <c r="D90" s="17"/>
      <c r="E90" s="17"/>
      <c r="F90" s="17"/>
      <c r="G90" s="17"/>
      <c r="H90" s="17"/>
      <c r="I90" s="22"/>
      <c r="J90" s="17"/>
      <c r="K90" s="22"/>
      <c r="L90" s="17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8"/>
      <c r="AA90" s="29"/>
    </row>
    <row r="91" s="23" customFormat="true" ht="19.5" hidden="false" customHeight="true" outlineLevel="0" collapsed="false">
      <c r="C91" s="17"/>
      <c r="D91" s="17"/>
      <c r="E91" s="17"/>
      <c r="F91" s="17"/>
      <c r="G91" s="17"/>
      <c r="H91" s="17"/>
      <c r="I91" s="22"/>
      <c r="J91" s="17"/>
      <c r="K91" s="22"/>
      <c r="L91" s="17"/>
    </row>
    <row r="92" s="23" customFormat="true" ht="19.5" hidden="false" customHeight="true" outlineLevel="0" collapsed="false">
      <c r="C92" s="17"/>
      <c r="D92" s="17"/>
      <c r="E92" s="17"/>
      <c r="F92" s="17"/>
      <c r="G92" s="17"/>
      <c r="H92" s="17"/>
      <c r="I92" s="22"/>
      <c r="J92" s="17"/>
      <c r="K92" s="22"/>
      <c r="L92" s="17"/>
    </row>
    <row r="93" s="23" customFormat="true" ht="19.5" hidden="false" customHeight="true" outlineLevel="0" collapsed="false">
      <c r="C93" s="17"/>
      <c r="D93" s="17"/>
      <c r="E93" s="17"/>
      <c r="F93" s="17"/>
      <c r="G93" s="17"/>
      <c r="H93" s="17"/>
      <c r="I93" s="22"/>
      <c r="J93" s="17"/>
      <c r="K93" s="22"/>
      <c r="L93" s="17"/>
    </row>
    <row r="94" s="23" customFormat="true" ht="19.5" hidden="true" customHeight="true" outlineLevel="0" collapsed="false">
      <c r="C94" s="17"/>
      <c r="D94" s="17"/>
      <c r="E94" s="17"/>
      <c r="F94" s="17"/>
      <c r="G94" s="17"/>
      <c r="H94" s="17"/>
      <c r="I94" s="33"/>
      <c r="J94" s="17"/>
      <c r="K94" s="22"/>
      <c r="L94" s="17"/>
    </row>
    <row r="95" s="23" customFormat="true" ht="19.5" hidden="true" customHeight="true" outlineLevel="0" collapsed="false">
      <c r="C95" s="17"/>
      <c r="D95" s="17"/>
      <c r="E95" s="17"/>
      <c r="F95" s="17"/>
      <c r="G95" s="17"/>
      <c r="H95" s="17"/>
      <c r="I95" s="22"/>
      <c r="J95" s="17"/>
      <c r="K95" s="22"/>
      <c r="L95" s="17"/>
    </row>
    <row r="96" s="23" customFormat="true" ht="19.5" hidden="false" customHeight="true" outlineLevel="0" collapsed="false">
      <c r="C96" s="17"/>
      <c r="D96" s="17"/>
      <c r="E96" s="17"/>
      <c r="F96" s="17"/>
      <c r="G96" s="17"/>
      <c r="H96" s="17"/>
      <c r="I96" s="22"/>
      <c r="J96" s="17"/>
      <c r="K96" s="22"/>
      <c r="L96" s="17"/>
    </row>
    <row r="97" s="23" customFormat="true" ht="19.5" hidden="false" customHeight="true" outlineLevel="0" collapsed="false">
      <c r="C97" s="17"/>
      <c r="D97" s="17"/>
      <c r="E97" s="17"/>
      <c r="F97" s="17"/>
      <c r="G97" s="17"/>
      <c r="H97" s="17"/>
      <c r="I97" s="22"/>
      <c r="J97" s="17"/>
      <c r="K97" s="22"/>
      <c r="L97" s="17"/>
    </row>
    <row r="98" s="23" customFormat="true" ht="19.5" hidden="false" customHeight="true" outlineLevel="0" collapsed="false">
      <c r="C98" s="17"/>
      <c r="D98" s="17"/>
      <c r="E98" s="17"/>
      <c r="F98" s="17"/>
      <c r="G98" s="17"/>
      <c r="H98" s="17"/>
      <c r="I98" s="22"/>
      <c r="J98" s="17"/>
      <c r="K98" s="22"/>
      <c r="L98" s="17"/>
    </row>
    <row r="99" s="23" customFormat="true" ht="19.5" hidden="true" customHeight="true" outlineLevel="0" collapsed="false">
      <c r="B99" s="17"/>
      <c r="D99" s="17"/>
      <c r="E99" s="17"/>
      <c r="F99" s="17"/>
      <c r="G99" s="17"/>
      <c r="H99" s="17"/>
      <c r="I99" s="31"/>
      <c r="J99" s="17"/>
      <c r="K99" s="22"/>
      <c r="L99" s="17"/>
    </row>
    <row r="100" s="23" customFormat="true" ht="19.5" hidden="true" customHeight="true" outlineLevel="0" collapsed="false">
      <c r="A100" s="17"/>
      <c r="B100" s="24"/>
      <c r="C100" s="17"/>
      <c r="D100" s="17"/>
      <c r="E100" s="17"/>
      <c r="F100" s="17"/>
      <c r="G100" s="17"/>
      <c r="H100" s="17"/>
      <c r="I100" s="22"/>
      <c r="J100" s="17"/>
      <c r="K100" s="22"/>
      <c r="L100" s="17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8"/>
      <c r="AA100" s="29"/>
    </row>
    <row r="101" s="23" customFormat="true" ht="19.5" hidden="false" customHeight="true" outlineLevel="0" collapsed="false">
      <c r="C101" s="17"/>
      <c r="D101" s="17"/>
      <c r="E101" s="17"/>
      <c r="F101" s="17"/>
      <c r="G101" s="17"/>
      <c r="H101" s="17"/>
      <c r="I101" s="22"/>
      <c r="J101" s="17"/>
      <c r="K101" s="22"/>
      <c r="L101" s="17"/>
    </row>
    <row r="102" s="23" customFormat="true" ht="19.5" hidden="false" customHeight="true" outlineLevel="0" collapsed="false">
      <c r="C102" s="17"/>
      <c r="D102" s="17"/>
      <c r="E102" s="17"/>
      <c r="F102" s="17"/>
      <c r="G102" s="17"/>
      <c r="H102" s="17"/>
      <c r="I102" s="22"/>
      <c r="J102" s="17"/>
      <c r="K102" s="22"/>
      <c r="L102" s="17"/>
    </row>
    <row r="103" s="23" customFormat="true" ht="19.5" hidden="false" customHeight="true" outlineLevel="0" collapsed="false">
      <c r="C103" s="17"/>
      <c r="D103" s="17"/>
      <c r="E103" s="17"/>
      <c r="F103" s="17"/>
      <c r="G103" s="17"/>
      <c r="H103" s="17"/>
      <c r="I103" s="22"/>
      <c r="J103" s="17"/>
      <c r="K103" s="22"/>
      <c r="L103" s="17"/>
    </row>
    <row r="104" s="23" customFormat="true" ht="19.5" hidden="true" customHeight="true" outlineLevel="0" collapsed="false">
      <c r="C104" s="17"/>
      <c r="D104" s="17"/>
      <c r="E104" s="17"/>
      <c r="F104" s="17"/>
      <c r="G104" s="17"/>
      <c r="H104" s="17"/>
      <c r="I104" s="22"/>
      <c r="J104" s="17"/>
      <c r="K104" s="22"/>
      <c r="L104" s="17"/>
    </row>
    <row r="105" s="23" customFormat="true" ht="19.5" hidden="true" customHeight="true" outlineLevel="0" collapsed="false">
      <c r="C105" s="17"/>
      <c r="D105" s="17"/>
      <c r="E105" s="17"/>
      <c r="F105" s="17"/>
      <c r="G105" s="17"/>
      <c r="H105" s="17"/>
      <c r="I105" s="22"/>
      <c r="J105" s="17"/>
      <c r="K105" s="22"/>
      <c r="L105" s="17"/>
    </row>
    <row r="106" s="23" customFormat="true" ht="19.5" hidden="true" customHeight="true" outlineLevel="0" collapsed="false">
      <c r="C106" s="17"/>
      <c r="D106" s="17"/>
      <c r="E106" s="17"/>
      <c r="F106" s="17"/>
      <c r="G106" s="17"/>
      <c r="H106" s="17"/>
      <c r="I106" s="22"/>
      <c r="J106" s="17"/>
      <c r="K106" s="22"/>
      <c r="L106" s="17"/>
    </row>
    <row r="107" s="23" customFormat="true" ht="19.5" hidden="true" customHeight="true" outlineLevel="0" collapsed="false">
      <c r="B107" s="17"/>
      <c r="D107" s="17"/>
      <c r="E107" s="17"/>
      <c r="F107" s="17"/>
      <c r="G107" s="17"/>
      <c r="H107" s="17"/>
      <c r="I107" s="31"/>
      <c r="J107" s="17"/>
      <c r="K107" s="22"/>
      <c r="L107" s="17"/>
    </row>
    <row r="108" s="23" customFormat="true" ht="19.5" hidden="true" customHeight="true" outlineLevel="0" collapsed="false">
      <c r="A108" s="17"/>
      <c r="B108" s="24"/>
      <c r="C108" s="17"/>
      <c r="D108" s="17"/>
      <c r="E108" s="17"/>
      <c r="F108" s="17"/>
      <c r="G108" s="17"/>
      <c r="H108" s="17"/>
      <c r="I108" s="22"/>
      <c r="J108" s="17"/>
      <c r="K108" s="22"/>
      <c r="L108" s="17"/>
      <c r="M108" s="29"/>
      <c r="N108" s="29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9"/>
      <c r="Z108" s="28"/>
      <c r="AA108" s="29"/>
    </row>
    <row r="109" s="23" customFormat="true" ht="19.5" hidden="false" customHeight="true" outlineLevel="0" collapsed="false">
      <c r="C109" s="17"/>
      <c r="D109" s="17"/>
      <c r="E109" s="17"/>
      <c r="F109" s="17"/>
      <c r="G109" s="17"/>
      <c r="H109" s="17"/>
      <c r="I109" s="22"/>
      <c r="J109" s="17"/>
      <c r="K109" s="22"/>
      <c r="L109" s="17"/>
    </row>
    <row r="110" s="23" customFormat="true" ht="19.5" hidden="false" customHeight="true" outlineLevel="0" collapsed="false">
      <c r="C110" s="17"/>
      <c r="D110" s="17"/>
      <c r="E110" s="17"/>
      <c r="F110" s="17"/>
      <c r="G110" s="17"/>
      <c r="H110" s="17"/>
      <c r="I110" s="22"/>
      <c r="J110" s="17"/>
      <c r="K110" s="22"/>
      <c r="L110" s="17"/>
    </row>
    <row r="111" s="23" customFormat="true" ht="19.5" hidden="false" customHeight="true" outlineLevel="0" collapsed="false">
      <c r="C111" s="17"/>
      <c r="D111" s="17"/>
      <c r="E111" s="17"/>
      <c r="F111" s="17"/>
      <c r="G111" s="17"/>
      <c r="H111" s="17"/>
      <c r="I111" s="22"/>
      <c r="J111" s="17"/>
      <c r="K111" s="22"/>
      <c r="L111" s="17"/>
    </row>
    <row r="112" s="23" customFormat="true" ht="19.5" hidden="false" customHeight="true" outlineLevel="0" collapsed="false">
      <c r="C112" s="17"/>
      <c r="D112" s="17"/>
      <c r="E112" s="17"/>
      <c r="F112" s="17"/>
      <c r="G112" s="17"/>
      <c r="H112" s="17"/>
      <c r="I112" s="22"/>
      <c r="J112" s="17"/>
      <c r="K112" s="22"/>
      <c r="L112" s="17"/>
    </row>
    <row r="113" s="23" customFormat="true" ht="19.5" hidden="false" customHeight="true" outlineLevel="0" collapsed="false">
      <c r="C113" s="17"/>
      <c r="D113" s="17"/>
      <c r="E113" s="17"/>
      <c r="F113" s="17"/>
      <c r="G113" s="17"/>
      <c r="H113" s="17"/>
      <c r="I113" s="22"/>
      <c r="J113" s="17"/>
      <c r="K113" s="22"/>
      <c r="L113" s="17"/>
    </row>
    <row r="114" s="23" customFormat="true" ht="19.5" hidden="true" customHeight="true" outlineLevel="0" collapsed="false">
      <c r="C114" s="17"/>
      <c r="D114" s="17"/>
      <c r="E114" s="17"/>
      <c r="F114" s="17"/>
      <c r="G114" s="17"/>
      <c r="H114" s="17"/>
      <c r="I114" s="22"/>
      <c r="J114" s="17"/>
      <c r="K114" s="22"/>
      <c r="L114" s="17"/>
    </row>
    <row r="115" s="23" customFormat="true" ht="19.5" hidden="true" customHeight="true" outlineLevel="0" collapsed="false">
      <c r="C115" s="17"/>
      <c r="D115" s="17"/>
      <c r="E115" s="17"/>
      <c r="F115" s="17"/>
      <c r="G115" s="17"/>
      <c r="H115" s="17"/>
      <c r="I115" s="22"/>
      <c r="J115" s="17"/>
      <c r="K115" s="22"/>
      <c r="L115" s="17"/>
    </row>
    <row r="116" s="23" customFormat="true" ht="19.5" hidden="true" customHeight="true" outlineLevel="0" collapsed="false">
      <c r="B116" s="17"/>
      <c r="D116" s="17"/>
      <c r="E116" s="17"/>
      <c r="F116" s="17"/>
      <c r="G116" s="17"/>
      <c r="H116" s="17"/>
      <c r="I116" s="31"/>
      <c r="J116" s="17"/>
      <c r="K116" s="22"/>
      <c r="L116" s="17"/>
    </row>
    <row r="117" s="23" customFormat="true" ht="19.5" hidden="true" customHeight="true" outlineLevel="0" collapsed="false">
      <c r="A117" s="17"/>
      <c r="B117" s="24"/>
      <c r="C117" s="17"/>
      <c r="D117" s="17"/>
      <c r="E117" s="32"/>
      <c r="F117" s="17"/>
      <c r="G117" s="17"/>
      <c r="H117" s="17"/>
      <c r="I117" s="22"/>
      <c r="J117" s="17"/>
      <c r="K117" s="22"/>
      <c r="L117" s="17"/>
      <c r="M117" s="29"/>
      <c r="N117" s="29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9"/>
      <c r="Z117" s="28"/>
      <c r="AA117" s="29"/>
    </row>
    <row r="118" s="23" customFormat="true" ht="19.5" hidden="false" customHeight="true" outlineLevel="0" collapsed="false">
      <c r="C118" s="17"/>
      <c r="D118" s="17"/>
      <c r="E118" s="17"/>
      <c r="F118" s="17"/>
      <c r="G118" s="17"/>
      <c r="H118" s="17"/>
      <c r="I118" s="22"/>
      <c r="J118" s="17"/>
      <c r="K118" s="22"/>
      <c r="L118" s="17"/>
    </row>
    <row r="119" s="23" customFormat="true" ht="19.5" hidden="false" customHeight="true" outlineLevel="0" collapsed="false">
      <c r="C119" s="17"/>
      <c r="D119" s="17"/>
      <c r="E119" s="17"/>
      <c r="F119" s="17"/>
      <c r="G119" s="17"/>
      <c r="H119" s="17"/>
      <c r="I119" s="22"/>
      <c r="J119" s="17"/>
      <c r="K119" s="22"/>
      <c r="L119" s="17"/>
    </row>
    <row r="120" s="23" customFormat="true" ht="19.5" hidden="false" customHeight="true" outlineLevel="0" collapsed="false">
      <c r="C120" s="17"/>
      <c r="D120" s="17"/>
      <c r="E120" s="17"/>
      <c r="F120" s="17"/>
      <c r="G120" s="17"/>
      <c r="H120" s="17"/>
      <c r="I120" s="22"/>
      <c r="J120" s="17"/>
      <c r="K120" s="22"/>
      <c r="L120" s="17"/>
    </row>
    <row r="121" s="23" customFormat="true" ht="19.5" hidden="false" customHeight="true" outlineLevel="0" collapsed="false">
      <c r="C121" s="17"/>
      <c r="D121" s="17"/>
      <c r="E121" s="32"/>
      <c r="F121" s="17"/>
      <c r="G121" s="17"/>
      <c r="H121" s="17"/>
      <c r="I121" s="22"/>
      <c r="J121" s="17"/>
      <c r="K121" s="22"/>
      <c r="L121" s="17"/>
    </row>
    <row r="122" s="23" customFormat="true" ht="19.5" hidden="false" customHeight="true" outlineLevel="0" collapsed="false">
      <c r="C122" s="17"/>
      <c r="D122" s="17"/>
      <c r="E122" s="32"/>
      <c r="F122" s="17"/>
      <c r="G122" s="17"/>
      <c r="H122" s="17"/>
      <c r="I122" s="22"/>
      <c r="J122" s="17"/>
      <c r="K122" s="22"/>
      <c r="L122" s="17"/>
    </row>
    <row r="123" s="23" customFormat="true" ht="19.5" hidden="true" customHeight="true" outlineLevel="0" collapsed="false">
      <c r="C123" s="17"/>
      <c r="D123" s="17"/>
      <c r="E123" s="17"/>
      <c r="F123" s="17"/>
      <c r="G123" s="17"/>
      <c r="H123" s="17"/>
      <c r="I123" s="22"/>
      <c r="J123" s="17"/>
      <c r="K123" s="22"/>
      <c r="L123" s="17"/>
    </row>
    <row r="124" s="23" customFormat="true" ht="19.5" hidden="true" customHeight="true" outlineLevel="0" collapsed="false">
      <c r="B124" s="17"/>
      <c r="D124" s="17"/>
      <c r="E124" s="17"/>
      <c r="F124" s="17"/>
      <c r="G124" s="17"/>
      <c r="H124" s="17"/>
      <c r="I124" s="31"/>
      <c r="J124" s="17"/>
      <c r="K124" s="22"/>
      <c r="L124" s="17"/>
    </row>
    <row r="125" s="23" customFormat="true" ht="19.5" hidden="true" customHeight="true" outlineLevel="0" collapsed="false">
      <c r="A125" s="17"/>
      <c r="B125" s="24"/>
      <c r="C125" s="17"/>
      <c r="D125" s="17"/>
      <c r="E125" s="17"/>
      <c r="F125" s="17"/>
      <c r="G125" s="17"/>
      <c r="H125" s="17"/>
      <c r="I125" s="22"/>
      <c r="J125" s="17"/>
      <c r="K125" s="22"/>
      <c r="L125" s="17"/>
      <c r="M125" s="29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9"/>
      <c r="Z125" s="28"/>
      <c r="AA125" s="29"/>
    </row>
    <row r="126" s="23" customFormat="true" ht="19.5" hidden="true" customHeight="true" outlineLevel="0" collapsed="false">
      <c r="C126" s="17"/>
      <c r="D126" s="17"/>
      <c r="E126" s="17"/>
      <c r="F126" s="17"/>
      <c r="G126" s="17"/>
      <c r="H126" s="17"/>
      <c r="I126" s="22"/>
      <c r="J126" s="17"/>
      <c r="K126" s="22"/>
      <c r="L126" s="17"/>
    </row>
    <row r="127" s="23" customFormat="true" ht="19.5" hidden="true" customHeight="true" outlineLevel="0" collapsed="false">
      <c r="C127" s="17"/>
      <c r="D127" s="17"/>
      <c r="E127" s="17"/>
      <c r="F127" s="17"/>
      <c r="G127" s="17"/>
      <c r="H127" s="17"/>
      <c r="I127" s="22"/>
      <c r="J127" s="17"/>
      <c r="K127" s="22"/>
      <c r="L127" s="17"/>
    </row>
    <row r="128" s="23" customFormat="true" ht="19.5" hidden="true" customHeight="true" outlineLevel="0" collapsed="false">
      <c r="C128" s="17"/>
      <c r="D128" s="17"/>
      <c r="E128" s="17"/>
      <c r="F128" s="17"/>
      <c r="G128" s="17"/>
      <c r="H128" s="17"/>
      <c r="I128" s="22"/>
      <c r="J128" s="17"/>
      <c r="K128" s="22"/>
      <c r="L128" s="17"/>
    </row>
    <row r="129" s="23" customFormat="true" ht="19.5" hidden="true" customHeight="true" outlineLevel="0" collapsed="false">
      <c r="C129" s="17"/>
      <c r="D129" s="17"/>
      <c r="E129" s="17"/>
      <c r="F129" s="17"/>
      <c r="G129" s="17"/>
      <c r="H129" s="17"/>
      <c r="I129" s="22"/>
      <c r="J129" s="17"/>
      <c r="K129" s="22"/>
      <c r="L129" s="17"/>
    </row>
    <row r="130" s="23" customFormat="true" ht="19.5" hidden="true" customHeight="true" outlineLevel="0" collapsed="false">
      <c r="C130" s="17"/>
      <c r="D130" s="17"/>
      <c r="E130" s="17"/>
      <c r="F130" s="17"/>
      <c r="G130" s="17"/>
      <c r="H130" s="17"/>
      <c r="I130" s="22"/>
      <c r="J130" s="17"/>
      <c r="K130" s="22"/>
      <c r="L130" s="17"/>
    </row>
    <row r="131" s="23" customFormat="true" ht="19.5" hidden="true" customHeight="true" outlineLevel="0" collapsed="false">
      <c r="B131" s="17"/>
      <c r="D131" s="17"/>
      <c r="E131" s="17"/>
      <c r="F131" s="17"/>
      <c r="G131" s="17"/>
      <c r="H131" s="17"/>
      <c r="I131" s="31"/>
      <c r="J131" s="17"/>
      <c r="K131" s="22"/>
      <c r="L131" s="17"/>
    </row>
    <row r="132" s="23" customFormat="true" ht="19.5" hidden="true" customHeight="true" outlineLevel="0" collapsed="false">
      <c r="A132" s="17"/>
      <c r="B132" s="24"/>
      <c r="C132" s="17"/>
      <c r="D132" s="17"/>
      <c r="E132" s="17"/>
      <c r="F132" s="17"/>
      <c r="G132" s="17"/>
      <c r="H132" s="17"/>
      <c r="I132" s="22"/>
      <c r="J132" s="17"/>
      <c r="K132" s="22"/>
      <c r="L132" s="17"/>
      <c r="M132" s="29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9"/>
      <c r="Z132" s="28"/>
      <c r="AA132" s="29"/>
    </row>
    <row r="133" s="23" customFormat="true" ht="19.5" hidden="true" customHeight="true" outlineLevel="0" collapsed="false">
      <c r="C133" s="17"/>
      <c r="D133" s="17"/>
      <c r="E133" s="17"/>
      <c r="F133" s="17"/>
      <c r="G133" s="17"/>
      <c r="H133" s="17"/>
      <c r="I133" s="22"/>
      <c r="J133" s="17"/>
      <c r="K133" s="22"/>
      <c r="L133" s="17"/>
    </row>
    <row r="134" s="23" customFormat="true" ht="19.5" hidden="true" customHeight="true" outlineLevel="0" collapsed="false">
      <c r="C134" s="17"/>
      <c r="D134" s="17"/>
      <c r="E134" s="17"/>
      <c r="F134" s="17"/>
      <c r="G134" s="17"/>
      <c r="H134" s="17"/>
      <c r="I134" s="22"/>
      <c r="J134" s="17"/>
      <c r="K134" s="22"/>
      <c r="L134" s="17"/>
    </row>
    <row r="135" s="23" customFormat="true" ht="19.5" hidden="true" customHeight="true" outlineLevel="0" collapsed="false">
      <c r="C135" s="17"/>
      <c r="D135" s="17"/>
      <c r="E135" s="17"/>
      <c r="F135" s="17"/>
      <c r="G135" s="17"/>
      <c r="H135" s="17"/>
      <c r="I135" s="22"/>
      <c r="J135" s="17"/>
      <c r="K135" s="22"/>
      <c r="L135" s="17"/>
    </row>
    <row r="136" s="23" customFormat="true" ht="19.5" hidden="true" customHeight="true" outlineLevel="0" collapsed="false">
      <c r="C136" s="17"/>
      <c r="D136" s="17"/>
      <c r="E136" s="17"/>
      <c r="F136" s="17"/>
      <c r="G136" s="17"/>
      <c r="H136" s="17"/>
      <c r="I136" s="22"/>
      <c r="J136" s="17"/>
      <c r="K136" s="22"/>
      <c r="L136" s="17"/>
    </row>
    <row r="137" s="23" customFormat="true" ht="19.5" hidden="true" customHeight="true" outlineLevel="0" collapsed="false">
      <c r="C137" s="17"/>
      <c r="D137" s="17"/>
      <c r="E137" s="17"/>
      <c r="F137" s="17"/>
      <c r="G137" s="17"/>
      <c r="H137" s="17"/>
      <c r="I137" s="22"/>
      <c r="J137" s="17"/>
      <c r="K137" s="22"/>
      <c r="L137" s="17"/>
    </row>
    <row r="138" s="23" customFormat="true" ht="19.5" hidden="true" customHeight="true" outlineLevel="0" collapsed="false">
      <c r="B138" s="17"/>
      <c r="D138" s="17"/>
      <c r="E138" s="17"/>
      <c r="F138" s="17"/>
      <c r="G138" s="17"/>
      <c r="H138" s="17"/>
      <c r="I138" s="31"/>
      <c r="J138" s="17"/>
      <c r="K138" s="22"/>
      <c r="L138" s="17"/>
    </row>
    <row r="139" s="23" customFormat="true" ht="25.5" hidden="true" customHeight="true" outlineLevel="0" collapsed="false">
      <c r="A139" s="34"/>
      <c r="D139" s="34"/>
      <c r="E139" s="34"/>
      <c r="F139" s="34"/>
      <c r="G139" s="34"/>
      <c r="H139" s="34"/>
      <c r="I139" s="34"/>
      <c r="J139" s="17"/>
      <c r="K139" s="22"/>
      <c r="L139" s="17"/>
      <c r="M139" s="17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17"/>
    </row>
    <row r="140" s="23" customFormat="true" ht="25.5" hidden="true" customHeight="true" outlineLevel="0" collapsed="false">
      <c r="A140" s="34"/>
      <c r="D140" s="34"/>
      <c r="E140" s="34"/>
      <c r="F140" s="35"/>
      <c r="G140" s="35"/>
      <c r="H140" s="35"/>
      <c r="I140" s="35"/>
      <c r="J140" s="17"/>
      <c r="K140" s="22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25"/>
      <c r="AA140" s="17"/>
    </row>
    <row r="141" s="23" customFormat="true" ht="19.5" hidden="tru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31"/>
      <c r="J141" s="17"/>
      <c r="K141" s="22"/>
      <c r="L141" s="17"/>
      <c r="M141" s="17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17"/>
      <c r="Z141" s="17"/>
      <c r="AA141" s="17"/>
    </row>
    <row r="142" s="23" customFormat="true" ht="19.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31"/>
      <c r="J142" s="17"/>
      <c r="K142" s="22"/>
      <c r="L142" s="17"/>
    </row>
  </sheetData>
  <autoFilter ref="A3:AA141">
    <filterColumn colId="6">
      <filters>
        <filter val="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6" width="7.09"/>
    <col collapsed="false" customWidth="true" hidden="false" outlineLevel="0" max="2" min="2" style="6" width="7.18"/>
    <col collapsed="false" customWidth="true" hidden="false" outlineLevel="0" max="18" min="14" style="6" width="7.36"/>
  </cols>
  <sheetData>
    <row r="1" customFormat="false" ht="25.5" hidden="false" customHeight="true" outlineLevel="0" collapsed="false">
      <c r="A1" s="1"/>
    </row>
    <row r="2" customFormat="false" ht="24" hidden="false" customHeight="true" outlineLevel="0" collapsed="false">
      <c r="A2" s="17" t="s">
        <v>23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31</v>
      </c>
      <c r="I2" s="17" t="s">
        <v>30</v>
      </c>
      <c r="J2" s="17" t="s">
        <v>65</v>
      </c>
      <c r="K2" s="17" t="s">
        <v>32</v>
      </c>
      <c r="L2" s="17" t="s">
        <v>6</v>
      </c>
      <c r="M2" s="17"/>
      <c r="N2" s="17"/>
      <c r="S2" s="17"/>
      <c r="T2" s="17"/>
      <c r="U2" s="17"/>
    </row>
    <row r="3" customFormat="false" ht="24" hidden="false" customHeight="true" outlineLevel="0" collapsed="false">
      <c r="E3" s="17" t="s">
        <v>33</v>
      </c>
      <c r="F3" s="17" t="s">
        <v>33</v>
      </c>
      <c r="G3" s="17" t="s">
        <v>33</v>
      </c>
      <c r="H3" s="17"/>
      <c r="I3" s="17" t="s">
        <v>11</v>
      </c>
      <c r="K3" s="17" t="s">
        <v>11</v>
      </c>
      <c r="N3" s="17"/>
      <c r="O3" s="17"/>
      <c r="P3" s="17"/>
      <c r="Q3" s="17"/>
      <c r="R3" s="17"/>
      <c r="T3" s="17"/>
      <c r="U3" s="17"/>
    </row>
    <row r="4" customFormat="false" ht="22.5" hidden="false" customHeight="true" outlineLevel="0" collapsed="false">
      <c r="A4" s="17" t="s">
        <v>34</v>
      </c>
      <c r="B4" s="24" t="s">
        <v>17</v>
      </c>
      <c r="C4" s="17" t="s">
        <v>15</v>
      </c>
      <c r="D4" s="17" t="s">
        <v>141</v>
      </c>
      <c r="E4" s="17"/>
      <c r="F4" s="17"/>
      <c r="G4" s="17"/>
      <c r="H4" s="17"/>
      <c r="I4" s="22"/>
      <c r="J4" s="17"/>
      <c r="K4" s="22"/>
      <c r="L4" s="17" t="s">
        <v>142</v>
      </c>
      <c r="M4" s="29"/>
      <c r="N4" s="28"/>
      <c r="O4" s="28"/>
      <c r="P4" s="28"/>
      <c r="Q4" s="28"/>
      <c r="R4" s="28"/>
      <c r="S4" s="29"/>
      <c r="T4" s="28"/>
      <c r="U4" s="29"/>
    </row>
    <row r="5" customFormat="false" ht="22.5" hidden="false" customHeight="true" outlineLevel="0" collapsed="false">
      <c r="C5" s="17"/>
      <c r="D5" s="17"/>
      <c r="E5" s="17"/>
      <c r="F5" s="17"/>
      <c r="G5" s="17"/>
      <c r="H5" s="17"/>
      <c r="I5" s="22"/>
      <c r="J5" s="17"/>
      <c r="K5" s="22"/>
      <c r="L5" s="17"/>
    </row>
    <row r="6" customFormat="false" ht="22.5" hidden="false" customHeight="true" outlineLevel="0" collapsed="false">
      <c r="B6" s="17"/>
      <c r="D6" s="17"/>
      <c r="E6" s="17"/>
      <c r="F6" s="17"/>
      <c r="G6" s="17"/>
      <c r="H6" s="17"/>
      <c r="I6" s="31"/>
      <c r="J6" s="17"/>
      <c r="K6" s="22"/>
      <c r="L6" s="17"/>
    </row>
    <row r="7" customFormat="false" ht="25.5" hidden="false" customHeight="true" outlineLevel="0" collapsed="false">
      <c r="A7" s="34"/>
      <c r="D7" s="34"/>
      <c r="E7" s="34"/>
      <c r="F7" s="34"/>
      <c r="G7" s="34"/>
      <c r="H7" s="34"/>
      <c r="I7" s="34"/>
      <c r="J7" s="36"/>
      <c r="K7" s="36"/>
      <c r="L7" s="36"/>
    </row>
    <row r="8" customFormat="false" ht="25.5" hidden="false" customHeight="true" outlineLevel="0" collapsed="false">
      <c r="A8" s="34"/>
      <c r="D8" s="34"/>
      <c r="E8" s="34"/>
      <c r="F8" s="35"/>
      <c r="G8" s="35"/>
      <c r="H8" s="35"/>
      <c r="I8" s="35"/>
      <c r="J8" s="36"/>
      <c r="K8" s="36"/>
      <c r="L8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6" width="7.09"/>
    <col collapsed="false" customWidth="true" hidden="false" outlineLevel="0" max="2" min="2" style="6" width="7.18"/>
    <col collapsed="false" customWidth="true" hidden="false" outlineLevel="0" max="18" min="14" style="6" width="7.36"/>
  </cols>
  <sheetData>
    <row r="1" customFormat="false" ht="25.5" hidden="false" customHeight="true" outlineLevel="0" collapsed="false">
      <c r="A1" s="1"/>
    </row>
    <row r="2" customFormat="false" ht="24" hidden="false" customHeight="true" outlineLevel="0" collapsed="false">
      <c r="A2" s="17" t="s">
        <v>23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31</v>
      </c>
      <c r="I2" s="17" t="s">
        <v>30</v>
      </c>
      <c r="J2" s="17" t="s">
        <v>65</v>
      </c>
      <c r="K2" s="17" t="s">
        <v>32</v>
      </c>
      <c r="L2" s="17" t="s">
        <v>6</v>
      </c>
      <c r="M2" s="17"/>
      <c r="N2" s="17"/>
      <c r="S2" s="17"/>
      <c r="T2" s="17"/>
      <c r="U2" s="17"/>
    </row>
    <row r="3" customFormat="false" ht="24" hidden="false" customHeight="true" outlineLevel="0" collapsed="false">
      <c r="E3" s="17" t="s">
        <v>33</v>
      </c>
      <c r="F3" s="17" t="s">
        <v>33</v>
      </c>
      <c r="G3" s="17" t="s">
        <v>33</v>
      </c>
      <c r="H3" s="17"/>
      <c r="I3" s="17" t="s">
        <v>11</v>
      </c>
      <c r="K3" s="17" t="s">
        <v>11</v>
      </c>
      <c r="N3" s="17" t="n">
        <v>8</v>
      </c>
      <c r="O3" s="17" t="n">
        <v>10</v>
      </c>
      <c r="P3" s="17" t="n">
        <v>12</v>
      </c>
      <c r="Q3" s="17" t="n">
        <v>14</v>
      </c>
      <c r="R3" s="17" t="n">
        <v>16</v>
      </c>
      <c r="S3" s="11" t="n">
        <v>20</v>
      </c>
      <c r="T3" s="17" t="n">
        <v>24</v>
      </c>
      <c r="U3" s="17" t="n">
        <v>28</v>
      </c>
      <c r="V3" s="12" t="n">
        <v>32</v>
      </c>
      <c r="W3" s="12" t="n">
        <v>36</v>
      </c>
      <c r="X3" s="12" t="n">
        <v>40</v>
      </c>
      <c r="Y3" s="12" t="n">
        <v>44</v>
      </c>
      <c r="Z3" s="12" t="n">
        <v>48</v>
      </c>
      <c r="AA3" s="12" t="n">
        <v>60</v>
      </c>
      <c r="AB3" s="12" t="n">
        <v>80</v>
      </c>
      <c r="AC3" s="12" t="n">
        <v>100</v>
      </c>
      <c r="AD3" s="17" t="s">
        <v>9</v>
      </c>
    </row>
    <row r="4" customFormat="false" ht="22.5" hidden="false" customHeight="true" outlineLevel="0" collapsed="false">
      <c r="A4" s="17" t="s">
        <v>34</v>
      </c>
      <c r="B4" s="24" t="s">
        <v>143</v>
      </c>
      <c r="C4" s="17" t="s">
        <v>144</v>
      </c>
      <c r="D4" s="17" t="s">
        <v>145</v>
      </c>
      <c r="E4" s="17"/>
      <c r="F4" s="17"/>
      <c r="G4" s="17"/>
      <c r="H4" s="17" t="n">
        <v>1</v>
      </c>
      <c r="I4" s="22" t="n">
        <v>250569.2</v>
      </c>
      <c r="J4" s="17" t="n">
        <v>1</v>
      </c>
      <c r="K4" s="22" t="n">
        <f aca="false">I4*J4</f>
        <v>250569.2</v>
      </c>
      <c r="L4" s="17" t="s">
        <v>146</v>
      </c>
      <c r="M4" s="29"/>
      <c r="N4" s="28"/>
      <c r="O4" s="28"/>
      <c r="P4" s="28"/>
      <c r="Q4" s="28"/>
      <c r="R4" s="28"/>
      <c r="S4" s="29"/>
      <c r="T4" s="28"/>
      <c r="U4" s="29"/>
    </row>
    <row r="5" customFormat="false" ht="22.5" hidden="false" customHeight="true" outlineLevel="0" collapsed="false">
      <c r="A5" s="17" t="s">
        <v>34</v>
      </c>
      <c r="B5" s="24" t="s">
        <v>147</v>
      </c>
      <c r="C5" s="17" t="s">
        <v>148</v>
      </c>
      <c r="D5" s="17" t="s">
        <v>145</v>
      </c>
      <c r="E5" s="17"/>
      <c r="F5" s="17"/>
      <c r="G5" s="17"/>
      <c r="H5" s="17" t="n">
        <v>1</v>
      </c>
      <c r="I5" s="22" t="n">
        <v>314</v>
      </c>
      <c r="J5" s="17" t="n">
        <v>1</v>
      </c>
      <c r="K5" s="22" t="n">
        <f aca="false">I5*J5</f>
        <v>314</v>
      </c>
      <c r="L5" s="17" t="s">
        <v>146</v>
      </c>
    </row>
    <row r="6" customFormat="false" ht="22.5" hidden="false" customHeight="true" outlineLevel="0" collapsed="false">
      <c r="A6" s="17" t="s">
        <v>34</v>
      </c>
      <c r="B6" s="24" t="s">
        <v>149</v>
      </c>
      <c r="C6" s="17" t="s">
        <v>150</v>
      </c>
      <c r="D6" s="17" t="s">
        <v>61</v>
      </c>
      <c r="E6" s="17"/>
      <c r="F6" s="17"/>
      <c r="G6" s="17"/>
      <c r="H6" s="17" t="n">
        <v>1</v>
      </c>
      <c r="I6" s="22" t="n">
        <v>65513.5</v>
      </c>
      <c r="J6" s="17" t="n">
        <v>1</v>
      </c>
      <c r="K6" s="22" t="n">
        <f aca="false">I6*J6</f>
        <v>65513.5</v>
      </c>
      <c r="L6" s="17" t="s">
        <v>151</v>
      </c>
    </row>
    <row r="7" customFormat="false" ht="22.5" hidden="false" customHeight="true" outlineLevel="0" collapsed="false">
      <c r="A7" s="17" t="s">
        <v>34</v>
      </c>
      <c r="B7" s="24" t="s">
        <v>152</v>
      </c>
      <c r="C7" s="17" t="s">
        <v>153</v>
      </c>
      <c r="D7" s="17" t="s">
        <v>50</v>
      </c>
      <c r="E7" s="17"/>
      <c r="F7" s="17"/>
      <c r="G7" s="17" t="n">
        <v>20</v>
      </c>
      <c r="H7" s="17" t="n">
        <v>1</v>
      </c>
      <c r="I7" s="22" t="n">
        <v>1753.2</v>
      </c>
      <c r="J7" s="17" t="n">
        <v>1</v>
      </c>
      <c r="K7" s="22" t="n">
        <f aca="false">I7*J7</f>
        <v>1753.2</v>
      </c>
      <c r="L7" s="17"/>
    </row>
    <row r="8" customFormat="false" ht="22.5" hidden="false" customHeight="true" outlineLevel="0" collapsed="false">
      <c r="A8" s="17" t="s">
        <v>34</v>
      </c>
      <c r="B8" s="24" t="s">
        <v>152</v>
      </c>
      <c r="C8" s="17" t="s">
        <v>154</v>
      </c>
      <c r="D8" s="17" t="s">
        <v>50</v>
      </c>
      <c r="E8" s="17"/>
      <c r="F8" s="17"/>
      <c r="G8" s="17" t="n">
        <v>16</v>
      </c>
      <c r="H8" s="17" t="n">
        <v>1</v>
      </c>
      <c r="I8" s="22" t="n">
        <v>1623.4</v>
      </c>
      <c r="J8" s="17" t="n">
        <v>1</v>
      </c>
      <c r="K8" s="22" t="n">
        <f aca="false">I8*J8</f>
        <v>1623.4</v>
      </c>
      <c r="L8" s="17"/>
    </row>
    <row r="9" customFormat="false" ht="22.5" hidden="false" customHeight="true" outlineLevel="0" collapsed="false">
      <c r="A9" s="17"/>
      <c r="B9" s="24" t="s">
        <v>63</v>
      </c>
      <c r="D9" s="17"/>
      <c r="E9" s="17"/>
      <c r="F9" s="17"/>
      <c r="G9" s="17"/>
      <c r="H9" s="17"/>
      <c r="I9" s="31"/>
      <c r="J9" s="17"/>
      <c r="K9" s="22" t="n">
        <f aca="false">SUM(K4:K8)</f>
        <v>319773.3</v>
      </c>
      <c r="L9" s="17"/>
    </row>
    <row r="10" customFormat="false" ht="25.5" hidden="false" customHeight="true" outlineLevel="0" collapsed="false">
      <c r="A10" s="17"/>
      <c r="B10" s="24" t="s">
        <v>64</v>
      </c>
      <c r="D10" s="34"/>
      <c r="E10" s="34"/>
      <c r="F10" s="34"/>
      <c r="G10" s="34"/>
      <c r="H10" s="34"/>
      <c r="I10" s="34"/>
      <c r="J10" s="36"/>
      <c r="K10" s="36"/>
      <c r="L10" s="36"/>
      <c r="N10" s="28" t="n">
        <f aca="false">SUMIF($G$4:$G$8,N$3,$K$4:$K$8)</f>
        <v>0</v>
      </c>
      <c r="O10" s="28" t="n">
        <f aca="false">SUMIF($G$4:$G$8,O$3,$K$4:$K$8)</f>
        <v>0</v>
      </c>
      <c r="P10" s="28" t="n">
        <f aca="false">SUMIF($G$4:$G$8,P$3,$K$4:$K$8)</f>
        <v>0</v>
      </c>
      <c r="Q10" s="28" t="n">
        <f aca="false">SUMIF($G$4:$G$8,Q$3,$K$4:$K$8)</f>
        <v>0</v>
      </c>
      <c r="R10" s="28" t="n">
        <f aca="false">SUMIF($G$4:$G$8,R$3,$K$4:$K$8)</f>
        <v>1623.4</v>
      </c>
      <c r="S10" s="28" t="n">
        <f aca="false">SUMIF($G$4:$G$8,S$3,$K$4:$K$8)</f>
        <v>1753.2</v>
      </c>
      <c r="T10" s="28" t="n">
        <f aca="false">SUMIF($G$4:$G$8,T$3,$K$4:$K$8)</f>
        <v>0</v>
      </c>
      <c r="U10" s="28" t="n">
        <f aca="false">SUMIF($G$4:$G$8,U$3,$K$4:$K$8)</f>
        <v>0</v>
      </c>
      <c r="V10" s="28" t="n">
        <f aca="false">SUMIF($G$4:$G$8,V$3,$K$4:$K$8)</f>
        <v>0</v>
      </c>
      <c r="W10" s="28" t="n">
        <f aca="false">SUMIF($G$4:$G$8,W$3,$K$4:$K$8)</f>
        <v>0</v>
      </c>
      <c r="X10" s="28" t="n">
        <f aca="false">SUMIF($G$4:$G$8,X$3,$K$4:$K$8)</f>
        <v>0</v>
      </c>
      <c r="Y10" s="28" t="n">
        <f aca="false">SUMIF($G$4:$G$8,Y$3,$K$4:$K$8)</f>
        <v>0</v>
      </c>
      <c r="Z10" s="28" t="n">
        <f aca="false">SUMIF($G$4:$G$8,Z$3,$K$4:$K$8)</f>
        <v>0</v>
      </c>
      <c r="AA10" s="28" t="n">
        <f aca="false">SUMIF($G$4:$G$8,AA$3,$K$4:$K$8)</f>
        <v>0</v>
      </c>
      <c r="AB10" s="28" t="n">
        <f aca="false">SUMIF($G$4:$G$8,AB$3,$K$4:$K$8)</f>
        <v>0</v>
      </c>
      <c r="AC10" s="28" t="n">
        <f aca="false">SUMIF($G$4:$G$8,AC$3,$K$4:$K$8)</f>
        <v>0</v>
      </c>
      <c r="AD10" s="28" t="n">
        <f aca="false">SUM(N10:AC10)</f>
        <v>3376.6</v>
      </c>
    </row>
    <row r="11" customFormat="false" ht="25.5" hidden="false" customHeight="true" outlineLevel="0" collapsed="false">
      <c r="A11" s="34"/>
      <c r="D11" s="34"/>
      <c r="E11" s="34"/>
      <c r="F11" s="35"/>
      <c r="G11" s="35"/>
      <c r="H11" s="35"/>
      <c r="I11" s="35"/>
      <c r="J11" s="36"/>
      <c r="K11" s="36"/>
      <c r="L11" s="36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2026-10-18T09:20:36Z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