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合计数量" sheetId="1" state="visible" r:id="rId3"/>
    <sheet name="主梁数量" sheetId="2" state="visible" r:id="rId4"/>
    <sheet name="横隔板" sheetId="3" state="visible" r:id="rId5"/>
    <sheet name="梁底挡块" sheetId="4" state="visible" r:id="rId6"/>
    <sheet name="附属预埋件" sheetId="5" state="visible" r:id="rId7"/>
  </sheets>
  <definedNames>
    <definedName function="false" hidden="false" localSheetId="4" name="_xlnm.Print_Area" vbProcedure="false">附属预埋件!$A$1:$L$11</definedName>
    <definedName function="false" hidden="false" localSheetId="2" name="_xlnm.Print_Area" vbProcedure="false">横隔板!$A$1:$L$142</definedName>
    <definedName function="false" hidden="true" localSheetId="2" name="_xlnm._FilterDatabase" vbProcedure="false">横隔板!$A$3:$AA$141</definedName>
    <definedName function="false" hidden="false" localSheetId="3" name="_xlnm.Print_Area" vbProcedure="false">梁底挡块!$A$1:$L$8</definedName>
    <definedName function="false" hidden="false" localSheetId="1" name="_xlnm.Print_Area" vbProcedure="false">主梁数量!$A$1:$K$433</definedName>
    <definedName function="false" hidden="true" localSheetId="1" name="_xlnm._FilterDatabase" vbProcedure="false">主梁数量!$A$3:$W$434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<sst xmlns="http://schemas.openxmlformats.org/spreadsheetml/2006/main" count="11514" uniqueCount="2429">
  <si>
    <t xml:space="preserve">部位</t>
  </si>
  <si>
    <t xml:space="preserve">板厚</t>
  </si>
  <si>
    <t xml:space="preserve">单位</t>
  </si>
  <si>
    <t xml:space="preserve">图纸数量</t>
  </si>
  <si>
    <t xml:space="preserve">复核数量</t>
  </si>
  <si>
    <t xml:space="preserve">差异</t>
  </si>
  <si>
    <t xml:space="preserve">备注</t>
  </si>
  <si>
    <t xml:space="preserve">Q355</t>
  </si>
  <si>
    <t xml:space="preserve">Q420</t>
  </si>
  <si>
    <t xml:space="preserve">合计</t>
  </si>
  <si>
    <t xml:space="preserve">钢梁</t>
  </si>
  <si>
    <t xml:space="preserve">kg</t>
  </si>
  <si>
    <t xml:space="preserve">节段材料表无该厚度；来源应为拼接板(拼接数量汇总表)未提取→未完成</t>
  </si>
  <si>
    <t xml:space="preserve">节段材料表无该厚度；来源应为上层桥面系T60/T61(已计)与拼接板→部分未完成</t>
  </si>
  <si>
    <t xml:space="preserve">焊缝</t>
  </si>
  <si>
    <t xml:space="preserve">按1.5%计</t>
  </si>
  <si>
    <t xml:space="preserve">其他钢板</t>
  </si>
  <si>
    <t xml:space="preserve">—</t>
  </si>
  <si>
    <t xml:space="preserve">Q355B 66338.2 + Q355C 28.4 + Q235B 484.4</t>
  </si>
  <si>
    <t xml:space="preserve">梁底挡块</t>
  </si>
  <si>
    <t xml:space="preserve">上层图册无梁底挡块数量，待设计核实</t>
  </si>
  <si>
    <t xml:space="preserve">钢梁制造合计</t>
  </si>
  <si>
    <t xml:space="preserve">附属预埋</t>
  </si>
  <si>
    <t xml:space="preserve">护栏</t>
  </si>
  <si>
    <t xml:space="preserve">路灯</t>
  </si>
  <si>
    <t xml:space="preserve">梁板编号</t>
  </si>
  <si>
    <t xml:space="preserve">板件名称</t>
  </si>
  <si>
    <t xml:space="preserve">位置</t>
  </si>
  <si>
    <t xml:space="preserve">材质</t>
  </si>
  <si>
    <t xml:space="preserve">长</t>
  </si>
  <si>
    <t xml:space="preserve">宽</t>
  </si>
  <si>
    <t xml:space="preserve">厚</t>
  </si>
  <si>
    <t xml:space="preserve">单件重</t>
  </si>
  <si>
    <t xml:space="preserve">数量</t>
  </si>
  <si>
    <t xml:space="preserve">合计重量</t>
  </si>
  <si>
    <t xml:space="preserve">面积A(m2)</t>
  </si>
  <si>
    <t xml:space="preserve">mm</t>
  </si>
  <si>
    <t xml:space="preserve">中桁节段01(页48)</t>
  </si>
  <si>
    <t xml:space="preserve">上弦顶板</t>
  </si>
  <si>
    <t xml:space="preserve">N11</t>
  </si>
  <si>
    <t xml:space="preserve">Q355D</t>
  </si>
  <si>
    <t xml:space="preserve">t=20mm,A=27m2；页48；按净面积计</t>
  </si>
  <si>
    <t xml:space="preserve">（同上）</t>
  </si>
  <si>
    <t xml:space="preserve">N71</t>
  </si>
  <si>
    <t xml:space="preserve">1980x610x16；页48</t>
  </si>
  <si>
    <t xml:space="preserve">上弦底板</t>
  </si>
  <si>
    <t xml:space="preserve">N12</t>
  </si>
  <si>
    <t xml:space="preserve">13350x1200×20；页48</t>
  </si>
  <si>
    <t xml:space="preserve">N71*</t>
  </si>
  <si>
    <t xml:space="preserve">1980x650x16；页48</t>
  </si>
  <si>
    <t xml:space="preserve">N14 </t>
  </si>
  <si>
    <t xml:space="preserve">t=28mm,A=13.05m2；页48；按净面积计</t>
  </si>
  <si>
    <t xml:space="preserve">N71α</t>
  </si>
  <si>
    <t xml:space="preserve">1980x622x16；页48</t>
  </si>
  <si>
    <t xml:space="preserve">N14α</t>
  </si>
  <si>
    <t xml:space="preserve">t=40mm,A=25m2；页48；按净面积计</t>
  </si>
  <si>
    <t xml:space="preserve">N72</t>
  </si>
  <si>
    <t xml:space="preserve">t=24mm,A=0.47m2；页48；按净面积计</t>
  </si>
  <si>
    <t xml:space="preserve">N15</t>
  </si>
  <si>
    <t xml:space="preserve">1980x1200x16；页48</t>
  </si>
  <si>
    <t xml:space="preserve">N72'</t>
  </si>
  <si>
    <t xml:space="preserve">t=24mm,A=0.48m2；页48；按净面积计</t>
  </si>
  <si>
    <t xml:space="preserve">N15 “</t>
  </si>
  <si>
    <t xml:space="preserve">2057×200×16；页48</t>
  </si>
  <si>
    <t xml:space="preserve">横梁接头</t>
  </si>
  <si>
    <t xml:space="preserve">N72a</t>
  </si>
  <si>
    <t xml:space="preserve">t=24mm,A=0.97m2；页48；按净面积计</t>
  </si>
  <si>
    <t xml:space="preserve">N72b</t>
  </si>
  <si>
    <t xml:space="preserve">N15c</t>
  </si>
  <si>
    <t xml:space="preserve">800×400×16；页48</t>
  </si>
  <si>
    <t xml:space="preserve">N73</t>
  </si>
  <si>
    <t xml:space="preserve">1800x626x16；页48</t>
  </si>
  <si>
    <t xml:space="preserve">N16α</t>
  </si>
  <si>
    <t xml:space="preserve">5651x240×20；页48</t>
  </si>
  <si>
    <t xml:space="preserve">N730</t>
  </si>
  <si>
    <t xml:space="preserve">1800x610x28；页48</t>
  </si>
  <si>
    <t xml:space="preserve">N16b</t>
  </si>
  <si>
    <t xml:space="preserve">7700×240×20；页48</t>
  </si>
  <si>
    <t xml:space="preserve">N81</t>
  </si>
  <si>
    <t xml:space="preserve">1800x1200×32；页48</t>
  </si>
  <si>
    <t xml:space="preserve">上弦加劲助</t>
  </si>
  <si>
    <t xml:space="preserve">N16c</t>
  </si>
  <si>
    <t xml:space="preserve">N82</t>
  </si>
  <si>
    <t xml:space="preserve">502×240x20；页48</t>
  </si>
  <si>
    <t xml:space="preserve">N16d</t>
  </si>
  <si>
    <t xml:space="preserve">13300×240×20；页48</t>
  </si>
  <si>
    <t xml:space="preserve">支承加劲肋</t>
  </si>
  <si>
    <t xml:space="preserve">N83</t>
  </si>
  <si>
    <t xml:space="preserve">1800×1800x100；页48</t>
  </si>
  <si>
    <t xml:space="preserve">N16e</t>
  </si>
  <si>
    <t xml:space="preserve">N84</t>
  </si>
  <si>
    <t xml:space="preserve">1000x568x32；页48</t>
  </si>
  <si>
    <t xml:space="preserve">N21</t>
  </si>
  <si>
    <t xml:space="preserve">4790×2500×20；页48</t>
  </si>
  <si>
    <t xml:space="preserve">N85</t>
  </si>
  <si>
    <t xml:space="preserve">1350x570x32；页48</t>
  </si>
  <si>
    <t xml:space="preserve">N21α</t>
  </si>
  <si>
    <t xml:space="preserve">10105x2500x20；页48</t>
  </si>
  <si>
    <t xml:space="preserve">N22</t>
  </si>
  <si>
    <t xml:space="preserve">t=36mm,A=9.36m2；页48；按净面积计</t>
  </si>
  <si>
    <t xml:space="preserve">N22a</t>
  </si>
  <si>
    <t xml:space="preserve">t=20mm,A=15.68m2；页48；按净面积计</t>
  </si>
  <si>
    <t xml:space="preserve">下弦腹板</t>
  </si>
  <si>
    <t xml:space="preserve">N23</t>
  </si>
  <si>
    <t xml:space="preserve">10105x1880x24；页48</t>
  </si>
  <si>
    <t xml:space="preserve">下弦节点板</t>
  </si>
  <si>
    <t xml:space="preserve">N24</t>
  </si>
  <si>
    <t xml:space="preserve">t=40mm,A=17.33m2；页48；按净面积计</t>
  </si>
  <si>
    <t xml:space="preserve">N25</t>
  </si>
  <si>
    <t xml:space="preserve">1800x1200×16；页48</t>
  </si>
  <si>
    <t xml:space="preserve">下弦横隔板</t>
  </si>
  <si>
    <t xml:space="preserve">2057×200x16；页48</t>
  </si>
  <si>
    <t xml:space="preserve">N25α</t>
  </si>
  <si>
    <t xml:space="preserve">1800x1200x16；页48</t>
  </si>
  <si>
    <t xml:space="preserve">N26a</t>
  </si>
  <si>
    <t xml:space="preserve">2792x240×20；页48</t>
  </si>
  <si>
    <t xml:space="preserve">N26b</t>
  </si>
  <si>
    <t xml:space="preserve">10105x240x20；页48</t>
  </si>
  <si>
    <t xml:space="preserve">N26c</t>
  </si>
  <si>
    <t xml:space="preserve">12897×240×20；页48</t>
  </si>
  <si>
    <t xml:space="preserve">N26d</t>
  </si>
  <si>
    <t xml:space="preserve">N26d'</t>
  </si>
  <si>
    <t xml:space="preserve">2792x320x32；页48</t>
  </si>
  <si>
    <t xml:space="preserve">N26e</t>
  </si>
  <si>
    <t xml:space="preserve">12897×170×14；页48</t>
  </si>
  <si>
    <t xml:space="preserve">N31</t>
  </si>
  <si>
    <t xml:space="preserve">14038×1200×36；页48</t>
  </si>
  <si>
    <t xml:space="preserve">N31α</t>
  </si>
  <si>
    <t xml:space="preserve">N32</t>
  </si>
  <si>
    <t xml:space="preserve">9838×1360×36；页48</t>
  </si>
  <si>
    <t xml:space="preserve">N33</t>
  </si>
  <si>
    <t xml:space="preserve">9838×320×32；页48</t>
  </si>
  <si>
    <t xml:space="preserve">N33a</t>
  </si>
  <si>
    <t xml:space="preserve">12638×320×32；页48</t>
  </si>
  <si>
    <t xml:space="preserve">N33b</t>
  </si>
  <si>
    <t xml:space="preserve">N34</t>
  </si>
  <si>
    <t xml:space="preserve">1200×1200×16；页48</t>
  </si>
  <si>
    <t xml:space="preserve">N41</t>
  </si>
  <si>
    <t xml:space="preserve">6725×1200×36；页48</t>
  </si>
  <si>
    <t xml:space="preserve">N41α</t>
  </si>
  <si>
    <t xml:space="preserve">6925×1200×36；页48</t>
  </si>
  <si>
    <t xml:space="preserve">N42</t>
  </si>
  <si>
    <t xml:space="preserve">4925×1360×36；页48</t>
  </si>
  <si>
    <t xml:space="preserve">N43</t>
  </si>
  <si>
    <t xml:space="preserve">4925×320×32；页48</t>
  </si>
  <si>
    <t xml:space="preserve">N43α</t>
  </si>
  <si>
    <t xml:space="preserve">6025×320×32；页48</t>
  </si>
  <si>
    <t xml:space="preserve">N43b</t>
  </si>
  <si>
    <t xml:space="preserve">6225×320×32；页48</t>
  </si>
  <si>
    <t xml:space="preserve">N44</t>
  </si>
  <si>
    <t xml:space="preserve">N51</t>
  </si>
  <si>
    <t xml:space="preserve">13418x1200×20；页48</t>
  </si>
  <si>
    <t xml:space="preserve">N51a</t>
  </si>
  <si>
    <t xml:space="preserve">11818×1200×20；页48</t>
  </si>
  <si>
    <t xml:space="preserve">竖腹杆腹板</t>
  </si>
  <si>
    <t xml:space="preserve">N52</t>
  </si>
  <si>
    <t xml:space="preserve">9133x1500×20；页48</t>
  </si>
  <si>
    <t xml:space="preserve">竖腹杆横隔板</t>
  </si>
  <si>
    <t xml:space="preserve">N54</t>
  </si>
  <si>
    <t xml:space="preserve">1400×1200x16；页48</t>
  </si>
  <si>
    <t xml:space="preserve">N53</t>
  </si>
  <si>
    <t xml:space="preserve">9133x190x16；页48</t>
  </si>
  <si>
    <t xml:space="preserve">整腹杆加劲肋</t>
  </si>
  <si>
    <t xml:space="preserve">N53α</t>
  </si>
  <si>
    <t xml:space="preserve">12018x190x16；页48</t>
  </si>
  <si>
    <t xml:space="preserve">N53b</t>
  </si>
  <si>
    <t xml:space="preserve">10418x190x16；页48</t>
  </si>
  <si>
    <t xml:space="preserve">N61</t>
  </si>
  <si>
    <t xml:space="preserve">2800x320x32；页48</t>
  </si>
  <si>
    <t xml:space="preserve">N62</t>
  </si>
  <si>
    <t xml:space="preserve">2600x320x32；页48</t>
  </si>
  <si>
    <t xml:space="preserve">节点板加劲</t>
  </si>
  <si>
    <t xml:space="preserve">N63</t>
  </si>
  <si>
    <t xml:space="preserve">750x320x28；页48</t>
  </si>
  <si>
    <t xml:space="preserve">N64</t>
  </si>
  <si>
    <t xml:space="preserve">2100x320x32；页48</t>
  </si>
  <si>
    <t xml:space="preserve">N65</t>
  </si>
  <si>
    <t xml:space="preserve">2100x320×32；页48</t>
  </si>
  <si>
    <t xml:space="preserve">中桁节段02(页52)</t>
  </si>
  <si>
    <t xml:space="preserve">N11α</t>
  </si>
  <si>
    <t xml:space="preserve">t=20mm,A=15.65m2；页52；按净面积计</t>
  </si>
  <si>
    <t xml:space="preserve">N11b</t>
  </si>
  <si>
    <t xml:space="preserve">t=20mm,A=20.05m2；页52；按净面积计</t>
  </si>
  <si>
    <t xml:space="preserve">N12a</t>
  </si>
  <si>
    <t xml:space="preserve">7902×1200×20；页52</t>
  </si>
  <si>
    <t xml:space="preserve">N12b</t>
  </si>
  <si>
    <t xml:space="preserve">10151×1200×20；页52</t>
  </si>
  <si>
    <t xml:space="preserve">上弦节点板</t>
  </si>
  <si>
    <t xml:space="preserve">N13</t>
  </si>
  <si>
    <t xml:space="preserve">t=40mm,A=22.29m2；页52；按净面积计</t>
  </si>
  <si>
    <t xml:space="preserve">上弦腹板</t>
  </si>
  <si>
    <t xml:space="preserve">N14</t>
  </si>
  <si>
    <t xml:space="preserve">10351×2048×20；页52</t>
  </si>
  <si>
    <t xml:space="preserve">1980×1200×16；页52</t>
  </si>
  <si>
    <t xml:space="preserve">N15a</t>
  </si>
  <si>
    <t xml:space="preserve">上弦横隔板</t>
  </si>
  <si>
    <t xml:space="preserve">N15 *</t>
  </si>
  <si>
    <t xml:space="preserve">2057×200×16；页52</t>
  </si>
  <si>
    <t xml:space="preserve">800×400×16；页52</t>
  </si>
  <si>
    <t xml:space="preserve">N16a</t>
  </si>
  <si>
    <t xml:space="preserve">7902×240×20；页52</t>
  </si>
  <si>
    <t xml:space="preserve">10151×240×20；页52</t>
  </si>
  <si>
    <t xml:space="preserve">7902×2500×24；页52</t>
  </si>
  <si>
    <t xml:space="preserve">N21b </t>
  </si>
  <si>
    <t xml:space="preserve">10105×2500×24；页52</t>
  </si>
  <si>
    <t xml:space="preserve">t=24mm,A=12.96m2；页52；按净面积计</t>
  </si>
  <si>
    <t xml:space="preserve">N22b</t>
  </si>
  <si>
    <t xml:space="preserve">t=24mm,A=15.96m2；页52；按净面积计</t>
  </si>
  <si>
    <t xml:space="preserve">t=40mm,A=21.84m2；页52；按净面积计</t>
  </si>
  <si>
    <t xml:space="preserve">10305×1880×24；页52</t>
  </si>
  <si>
    <t xml:space="preserve">1800×1200×16；页52</t>
  </si>
  <si>
    <t xml:space="preserve">N25'</t>
  </si>
  <si>
    <t xml:space="preserve">N26a'</t>
  </si>
  <si>
    <t xml:space="preserve">10105×240×20；页52</t>
  </si>
  <si>
    <t xml:space="preserve">18007×170×14；页52</t>
  </si>
  <si>
    <t xml:space="preserve">10047×900×36；页52</t>
  </si>
  <si>
    <t xml:space="preserve">14547×1200× 32；页52</t>
  </si>
  <si>
    <t xml:space="preserve">13147×240×24；页52</t>
  </si>
  <si>
    <t xml:space="preserve">4796×900×36；页52</t>
  </si>
  <si>
    <t xml:space="preserve">7096×1200×32；页52</t>
  </si>
  <si>
    <t xml:space="preserve">6396×240×24；页52</t>
  </si>
  <si>
    <t xml:space="preserve">N5 1</t>
  </si>
  <si>
    <t xml:space="preserve">7125×1200×36；页52</t>
  </si>
  <si>
    <t xml:space="preserve">6725×1200×36；页52</t>
  </si>
  <si>
    <t xml:space="preserve">4925×1360×36；页52</t>
  </si>
  <si>
    <t xml:space="preserve">4925×320×32；页52</t>
  </si>
  <si>
    <t xml:space="preserve">N53a</t>
  </si>
  <si>
    <t xml:space="preserve">6425×320×32；页52</t>
  </si>
  <si>
    <t xml:space="preserve">6025×320×32；页52</t>
  </si>
  <si>
    <t xml:space="preserve">1200×1200×16；页52</t>
  </si>
  <si>
    <t xml:space="preserve">SSN</t>
  </si>
  <si>
    <t xml:space="preserve">2150×320×32；页52</t>
  </si>
  <si>
    <t xml:space="preserve">1980×610×14；页52</t>
  </si>
  <si>
    <t xml:space="preserve">N61a</t>
  </si>
  <si>
    <t xml:space="preserve">1980×630×14；页52</t>
  </si>
  <si>
    <t xml:space="preserve">t=24mm,A=0.47m2；页52；按净面积计</t>
  </si>
  <si>
    <t xml:space="preserve">N62a</t>
  </si>
  <si>
    <t xml:space="preserve">t=24mm,A=0.48m2；页52；按净面积计</t>
  </si>
  <si>
    <t xml:space="preserve">1800×610×14；页52</t>
  </si>
  <si>
    <t xml:space="preserve">N63a</t>
  </si>
  <si>
    <t xml:space="preserve">1800×626×14；页52</t>
  </si>
  <si>
    <t xml:space="preserve">中桁节段03(页56)</t>
  </si>
  <si>
    <t xml:space="preserve">t=20mm,A=15.29m2；页56；按净面积计</t>
  </si>
  <si>
    <t xml:space="preserve">N11b </t>
  </si>
  <si>
    <t xml:space="preserve">t=20mm,A=16.91m2；页56；按净面积计</t>
  </si>
  <si>
    <t xml:space="preserve">7902×1200×20；页56</t>
  </si>
  <si>
    <t xml:space="preserve">8600×1200×20；页56</t>
  </si>
  <si>
    <t xml:space="preserve">t=40mm,A=22.42m2；页56；按净面积计</t>
  </si>
  <si>
    <t xml:space="preserve">8800×2048×20；页56</t>
  </si>
  <si>
    <t xml:space="preserve">1980×1200×16；页56</t>
  </si>
  <si>
    <t xml:space="preserve">DCLN</t>
  </si>
  <si>
    <t xml:space="preserve">2057×200×16；页56</t>
  </si>
  <si>
    <t xml:space="preserve">800×400×16；页56</t>
  </si>
  <si>
    <t xml:space="preserve">上弦加劲肋</t>
  </si>
  <si>
    <t xml:space="preserve">7902×240×20；页56</t>
  </si>
  <si>
    <t xml:space="preserve">8600×240×20；页56</t>
  </si>
  <si>
    <t xml:space="preserve">下弦顶板</t>
  </si>
  <si>
    <t xml:space="preserve">N21a</t>
  </si>
  <si>
    <t xml:space="preserve">7904×2500×24；页56</t>
  </si>
  <si>
    <t xml:space="preserve">7102×2500×24；页56</t>
  </si>
  <si>
    <t xml:space="preserve">下弦底板</t>
  </si>
  <si>
    <t xml:space="preserve">t=24mm,A=12.96m2；页56；按净面积计</t>
  </si>
  <si>
    <t xml:space="preserve">t=24mm,A=11.13m2；页56；按净面积计</t>
  </si>
  <si>
    <t xml:space="preserve">t=40mm,A=20.75m2；页56；按净面积计</t>
  </si>
  <si>
    <t xml:space="preserve">N24 </t>
  </si>
  <si>
    <t xml:space="preserve">7302×1880×24；页56</t>
  </si>
  <si>
    <t xml:space="preserve">1800×1200×16；页56</t>
  </si>
  <si>
    <t xml:space="preserve">N25a</t>
  </si>
  <si>
    <t xml:space="preserve">下弦加劲肋</t>
  </si>
  <si>
    <t xml:space="preserve">7904×240×20；页56</t>
  </si>
  <si>
    <t xml:space="preserve">7102×240×20；页56</t>
  </si>
  <si>
    <t xml:space="preserve">15006×170×14；页56</t>
  </si>
  <si>
    <t xml:space="preserve">斜腹杆</t>
  </si>
  <si>
    <t xml:space="preserve">9010×900×36；页56</t>
  </si>
  <si>
    <t xml:space="preserve">13610×1200×32；页56</t>
  </si>
  <si>
    <t xml:space="preserve">12210×240×24；页56</t>
  </si>
  <si>
    <t xml:space="preserve">4322×900×36；页56</t>
  </si>
  <si>
    <t xml:space="preserve">6722×1200×32；页56</t>
  </si>
  <si>
    <t xml:space="preserve">6022×240×24；页56</t>
  </si>
  <si>
    <t xml:space="preserve">4796×900×36；页56</t>
  </si>
  <si>
    <t xml:space="preserve">6996×1200×32；页56</t>
  </si>
  <si>
    <t xml:space="preserve">6296×240×24；页56</t>
  </si>
  <si>
    <t xml:space="preserve">1980×610×14；页56</t>
  </si>
  <si>
    <t xml:space="preserve">1980×630×14；页56</t>
  </si>
  <si>
    <t xml:space="preserve">t=24mm,A=0.47m2；页56；按净面积计</t>
  </si>
  <si>
    <t xml:space="preserve">t=24mm,A=0.48m2；页56；按净面积计</t>
  </si>
  <si>
    <t xml:space="preserve">1800×610×14；页56</t>
  </si>
  <si>
    <t xml:space="preserve">1800×626×14；页56</t>
  </si>
  <si>
    <t xml:space="preserve">中桁节段04(页60)</t>
  </si>
  <si>
    <t xml:space="preserve">Q3550</t>
  </si>
  <si>
    <t xml:space="preserve">t=20mm,A=15.29m2；页60；按净面积计</t>
  </si>
  <si>
    <t xml:space="preserve">t=20mm,A=13.73m2；页60；按净面积计</t>
  </si>
  <si>
    <t xml:space="preserve">N12α</t>
  </si>
  <si>
    <t xml:space="preserve">7901×1200×20；页60</t>
  </si>
  <si>
    <t xml:space="preserve">7101×1200×20；页60</t>
  </si>
  <si>
    <t xml:space="preserve">t=40mm,A=23.53m2；页60；按净面积计</t>
  </si>
  <si>
    <t xml:space="preserve">7301×2048×32；页60</t>
  </si>
  <si>
    <t xml:space="preserve">1980×1200×16；页60</t>
  </si>
  <si>
    <t xml:space="preserve">N15α</t>
  </si>
  <si>
    <t xml:space="preserve">N15 ‘</t>
  </si>
  <si>
    <t xml:space="preserve">2057×200×16；页60</t>
  </si>
  <si>
    <t xml:space="preserve">800×400×16；页60</t>
  </si>
  <si>
    <t xml:space="preserve">7901×240×20；页60</t>
  </si>
  <si>
    <t xml:space="preserve">7101×240×20；页60</t>
  </si>
  <si>
    <t xml:space="preserve">7903×2500×20；页60</t>
  </si>
  <si>
    <t xml:space="preserve">N21b</t>
  </si>
  <si>
    <t xml:space="preserve">7102×2500×20；页60</t>
  </si>
  <si>
    <t xml:space="preserve">N22α</t>
  </si>
  <si>
    <t xml:space="preserve">t=20mm,A=12.96m2；页60；按净面积计</t>
  </si>
  <si>
    <t xml:space="preserve">t=20mm,A=11.13m2；页60；按净面积计</t>
  </si>
  <si>
    <t xml:space="preserve">t=40mm,A=20.85m2；页60；按净面积计</t>
  </si>
  <si>
    <t xml:space="preserve">7302×1880×24；页60</t>
  </si>
  <si>
    <t xml:space="preserve">1800×1200×16；页60</t>
  </si>
  <si>
    <t xml:space="preserve">N25*</t>
  </si>
  <si>
    <t xml:space="preserve">下弦加劲助</t>
  </si>
  <si>
    <t xml:space="preserve">7903×240×20；页60</t>
  </si>
  <si>
    <t xml:space="preserve">7102×240×20；页60</t>
  </si>
  <si>
    <t xml:space="preserve">15005×170×14；页60</t>
  </si>
  <si>
    <t xml:space="preserve">8788×900×36；页60</t>
  </si>
  <si>
    <t xml:space="preserve">13288×1200×32；页60</t>
  </si>
  <si>
    <t xml:space="preserve">11888×240×24；页60</t>
  </si>
  <si>
    <t xml:space="preserve">N4 1</t>
  </si>
  <si>
    <t xml:space="preserve">6225×1200×36；页60</t>
  </si>
  <si>
    <t xml:space="preserve">N4 1α</t>
  </si>
  <si>
    <t xml:space="preserve">4225×1360×36；页60</t>
  </si>
  <si>
    <t xml:space="preserve">4225×320×32；页60</t>
  </si>
  <si>
    <t xml:space="preserve">N43a</t>
  </si>
  <si>
    <t xml:space="preserve">5525×320×32；页60</t>
  </si>
  <si>
    <t xml:space="preserve">1200×1200×16；页60</t>
  </si>
  <si>
    <t xml:space="preserve">4322×900×36；页60</t>
  </si>
  <si>
    <t xml:space="preserve">6522×1200×32；页60</t>
  </si>
  <si>
    <t xml:space="preserve">5122×240×24；页60</t>
  </si>
  <si>
    <t xml:space="preserve">2300×320×32；页60</t>
  </si>
  <si>
    <t xml:space="preserve">1980×610×14；页60</t>
  </si>
  <si>
    <t xml:space="preserve">N61α</t>
  </si>
  <si>
    <t xml:space="preserve">1980×618×14；页60</t>
  </si>
  <si>
    <t xml:space="preserve">t=24mm,A=0.47m2；页60；按净面积计</t>
  </si>
  <si>
    <t xml:space="preserve">t=24mm,A=0.48m2；页60；按净面积计</t>
  </si>
  <si>
    <t xml:space="preserve">1800×610×14；页60</t>
  </si>
  <si>
    <t xml:space="preserve">1800×626×14；页60</t>
  </si>
  <si>
    <t xml:space="preserve">中桁节段05(页64)</t>
  </si>
  <si>
    <t xml:space="preserve">Q420D</t>
  </si>
  <si>
    <t xml:space="preserve">t=40mm,A=15.29m2；页64；按净面积计</t>
  </si>
  <si>
    <t xml:space="preserve">t=24mm,A=13.73m2；页64；按净面积计</t>
  </si>
  <si>
    <t xml:space="preserve">7901×1200×40；页64</t>
  </si>
  <si>
    <t xml:space="preserve">N12b </t>
  </si>
  <si>
    <t xml:space="preserve">7101×1200×24；页64</t>
  </si>
  <si>
    <t xml:space="preserve">t=48mm,A=24.57m2；页64；按净面积计</t>
  </si>
  <si>
    <t xml:space="preserve">7301×2048×32；页64</t>
  </si>
  <si>
    <t xml:space="preserve">1960×1200×16；页64</t>
  </si>
  <si>
    <t xml:space="preserve">1976×1200×16；页64</t>
  </si>
  <si>
    <t xml:space="preserve">2057×200×16；页64</t>
  </si>
  <si>
    <t xml:space="preserve">800×400×16；页64</t>
  </si>
  <si>
    <t xml:space="preserve">7901×320×32；页64</t>
  </si>
  <si>
    <t xml:space="preserve">7101×240×20；页64</t>
  </si>
  <si>
    <t xml:space="preserve">7903×2500×20；页64</t>
  </si>
  <si>
    <t xml:space="preserve">7102×2500×24；页64</t>
  </si>
  <si>
    <t xml:space="preserve">t=24mm,A=12.96m2；页64；按净面积计</t>
  </si>
  <si>
    <t xml:space="preserve">t=20mm,A=11.13m2；页64；按净面积计</t>
  </si>
  <si>
    <t xml:space="preserve">t=40mm,A=22.57m2；页64；按净面积计</t>
  </si>
  <si>
    <t xml:space="preserve">7302×1880×32；页64</t>
  </si>
  <si>
    <t xml:space="preserve">1800×1200×16；页64</t>
  </si>
  <si>
    <t xml:space="preserve">下弦加劲胎</t>
  </si>
  <si>
    <t xml:space="preserve">7903×240×20；页64</t>
  </si>
  <si>
    <t xml:space="preserve">7102×320×32；页64</t>
  </si>
  <si>
    <t xml:space="preserve">15005×170×14；页64</t>
  </si>
  <si>
    <t xml:space="preserve">12581×1200×36；页64</t>
  </si>
  <si>
    <t xml:space="preserve">12381×1200×36；页64</t>
  </si>
  <si>
    <t xml:space="preserve">8581×1360×36；页64</t>
  </si>
  <si>
    <t xml:space="preserve">8581×320×32；页64</t>
  </si>
  <si>
    <t xml:space="preserve">11181×320×32；页64</t>
  </si>
  <si>
    <t xml:space="preserve">10981×320×32；页64</t>
  </si>
  <si>
    <t xml:space="preserve">1200×1200×16；页64</t>
  </si>
  <si>
    <t xml:space="preserve">6135×1200×36；页64</t>
  </si>
  <si>
    <t xml:space="preserve">N41a</t>
  </si>
  <si>
    <t xml:space="preserve">4135×1360×36；页64</t>
  </si>
  <si>
    <t xml:space="preserve">4135×320×32；页64</t>
  </si>
  <si>
    <t xml:space="preserve">5435×320×32；页64</t>
  </si>
  <si>
    <t xml:space="preserve"> N5 1</t>
  </si>
  <si>
    <t xml:space="preserve">6425×1200×36；页64</t>
  </si>
  <si>
    <t xml:space="preserve">N51α</t>
  </si>
  <si>
    <t xml:space="preserve">6025×1200×36；页64</t>
  </si>
  <si>
    <t xml:space="preserve">4225×1360×36；页64</t>
  </si>
  <si>
    <t xml:space="preserve">4225×320×32；页64</t>
  </si>
  <si>
    <t xml:space="preserve">5725×320×32；页64</t>
  </si>
  <si>
    <t xml:space="preserve">5325×320×32；页64</t>
  </si>
  <si>
    <t xml:space="preserve">N55</t>
  </si>
  <si>
    <t xml:space="preserve">2300×320×32；页64</t>
  </si>
  <si>
    <t xml:space="preserve">N56</t>
  </si>
  <si>
    <t xml:space="preserve">2200×320×32；页64</t>
  </si>
  <si>
    <t xml:space="preserve">N61 </t>
  </si>
  <si>
    <t xml:space="preserve">1960×602×14；页64</t>
  </si>
  <si>
    <t xml:space="preserve">1976×618×14；页64</t>
  </si>
  <si>
    <t xml:space="preserve">t=24mm,A=0.47m2；页64；按净面积计</t>
  </si>
  <si>
    <t xml:space="preserve">t=24mm,A=0.48m2；页64；按净面积计</t>
  </si>
  <si>
    <t xml:space="preserve">1800×610×14；页64</t>
  </si>
  <si>
    <t xml:space="preserve">1800×618×14；页64</t>
  </si>
  <si>
    <t xml:space="preserve">中桁节段06(页68)</t>
  </si>
  <si>
    <t xml:space="preserve">t=40mm,A=15.29m2；页68；按净面积计</t>
  </si>
  <si>
    <t xml:space="preserve">t=40mm,A=13.73m2；页68；按净面积计</t>
  </si>
  <si>
    <t xml:space="preserve">7901×1200×40；页68</t>
  </si>
  <si>
    <t xml:space="preserve">7101×1200×40；页68</t>
  </si>
  <si>
    <t xml:space="preserve">t=48mm,A=25.5m2；页68；按净面积计</t>
  </si>
  <si>
    <t xml:space="preserve">7301×2048×48；页68</t>
  </si>
  <si>
    <t xml:space="preserve">1960×1200×16；页68</t>
  </si>
  <si>
    <t xml:space="preserve">2057×200× 16；页68</t>
  </si>
  <si>
    <t xml:space="preserve">800×400×16；页68</t>
  </si>
  <si>
    <t xml:space="preserve">7901×320× 32；页68</t>
  </si>
  <si>
    <t xml:space="preserve">7101×320×32；页68</t>
  </si>
  <si>
    <t xml:space="preserve">7903×2500×32；页68</t>
  </si>
  <si>
    <t xml:space="preserve">7102×2500×32；页68</t>
  </si>
  <si>
    <t xml:space="preserve">t=32mm,A=12.96m2；页68；按净面积计</t>
  </si>
  <si>
    <t xml:space="preserve">t=32mm,A=11.13m2；页68；按净面积计</t>
  </si>
  <si>
    <t xml:space="preserve">t=48mm,A=22.56m2；页68；按净面积计</t>
  </si>
  <si>
    <t xml:space="preserve">7302×1880×44；页68</t>
  </si>
  <si>
    <t xml:space="preserve">1800×1200×16；页68</t>
  </si>
  <si>
    <t xml:space="preserve">2057×200×16；页68</t>
  </si>
  <si>
    <t xml:space="preserve">7903×320×32；页68</t>
  </si>
  <si>
    <t xml:space="preserve">7102×320×32；页68</t>
  </si>
  <si>
    <t xml:space="preserve">15005×170×14；页68</t>
  </si>
  <si>
    <t xml:space="preserve">12189×1200×36；页68</t>
  </si>
  <si>
    <t xml:space="preserve">8389×1360×36；页68</t>
  </si>
  <si>
    <t xml:space="preserve">8389×320×32；页68</t>
  </si>
  <si>
    <t xml:space="preserve">10789×320×32；页68</t>
  </si>
  <si>
    <t xml:space="preserve">1200×1200×16；页68</t>
  </si>
  <si>
    <t xml:space="preserve">5843×1200×40；页68</t>
  </si>
  <si>
    <t xml:space="preserve">6043×1200×40；页68</t>
  </si>
  <si>
    <t xml:space="preserve">4043× 1360×40；页68</t>
  </si>
  <si>
    <t xml:space="preserve">4043×320×32；页68</t>
  </si>
  <si>
    <t xml:space="preserve">5143×320× 32；页68</t>
  </si>
  <si>
    <t xml:space="preserve">5925×1200×40；页68</t>
  </si>
  <si>
    <t xml:space="preserve">6125×1200× 40；页68</t>
  </si>
  <si>
    <t xml:space="preserve">4125×1360×40；页68</t>
  </si>
  <si>
    <t xml:space="preserve">4125×320×32；页68</t>
  </si>
  <si>
    <t xml:space="preserve">5225×320×32；页68</t>
  </si>
  <si>
    <t xml:space="preserve">5425×320×32；页68</t>
  </si>
  <si>
    <t xml:space="preserve">2100×320×32；页68</t>
  </si>
  <si>
    <t xml:space="preserve">2200×320×32；页68</t>
  </si>
  <si>
    <t xml:space="preserve">1960×602×14；页68</t>
  </si>
  <si>
    <t xml:space="preserve">t=24mm,A=0.47m2；页68；按净面积计</t>
  </si>
  <si>
    <t xml:space="preserve">t=24mm,A=0.48m2；页68；按净面积计</t>
  </si>
  <si>
    <t xml:space="preserve">1800×602×14；页68</t>
  </si>
  <si>
    <t xml:space="preserve">1800×606×14；页68</t>
  </si>
  <si>
    <t xml:space="preserve">中桁节段07(页73)</t>
  </si>
  <si>
    <t xml:space="preserve">N11a</t>
  </si>
  <si>
    <t xml:space="preserve">t=40mm,A=15.55m2；页73；按净面积计</t>
  </si>
  <si>
    <t xml:space="preserve">t=40mm,A=13.82m2；页73；按净面积计</t>
  </si>
  <si>
    <t xml:space="preserve">8039×1200×40；页73</t>
  </si>
  <si>
    <t xml:space="preserve">6940×1200×40；页73</t>
  </si>
  <si>
    <t xml:space="preserve">t=44mm,A=26.09m2；页73；按净面积计</t>
  </si>
  <si>
    <t xml:space="preserve">7140×2048×48；页73</t>
  </si>
  <si>
    <t xml:space="preserve">1960×1200×16；页73</t>
  </si>
  <si>
    <t xml:space="preserve">2057×200×16；页73</t>
  </si>
  <si>
    <t xml:space="preserve">□800×400×16；页73</t>
  </si>
  <si>
    <t xml:space="preserve">8039×320×32；页73</t>
  </si>
  <si>
    <t xml:space="preserve">6940×320×32；页73</t>
  </si>
  <si>
    <t xml:space="preserve">8040×2500×32；页73</t>
  </si>
  <si>
    <t xml:space="preserve">6941×2500×32；页73</t>
  </si>
  <si>
    <t xml:space="preserve">t=40mm,A=17.43m2；页73；按净面积计</t>
  </si>
  <si>
    <t xml:space="preserve">t=32mm,A=10.91m2；页73；按净面积计</t>
  </si>
  <si>
    <t xml:space="preserve">t=44mm,A=24.21m2；页73；按净面积计</t>
  </si>
  <si>
    <t xml:space="preserve">7141×1880×44；页73</t>
  </si>
  <si>
    <t xml:space="preserve">1800×1200×16；页73</t>
  </si>
  <si>
    <t xml:space="preserve">8040×320×32；页73</t>
  </si>
  <si>
    <t xml:space="preserve">6941×320×32；页73</t>
  </si>
  <si>
    <t xml:space="preserve">14981×170×14；页73</t>
  </si>
  <si>
    <t xml:space="preserve">11812×1200×40；页73</t>
  </si>
  <si>
    <t xml:space="preserve">N31a</t>
  </si>
  <si>
    <t xml:space="preserve">12012×1200×40；页73</t>
  </si>
  <si>
    <t xml:space="preserve">8212×1760×40；页73</t>
  </si>
  <si>
    <t xml:space="preserve">8212×320×32；页73</t>
  </si>
  <si>
    <t xml:space="preserve">10412×320×32；页73</t>
  </si>
  <si>
    <t xml:space="preserve">10612×320×32；页73</t>
  </si>
  <si>
    <t xml:space="preserve">1200×1600×16；页73</t>
  </si>
  <si>
    <t xml:space="preserve">5769×1200×40；页73</t>
  </si>
  <si>
    <t xml:space="preserve">5969×1200×40；页73</t>
  </si>
  <si>
    <t xml:space="preserve">3969×1760×40；页73</t>
  </si>
  <si>
    <t xml:space="preserve">3969×320×32；页73</t>
  </si>
  <si>
    <t xml:space="preserve">5069×320×32；页73</t>
  </si>
  <si>
    <t xml:space="preserve">5269×320×32；页73</t>
  </si>
  <si>
    <t xml:space="preserve">5853×1200×40；页73</t>
  </si>
  <si>
    <t xml:space="preserve">4053×1760×40；页73</t>
  </si>
  <si>
    <t xml:space="preserve">4053×320×32；页73</t>
  </si>
  <si>
    <t xml:space="preserve">5153×320×32；页73</t>
  </si>
  <si>
    <t xml:space="preserve">5353×320×32；页73</t>
  </si>
  <si>
    <t xml:space="preserve">2100×320×32；页73</t>
  </si>
  <si>
    <t xml:space="preserve">2000×320×32；页73</t>
  </si>
  <si>
    <t xml:space="preserve">1960×606×14；页73</t>
  </si>
  <si>
    <t xml:space="preserve">1960×602×14；页73</t>
  </si>
  <si>
    <t xml:space="preserve">t=24mm,A=0.47m2；页73；按净面积计</t>
  </si>
  <si>
    <t xml:space="preserve">t=24mm,A=0.48m2；页73；按净面积计</t>
  </si>
  <si>
    <t xml:space="preserve">1800×606×14；页73</t>
  </si>
  <si>
    <t xml:space="preserve">支座加劲</t>
  </si>
  <si>
    <t xml:space="preserve">1800×1200×32；页73</t>
  </si>
  <si>
    <t xml:space="preserve">1800×602×44；页73</t>
  </si>
  <si>
    <t xml:space="preserve">2800×2650×100；页73</t>
  </si>
  <si>
    <t xml:space="preserve">1000×568×32；页73</t>
  </si>
  <si>
    <t xml:space="preserve">1350×570×32；页73</t>
  </si>
  <si>
    <t xml:space="preserve">中桁节段08(页77)</t>
  </si>
  <si>
    <t xml:space="preserve">t=40mm,A=15.28m2；页77；按净面积计</t>
  </si>
  <si>
    <t xml:space="preserve">t=40mm,A= 13.46m2；页77；按净面积计</t>
  </si>
  <si>
    <t xml:space="preserve">7900×1200×40；页77</t>
  </si>
  <si>
    <t xml:space="preserve">6950×1200×40；页77</t>
  </si>
  <si>
    <t xml:space="preserve">t=44mm,A=25.76m2；页77；按净面积计</t>
  </si>
  <si>
    <t xml:space="preserve">7150×2048×48；页77</t>
  </si>
  <si>
    <t xml:space="preserve">1960×1200×16；页77</t>
  </si>
  <si>
    <t xml:space="preserve">2057×200×16；页77</t>
  </si>
  <si>
    <t xml:space="preserve">800×400×16；页77</t>
  </si>
  <si>
    <t xml:space="preserve">上弦加劲融</t>
  </si>
  <si>
    <t xml:space="preserve">7900×320× 32；页77</t>
  </si>
  <si>
    <t xml:space="preserve">6950×320×32；页77</t>
  </si>
  <si>
    <t xml:space="preserve">8050×2500×32；页77</t>
  </si>
  <si>
    <t xml:space="preserve">7101×2500×24；页77</t>
  </si>
  <si>
    <t xml:space="preserve">t=32mm,A=13.16m2；页77；按净面积计</t>
  </si>
  <si>
    <t xml:space="preserve">t=24mm,A=11.13m2；页77；按净面积计</t>
  </si>
  <si>
    <t xml:space="preserve">t=44mm,A=24.5m2；页77；按净面积计</t>
  </si>
  <si>
    <t xml:space="preserve">7301×1880×32；页77</t>
  </si>
  <si>
    <t xml:space="preserve">1800×1200×16；页77</t>
  </si>
  <si>
    <t xml:space="preserve">下弦加劲融</t>
  </si>
  <si>
    <t xml:space="preserve">8050×320×32；页77</t>
  </si>
  <si>
    <t xml:space="preserve">7101×320×32；页77</t>
  </si>
  <si>
    <t xml:space="preserve">15151×170×14；页77</t>
  </si>
  <si>
    <t xml:space="preserve">11850×1200×40；页77</t>
  </si>
  <si>
    <t xml:space="preserve">11950×1200×40；页77</t>
  </si>
  <si>
    <t xml:space="preserve">8050×1760×40；页77</t>
  </si>
  <si>
    <t xml:space="preserve">10450×320×32；页77</t>
  </si>
  <si>
    <t xml:space="preserve">1200×1600×16；页77</t>
  </si>
  <si>
    <t xml:space="preserve">5711×1200×36；页77</t>
  </si>
  <si>
    <t xml:space="preserve">6011×1200×36；页77</t>
  </si>
  <si>
    <t xml:space="preserve">3911×1360×36；页77</t>
  </si>
  <si>
    <t xml:space="preserve">3911×320×32；页77</t>
  </si>
  <si>
    <t xml:space="preserve">5011×320×32；页77</t>
  </si>
  <si>
    <t xml:space="preserve">5311×320×32；页77</t>
  </si>
  <si>
    <t xml:space="preserve">1200×1200×16；页77</t>
  </si>
  <si>
    <t xml:space="preserve">5979×1200×36；页77</t>
  </si>
  <si>
    <t xml:space="preserve">5779×1200× 36；页77</t>
  </si>
  <si>
    <t xml:space="preserve">3979×1760×36；页77</t>
  </si>
  <si>
    <t xml:space="preserve">3979×320× 32；页77</t>
  </si>
  <si>
    <t xml:space="preserve">5279× 320× 32；页77</t>
  </si>
  <si>
    <t xml:space="preserve">5079×320× 32；页77</t>
  </si>
  <si>
    <t xml:space="preserve">2000×320×32；页77</t>
  </si>
  <si>
    <t xml:space="preserve">1960×606×14；页77</t>
  </si>
  <si>
    <t xml:space="preserve">1960×602×14；页77</t>
  </si>
  <si>
    <t xml:space="preserve">t=24mm,A=0.47m2；页77；按净面积计</t>
  </si>
  <si>
    <t xml:space="preserve">t=24mm,A=0.48m2；页77；按净面积计</t>
  </si>
  <si>
    <t xml:space="preserve">1800×606×14；页77</t>
  </si>
  <si>
    <t xml:space="preserve">D29N</t>
  </si>
  <si>
    <t xml:space="preserve">1800×618×14；页77</t>
  </si>
  <si>
    <t xml:space="preserve">中桁节段09(页81)</t>
  </si>
  <si>
    <t xml:space="preserve">t=20mm,A=15.28m2；页81；按净面积计</t>
  </si>
  <si>
    <t xml:space="preserve">t=24mm,A=13.73m2；页81；按净面积计</t>
  </si>
  <si>
    <t xml:space="preserve">7900×1200×20；页81</t>
  </si>
  <si>
    <t xml:space="preserve">7100×1200×24；页81</t>
  </si>
  <si>
    <t xml:space="preserve">t=40mm,A=24.54m2；页81；按净面积计</t>
  </si>
  <si>
    <t xml:space="preserve">7300×2048×32；页81</t>
  </si>
  <si>
    <t xml:space="preserve">1980×1200×16；页81</t>
  </si>
  <si>
    <t xml:space="preserve">1976×1200×16；页81</t>
  </si>
  <si>
    <t xml:space="preserve">2057×200×16；页81</t>
  </si>
  <si>
    <t xml:space="preserve">800×400×16；页81</t>
  </si>
  <si>
    <t xml:space="preserve">7900×280×24；页81</t>
  </si>
  <si>
    <t xml:space="preserve">7100×320×32；页81</t>
  </si>
  <si>
    <t xml:space="preserve">7901×2500×24；页81</t>
  </si>
  <si>
    <t xml:space="preserve">7101×2500×24；页81</t>
  </si>
  <si>
    <t xml:space="preserve">t=24mm,A=12.96m2；页81；按净面积计</t>
  </si>
  <si>
    <t xml:space="preserve">t=24mm,A=11.13m2；页81；按净面积计</t>
  </si>
  <si>
    <t xml:space="preserve">t=48mm,A=22.53m2；页81；按净面积计</t>
  </si>
  <si>
    <t xml:space="preserve">7301×1880×32；页81</t>
  </si>
  <si>
    <t xml:space="preserve">1800×1200×16；页81</t>
  </si>
  <si>
    <t xml:space="preserve">7901×320×32；页81</t>
  </si>
  <si>
    <t xml:space="preserve">7101×280×24；页81</t>
  </si>
  <si>
    <t xml:space="preserve">15002× 170× 14；页81</t>
  </si>
  <si>
    <t xml:space="preserve">11903×1200×36；页81</t>
  </si>
  <si>
    <t xml:space="preserve">11803×1200×36；页81</t>
  </si>
  <si>
    <t xml:space="preserve">7903×1360×36；页81</t>
  </si>
  <si>
    <t xml:space="preserve">7903×320×32；页81</t>
  </si>
  <si>
    <t xml:space="preserve">10503×320×32；页81</t>
  </si>
  <si>
    <t xml:space="preserve">10403×320×32；页81</t>
  </si>
  <si>
    <t xml:space="preserve">1200×1200×16；页81</t>
  </si>
  <si>
    <t xml:space="preserve">5651×1200×36；页81</t>
  </si>
  <si>
    <t xml:space="preserve">5951×1200×36；页81</t>
  </si>
  <si>
    <t xml:space="preserve">3851×1360×36；页81</t>
  </si>
  <si>
    <t xml:space="preserve">3851×320×32；页81</t>
  </si>
  <si>
    <t xml:space="preserve">5251×320×32；页81</t>
  </si>
  <si>
    <t xml:space="preserve">□6111×1200×36；页81</t>
  </si>
  <si>
    <t xml:space="preserve">□5711×1200×36；页81</t>
  </si>
  <si>
    <t xml:space="preserve">3911×1360×36；页81</t>
  </si>
  <si>
    <t xml:space="preserve">3911×320×32；页81</t>
  </si>
  <si>
    <t xml:space="preserve">5411×320×32；页81</t>
  </si>
  <si>
    <t xml:space="preserve">5011×320×32；页81</t>
  </si>
  <si>
    <t xml:space="preserve">2300×320×32；页81</t>
  </si>
  <si>
    <t xml:space="preserve">2200×320×32；页81</t>
  </si>
  <si>
    <t xml:space="preserve">1980×610×14；页81</t>
  </si>
  <si>
    <t xml:space="preserve">1976×618×14；页81</t>
  </si>
  <si>
    <t xml:space="preserve">t=24mm,A=0.47m2；页81；按净面积计</t>
  </si>
  <si>
    <t xml:space="preserve">t=24mm,A=0.48m2；页81；按净面积计</t>
  </si>
  <si>
    <t xml:space="preserve">1800×602×14；页81</t>
  </si>
  <si>
    <t xml:space="preserve">1800×618×14；页81</t>
  </si>
  <si>
    <t xml:space="preserve">中桁节段10(页85)</t>
  </si>
  <si>
    <t xml:space="preserve">t=20mm,A=15.28m2；页85；按净面积计</t>
  </si>
  <si>
    <t xml:space="preserve">t=20mm,A=13.73m2；页85；按净面积计</t>
  </si>
  <si>
    <t xml:space="preserve">7900×1200×20；页85</t>
  </si>
  <si>
    <t xml:space="preserve">7100×1200×20；页85</t>
  </si>
  <si>
    <t xml:space="preserve">t=40mm,A=23.47m2；页85；按净面积计</t>
  </si>
  <si>
    <t xml:space="preserve">7300×2048×28；页85</t>
  </si>
  <si>
    <t xml:space="preserve">1980×1200×16；页85</t>
  </si>
  <si>
    <t xml:space="preserve">2057×200×16；页85</t>
  </si>
  <si>
    <t xml:space="preserve">800×400×16；页85</t>
  </si>
  <si>
    <t xml:space="preserve">上弦加劲脚</t>
  </si>
  <si>
    <t xml:space="preserve">7900×280×24；页85</t>
  </si>
  <si>
    <t xml:space="preserve">7100×280×24；页85</t>
  </si>
  <si>
    <t xml:space="preserve">7901×2500×24；页85</t>
  </si>
  <si>
    <t xml:space="preserve">7101×2500×24；页85</t>
  </si>
  <si>
    <t xml:space="preserve">t=24mm,A=12.96m2；页85；按净面积计</t>
  </si>
  <si>
    <t xml:space="preserve">t=44mm,A=22.52m2；页85；按净面积计</t>
  </si>
  <si>
    <t xml:space="preserve">7301×1880×32；页85</t>
  </si>
  <si>
    <t xml:space="preserve">1800×1200×16；页85</t>
  </si>
  <si>
    <t xml:space="preserve">7901×280×24；页85</t>
  </si>
  <si>
    <t xml:space="preserve">7101×280×24；页85</t>
  </si>
  <si>
    <t xml:space="preserve">15002×170×14；页85</t>
  </si>
  <si>
    <t xml:space="preserve">7770×320× 32；页85</t>
  </si>
  <si>
    <t xml:space="preserve">N33α</t>
  </si>
  <si>
    <t xml:space="preserve">10370×320×32；页85</t>
  </si>
  <si>
    <t xml:space="preserve">10270× 320×32；页85</t>
  </si>
  <si>
    <t xml:space="preserve">1200×1200×16；页85</t>
  </si>
  <si>
    <t xml:space="preserve">3798×900×36；页85</t>
  </si>
  <si>
    <t xml:space="preserve">6098×1200×32；页85</t>
  </si>
  <si>
    <t xml:space="preserve">N4.3</t>
  </si>
  <si>
    <t xml:space="preserve">5398×240×24；页85</t>
  </si>
  <si>
    <t xml:space="preserve">6051×1200×36；页85</t>
  </si>
  <si>
    <t xml:space="preserve">N51 α</t>
  </si>
  <si>
    <t xml:space="preserve">4651×1200×36；页85</t>
  </si>
  <si>
    <t xml:space="preserve">3851×1360×36；页85</t>
  </si>
  <si>
    <t xml:space="preserve">N5.3</t>
  </si>
  <si>
    <t xml:space="preserve">3851×320×32；页85</t>
  </si>
  <si>
    <t xml:space="preserve">4651×320×32；页85</t>
  </si>
  <si>
    <t xml:space="preserve">3251×320×32；页85</t>
  </si>
  <si>
    <t xml:space="preserve">2300×320×32；页85</t>
  </si>
  <si>
    <t xml:space="preserve">9SN</t>
  </si>
  <si>
    <t xml:space="preserve">2200×320×32；页85</t>
  </si>
  <si>
    <t xml:space="preserve">1980×610×14；页85</t>
  </si>
  <si>
    <t xml:space="preserve">1980×622×14；页85</t>
  </si>
  <si>
    <t xml:space="preserve">t=24mm,A=0.47m2；页85；按净面积计</t>
  </si>
  <si>
    <t xml:space="preserve">t=24mm,A=0.48m2；页85；按净面积计</t>
  </si>
  <si>
    <t xml:space="preserve">1800×606×14；页85</t>
  </si>
  <si>
    <t xml:space="preserve">1800×618×14；页85</t>
  </si>
  <si>
    <t xml:space="preserve">中桁节段11(页89)</t>
  </si>
  <si>
    <t xml:space="preserve">t=20mm,A=15.28m2；页89；按净面积计</t>
  </si>
  <si>
    <t xml:space="preserve">t=20mm,A=13.73m2；页89；按净面积计</t>
  </si>
  <si>
    <t xml:space="preserve">7900×1200×20；页89</t>
  </si>
  <si>
    <t xml:space="preserve">7100×1200×20；页89</t>
  </si>
  <si>
    <t xml:space="preserve">t=40mm,A=22.62m2；页89；按净面积计</t>
  </si>
  <si>
    <t xml:space="preserve">7300×2048×28；页89</t>
  </si>
  <si>
    <t xml:space="preserve">1980×1200×16；页89</t>
  </si>
  <si>
    <t xml:space="preserve">N15‘</t>
  </si>
  <si>
    <t xml:space="preserve">2057×200×16；页89</t>
  </si>
  <si>
    <t xml:space="preserve">800×400×16；页89</t>
  </si>
  <si>
    <t xml:space="preserve">7900×280×24；页89</t>
  </si>
  <si>
    <t xml:space="preserve">7100×280×24；页89</t>
  </si>
  <si>
    <t xml:space="preserve">7901×2500×24；页89</t>
  </si>
  <si>
    <t xml:space="preserve">7101×2500×24；页89</t>
  </si>
  <si>
    <t xml:space="preserve">t=24mm,A=12.96m2；页89；按净面积计</t>
  </si>
  <si>
    <t xml:space="preserve">t=24mm,A=11.13m2；页89；按净面积计</t>
  </si>
  <si>
    <t xml:space="preserve">t=44mm,A=20.79m2；页89；按净面积计</t>
  </si>
  <si>
    <t xml:space="preserve">7301×1880×32；页89</t>
  </si>
  <si>
    <t xml:space="preserve">1800×1200×16；页89</t>
  </si>
  <si>
    <t xml:space="preserve">下弦加劲励</t>
  </si>
  <si>
    <t xml:space="preserve">N26α</t>
  </si>
  <si>
    <t xml:space="preserve">7901×280×24；页89</t>
  </si>
  <si>
    <t xml:space="preserve">7101×280×24；页89</t>
  </si>
  <si>
    <t xml:space="preserve">15002×170×14；页89</t>
  </si>
  <si>
    <t xml:space="preserve">7651×900×36；页89</t>
  </si>
  <si>
    <t xml:space="preserve">12151×1200×32；页89</t>
  </si>
  <si>
    <t xml:space="preserve">10751×240×24；页89</t>
  </si>
  <si>
    <t xml:space="preserve">3752×900×36；页89</t>
  </si>
  <si>
    <t xml:space="preserve">6052×1200×32；页89</t>
  </si>
  <si>
    <t xml:space="preserve">5352×240×24；页89</t>
  </si>
  <si>
    <t xml:space="preserve">3789×900×36；页89</t>
  </si>
  <si>
    <t xml:space="preserve">5989×1200×32；页89</t>
  </si>
  <si>
    <t xml:space="preserve">5289×240× 24；页89</t>
  </si>
  <si>
    <t xml:space="preserve">1123×1200×20；页89</t>
  </si>
  <si>
    <t xml:space="preserve">1032×1200×20；页89</t>
  </si>
  <si>
    <t xml:space="preserve">1980×610×14；页89</t>
  </si>
  <si>
    <t xml:space="preserve">1980×622×14；页89</t>
  </si>
  <si>
    <t xml:space="preserve">t=24mm,A=0.47m2；页89；按净面积计</t>
  </si>
  <si>
    <t xml:space="preserve">N62α</t>
  </si>
  <si>
    <t xml:space="preserve">t=24mm,A=0.48m2；页89；按净面积计</t>
  </si>
  <si>
    <t xml:space="preserve">1800×606×14；页89</t>
  </si>
  <si>
    <t xml:space="preserve">N63α</t>
  </si>
  <si>
    <t xml:space="preserve">1800×618×14；页89</t>
  </si>
  <si>
    <t xml:space="preserve">中桁节段12(页93)</t>
  </si>
  <si>
    <t xml:space="preserve">t=20mm,A=15.28m2；页93；按净面积计</t>
  </si>
  <si>
    <t xml:space="preserve">t=20mm,A=13.73m2；页93；按净面积计</t>
  </si>
  <si>
    <t xml:space="preserve">7900×1200×20；页93</t>
  </si>
  <si>
    <t xml:space="preserve">7100×1200×20；页93</t>
  </si>
  <si>
    <t xml:space="preserve">t=40mm,A=22.58m2；页93；按净面积计</t>
  </si>
  <si>
    <t xml:space="preserve">7300×2048×28；页93</t>
  </si>
  <si>
    <t xml:space="preserve">1980×1200×16；页93</t>
  </si>
  <si>
    <t xml:space="preserve">2057×200×16；页93</t>
  </si>
  <si>
    <t xml:space="preserve">800×400×16；页93</t>
  </si>
  <si>
    <t xml:space="preserve">上弦加劲肪</t>
  </si>
  <si>
    <t xml:space="preserve">7900×280×24；页93</t>
  </si>
  <si>
    <t xml:space="preserve">7100×280×24；页93</t>
  </si>
  <si>
    <t xml:space="preserve">7901×2500×24；页93</t>
  </si>
  <si>
    <t xml:space="preserve">7101×2500×24；页93</t>
  </si>
  <si>
    <t xml:space="preserve">t=24mm,A=12.96m2；页93；按净面积计</t>
  </si>
  <si>
    <t xml:space="preserve">t=24mm,A=11.13m2；页93；按净面积计</t>
  </si>
  <si>
    <t xml:space="preserve">t=44mm,A=20.81m2；页93；按净面积计</t>
  </si>
  <si>
    <t xml:space="preserve">7301×1880×32；页93</t>
  </si>
  <si>
    <t xml:space="preserve">1800×1200×16；页93</t>
  </si>
  <si>
    <t xml:space="preserve">7901×280×24；页93</t>
  </si>
  <si>
    <t xml:space="preserve">7101×280×24；页93</t>
  </si>
  <si>
    <t xml:space="preserve">15002×170×14；页93</t>
  </si>
  <si>
    <t xml:space="preserve">7548×900×36；页93</t>
  </si>
  <si>
    <t xml:space="preserve">12048×1200×32；页93</t>
  </si>
  <si>
    <t xml:space="preserve">10648×240×24；页93</t>
  </si>
  <si>
    <t xml:space="preserve">3714×900×36；页93</t>
  </si>
  <si>
    <t xml:space="preserve">6014×1200×32；页93</t>
  </si>
  <si>
    <t xml:space="preserve">5314×240×24；页93</t>
  </si>
  <si>
    <t xml:space="preserve">3752×900×36；页93</t>
  </si>
  <si>
    <t xml:space="preserve">5952×1200×32；页93</t>
  </si>
  <si>
    <t xml:space="preserve">5252×240× 24；页93</t>
  </si>
  <si>
    <t xml:space="preserve">1100×1200×20；页93</t>
  </si>
  <si>
    <t xml:space="preserve">1010×1200×20；页93</t>
  </si>
  <si>
    <t xml:space="preserve">1980×610×14；页93</t>
  </si>
  <si>
    <t xml:space="preserve">1980×622×14；页93</t>
  </si>
  <si>
    <t xml:space="preserve">t=24mm,A=0.47m2；页93；按净面积计</t>
  </si>
  <si>
    <t xml:space="preserve">t=24mm,A=0.48m2；页93；按净面积计</t>
  </si>
  <si>
    <t xml:space="preserve">1800×606×14；页93</t>
  </si>
  <si>
    <t xml:space="preserve">1800×618×14；页93</t>
  </si>
  <si>
    <t xml:space="preserve">中桁节段13(页97)</t>
  </si>
  <si>
    <t xml:space="preserve">t=20mm,A=15.28m2；页97；按净面积计</t>
  </si>
  <si>
    <t xml:space="preserve">t=20mm,A=13.73m2；页97；按净面积计</t>
  </si>
  <si>
    <t xml:space="preserve">7900×1200×20；页97</t>
  </si>
  <si>
    <t xml:space="preserve">7100×1200×20；页97</t>
  </si>
  <si>
    <t xml:space="preserve">t=40mm,A=23.46m2；页97；按净面积计</t>
  </si>
  <si>
    <t xml:space="preserve">7300×2048×28；页97</t>
  </si>
  <si>
    <t xml:space="preserve">1980×1200×16；页97</t>
  </si>
  <si>
    <t xml:space="preserve">N15 </t>
  </si>
  <si>
    <t xml:space="preserve">2057×200×16；页97</t>
  </si>
  <si>
    <t xml:space="preserve">800×400×16；页97</t>
  </si>
  <si>
    <t xml:space="preserve">7900×280×24；页97</t>
  </si>
  <si>
    <t xml:space="preserve">7100×280×24；页97</t>
  </si>
  <si>
    <t xml:space="preserve">7901×2500× 24；页97</t>
  </si>
  <si>
    <t xml:space="preserve">7101×2500×24；页97</t>
  </si>
  <si>
    <t xml:space="preserve">t=24mm,A=12.96m2；页97；按净面积计</t>
  </si>
  <si>
    <t xml:space="preserve">t=24mm,A=11.13m2；页97；按净面积计</t>
  </si>
  <si>
    <t xml:space="preserve">t=44mm,A=20.36m2；页97；按净面积计</t>
  </si>
  <si>
    <t xml:space="preserve">7301×1880×32；页97</t>
  </si>
  <si>
    <t xml:space="preserve">1800×1200×16；页97</t>
  </si>
  <si>
    <t xml:space="preserve">N252</t>
  </si>
  <si>
    <t xml:space="preserve">7901×280×24；页97</t>
  </si>
  <si>
    <t xml:space="preserve">7101×280×24；页97</t>
  </si>
  <si>
    <t xml:space="preserve">15002×170×14；页97</t>
  </si>
  <si>
    <t xml:space="preserve">7458×900×36；页97</t>
  </si>
  <si>
    <t xml:space="preserve">11958×1200×32；页97</t>
  </si>
  <si>
    <t xml:space="preserve">10558×240×24；页97</t>
  </si>
  <si>
    <t xml:space="preserve">5482×1200×36；页97</t>
  </si>
  <si>
    <t xml:space="preserve">5782×1200×36；页97</t>
  </si>
  <si>
    <t xml:space="preserve">3682×1360×36；页97</t>
  </si>
  <si>
    <t xml:space="preserve">3682×320×32；页97</t>
  </si>
  <si>
    <t xml:space="preserve">4782×320×32；页97</t>
  </si>
  <si>
    <t xml:space="preserve">5082×320×32；页97</t>
  </si>
  <si>
    <t xml:space="preserve">1200×1200×16；页97</t>
  </si>
  <si>
    <t xml:space="preserve">3714×900×36；页97</t>
  </si>
  <si>
    <t xml:space="preserve">5914×1200×32；页97</t>
  </si>
  <si>
    <t xml:space="preserve">4514×240× 24；页97</t>
  </si>
  <si>
    <t xml:space="preserve">2300×320×32；页97</t>
  </si>
  <si>
    <t xml:space="preserve">980×1200×20；页97</t>
  </si>
  <si>
    <t xml:space="preserve">1980×610×14；页97</t>
  </si>
  <si>
    <t xml:space="preserve">1980×622×14；页97</t>
  </si>
  <si>
    <t xml:space="preserve">t=24mm,A=0.47m2；页97；按净面积计</t>
  </si>
  <si>
    <t xml:space="preserve">t=24mm,A=0.48m2；页97；按净面积计</t>
  </si>
  <si>
    <t xml:space="preserve">1800×606×14；页97</t>
  </si>
  <si>
    <t xml:space="preserve">1800×618×14；页97</t>
  </si>
  <si>
    <t xml:space="preserve">中桁节段14(页101)</t>
  </si>
  <si>
    <t xml:space="preserve">t=20mm,A=15.28m2；页101；按净面积计</t>
  </si>
  <si>
    <t xml:space="preserve">t=20mm,A=13.73m2；页101；按净面积计</t>
  </si>
  <si>
    <t xml:space="preserve">7900×1200×20；页101</t>
  </si>
  <si>
    <t xml:space="preserve">7100×1200×20；页101</t>
  </si>
  <si>
    <t xml:space="preserve">t=40mm,A=24.52m2；页101；按净面积计</t>
  </si>
  <si>
    <t xml:space="preserve">7300×2048×28；页101</t>
  </si>
  <si>
    <t xml:space="preserve">1980×1200×16；页101</t>
  </si>
  <si>
    <t xml:space="preserve">2057×200×16；页101</t>
  </si>
  <si>
    <t xml:space="preserve">800×400×16；页101</t>
  </si>
  <si>
    <t xml:space="preserve">7900×280× 24；页101</t>
  </si>
  <si>
    <t xml:space="preserve">7100×280× 24；页101</t>
  </si>
  <si>
    <t xml:space="preserve">7901×2500×24；页101</t>
  </si>
  <si>
    <t xml:space="preserve">7101×2500×24；页101</t>
  </si>
  <si>
    <t xml:space="preserve">t=24mm,A=12.96m2；页101；按净面积计</t>
  </si>
  <si>
    <t xml:space="preserve">t=24mm,A=11.13m2；页101；按净面积计</t>
  </si>
  <si>
    <t xml:space="preserve">t=44mm,A=22.5m2；页101；按净面积计</t>
  </si>
  <si>
    <t xml:space="preserve">7301×1880×32；页101</t>
  </si>
  <si>
    <t xml:space="preserve">1800×1200×16；页101</t>
  </si>
  <si>
    <t xml:space="preserve">7901×280×24；页101</t>
  </si>
  <si>
    <t xml:space="preserve">7101×280×24；页101</t>
  </si>
  <si>
    <t xml:space="preserve">15002×170×14；页101</t>
  </si>
  <si>
    <t xml:space="preserve">11383×1200×36；页101</t>
  </si>
  <si>
    <t xml:space="preserve">11283×1200×36；页101</t>
  </si>
  <si>
    <t xml:space="preserve">7383×1360×36；页101</t>
  </si>
  <si>
    <t xml:space="preserve">7383×320×32；页101</t>
  </si>
  <si>
    <t xml:space="preserve">9983×320×32；页101</t>
  </si>
  <si>
    <t xml:space="preserve">9883×320×32；页101</t>
  </si>
  <si>
    <t xml:space="preserve">1200×1200×16；页101</t>
  </si>
  <si>
    <t xml:space="preserve">5458×1200×36；页101</t>
  </si>
  <si>
    <t xml:space="preserve">5758×1200×36；页101</t>
  </si>
  <si>
    <t xml:space="preserve">3658×1360×36；页101</t>
  </si>
  <si>
    <t xml:space="preserve">3658×320×32；页101</t>
  </si>
  <si>
    <t xml:space="preserve">4758×320×32；页101</t>
  </si>
  <si>
    <t xml:space="preserve">5058×320×32；页101</t>
  </si>
  <si>
    <t xml:space="preserve">5883×1200×36；页101</t>
  </si>
  <si>
    <t xml:space="preserve">5483×1200×36；页101</t>
  </si>
  <si>
    <t xml:space="preserve">3683×1360×36；页101</t>
  </si>
  <si>
    <t xml:space="preserve">3683×320×32；页101</t>
  </si>
  <si>
    <t xml:space="preserve">5183×320×32；页101</t>
  </si>
  <si>
    <t xml:space="preserve">4783×320× 32；页101</t>
  </si>
  <si>
    <t xml:space="preserve">2300×320×32；页101</t>
  </si>
  <si>
    <t xml:space="preserve">2200×320×32；页101</t>
  </si>
  <si>
    <t xml:space="preserve">1980×610×14；页101</t>
  </si>
  <si>
    <t xml:space="preserve">1980×622×14；页101</t>
  </si>
  <si>
    <t xml:space="preserve">t=24mm,A=0.47m2；页101；按净面积计</t>
  </si>
  <si>
    <t xml:space="preserve">t=24mm,A=0.48m2；页101；按净面积计</t>
  </si>
  <si>
    <t xml:space="preserve">1800×606×14；页101</t>
  </si>
  <si>
    <t xml:space="preserve">1800×618×14；页101</t>
  </si>
  <si>
    <t xml:space="preserve">中桁节段15(页105)</t>
  </si>
  <si>
    <t xml:space="preserve">t=40mm,A=15.28m2；页105；按净面积计</t>
  </si>
  <si>
    <t xml:space="preserve">t=24mm,A=13.73m2；页105；按净面积计</t>
  </si>
  <si>
    <t xml:space="preserve">7900×1200×40；页105</t>
  </si>
  <si>
    <t xml:space="preserve">7100×1200×24；页105</t>
  </si>
  <si>
    <t xml:space="preserve">t=48mm,A=25.71m2；页105；按净面积计</t>
  </si>
  <si>
    <t xml:space="preserve">7300×2048×32；页105</t>
  </si>
  <si>
    <t xml:space="preserve">1960×1200×16；页105</t>
  </si>
  <si>
    <t xml:space="preserve">1976×1200×16；页105</t>
  </si>
  <si>
    <t xml:space="preserve">2057×200× 16；页105</t>
  </si>
  <si>
    <t xml:space="preserve">800×400×16；页105</t>
  </si>
  <si>
    <t xml:space="preserve">7900×320×32；页105</t>
  </si>
  <si>
    <t xml:space="preserve">7100×280×24；页105</t>
  </si>
  <si>
    <t xml:space="preserve">7900×2500×24；页105</t>
  </si>
  <si>
    <t xml:space="preserve">7100×2500×24；页105</t>
  </si>
  <si>
    <t xml:space="preserve">t=24mm,A=12.96m2；页105；按净面积计</t>
  </si>
  <si>
    <t xml:space="preserve">t=24mm,A=11.13m2；页105；按净面积计</t>
  </si>
  <si>
    <t xml:space="preserve">t=44mm,A=22.5m2；页105；按净面积计</t>
  </si>
  <si>
    <t xml:space="preserve">7300×1880×32；页105</t>
  </si>
  <si>
    <t xml:space="preserve">1800×1200×16；页105</t>
  </si>
  <si>
    <t xml:space="preserve">2057×200×16；页105</t>
  </si>
  <si>
    <t xml:space="preserve">7900×280× 24；页105</t>
  </si>
  <si>
    <t xml:space="preserve">7100×320×32；页105</t>
  </si>
  <si>
    <t xml:space="preserve">15000×170×14；页105</t>
  </si>
  <si>
    <t xml:space="preserve">11322×1200×36；页105</t>
  </si>
  <si>
    <t xml:space="preserve">11222×1200×36；页105</t>
  </si>
  <si>
    <t xml:space="preserve">7322×1360×36；页105</t>
  </si>
  <si>
    <t xml:space="preserve">7322×320× 32；页105</t>
  </si>
  <si>
    <t xml:space="preserve">1200×1200×16；页105</t>
  </si>
  <si>
    <t xml:space="preserve">5440×1200× 48；页105</t>
  </si>
  <si>
    <t xml:space="preserve">5740×1200× 48；页105</t>
  </si>
  <si>
    <t xml:space="preserve">3640×1760×48；页105</t>
  </si>
  <si>
    <t xml:space="preserve">3640×320×32；页105</t>
  </si>
  <si>
    <t xml:space="preserve">4740×320×32；页105</t>
  </si>
  <si>
    <t xml:space="preserve">5040×320×32；页105</t>
  </si>
  <si>
    <t xml:space="preserve">1200×1600×16；页105</t>
  </si>
  <si>
    <t xml:space="preserve">5858×1200×48；页105</t>
  </si>
  <si>
    <t xml:space="preserve">5458×1200× 48；页105</t>
  </si>
  <si>
    <t xml:space="preserve">3658×1360× 48；页105</t>
  </si>
  <si>
    <t xml:space="preserve">3658×320×32；页105</t>
  </si>
  <si>
    <t xml:space="preserve">DESN</t>
  </si>
  <si>
    <t xml:space="preserve">5158×320×32；页105</t>
  </si>
  <si>
    <t xml:space="preserve">4758×320×32；页105</t>
  </si>
  <si>
    <t xml:space="preserve">2100×320×32；页105</t>
  </si>
  <si>
    <t xml:space="preserve">2200×320×32；页105</t>
  </si>
  <si>
    <t xml:space="preserve">1960×602×14；页105</t>
  </si>
  <si>
    <t xml:space="preserve">1976×618×14；页105</t>
  </si>
  <si>
    <t xml:space="preserve">t=24mm,A=0.47m2；页105；按净面积计</t>
  </si>
  <si>
    <t xml:space="preserve">t=24mm,A=0.48m2；页105；按净面积计</t>
  </si>
  <si>
    <t xml:space="preserve">1800×606×14；页105</t>
  </si>
  <si>
    <t xml:space="preserve">1800×618×14；页105</t>
  </si>
  <si>
    <t xml:space="preserve">中桁节段16(页109)</t>
  </si>
  <si>
    <t xml:space="preserve">t=40mm,A=15.28m2；页109；按净面积计</t>
  </si>
  <si>
    <t xml:space="preserve">t=40mm,A=13.46m2；页109；按净面积计</t>
  </si>
  <si>
    <t xml:space="preserve">7900×1200×40；页109</t>
  </si>
  <si>
    <t xml:space="preserve">6950×1200×40；页109</t>
  </si>
  <si>
    <t xml:space="preserve">t=44mm,A=26.55m2；页109；按净面积计</t>
  </si>
  <si>
    <t xml:space="preserve">7150×2048×48；页109</t>
  </si>
  <si>
    <t xml:space="preserve">1960×1200×16；页109</t>
  </si>
  <si>
    <t xml:space="preserve">2057×200×16；页109</t>
  </si>
  <si>
    <t xml:space="preserve">800×400×16；页109</t>
  </si>
  <si>
    <t xml:space="preserve">7900×320×32；页109</t>
  </si>
  <si>
    <t xml:space="preserve">6950×320×32；页109</t>
  </si>
  <si>
    <t xml:space="preserve">7900×2500×32；页109</t>
  </si>
  <si>
    <t xml:space="preserve">7100×2500×32；页109</t>
  </si>
  <si>
    <t xml:space="preserve">t=32mm,A=12.96m2；页109；按净面积计</t>
  </si>
  <si>
    <t xml:space="preserve">t=32mm,A=11.13m2；页109；按净面积计</t>
  </si>
  <si>
    <t xml:space="preserve">t=44mm,A=24.17m2；页109；按净面积计</t>
  </si>
  <si>
    <t xml:space="preserve">7300×1880×44；页109</t>
  </si>
  <si>
    <t xml:space="preserve">1800×1200×16；页109</t>
  </si>
  <si>
    <t xml:space="preserve">7100×320×32；页109</t>
  </si>
  <si>
    <t xml:space="preserve">15000×170×14；页109</t>
  </si>
  <si>
    <t xml:space="preserve">10875×1200×40；页109</t>
  </si>
  <si>
    <t xml:space="preserve">11075×1200×40；页109</t>
  </si>
  <si>
    <t xml:space="preserve">7275×1760×40；页109</t>
  </si>
  <si>
    <t xml:space="preserve">7275×320×32；页109</t>
  </si>
  <si>
    <t xml:space="preserve">9475×320×32；页109</t>
  </si>
  <si>
    <t xml:space="preserve">9675×320×32；页109</t>
  </si>
  <si>
    <t xml:space="preserve">1200×1600×16；页109</t>
  </si>
  <si>
    <t xml:space="preserve">5429×1200×40；页109</t>
  </si>
  <si>
    <t xml:space="preserve">5629×1200×40；页109</t>
  </si>
  <si>
    <t xml:space="preserve">3629×1760×40；页109</t>
  </si>
  <si>
    <t xml:space="preserve">3629×320×32；页109</t>
  </si>
  <si>
    <t xml:space="preserve">4729×320×32；页109</t>
  </si>
  <si>
    <t xml:space="preserve">4929×320×32；页109</t>
  </si>
  <si>
    <t xml:space="preserve">5440×1200×40；页109</t>
  </si>
  <si>
    <t xml:space="preserve">N5 1α</t>
  </si>
  <si>
    <t xml:space="preserve">5640×1200×40；页109</t>
  </si>
  <si>
    <t xml:space="preserve">3640×1760×40；页109</t>
  </si>
  <si>
    <t xml:space="preserve">3640×320×32；页109</t>
  </si>
  <si>
    <t xml:space="preserve">4740× 320×32；页109</t>
  </si>
  <si>
    <t xml:space="preserve">4940×320×32；页109</t>
  </si>
  <si>
    <t xml:space="preserve">2100×320×32；页109</t>
  </si>
  <si>
    <t xml:space="preserve">2000×320×32；页109</t>
  </si>
  <si>
    <t xml:space="preserve">1960×606×14；页109</t>
  </si>
  <si>
    <t xml:space="preserve">1960×602×14；页109</t>
  </si>
  <si>
    <t xml:space="preserve">t=24mm,A=0.47m2；页109；按净面积计</t>
  </si>
  <si>
    <t xml:space="preserve">t=24mm,A=0.48m2；页109；按净面积计</t>
  </si>
  <si>
    <t xml:space="preserve">1800×606×14；页109</t>
  </si>
  <si>
    <t xml:space="preserve">中桁节段17(页114)</t>
  </si>
  <si>
    <t xml:space="preserve">t=40mm,A=15.28m2；页114；按净面积计</t>
  </si>
  <si>
    <t xml:space="preserve">t=40mm,A=13.73m2；页114；按净面积计</t>
  </si>
  <si>
    <t xml:space="preserve">7900×1200×40；页114</t>
  </si>
  <si>
    <t xml:space="preserve">7100×1200×40；页114</t>
  </si>
  <si>
    <t xml:space="preserve">t=44mm,A=26.09m2；页114；按净面积计</t>
  </si>
  <si>
    <t xml:space="preserve">7300×2048×48；页114</t>
  </si>
  <si>
    <t xml:space="preserve">1960×1200×16；页114</t>
  </si>
  <si>
    <t xml:space="preserve">2057×200×16；页114</t>
  </si>
  <si>
    <t xml:space="preserve">800×400×16；页114</t>
  </si>
  <si>
    <t xml:space="preserve">上弦加劲胎</t>
  </si>
  <si>
    <t xml:space="preserve">7900×320×32；页114</t>
  </si>
  <si>
    <t xml:space="preserve">7100×320×32；页114</t>
  </si>
  <si>
    <t xml:space="preserve">7901×2500×32；页114</t>
  </si>
  <si>
    <t xml:space="preserve">6950×2500×32；页114</t>
  </si>
  <si>
    <t xml:space="preserve">t=40mm,A=17.24m2；页114；按净面积计</t>
  </si>
  <si>
    <t xml:space="preserve">t=32mm,A=10.93m2；页114；按净面积计</t>
  </si>
  <si>
    <t xml:space="preserve">t=44mm,A=25.5m2；页114；按净面积计</t>
  </si>
  <si>
    <t xml:space="preserve">7150×1880×44；页114</t>
  </si>
  <si>
    <t xml:space="preserve">1800×1200×16；页114</t>
  </si>
  <si>
    <t xml:space="preserve">7901×320×32；页114</t>
  </si>
  <si>
    <t xml:space="preserve">6950×320×32；页114</t>
  </si>
  <si>
    <t xml:space="preserve">14851×170×14；页114</t>
  </si>
  <si>
    <t xml:space="preserve">10842×1200×40；页114</t>
  </si>
  <si>
    <t xml:space="preserve">11042×1200×40；页114</t>
  </si>
  <si>
    <t xml:space="preserve">7242×1760×40；页114</t>
  </si>
  <si>
    <t xml:space="preserve">7242×320×32；页114</t>
  </si>
  <si>
    <t xml:space="preserve">9442×320×32；页114</t>
  </si>
  <si>
    <t xml:space="preserve">9642×320×32；页114</t>
  </si>
  <si>
    <t xml:space="preserve">1200×1600×16；页114</t>
  </si>
  <si>
    <t xml:space="preserve">5426×1200×36；页114</t>
  </si>
  <si>
    <t xml:space="preserve">3626×1360×36；页114</t>
  </si>
  <si>
    <t xml:space="preserve">3626×320×32；页114</t>
  </si>
  <si>
    <t xml:space="preserve">4726×320×32；页114</t>
  </si>
  <si>
    <t xml:space="preserve">5026×320×32；页114</t>
  </si>
  <si>
    <t xml:space="preserve">1200×1200×16；页114</t>
  </si>
  <si>
    <t xml:space="preserve">5629×1200×40；页114</t>
  </si>
  <si>
    <t xml:space="preserve">5229×1200×40；页114</t>
  </si>
  <si>
    <t xml:space="preserve">3629×1760×40；页114</t>
  </si>
  <si>
    <t xml:space="preserve">3629×320×32；页114</t>
  </si>
  <si>
    <t xml:space="preserve">4229×320×32；页114</t>
  </si>
  <si>
    <t xml:space="preserve">3829×320×32；页114</t>
  </si>
  <si>
    <t xml:space="preserve">2100×320×32；页114</t>
  </si>
  <si>
    <t xml:space="preserve">2000×320×32；页114</t>
  </si>
  <si>
    <t xml:space="preserve">1960×606×14；页114</t>
  </si>
  <si>
    <t xml:space="preserve">1960×602×14；页114</t>
  </si>
  <si>
    <t xml:space="preserve">t=24mm,A=0.47m2；页114；按净面积计</t>
  </si>
  <si>
    <t xml:space="preserve">t=24mm,A=0.48m2；页114；按净面积计</t>
  </si>
  <si>
    <t xml:space="preserve">1800×606×14；页114</t>
  </si>
  <si>
    <t xml:space="preserve">1800×1200×32；页114</t>
  </si>
  <si>
    <t xml:space="preserve">1800×602×44；页114</t>
  </si>
  <si>
    <t xml:space="preserve">2800×2650×80；页114</t>
  </si>
  <si>
    <t xml:space="preserve">1000×568×32；页114</t>
  </si>
  <si>
    <t xml:space="preserve">1350×570×32；页114</t>
  </si>
  <si>
    <t xml:space="preserve">中桁节段18(页118)</t>
  </si>
  <si>
    <t xml:space="preserve">t=40mm,A=15.28m2；页118；按净面积计</t>
  </si>
  <si>
    <t xml:space="preserve">t=40mm,A=13.73m2；页118；按净面积计</t>
  </si>
  <si>
    <t xml:space="preserve">7900×1200×40；页118</t>
  </si>
  <si>
    <t xml:space="preserve">7100×1200×40；页118</t>
  </si>
  <si>
    <t xml:space="preserve">t=48mm,A=24.52m2；页118；按净面积计</t>
  </si>
  <si>
    <t xml:space="preserve">7300×2048×48；页118</t>
  </si>
  <si>
    <t xml:space="preserve">1960×1200×16；页118</t>
  </si>
  <si>
    <t xml:space="preserve">2057×200×16；页118</t>
  </si>
  <si>
    <t xml:space="preserve">800×400×16；页118</t>
  </si>
  <si>
    <t xml:space="preserve">7900×320×32；页118</t>
  </si>
  <si>
    <t xml:space="preserve">N16b </t>
  </si>
  <si>
    <t xml:space="preserve">7100×320×32；页118</t>
  </si>
  <si>
    <t xml:space="preserve">7900×2500×32；页118</t>
  </si>
  <si>
    <t xml:space="preserve">7100×2500×24；页118</t>
  </si>
  <si>
    <t xml:space="preserve">t=32mm,A=12.96m2；页118；按净面积计</t>
  </si>
  <si>
    <t xml:space="preserve">t=24mm,A=11.13m2；页118；按净面积计</t>
  </si>
  <si>
    <t xml:space="preserve">7300×1880×32；页118</t>
  </si>
  <si>
    <t xml:space="preserve">1800×1200×16；页118</t>
  </si>
  <si>
    <t xml:space="preserve">15000×170×14；页118</t>
  </si>
  <si>
    <t xml:space="preserve">10823×1200×36；页118</t>
  </si>
  <si>
    <t xml:space="preserve">11023×1200×36；页118</t>
  </si>
  <si>
    <t xml:space="preserve">7223×1360×36；页118</t>
  </si>
  <si>
    <t xml:space="preserve">7223×320×32；页118</t>
  </si>
  <si>
    <t xml:space="preserve">9423×320×32；页118</t>
  </si>
  <si>
    <t xml:space="preserve">9623×320×32；页118</t>
  </si>
  <si>
    <t xml:space="preserve">1200×1200×16；页118</t>
  </si>
  <si>
    <t xml:space="preserve">5629×1200×36；页118</t>
  </si>
  <si>
    <t xml:space="preserve">3629×1360×36；页118</t>
  </si>
  <si>
    <t xml:space="preserve">3629×320×32；页118</t>
  </si>
  <si>
    <t xml:space="preserve">4729×320×32；页118</t>
  </si>
  <si>
    <t xml:space="preserve">4929×320×32；页118</t>
  </si>
  <si>
    <t xml:space="preserve">5426×1200×36；页118</t>
  </si>
  <si>
    <t xml:space="preserve">5626×1200×36；页118</t>
  </si>
  <si>
    <t xml:space="preserve">3626×1360×36；页118</t>
  </si>
  <si>
    <t xml:space="preserve">3626×320×32；页118</t>
  </si>
  <si>
    <t xml:space="preserve">4726×320×32；页118</t>
  </si>
  <si>
    <t xml:space="preserve">4926×320×32；页118</t>
  </si>
  <si>
    <t xml:space="preserve">2300×320×32；页118</t>
  </si>
  <si>
    <t xml:space="preserve">2200×320×32；页118</t>
  </si>
  <si>
    <t xml:space="preserve">1960×602×14；页118</t>
  </si>
  <si>
    <t xml:space="preserve">t=24mm,A=0.47m2；页118；按净面积计</t>
  </si>
  <si>
    <t xml:space="preserve">t=24mm,A=0.48m2；页118；按净面积计</t>
  </si>
  <si>
    <t xml:space="preserve">1800×602×14；页118</t>
  </si>
  <si>
    <t xml:space="preserve">1800×618×14；页118</t>
  </si>
  <si>
    <t xml:space="preserve">中桁节段19(页122)</t>
  </si>
  <si>
    <t xml:space="preserve">t=20mm,A=15.28m2；页122；按净面积计</t>
  </si>
  <si>
    <t xml:space="preserve">t=24mm,A= 13.73m2；页122；按净面积计</t>
  </si>
  <si>
    <t xml:space="preserve">7900×1200×20；页122</t>
  </si>
  <si>
    <t xml:space="preserve">7100×1200×24；页122</t>
  </si>
  <si>
    <t xml:space="preserve">t=40mm,A=23.45m2；页122；按净面积计</t>
  </si>
  <si>
    <t xml:space="preserve">7300×2048×32；页122</t>
  </si>
  <si>
    <t xml:space="preserve">1980×1200×16；页122</t>
  </si>
  <si>
    <t xml:space="preserve">N150</t>
  </si>
  <si>
    <t xml:space="preserve">1976×1200×16；页122</t>
  </si>
  <si>
    <t xml:space="preserve">2057×200× 16；页122</t>
  </si>
  <si>
    <t xml:space="preserve">800×400×16；页122</t>
  </si>
  <si>
    <t xml:space="preserve">7900×240×20；页122</t>
  </si>
  <si>
    <t xml:space="preserve">7100×320×32；页122</t>
  </si>
  <si>
    <t xml:space="preserve">7900×2500×20；页122</t>
  </si>
  <si>
    <t xml:space="preserve">7100×2500×20；页122</t>
  </si>
  <si>
    <t xml:space="preserve">t=20mm,A=12.96m2；页122；按净面积计</t>
  </si>
  <si>
    <t xml:space="preserve">t=20mm,A=11.13m2；页122；按净面积计</t>
  </si>
  <si>
    <t xml:space="preserve">t=40mm,A=22.49m2；页122；按净面积计</t>
  </si>
  <si>
    <t xml:space="preserve">7300×1880×24；页122</t>
  </si>
  <si>
    <t xml:space="preserve">1800×1200×16；页122</t>
  </si>
  <si>
    <t xml:space="preserve">2057×200×16；页122</t>
  </si>
  <si>
    <t xml:space="preserve">7900×320×32；页122</t>
  </si>
  <si>
    <t xml:space="preserve">7100×240×20；页122</t>
  </si>
  <si>
    <t xml:space="preserve">15000×170× 14；页122</t>
  </si>
  <si>
    <t xml:space="preserve">10818×1200×36；页122</t>
  </si>
  <si>
    <t xml:space="preserve">11018×1200×36；页122</t>
  </si>
  <si>
    <t xml:space="preserve">7218×1360×36；页122</t>
  </si>
  <si>
    <t xml:space="preserve">7218×320×32；页122</t>
  </si>
  <si>
    <t xml:space="preserve">9418×320×32；页122</t>
  </si>
  <si>
    <t xml:space="preserve">9618×320×32；页122</t>
  </si>
  <si>
    <t xml:space="preserve">1200×1200×16；页122</t>
  </si>
  <si>
    <t xml:space="preserve">3640×900×36；页122</t>
  </si>
  <si>
    <t xml:space="preserve">5940×1200×32；页122</t>
  </si>
  <si>
    <t xml:space="preserve">5240×240× 24；页122</t>
  </si>
  <si>
    <t xml:space="preserve">5829×1200×36；页122</t>
  </si>
  <si>
    <t xml:space="preserve">5429×1200×36；页122</t>
  </si>
  <si>
    <t xml:space="preserve">3629×1360×36；页122</t>
  </si>
  <si>
    <t xml:space="preserve">3629×320×32；页122</t>
  </si>
  <si>
    <t xml:space="preserve">5129×320×32；页122</t>
  </si>
  <si>
    <t xml:space="preserve">4729×320× 32；页122</t>
  </si>
  <si>
    <t xml:space="preserve">2300×320×32；页122</t>
  </si>
  <si>
    <t xml:space="preserve">2200×320×32；页122</t>
  </si>
  <si>
    <t xml:space="preserve">1980×610×14；页122</t>
  </si>
  <si>
    <t xml:space="preserve">1976×618×14；页122</t>
  </si>
  <si>
    <t xml:space="preserve">t=24mm,A=0.47m2；页122；按净面积计</t>
  </si>
  <si>
    <t xml:space="preserve">t=24mm,A=0.48m2；页122；按净面积计</t>
  </si>
  <si>
    <t xml:space="preserve">1800×610×14；页122</t>
  </si>
  <si>
    <t xml:space="preserve">1800×626×14；页122</t>
  </si>
  <si>
    <t xml:space="preserve">中桁节段20(页126)</t>
  </si>
  <si>
    <t xml:space="preserve">t=20mm,A=15.28m2；页126；按净面积计</t>
  </si>
  <si>
    <t xml:space="preserve">t=20mm,A=13.73m2；页126；按净面积计</t>
  </si>
  <si>
    <t xml:space="preserve">7900×1200×20；页126</t>
  </si>
  <si>
    <t xml:space="preserve">7100×1200×20；页126</t>
  </si>
  <si>
    <t xml:space="preserve">t=40mm,A=22.3m2；页126；按净面积计</t>
  </si>
  <si>
    <t xml:space="preserve">7300×2048×20；页126</t>
  </si>
  <si>
    <t xml:space="preserve">1980×1200×16；页126</t>
  </si>
  <si>
    <t xml:space="preserve">2057×200×16；页126</t>
  </si>
  <si>
    <t xml:space="preserve">800×400×16；页126</t>
  </si>
  <si>
    <t xml:space="preserve">7900×240×20；页126</t>
  </si>
  <si>
    <t xml:space="preserve">7100×240×20；页126</t>
  </si>
  <si>
    <t xml:space="preserve">7900×2500×20；页126</t>
  </si>
  <si>
    <t xml:space="preserve">7100×2500×20；页126</t>
  </si>
  <si>
    <t xml:space="preserve">t=20mm,A=11.13m2；页126；按净面积计</t>
  </si>
  <si>
    <t xml:space="preserve">t=40mm,A=20.36m2；页126；按净面积计</t>
  </si>
  <si>
    <t xml:space="preserve">7300×1880×24；页126</t>
  </si>
  <si>
    <t xml:space="preserve">1800×1200×16；页126</t>
  </si>
  <si>
    <t xml:space="preserve">15000×170×14；页126</t>
  </si>
  <si>
    <t xml:space="preserve">7227×900×36；页126</t>
  </si>
  <si>
    <t xml:space="preserve">11727×1200×32；页126</t>
  </si>
  <si>
    <t xml:space="preserve">10327×240×24；页126</t>
  </si>
  <si>
    <t xml:space="preserve">3657×900×36；页126</t>
  </si>
  <si>
    <t xml:space="preserve">5957×1200×32；页126</t>
  </si>
  <si>
    <t xml:space="preserve">5257×240×24；页126</t>
  </si>
  <si>
    <t xml:space="preserve">3640×900×36；页126</t>
  </si>
  <si>
    <t xml:space="preserve">5940×1200×32；页126</t>
  </si>
  <si>
    <t xml:space="preserve">5240×240×24；页126</t>
  </si>
  <si>
    <t xml:space="preserve">1980×610×14；页126</t>
  </si>
  <si>
    <t xml:space="preserve">1980×630×14；页126</t>
  </si>
  <si>
    <t xml:space="preserve">t=24mm,A=0.47m2；页126；按净面积计</t>
  </si>
  <si>
    <t xml:space="preserve">t=24mm,A=0.48m2；页126；按净面积计</t>
  </si>
  <si>
    <t xml:space="preserve">1800×610×14；页126</t>
  </si>
  <si>
    <t xml:space="preserve">DE9N</t>
  </si>
  <si>
    <t xml:space="preserve">1800×626×14；页126</t>
  </si>
  <si>
    <t xml:space="preserve">中桁节段21(页130)</t>
  </si>
  <si>
    <t xml:space="preserve">t=20mm,A=15.28m2；页130；按净面积计</t>
  </si>
  <si>
    <t xml:space="preserve">t=20mm,A=16.43m2；页130；按净面积计</t>
  </si>
  <si>
    <t xml:space="preserve">7900×1200×20；页130</t>
  </si>
  <si>
    <t xml:space="preserve">8600×1200× 20；页130</t>
  </si>
  <si>
    <t xml:space="preserve">t=40mm,A=22.28m2；页130；按净面积计</t>
  </si>
  <si>
    <t xml:space="preserve">8800×2048× 20；页130</t>
  </si>
  <si>
    <t xml:space="preserve">1980×1200×16；页130</t>
  </si>
  <si>
    <t xml:space="preserve">2057×200×16；页130</t>
  </si>
  <si>
    <t xml:space="preserve">800×400×16；页130</t>
  </si>
  <si>
    <t xml:space="preserve">7900×240× 20；页130</t>
  </si>
  <si>
    <t xml:space="preserve">8600×240×20；页130</t>
  </si>
  <si>
    <t xml:space="preserve">7900×2500×20；页130</t>
  </si>
  <si>
    <t xml:space="preserve">10100×2500×20；页130</t>
  </si>
  <si>
    <t xml:space="preserve">t=20mm,A=12.96m2；页130；按净面积计</t>
  </si>
  <si>
    <t xml:space="preserve">t=20mm,A=15.21m2；页130；按净面积计</t>
  </si>
  <si>
    <t xml:space="preserve">t=40mm,A=20.31m2；页130；按净面积计</t>
  </si>
  <si>
    <t xml:space="preserve">10300×1880×24；页130</t>
  </si>
  <si>
    <t xml:space="preserve">1800×1200×16；页130</t>
  </si>
  <si>
    <t xml:space="preserve">7900×240×20；页130</t>
  </si>
  <si>
    <t xml:space="preserve">10100×240× 20；页130</t>
  </si>
  <si>
    <t xml:space="preserve">18000×170×14；页130</t>
  </si>
  <si>
    <t xml:space="preserve">8075×900×36；页130</t>
  </si>
  <si>
    <t xml:space="preserve">12575×1200×32；页130</t>
  </si>
  <si>
    <t xml:space="preserve">11175×240×24；页130</t>
  </si>
  <si>
    <t xml:space="preserve">4104×900×36；页130</t>
  </si>
  <si>
    <t xml:space="preserve">6404×1200×32；页130</t>
  </si>
  <si>
    <t xml:space="preserve">5704×240×24；页130</t>
  </si>
  <si>
    <t xml:space="preserve">3657×900×36；页130</t>
  </si>
  <si>
    <t xml:space="preserve">5857×1200×32；页130</t>
  </si>
  <si>
    <t xml:space="preserve">5157×240×24；页130</t>
  </si>
  <si>
    <t xml:space="preserve">1980×610×14；页130</t>
  </si>
  <si>
    <t xml:space="preserve">1980×630×14；页130</t>
  </si>
  <si>
    <t xml:space="preserve">t=24mm,A=0.47m2；页130；按净面积计</t>
  </si>
  <si>
    <t xml:space="preserve">t=24mm,A=0.48m2；页130；按净面积计</t>
  </si>
  <si>
    <t xml:space="preserve">1800×610×14；页130</t>
  </si>
  <si>
    <t xml:space="preserve">1800×626×14；页130</t>
  </si>
  <si>
    <t xml:space="preserve">中桁节段22(页136)</t>
  </si>
  <si>
    <t xml:space="preserve">t=20mm,A=46.82m2；页136；按净面积计</t>
  </si>
  <si>
    <t xml:space="preserve">下弦节点板加劲</t>
  </si>
  <si>
    <t xml:space="preserve">2800x320x32；页136</t>
  </si>
  <si>
    <t xml:space="preserve">23690x1200x20；页136</t>
  </si>
  <si>
    <t xml:space="preserve">2400x320x32；页136</t>
  </si>
  <si>
    <t xml:space="preserve">10300x1200x20；页136</t>
  </si>
  <si>
    <t xml:space="preserve">750x320x28；页136</t>
  </si>
  <si>
    <t xml:space="preserve">t=28mm,A=13.05m2；页136；按净面积计</t>
  </si>
  <si>
    <t xml:space="preserve">2300x320x32；页136</t>
  </si>
  <si>
    <t xml:space="preserve">N14a</t>
  </si>
  <si>
    <t xml:space="preserve">t=40mm,A=24.91m2；页136；按净面积计</t>
  </si>
  <si>
    <t xml:space="preserve">1980x1200x16；页136</t>
  </si>
  <si>
    <t xml:space="preserve">N66</t>
  </si>
  <si>
    <t xml:space="preserve">2057x200x16；页136</t>
  </si>
  <si>
    <t xml:space="preserve">N67</t>
  </si>
  <si>
    <t xml:space="preserve">4322×900×36；页136</t>
  </si>
  <si>
    <t xml:space="preserve">N68</t>
  </si>
  <si>
    <t xml:space="preserve">6522×1200×32；页136</t>
  </si>
  <si>
    <t xml:space="preserve">800×400×16；页136</t>
  </si>
  <si>
    <t xml:space="preserve">N69</t>
  </si>
  <si>
    <t xml:space="preserve">5822×240×24；页136</t>
  </si>
  <si>
    <t xml:space="preserve">5651x320x32；页136</t>
  </si>
  <si>
    <t xml:space="preserve">1980x610x16；页136</t>
  </si>
  <si>
    <t xml:space="preserve">10300x240x20；页136</t>
  </si>
  <si>
    <t xml:space="preserve">N71a</t>
  </si>
  <si>
    <t xml:space="preserve">1980x622x16；页136</t>
  </si>
  <si>
    <t xml:space="preserve">7700x320x32；页136</t>
  </si>
  <si>
    <t xml:space="preserve">N71b</t>
  </si>
  <si>
    <t xml:space="preserve">1980x626x16；页136</t>
  </si>
  <si>
    <t xml:space="preserve">P9LN</t>
  </si>
  <si>
    <t xml:space="preserve">23640x240x20；页136</t>
  </si>
  <si>
    <t xml:space="preserve">t=24mm,A=0.47m2；页136；按净面积计</t>
  </si>
  <si>
    <t xml:space="preserve">t=24mm,A=0.48m2；页136；按净面积计</t>
  </si>
  <si>
    <t xml:space="preserve">4809x2500x20；页136</t>
  </si>
  <si>
    <t xml:space="preserve">t=24mm,A=0.97m2；页136；按净面积计</t>
  </si>
  <si>
    <t xml:space="preserve">17804x2500x20；页136</t>
  </si>
  <si>
    <t xml:space="preserve">1800x626x16；页136</t>
  </si>
  <si>
    <t xml:space="preserve">t=36mm,A=9.36m2；页136；按净面积计</t>
  </si>
  <si>
    <t xml:space="preserve">N73a</t>
  </si>
  <si>
    <t xml:space="preserve">1800x610x16；页136</t>
  </si>
  <si>
    <t xml:space="preserve">t=20mm,A=28.36m2；页136；按净面积计</t>
  </si>
  <si>
    <t xml:space="preserve">N73b</t>
  </si>
  <si>
    <t xml:space="preserve">1800x610x28；页136</t>
  </si>
  <si>
    <t xml:space="preserve">10103x1880x24；页136</t>
  </si>
  <si>
    <t xml:space="preserve">1800x1200x32；页136</t>
  </si>
  <si>
    <t xml:space="preserve">t=40mm,A=17.54m2；页136；按净面积计</t>
  </si>
  <si>
    <t xml:space="preserve">502x240x20；页136</t>
  </si>
  <si>
    <t xml:space="preserve">N24a</t>
  </si>
  <si>
    <t xml:space="preserve">t=40mm,A=20.07m2；页136；按净面积计</t>
  </si>
  <si>
    <t xml:space="preserve">1800x1800x80；页136</t>
  </si>
  <si>
    <t xml:space="preserve">1800x1200x16；页136</t>
  </si>
  <si>
    <t xml:space="preserve">1000x568x32；页136</t>
  </si>
  <si>
    <t xml:space="preserve">1350x570x32；页136</t>
  </si>
  <si>
    <t xml:space="preserve">2792x320x32；页136</t>
  </si>
  <si>
    <t xml:space="preserve">10103x240×20；页136</t>
  </si>
  <si>
    <t xml:space="preserve">7700x240x20；页136</t>
  </si>
  <si>
    <t xml:space="preserve">P9N</t>
  </si>
  <si>
    <t xml:space="preserve">20592x240×20；页136</t>
  </si>
  <si>
    <t xml:space="preserve">20592x170x14；页136</t>
  </si>
  <si>
    <t xml:space="preserve">11768×1200×36；页136</t>
  </si>
  <si>
    <t xml:space="preserve">11968×1200×36；页136</t>
  </si>
  <si>
    <t xml:space="preserve">7568×1360×36；页136</t>
  </si>
  <si>
    <t xml:space="preserve">7568×320×32；页136</t>
  </si>
  <si>
    <t xml:space="preserve">10568×320×32；页136</t>
  </si>
  <si>
    <t xml:space="preserve">11917×1200×36；页136</t>
  </si>
  <si>
    <t xml:space="preserve">7717×1360×36；页136</t>
  </si>
  <si>
    <t xml:space="preserve">7717×320×32；页136</t>
  </si>
  <si>
    <t xml:space="preserve">11217×320×32；页136</t>
  </si>
  <si>
    <t xml:space="preserve">1200×1200×16；页136</t>
  </si>
  <si>
    <t xml:space="preserve">竖腹杆顶底板</t>
  </si>
  <si>
    <t xml:space="preserve">11022x1200x20；页136</t>
  </si>
  <si>
    <t xml:space="preserve">9422x1200×20；页136</t>
  </si>
  <si>
    <t xml:space="preserve">6737x1500x20；页136</t>
  </si>
  <si>
    <t xml:space="preserve">1400x1200x16；页136</t>
  </si>
  <si>
    <t xml:space="preserve">竖腹杆加劲肋</t>
  </si>
  <si>
    <t xml:space="preserve">6737x190x16；页136</t>
  </si>
  <si>
    <t xml:space="preserve">9622x190x16；页136</t>
  </si>
  <si>
    <t xml:space="preserve">N5.3b</t>
  </si>
  <si>
    <t xml:space="preserve">8022x190x16；页136</t>
  </si>
  <si>
    <t xml:space="preserve">边桁节段01(页141)</t>
  </si>
  <si>
    <t xml:space="preserve">t=20mm,A=20.5m2；页141；按净面积计</t>
  </si>
  <si>
    <t xml:space="preserve">3100x320x32；页141</t>
  </si>
  <si>
    <t xml:space="preserve">13350×1200×20；页141</t>
  </si>
  <si>
    <t xml:space="preserve">2900x320x32；页141</t>
  </si>
  <si>
    <t xml:space="preserve">10350x1648x20；页141</t>
  </si>
  <si>
    <t xml:space="preserve">750x320×28；页141</t>
  </si>
  <si>
    <t xml:space="preserve">t=28mm,A=10.77m2；页141；按净面积计</t>
  </si>
  <si>
    <t xml:space="preserve">2100x320x32；页141</t>
  </si>
  <si>
    <t xml:space="preserve">t=40mm,A=21.37m2；页141；按净面积计</t>
  </si>
  <si>
    <t xml:space="preserve">1580×1200x16；页141</t>
  </si>
  <si>
    <t xml:space="preserve">1580x610x16；页141</t>
  </si>
  <si>
    <t xml:space="preserve">1580x1200x16；页141</t>
  </si>
  <si>
    <t xml:space="preserve">1580x630x16；页141</t>
  </si>
  <si>
    <t xml:space="preserve">2057×200×16；页141</t>
  </si>
  <si>
    <t xml:space="preserve">1580x622x16；页141</t>
  </si>
  <si>
    <t xml:space="preserve">t=24mm,A=0.47m2；页141；按净面积计</t>
  </si>
  <si>
    <t xml:space="preserve">600×400×16；页141</t>
  </si>
  <si>
    <t xml:space="preserve">t=24mm,A=0.48m2；页141；按净面积计</t>
  </si>
  <si>
    <t xml:space="preserve">5651x240x20；页141</t>
  </si>
  <si>
    <t xml:space="preserve">N72α</t>
  </si>
  <si>
    <t xml:space="preserve">t=24mm,A=0.97m2；页141；按净面积计</t>
  </si>
  <si>
    <t xml:space="preserve">10351×240×20；页141</t>
  </si>
  <si>
    <t xml:space="preserve">1450x626x16；页141</t>
  </si>
  <si>
    <t xml:space="preserve">7650x240x20；页141</t>
  </si>
  <si>
    <t xml:space="preserve">1450x610x16；页141</t>
  </si>
  <si>
    <t xml:space="preserve">13300×240×20；页141</t>
  </si>
  <si>
    <t xml:space="preserve">1450x610x28；页141</t>
  </si>
  <si>
    <t xml:space="preserve">13300×240x20；页141</t>
  </si>
  <si>
    <t xml:space="preserve">支承加劲助</t>
  </si>
  <si>
    <t xml:space="preserve">1450x1200x32；页141</t>
  </si>
  <si>
    <t xml:space="preserve">4790x1850x20；页141</t>
  </si>
  <si>
    <t xml:space="preserve">502×240x20；页141</t>
  </si>
  <si>
    <t xml:space="preserve">10105x1850x20；页141</t>
  </si>
  <si>
    <t xml:space="preserve">1800x1800x100；页141</t>
  </si>
  <si>
    <t xml:space="preserve">t=36mm,A=9.36m2；页141；按净面积计</t>
  </si>
  <si>
    <t xml:space="preserve">1000x568x32；页141</t>
  </si>
  <si>
    <t xml:space="preserve">t=24mm,A=14.57m2；页141；按净面积计</t>
  </si>
  <si>
    <t xml:space="preserve">1350x570x32；页141</t>
  </si>
  <si>
    <t xml:space="preserve">10105x1530x24；页141</t>
  </si>
  <si>
    <t xml:space="preserve">N86</t>
  </si>
  <si>
    <t xml:space="preserve">2200x650x32；页141</t>
  </si>
  <si>
    <t xml:space="preserve">t=40mm,A=16.42m2；页141；按净面积计</t>
  </si>
  <si>
    <t xml:space="preserve">1450x1200x16；页141</t>
  </si>
  <si>
    <t xml:space="preserve">2057x200x16；页141</t>
  </si>
  <si>
    <t xml:space="preserve">2792x240×20；页141</t>
  </si>
  <si>
    <t xml:space="preserve">10105x240×20；页141</t>
  </si>
  <si>
    <t xml:space="preserve">12897×240×20；页141</t>
  </si>
  <si>
    <t xml:space="preserve">10105x240x20；页141</t>
  </si>
  <si>
    <t xml:space="preserve">2792x320x32；页141</t>
  </si>
  <si>
    <t xml:space="preserve">14338×1200×36；页141</t>
  </si>
  <si>
    <t xml:space="preserve">9838×1360×36；页141</t>
  </si>
  <si>
    <t xml:space="preserve">9838×320×32；页141</t>
  </si>
  <si>
    <t xml:space="preserve">12638×320×32；页141</t>
  </si>
  <si>
    <t xml:space="preserve">N34 </t>
  </si>
  <si>
    <t xml:space="preserve">1200×1200×16；页141</t>
  </si>
  <si>
    <t xml:space="preserve">6725×1200×36；页141</t>
  </si>
  <si>
    <t xml:space="preserve">6925×1200×36；页141</t>
  </si>
  <si>
    <t xml:space="preserve">6225×320×32；页141</t>
  </si>
  <si>
    <t xml:space="preserve">整腹杆顶底板</t>
  </si>
  <si>
    <t xml:space="preserve">13718x1200×20；页141</t>
  </si>
  <si>
    <t xml:space="preserve">11818x1200x20；页141</t>
  </si>
  <si>
    <t xml:space="preserve">9133x1500x20；页141</t>
  </si>
  <si>
    <t xml:space="preserve">1400x1200x16；页141</t>
  </si>
  <si>
    <t xml:space="preserve">竖腹杆加劲助</t>
  </si>
  <si>
    <t xml:space="preserve">9133x190×16；页141</t>
  </si>
  <si>
    <t xml:space="preserve">12318x190x16；页141</t>
  </si>
  <si>
    <t xml:space="preserve">10418x190x16；页141</t>
  </si>
  <si>
    <t xml:space="preserve">边桁节段02(页145)</t>
  </si>
  <si>
    <t xml:space="preserve">t=20mm,A=11.85m2；页145；按净面积计</t>
  </si>
  <si>
    <t xml:space="preserve">t=20mm,A=12.8m2；页145；按净面积计</t>
  </si>
  <si>
    <t xml:space="preserve">7902×1200×20；页145</t>
  </si>
  <si>
    <t xml:space="preserve">10150×1200×20；页145</t>
  </si>
  <si>
    <t xml:space="preserve">t=40mm,A=19.24m2；页145；按净面积计</t>
  </si>
  <si>
    <t xml:space="preserve">10350×1648×20；页145</t>
  </si>
  <si>
    <t xml:space="preserve">1580×1200×16；页145</t>
  </si>
  <si>
    <t xml:space="preserve">2057×200×16；页145</t>
  </si>
  <si>
    <t xml:space="preserve">600×400×16；页145</t>
  </si>
  <si>
    <t xml:space="preserve">7902×240×20；页145</t>
  </si>
  <si>
    <t xml:space="preserve">10150×240×20；页145</t>
  </si>
  <si>
    <t xml:space="preserve">7902×1850× 20；页145</t>
  </si>
  <si>
    <t xml:space="preserve">10105×1850×20；页145</t>
  </si>
  <si>
    <t xml:space="preserve">t=20mm,A=12.53m2；页145；按净面积计</t>
  </si>
  <si>
    <t xml:space="preserve">t=20mm,A=13.79m2；页145；按净面积计</t>
  </si>
  <si>
    <t xml:space="preserve">t=40mm,A=19.59m2；页145；按净面积计</t>
  </si>
  <si>
    <t xml:space="preserve">10305×1470×24；页145</t>
  </si>
  <si>
    <t xml:space="preserve">1450×1200×16；页145</t>
  </si>
  <si>
    <t xml:space="preserve">1657×200×16；页145</t>
  </si>
  <si>
    <t xml:space="preserve">10105×240×20；页145</t>
  </si>
  <si>
    <t xml:space="preserve">18007×170×14；页145</t>
  </si>
  <si>
    <t xml:space="preserve">10047×900×36；页145</t>
  </si>
  <si>
    <t xml:space="preserve">14947×1200×32；页145</t>
  </si>
  <si>
    <t xml:space="preserve">13547×240×24；页145</t>
  </si>
  <si>
    <t xml:space="preserve">4796×900×36；页145</t>
  </si>
  <si>
    <t xml:space="preserve">7096×1200×32；页145</t>
  </si>
  <si>
    <t xml:space="preserve">6396×240×24；页145</t>
  </si>
  <si>
    <t xml:space="preserve">7925×1200×36；页145</t>
  </si>
  <si>
    <t xml:space="preserve">7125×1200×36；页145</t>
  </si>
  <si>
    <t xml:space="preserve">4925×1360×36；页145</t>
  </si>
  <si>
    <t xml:space="preserve">4925×320×32；页145</t>
  </si>
  <si>
    <t xml:space="preserve">7225×320×32；页145</t>
  </si>
  <si>
    <t xml:space="preserve">6425×320×32；页145</t>
  </si>
  <si>
    <t xml:space="preserve">1200×1200×16；页145</t>
  </si>
  <si>
    <t xml:space="preserve">991×1200×20；页145</t>
  </si>
  <si>
    <t xml:space="preserve">2600×320×32；页145</t>
  </si>
  <si>
    <t xml:space="preserve">1580×610×14；页145</t>
  </si>
  <si>
    <t xml:space="preserve">1580×630×14；页145</t>
  </si>
  <si>
    <t xml:space="preserve">t=24mm,A=0.47m2；页145；按净面积计</t>
  </si>
  <si>
    <t xml:space="preserve">t=24mm,A=0.48m2；页145；按净面积计</t>
  </si>
  <si>
    <t xml:space="preserve">1450×610×14；页145</t>
  </si>
  <si>
    <t xml:space="preserve">1450×626×14；页145</t>
  </si>
  <si>
    <t xml:space="preserve">边桁节段03(页149)</t>
  </si>
  <si>
    <t xml:space="preserve">t=20mm,A=11.85m2；页149；按净面积计</t>
  </si>
  <si>
    <t xml:space="preserve">t=20mm,A=10.39m2；页149；按净面积计</t>
  </si>
  <si>
    <t xml:space="preserve">7902×1200×20；页149</t>
  </si>
  <si>
    <t xml:space="preserve">8600×1200×20；页149</t>
  </si>
  <si>
    <t xml:space="preserve">t=40mm,A=19.34m2；页149；按净面积计</t>
  </si>
  <si>
    <t xml:space="preserve">8800×1648×20；页149</t>
  </si>
  <si>
    <t xml:space="preserve">1580×1200×16；页149</t>
  </si>
  <si>
    <t xml:space="preserve">2057×200×16；页149</t>
  </si>
  <si>
    <t xml:space="preserve">600×400×16；页149</t>
  </si>
  <si>
    <t xml:space="preserve">7902×240×20；页149</t>
  </si>
  <si>
    <t xml:space="preserve">8600×240×20；页149</t>
  </si>
  <si>
    <t xml:space="preserve">7904×1850×20；页149</t>
  </si>
  <si>
    <t xml:space="preserve">7102×1850×20；页149</t>
  </si>
  <si>
    <t xml:space="preserve">t=20mm,A=12.53m2；页149；按净面积计</t>
  </si>
  <si>
    <t xml:space="preserve">t=20mm,A=9.71m2；页149；按净面积计</t>
  </si>
  <si>
    <t xml:space="preserve">t=40mm,A= 18.4m2；页149；按净面积计</t>
  </si>
  <si>
    <t xml:space="preserve">7302×1470× 24；页149</t>
  </si>
  <si>
    <t xml:space="preserve">1450×1200×16；页149</t>
  </si>
  <si>
    <t xml:space="preserve">1657×200×16；页149</t>
  </si>
  <si>
    <t xml:space="preserve">7904×240× 20；页149</t>
  </si>
  <si>
    <t xml:space="preserve">7102×240×20；页149</t>
  </si>
  <si>
    <t xml:space="preserve">15006×170×14；页149</t>
  </si>
  <si>
    <t xml:space="preserve">9010×900×36；页149</t>
  </si>
  <si>
    <t xml:space="preserve">14010×1200×32；页149</t>
  </si>
  <si>
    <t xml:space="preserve">12610×240×24；页149</t>
  </si>
  <si>
    <t xml:space="preserve">4322×900×36；页149</t>
  </si>
  <si>
    <t xml:space="preserve">6722×1200×32；页149</t>
  </si>
  <si>
    <t xml:space="preserve">6022×240×24；页149</t>
  </si>
  <si>
    <t xml:space="preserve">4796×900×36；页149</t>
  </si>
  <si>
    <t xml:space="preserve">7396×1200×32；页149</t>
  </si>
  <si>
    <t xml:space="preserve">6696×240×24；页149</t>
  </si>
  <si>
    <t xml:space="preserve">1170×1200×20；页149</t>
  </si>
  <si>
    <t xml:space="preserve">1132×1200×20；页149</t>
  </si>
  <si>
    <t xml:space="preserve">1580×610×14；页149</t>
  </si>
  <si>
    <t xml:space="preserve">1580×630×14；页149</t>
  </si>
  <si>
    <t xml:space="preserve">t=24mm,A=0.47m2；页149；按净面积计</t>
  </si>
  <si>
    <t xml:space="preserve">t=24mm,A=0.48m2；页149；按净面积计</t>
  </si>
  <si>
    <t xml:space="preserve">1450×610×14；页149</t>
  </si>
  <si>
    <t xml:space="preserve">1450×626×14；页149</t>
  </si>
  <si>
    <t xml:space="preserve">边桁节段04(页153)</t>
  </si>
  <si>
    <t xml:space="preserve">t=20mm,A=11.85m2；页153；按净面积计</t>
  </si>
  <si>
    <t xml:space="preserve">t=20mm,A=10.39m2；页153；按净面积计</t>
  </si>
  <si>
    <t xml:space="preserve">7901×1200×20；页153</t>
  </si>
  <si>
    <t xml:space="preserve">7101×1200×20；页153</t>
  </si>
  <si>
    <t xml:space="preserve">t=40mm,A=20.42m2；页153；按净面积计</t>
  </si>
  <si>
    <t xml:space="preserve">7301×1648×20；页153</t>
  </si>
  <si>
    <t xml:space="preserve">1580×1200×16；页153</t>
  </si>
  <si>
    <t xml:space="preserve">1568×1200×16；页153</t>
  </si>
  <si>
    <t xml:space="preserve">2057×200×16；页153</t>
  </si>
  <si>
    <t xml:space="preserve">600×400×16；页153</t>
  </si>
  <si>
    <t xml:space="preserve">7901×240×20；页153</t>
  </si>
  <si>
    <t xml:space="preserve">7101×240×20；页153</t>
  </si>
  <si>
    <t xml:space="preserve">7903×1850×20；页153</t>
  </si>
  <si>
    <t xml:space="preserve">7102×1850×20；页153</t>
  </si>
  <si>
    <t xml:space="preserve">t=20mm,A=12.53m2；页153；按净面积计</t>
  </si>
  <si>
    <t xml:space="preserve">t=20mm,A=9.71m2；页153；按净面积计</t>
  </si>
  <si>
    <t xml:space="preserve">t=40mm,A=18.42m2；页153；按净面积计</t>
  </si>
  <si>
    <t xml:space="preserve">7302×1470× 24；页153</t>
  </si>
  <si>
    <t xml:space="preserve">1450×1200×16；页153</t>
  </si>
  <si>
    <t xml:space="preserve">1657×200×16；页153</t>
  </si>
  <si>
    <t xml:space="preserve">7903×240×20；页153</t>
  </si>
  <si>
    <t xml:space="preserve">7102×240×20；页153</t>
  </si>
  <si>
    <t xml:space="preserve">15005×170×14；页153</t>
  </si>
  <si>
    <t xml:space="preserve">8788×900×36；页153</t>
  </si>
  <si>
    <t xml:space="preserve">13688×1200×32；页153</t>
  </si>
  <si>
    <t xml:space="preserve">12288×240×24；页153</t>
  </si>
  <si>
    <t xml:space="preserve">6225×1200×36；页153</t>
  </si>
  <si>
    <t xml:space="preserve">4225×1360×36；页153</t>
  </si>
  <si>
    <t xml:space="preserve">4225×320×32；页153</t>
  </si>
  <si>
    <t xml:space="preserve">5525×320×32；页153</t>
  </si>
  <si>
    <t xml:space="preserve">1200×1200×16；页153</t>
  </si>
  <si>
    <t xml:space="preserve">4322×900×36；页153</t>
  </si>
  <si>
    <t xml:space="preserve">6922×1200×32；页153</t>
  </si>
  <si>
    <t xml:space="preserve">5522×240×24；页153</t>
  </si>
  <si>
    <t xml:space="preserve">2300×320×32；页153</t>
  </si>
  <si>
    <t xml:space="preserve">1580×610×14；页153</t>
  </si>
  <si>
    <t xml:space="preserve">1580×630×14；页153</t>
  </si>
  <si>
    <t xml:space="preserve">t=24mm,A=0.47m2；页153；按净面积计</t>
  </si>
  <si>
    <t xml:space="preserve">1450×610×14；页153</t>
  </si>
  <si>
    <t xml:space="preserve">1450×626×14；页153</t>
  </si>
  <si>
    <t xml:space="preserve">边桁节段05(页157)</t>
  </si>
  <si>
    <t xml:space="preserve">t=40mm,A=11.85m2；页157；按净面积计</t>
  </si>
  <si>
    <t xml:space="preserve">t=24mm,A=10.39m2；页157；按净面积计</t>
  </si>
  <si>
    <t xml:space="preserve">7901×1200× 40；页157</t>
  </si>
  <si>
    <t xml:space="preserve">7101×1200×24；页157</t>
  </si>
  <si>
    <t xml:space="preserve">t=48mm,A=21.28m2；页157；按净面积计</t>
  </si>
  <si>
    <t xml:space="preserve">7301×1644×32；页157</t>
  </si>
  <si>
    <t xml:space="preserve">1560×1200×16；页157</t>
  </si>
  <si>
    <t xml:space="preserve">1576×1200×16；页157</t>
  </si>
  <si>
    <t xml:space="preserve">N15 ^</t>
  </si>
  <si>
    <t xml:space="preserve">2057×200× 16；页157</t>
  </si>
  <si>
    <t xml:space="preserve">600×400×16；页157</t>
  </si>
  <si>
    <t xml:space="preserve">7901×320×32；页157</t>
  </si>
  <si>
    <t xml:space="preserve">7101×240× 24；页157</t>
  </si>
  <si>
    <t xml:space="preserve">7903×1850×20；页157</t>
  </si>
  <si>
    <t xml:space="preserve">7102×1850×24；页157</t>
  </si>
  <si>
    <t xml:space="preserve">t=20mm,A=12.53m2；页157；按净面积计</t>
  </si>
  <si>
    <t xml:space="preserve">t=24mm,A=9.71m2；页157；按净面积计</t>
  </si>
  <si>
    <t xml:space="preserve">t=40mm,A=20.72m2；页157；按净面积计</t>
  </si>
  <si>
    <t xml:space="preserve">7302×1474×32；页157</t>
  </si>
  <si>
    <t xml:space="preserve">1450×1200×16；页157</t>
  </si>
  <si>
    <t xml:space="preserve">1657×200×16；页157</t>
  </si>
  <si>
    <t xml:space="preserve">7903×240×20；页157</t>
  </si>
  <si>
    <t xml:space="preserve">7102×320×32；页157</t>
  </si>
  <si>
    <t xml:space="preserve">15005×170×14；页157</t>
  </si>
  <si>
    <t xml:space="preserve">12781×1200×36；页157</t>
  </si>
  <si>
    <t xml:space="preserve">8581×1360×36；页157</t>
  </si>
  <si>
    <t xml:space="preserve">8581×320×32；页157</t>
  </si>
  <si>
    <t xml:space="preserve">N330</t>
  </si>
  <si>
    <t xml:space="preserve">11381×320×32；页157</t>
  </si>
  <si>
    <t xml:space="preserve">1200×1200×16；页157</t>
  </si>
  <si>
    <t xml:space="preserve">6135×1200×36；页157</t>
  </si>
  <si>
    <t xml:space="preserve">4135×1360×36；页157</t>
  </si>
  <si>
    <t xml:space="preserve">4135×320×32；页157</t>
  </si>
  <si>
    <t xml:space="preserve">5435×320×32；页157</t>
  </si>
  <si>
    <t xml:space="preserve">6425×1200×36；页157</t>
  </si>
  <si>
    <t xml:space="preserve">4225×1360×36；页157</t>
  </si>
  <si>
    <t xml:space="preserve">4225×320×32；页157</t>
  </si>
  <si>
    <t xml:space="preserve">5725×320×32；页157</t>
  </si>
  <si>
    <t xml:space="preserve">5725×320× 32；页157</t>
  </si>
  <si>
    <t xml:space="preserve">2300×320×32；页157</t>
  </si>
  <si>
    <t xml:space="preserve">2600×320×32；页157</t>
  </si>
  <si>
    <t xml:space="preserve">1560×602×14；页157</t>
  </si>
  <si>
    <t xml:space="preserve">N61o</t>
  </si>
  <si>
    <t xml:space="preserve">1576×618×14；页157</t>
  </si>
  <si>
    <t xml:space="preserve">t=24mm,A=0.46m2；页157；按净面积计</t>
  </si>
  <si>
    <t xml:space="preserve">1450×610×14；页157</t>
  </si>
  <si>
    <t xml:space="preserve">1450×618×14；页157</t>
  </si>
  <si>
    <t xml:space="preserve">边桁节段06(页161)</t>
  </si>
  <si>
    <t xml:space="preserve">t=40mm,A=11.85m2；页161；按净面积计</t>
  </si>
  <si>
    <t xml:space="preserve">t=40mm,A=10.39m2；页161；按净面积计</t>
  </si>
  <si>
    <t xml:space="preserve">7901×1200×40；页161</t>
  </si>
  <si>
    <t xml:space="preserve">7101×1200×40；页161</t>
  </si>
  <si>
    <t xml:space="preserve">t=48mm,A=22.14m2；页161；按净面积计</t>
  </si>
  <si>
    <t xml:space="preserve">7301×1628×48；页161</t>
  </si>
  <si>
    <t xml:space="preserve">1560×1200×16；页161</t>
  </si>
  <si>
    <t xml:space="preserve">2057×200×16；页161</t>
  </si>
  <si>
    <t xml:space="preserve">600×400×16；页161</t>
  </si>
  <si>
    <t xml:space="preserve">7901×320×32；页161</t>
  </si>
  <si>
    <t xml:space="preserve">7101×320×32；页161</t>
  </si>
  <si>
    <t xml:space="preserve">7903×1850×32；页161</t>
  </si>
  <si>
    <t xml:space="preserve">7102×1850×32；页161</t>
  </si>
  <si>
    <t xml:space="preserve">t=32mm,A=12.53m2；页161；按净面积计</t>
  </si>
  <si>
    <t xml:space="preserve">t=32mm,A=9.71m2；页161；按净面积计</t>
  </si>
  <si>
    <t xml:space="preserve">t=48mm,A=20.72m2；页161；按净面积计</t>
  </si>
  <si>
    <t xml:space="preserve">7302×1482×44；页161</t>
  </si>
  <si>
    <t xml:space="preserve">1450×1200×16；页161</t>
  </si>
  <si>
    <t xml:space="preserve">1657×200×16；页161</t>
  </si>
  <si>
    <t xml:space="preserve">7903×320×32；页161</t>
  </si>
  <si>
    <t xml:space="preserve">7102×320×32；页161</t>
  </si>
  <si>
    <t xml:space="preserve">15005×170×14；页161</t>
  </si>
  <si>
    <t xml:space="preserve">12589×1200×36；页161</t>
  </si>
  <si>
    <t xml:space="preserve">8389×1360×36；页161</t>
  </si>
  <si>
    <t xml:space="preserve">8389×320×32；页161</t>
  </si>
  <si>
    <t xml:space="preserve">11189×320×32；页161</t>
  </si>
  <si>
    <t xml:space="preserve">1200×1200×16；页161</t>
  </si>
  <si>
    <t xml:space="preserve">5853×1200×40；页161</t>
  </si>
  <si>
    <t xml:space="preserve">6053×1200×40；页161</t>
  </si>
  <si>
    <t xml:space="preserve">4053×1760×40；页161</t>
  </si>
  <si>
    <t xml:space="preserve">4053×320×32；页161</t>
  </si>
  <si>
    <t xml:space="preserve">5153×320×32；页161</t>
  </si>
  <si>
    <t xml:space="preserve">5353×320×32；页161</t>
  </si>
  <si>
    <t xml:space="preserve">1200×1600×16；页161</t>
  </si>
  <si>
    <t xml:space="preserve">6335×1200×40；页161</t>
  </si>
  <si>
    <t xml:space="preserve">4135×1360×40；页161</t>
  </si>
  <si>
    <t xml:space="preserve">4135×320×32；页161</t>
  </si>
  <si>
    <t xml:space="preserve">5635×320×32；页161</t>
  </si>
  <si>
    <t xml:space="preserve">2100×320×32；页161</t>
  </si>
  <si>
    <t xml:space="preserve">2200×320×32；页161</t>
  </si>
  <si>
    <t xml:space="preserve">1560×602×14；页161</t>
  </si>
  <si>
    <t xml:space="preserve">t=24mm,A=0.46m2；页161；按净面积计</t>
  </si>
  <si>
    <t xml:space="preserve">1350×602×14；页161</t>
  </si>
  <si>
    <t xml:space="preserve">1350×606×14；页161</t>
  </si>
  <si>
    <t xml:space="preserve">边桁节段07(页166)</t>
  </si>
  <si>
    <t xml:space="preserve">t=40mm,A=11.85m2；页166；按净面积计</t>
  </si>
  <si>
    <t xml:space="preserve">t=40mm,A=10.4m2；页166；按净面积计</t>
  </si>
  <si>
    <t xml:space="preserve">7900×1200×40；页166</t>
  </si>
  <si>
    <t xml:space="preserve">7100×1200×40；页166</t>
  </si>
  <si>
    <t xml:space="preserve">t=44mm,A=22.94m2；页166；按净面积计</t>
  </si>
  <si>
    <t xml:space="preserve">7300×1628×48；页166</t>
  </si>
  <si>
    <t xml:space="preserve">1560×1200×16；页166</t>
  </si>
  <si>
    <t xml:space="preserve">DCIN</t>
  </si>
  <si>
    <t xml:space="preserve">2057×200×16；页166</t>
  </si>
  <si>
    <t xml:space="preserve">600×400×16；页166</t>
  </si>
  <si>
    <t xml:space="preserve">7900×320×32；页166</t>
  </si>
  <si>
    <t xml:space="preserve">7100×320×32；页166</t>
  </si>
  <si>
    <t xml:space="preserve">7901×1850×32；页166</t>
  </si>
  <si>
    <t xml:space="preserve">7101×1850×32；页166</t>
  </si>
  <si>
    <t xml:space="preserve">t=40mm,A=15.8m2；页166；按净面积计</t>
  </si>
  <si>
    <t xml:space="preserve">t=32mm,A=10.4m2；页166；按净面积计</t>
  </si>
  <si>
    <t xml:space="preserve">t=44mm,A=22.56m2；页166；按净面积计</t>
  </si>
  <si>
    <t xml:space="preserve">7301×1482× 44；页166</t>
  </si>
  <si>
    <t xml:space="preserve">1450×1200×16；页166</t>
  </si>
  <si>
    <t xml:space="preserve">1657×200×16；页166</t>
  </si>
  <si>
    <t xml:space="preserve">7901×320×32；页166</t>
  </si>
  <si>
    <t xml:space="preserve">7101×320×32；页166</t>
  </si>
  <si>
    <t xml:space="preserve">15002×170×14；页166</t>
  </si>
  <si>
    <t xml:space="preserve">11812×1200×40；页166</t>
  </si>
  <si>
    <t xml:space="preserve">12212×1200×40；页166</t>
  </si>
  <si>
    <t xml:space="preserve">8212×1760× 40；页166</t>
  </si>
  <si>
    <t xml:space="preserve">8212×320×32；页166</t>
  </si>
  <si>
    <t xml:space="preserve">10412×320×32；页166</t>
  </si>
  <si>
    <t xml:space="preserve">10812×320×32；页166</t>
  </si>
  <si>
    <t xml:space="preserve">1200×1600×16；页166</t>
  </si>
  <si>
    <t xml:space="preserve">5769×1200× 40；页166</t>
  </si>
  <si>
    <t xml:space="preserve">5969×1200× 40；页166</t>
  </si>
  <si>
    <t xml:space="preserve">3969×1760×40；页166</t>
  </si>
  <si>
    <t xml:space="preserve">3969×320×32；页166</t>
  </si>
  <si>
    <t xml:space="preserve">5069×320×32；页166</t>
  </si>
  <si>
    <t xml:space="preserve">5269×320×32；页166</t>
  </si>
  <si>
    <t xml:space="preserve">6053×1200× 40；页166</t>
  </si>
  <si>
    <t xml:space="preserve">4053×1760× 40；页166</t>
  </si>
  <si>
    <t xml:space="preserve">4053×320×32；页166</t>
  </si>
  <si>
    <t xml:space="preserve">5153×320×32；页166</t>
  </si>
  <si>
    <t xml:space="preserve">5353×320×32；页166</t>
  </si>
  <si>
    <t xml:space="preserve">2100×320×32；页166</t>
  </si>
  <si>
    <t xml:space="preserve">2000×320×32；页166</t>
  </si>
  <si>
    <t xml:space="preserve">1560×606×14；页166</t>
  </si>
  <si>
    <t xml:space="preserve">1560×602×14；页166</t>
  </si>
  <si>
    <t xml:space="preserve">t=24mm,A=0.47m2；页166；按净面积计</t>
  </si>
  <si>
    <t xml:space="preserve">t=24mm,A=0.48m2；页166；按净面积计</t>
  </si>
  <si>
    <t xml:space="preserve">1450×606×14；页166</t>
  </si>
  <si>
    <t xml:space="preserve">1450×1200×32；页166</t>
  </si>
  <si>
    <t xml:space="preserve">1450×602×60；页166</t>
  </si>
  <si>
    <t xml:space="preserve">2800×2650×100；页166</t>
  </si>
  <si>
    <t xml:space="preserve">1000×568×32；页166</t>
  </si>
  <si>
    <t xml:space="preserve">1350×570×32；页166</t>
  </si>
  <si>
    <t xml:space="preserve">2960×650×32；页166</t>
  </si>
  <si>
    <t xml:space="preserve">边桁节段08(页170)</t>
  </si>
  <si>
    <t xml:space="preserve">t=40mm,A=11.85m2；页170；按净面积计</t>
  </si>
  <si>
    <t xml:space="preserve">t=40mm,A=10.39m2；页170；按净面积计</t>
  </si>
  <si>
    <t xml:space="preserve">7900×1200×40；页170</t>
  </si>
  <si>
    <t xml:space="preserve">7100×1200×40；页170</t>
  </si>
  <si>
    <t xml:space="preserve">t=44mm,A=22.19m2；页170；按净面积计</t>
  </si>
  <si>
    <t xml:space="preserve">7300×1628×48；页170</t>
  </si>
  <si>
    <t xml:space="preserve">1560×1200×16；页170</t>
  </si>
  <si>
    <t xml:space="preserve">1657×1200×16；页170</t>
  </si>
  <si>
    <t xml:space="preserve">2057×200×16；页170</t>
  </si>
  <si>
    <t xml:space="preserve">600×400×16；页170</t>
  </si>
  <si>
    <t xml:space="preserve">7900×320×32；页170</t>
  </si>
  <si>
    <t xml:space="preserve">7100×320×32；页170</t>
  </si>
  <si>
    <t xml:space="preserve">7901×1850×32；页170</t>
  </si>
  <si>
    <t xml:space="preserve">7101×1850×24；页170</t>
  </si>
  <si>
    <t xml:space="preserve">t=32mm,A=12.53m2；页170；按净面积计</t>
  </si>
  <si>
    <t xml:space="preserve">t=24mm,A=9.71m2；页170；按净面积计</t>
  </si>
  <si>
    <t xml:space="preserve">t=44mm,A=22.54m2；页170；按净面积计</t>
  </si>
  <si>
    <t xml:space="preserve">7301×1474×32；页170</t>
  </si>
  <si>
    <t xml:space="preserve">1450×1200×16；页170</t>
  </si>
  <si>
    <t xml:space="preserve">1657×200×16；页170</t>
  </si>
  <si>
    <t xml:space="preserve">7901×320×32；页170</t>
  </si>
  <si>
    <t xml:space="preserve">7101×320×32；页170</t>
  </si>
  <si>
    <t xml:space="preserve">15002×170×14；页170</t>
  </si>
  <si>
    <t xml:space="preserve">11850×1200×40；页170</t>
  </si>
  <si>
    <t xml:space="preserve">12250×1200×40；页170</t>
  </si>
  <si>
    <t xml:space="preserve">8050×1760×40；页170</t>
  </si>
  <si>
    <t xml:space="preserve">8050×320×32；页170</t>
  </si>
  <si>
    <t xml:space="preserve">10450×320×32；页170</t>
  </si>
  <si>
    <t xml:space="preserve">10850×320×32；页170</t>
  </si>
  <si>
    <t xml:space="preserve">1200×1600×16；页170</t>
  </si>
  <si>
    <t xml:space="preserve">5711×1200×36；页170</t>
  </si>
  <si>
    <t xml:space="preserve">6011×1200×36；页170</t>
  </si>
  <si>
    <t xml:space="preserve">3911×1360×36；页170</t>
  </si>
  <si>
    <t xml:space="preserve">3911×320×32；页170</t>
  </si>
  <si>
    <t xml:space="preserve">5011×320×32；页170</t>
  </si>
  <si>
    <t xml:space="preserve">5311×320×32；页170</t>
  </si>
  <si>
    <t xml:space="preserve">1200×1200×16；页170</t>
  </si>
  <si>
    <t xml:space="preserve"> N51</t>
  </si>
  <si>
    <t xml:space="preserve">5979×1200×36；页170</t>
  </si>
  <si>
    <t xml:space="preserve">6079×1200×36；页170</t>
  </si>
  <si>
    <t xml:space="preserve">3979×1760×36；页170</t>
  </si>
  <si>
    <t xml:space="preserve">3979×320×32；页170</t>
  </si>
  <si>
    <t xml:space="preserve">5279×320×32；页170</t>
  </si>
  <si>
    <t xml:space="preserve">5379×320×32；页170</t>
  </si>
  <si>
    <t xml:space="preserve">2100×320×32；页170</t>
  </si>
  <si>
    <t xml:space="preserve">2400×320×32；页170</t>
  </si>
  <si>
    <t xml:space="preserve">1560×606×14；页170</t>
  </si>
  <si>
    <t xml:space="preserve">1560×602×14；页170</t>
  </si>
  <si>
    <t xml:space="preserve">t=24mm,A=0.46m2；页170；按净面积计</t>
  </si>
  <si>
    <t xml:space="preserve">t=24mm,A=0.47m2；页170；按净面积计</t>
  </si>
  <si>
    <t xml:space="preserve">1450×606×14；页170</t>
  </si>
  <si>
    <t xml:space="preserve">1450×618×14；页170</t>
  </si>
  <si>
    <t xml:space="preserve">边桁节段09(页174)</t>
  </si>
  <si>
    <t xml:space="preserve">t=20mm,A=11.85m2；页174；按净面积计</t>
  </si>
  <si>
    <t xml:space="preserve">t=24mm,A=10.39m2；页174；按净面积计</t>
  </si>
  <si>
    <t xml:space="preserve">7900×1200×20；页174</t>
  </si>
  <si>
    <t xml:space="preserve">7100×1200×24；页174</t>
  </si>
  <si>
    <t xml:space="preserve">t=40mm,A=21.41m2；页174；按净面积计</t>
  </si>
  <si>
    <t xml:space="preserve">7300×1644×32；页174</t>
  </si>
  <si>
    <t xml:space="preserve">1580×1200×16；页174</t>
  </si>
  <si>
    <t xml:space="preserve">1576×1200×16；页174</t>
  </si>
  <si>
    <t xml:space="preserve">1657×200×16；页174</t>
  </si>
  <si>
    <t xml:space="preserve">600×400×16；页174</t>
  </si>
  <si>
    <t xml:space="preserve">7900×240×20；页174</t>
  </si>
  <si>
    <t xml:space="preserve">7100×320×32；页174</t>
  </si>
  <si>
    <t xml:space="preserve">7901×1850×24；页174</t>
  </si>
  <si>
    <t xml:space="preserve">7101×1850×24；页174</t>
  </si>
  <si>
    <t xml:space="preserve">t=24mm,A=12.53m2；页174；按净面积计</t>
  </si>
  <si>
    <t xml:space="preserve">t=24mm,A=9.71m2；页174；按净面积计</t>
  </si>
  <si>
    <t xml:space="preserve">t=44mm,A=20.72m2；页174；按净面积计</t>
  </si>
  <si>
    <t xml:space="preserve">7301×1474×32；页174</t>
  </si>
  <si>
    <t xml:space="preserve">1450×1200×16；页174</t>
  </si>
  <si>
    <t xml:space="preserve">7901×320×32；页174</t>
  </si>
  <si>
    <t xml:space="preserve">7101×240×20；页174</t>
  </si>
  <si>
    <t xml:space="preserve">15002×170×14；页174</t>
  </si>
  <si>
    <t xml:space="preserve">11903×1200×36；页174</t>
  </si>
  <si>
    <t xml:space="preserve">12203×1200×36；页174</t>
  </si>
  <si>
    <t xml:space="preserve">7903×1360×36；页174</t>
  </si>
  <si>
    <t xml:space="preserve">7903×320×32；页174</t>
  </si>
  <si>
    <t xml:space="preserve">10803×320×32；页174</t>
  </si>
  <si>
    <t xml:space="preserve">1200×1200×16；页174</t>
  </si>
  <si>
    <t xml:space="preserve">5651×1200×36；页174</t>
  </si>
  <si>
    <t xml:space="preserve">5951×1200×36；页174</t>
  </si>
  <si>
    <t xml:space="preserve">3851×1360×36；页174</t>
  </si>
  <si>
    <t xml:space="preserve">3851×320×32；页174</t>
  </si>
  <si>
    <t xml:space="preserve">4951×320×32；页174</t>
  </si>
  <si>
    <t xml:space="preserve">5251×320×32；页174</t>
  </si>
  <si>
    <t xml:space="preserve">6111×1200×36；页174</t>
  </si>
  <si>
    <t xml:space="preserve">N5 1a</t>
  </si>
  <si>
    <t xml:space="preserve">3911×1360×36；页174</t>
  </si>
  <si>
    <t xml:space="preserve">3911×320×32；页174</t>
  </si>
  <si>
    <t xml:space="preserve">5411×320×32；页174</t>
  </si>
  <si>
    <t xml:space="preserve">5411×320× 32；页174</t>
  </si>
  <si>
    <t xml:space="preserve">2300×320×32；页174</t>
  </si>
  <si>
    <t xml:space="preserve">2600×320×32；页174</t>
  </si>
  <si>
    <t xml:space="preserve">1580×610×14；页174</t>
  </si>
  <si>
    <t xml:space="preserve">1576×618×14；页174</t>
  </si>
  <si>
    <t xml:space="preserve">t=24mm,A=0.46m2；页174；按净面积计</t>
  </si>
  <si>
    <t xml:space="preserve">t=24mm,A=0.47m2；页174；按净面积计</t>
  </si>
  <si>
    <t xml:space="preserve">1450×606×14；页174</t>
  </si>
  <si>
    <t xml:space="preserve">1450×618×14；页174</t>
  </si>
  <si>
    <t xml:space="preserve">边桁节段10(页178)</t>
  </si>
  <si>
    <t xml:space="preserve">t=20mm,A=11.85m2；页178；按净面积计</t>
  </si>
  <si>
    <t xml:space="preserve">t=20mm,A=10.39m2；页178；按净面积计</t>
  </si>
  <si>
    <t xml:space="preserve">7900×1200×20；页178</t>
  </si>
  <si>
    <t xml:space="preserve">7100×1200×20；页178</t>
  </si>
  <si>
    <t xml:space="preserve">t=40mm,A=20.34m2；页178；按净面积计</t>
  </si>
  <si>
    <t xml:space="preserve">7300×1648×28；页178</t>
  </si>
  <si>
    <t xml:space="preserve">1580×1200×16；页178</t>
  </si>
  <si>
    <t xml:space="preserve">1657×200× 16；页178</t>
  </si>
  <si>
    <t xml:space="preserve">600×400×16；页178</t>
  </si>
  <si>
    <t xml:space="preserve">7900×240×20；页178</t>
  </si>
  <si>
    <t xml:space="preserve">7100×240×20；页178</t>
  </si>
  <si>
    <t xml:space="preserve">7901×1850×24；页178</t>
  </si>
  <si>
    <t xml:space="preserve">7101×1850×24；页178</t>
  </si>
  <si>
    <t xml:space="preserve">t=24mm,A=12.53m2；页178；按净面积计</t>
  </si>
  <si>
    <t xml:space="preserve">t=24mm,A=9.71m2；页178；按净面积计</t>
  </si>
  <si>
    <t xml:space="preserve">t=44mm,A=20.72m2；页178；按净面积计</t>
  </si>
  <si>
    <t xml:space="preserve">7301×1474× 32；页178</t>
  </si>
  <si>
    <t xml:space="preserve">1450×1200×16；页178</t>
  </si>
  <si>
    <t xml:space="preserve">1657×200×16；页178</t>
  </si>
  <si>
    <t xml:space="preserve">7901×240×20；页178</t>
  </si>
  <si>
    <t xml:space="preserve">7101×240×20；页178</t>
  </si>
  <si>
    <t xml:space="preserve">15002×170×14；页178</t>
  </si>
  <si>
    <t xml:space="preserve">11770×1200×36；页178</t>
  </si>
  <si>
    <t xml:space="preserve">12070×1200×36；页178</t>
  </si>
  <si>
    <t xml:space="preserve">7770×1360×36；页178</t>
  </si>
  <si>
    <t xml:space="preserve">7770×320×32；页178</t>
  </si>
  <si>
    <t xml:space="preserve">10370×320×32；页178</t>
  </si>
  <si>
    <t xml:space="preserve">10670×320×32；页178</t>
  </si>
  <si>
    <t xml:space="preserve">1200×1200×16；页178</t>
  </si>
  <si>
    <t xml:space="preserve">3798×900×36；页178</t>
  </si>
  <si>
    <t xml:space="preserve">6098×1200×32；页178</t>
  </si>
  <si>
    <t xml:space="preserve">5398×240×24；页178</t>
  </si>
  <si>
    <t xml:space="preserve">6051×1200×36；页178</t>
  </si>
  <si>
    <t xml:space="preserve">3851×1360×36；页178</t>
  </si>
  <si>
    <t xml:space="preserve">3851×320×32；页178</t>
  </si>
  <si>
    <t xml:space="preserve">4651×320×32；页178</t>
  </si>
  <si>
    <t xml:space="preserve">2300×320×32；页178</t>
  </si>
  <si>
    <t xml:space="preserve">9GN</t>
  </si>
  <si>
    <t xml:space="preserve">3600×320×32；页178</t>
  </si>
  <si>
    <t xml:space="preserve">1580×610×14；页178</t>
  </si>
  <si>
    <t xml:space="preserve">1580×622×14；页178</t>
  </si>
  <si>
    <t xml:space="preserve">t=24mm,A=0.47m2；页178；按净面积计</t>
  </si>
  <si>
    <t xml:space="preserve">1450×606×14；页178</t>
  </si>
  <si>
    <t xml:space="preserve">1450×618×14；页178</t>
  </si>
  <si>
    <t xml:space="preserve">边桁节段11(页182)</t>
  </si>
  <si>
    <t xml:space="preserve">t=20mm,A=11.85m2；页182；按净面积计</t>
  </si>
  <si>
    <t xml:space="preserve">t=20mm,A=10.39m2；页182；按净面积计</t>
  </si>
  <si>
    <t xml:space="preserve">7900×1200×20；页182</t>
  </si>
  <si>
    <t xml:space="preserve">7100×1200×20；页182</t>
  </si>
  <si>
    <t xml:space="preserve">t=40mm,A=19.2m2；页182；按净面积计</t>
  </si>
  <si>
    <t xml:space="preserve">7300×1648×28；页182</t>
  </si>
  <si>
    <t xml:space="preserve">1580×1200×16；页182</t>
  </si>
  <si>
    <t xml:space="preserve">1657×200×16；页182</t>
  </si>
  <si>
    <t xml:space="preserve">600×400×16；页182</t>
  </si>
  <si>
    <t xml:space="preserve">7900×240×20；页182</t>
  </si>
  <si>
    <t xml:space="preserve">7100×240×20；页182</t>
  </si>
  <si>
    <t xml:space="preserve">7901×1850×24；页182</t>
  </si>
  <si>
    <t xml:space="preserve">7101×1850×24；页182</t>
  </si>
  <si>
    <t xml:space="preserve">t=24mm,A=12.53m2；页182；按净面积计</t>
  </si>
  <si>
    <t xml:space="preserve">t=24mm,A=9.71m2；页182；按净面积计</t>
  </si>
  <si>
    <t xml:space="preserve">t=44mm,A=18.39m2；页182；按净面积计</t>
  </si>
  <si>
    <t xml:space="preserve">7301×1474×32；页182</t>
  </si>
  <si>
    <t xml:space="preserve">1450×1200×16；页182</t>
  </si>
  <si>
    <t xml:space="preserve">7901×240×20；页182</t>
  </si>
  <si>
    <t xml:space="preserve">7101×240×20；页182</t>
  </si>
  <si>
    <t xml:space="preserve">15002×170×14；页182</t>
  </si>
  <si>
    <t xml:space="preserve">7651×900×36；页182</t>
  </si>
  <si>
    <t xml:space="preserve">12551×1200×32；页182</t>
  </si>
  <si>
    <t xml:space="preserve">11151×240×24；页182</t>
  </si>
  <si>
    <t xml:space="preserve">3752×900×36；页182</t>
  </si>
  <si>
    <t xml:space="preserve">6052×1200×32；页182</t>
  </si>
  <si>
    <t xml:space="preserve">5352×240×24；页182</t>
  </si>
  <si>
    <t xml:space="preserve">3789×900×36；页182</t>
  </si>
  <si>
    <t xml:space="preserve">6389×1200×32；页182</t>
  </si>
  <si>
    <t xml:space="preserve">5689×240×24；页182</t>
  </si>
  <si>
    <t xml:space="preserve">1123×1200×20；页182</t>
  </si>
  <si>
    <t xml:space="preserve">1089×1200×20；页182</t>
  </si>
  <si>
    <t xml:space="preserve">1580×610×14；页182</t>
  </si>
  <si>
    <t xml:space="preserve">N61α </t>
  </si>
  <si>
    <t xml:space="preserve">1580×622×14；页182</t>
  </si>
  <si>
    <t xml:space="preserve">t=24mm,A=0.47m2；页182；按净面积计</t>
  </si>
  <si>
    <t xml:space="preserve">1450×606×14；页182</t>
  </si>
  <si>
    <t xml:space="preserve">1450×618×14；页182</t>
  </si>
  <si>
    <t xml:space="preserve">边桁节段12(页186)</t>
  </si>
  <si>
    <t xml:space="preserve">t=20mm,A=11.85m2；页186；按净面积计</t>
  </si>
  <si>
    <t xml:space="preserve">t=20mm,A=10.39m2；页186；按净面积计</t>
  </si>
  <si>
    <t xml:space="preserve">7900×1200×20；页186</t>
  </si>
  <si>
    <t xml:space="preserve">7100×1200×20；页186</t>
  </si>
  <si>
    <t xml:space="preserve">t=40mm,A=19.2m2；页186；按净面积计</t>
  </si>
  <si>
    <t xml:space="preserve">7300×1648×28；页186</t>
  </si>
  <si>
    <t xml:space="preserve">1580×1200×16；页186</t>
  </si>
  <si>
    <t xml:space="preserve">1657×200×16；页186</t>
  </si>
  <si>
    <t xml:space="preserve">600×400×16；页186</t>
  </si>
  <si>
    <t xml:space="preserve">7900×240×20；页186</t>
  </si>
  <si>
    <t xml:space="preserve">7100×240× 20；页186</t>
  </si>
  <si>
    <t xml:space="preserve">7901×1850×24；页186</t>
  </si>
  <si>
    <t xml:space="preserve">7101×1850×24；页186</t>
  </si>
  <si>
    <t xml:space="preserve">t=24mm,A=12.53m2；页186；按净面积计</t>
  </si>
  <si>
    <t xml:space="preserve">t=44mm,A=18.39m2；页186；按净面积计</t>
  </si>
  <si>
    <t xml:space="preserve">1450×1200×16；页186</t>
  </si>
  <si>
    <t xml:space="preserve">下弦加劲脚</t>
  </si>
  <si>
    <t xml:space="preserve">7901×240× 20；页186</t>
  </si>
  <si>
    <t xml:space="preserve">7101×240×20；页186</t>
  </si>
  <si>
    <t xml:space="preserve">7548×900×36；页186</t>
  </si>
  <si>
    <t xml:space="preserve">12448×1200×32；页186</t>
  </si>
  <si>
    <t xml:space="preserve">11048×240×24；页186</t>
  </si>
  <si>
    <t xml:space="preserve">3714×900×36；页186</t>
  </si>
  <si>
    <t xml:space="preserve">6014×1200×32；页186</t>
  </si>
  <si>
    <t xml:space="preserve">5314×240× 24；页186</t>
  </si>
  <si>
    <t xml:space="preserve">3752×900×36；页186</t>
  </si>
  <si>
    <t xml:space="preserve">6352×1200×32；页186</t>
  </si>
  <si>
    <t xml:space="preserve">5652×240×24；页186</t>
  </si>
  <si>
    <t xml:space="preserve">1103×1200×20；页186</t>
  </si>
  <si>
    <t xml:space="preserve">1071×1200×20；页186</t>
  </si>
  <si>
    <t xml:space="preserve">1580×610×14；页186</t>
  </si>
  <si>
    <t xml:space="preserve">1580×622×14；页186</t>
  </si>
  <si>
    <t xml:space="preserve">t=24mm,A=0.47m2；页186；按净面积计</t>
  </si>
  <si>
    <t xml:space="preserve">1450×606× 14；页186</t>
  </si>
  <si>
    <t xml:space="preserve">1450×618×14；页186</t>
  </si>
  <si>
    <t xml:space="preserve">边桁节段13(页190)</t>
  </si>
  <si>
    <t xml:space="preserve">t=20mm,A=11.85m2；页190；按净面积计</t>
  </si>
  <si>
    <t xml:space="preserve">t=20mm,A=10.39m2；页190；按净面积计</t>
  </si>
  <si>
    <t xml:space="preserve">7900×1200×20；页190</t>
  </si>
  <si>
    <t xml:space="preserve">7100×1200×20；页190</t>
  </si>
  <si>
    <t xml:space="preserve">t=40mm,A=20.32m2；页190；按净面积计</t>
  </si>
  <si>
    <t xml:space="preserve">7300×1648×28；页190</t>
  </si>
  <si>
    <t xml:space="preserve">1580×1200×16；页190</t>
  </si>
  <si>
    <t xml:space="preserve">1657×200×16；页190</t>
  </si>
  <si>
    <t xml:space="preserve">600×400×16；页190</t>
  </si>
  <si>
    <t xml:space="preserve">7900×240×20；页190</t>
  </si>
  <si>
    <t xml:space="preserve">7100×240×20；页190</t>
  </si>
  <si>
    <t xml:space="preserve">7901×1850×24；页190</t>
  </si>
  <si>
    <t xml:space="preserve">7101×1850×24；页190</t>
  </si>
  <si>
    <t xml:space="preserve">t=24mm,A=12.53m2；页190；按净面积计</t>
  </si>
  <si>
    <t xml:space="preserve">t=24mm,A=9.71m2；页190；按净面积计</t>
  </si>
  <si>
    <t xml:space="preserve">t=44mm,A=18.38m2；页190；按净面积计</t>
  </si>
  <si>
    <t xml:space="preserve">7301×1474×32；页190</t>
  </si>
  <si>
    <t xml:space="preserve">1450×1200×16；页190</t>
  </si>
  <si>
    <t xml:space="preserve">7901×240×20；页190</t>
  </si>
  <si>
    <t xml:space="preserve">7101×240×20；页190</t>
  </si>
  <si>
    <t xml:space="preserve">15002×170×14；页190</t>
  </si>
  <si>
    <t xml:space="preserve">7458×900×36；页190</t>
  </si>
  <si>
    <t xml:space="preserve">12358×1200×32；页190</t>
  </si>
  <si>
    <t xml:space="preserve">10958×240×24；页190</t>
  </si>
  <si>
    <t xml:space="preserve">5482×1200×36；页190</t>
  </si>
  <si>
    <t xml:space="preserve">5782×1200×36；页190</t>
  </si>
  <si>
    <t xml:space="preserve">3682×1360×36；页190</t>
  </si>
  <si>
    <t xml:space="preserve">3682×320×32；页190</t>
  </si>
  <si>
    <t xml:space="preserve">4782×320×32；页190</t>
  </si>
  <si>
    <t xml:space="preserve">5082×320×32；页190</t>
  </si>
  <si>
    <t xml:space="preserve">1200×1200×16；页190</t>
  </si>
  <si>
    <t xml:space="preserve">3714×900×36；页190</t>
  </si>
  <si>
    <t xml:space="preserve">6314×1200×32；页190</t>
  </si>
  <si>
    <t xml:space="preserve">4914×240×24；页190</t>
  </si>
  <si>
    <t xml:space="preserve">2300×320×32；页190</t>
  </si>
  <si>
    <t xml:space="preserve">1056×1200×20；页190</t>
  </si>
  <si>
    <t xml:space="preserve">1580×610×14；页190</t>
  </si>
  <si>
    <t xml:space="preserve">1580×622×14；页190</t>
  </si>
  <si>
    <t xml:space="preserve">t=24mm,A=0.47m2；页190；按净面积计</t>
  </si>
  <si>
    <t xml:space="preserve">1450×606×14；页190</t>
  </si>
  <si>
    <t xml:space="preserve">1450×618×14；页190</t>
  </si>
  <si>
    <t xml:space="preserve">边桁节段14(页194)</t>
  </si>
  <si>
    <t xml:space="preserve">t=20mm,A=11.85m2；页194；按净面积计</t>
  </si>
  <si>
    <t xml:space="preserve">t=20mm,A=10.39m2；页194；按净面积计</t>
  </si>
  <si>
    <t xml:space="preserve">7900×1200×20；页194</t>
  </si>
  <si>
    <t xml:space="preserve">7100×1200×20；页194</t>
  </si>
  <si>
    <t xml:space="preserve">t=48mm,A=21.38m2；页194；按净面积计</t>
  </si>
  <si>
    <t xml:space="preserve">7300×1648×28；页194</t>
  </si>
  <si>
    <t xml:space="preserve">1580×1200×16；页194</t>
  </si>
  <si>
    <t xml:space="preserve">, SLN</t>
  </si>
  <si>
    <t xml:space="preserve">1657×200×16；页194</t>
  </si>
  <si>
    <t xml:space="preserve">600×400×16；页194</t>
  </si>
  <si>
    <t xml:space="preserve">7900×240×20；页194</t>
  </si>
  <si>
    <t xml:space="preserve">7100×240×20；页194</t>
  </si>
  <si>
    <t xml:space="preserve">7901×1850×24；页194</t>
  </si>
  <si>
    <t xml:space="preserve">7101×1850×24；页194</t>
  </si>
  <si>
    <t xml:space="preserve">t=24mm,A=12.53m2；页194；按净面积计</t>
  </si>
  <si>
    <t xml:space="preserve">t=24mm,A=9.71m2；页194；按净面积计</t>
  </si>
  <si>
    <t xml:space="preserve">t=44mm,A=20.71m2；页194；按净面积计</t>
  </si>
  <si>
    <t xml:space="preserve">7301×1474×32；页194</t>
  </si>
  <si>
    <t xml:space="preserve">1450×1200×16；页194</t>
  </si>
  <si>
    <t xml:space="preserve">7901×240×20；页194</t>
  </si>
  <si>
    <t xml:space="preserve">7101×240×20；页194</t>
  </si>
  <si>
    <t xml:space="preserve">15002×170×14；页194</t>
  </si>
  <si>
    <t xml:space="preserve">11383×1200×36；页194</t>
  </si>
  <si>
    <t xml:space="preserve">11683×1200×36；页194</t>
  </si>
  <si>
    <t xml:space="preserve">7383×1360×36；页194</t>
  </si>
  <si>
    <t xml:space="preserve">7383×320×32；页194</t>
  </si>
  <si>
    <t xml:space="preserve">9983×320×32；页194</t>
  </si>
  <si>
    <t xml:space="preserve">10283×320×32；页194</t>
  </si>
  <si>
    <t xml:space="preserve">1200×1200×16；页194</t>
  </si>
  <si>
    <t xml:space="preserve">5458×1200×36；页194</t>
  </si>
  <si>
    <t xml:space="preserve">5758×1200×36；页194</t>
  </si>
  <si>
    <t xml:space="preserve">3658×1360×36；页194</t>
  </si>
  <si>
    <t xml:space="preserve">3658×320×32；页194</t>
  </si>
  <si>
    <t xml:space="preserve">4758×320×32；页194</t>
  </si>
  <si>
    <t xml:space="preserve">5058×320×32；页194</t>
  </si>
  <si>
    <t xml:space="preserve">5883×1200×36；页194</t>
  </si>
  <si>
    <t xml:space="preserve">3683×1360×36；页194</t>
  </si>
  <si>
    <t xml:space="preserve">3683×320×32；页194</t>
  </si>
  <si>
    <t xml:space="preserve">5183×320×32；页194</t>
  </si>
  <si>
    <t xml:space="preserve">2300×320×32；页194</t>
  </si>
  <si>
    <t xml:space="preserve">2600×320×32；页194</t>
  </si>
  <si>
    <t xml:space="preserve">1580×602×14；页194</t>
  </si>
  <si>
    <t xml:space="preserve">1580×622×14；页194</t>
  </si>
  <si>
    <t xml:space="preserve">t=24mm,A=0.46m2；页194；按净面积计</t>
  </si>
  <si>
    <t xml:space="preserve">t=24mm,A=0.47m2；页194；按净面积计</t>
  </si>
  <si>
    <t xml:space="preserve">1450×606×14；页194</t>
  </si>
  <si>
    <t xml:space="preserve">1450×618×14；页194</t>
  </si>
  <si>
    <t xml:space="preserve">边桁节段15(页198)</t>
  </si>
  <si>
    <t xml:space="preserve">t=40mm,A=11.85m2；页198；按净面积计</t>
  </si>
  <si>
    <t xml:space="preserve">t=24mm,A=10.39m2；页198；按净面积计</t>
  </si>
  <si>
    <t xml:space="preserve">7900× 1200× 40；页198</t>
  </si>
  <si>
    <t xml:space="preserve">7100×1200×24；页198</t>
  </si>
  <si>
    <t xml:space="preserve">t=48mm,A=22.12m2；页198；按净面积计</t>
  </si>
  <si>
    <t xml:space="preserve">7300×1644×32；页198</t>
  </si>
  <si>
    <t xml:space="preserve">1560×1200×16；页198</t>
  </si>
  <si>
    <t xml:space="preserve">1576×1200×16；页198</t>
  </si>
  <si>
    <t xml:space="preserve">1657×200×16；页198</t>
  </si>
  <si>
    <t xml:space="preserve">600×400×16；页198</t>
  </si>
  <si>
    <t xml:space="preserve">上弦加劲勋</t>
  </si>
  <si>
    <t xml:space="preserve">7900×320×32；页198</t>
  </si>
  <si>
    <t xml:space="preserve">7100×240×20；页198</t>
  </si>
  <si>
    <t xml:space="preserve">7900×1850×24；页198</t>
  </si>
  <si>
    <t xml:space="preserve">7100×1850×24；页198</t>
  </si>
  <si>
    <t xml:space="preserve">t=24mm,A=12.53m2；页198；按净面积计</t>
  </si>
  <si>
    <t xml:space="preserve">t=24mm,A=9.71m2；页198；按净面积计</t>
  </si>
  <si>
    <t xml:space="preserve">t=44mm,A=20.71m2；页198；按净面积计</t>
  </si>
  <si>
    <t xml:space="preserve">7300× 1474×32；页198</t>
  </si>
  <si>
    <t xml:space="preserve">1450×1200×16；页198</t>
  </si>
  <si>
    <t xml:space="preserve">7900×240×20；页198</t>
  </si>
  <si>
    <t xml:space="preserve">7100×320×32；页198</t>
  </si>
  <si>
    <t xml:space="preserve">15000×170×14；页198</t>
  </si>
  <si>
    <t xml:space="preserve">11322×1200×36；页198</t>
  </si>
  <si>
    <t xml:space="preserve">11622×1200×36；页198</t>
  </si>
  <si>
    <t xml:space="preserve">7322×1360×36；页198</t>
  </si>
  <si>
    <t xml:space="preserve">7322×320×32；页198</t>
  </si>
  <si>
    <t xml:space="preserve">10222×320×32；页198</t>
  </si>
  <si>
    <t xml:space="preserve">1200×1200×16；页198</t>
  </si>
  <si>
    <t xml:space="preserve">5440×1200×40；页198</t>
  </si>
  <si>
    <t xml:space="preserve">5740×1200×40；页198</t>
  </si>
  <si>
    <t xml:space="preserve">3640×1760×40；页198</t>
  </si>
  <si>
    <t xml:space="preserve">3640×320×32；页198</t>
  </si>
  <si>
    <t xml:space="preserve">4740×320× 32；页198</t>
  </si>
  <si>
    <t xml:space="preserve">5040×320×32；页198</t>
  </si>
  <si>
    <t xml:space="preserve">1200×1600×16；页198</t>
  </si>
  <si>
    <t xml:space="preserve">5858×1200× 40；页198</t>
  </si>
  <si>
    <t xml:space="preserve">3658×1360×40；页198</t>
  </si>
  <si>
    <t xml:space="preserve">3658×320×32；页198</t>
  </si>
  <si>
    <t xml:space="preserve">5158×320×32；页198</t>
  </si>
  <si>
    <t xml:space="preserve">2100×320×32；页198</t>
  </si>
  <si>
    <t xml:space="preserve">2600×320×32；页198</t>
  </si>
  <si>
    <t xml:space="preserve">1560×602×14；页198</t>
  </si>
  <si>
    <t xml:space="preserve">1576×618×14；页198</t>
  </si>
  <si>
    <t xml:space="preserve">t=24mm,A=0.46m2；页198；按净面积计</t>
  </si>
  <si>
    <t xml:space="preserve">1450×606×14；页198</t>
  </si>
  <si>
    <t xml:space="preserve">1450×618×14；页198</t>
  </si>
  <si>
    <t xml:space="preserve">边桁节段16(页202)</t>
  </si>
  <si>
    <t xml:space="preserve">t=40mm,A=11.85m2；页202；按净面积计</t>
  </si>
  <si>
    <t xml:space="preserve">t=40mm,A=10.39m2；页202；按净面积计</t>
  </si>
  <si>
    <t xml:space="preserve">8050×1200×40；页202</t>
  </si>
  <si>
    <t xml:space="preserve">6950×1200×40；页202</t>
  </si>
  <si>
    <t xml:space="preserve">t=44mm,A=22.95m2；页202；按净面积计</t>
  </si>
  <si>
    <t xml:space="preserve">7150×1628×48；页202</t>
  </si>
  <si>
    <t xml:space="preserve">1560×1200×16；页202</t>
  </si>
  <si>
    <t xml:space="preserve">N15 '</t>
  </si>
  <si>
    <t xml:space="preserve">1657×200×16；页202</t>
  </si>
  <si>
    <t xml:space="preserve">600×400×16；页202</t>
  </si>
  <si>
    <t xml:space="preserve">8050×320× 32；页202</t>
  </si>
  <si>
    <t xml:space="preserve">6950×320×32；页202</t>
  </si>
  <si>
    <t xml:space="preserve">8050×1850×32；页202</t>
  </si>
  <si>
    <t xml:space="preserve">6950×1850×32；页202</t>
  </si>
  <si>
    <t xml:space="preserve">t=32mm,A=12.53m2；页202；按净面积计</t>
  </si>
  <si>
    <t xml:space="preserve">t=32mm,A=9.71m2；页202；按净面积计</t>
  </si>
  <si>
    <t xml:space="preserve">t=44mm,A=22.55m2；页202；按净面积计</t>
  </si>
  <si>
    <t xml:space="preserve">7150×1482×44；页202</t>
  </si>
  <si>
    <t xml:space="preserve">1450×1200×16；页202</t>
  </si>
  <si>
    <t xml:space="preserve">8050×320×32；页202</t>
  </si>
  <si>
    <t xml:space="preserve">15000×170×14；页202</t>
  </si>
  <si>
    <t xml:space="preserve">10875×1200×40；页202</t>
  </si>
  <si>
    <t xml:space="preserve">11375×1200× 40；页202</t>
  </si>
  <si>
    <t xml:space="preserve">7275×1360×40；页202</t>
  </si>
  <si>
    <t xml:space="preserve">7275×320×32；页202</t>
  </si>
  <si>
    <t xml:space="preserve">9475×320×32；页202</t>
  </si>
  <si>
    <t xml:space="preserve">9975×320×32；页202</t>
  </si>
  <si>
    <t xml:space="preserve">1200×1200×16；页202</t>
  </si>
  <si>
    <t xml:space="preserve">5429×1200×40；页202</t>
  </si>
  <si>
    <t xml:space="preserve">5629×1200×40；页202</t>
  </si>
  <si>
    <t xml:space="preserve">3629×1760×40；页202</t>
  </si>
  <si>
    <t xml:space="preserve">3629×320×32；页202</t>
  </si>
  <si>
    <t xml:space="preserve">4729×320×32；页202</t>
  </si>
  <si>
    <t xml:space="preserve">4929×320×32；页202</t>
  </si>
  <si>
    <t xml:space="preserve">1200×1600×16；页202</t>
  </si>
  <si>
    <t xml:space="preserve">5640×1200×48；页202</t>
  </si>
  <si>
    <t xml:space="preserve">5740×1200×48；页202</t>
  </si>
  <si>
    <t xml:space="preserve">3640×1760×48；页202</t>
  </si>
  <si>
    <t xml:space="preserve">3640×320×32；页202</t>
  </si>
  <si>
    <t xml:space="preserve">4940×320×32；页202</t>
  </si>
  <si>
    <t xml:space="preserve">5040×320×32；页202</t>
  </si>
  <si>
    <t xml:space="preserve">2100×320×32；页202</t>
  </si>
  <si>
    <t xml:space="preserve">2400×320×32；页202</t>
  </si>
  <si>
    <t xml:space="preserve">1560×606×14；页202</t>
  </si>
  <si>
    <t xml:space="preserve">1560×602×14；页202</t>
  </si>
  <si>
    <t xml:space="preserve">t=24mm,A=0.46m2；页202；按净面积计</t>
  </si>
  <si>
    <t xml:space="preserve">1450×606×14；页202</t>
  </si>
  <si>
    <t xml:space="preserve">边桁节段17(页207)</t>
  </si>
  <si>
    <t xml:space="preserve">t=40mm,A=11.85m2；页207；按净面积计</t>
  </si>
  <si>
    <t xml:space="preserve">t=40mm,A=10.4m2；页207；按净面积计</t>
  </si>
  <si>
    <t xml:space="preserve">8050×1200×40；页207</t>
  </si>
  <si>
    <t xml:space="preserve">6950×1200×40；页207</t>
  </si>
  <si>
    <t xml:space="preserve">t=44mm,A=22.94m2；页207；按净面积计</t>
  </si>
  <si>
    <t xml:space="preserve">7150×1628×48；页207</t>
  </si>
  <si>
    <t xml:space="preserve">1560×1200×16；页207</t>
  </si>
  <si>
    <t xml:space="preserve">1657x200x16；页207</t>
  </si>
  <si>
    <t xml:space="preserve">600×400×16；页207</t>
  </si>
  <si>
    <t xml:space="preserve">8050×320×32；页207</t>
  </si>
  <si>
    <t xml:space="preserve">6950×320×32；页207</t>
  </si>
  <si>
    <t xml:space="preserve">8050×1850×32；页207</t>
  </si>
  <si>
    <t xml:space="preserve">6950×1850×32；页207</t>
  </si>
  <si>
    <t xml:space="preserve">t=40mm,A=15.8m2；页207；按净面积计</t>
  </si>
  <si>
    <t xml:space="preserve">t=32mm,A=10.4m2；页207；按净面积计</t>
  </si>
  <si>
    <t xml:space="preserve">t=44mm,A=22.56m2；页207；按净面积计</t>
  </si>
  <si>
    <t xml:space="preserve">7150×1482×44；页207</t>
  </si>
  <si>
    <t xml:space="preserve">1450×1200×16；页207</t>
  </si>
  <si>
    <t xml:space="preserve">1657×200×16；页207</t>
  </si>
  <si>
    <t xml:space="preserve">15000×170×14；页207</t>
  </si>
  <si>
    <t xml:space="preserve">11042×1200×40；页207</t>
  </si>
  <si>
    <t xml:space="preserve">11342×1200×40；页207</t>
  </si>
  <si>
    <t xml:space="preserve">7242×1760×40；页207</t>
  </si>
  <si>
    <t xml:space="preserve">7242×320×32；页207</t>
  </si>
  <si>
    <t xml:space="preserve">9642×320×32；页207</t>
  </si>
  <si>
    <t xml:space="preserve">9942×320×32；页207</t>
  </si>
  <si>
    <t xml:space="preserve">1200×1600×16；页207</t>
  </si>
  <si>
    <t xml:space="preserve">5426×1200×36；页207</t>
  </si>
  <si>
    <t xml:space="preserve">5726×1200×36；页207</t>
  </si>
  <si>
    <t xml:space="preserve">3626×1360×36；页207</t>
  </si>
  <si>
    <t xml:space="preserve">3626×320×32；页207</t>
  </si>
  <si>
    <t xml:space="preserve">4726×320×32；页207</t>
  </si>
  <si>
    <t xml:space="preserve">5026×320×32；页207</t>
  </si>
  <si>
    <t xml:space="preserve">1200×1200×16；页207</t>
  </si>
  <si>
    <t xml:space="preserve">5629×1200×40；页207</t>
  </si>
  <si>
    <t xml:space="preserve">3629×1760×40；页207</t>
  </si>
  <si>
    <t xml:space="preserve">3629×320×32；页207</t>
  </si>
  <si>
    <t xml:space="preserve">4229×320×32；页207</t>
  </si>
  <si>
    <t xml:space="preserve">2100×320×32；页207</t>
  </si>
  <si>
    <t xml:space="preserve">2400×320×32；页207</t>
  </si>
  <si>
    <t xml:space="preserve">1560×606×14；页207</t>
  </si>
  <si>
    <t xml:space="preserve">1560×602×14；页207</t>
  </si>
  <si>
    <t xml:space="preserve">t=24mm,A=0.47m2；页207；按净面积计</t>
  </si>
  <si>
    <t xml:space="preserve">t=24mm,A=0.48m2；页207；按净面积计</t>
  </si>
  <si>
    <t xml:space="preserve">1450×606×14；页207</t>
  </si>
  <si>
    <t xml:space="preserve">1450×1200×32；页207</t>
  </si>
  <si>
    <t xml:space="preserve">1450×602×60；页207</t>
  </si>
  <si>
    <t xml:space="preserve">2800×2650×80；页207</t>
  </si>
  <si>
    <t xml:space="preserve">1000×568×32；页207</t>
  </si>
  <si>
    <t xml:space="preserve">1350×570×32；页207</t>
  </si>
  <si>
    <t xml:space="preserve">2960×650×32；页207</t>
  </si>
  <si>
    <t xml:space="preserve">边桁节段18(页211)</t>
  </si>
  <si>
    <t xml:space="preserve">t=40mm,A=11.85m2；页211；按净面积计</t>
  </si>
  <si>
    <t xml:space="preserve">t=40mm,A=10.39m2；页211；按净面积计</t>
  </si>
  <si>
    <t xml:space="preserve">7900×1200×40；页211</t>
  </si>
  <si>
    <t xml:space="preserve">6950×1200×40；页211</t>
  </si>
  <si>
    <t xml:space="preserve">t=48mm,A=21.29m2；页211；按净面积计</t>
  </si>
  <si>
    <t xml:space="preserve">7150×1628×48；页211</t>
  </si>
  <si>
    <t xml:space="preserve">1560×1200×16；页211</t>
  </si>
  <si>
    <t xml:space="preserve">1657x200x16；页211</t>
  </si>
  <si>
    <t xml:space="preserve">600×400×16；页211</t>
  </si>
  <si>
    <t xml:space="preserve">7900×320×32；页211</t>
  </si>
  <si>
    <t xml:space="preserve">6950×320×32；页211</t>
  </si>
  <si>
    <t xml:space="preserve">8050×1850×32；页211</t>
  </si>
  <si>
    <t xml:space="preserve">7100×1850×24；页211</t>
  </si>
  <si>
    <t xml:space="preserve">t=32mm,A=12.53m2；页211；按净面积计</t>
  </si>
  <si>
    <t xml:space="preserve">t=24mm,A=9.71m2；页211；按净面积计</t>
  </si>
  <si>
    <t xml:space="preserve">t=48mm,A=20.71m2；页211；按净面积计</t>
  </si>
  <si>
    <t xml:space="preserve">7300×1474×32；页211</t>
  </si>
  <si>
    <t xml:space="preserve">1450×1200×16；页211</t>
  </si>
  <si>
    <t xml:space="preserve">1657×200×16；页211</t>
  </si>
  <si>
    <t xml:space="preserve">8050×320×32；页211</t>
  </si>
  <si>
    <t xml:space="preserve">7100×320×32；页211</t>
  </si>
  <si>
    <t xml:space="preserve">15150×170×14；页211</t>
  </si>
  <si>
    <t xml:space="preserve">11423×1200×36；页211</t>
  </si>
  <si>
    <t xml:space="preserve">7223×1360×36；页211</t>
  </si>
  <si>
    <t xml:space="preserve">7223×320×32；页211</t>
  </si>
  <si>
    <t xml:space="preserve">10023×320×32；页211</t>
  </si>
  <si>
    <t xml:space="preserve">1200×1200×16；页211</t>
  </si>
  <si>
    <t xml:space="preserve">5629×1200×36；页211</t>
  </si>
  <si>
    <t xml:space="preserve">3629×1360×36；页211</t>
  </si>
  <si>
    <t xml:space="preserve">3629×320×32；页211</t>
  </si>
  <si>
    <t xml:space="preserve">4929×320×32；页211</t>
  </si>
  <si>
    <t xml:space="preserve">5826×1200×36；页211</t>
  </si>
  <si>
    <t xml:space="preserve">5626×1200×36；页211</t>
  </si>
  <si>
    <t xml:space="preserve">3626×1360×36；页211</t>
  </si>
  <si>
    <t xml:space="preserve">3626×320×32；页211</t>
  </si>
  <si>
    <t xml:space="preserve">5126×320×32；页211</t>
  </si>
  <si>
    <t xml:space="preserve">4926×320×32；页211</t>
  </si>
  <si>
    <t xml:space="preserve">2400×320×32；页211</t>
  </si>
  <si>
    <t xml:space="preserve">1560×602×14；页211</t>
  </si>
  <si>
    <t xml:space="preserve">t=24mm,A=0.46m2；页211；按净面积计</t>
  </si>
  <si>
    <t xml:space="preserve">t=24mm,A=0.47m2；页211；按净面积计</t>
  </si>
  <si>
    <t xml:space="preserve">1450×602×14；页211</t>
  </si>
  <si>
    <t xml:space="preserve">1450×618×14；页211</t>
  </si>
  <si>
    <t xml:space="preserve">边桁节段19(页215)</t>
  </si>
  <si>
    <t xml:space="preserve">t=20mm,A=11.85m2；页215；按净面积计</t>
  </si>
  <si>
    <t xml:space="preserve">t=24mm,A=10.39m2；页215；按净面积计</t>
  </si>
  <si>
    <t xml:space="preserve">7900×1200×20；页215</t>
  </si>
  <si>
    <t xml:space="preserve">7100×1200×24；页215</t>
  </si>
  <si>
    <t xml:space="preserve">t=40mm,A=20.38m2；页215；按净面积计</t>
  </si>
  <si>
    <t xml:space="preserve">7300×1644×32；页215</t>
  </si>
  <si>
    <t xml:space="preserve">1580×1200×16；页215</t>
  </si>
  <si>
    <t xml:space="preserve">1576×1200×16；页215</t>
  </si>
  <si>
    <t xml:space="preserve">1657×200x16；页215</t>
  </si>
  <si>
    <t xml:space="preserve">600×400×16；页215</t>
  </si>
  <si>
    <t xml:space="preserve">7900×320×32；页215</t>
  </si>
  <si>
    <t xml:space="preserve">7100×240×20；页215</t>
  </si>
  <si>
    <t xml:space="preserve">7900×1850×20；页215</t>
  </si>
  <si>
    <t xml:space="preserve">7100×1850×20；页215</t>
  </si>
  <si>
    <t xml:space="preserve">t=20mm,A=12.53m2；页215；按净面积计</t>
  </si>
  <si>
    <t xml:space="preserve">t=20mm,A=9.71m2；页215；按净面积计</t>
  </si>
  <si>
    <t xml:space="preserve">t=40mm,A=20.71m2；页215；按净面积计</t>
  </si>
  <si>
    <t xml:space="preserve">7300×1470×24；页215</t>
  </si>
  <si>
    <t xml:space="preserve">1450×1200×16；页215</t>
  </si>
  <si>
    <t xml:space="preserve">1657×200×16；页215</t>
  </si>
  <si>
    <t xml:space="preserve">15000×170×14；页215</t>
  </si>
  <si>
    <t xml:space="preserve">11418×1200×36；页215</t>
  </si>
  <si>
    <t xml:space="preserve">11618×1200×36；页215</t>
  </si>
  <si>
    <t xml:space="preserve">7218×1360×36；页215</t>
  </si>
  <si>
    <t xml:space="preserve">7218×320×32；页215</t>
  </si>
  <si>
    <t xml:space="preserve">10018×320×32；页215</t>
  </si>
  <si>
    <t xml:space="preserve">10218×320×32；页215</t>
  </si>
  <si>
    <t xml:space="preserve">1200×1200×16；页215</t>
  </si>
  <si>
    <t xml:space="preserve">3640×900×36；页215</t>
  </si>
  <si>
    <t xml:space="preserve">5940×1200×32；页215</t>
  </si>
  <si>
    <t xml:space="preserve">5240× 240×24；页215</t>
  </si>
  <si>
    <t xml:space="preserve">5829×1200×36；页215</t>
  </si>
  <si>
    <t xml:space="preserve">5429×1200×36；页215</t>
  </si>
  <si>
    <t xml:space="preserve">3629×1360×36；页215</t>
  </si>
  <si>
    <t xml:space="preserve">3629×320×32；页215</t>
  </si>
  <si>
    <t xml:space="preserve">5129×320×32；页215</t>
  </si>
  <si>
    <t xml:space="preserve">4729×320×32；页215</t>
  </si>
  <si>
    <t xml:space="preserve">2300×320×32；页215</t>
  </si>
  <si>
    <t xml:space="preserve">2600×320×32；页215</t>
  </si>
  <si>
    <t xml:space="preserve">1580×610×14；页215</t>
  </si>
  <si>
    <t xml:space="preserve">1576×618×14；页215</t>
  </si>
  <si>
    <t xml:space="preserve">t=24mm,A=0.47m2；页215；按净面积计</t>
  </si>
  <si>
    <t xml:space="preserve">t=24mm,A=0.48m2；页215；按净面积计</t>
  </si>
  <si>
    <t xml:space="preserve">1450×610×14；页215</t>
  </si>
  <si>
    <t xml:space="preserve">1450×626×14；页215</t>
  </si>
  <si>
    <t xml:space="preserve">边桁节段20(页219)</t>
  </si>
  <si>
    <t xml:space="preserve">t=20mm,A=11.85m2；页219；按净面积计</t>
  </si>
  <si>
    <t xml:space="preserve">t=20mm,A=10.39m2；页219；按净面积计</t>
  </si>
  <si>
    <t xml:space="preserve">7900×1200×20；页219</t>
  </si>
  <si>
    <t xml:space="preserve">7300×1200×20；页219</t>
  </si>
  <si>
    <t xml:space="preserve">t=40mm,A=19.25m2；页219；按净面积计</t>
  </si>
  <si>
    <t xml:space="preserve">7300×1648×20；页219</t>
  </si>
  <si>
    <t xml:space="preserve">1580×1200×16；页219</t>
  </si>
  <si>
    <t xml:space="preserve">1657x200x16；页219</t>
  </si>
  <si>
    <t xml:space="preserve">600×400×16；页219</t>
  </si>
  <si>
    <t xml:space="preserve">7900×240×20；页219</t>
  </si>
  <si>
    <t xml:space="preserve">N16a*</t>
  </si>
  <si>
    <t xml:space="preserve">7300×240×20；页219</t>
  </si>
  <si>
    <t xml:space="preserve">7900×1850×20；页219</t>
  </si>
  <si>
    <t xml:space="preserve">7100×1850×20；页219</t>
  </si>
  <si>
    <t xml:space="preserve">t=20mm,A=12.53m2；页219；按净面积计</t>
  </si>
  <si>
    <t xml:space="preserve">t=20mm,A=9.71m2；页219；按净面积计</t>
  </si>
  <si>
    <t xml:space="preserve">t=40mm,A=18.38m2；页219；按净面积计</t>
  </si>
  <si>
    <t xml:space="preserve">7300×1470×24；页219</t>
  </si>
  <si>
    <t xml:space="preserve">1450×1200×16；页219</t>
  </si>
  <si>
    <t xml:space="preserve">1657×200×16；页219</t>
  </si>
  <si>
    <t xml:space="preserve">7100×240×20；页219</t>
  </si>
  <si>
    <t xml:space="preserve">15000×170×14；页219</t>
  </si>
  <si>
    <t xml:space="preserve">7227×900×36；页219</t>
  </si>
  <si>
    <t xml:space="preserve">12027×1200×32；页219</t>
  </si>
  <si>
    <t xml:space="preserve">10627×240× 24；页219</t>
  </si>
  <si>
    <t xml:space="preserve">3657×900×36；页219</t>
  </si>
  <si>
    <t xml:space="preserve">5957×1200×32；页219</t>
  </si>
  <si>
    <t xml:space="preserve">5257×240×24；页219</t>
  </si>
  <si>
    <t xml:space="preserve">3640×900×36；页219</t>
  </si>
  <si>
    <t xml:space="preserve">6240×1200×32；页219</t>
  </si>
  <si>
    <t xml:space="preserve">5540× 240×24；页219</t>
  </si>
  <si>
    <t xml:space="preserve">878×1200×20；页219</t>
  </si>
  <si>
    <t xml:space="preserve">1030×1200×20；页219</t>
  </si>
  <si>
    <t xml:space="preserve">1580×610×14；页219</t>
  </si>
  <si>
    <t xml:space="preserve">1580×630×14；页219</t>
  </si>
  <si>
    <t xml:space="preserve">t=24mm,A=0.47m2；页219；按净面积计</t>
  </si>
  <si>
    <t xml:space="preserve">t=24mm,A=0.48m2；页219；按净面积计</t>
  </si>
  <si>
    <t xml:space="preserve">1450×610×14；页219</t>
  </si>
  <si>
    <t xml:space="preserve">1450×626×14；页219</t>
  </si>
  <si>
    <t xml:space="preserve">边桁节段21(页223)</t>
  </si>
  <si>
    <t xml:space="preserve">t=20mm,A=11.85m2；页223；按净面积计</t>
  </si>
  <si>
    <t xml:space="preserve">t=20mm,A=12.8m2；页223；按净面积计</t>
  </si>
  <si>
    <t xml:space="preserve">7900×1200×20；页223</t>
  </si>
  <si>
    <t xml:space="preserve">8800×1200×20；页223</t>
  </si>
  <si>
    <t xml:space="preserve">t=40mm,A=19.21m2；页223；按净面积计</t>
  </si>
  <si>
    <t xml:space="preserve">8800×1648×20；页223</t>
  </si>
  <si>
    <t xml:space="preserve">1580×1200×16；页223</t>
  </si>
  <si>
    <t xml:space="preserve">1657×200x16；页223</t>
  </si>
  <si>
    <t xml:space="preserve">600×400×16；页223</t>
  </si>
  <si>
    <t xml:space="preserve">7900×240×20；页223</t>
  </si>
  <si>
    <t xml:space="preserve">8800×240×20；页223</t>
  </si>
  <si>
    <t xml:space="preserve">7900×1850×20；页223</t>
  </si>
  <si>
    <t xml:space="preserve">10100×1850×20；页223</t>
  </si>
  <si>
    <t xml:space="preserve">t=20mm,A=12.53m2；页223；按净面积计</t>
  </si>
  <si>
    <t xml:space="preserve">t=20mm,A=14.16m2；页223；按净面积计</t>
  </si>
  <si>
    <t xml:space="preserve">t=40mm,A=18.38m2；页223；按净面积计</t>
  </si>
  <si>
    <t xml:space="preserve">10300×1470×24；页223</t>
  </si>
  <si>
    <t xml:space="preserve">1450×1200×16；页223</t>
  </si>
  <si>
    <t xml:space="preserve">1657×200×16；页223</t>
  </si>
  <si>
    <t xml:space="preserve">10100×240×20；页223</t>
  </si>
  <si>
    <t xml:space="preserve">18000×170×14；页223</t>
  </si>
  <si>
    <t xml:space="preserve">8075×900×36；页223</t>
  </si>
  <si>
    <t xml:space="preserve">12975×1200×32；页223</t>
  </si>
  <si>
    <t xml:space="preserve">11575×240×24；页223</t>
  </si>
  <si>
    <t xml:space="preserve">4054×900×36；页223</t>
  </si>
  <si>
    <t xml:space="preserve">6404×1200×32；页223</t>
  </si>
  <si>
    <t xml:space="preserve">5704×240×24；页223</t>
  </si>
  <si>
    <t xml:space="preserve">3657×900×36；页223</t>
  </si>
  <si>
    <t xml:space="preserve">6257×1200×32；页223</t>
  </si>
  <si>
    <t xml:space="preserve">5557×240×24；页223</t>
  </si>
  <si>
    <t xml:space="preserve">904×1200×20；页223</t>
  </si>
  <si>
    <t xml:space="preserve">1114×1200×20；页223</t>
  </si>
  <si>
    <t xml:space="preserve">1580×610×14；页223</t>
  </si>
  <si>
    <t xml:space="preserve">1580×630×14；页223</t>
  </si>
  <si>
    <t xml:space="preserve">t=24mm,A=0.47m2；页223；按净面积计</t>
  </si>
  <si>
    <t xml:space="preserve">t=24mm,A=0.48m2；页223；按净面积计</t>
  </si>
  <si>
    <t xml:space="preserve">1450×610×14；页223</t>
  </si>
  <si>
    <t xml:space="preserve">1450×626×14；页223</t>
  </si>
  <si>
    <t xml:space="preserve">边桁节段22(页229)</t>
  </si>
  <si>
    <t xml:space="preserve">t=20mm,A=35.41m2；页229；按净面积计</t>
  </si>
  <si>
    <t xml:space="preserve">3150x320x32；页229</t>
  </si>
  <si>
    <t xml:space="preserve">23700×1200×20；页229</t>
  </si>
  <si>
    <t xml:space="preserve">2800×320x32；页229</t>
  </si>
  <si>
    <t xml:space="preserve">t=20mm,A=16.97m2；页229；按净面积计</t>
  </si>
  <si>
    <t xml:space="preserve">750x320x28；页229</t>
  </si>
  <si>
    <t xml:space="preserve">t=28mm,A=10.71m2；页229；按净面积计</t>
  </si>
  <si>
    <t xml:space="preserve">2300x320x32；页229</t>
  </si>
  <si>
    <t xml:space="preserve">t=40mm,A=20.8m2；页229；按净面积计</t>
  </si>
  <si>
    <t xml:space="preserve">1580x1200×16；页229</t>
  </si>
  <si>
    <t xml:space="preserve">2600x320x32；页229</t>
  </si>
  <si>
    <t xml:space="preserve">N15b</t>
  </si>
  <si>
    <t xml:space="preserve">1580x1200x16；页229</t>
  </si>
  <si>
    <t xml:space="preserve">3904×900×36；页229</t>
  </si>
  <si>
    <t xml:space="preserve">1657x200x16；页229</t>
  </si>
  <si>
    <t xml:space="preserve">6504×1200×32；页229</t>
  </si>
  <si>
    <t xml:space="preserve">5804×240×24；页229</t>
  </si>
  <si>
    <t xml:space="preserve">600×400×16；页229</t>
  </si>
  <si>
    <t xml:space="preserve">1580x610x16；页229</t>
  </si>
  <si>
    <t xml:space="preserve">5651x240×20；页229</t>
  </si>
  <si>
    <t xml:space="preserve">1580x622x16；页229</t>
  </si>
  <si>
    <t xml:space="preserve">7700x240×20；页229</t>
  </si>
  <si>
    <t xml:space="preserve">N71b </t>
  </si>
  <si>
    <t xml:space="preserve">1580x630x16；页229</t>
  </si>
  <si>
    <t xml:space="preserve">70300×240x20；页229</t>
  </si>
  <si>
    <t xml:space="preserve">t=24mm,A=0.47m2；页229；按净面积计</t>
  </si>
  <si>
    <t xml:space="preserve">23650x240×20；页229</t>
  </si>
  <si>
    <t xml:space="preserve">t=24mm,A=0.48m2；页229；按净面积计</t>
  </si>
  <si>
    <t xml:space="preserve">23650x240x20；页229</t>
  </si>
  <si>
    <t xml:space="preserve">t=24mm,A=0.97m2；页229；按净面积计</t>
  </si>
  <si>
    <t xml:space="preserve">4809x1850x20；页229</t>
  </si>
  <si>
    <t xml:space="preserve">1450x626x16；页229</t>
  </si>
  <si>
    <t xml:space="preserve">17804x1850x20；页229</t>
  </si>
  <si>
    <t xml:space="preserve">N73α</t>
  </si>
  <si>
    <t xml:space="preserve">1450x610x16；页229</t>
  </si>
  <si>
    <t xml:space="preserve">t=36mm,A=9.73m2；页229；按净面积计</t>
  </si>
  <si>
    <t xml:space="preserve"> N81</t>
  </si>
  <si>
    <t xml:space="preserve">1450×1200x32；页229</t>
  </si>
  <si>
    <t xml:space="preserve">t=20mm,A=26.07m2；页229；按净面积计</t>
  </si>
  <si>
    <t xml:space="preserve">502×240×20；页229</t>
  </si>
  <si>
    <t xml:space="preserve">10103x1470×24；页229</t>
  </si>
  <si>
    <t xml:space="preserve">1800×1800x80；页229</t>
  </si>
  <si>
    <t xml:space="preserve">t=40mm,A=16.6m2；页229；按净面积计</t>
  </si>
  <si>
    <t xml:space="preserve">1000x568x32；页229</t>
  </si>
  <si>
    <t xml:space="preserve">N24α</t>
  </si>
  <si>
    <t xml:space="preserve">t=40mm,A=21.3m2；页229；按净面积计</t>
  </si>
  <si>
    <t xml:space="preserve">1350x570x32；页229</t>
  </si>
  <si>
    <t xml:space="preserve">1450×1200×16；页229</t>
  </si>
  <si>
    <t xml:space="preserve">2200x650x32；页229</t>
  </si>
  <si>
    <t xml:space="preserve">1657x200×16；页229</t>
  </si>
  <si>
    <t xml:space="preserve">1450x1200×16；页229</t>
  </si>
  <si>
    <t xml:space="preserve">N26o</t>
  </si>
  <si>
    <t xml:space="preserve">2792x320x32；页229</t>
  </si>
  <si>
    <t xml:space="preserve">10103x240×20；页229</t>
  </si>
  <si>
    <t xml:space="preserve">7700x240x20；页229</t>
  </si>
  <si>
    <t xml:space="preserve">17803x240x20；页229</t>
  </si>
  <si>
    <t xml:space="preserve">N26d*</t>
  </si>
  <si>
    <t xml:space="preserve">2983x320x32；页229</t>
  </si>
  <si>
    <t xml:space="preserve">20592x170×14；页229</t>
  </si>
  <si>
    <t xml:space="preserve">11768×1200×36；页229</t>
  </si>
  <si>
    <t xml:space="preserve">12368×1200×36；页229</t>
  </si>
  <si>
    <t xml:space="preserve">7568×1360×36；页229</t>
  </si>
  <si>
    <t xml:space="preserve">7568×320×32；页229</t>
  </si>
  <si>
    <t xml:space="preserve">10368×320×32；页229</t>
  </si>
  <si>
    <t xml:space="preserve">10968×320×32；页229</t>
  </si>
  <si>
    <t xml:space="preserve">1200×1200×16；页229</t>
  </si>
  <si>
    <t xml:space="preserve">12317×1200×36；页229</t>
  </si>
  <si>
    <t xml:space="preserve">7717×1360×36；页229</t>
  </si>
  <si>
    <t xml:space="preserve">7717× 320× 32；页229</t>
  </si>
  <si>
    <t xml:space="preserve">11217×320×32；页229</t>
  </si>
  <si>
    <t xml:space="preserve">11617×320×32；页229</t>
  </si>
  <si>
    <t xml:space="preserve">10637x1200x20；页229</t>
  </si>
  <si>
    <t xml:space="preserve">整腹杆腹板</t>
  </si>
  <si>
    <t xml:space="preserve">6737×1500x20；页229</t>
  </si>
  <si>
    <t xml:space="preserve">1400×1200×16；页229</t>
  </si>
  <si>
    <t xml:space="preserve">6737x190x16；页229</t>
  </si>
  <si>
    <t xml:space="preserve">N53o</t>
  </si>
  <si>
    <t xml:space="preserve">9237×190x16；页229</t>
  </si>
  <si>
    <t xml:space="preserve">7687x190x16；页229</t>
  </si>
  <si>
    <t xml:space="preserve">主桁各节段</t>
  </si>
  <si>
    <t xml:space="preserve">焊缝重(汇总表1.5%)</t>
  </si>
  <si>
    <t xml:space="preserve">Q355D/Q420D</t>
  </si>
  <si>
    <t xml:space="preserve">各节段汇总表焊缝重之和（中桁x1+边桁x2）</t>
  </si>
  <si>
    <t xml:space="preserve">小计</t>
  </si>
  <si>
    <t xml:space="preserve">按厚度汇总</t>
  </si>
  <si>
    <t xml:space="preserve">以下为待核行（不计入合计/汇总）</t>
  </si>
  <si>
    <t xml:space="preserve">页68</t>
  </si>
  <si>
    <t xml:space="preserve">待核-未完成</t>
  </si>
  <si>
    <t xml:space="preserve">单件重与规格不符(图纸None vs 公式429.5)；规格:5343×320×32</t>
  </si>
  <si>
    <t xml:space="preserve">页85</t>
  </si>
  <si>
    <t xml:space="preserve">单件重与规格不符(图纸None vs 公式51.7)；规格:2057×200×16</t>
  </si>
  <si>
    <t xml:space="preserve">页105</t>
  </si>
  <si>
    <t xml:space="preserve">单件重与规格不符(图纸None vs 公式789.5)；规格:□9822×320×32</t>
  </si>
  <si>
    <t xml:space="preserve">页118</t>
  </si>
  <si>
    <t xml:space="preserve">数量缺失且无法反推；规格:1800×1200×16</t>
  </si>
  <si>
    <t xml:space="preserve">单件重与规格不符(图纸None vs 公式1841.1)；规格:5429×1200×36</t>
  </si>
  <si>
    <t xml:space="preserve">页141</t>
  </si>
  <si>
    <t xml:space="preserve">数量缺失且无法反推；规格:14038×1200×36</t>
  </si>
  <si>
    <t xml:space="preserve">页166</t>
  </si>
  <si>
    <t xml:space="preserve">数量缺失且无法反推；规格:5853×1200× 40</t>
  </si>
  <si>
    <t xml:space="preserve">页48</t>
  </si>
  <si>
    <t xml:space="preserve">待核-未完成(厚度不在图纸总量表)</t>
  </si>
  <si>
    <t xml:space="preserve">Q355B</t>
  </si>
  <si>
    <t xml:space="preserve">厚度4.0mm未见于图纸工程数量表（节段小件/垫板），无法归入汇总桶；规格:2057×40×4</t>
  </si>
  <si>
    <t xml:space="preserve">页52</t>
  </si>
  <si>
    <t xml:space="preserve">页56</t>
  </si>
  <si>
    <t xml:space="preserve">页60</t>
  </si>
  <si>
    <t xml:space="preserve">页64</t>
  </si>
  <si>
    <t xml:space="preserve">页73</t>
  </si>
  <si>
    <t xml:space="preserve">页77</t>
  </si>
  <si>
    <t xml:space="preserve">页81</t>
  </si>
  <si>
    <t xml:space="preserve">页89</t>
  </si>
  <si>
    <t xml:space="preserve">厚度4.0mm未见于图纸工程数量表（节段小件/垫板），无法归入汇总桶；规格:2057×40× 4</t>
  </si>
  <si>
    <t xml:space="preserve">页93</t>
  </si>
  <si>
    <t xml:space="preserve">页97</t>
  </si>
  <si>
    <t xml:space="preserve">页101</t>
  </si>
  <si>
    <t xml:space="preserve">页109</t>
  </si>
  <si>
    <t xml:space="preserve">页114</t>
  </si>
  <si>
    <t xml:space="preserve">页122</t>
  </si>
  <si>
    <t xml:space="preserve">页126</t>
  </si>
  <si>
    <t xml:space="preserve">厚度4.0mm未见于图纸工程数量表（节段小件/垫板），无法归入汇总桶；规格:4113×40×4</t>
  </si>
  <si>
    <t xml:space="preserve">页130</t>
  </si>
  <si>
    <t xml:space="preserve">页136</t>
  </si>
  <si>
    <t xml:space="preserve">厚度4.0mm未见于图纸工程数量表（节段小件/垫板），无法归入汇总桶；规格:4113x40x4</t>
  </si>
  <si>
    <t xml:space="preserve">厚度4.0mm未见于图纸工程数量表（节段小件/垫板），无法归入汇总桶；规格:1782×40×4</t>
  </si>
  <si>
    <t xml:space="preserve">页145</t>
  </si>
  <si>
    <t xml:space="preserve">页149</t>
  </si>
  <si>
    <t xml:space="preserve">页153</t>
  </si>
  <si>
    <t xml:space="preserve">页157</t>
  </si>
  <si>
    <t xml:space="preserve">页161</t>
  </si>
  <si>
    <t xml:space="preserve">页170</t>
  </si>
  <si>
    <t xml:space="preserve">页174</t>
  </si>
  <si>
    <t xml:space="preserve">页178</t>
  </si>
  <si>
    <t xml:space="preserve">页182</t>
  </si>
  <si>
    <t xml:space="preserve">页186</t>
  </si>
  <si>
    <t xml:space="preserve">页190</t>
  </si>
  <si>
    <t xml:space="preserve">厚度4.0mm未见于图纸工程数量表（节段小件/垫板），无法归入汇总桶；规格:1782×40× 4</t>
  </si>
  <si>
    <t xml:space="preserve">页194</t>
  </si>
  <si>
    <t xml:space="preserve">页198</t>
  </si>
  <si>
    <t xml:space="preserve">页202</t>
  </si>
  <si>
    <t xml:space="preserve">页207</t>
  </si>
  <si>
    <t xml:space="preserve">页211</t>
  </si>
  <si>
    <t xml:space="preserve">页215</t>
  </si>
  <si>
    <t xml:space="preserve">N15b </t>
  </si>
  <si>
    <t xml:space="preserve">页219</t>
  </si>
  <si>
    <t xml:space="preserve">页223</t>
  </si>
  <si>
    <t xml:space="preserve">页229</t>
  </si>
  <si>
    <t xml:space="preserve">全桥数量</t>
  </si>
  <si>
    <t xml:space="preserve">新沙高架桥</t>
  </si>
  <si>
    <t xml:space="preserve">横梁顶板</t>
  </si>
  <si>
    <t xml:space="preserve">T1</t>
  </si>
  <si>
    <t xml:space="preserve">横梁腹板</t>
  </si>
  <si>
    <t xml:space="preserve">T2</t>
  </si>
  <si>
    <t xml:space="preserve">A=31.01</t>
  </si>
  <si>
    <t xml:space="preserve">横梁底板</t>
  </si>
  <si>
    <t xml:space="preserve">T3</t>
  </si>
  <si>
    <t xml:space="preserve">横梁加劲板</t>
  </si>
  <si>
    <t xml:space="preserve">T4</t>
  </si>
  <si>
    <t xml:space="preserve">A=0.21</t>
  </si>
  <si>
    <t xml:space="preserve">T4a</t>
  </si>
  <si>
    <t xml:space="preserve">A=0.33</t>
  </si>
  <si>
    <t xml:space="preserve">小纵梁顶板</t>
  </si>
  <si>
    <t xml:space="preserve">T5</t>
  </si>
  <si>
    <t xml:space="preserve">A=1.43</t>
  </si>
  <si>
    <t xml:space="preserve">T5a</t>
  </si>
  <si>
    <t xml:space="preserve">A=1.31</t>
  </si>
  <si>
    <t xml:space="preserve">T5b</t>
  </si>
  <si>
    <t xml:space="preserve">A=1.13</t>
  </si>
  <si>
    <t xml:space="preserve">T5c</t>
  </si>
  <si>
    <t xml:space="preserve">A=0.88</t>
  </si>
  <si>
    <t xml:space="preserve">小纵梁腹板</t>
  </si>
  <si>
    <t xml:space="preserve">T6</t>
  </si>
  <si>
    <t xml:space="preserve">A=1.19</t>
  </si>
  <si>
    <t xml:space="preserve">T6a</t>
  </si>
  <si>
    <t xml:space="preserve">A=1.09</t>
  </si>
  <si>
    <t xml:space="preserve">T6b</t>
  </si>
  <si>
    <t xml:space="preserve">A=0.94</t>
  </si>
  <si>
    <t xml:space="preserve">T6c</t>
  </si>
  <si>
    <t xml:space="preserve">A=0.74</t>
  </si>
  <si>
    <t xml:space="preserve">小纵梁底板</t>
  </si>
  <si>
    <t xml:space="preserve">T7</t>
  </si>
  <si>
    <t xml:space="preserve">A=0.71</t>
  </si>
  <si>
    <t xml:space="preserve">T7a</t>
  </si>
  <si>
    <t xml:space="preserve">A=0.65</t>
  </si>
  <si>
    <t xml:space="preserve">T7b</t>
  </si>
  <si>
    <t xml:space="preserve">A=0.56</t>
  </si>
  <si>
    <t xml:space="preserve">T7c</t>
  </si>
  <si>
    <t xml:space="preserve">A=0.44</t>
  </si>
  <si>
    <t xml:space="preserve">端横梁顶板</t>
  </si>
  <si>
    <t xml:space="preserve">T21</t>
  </si>
  <si>
    <t xml:space="preserve">A=26.43</t>
  </si>
  <si>
    <t xml:space="preserve">端横梁腹板</t>
  </si>
  <si>
    <t xml:space="preserve">T22</t>
  </si>
  <si>
    <t xml:space="preserve">T22'</t>
  </si>
  <si>
    <t xml:space="preserve">A=30.56</t>
  </si>
  <si>
    <t xml:space="preserve">端横梁底板</t>
  </si>
  <si>
    <t xml:space="preserve">T23</t>
  </si>
  <si>
    <t xml:space="preserve">端横梁加劲板</t>
  </si>
  <si>
    <t xml:space="preserve">T24</t>
  </si>
  <si>
    <t xml:space="preserve">A=0.31</t>
  </si>
  <si>
    <t xml:space="preserve">T25</t>
  </si>
  <si>
    <t xml:space="preserve">A=2.23</t>
  </si>
  <si>
    <t xml:space="preserve">端横梁隔板加劲</t>
  </si>
  <si>
    <t xml:space="preserve">T26</t>
  </si>
  <si>
    <t xml:space="preserve">A=0.30</t>
  </si>
  <si>
    <t xml:space="preserve">小纵梁腹板接头</t>
  </si>
  <si>
    <t xml:space="preserve">T27</t>
  </si>
  <si>
    <t xml:space="preserve">A=0.2</t>
  </si>
  <si>
    <t xml:space="preserve">线缆孔加劲</t>
  </si>
  <si>
    <t xml:space="preserve">T30</t>
  </si>
  <si>
    <t xml:space="preserve">A=0.4</t>
  </si>
  <si>
    <t xml:space="preserve">小纵梁拼接板</t>
  </si>
  <si>
    <t xml:space="preserve">T50</t>
  </si>
  <si>
    <t xml:space="preserve">A=0.13</t>
  </si>
  <si>
    <t xml:space="preserve">横梁拼接板</t>
  </si>
  <si>
    <t xml:space="preserve">T60</t>
  </si>
  <si>
    <t xml:space="preserve">T61</t>
  </si>
  <si>
    <t xml:space="preserve">T62</t>
  </si>
  <si>
    <t xml:space="preserve">T63</t>
  </si>
  <si>
    <t xml:space="preserve">上层桥面系焊缝重</t>
  </si>
  <si>
    <t xml:space="preserve">上层桥面系其他</t>
  </si>
  <si>
    <t xml:space="preserve">Q235B/Q355C</t>
  </si>
  <si>
    <t xml:space="preserve">Q235B 484.4 + Q355C 28.4</t>
  </si>
  <si>
    <t xml:space="preserve">待设计核实</t>
  </si>
  <si>
    <t xml:space="preserve">本册为上层钢桁梁图册，梁底挡块数量见下部构造/支座相关图纸，待核实后补充</t>
  </si>
  <si>
    <t xml:space="preserve">防撞护栏</t>
  </si>
  <si>
    <t xml:space="preserve">SS级+SA级</t>
  </si>
  <si>
    <t xml:space="preserve">Q355C</t>
  </si>
  <si>
    <t xml:space="preserve">页21 附属工程</t>
  </si>
  <si>
    <t xml:space="preserve">路灯底座预埋</t>
  </si>
  <si>
    <t xml:space="preserve">LD</t>
  </si>
  <si>
    <t xml:space="preserve">伸缩缝</t>
  </si>
  <si>
    <t xml:space="preserve">D240/D320</t>
  </si>
  <si>
    <t xml:space="preserve">页20 附属工程</t>
  </si>
  <si>
    <t xml:space="preserve">集中排水</t>
  </si>
  <si>
    <t xml:space="preserve">PS-t20</t>
  </si>
  <si>
    <t xml:space="preserve">PS-t16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</si>
</sst>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_ "/>
    <numFmt numFmtId="166" formatCode="0.00_ "/>
    <numFmt numFmtId="167" formatCode="0.0_ 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宋体"/>
      <family val="0"/>
      <charset val="134"/>
    </font>
    <font>
      <b val="true"/>
      <sz val="9"/>
      <color theme="1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228600</xdr:colOff>
      <xdr:row>9</xdr:row>
      <xdr:rowOff>241200</xdr:rowOff>
    </xdr:from>
    <xdr:to>
      <xdr:col>19</xdr:col>
      <xdr:colOff>497160</xdr:colOff>
      <xdr:row>26</xdr:row>
      <xdr:rowOff>75240</xdr:rowOff>
    </xdr:to>
    <xdr:pic>
      <xdr:nvPicPr>
        <xdr:cNvPr id="1" name="图片 1"/>
        <xdr:cNvPicPr/>
      </xdr:nvPicPr>
      <xdr:blipFill>
        <a:blip r:embed="rId1"/>
        <a:stretch/>
      </xdr:blipFill>
      <xdr:spPr>
        <a:xfrm>
          <a:off x="7321680" y="2889000"/>
          <a:ext cx="4059360" cy="3053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Relationship Id="rId2" Type="http://schemas.openxmlformats.org/officeDocument/2006/relationships/drawing" Target="../drawings/drawing_wm2.xml"/>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Relationship Id="rId2" Type="http://schemas.openxmlformats.org/officeDocument/2006/relationships/drawing" Target="../drawings/drawing_wm3.xml"/>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Relationship Id="rId2" Type="http://schemas.openxmlformats.org/officeDocument/2006/relationships/drawing" Target="../drawings/drawing_wm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pageBreakPreview" topLeftCell="A1" colorId="64" zoomScale="113" zoomScaleNormal="100" zoomScalePageLayoutView="113" workbookViewId="0">
      <selection pane="topLeft" activeCell="I9" activeCellId="0" sqref="I9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16.27"/>
    <col collapsed="false" customWidth="false" hidden="false" outlineLevel="0" max="4" min="2" style="1" width="9"/>
    <col collapsed="false" customWidth="true" hidden="false" outlineLevel="0" max="5" min="5" style="1" width="9.56"/>
    <col collapsed="false" customWidth="true" hidden="false" outlineLevel="0" max="6" min="6" style="1" width="10.53"/>
    <col collapsed="false" customWidth="true" hidden="false" outlineLevel="0" max="7" min="7" style="1" width="12.91"/>
    <col collapsed="false" customWidth="true" hidden="false" outlineLevel="0" max="8" min="8" style="1" width="9.56"/>
    <col collapsed="false" customWidth="true" hidden="false" outlineLevel="0" max="9" min="9" style="1" width="53.13"/>
    <col collapsed="false" customWidth="false" hidden="false" outlineLevel="0" max="16384" min="10" style="1" width="9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/>
      <c r="F2" s="3"/>
      <c r="G2" s="3" t="s">
        <v>4</v>
      </c>
      <c r="H2" s="3" t="s">
        <v>5</v>
      </c>
      <c r="I2" s="3" t="s">
        <v>6</v>
      </c>
    </row>
    <row r="3" customFormat="false" ht="19.5" hidden="false" customHeight="true" outlineLevel="0" collapsed="false">
      <c r="A3" s="3"/>
      <c r="B3" s="3"/>
      <c r="C3" s="3"/>
      <c r="D3" s="3" t="s">
        <v>7</v>
      </c>
      <c r="E3" s="3" t="s">
        <v>8</v>
      </c>
      <c r="F3" s="3" t="s">
        <v>9</v>
      </c>
      <c r="G3" s="3"/>
      <c r="H3" s="3"/>
      <c r="I3" s="3"/>
    </row>
    <row r="4" customFormat="false" ht="19.5" hidden="false" customHeight="true" outlineLevel="0" collapsed="false">
      <c r="A4" s="3" t="s">
        <v>10</v>
      </c>
      <c r="B4" s="3" t="n">
        <v>8</v>
      </c>
      <c r="C4" s="3" t="s">
        <v>11</v>
      </c>
      <c r="D4" s="3" t="n">
        <v>1352.2</v>
      </c>
      <c r="E4" s="3" t="n">
        <v>0</v>
      </c>
      <c r="F4" s="3" t="n">
        <f aca="false">D4+E4</f>
        <v>1352.2</v>
      </c>
      <c r="G4" s="4" t="n">
        <f aca="false">主梁数量!N2195+横隔板!N38+附属预埋件!N10</f>
        <v>0</v>
      </c>
      <c r="H4" s="4" t="n">
        <f aca="false">G4-F4</f>
        <v>-1352.2</v>
      </c>
      <c r="I4" s="3" t="s">
        <v>12</v>
      </c>
    </row>
    <row r="5" customFormat="false" ht="19.5" hidden="false" customHeight="true" outlineLevel="0" collapsed="false">
      <c r="A5" s="3"/>
      <c r="B5" s="3" t="n">
        <v>10</v>
      </c>
      <c r="C5" s="3" t="s">
        <v>11</v>
      </c>
      <c r="D5" s="3" t="n">
        <v>40128</v>
      </c>
      <c r="E5" s="3" t="n">
        <v>0</v>
      </c>
      <c r="F5" s="3" t="n">
        <f aca="false">D5+E5</f>
        <v>40128</v>
      </c>
      <c r="G5" s="4" t="n">
        <f aca="false">主梁数量!O2195+横隔板!O38+附属预埋件!O10</f>
        <v>39919.6992</v>
      </c>
      <c r="H5" s="4" t="n">
        <f aca="false">G5-F5</f>
        <v>-208.300799999997</v>
      </c>
      <c r="I5" s="3" t="s">
        <v>13</v>
      </c>
    </row>
    <row r="6" customFormat="false" ht="19.5" hidden="false" customHeight="true" outlineLevel="0" collapsed="false">
      <c r="A6" s="3"/>
      <c r="B6" s="3" t="n">
        <v>12</v>
      </c>
      <c r="C6" s="3" t="s">
        <v>11</v>
      </c>
      <c r="D6" s="3" t="n">
        <v>193459.1</v>
      </c>
      <c r="E6" s="3" t="n">
        <v>0</v>
      </c>
      <c r="F6" s="3" t="n">
        <f aca="false">D6+E6</f>
        <v>193459.1</v>
      </c>
      <c r="G6" s="4" t="n">
        <f aca="false">主梁数量!P2195+横隔板!P38+附属预埋件!P10</f>
        <v>191410.40592</v>
      </c>
      <c r="H6" s="4" t="n">
        <f aca="false">G6-F6</f>
        <v>-2048.69408000002</v>
      </c>
      <c r="I6" s="3" t="s">
        <v>12</v>
      </c>
    </row>
    <row r="7" customFormat="false" ht="19.5" hidden="false" customHeight="true" outlineLevel="0" collapsed="false">
      <c r="A7" s="3"/>
      <c r="B7" s="3" t="n">
        <v>14</v>
      </c>
      <c r="C7" s="3" t="s">
        <v>11</v>
      </c>
      <c r="D7" s="3" t="n">
        <v>847139</v>
      </c>
      <c r="E7" s="3" t="n">
        <v>2518.5</v>
      </c>
      <c r="F7" s="3" t="n">
        <f aca="false">D7+E7</f>
        <v>849657.5</v>
      </c>
      <c r="G7" s="4" t="n">
        <f aca="false">主梁数量!Q2195+横隔板!Q38+附属预埋件!Q10</f>
        <v>907550.1354584</v>
      </c>
      <c r="H7" s="4" t="n">
        <f aca="false">G7-F7</f>
        <v>57892.6354584001</v>
      </c>
      <c r="I7" s="3"/>
    </row>
    <row r="8" customFormat="false" ht="19.5" hidden="false" customHeight="true" outlineLevel="0" collapsed="false">
      <c r="A8" s="3"/>
      <c r="B8" s="3" t="n">
        <v>16</v>
      </c>
      <c r="C8" s="3" t="s">
        <v>11</v>
      </c>
      <c r="D8" s="3" t="n">
        <v>129234.4</v>
      </c>
      <c r="E8" s="3" t="n">
        <v>27946.9</v>
      </c>
      <c r="F8" s="3" t="n">
        <f aca="false">D8+E8</f>
        <v>157181.3</v>
      </c>
      <c r="G8" s="4" t="n">
        <f aca="false">主梁数量!R2195+横隔板!R38+附属预埋件!R10</f>
        <v>285658.70656</v>
      </c>
      <c r="H8" s="4" t="n">
        <f aca="false">G8-F8</f>
        <v>128477.40656</v>
      </c>
      <c r="I8" s="3"/>
    </row>
    <row r="9" customFormat="false" ht="19.5" hidden="false" customHeight="true" outlineLevel="0" collapsed="false">
      <c r="A9" s="3"/>
      <c r="B9" s="3" t="n">
        <v>20</v>
      </c>
      <c r="C9" s="3" t="s">
        <v>11</v>
      </c>
      <c r="D9" s="3" t="n">
        <v>879520.9</v>
      </c>
      <c r="E9" s="3" t="n">
        <v>0</v>
      </c>
      <c r="F9" s="3" t="n">
        <f aca="false">D9+E9</f>
        <v>879520.9</v>
      </c>
      <c r="G9" s="4" t="n">
        <f aca="false">主梁数量!S2195+横隔板!S38+附属预埋件!S10</f>
        <v>1273686.211236</v>
      </c>
      <c r="H9" s="4" t="n">
        <f aca="false">G9-F9</f>
        <v>394165.311236</v>
      </c>
      <c r="I9" s="3"/>
    </row>
    <row r="10" customFormat="false" ht="19.5" hidden="false" customHeight="true" outlineLevel="0" collapsed="false">
      <c r="A10" s="3"/>
      <c r="B10" s="3" t="n">
        <v>24</v>
      </c>
      <c r="C10" s="3" t="s">
        <v>11</v>
      </c>
      <c r="D10" s="3" t="n">
        <v>890863</v>
      </c>
      <c r="E10" s="3" t="n">
        <v>11198.7</v>
      </c>
      <c r="F10" s="3" t="n">
        <f aca="false">D10+E10</f>
        <v>902061.7</v>
      </c>
      <c r="G10" s="4" t="n">
        <f aca="false">主梁数量!T2195+横隔板!T38+附属预埋件!T10</f>
        <v>1143119.988024</v>
      </c>
      <c r="H10" s="4" t="n">
        <f aca="false">G10-F10</f>
        <v>241058.288024</v>
      </c>
      <c r="I10" s="3"/>
    </row>
    <row r="11" customFormat="false" ht="19.5" hidden="false" customHeight="true" outlineLevel="0" collapsed="false">
      <c r="A11" s="3"/>
      <c r="B11" s="3" t="n">
        <v>28</v>
      </c>
      <c r="C11" s="3" t="s">
        <v>11</v>
      </c>
      <c r="D11" s="3" t="n">
        <v>105369.4</v>
      </c>
      <c r="E11" s="3" t="n">
        <v>12062.2</v>
      </c>
      <c r="F11" s="3" t="n">
        <f aca="false">D11+E11</f>
        <v>117431.6</v>
      </c>
      <c r="G11" s="4" t="n">
        <f aca="false">主梁数量!U2195+横隔板!U38+附属预埋件!U10</f>
        <v>120224.4456</v>
      </c>
      <c r="H11" s="4" t="n">
        <f aca="false">G11-F11</f>
        <v>2792.84560000002</v>
      </c>
      <c r="I11" s="3"/>
    </row>
    <row r="12" customFormat="false" ht="19.5" hidden="false" customHeight="true" outlineLevel="0" collapsed="false">
      <c r="A12" s="3"/>
      <c r="B12" s="3" t="n">
        <v>32</v>
      </c>
      <c r="C12" s="3" t="s">
        <v>11</v>
      </c>
      <c r="D12" s="3" t="n">
        <v>408675.6</v>
      </c>
      <c r="E12" s="3" t="n">
        <v>285997.4</v>
      </c>
      <c r="F12" s="3" t="n">
        <f aca="false">D12+E12</f>
        <v>694673</v>
      </c>
      <c r="G12" s="4" t="n">
        <f aca="false">主梁数量!V2195+横隔板!V38+附属预埋件!V10</f>
        <v>1317895.3675072</v>
      </c>
      <c r="H12" s="4" t="n">
        <f aca="false">G12-F12</f>
        <v>623222.3675072</v>
      </c>
      <c r="I12" s="3"/>
    </row>
    <row r="13" customFormat="false" ht="19.5" hidden="false" customHeight="true" outlineLevel="0" collapsed="false">
      <c r="A13" s="3"/>
      <c r="B13" s="3" t="n">
        <v>36</v>
      </c>
      <c r="C13" s="3" t="s">
        <v>11</v>
      </c>
      <c r="D13" s="3" t="n">
        <v>531775</v>
      </c>
      <c r="E13" s="3" t="n">
        <v>12270.3</v>
      </c>
      <c r="F13" s="3" t="n">
        <f aca="false">D13+E13</f>
        <v>544045.3</v>
      </c>
      <c r="G13" s="4" t="n">
        <f aca="false">主梁数量!W2195+横隔板!W38+附属预埋件!W10</f>
        <v>994751.174808</v>
      </c>
      <c r="H13" s="4" t="n">
        <f aca="false">G13-F13</f>
        <v>450705.874808</v>
      </c>
      <c r="I13" s="3"/>
    </row>
    <row r="14" customFormat="false" ht="19.5" hidden="false" customHeight="true" outlineLevel="0" collapsed="false">
      <c r="A14" s="3"/>
      <c r="B14" s="3" t="n">
        <v>40</v>
      </c>
      <c r="C14" s="3" t="s">
        <v>11</v>
      </c>
      <c r="D14" s="3" t="n">
        <v>497184.5</v>
      </c>
      <c r="E14" s="3" t="n">
        <v>341284.8</v>
      </c>
      <c r="F14" s="3" t="n">
        <f aca="false">D14+E14</f>
        <v>838469.3</v>
      </c>
      <c r="G14" s="4" t="n">
        <f aca="false">主梁数量!X2195+横隔板!X38+附属预埋件!X10</f>
        <v>1603068.54576</v>
      </c>
      <c r="H14" s="4" t="n">
        <f aca="false">G14-F14</f>
        <v>764599.24576</v>
      </c>
      <c r="I14" s="3"/>
    </row>
    <row r="15" customFormat="false" ht="19.5" hidden="false" customHeight="true" outlineLevel="0" collapsed="false">
      <c r="A15" s="3"/>
      <c r="B15" s="3" t="n">
        <v>44</v>
      </c>
      <c r="C15" s="3" t="s">
        <v>11</v>
      </c>
      <c r="D15" s="3" t="n">
        <v>150793.2</v>
      </c>
      <c r="E15" s="3" t="n">
        <v>256021.5</v>
      </c>
      <c r="F15" s="3" t="n">
        <f aca="false">D15+E15</f>
        <v>406814.7</v>
      </c>
      <c r="G15" s="4" t="n">
        <f aca="false">主梁数量!Y2195+横隔板!Y38+附属预埋件!Y10</f>
        <v>771857.7342256</v>
      </c>
      <c r="H15" s="4" t="n">
        <f aca="false">G15-F15</f>
        <v>365043.0342256</v>
      </c>
      <c r="I15" s="3"/>
    </row>
    <row r="16" customFormat="false" ht="19.5" hidden="false" customHeight="true" outlineLevel="0" collapsed="false">
      <c r="A16" s="3"/>
      <c r="B16" s="3" t="n">
        <v>48</v>
      </c>
      <c r="C16" s="3" t="s">
        <v>11</v>
      </c>
      <c r="D16" s="3" t="n">
        <v>33973.3</v>
      </c>
      <c r="E16" s="3" t="n">
        <v>249660.1</v>
      </c>
      <c r="F16" s="3" t="n">
        <f aca="false">D16+E16</f>
        <v>283633.4</v>
      </c>
      <c r="G16" s="4" t="n">
        <f aca="false">主梁数量!Z2195+横隔板!Z38+附属预埋件!Z10</f>
        <v>547061.5292544</v>
      </c>
      <c r="H16" s="4" t="n">
        <f aca="false">G16-F16</f>
        <v>263428.1292544</v>
      </c>
      <c r="I16" s="3"/>
    </row>
    <row r="17" customFormat="false" ht="19.5" hidden="false" customHeight="true" outlineLevel="0" collapsed="false">
      <c r="A17" s="3"/>
      <c r="B17" s="3" t="n">
        <v>60</v>
      </c>
      <c r="C17" s="3" t="s">
        <v>11</v>
      </c>
      <c r="D17" s="3" t="n">
        <v>0</v>
      </c>
      <c r="E17" s="3" t="n">
        <v>2458.8</v>
      </c>
      <c r="F17" s="3" t="n">
        <f aca="false">D17+E17</f>
        <v>2458.8</v>
      </c>
      <c r="G17" s="4" t="n">
        <f aca="false">主梁数量!AA2195+横隔板!AA38+附属预埋件!AA10</f>
        <v>4933.6308</v>
      </c>
      <c r="H17" s="4" t="n">
        <f aca="false">G17-F17</f>
        <v>2474.8308</v>
      </c>
      <c r="I17" s="3"/>
    </row>
    <row r="18" customFormat="false" ht="19.5" hidden="false" customHeight="true" outlineLevel="0" collapsed="false">
      <c r="A18" s="3"/>
      <c r="B18" s="3" t="n">
        <v>80</v>
      </c>
      <c r="C18" s="3" t="s">
        <v>11</v>
      </c>
      <c r="D18" s="3" t="n">
        <v>3052.1</v>
      </c>
      <c r="E18" s="3" t="n">
        <v>6989.7</v>
      </c>
      <c r="F18" s="3" t="n">
        <f aca="false">D18+E18</f>
        <v>10041.8</v>
      </c>
      <c r="G18" s="4" t="n">
        <f aca="false">主梁数量!AB2195+横隔板!AB38+附属预埋件!AB10</f>
        <v>20083.44</v>
      </c>
      <c r="H18" s="4" t="n">
        <f aca="false">G18-F18</f>
        <v>10041.64</v>
      </c>
      <c r="I18" s="3"/>
    </row>
    <row r="19" customFormat="false" ht="13.5" hidden="false" customHeight="true" outlineLevel="0" collapsed="false">
      <c r="A19" s="3"/>
      <c r="B19" s="3" t="n">
        <v>100</v>
      </c>
      <c r="C19" s="3" t="s">
        <v>11</v>
      </c>
      <c r="D19" s="3" t="n">
        <v>3815.1</v>
      </c>
      <c r="E19" s="3" t="n">
        <v>8737.1</v>
      </c>
      <c r="F19" s="3" t="n">
        <f aca="false">D19+E19</f>
        <v>12552.2</v>
      </c>
      <c r="G19" s="4" t="n">
        <f aca="false">主梁数量!AC2195+横隔板!AC38+附属预埋件!AC10</f>
        <v>25104.3</v>
      </c>
      <c r="H19" s="4" t="n">
        <f aca="false">G19-F19</f>
        <v>12552.1</v>
      </c>
      <c r="I19" s="3"/>
    </row>
    <row r="20" customFormat="false" ht="13.5" hidden="false" customHeight="true" outlineLevel="0" collapsed="false">
      <c r="A20" s="3"/>
      <c r="B20" s="3" t="s">
        <v>14</v>
      </c>
      <c r="C20" s="3" t="s">
        <v>11</v>
      </c>
      <c r="D20" s="3" t="n">
        <v>68344.1</v>
      </c>
      <c r="E20" s="3" t="n">
        <v>16927.6</v>
      </c>
      <c r="F20" s="3" t="n">
        <f aca="false">D20+E20</f>
        <v>85271.7</v>
      </c>
      <c r="G20" s="4" t="n">
        <f aca="false">主梁数量!J2192+横隔板!K35</f>
        <v>140533.3</v>
      </c>
      <c r="H20" s="4" t="n">
        <f aca="false">G20-F20</f>
        <v>55261.6</v>
      </c>
      <c r="I20" s="3" t="s">
        <v>15</v>
      </c>
    </row>
    <row r="21" customFormat="false" ht="13.5" hidden="false" customHeight="true" outlineLevel="0" collapsed="false">
      <c r="A21" s="3" t="s">
        <v>16</v>
      </c>
      <c r="B21" s="3" t="s">
        <v>17</v>
      </c>
      <c r="C21" s="3" t="s">
        <v>11</v>
      </c>
      <c r="D21" s="3" t="n">
        <v>66851</v>
      </c>
      <c r="E21" s="3"/>
      <c r="F21" s="3" t="n">
        <f aca="false">D21+E21</f>
        <v>66851</v>
      </c>
      <c r="G21" s="4" t="n">
        <f aca="false">横隔板!K36+附属预埋件!K6</f>
        <v>66026.3</v>
      </c>
      <c r="H21" s="4" t="n">
        <f aca="false">G21-F21</f>
        <v>-824.699999999997</v>
      </c>
      <c r="I21" s="3" t="s">
        <v>18</v>
      </c>
    </row>
    <row r="22" customFormat="false" ht="13.5" hidden="false" customHeight="true" outlineLevel="0" collapsed="false">
      <c r="A22" s="3" t="s">
        <v>19</v>
      </c>
      <c r="B22" s="3" t="s">
        <v>17</v>
      </c>
      <c r="C22" s="3" t="s">
        <v>11</v>
      </c>
      <c r="F22" s="3" t="n">
        <f aca="false">D22+E22</f>
        <v>0</v>
      </c>
      <c r="H22" s="4" t="n">
        <f aca="false">G22-F22</f>
        <v>0</v>
      </c>
      <c r="I22" s="3" t="s">
        <v>20</v>
      </c>
    </row>
    <row r="23" customFormat="false" ht="13.5" hidden="false" customHeight="true" outlineLevel="0" collapsed="false">
      <c r="A23" s="5" t="s">
        <v>21</v>
      </c>
      <c r="C23" s="3" t="s">
        <v>11</v>
      </c>
      <c r="D23" s="3" t="n">
        <f aca="false">SUM(D4:D21)</f>
        <v>4851529.9</v>
      </c>
      <c r="E23" s="3" t="n">
        <f aca="false">SUM(E4:E21)</f>
        <v>1234073.6</v>
      </c>
      <c r="F23" s="4" t="n">
        <f aca="false">SUM(F4:F21)</f>
        <v>6085603.5</v>
      </c>
      <c r="G23" s="4" t="n">
        <f aca="false">SUM(G4:G21)</f>
        <v>9452884.9143536</v>
      </c>
      <c r="H23" s="6" t="n">
        <f aca="false">G23-F23</f>
        <v>3367281.4143536</v>
      </c>
    </row>
    <row r="24" customFormat="false" ht="13.5" hidden="false" customHeight="true" outlineLevel="0" collapsed="false">
      <c r="A24" s="3" t="s">
        <v>22</v>
      </c>
      <c r="B24" s="3" t="s">
        <v>23</v>
      </c>
      <c r="C24" s="3" t="s">
        <v>11</v>
      </c>
      <c r="D24" s="3" t="n">
        <v>250569.2</v>
      </c>
      <c r="F24" s="3" t="n">
        <f aca="false">D24+E24</f>
        <v>250569.2</v>
      </c>
      <c r="G24" s="4" t="n">
        <f aca="false">附属预埋件!K4</f>
        <v>250569.2</v>
      </c>
      <c r="H24" s="4" t="n">
        <f aca="false">G24-F24</f>
        <v>0</v>
      </c>
    </row>
    <row r="25" customFormat="false" ht="13.5" hidden="false" customHeight="true" outlineLevel="0" collapsed="false">
      <c r="A25" s="3"/>
      <c r="B25" s="3" t="s">
        <v>24</v>
      </c>
      <c r="C25" s="3" t="s">
        <v>11</v>
      </c>
      <c r="D25" s="3" t="n">
        <v>314</v>
      </c>
      <c r="F25" s="3" t="n">
        <f aca="false">D25+E25</f>
        <v>314</v>
      </c>
      <c r="G25" s="4" t="n">
        <f aca="false">附属预埋件!K5</f>
        <v>314</v>
      </c>
      <c r="H25" s="4" t="n">
        <f aca="false">G25-F25</f>
        <v>0</v>
      </c>
    </row>
  </sheetData>
  <mergeCells count="10">
    <mergeCell ref="A1:I1"/>
    <mergeCell ref="A2:A3"/>
    <mergeCell ref="B2:B3"/>
    <mergeCell ref="C2:C3"/>
    <mergeCell ref="D2:F2"/>
    <mergeCell ref="G2:G3"/>
    <mergeCell ref="H2:H3"/>
    <mergeCell ref="I2:I3"/>
    <mergeCell ref="A4:A20"/>
    <mergeCell ref="A24:A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D2249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N4" activeCellId="0" sqref="N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7" width="7.09"/>
    <col collapsed="false" customWidth="true" hidden="false" outlineLevel="0" max="2" min="2" style="7" width="8.64"/>
    <col collapsed="false" customWidth="true" hidden="false" outlineLevel="0" max="7" min="5" style="7" width="9.73"/>
    <col collapsed="false" customWidth="true" hidden="false" outlineLevel="0" max="9" min="9" style="7" width="7.27"/>
    <col collapsed="false" customWidth="true" hidden="false" outlineLevel="0" max="23" min="13" style="7" width="8.56"/>
  </cols>
  <sheetData>
    <row r="1" customFormat="false" ht="27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="9" customFormat="true" ht="19.5" hidden="false" customHeight="true" outlineLevel="0" collapsed="false">
      <c r="A2" s="8" t="s">
        <v>25</v>
      </c>
      <c r="B2" s="8" t="s">
        <v>26</v>
      </c>
      <c r="C2" s="8" t="s">
        <v>27</v>
      </c>
      <c r="D2" s="8" t="s">
        <v>28</v>
      </c>
      <c r="E2" s="8" t="s">
        <v>29</v>
      </c>
      <c r="F2" s="8" t="s">
        <v>30</v>
      </c>
      <c r="G2" s="8" t="s">
        <v>31</v>
      </c>
      <c r="H2" s="8" t="s">
        <v>32</v>
      </c>
      <c r="I2" s="8" t="s">
        <v>33</v>
      </c>
      <c r="J2" s="8" t="s">
        <v>34</v>
      </c>
      <c r="K2" s="8" t="s">
        <v>6</v>
      </c>
      <c r="L2" s="8" t="s">
        <v>25</v>
      </c>
      <c r="M2" s="8" t="s">
        <v>35</v>
      </c>
      <c r="U2" s="8"/>
      <c r="V2" s="8"/>
      <c r="W2" s="8"/>
    </row>
    <row r="3" s="9" customFormat="true" ht="19.5" hidden="false" customHeight="true" outlineLevel="0" collapsed="false">
      <c r="A3" s="8"/>
      <c r="B3" s="8"/>
      <c r="C3" s="8"/>
      <c r="D3" s="8"/>
      <c r="E3" s="8" t="s">
        <v>36</v>
      </c>
      <c r="F3" s="8" t="s">
        <v>36</v>
      </c>
      <c r="G3" s="8" t="s">
        <v>36</v>
      </c>
      <c r="H3" s="8" t="s">
        <v>11</v>
      </c>
      <c r="I3" s="8"/>
      <c r="J3" s="8" t="s">
        <v>11</v>
      </c>
      <c r="K3" s="8"/>
      <c r="L3" s="8"/>
      <c r="M3" s="10"/>
      <c r="N3" s="10" t="n">
        <v>8</v>
      </c>
      <c r="O3" s="10" t="n">
        <v>10</v>
      </c>
      <c r="P3" s="10" t="n">
        <v>12</v>
      </c>
      <c r="Q3" s="10" t="n">
        <v>14</v>
      </c>
      <c r="R3" s="10" t="n">
        <v>16</v>
      </c>
      <c r="S3" s="10" t="n">
        <v>20</v>
      </c>
      <c r="T3" s="10" t="n">
        <v>24</v>
      </c>
      <c r="U3" s="11" t="n">
        <v>28</v>
      </c>
      <c r="V3" s="8" t="n">
        <v>32</v>
      </c>
      <c r="W3" s="8" t="n">
        <v>36</v>
      </c>
      <c r="X3" s="12" t="n">
        <v>40</v>
      </c>
      <c r="Y3" s="12" t="n">
        <v>44</v>
      </c>
      <c r="Z3" s="12" t="n">
        <v>48</v>
      </c>
      <c r="AA3" s="12" t="n">
        <v>60</v>
      </c>
      <c r="AB3" s="12" t="n">
        <v>80</v>
      </c>
      <c r="AC3" s="12" t="n">
        <v>100</v>
      </c>
      <c r="AD3" s="10" t="s">
        <v>9</v>
      </c>
    </row>
    <row r="4" s="9" customFormat="true" ht="19.5" hidden="false" customHeight="true" outlineLevel="0" collapsed="false">
      <c r="A4" s="8" t="s">
        <v>37</v>
      </c>
      <c r="B4" s="8" t="s">
        <v>38</v>
      </c>
      <c r="C4" s="8" t="s">
        <v>39</v>
      </c>
      <c r="D4" s="8" t="s">
        <v>40</v>
      </c>
      <c r="E4" s="8"/>
      <c r="F4" s="8"/>
      <c r="G4" s="8" t="n">
        <v>20</v>
      </c>
      <c r="H4" s="13" t="n">
        <f aca="false">M4*(G4/1000)*7850</f>
        <v>4239</v>
      </c>
      <c r="I4" s="8" t="n">
        <v>1</v>
      </c>
      <c r="J4" s="14" t="n">
        <f aca="false">H4*I4</f>
        <v>4239</v>
      </c>
      <c r="K4" s="8" t="s">
        <v>41</v>
      </c>
      <c r="L4" s="8"/>
      <c r="M4" s="15" t="n">
        <v>27</v>
      </c>
      <c r="N4" s="15"/>
      <c r="O4" s="15"/>
      <c r="P4" s="15"/>
      <c r="Q4" s="15"/>
      <c r="R4" s="15"/>
      <c r="S4" s="15"/>
      <c r="T4" s="15"/>
      <c r="U4" s="15"/>
      <c r="V4" s="15"/>
      <c r="W4" s="8"/>
    </row>
    <row r="5" s="9" customFormat="true" ht="19.5" hidden="false" customHeight="true" outlineLevel="0" collapsed="false">
      <c r="A5" s="8" t="s">
        <v>37</v>
      </c>
      <c r="B5" s="8" t="s">
        <v>42</v>
      </c>
      <c r="C5" s="8" t="s">
        <v>43</v>
      </c>
      <c r="D5" s="8" t="s">
        <v>40</v>
      </c>
      <c r="E5" s="8" t="n">
        <v>1980</v>
      </c>
      <c r="F5" s="8" t="n">
        <v>610</v>
      </c>
      <c r="G5" s="8" t="n">
        <v>16</v>
      </c>
      <c r="H5" s="13" t="n">
        <f aca="false">(E5/1000)*(F5/1000)*(G5/1000)*7850</f>
        <v>151.69968</v>
      </c>
      <c r="I5" s="8" t="n">
        <v>6</v>
      </c>
      <c r="J5" s="14" t="n">
        <f aca="false">H5*I5</f>
        <v>910.19808</v>
      </c>
      <c r="K5" s="8" t="s">
        <v>44</v>
      </c>
    </row>
    <row r="6" s="9" customFormat="true" ht="19.5" hidden="true" customHeight="true" outlineLevel="0" collapsed="false">
      <c r="A6" s="8" t="s">
        <v>37</v>
      </c>
      <c r="B6" s="8" t="s">
        <v>45</v>
      </c>
      <c r="C6" s="8" t="s">
        <v>46</v>
      </c>
      <c r="D6" s="8" t="s">
        <v>40</v>
      </c>
      <c r="E6" s="8" t="n">
        <v>13350</v>
      </c>
      <c r="F6" s="8" t="n">
        <v>1200</v>
      </c>
      <c r="G6" s="8" t="n">
        <v>20</v>
      </c>
      <c r="H6" s="13" t="n">
        <f aca="false">(E6/1000)*(F6/1000)*(G6/1000)*7850</f>
        <v>2515.14</v>
      </c>
      <c r="I6" s="8" t="n">
        <v>1</v>
      </c>
      <c r="J6" s="14" t="n">
        <f aca="false">H6*I6</f>
        <v>2515.14</v>
      </c>
      <c r="K6" s="8" t="s">
        <v>47</v>
      </c>
    </row>
    <row r="7" s="9" customFormat="true" ht="19.5" hidden="true" customHeight="true" outlineLevel="0" collapsed="false">
      <c r="A7" s="8" t="s">
        <v>37</v>
      </c>
      <c r="B7" s="8" t="s">
        <v>42</v>
      </c>
      <c r="C7" s="8" t="s">
        <v>48</v>
      </c>
      <c r="D7" s="8" t="s">
        <v>40</v>
      </c>
      <c r="E7" s="8" t="n">
        <v>1980</v>
      </c>
      <c r="F7" s="8" t="n">
        <v>650</v>
      </c>
      <c r="G7" s="8" t="n">
        <v>16</v>
      </c>
      <c r="H7" s="13" t="n">
        <f aca="false">(E7/1000)*(F7/1000)*(G7/1000)*7850</f>
        <v>161.6472</v>
      </c>
      <c r="I7" s="8" t="n">
        <v>2</v>
      </c>
      <c r="J7" s="14" t="n">
        <f aca="false">H7*I7</f>
        <v>323.2944</v>
      </c>
      <c r="K7" s="8" t="s">
        <v>49</v>
      </c>
    </row>
    <row r="8" s="9" customFormat="true" ht="19.5" hidden="true" customHeight="true" outlineLevel="0" collapsed="false">
      <c r="A8" s="8" t="s">
        <v>37</v>
      </c>
      <c r="B8" s="8" t="s">
        <v>42</v>
      </c>
      <c r="C8" s="8" t="s">
        <v>50</v>
      </c>
      <c r="D8" s="8" t="s">
        <v>40</v>
      </c>
      <c r="E8" s="8"/>
      <c r="F8" s="8"/>
      <c r="G8" s="8" t="n">
        <v>28</v>
      </c>
      <c r="H8" s="13" t="n">
        <f aca="false">M8*(G8/1000)*7850</f>
        <v>2868.39</v>
      </c>
      <c r="I8" s="8" t="n">
        <v>2</v>
      </c>
      <c r="J8" s="14" t="n">
        <f aca="false">H8*I8</f>
        <v>5736.78</v>
      </c>
      <c r="K8" s="8" t="s">
        <v>51</v>
      </c>
      <c r="M8" s="15" t="n">
        <v>13.05</v>
      </c>
    </row>
    <row r="9" s="9" customFormat="true" ht="19.5" hidden="true" customHeight="true" outlineLevel="0" collapsed="false">
      <c r="A9" s="8" t="s">
        <v>37</v>
      </c>
      <c r="B9" s="8" t="s">
        <v>42</v>
      </c>
      <c r="C9" s="8" t="s">
        <v>52</v>
      </c>
      <c r="D9" s="8" t="s">
        <v>40</v>
      </c>
      <c r="E9" s="8" t="n">
        <v>1980</v>
      </c>
      <c r="F9" s="8" t="n">
        <v>622</v>
      </c>
      <c r="G9" s="8" t="n">
        <v>16</v>
      </c>
      <c r="H9" s="13" t="n">
        <f aca="false">(E9/1000)*(F9/1000)*(G9/1000)*7850</f>
        <v>154.683936</v>
      </c>
      <c r="I9" s="8" t="n">
        <v>4</v>
      </c>
      <c r="J9" s="14" t="n">
        <f aca="false">H9*I9</f>
        <v>618.735744</v>
      </c>
      <c r="K9" s="8" t="s">
        <v>53</v>
      </c>
    </row>
    <row r="10" s="9" customFormat="true" ht="19.5" hidden="true" customHeight="true" outlineLevel="0" collapsed="false">
      <c r="A10" s="8" t="s">
        <v>37</v>
      </c>
      <c r="B10" s="8" t="s">
        <v>42</v>
      </c>
      <c r="C10" s="8" t="s">
        <v>54</v>
      </c>
      <c r="D10" s="8" t="s">
        <v>40</v>
      </c>
      <c r="E10" s="8"/>
      <c r="F10" s="8"/>
      <c r="G10" s="8" t="n">
        <v>40</v>
      </c>
      <c r="H10" s="13" t="n">
        <f aca="false">M10*(G10/1000)*7850</f>
        <v>7850</v>
      </c>
      <c r="I10" s="8" t="n">
        <v>2</v>
      </c>
      <c r="J10" s="14" t="n">
        <f aca="false">H10*I10</f>
        <v>15700</v>
      </c>
      <c r="K10" s="8" t="s">
        <v>55</v>
      </c>
      <c r="M10" s="15" t="n">
        <v>25</v>
      </c>
    </row>
    <row r="11" s="9" customFormat="true" ht="19.5" hidden="true" customHeight="true" outlineLevel="0" collapsed="false">
      <c r="A11" s="8" t="s">
        <v>37</v>
      </c>
      <c r="B11" s="8" t="s">
        <v>42</v>
      </c>
      <c r="C11" s="8" t="s">
        <v>56</v>
      </c>
      <c r="D11" s="8" t="s">
        <v>40</v>
      </c>
      <c r="E11" s="8"/>
      <c r="F11" s="8"/>
      <c r="G11" s="8" t="n">
        <v>24</v>
      </c>
      <c r="H11" s="13" t="n">
        <f aca="false">M11*(G11/1000)*7850</f>
        <v>88.548</v>
      </c>
      <c r="I11" s="8" t="n">
        <v>6</v>
      </c>
      <c r="J11" s="14" t="n">
        <f aca="false">H11*I11</f>
        <v>531.288</v>
      </c>
      <c r="K11" s="8" t="s">
        <v>57</v>
      </c>
      <c r="M11" s="15" t="n">
        <v>0.47</v>
      </c>
    </row>
    <row r="12" s="9" customFormat="true" ht="19.5" hidden="true" customHeight="true" outlineLevel="0" collapsed="false">
      <c r="A12" s="8" t="s">
        <v>37</v>
      </c>
      <c r="B12" s="8" t="s">
        <v>42</v>
      </c>
      <c r="C12" s="8" t="s">
        <v>58</v>
      </c>
      <c r="D12" s="8" t="s">
        <v>40</v>
      </c>
      <c r="E12" s="8" t="n">
        <v>1980</v>
      </c>
      <c r="F12" s="8" t="n">
        <v>1200</v>
      </c>
      <c r="G12" s="8" t="n">
        <v>16</v>
      </c>
      <c r="H12" s="13" t="n">
        <f aca="false">(E12/1000)*(F12/1000)*(G12/1000)*7850</f>
        <v>298.4256</v>
      </c>
      <c r="I12" s="8" t="n">
        <v>6</v>
      </c>
      <c r="J12" s="14" t="n">
        <f aca="false">H12*I12</f>
        <v>1790.5536</v>
      </c>
      <c r="K12" s="8" t="s">
        <v>59</v>
      </c>
    </row>
    <row r="13" s="9" customFormat="true" ht="19.5" hidden="true" customHeight="true" outlineLevel="0" collapsed="false">
      <c r="A13" s="8" t="s">
        <v>37</v>
      </c>
      <c r="B13" s="8" t="s">
        <v>42</v>
      </c>
      <c r="C13" s="8" t="s">
        <v>60</v>
      </c>
      <c r="D13" s="8" t="s">
        <v>40</v>
      </c>
      <c r="E13" s="8"/>
      <c r="F13" s="8"/>
      <c r="G13" s="8" t="n">
        <v>24</v>
      </c>
      <c r="H13" s="13" t="n">
        <f aca="false">M13*(G13/1000)*7850</f>
        <v>90.432</v>
      </c>
      <c r="I13" s="8" t="n">
        <v>6</v>
      </c>
      <c r="J13" s="14" t="n">
        <f aca="false">H13*I13</f>
        <v>542.592</v>
      </c>
      <c r="K13" s="8" t="s">
        <v>61</v>
      </c>
      <c r="M13" s="15" t="n">
        <v>0.48</v>
      </c>
    </row>
    <row r="14" s="9" customFormat="true" ht="19.5" hidden="true" customHeight="true" outlineLevel="0" collapsed="false">
      <c r="A14" s="8" t="s">
        <v>37</v>
      </c>
      <c r="B14" s="8" t="s">
        <v>42</v>
      </c>
      <c r="C14" s="8" t="s">
        <v>62</v>
      </c>
      <c r="D14" s="8" t="s">
        <v>40</v>
      </c>
      <c r="E14" s="8" t="n">
        <v>2057</v>
      </c>
      <c r="F14" s="8" t="n">
        <v>200</v>
      </c>
      <c r="G14" s="8" t="n">
        <v>16</v>
      </c>
      <c r="H14" s="13" t="n">
        <f aca="false">(E14/1000)*(F14/1000)*(G14/1000)*7850</f>
        <v>51.67184</v>
      </c>
      <c r="I14" s="8" t="n">
        <v>4</v>
      </c>
      <c r="J14" s="14" t="n">
        <f aca="false">H14*I14</f>
        <v>206.68736</v>
      </c>
      <c r="K14" s="8" t="s">
        <v>63</v>
      </c>
    </row>
    <row r="15" s="9" customFormat="true" ht="19.5" hidden="true" customHeight="true" outlineLevel="0" collapsed="false">
      <c r="A15" s="8" t="s">
        <v>37</v>
      </c>
      <c r="B15" s="8" t="s">
        <v>64</v>
      </c>
      <c r="C15" s="8" t="s">
        <v>65</v>
      </c>
      <c r="D15" s="8" t="s">
        <v>40</v>
      </c>
      <c r="E15" s="8"/>
      <c r="F15" s="8"/>
      <c r="G15" s="8" t="n">
        <v>24</v>
      </c>
      <c r="H15" s="13" t="n">
        <f aca="false">M15*(G15/1000)*7850</f>
        <v>182.748</v>
      </c>
      <c r="I15" s="8" t="n">
        <v>2</v>
      </c>
      <c r="J15" s="14" t="n">
        <f aca="false">H15*I15</f>
        <v>365.496</v>
      </c>
      <c r="K15" s="8" t="s">
        <v>66</v>
      </c>
      <c r="M15" s="15" t="n">
        <v>0.97</v>
      </c>
    </row>
    <row r="16" s="9" customFormat="true" ht="19.5" hidden="true" customHeight="true" outlineLevel="0" collapsed="false">
      <c r="A16" s="8" t="s">
        <v>37</v>
      </c>
      <c r="B16" s="8" t="s">
        <v>42</v>
      </c>
      <c r="C16" s="8" t="s">
        <v>67</v>
      </c>
      <c r="D16" s="8" t="s">
        <v>40</v>
      </c>
      <c r="E16" s="8"/>
      <c r="F16" s="8"/>
      <c r="G16" s="8" t="n">
        <v>24</v>
      </c>
      <c r="H16" s="13" t="n">
        <f aca="false">M16*(G16/1000)*7850</f>
        <v>90.432</v>
      </c>
      <c r="I16" s="8" t="n">
        <v>2</v>
      </c>
      <c r="J16" s="14" t="n">
        <f aca="false">H16*I16</f>
        <v>180.864</v>
      </c>
      <c r="K16" s="8" t="s">
        <v>61</v>
      </c>
      <c r="M16" s="15" t="n">
        <v>0.48</v>
      </c>
    </row>
    <row r="17" s="9" customFormat="true" ht="19.5" hidden="true" customHeight="true" outlineLevel="0" collapsed="false">
      <c r="A17" s="8" t="s">
        <v>37</v>
      </c>
      <c r="B17" s="8" t="s">
        <v>42</v>
      </c>
      <c r="C17" s="8" t="s">
        <v>68</v>
      </c>
      <c r="D17" s="8" t="s">
        <v>40</v>
      </c>
      <c r="E17" s="8" t="n">
        <v>800</v>
      </c>
      <c r="F17" s="8" t="n">
        <v>400</v>
      </c>
      <c r="G17" s="8" t="n">
        <v>16</v>
      </c>
      <c r="H17" s="13" t="n">
        <f aca="false">(E17/1000)*(F17/1000)*(G17/1000)*7850</f>
        <v>40.192</v>
      </c>
      <c r="I17" s="8" t="n">
        <v>4</v>
      </c>
      <c r="J17" s="14" t="n">
        <f aca="false">H17*I17</f>
        <v>160.768</v>
      </c>
      <c r="K17" s="8" t="s">
        <v>69</v>
      </c>
    </row>
    <row r="18" s="9" customFormat="true" ht="19.5" hidden="true" customHeight="true" outlineLevel="0" collapsed="false">
      <c r="A18" s="8" t="s">
        <v>37</v>
      </c>
      <c r="B18" s="8" t="s">
        <v>42</v>
      </c>
      <c r="C18" s="8" t="s">
        <v>70</v>
      </c>
      <c r="D18" s="8" t="s">
        <v>40</v>
      </c>
      <c r="E18" s="8" t="n">
        <v>1800</v>
      </c>
      <c r="F18" s="8" t="n">
        <v>626</v>
      </c>
      <c r="G18" s="8" t="n">
        <v>16</v>
      </c>
      <c r="H18" s="13" t="n">
        <f aca="false">(E18/1000)*(F18/1000)*(G18/1000)*7850</f>
        <v>141.52608</v>
      </c>
      <c r="I18" s="8" t="n">
        <v>8</v>
      </c>
      <c r="J18" s="14" t="n">
        <f aca="false">H18*I18</f>
        <v>1132.20864</v>
      </c>
      <c r="K18" s="8" t="s">
        <v>71</v>
      </c>
    </row>
    <row r="19" s="9" customFormat="true" ht="19.5" hidden="false" customHeight="true" outlineLevel="0" collapsed="false">
      <c r="A19" s="8" t="s">
        <v>37</v>
      </c>
      <c r="B19" s="8" t="s">
        <v>42</v>
      </c>
      <c r="C19" s="8" t="s">
        <v>72</v>
      </c>
      <c r="D19" s="8" t="s">
        <v>40</v>
      </c>
      <c r="E19" s="8" t="n">
        <v>5651</v>
      </c>
      <c r="F19" s="8" t="n">
        <v>240</v>
      </c>
      <c r="G19" s="8" t="n">
        <v>20</v>
      </c>
      <c r="H19" s="13" t="n">
        <f aca="false">(E19/1000)*(F19/1000)*(G19/1000)*7850</f>
        <v>212.92968</v>
      </c>
      <c r="I19" s="8" t="n">
        <v>4</v>
      </c>
      <c r="J19" s="14" t="n">
        <f aca="false">H19*I19</f>
        <v>851.71872</v>
      </c>
      <c r="K19" s="8" t="s">
        <v>73</v>
      </c>
    </row>
    <row r="20" s="9" customFormat="true" ht="19.5" hidden="false" customHeight="true" outlineLevel="0" collapsed="false">
      <c r="A20" s="8" t="s">
        <v>37</v>
      </c>
      <c r="B20" s="8" t="s">
        <v>42</v>
      </c>
      <c r="C20" s="8" t="s">
        <v>74</v>
      </c>
      <c r="D20" s="8" t="s">
        <v>40</v>
      </c>
      <c r="E20" s="8" t="n">
        <v>1800</v>
      </c>
      <c r="F20" s="8" t="n">
        <v>610</v>
      </c>
      <c r="G20" s="8" t="n">
        <v>28</v>
      </c>
      <c r="H20" s="13" t="n">
        <f aca="false">(E20/1000)*(F20/1000)*(G20/1000)*7850</f>
        <v>241.3404</v>
      </c>
      <c r="I20" s="8" t="n">
        <v>4</v>
      </c>
      <c r="J20" s="14" t="n">
        <f aca="false">H20*I20</f>
        <v>965.3616</v>
      </c>
      <c r="K20" s="8" t="s">
        <v>75</v>
      </c>
    </row>
    <row r="21" s="9" customFormat="true" ht="19.5" hidden="true" customHeight="true" outlineLevel="0" collapsed="false">
      <c r="A21" s="8" t="s">
        <v>37</v>
      </c>
      <c r="B21" s="8" t="s">
        <v>42</v>
      </c>
      <c r="C21" s="8" t="s">
        <v>76</v>
      </c>
      <c r="D21" s="8" t="s">
        <v>40</v>
      </c>
      <c r="E21" s="8" t="n">
        <v>7700</v>
      </c>
      <c r="F21" s="8" t="n">
        <v>240</v>
      </c>
      <c r="G21" s="8" t="n">
        <v>20</v>
      </c>
      <c r="H21" s="13" t="n">
        <f aca="false">(E21/1000)*(F21/1000)*(G21/1000)*7850</f>
        <v>290.136</v>
      </c>
      <c r="I21" s="8" t="n">
        <v>4</v>
      </c>
      <c r="J21" s="14" t="n">
        <f aca="false">H21*I21</f>
        <v>1160.544</v>
      </c>
      <c r="K21" s="8" t="s">
        <v>77</v>
      </c>
    </row>
    <row r="22" s="9" customFormat="true" ht="19.5" hidden="true" customHeight="true" outlineLevel="0" collapsed="false">
      <c r="A22" s="8" t="s">
        <v>37</v>
      </c>
      <c r="B22" s="8" t="s">
        <v>42</v>
      </c>
      <c r="C22" s="8" t="s">
        <v>78</v>
      </c>
      <c r="D22" s="8" t="s">
        <v>40</v>
      </c>
      <c r="E22" s="8" t="n">
        <v>1800</v>
      </c>
      <c r="F22" s="8" t="n">
        <v>1200</v>
      </c>
      <c r="G22" s="8" t="n">
        <v>32</v>
      </c>
      <c r="H22" s="13" t="n">
        <f aca="false">(E22/1000)*(F22/1000)*(G22/1000)*7850</f>
        <v>542.592</v>
      </c>
      <c r="I22" s="8" t="n">
        <v>4</v>
      </c>
      <c r="J22" s="14" t="n">
        <f aca="false">H22*I22</f>
        <v>2170.368</v>
      </c>
      <c r="K22" s="8" t="s">
        <v>79</v>
      </c>
    </row>
    <row r="23" s="9" customFormat="true" ht="19.5" hidden="false" customHeight="true" outlineLevel="0" collapsed="false">
      <c r="A23" s="8" t="s">
        <v>37</v>
      </c>
      <c r="B23" s="8" t="s">
        <v>80</v>
      </c>
      <c r="C23" s="8" t="s">
        <v>81</v>
      </c>
      <c r="D23" s="8" t="s">
        <v>40</v>
      </c>
      <c r="E23" s="8" t="n">
        <v>7700</v>
      </c>
      <c r="F23" s="8" t="n">
        <v>240</v>
      </c>
      <c r="G23" s="8" t="n">
        <v>20</v>
      </c>
      <c r="H23" s="13" t="n">
        <f aca="false">(E23/1000)*(F23/1000)*(G23/1000)*7850</f>
        <v>290.136</v>
      </c>
      <c r="I23" s="8" t="n">
        <v>0</v>
      </c>
      <c r="J23" s="14" t="n">
        <f aca="false">H23*I23</f>
        <v>0</v>
      </c>
      <c r="K23" s="8" t="s">
        <v>77</v>
      </c>
    </row>
    <row r="24" s="9" customFormat="true" ht="19.5" hidden="true" customHeight="true" outlineLevel="0" collapsed="false">
      <c r="A24" s="8" t="s">
        <v>37</v>
      </c>
      <c r="B24" s="8" t="s">
        <v>42</v>
      </c>
      <c r="C24" s="8" t="s">
        <v>82</v>
      </c>
      <c r="D24" s="8" t="s">
        <v>40</v>
      </c>
      <c r="E24" s="8" t="n">
        <v>502</v>
      </c>
      <c r="F24" s="8" t="n">
        <v>240</v>
      </c>
      <c r="G24" s="8" t="n">
        <v>20</v>
      </c>
      <c r="H24" s="13" t="n">
        <f aca="false">(E24/1000)*(F24/1000)*(G24/1000)*7850</f>
        <v>18.91536</v>
      </c>
      <c r="I24" s="8" t="n">
        <v>2</v>
      </c>
      <c r="J24" s="14" t="n">
        <f aca="false">H24*I24</f>
        <v>37.83072</v>
      </c>
      <c r="K24" s="8" t="s">
        <v>83</v>
      </c>
    </row>
    <row r="25" s="9" customFormat="true" ht="19.5" hidden="true" customHeight="true" outlineLevel="0" collapsed="false">
      <c r="A25" s="8" t="s">
        <v>37</v>
      </c>
      <c r="B25" s="8" t="s">
        <v>42</v>
      </c>
      <c r="C25" s="8" t="s">
        <v>84</v>
      </c>
      <c r="D25" s="8" t="s">
        <v>40</v>
      </c>
      <c r="E25" s="8" t="n">
        <v>13300</v>
      </c>
      <c r="F25" s="8" t="n">
        <v>240</v>
      </c>
      <c r="G25" s="8" t="n">
        <v>20</v>
      </c>
      <c r="H25" s="13" t="n">
        <f aca="false">(E25/1000)*(F25/1000)*(G25/1000)*7850</f>
        <v>501.144</v>
      </c>
      <c r="I25" s="8" t="n">
        <v>1</v>
      </c>
      <c r="J25" s="14" t="n">
        <f aca="false">H25*I25</f>
        <v>501.144</v>
      </c>
      <c r="K25" s="8" t="s">
        <v>85</v>
      </c>
    </row>
    <row r="26" s="9" customFormat="true" ht="19.5" hidden="true" customHeight="true" outlineLevel="0" collapsed="false">
      <c r="A26" s="8" t="s">
        <v>37</v>
      </c>
      <c r="B26" s="8" t="s">
        <v>86</v>
      </c>
      <c r="C26" s="8" t="s">
        <v>87</v>
      </c>
      <c r="D26" s="8" t="s">
        <v>40</v>
      </c>
      <c r="E26" s="8" t="n">
        <v>1800</v>
      </c>
      <c r="F26" s="8" t="n">
        <v>1800</v>
      </c>
      <c r="G26" s="8" t="n">
        <v>100</v>
      </c>
      <c r="H26" s="13" t="n">
        <f aca="false">(E26/1000)*(F26/1000)*(G26/1000)*7850</f>
        <v>2543.4</v>
      </c>
      <c r="I26" s="8" t="n">
        <v>1</v>
      </c>
      <c r="J26" s="14" t="n">
        <f aca="false">H26*I26</f>
        <v>2543.4</v>
      </c>
      <c r="K26" s="8" t="s">
        <v>88</v>
      </c>
    </row>
    <row r="27" s="9" customFormat="true" ht="19.5" hidden="true" customHeight="true" outlineLevel="0" collapsed="false">
      <c r="A27" s="8" t="s">
        <v>37</v>
      </c>
      <c r="B27" s="8" t="s">
        <v>42</v>
      </c>
      <c r="C27" s="8" t="s">
        <v>89</v>
      </c>
      <c r="D27" s="8" t="s">
        <v>40</v>
      </c>
      <c r="E27" s="8" t="n">
        <v>13300</v>
      </c>
      <c r="F27" s="8" t="n">
        <v>240</v>
      </c>
      <c r="G27" s="8" t="n">
        <v>20</v>
      </c>
      <c r="H27" s="13" t="n">
        <f aca="false">(E27/1000)*(F27/1000)*(G27/1000)*7850</f>
        <v>501.144</v>
      </c>
      <c r="I27" s="8" t="n">
        <v>1</v>
      </c>
      <c r="J27" s="14" t="n">
        <f aca="false">H27*I27</f>
        <v>501.144</v>
      </c>
      <c r="K27" s="8" t="s">
        <v>85</v>
      </c>
    </row>
    <row r="28" s="9" customFormat="true" ht="19.5" hidden="true" customHeight="true" outlineLevel="0" collapsed="false">
      <c r="A28" s="8" t="s">
        <v>37</v>
      </c>
      <c r="B28" s="8" t="s">
        <v>42</v>
      </c>
      <c r="C28" s="8" t="s">
        <v>90</v>
      </c>
      <c r="D28" s="8" t="s">
        <v>40</v>
      </c>
      <c r="E28" s="8" t="n">
        <v>1000</v>
      </c>
      <c r="F28" s="8" t="n">
        <v>568</v>
      </c>
      <c r="G28" s="8" t="n">
        <v>32</v>
      </c>
      <c r="H28" s="13" t="n">
        <f aca="false">(E28/1000)*(F28/1000)*(G28/1000)*7850</f>
        <v>142.6816</v>
      </c>
      <c r="I28" s="8" t="n">
        <v>3</v>
      </c>
      <c r="J28" s="14" t="n">
        <f aca="false">H28*I28</f>
        <v>428.0448</v>
      </c>
      <c r="K28" s="8" t="s">
        <v>91</v>
      </c>
    </row>
    <row r="29" s="9" customFormat="true" ht="19.5" hidden="true" customHeight="true" outlineLevel="0" collapsed="false">
      <c r="A29" s="8" t="s">
        <v>37</v>
      </c>
      <c r="B29" s="8" t="s">
        <v>42</v>
      </c>
      <c r="C29" s="8" t="s">
        <v>92</v>
      </c>
      <c r="D29" s="8" t="s">
        <v>40</v>
      </c>
      <c r="E29" s="8" t="n">
        <v>4790</v>
      </c>
      <c r="F29" s="8" t="n">
        <v>2500</v>
      </c>
      <c r="G29" s="8" t="n">
        <v>20</v>
      </c>
      <c r="H29" s="13" t="n">
        <f aca="false">(E29/1000)*(F29/1000)*(G29/1000)*7850</f>
        <v>1880.075</v>
      </c>
      <c r="I29" s="8" t="n">
        <v>1</v>
      </c>
      <c r="J29" s="14" t="n">
        <f aca="false">H29*I29</f>
        <v>1880.075</v>
      </c>
      <c r="K29" s="8" t="s">
        <v>93</v>
      </c>
    </row>
    <row r="30" s="9" customFormat="true" ht="19.5" hidden="true" customHeight="true" outlineLevel="0" collapsed="false">
      <c r="A30" s="8" t="s">
        <v>37</v>
      </c>
      <c r="B30" s="8" t="s">
        <v>42</v>
      </c>
      <c r="C30" s="8" t="s">
        <v>94</v>
      </c>
      <c r="D30" s="8" t="s">
        <v>40</v>
      </c>
      <c r="E30" s="8" t="n">
        <v>1350</v>
      </c>
      <c r="F30" s="8" t="n">
        <v>570</v>
      </c>
      <c r="G30" s="8" t="n">
        <v>32</v>
      </c>
      <c r="H30" s="13" t="n">
        <f aca="false">(E30/1000)*(F30/1000)*(G30/1000)*7850</f>
        <v>193.2984</v>
      </c>
      <c r="I30" s="8" t="n">
        <v>4</v>
      </c>
      <c r="J30" s="14" t="n">
        <f aca="false">H30*I30</f>
        <v>773.1936</v>
      </c>
      <c r="K30" s="8" t="s">
        <v>95</v>
      </c>
    </row>
    <row r="31" s="9" customFormat="true" ht="19.5" hidden="false" customHeight="true" outlineLevel="0" collapsed="false">
      <c r="A31" s="8" t="s">
        <v>37</v>
      </c>
      <c r="B31" s="8" t="s">
        <v>42</v>
      </c>
      <c r="C31" s="8" t="s">
        <v>96</v>
      </c>
      <c r="D31" s="8" t="s">
        <v>40</v>
      </c>
      <c r="E31" s="8" t="n">
        <v>10105</v>
      </c>
      <c r="F31" s="8" t="n">
        <v>2500</v>
      </c>
      <c r="G31" s="8" t="n">
        <v>20</v>
      </c>
      <c r="H31" s="13" t="n">
        <f aca="false">(E31/1000)*(F31/1000)*(G31/1000)*7850</f>
        <v>3966.2125</v>
      </c>
      <c r="I31" s="8" t="n">
        <v>1</v>
      </c>
      <c r="J31" s="14" t="n">
        <f aca="false">H31*I31</f>
        <v>3966.2125</v>
      </c>
      <c r="K31" s="8" t="s">
        <v>97</v>
      </c>
    </row>
    <row r="32" s="9" customFormat="true" ht="19.5" hidden="true" customHeight="true" outlineLevel="0" collapsed="false">
      <c r="A32" s="8" t="s">
        <v>37</v>
      </c>
      <c r="B32" s="8" t="s">
        <v>42</v>
      </c>
      <c r="C32" s="8" t="s">
        <v>98</v>
      </c>
      <c r="D32" s="8" t="s">
        <v>40</v>
      </c>
      <c r="E32" s="8"/>
      <c r="F32" s="8"/>
      <c r="G32" s="8" t="n">
        <v>36</v>
      </c>
      <c r="H32" s="13" t="n">
        <f aca="false">M32*(G32/1000)*7850</f>
        <v>2645.136</v>
      </c>
      <c r="I32" s="8" t="n">
        <v>1</v>
      </c>
      <c r="J32" s="14" t="n">
        <f aca="false">H32*I32</f>
        <v>2645.136</v>
      </c>
      <c r="K32" s="8" t="s">
        <v>99</v>
      </c>
      <c r="M32" s="15" t="n">
        <v>9.36</v>
      </c>
    </row>
    <row r="33" s="9" customFormat="true" ht="19.5" hidden="false" customHeight="true" outlineLevel="0" collapsed="false">
      <c r="A33" s="8" t="s">
        <v>37</v>
      </c>
      <c r="B33" s="8" t="s">
        <v>42</v>
      </c>
      <c r="C33" s="8" t="s">
        <v>100</v>
      </c>
      <c r="D33" s="8" t="s">
        <v>40</v>
      </c>
      <c r="E33" s="8"/>
      <c r="F33" s="8"/>
      <c r="G33" s="8" t="n">
        <v>20</v>
      </c>
      <c r="H33" s="13" t="n">
        <f aca="false">M33*(G33/1000)*7850</f>
        <v>2461.76</v>
      </c>
      <c r="I33" s="8" t="n">
        <v>1</v>
      </c>
      <c r="J33" s="14" t="n">
        <f aca="false">H33*I33</f>
        <v>2461.76</v>
      </c>
      <c r="K33" s="8" t="s">
        <v>101</v>
      </c>
      <c r="L33" s="8"/>
      <c r="M33" s="15" t="n">
        <v>15.68</v>
      </c>
      <c r="N33" s="15"/>
      <c r="O33" s="15"/>
      <c r="P33" s="15"/>
      <c r="Q33" s="15"/>
      <c r="R33" s="15"/>
      <c r="S33" s="15"/>
      <c r="T33" s="15"/>
      <c r="U33" s="15"/>
      <c r="V33" s="15"/>
      <c r="W33" s="8"/>
    </row>
    <row r="34" s="9" customFormat="true" ht="19.5" hidden="false" customHeight="true" outlineLevel="0" collapsed="false">
      <c r="A34" s="8" t="s">
        <v>37</v>
      </c>
      <c r="B34" s="8" t="s">
        <v>102</v>
      </c>
      <c r="C34" s="8" t="s">
        <v>103</v>
      </c>
      <c r="D34" s="8" t="s">
        <v>40</v>
      </c>
      <c r="E34" s="8" t="n">
        <v>10105</v>
      </c>
      <c r="F34" s="8" t="n">
        <v>1880</v>
      </c>
      <c r="G34" s="8" t="n">
        <v>24</v>
      </c>
      <c r="H34" s="13" t="n">
        <f aca="false">(E34/1000)*(F34/1000)*(G34/1000)*7850</f>
        <v>3579.11016</v>
      </c>
      <c r="I34" s="8" t="n">
        <v>2</v>
      </c>
      <c r="J34" s="14" t="n">
        <f aca="false">H34*I34</f>
        <v>7158.22032</v>
      </c>
      <c r="K34" s="8" t="s">
        <v>104</v>
      </c>
    </row>
    <row r="35" s="9" customFormat="true" ht="19.5" hidden="true" customHeight="true" outlineLevel="0" collapsed="false">
      <c r="A35" s="8" t="s">
        <v>37</v>
      </c>
      <c r="B35" s="8" t="s">
        <v>105</v>
      </c>
      <c r="C35" s="8" t="s">
        <v>106</v>
      </c>
      <c r="D35" s="8" t="s">
        <v>40</v>
      </c>
      <c r="E35" s="8"/>
      <c r="F35" s="8"/>
      <c r="G35" s="8" t="n">
        <v>40</v>
      </c>
      <c r="H35" s="13" t="n">
        <f aca="false">M35*(G35/1000)*7850</f>
        <v>5441.62</v>
      </c>
      <c r="I35" s="8" t="n">
        <v>2</v>
      </c>
      <c r="J35" s="14" t="n">
        <f aca="false">H35*I35</f>
        <v>10883.24</v>
      </c>
      <c r="K35" s="8" t="s">
        <v>107</v>
      </c>
      <c r="M35" s="15" t="n">
        <v>17.33</v>
      </c>
    </row>
    <row r="36" s="9" customFormat="true" ht="19.5" hidden="true" customHeight="true" outlineLevel="0" collapsed="false">
      <c r="A36" s="8" t="s">
        <v>37</v>
      </c>
      <c r="B36" s="8" t="s">
        <v>42</v>
      </c>
      <c r="C36" s="8" t="s">
        <v>108</v>
      </c>
      <c r="D36" s="8" t="s">
        <v>40</v>
      </c>
      <c r="E36" s="8" t="n">
        <v>1800</v>
      </c>
      <c r="F36" s="8" t="n">
        <v>1200</v>
      </c>
      <c r="G36" s="8" t="n">
        <v>16</v>
      </c>
      <c r="H36" s="13" t="n">
        <f aca="false">(E36/1000)*(F36/1000)*(G36/1000)*7850</f>
        <v>271.296</v>
      </c>
      <c r="I36" s="8" t="n">
        <v>1</v>
      </c>
      <c r="J36" s="14" t="n">
        <f aca="false">H36*I36</f>
        <v>271.296</v>
      </c>
      <c r="K36" s="8" t="s">
        <v>109</v>
      </c>
    </row>
    <row r="37" s="9" customFormat="true" ht="19.5" hidden="true" customHeight="true" outlineLevel="0" collapsed="false">
      <c r="A37" s="8" t="s">
        <v>37</v>
      </c>
      <c r="B37" s="8" t="s">
        <v>110</v>
      </c>
      <c r="C37" s="8" t="s">
        <v>108</v>
      </c>
      <c r="D37" s="8" t="s">
        <v>40</v>
      </c>
      <c r="E37" s="8" t="n">
        <v>2057</v>
      </c>
      <c r="F37" s="8" t="n">
        <v>200</v>
      </c>
      <c r="G37" s="8" t="n">
        <v>16</v>
      </c>
      <c r="H37" s="13" t="n">
        <f aca="false">(E37/1000)*(F37/1000)*(G37/1000)*7850</f>
        <v>51.67184</v>
      </c>
      <c r="I37" s="8" t="n">
        <v>3</v>
      </c>
      <c r="J37" s="14" t="n">
        <f aca="false">H37*I37</f>
        <v>155.01552</v>
      </c>
      <c r="K37" s="8" t="s">
        <v>111</v>
      </c>
    </row>
    <row r="38" s="9" customFormat="true" ht="19.5" hidden="true" customHeight="true" outlineLevel="0" collapsed="false">
      <c r="A38" s="8" t="s">
        <v>37</v>
      </c>
      <c r="B38" s="8" t="s">
        <v>42</v>
      </c>
      <c r="C38" s="8" t="s">
        <v>112</v>
      </c>
      <c r="D38" s="8" t="s">
        <v>40</v>
      </c>
      <c r="E38" s="8" t="n">
        <v>1800</v>
      </c>
      <c r="F38" s="8" t="n">
        <v>1200</v>
      </c>
      <c r="G38" s="8" t="n">
        <v>16</v>
      </c>
      <c r="H38" s="13" t="n">
        <f aca="false">(E38/1000)*(F38/1000)*(G38/1000)*7850</f>
        <v>271.296</v>
      </c>
      <c r="I38" s="8" t="n">
        <v>3</v>
      </c>
      <c r="J38" s="14" t="n">
        <f aca="false">H38*I38</f>
        <v>813.888</v>
      </c>
      <c r="K38" s="8" t="s">
        <v>113</v>
      </c>
    </row>
    <row r="39" s="9" customFormat="true" ht="19.5" hidden="true" customHeight="true" outlineLevel="0" collapsed="false">
      <c r="A39" s="8" t="s">
        <v>37</v>
      </c>
      <c r="B39" s="8" t="s">
        <v>42</v>
      </c>
      <c r="C39" s="8" t="s">
        <v>114</v>
      </c>
      <c r="D39" s="8" t="s">
        <v>40</v>
      </c>
      <c r="E39" s="8" t="n">
        <v>2792</v>
      </c>
      <c r="F39" s="8" t="n">
        <v>240</v>
      </c>
      <c r="G39" s="8" t="n">
        <v>20</v>
      </c>
      <c r="H39" s="13" t="n">
        <f aca="false">(E39/1000)*(F39/1000)*(G39/1000)*7850</f>
        <v>105.20256</v>
      </c>
      <c r="I39" s="8" t="n">
        <v>2</v>
      </c>
      <c r="J39" s="14" t="n">
        <f aca="false">H39*I39</f>
        <v>210.40512</v>
      </c>
      <c r="K39" s="8" t="s">
        <v>115</v>
      </c>
    </row>
    <row r="40" s="9" customFormat="true" ht="19.5" hidden="true" customHeight="true" outlineLevel="0" collapsed="false">
      <c r="A40" s="8" t="s">
        <v>37</v>
      </c>
      <c r="B40" s="8" t="s">
        <v>42</v>
      </c>
      <c r="C40" s="8" t="s">
        <v>116</v>
      </c>
      <c r="D40" s="8" t="s">
        <v>40</v>
      </c>
      <c r="E40" s="8" t="n">
        <v>10105</v>
      </c>
      <c r="F40" s="8" t="n">
        <v>240</v>
      </c>
      <c r="G40" s="8" t="n">
        <v>20</v>
      </c>
      <c r="H40" s="13" t="n">
        <f aca="false">(E40/1000)*(F40/1000)*(G40/1000)*7850</f>
        <v>380.7564</v>
      </c>
      <c r="I40" s="8" t="n">
        <v>2</v>
      </c>
      <c r="J40" s="14" t="n">
        <f aca="false">H40*I40</f>
        <v>761.5128</v>
      </c>
      <c r="K40" s="8" t="s">
        <v>117</v>
      </c>
    </row>
    <row r="41" s="9" customFormat="true" ht="19.5" hidden="true" customHeight="true" outlineLevel="0" collapsed="false">
      <c r="A41" s="8" t="s">
        <v>37</v>
      </c>
      <c r="B41" s="8" t="s">
        <v>42</v>
      </c>
      <c r="C41" s="8" t="s">
        <v>118</v>
      </c>
      <c r="D41" s="8" t="s">
        <v>40</v>
      </c>
      <c r="E41" s="8" t="n">
        <v>12897</v>
      </c>
      <c r="F41" s="8" t="n">
        <v>240</v>
      </c>
      <c r="G41" s="8" t="n">
        <v>20</v>
      </c>
      <c r="H41" s="13" t="n">
        <f aca="false">(E41/1000)*(F41/1000)*(G41/1000)*7850</f>
        <v>485.95896</v>
      </c>
      <c r="I41" s="8" t="n">
        <v>1</v>
      </c>
      <c r="J41" s="14" t="n">
        <f aca="false">H41*I41</f>
        <v>485.95896</v>
      </c>
      <c r="K41" s="8" t="s">
        <v>119</v>
      </c>
    </row>
    <row r="42" s="9" customFormat="true" ht="19.5" hidden="true" customHeight="true" outlineLevel="0" collapsed="false">
      <c r="A42" s="8" t="s">
        <v>37</v>
      </c>
      <c r="B42" s="8" t="s">
        <v>42</v>
      </c>
      <c r="C42" s="8" t="s">
        <v>120</v>
      </c>
      <c r="D42" s="8" t="s">
        <v>40</v>
      </c>
      <c r="E42" s="8" t="n">
        <v>10105</v>
      </c>
      <c r="F42" s="8" t="n">
        <v>240</v>
      </c>
      <c r="G42" s="8" t="n">
        <v>20</v>
      </c>
      <c r="H42" s="13" t="n">
        <f aca="false">(E42/1000)*(F42/1000)*(G42/1000)*7850</f>
        <v>380.7564</v>
      </c>
      <c r="I42" s="8" t="n">
        <v>1</v>
      </c>
      <c r="J42" s="14" t="n">
        <f aca="false">H42*I42</f>
        <v>380.7564</v>
      </c>
      <c r="K42" s="8" t="s">
        <v>117</v>
      </c>
    </row>
    <row r="43" s="9" customFormat="true" ht="19.5" hidden="true" customHeight="true" outlineLevel="0" collapsed="false">
      <c r="A43" s="8" t="s">
        <v>37</v>
      </c>
      <c r="B43" s="8" t="s">
        <v>42</v>
      </c>
      <c r="C43" s="8" t="s">
        <v>121</v>
      </c>
      <c r="D43" s="8" t="s">
        <v>40</v>
      </c>
      <c r="E43" s="8" t="n">
        <v>2792</v>
      </c>
      <c r="F43" s="8" t="n">
        <v>320</v>
      </c>
      <c r="G43" s="8" t="n">
        <v>32</v>
      </c>
      <c r="H43" s="13" t="n">
        <f aca="false">(E43/1000)*(F43/1000)*(G43/1000)*7850</f>
        <v>224.432128</v>
      </c>
      <c r="I43" s="8" t="n">
        <v>1</v>
      </c>
      <c r="J43" s="14" t="n">
        <f aca="false">H43*I43</f>
        <v>224.432128</v>
      </c>
      <c r="K43" s="8" t="s">
        <v>122</v>
      </c>
    </row>
    <row r="44" s="9" customFormat="true" ht="19.5" hidden="true" customHeight="true" outlineLevel="0" collapsed="false">
      <c r="A44" s="8" t="s">
        <v>37</v>
      </c>
      <c r="B44" s="8" t="s">
        <v>42</v>
      </c>
      <c r="C44" s="8" t="s">
        <v>123</v>
      </c>
      <c r="D44" s="8" t="s">
        <v>40</v>
      </c>
      <c r="E44" s="8" t="n">
        <v>12897</v>
      </c>
      <c r="F44" s="8" t="n">
        <v>170</v>
      </c>
      <c r="G44" s="8" t="n">
        <v>14</v>
      </c>
      <c r="H44" s="13" t="n">
        <f aca="false">(E44/1000)*(F44/1000)*(G44/1000)*7850</f>
        <v>240.954651</v>
      </c>
      <c r="I44" s="8" t="n">
        <v>2</v>
      </c>
      <c r="J44" s="14" t="n">
        <f aca="false">H44*I44</f>
        <v>481.909302</v>
      </c>
      <c r="K44" s="8" t="s">
        <v>124</v>
      </c>
    </row>
    <row r="45" s="9" customFormat="true" ht="19.5" hidden="false" customHeight="true" outlineLevel="0" collapsed="false">
      <c r="A45" s="8" t="s">
        <v>37</v>
      </c>
      <c r="B45" s="8" t="s">
        <v>42</v>
      </c>
      <c r="C45" s="8" t="s">
        <v>125</v>
      </c>
      <c r="D45" s="8" t="s">
        <v>40</v>
      </c>
      <c r="E45" s="8" t="n">
        <v>14038</v>
      </c>
      <c r="F45" s="8" t="n">
        <v>1200</v>
      </c>
      <c r="G45" s="8" t="n">
        <v>36</v>
      </c>
      <c r="H45" s="13" t="n">
        <f aca="false">(E45/1000)*(F45/1000)*(G45/1000)*7850</f>
        <v>4760.56656</v>
      </c>
      <c r="I45" s="8" t="n">
        <v>1</v>
      </c>
      <c r="J45" s="14" t="n">
        <f aca="false">H45*I45</f>
        <v>4760.56656</v>
      </c>
      <c r="K45" s="8" t="s">
        <v>126</v>
      </c>
    </row>
    <row r="46" s="9" customFormat="true" ht="19.5" hidden="false" customHeight="true" outlineLevel="0" collapsed="false">
      <c r="A46" s="8" t="s">
        <v>37</v>
      </c>
      <c r="B46" s="8" t="s">
        <v>42</v>
      </c>
      <c r="C46" s="8" t="s">
        <v>127</v>
      </c>
      <c r="D46" s="8" t="s">
        <v>40</v>
      </c>
      <c r="E46" s="8" t="n">
        <v>14038</v>
      </c>
      <c r="F46" s="8" t="n">
        <v>1200</v>
      </c>
      <c r="G46" s="8" t="n">
        <v>36</v>
      </c>
      <c r="H46" s="13" t="n">
        <f aca="false">(E46/1000)*(F46/1000)*(G46/1000)*7850</f>
        <v>4760.56656</v>
      </c>
      <c r="I46" s="8" t="n">
        <v>1</v>
      </c>
      <c r="J46" s="14" t="n">
        <f aca="false">H46*I46</f>
        <v>4760.56656</v>
      </c>
      <c r="K46" s="8" t="s">
        <v>126</v>
      </c>
    </row>
    <row r="47" s="9" customFormat="true" ht="19.5" hidden="true" customHeight="true" outlineLevel="0" collapsed="false">
      <c r="A47" s="8" t="s">
        <v>37</v>
      </c>
      <c r="B47" s="8" t="s">
        <v>42</v>
      </c>
      <c r="C47" s="8" t="s">
        <v>128</v>
      </c>
      <c r="D47" s="8" t="s">
        <v>40</v>
      </c>
      <c r="E47" s="8" t="n">
        <v>9838</v>
      </c>
      <c r="F47" s="8" t="n">
        <v>1360</v>
      </c>
      <c r="G47" s="8" t="n">
        <v>36</v>
      </c>
      <c r="H47" s="13" t="n">
        <f aca="false">(E47/1000)*(F47/1000)*(G47/1000)*7850</f>
        <v>3781.097568</v>
      </c>
      <c r="I47" s="8" t="n">
        <v>2</v>
      </c>
      <c r="J47" s="14" t="n">
        <f aca="false">H47*I47</f>
        <v>7562.195136</v>
      </c>
      <c r="K47" s="8" t="s">
        <v>129</v>
      </c>
    </row>
    <row r="48" s="9" customFormat="true" ht="19.5" hidden="true" customHeight="true" outlineLevel="0" collapsed="false">
      <c r="A48" s="8" t="s">
        <v>37</v>
      </c>
      <c r="B48" s="8" t="s">
        <v>42</v>
      </c>
      <c r="C48" s="8" t="s">
        <v>130</v>
      </c>
      <c r="D48" s="8" t="s">
        <v>40</v>
      </c>
      <c r="E48" s="8" t="n">
        <v>9838</v>
      </c>
      <c r="F48" s="8" t="n">
        <v>320</v>
      </c>
      <c r="G48" s="8" t="n">
        <v>32</v>
      </c>
      <c r="H48" s="13" t="n">
        <f aca="false">(E48/1000)*(F48/1000)*(G48/1000)*7850</f>
        <v>790.817792</v>
      </c>
      <c r="I48" s="8" t="n">
        <v>2</v>
      </c>
      <c r="J48" s="14" t="n">
        <f aca="false">H48*I48</f>
        <v>1581.635584</v>
      </c>
      <c r="K48" s="8" t="s">
        <v>131</v>
      </c>
    </row>
    <row r="49" s="9" customFormat="true" ht="19.5" hidden="false" customHeight="true" outlineLevel="0" collapsed="false">
      <c r="A49" s="8" t="s">
        <v>37</v>
      </c>
      <c r="B49" s="8" t="s">
        <v>42</v>
      </c>
      <c r="C49" s="8" t="s">
        <v>132</v>
      </c>
      <c r="D49" s="8" t="s">
        <v>40</v>
      </c>
      <c r="E49" s="8" t="n">
        <v>12638</v>
      </c>
      <c r="F49" s="8" t="n">
        <v>320</v>
      </c>
      <c r="G49" s="8" t="n">
        <v>32</v>
      </c>
      <c r="H49" s="13" t="n">
        <f aca="false">(E49/1000)*(F49/1000)*(G49/1000)*7850</f>
        <v>1015.892992</v>
      </c>
      <c r="I49" s="8" t="n">
        <v>1</v>
      </c>
      <c r="J49" s="14" t="n">
        <f aca="false">H49*I49</f>
        <v>1015.892992</v>
      </c>
      <c r="K49" s="8" t="s">
        <v>133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="9" customFormat="true" ht="19.5" hidden="true" customHeight="true" outlineLevel="0" collapsed="false">
      <c r="A50" s="8" t="s">
        <v>37</v>
      </c>
      <c r="B50" s="8" t="s">
        <v>42</v>
      </c>
      <c r="C50" s="8" t="s">
        <v>134</v>
      </c>
      <c r="D50" s="8" t="s">
        <v>40</v>
      </c>
      <c r="E50" s="8" t="n">
        <v>12638</v>
      </c>
      <c r="F50" s="8" t="n">
        <v>320</v>
      </c>
      <c r="G50" s="8" t="n">
        <v>32</v>
      </c>
      <c r="H50" s="13" t="n">
        <f aca="false">(E50/1000)*(F50/1000)*(G50/1000)*7850</f>
        <v>1015.892992</v>
      </c>
      <c r="I50" s="8" t="n">
        <v>1</v>
      </c>
      <c r="J50" s="14" t="n">
        <f aca="false">H50*I50</f>
        <v>1015.892992</v>
      </c>
      <c r="K50" s="8" t="s">
        <v>133</v>
      </c>
    </row>
    <row r="51" s="9" customFormat="true" ht="19.5" hidden="true" customHeight="true" outlineLevel="0" collapsed="false">
      <c r="A51" s="8" t="s">
        <v>37</v>
      </c>
      <c r="B51" s="8" t="s">
        <v>42</v>
      </c>
      <c r="C51" s="8" t="s">
        <v>135</v>
      </c>
      <c r="D51" s="8" t="s">
        <v>40</v>
      </c>
      <c r="E51" s="8" t="n">
        <v>1200</v>
      </c>
      <c r="F51" s="8" t="n">
        <v>1200</v>
      </c>
      <c r="G51" s="8" t="n">
        <v>16</v>
      </c>
      <c r="H51" s="13" t="n">
        <f aca="false">(E51/1000)*(F51/1000)*(G51/1000)*7850</f>
        <v>180.864</v>
      </c>
      <c r="I51" s="8" t="n">
        <v>4</v>
      </c>
      <c r="J51" s="14" t="n">
        <f aca="false">H51*I51</f>
        <v>723.456</v>
      </c>
      <c r="K51" s="8" t="s">
        <v>136</v>
      </c>
    </row>
    <row r="52" s="9" customFormat="true" ht="19.5" hidden="true" customHeight="true" outlineLevel="0" collapsed="false">
      <c r="A52" s="8" t="s">
        <v>37</v>
      </c>
      <c r="B52" s="8" t="s">
        <v>42</v>
      </c>
      <c r="C52" s="8" t="s">
        <v>137</v>
      </c>
      <c r="D52" s="8" t="s">
        <v>40</v>
      </c>
      <c r="E52" s="8" t="n">
        <v>6725</v>
      </c>
      <c r="F52" s="8" t="n">
        <v>1200</v>
      </c>
      <c r="G52" s="8" t="n">
        <v>36</v>
      </c>
      <c r="H52" s="13" t="n">
        <f aca="false">(E52/1000)*(F52/1000)*(G52/1000)*7850</f>
        <v>2280.582</v>
      </c>
      <c r="I52" s="8" t="n">
        <v>1</v>
      </c>
      <c r="J52" s="14" t="n">
        <f aca="false">H52*I52</f>
        <v>2280.582</v>
      </c>
      <c r="K52" s="8" t="s">
        <v>138</v>
      </c>
    </row>
    <row r="53" s="9" customFormat="true" ht="19.5" hidden="true" customHeight="true" outlineLevel="0" collapsed="false">
      <c r="A53" s="8" t="s">
        <v>37</v>
      </c>
      <c r="B53" s="8" t="s">
        <v>42</v>
      </c>
      <c r="C53" s="8" t="s">
        <v>139</v>
      </c>
      <c r="D53" s="8" t="s">
        <v>40</v>
      </c>
      <c r="E53" s="8" t="n">
        <v>6925</v>
      </c>
      <c r="F53" s="8" t="n">
        <v>1200</v>
      </c>
      <c r="G53" s="8" t="n">
        <v>36</v>
      </c>
      <c r="H53" s="13" t="n">
        <f aca="false">(E53/1000)*(F53/1000)*(G53/1000)*7850</f>
        <v>2348.406</v>
      </c>
      <c r="I53" s="8" t="n">
        <v>1</v>
      </c>
      <c r="J53" s="14" t="n">
        <f aca="false">H53*I53</f>
        <v>2348.406</v>
      </c>
      <c r="K53" s="8" t="s">
        <v>140</v>
      </c>
    </row>
    <row r="54" s="9" customFormat="true" ht="19.5" hidden="true" customHeight="true" outlineLevel="0" collapsed="false">
      <c r="A54" s="8" t="s">
        <v>37</v>
      </c>
      <c r="B54" s="8" t="s">
        <v>42</v>
      </c>
      <c r="C54" s="8" t="s">
        <v>141</v>
      </c>
      <c r="D54" s="8" t="s">
        <v>40</v>
      </c>
      <c r="E54" s="8" t="n">
        <v>4925</v>
      </c>
      <c r="F54" s="8" t="n">
        <v>1360</v>
      </c>
      <c r="G54" s="8" t="n">
        <v>36</v>
      </c>
      <c r="H54" s="13" t="n">
        <f aca="false">(E54/1000)*(F54/1000)*(G54/1000)*7850</f>
        <v>1892.8548</v>
      </c>
      <c r="I54" s="8" t="n">
        <v>2</v>
      </c>
      <c r="J54" s="14" t="n">
        <f aca="false">H54*I54</f>
        <v>3785.7096</v>
      </c>
      <c r="K54" s="8" t="s">
        <v>142</v>
      </c>
    </row>
    <row r="55" s="9" customFormat="true" ht="19.5" hidden="true" customHeight="true" outlineLevel="0" collapsed="false">
      <c r="A55" s="8" t="s">
        <v>37</v>
      </c>
      <c r="B55" s="8" t="s">
        <v>42</v>
      </c>
      <c r="C55" s="8" t="s">
        <v>143</v>
      </c>
      <c r="D55" s="8" t="s">
        <v>40</v>
      </c>
      <c r="E55" s="8" t="n">
        <v>4925</v>
      </c>
      <c r="F55" s="8" t="n">
        <v>320</v>
      </c>
      <c r="G55" s="8" t="n">
        <v>32</v>
      </c>
      <c r="H55" s="13" t="n">
        <f aca="false">(E55/1000)*(F55/1000)*(G55/1000)*7850</f>
        <v>395.8912</v>
      </c>
      <c r="I55" s="8" t="n">
        <v>2</v>
      </c>
      <c r="J55" s="14" t="n">
        <f aca="false">H55*I55</f>
        <v>791.7824</v>
      </c>
      <c r="K55" s="8" t="s">
        <v>144</v>
      </c>
    </row>
    <row r="56" s="9" customFormat="true" ht="19.5" hidden="true" customHeight="true" outlineLevel="0" collapsed="false">
      <c r="A56" s="8" t="s">
        <v>37</v>
      </c>
      <c r="B56" s="8" t="s">
        <v>42</v>
      </c>
      <c r="C56" s="8" t="s">
        <v>145</v>
      </c>
      <c r="D56" s="8" t="s">
        <v>40</v>
      </c>
      <c r="E56" s="8" t="n">
        <v>6025</v>
      </c>
      <c r="F56" s="8" t="n">
        <v>320</v>
      </c>
      <c r="G56" s="8" t="n">
        <v>32</v>
      </c>
      <c r="H56" s="13" t="n">
        <f aca="false">(E56/1000)*(F56/1000)*(G56/1000)*7850</f>
        <v>484.3136</v>
      </c>
      <c r="I56" s="8" t="n">
        <v>1</v>
      </c>
      <c r="J56" s="14" t="n">
        <f aca="false">H56*I56</f>
        <v>484.3136</v>
      </c>
      <c r="K56" s="8" t="s">
        <v>146</v>
      </c>
    </row>
    <row r="57" s="9" customFormat="true" ht="19.5" hidden="false" customHeight="true" outlineLevel="0" collapsed="false">
      <c r="A57" s="8" t="s">
        <v>37</v>
      </c>
      <c r="B57" s="8" t="s">
        <v>42</v>
      </c>
      <c r="C57" s="8" t="s">
        <v>147</v>
      </c>
      <c r="D57" s="8" t="s">
        <v>40</v>
      </c>
      <c r="E57" s="8" t="n">
        <v>6225</v>
      </c>
      <c r="F57" s="8" t="n">
        <v>320</v>
      </c>
      <c r="G57" s="8" t="n">
        <v>32</v>
      </c>
      <c r="H57" s="13" t="n">
        <f aca="false">(E57/1000)*(F57/1000)*(G57/1000)*7850</f>
        <v>500.3904</v>
      </c>
      <c r="I57" s="8" t="n">
        <v>1</v>
      </c>
      <c r="J57" s="14" t="n">
        <f aca="false">H57*I57</f>
        <v>500.3904</v>
      </c>
      <c r="K57" s="8" t="s">
        <v>148</v>
      </c>
    </row>
    <row r="58" s="9" customFormat="true" ht="19.5" hidden="true" customHeight="true" outlineLevel="0" collapsed="false">
      <c r="A58" s="8" t="s">
        <v>37</v>
      </c>
      <c r="B58" s="8" t="s">
        <v>42</v>
      </c>
      <c r="C58" s="8" t="s">
        <v>149</v>
      </c>
      <c r="D58" s="8" t="s">
        <v>40</v>
      </c>
      <c r="E58" s="8" t="n">
        <v>1200</v>
      </c>
      <c r="F58" s="8" t="n">
        <v>1200</v>
      </c>
      <c r="G58" s="8" t="n">
        <v>16</v>
      </c>
      <c r="H58" s="13" t="n">
        <f aca="false">(E58/1000)*(F58/1000)*(G58/1000)*7850</f>
        <v>180.864</v>
      </c>
      <c r="I58" s="8" t="n">
        <v>2</v>
      </c>
      <c r="J58" s="14" t="n">
        <f aca="false">H58*I58</f>
        <v>361.728</v>
      </c>
      <c r="K58" s="8" t="s">
        <v>136</v>
      </c>
    </row>
    <row r="59" s="9" customFormat="true" ht="19.5" hidden="false" customHeight="true" outlineLevel="0" collapsed="false">
      <c r="A59" s="8" t="s">
        <v>37</v>
      </c>
      <c r="B59" s="8" t="s">
        <v>42</v>
      </c>
      <c r="C59" s="8" t="s">
        <v>150</v>
      </c>
      <c r="D59" s="8" t="s">
        <v>40</v>
      </c>
      <c r="E59" s="8" t="n">
        <v>13418</v>
      </c>
      <c r="F59" s="8" t="n">
        <v>1200</v>
      </c>
      <c r="G59" s="8" t="n">
        <v>20</v>
      </c>
      <c r="H59" s="13" t="n">
        <f aca="false">(E59/1000)*(F59/1000)*(G59/1000)*7850</f>
        <v>2527.9512</v>
      </c>
      <c r="I59" s="8" t="n">
        <v>1</v>
      </c>
      <c r="J59" s="14" t="n">
        <f aca="false">H59*I59</f>
        <v>2527.9512</v>
      </c>
      <c r="K59" s="8" t="s">
        <v>151</v>
      </c>
      <c r="L59" s="8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8"/>
    </row>
    <row r="60" s="9" customFormat="true" ht="19.5" hidden="false" customHeight="true" outlineLevel="0" collapsed="false">
      <c r="A60" s="8" t="s">
        <v>37</v>
      </c>
      <c r="B60" s="8" t="s">
        <v>42</v>
      </c>
      <c r="C60" s="8" t="s">
        <v>152</v>
      </c>
      <c r="D60" s="8" t="s">
        <v>40</v>
      </c>
      <c r="E60" s="8" t="n">
        <v>11818</v>
      </c>
      <c r="F60" s="8" t="n">
        <v>1200</v>
      </c>
      <c r="G60" s="8" t="n">
        <v>20</v>
      </c>
      <c r="H60" s="13" t="n">
        <f aca="false">(E60/1000)*(F60/1000)*(G60/1000)*7850</f>
        <v>2226.5112</v>
      </c>
      <c r="I60" s="8" t="n">
        <v>1</v>
      </c>
      <c r="J60" s="14" t="n">
        <f aca="false">H60*I60</f>
        <v>2226.5112</v>
      </c>
      <c r="K60" s="8" t="s">
        <v>153</v>
      </c>
    </row>
    <row r="61" s="9" customFormat="true" ht="19.5" hidden="true" customHeight="true" outlineLevel="0" collapsed="false">
      <c r="A61" s="8" t="s">
        <v>37</v>
      </c>
      <c r="B61" s="8" t="s">
        <v>154</v>
      </c>
      <c r="C61" s="8" t="s">
        <v>155</v>
      </c>
      <c r="D61" s="8" t="s">
        <v>40</v>
      </c>
      <c r="E61" s="8" t="n">
        <v>9133</v>
      </c>
      <c r="F61" s="8" t="n">
        <v>1500</v>
      </c>
      <c r="G61" s="8" t="n">
        <v>20</v>
      </c>
      <c r="H61" s="13" t="n">
        <f aca="false">(E61/1000)*(F61/1000)*(G61/1000)*7850</f>
        <v>2150.8215</v>
      </c>
      <c r="I61" s="8" t="n">
        <v>2</v>
      </c>
      <c r="J61" s="14" t="n">
        <f aca="false">H61*I61</f>
        <v>4301.643</v>
      </c>
      <c r="K61" s="8" t="s">
        <v>156</v>
      </c>
    </row>
    <row r="62" s="9" customFormat="true" ht="19.5" hidden="true" customHeight="true" outlineLevel="0" collapsed="false">
      <c r="A62" s="8" t="s">
        <v>37</v>
      </c>
      <c r="B62" s="8" t="s">
        <v>157</v>
      </c>
      <c r="C62" s="8" t="s">
        <v>158</v>
      </c>
      <c r="D62" s="8" t="s">
        <v>40</v>
      </c>
      <c r="E62" s="8" t="n">
        <v>1400</v>
      </c>
      <c r="F62" s="8" t="n">
        <v>1200</v>
      </c>
      <c r="G62" s="8" t="n">
        <v>16</v>
      </c>
      <c r="H62" s="13" t="n">
        <f aca="false">(E62/1000)*(F62/1000)*(G62/1000)*7850</f>
        <v>211.008</v>
      </c>
      <c r="I62" s="8" t="n">
        <v>3</v>
      </c>
      <c r="J62" s="14" t="n">
        <f aca="false">H62*I62</f>
        <v>633.024</v>
      </c>
      <c r="K62" s="8" t="s">
        <v>159</v>
      </c>
    </row>
    <row r="63" s="9" customFormat="true" ht="19.5" hidden="true" customHeight="true" outlineLevel="0" collapsed="false">
      <c r="A63" s="8" t="s">
        <v>37</v>
      </c>
      <c r="B63" s="8" t="s">
        <v>42</v>
      </c>
      <c r="C63" s="8" t="s">
        <v>160</v>
      </c>
      <c r="D63" s="8" t="s">
        <v>40</v>
      </c>
      <c r="E63" s="8" t="n">
        <v>9133</v>
      </c>
      <c r="F63" s="8" t="n">
        <v>190</v>
      </c>
      <c r="G63" s="8" t="n">
        <v>16</v>
      </c>
      <c r="H63" s="13" t="n">
        <f aca="false">(E63/1000)*(F63/1000)*(G63/1000)*7850</f>
        <v>217.949912</v>
      </c>
      <c r="I63" s="8" t="n">
        <v>2</v>
      </c>
      <c r="J63" s="14" t="n">
        <f aca="false">H63*I63</f>
        <v>435.899824</v>
      </c>
      <c r="K63" s="8" t="s">
        <v>161</v>
      </c>
    </row>
    <row r="64" s="9" customFormat="true" ht="19.5" hidden="true" customHeight="true" outlineLevel="0" collapsed="false">
      <c r="A64" s="8" t="s">
        <v>37</v>
      </c>
      <c r="B64" s="8" t="s">
        <v>162</v>
      </c>
      <c r="C64" s="8" t="s">
        <v>163</v>
      </c>
      <c r="D64" s="8" t="s">
        <v>40</v>
      </c>
      <c r="E64" s="8" t="n">
        <v>12018</v>
      </c>
      <c r="F64" s="8" t="n">
        <v>190</v>
      </c>
      <c r="G64" s="8" t="n">
        <v>16</v>
      </c>
      <c r="H64" s="13" t="n">
        <f aca="false">(E64/1000)*(F64/1000)*(G64/1000)*7850</f>
        <v>286.797552</v>
      </c>
      <c r="I64" s="8" t="n">
        <v>1</v>
      </c>
      <c r="J64" s="14" t="n">
        <f aca="false">H64*I64</f>
        <v>286.797552</v>
      </c>
      <c r="K64" s="8" t="s">
        <v>164</v>
      </c>
    </row>
    <row r="65" s="9" customFormat="true" ht="19.5" hidden="true" customHeight="true" outlineLevel="0" collapsed="false">
      <c r="A65" s="8" t="s">
        <v>37</v>
      </c>
      <c r="B65" s="8" t="s">
        <v>42</v>
      </c>
      <c r="C65" s="8" t="s">
        <v>165</v>
      </c>
      <c r="D65" s="8" t="s">
        <v>40</v>
      </c>
      <c r="E65" s="8" t="n">
        <v>10418</v>
      </c>
      <c r="F65" s="8" t="n">
        <v>190</v>
      </c>
      <c r="G65" s="8" t="n">
        <v>16</v>
      </c>
      <c r="H65" s="13" t="n">
        <f aca="false">(E65/1000)*(F65/1000)*(G65/1000)*7850</f>
        <v>248.615152</v>
      </c>
      <c r="I65" s="8" t="n">
        <v>1</v>
      </c>
      <c r="J65" s="14" t="n">
        <f aca="false">H65*I65</f>
        <v>248.615152</v>
      </c>
      <c r="K65" s="8" t="s">
        <v>166</v>
      </c>
    </row>
    <row r="66" s="9" customFormat="true" ht="19.5" hidden="true" customHeight="true" outlineLevel="0" collapsed="false">
      <c r="A66" s="8" t="s">
        <v>37</v>
      </c>
      <c r="B66" s="8" t="s">
        <v>42</v>
      </c>
      <c r="C66" s="8" t="s">
        <v>167</v>
      </c>
      <c r="D66" s="8" t="s">
        <v>40</v>
      </c>
      <c r="E66" s="8" t="n">
        <v>2800</v>
      </c>
      <c r="F66" s="8" t="n">
        <v>320</v>
      </c>
      <c r="G66" s="8" t="n">
        <v>32</v>
      </c>
      <c r="H66" s="13" t="n">
        <f aca="false">(E66/1000)*(F66/1000)*(G66/1000)*7850</f>
        <v>225.0752</v>
      </c>
      <c r="I66" s="8" t="n">
        <v>2</v>
      </c>
      <c r="J66" s="14" t="n">
        <f aca="false">H66*I66</f>
        <v>450.1504</v>
      </c>
      <c r="K66" s="8" t="s">
        <v>168</v>
      </c>
    </row>
    <row r="67" s="9" customFormat="true" ht="19.5" hidden="true" customHeight="true" outlineLevel="0" collapsed="false">
      <c r="A67" s="8" t="s">
        <v>37</v>
      </c>
      <c r="B67" s="8" t="s">
        <v>42</v>
      </c>
      <c r="C67" s="8" t="s">
        <v>169</v>
      </c>
      <c r="D67" s="8" t="s">
        <v>40</v>
      </c>
      <c r="E67" s="8" t="n">
        <v>2600</v>
      </c>
      <c r="F67" s="8" t="n">
        <v>320</v>
      </c>
      <c r="G67" s="8" t="n">
        <v>32</v>
      </c>
      <c r="H67" s="13" t="n">
        <f aca="false">(E67/1000)*(F67/1000)*(G67/1000)*7850</f>
        <v>208.9984</v>
      </c>
      <c r="I67" s="8" t="n">
        <v>2</v>
      </c>
      <c r="J67" s="14" t="n">
        <f aca="false">H67*I67</f>
        <v>417.9968</v>
      </c>
      <c r="K67" s="8" t="s">
        <v>170</v>
      </c>
    </row>
    <row r="68" s="9" customFormat="true" ht="19.5" hidden="true" customHeight="true" outlineLevel="0" collapsed="false">
      <c r="A68" s="8" t="s">
        <v>37</v>
      </c>
      <c r="B68" s="8" t="s">
        <v>171</v>
      </c>
      <c r="C68" s="8" t="s">
        <v>172</v>
      </c>
      <c r="D68" s="8" t="s">
        <v>40</v>
      </c>
      <c r="E68" s="8" t="n">
        <v>750</v>
      </c>
      <c r="F68" s="8" t="n">
        <v>320</v>
      </c>
      <c r="G68" s="8" t="n">
        <v>28</v>
      </c>
      <c r="H68" s="13" t="n">
        <f aca="false">(E68/1000)*(F68/1000)*(G68/1000)*7850</f>
        <v>52.752</v>
      </c>
      <c r="I68" s="8" t="n">
        <v>2</v>
      </c>
      <c r="J68" s="14" t="n">
        <f aca="false">H68*I68</f>
        <v>105.504</v>
      </c>
      <c r="K68" s="8" t="s">
        <v>173</v>
      </c>
    </row>
    <row r="69" s="9" customFormat="true" ht="19.5" hidden="true" customHeight="true" outlineLevel="0" collapsed="false">
      <c r="A69" s="8" t="s">
        <v>37</v>
      </c>
      <c r="B69" s="8" t="s">
        <v>42</v>
      </c>
      <c r="C69" s="8" t="s">
        <v>174</v>
      </c>
      <c r="D69" s="8" t="s">
        <v>40</v>
      </c>
      <c r="E69" s="8" t="n">
        <v>2100</v>
      </c>
      <c r="F69" s="8" t="n">
        <v>320</v>
      </c>
      <c r="G69" s="8" t="n">
        <v>32</v>
      </c>
      <c r="H69" s="13" t="n">
        <f aca="false">(E69/1000)*(F69/1000)*(G69/1000)*7850</f>
        <v>168.8064</v>
      </c>
      <c r="I69" s="8" t="n">
        <v>2</v>
      </c>
      <c r="J69" s="14" t="n">
        <f aca="false">H69*I69</f>
        <v>337.6128</v>
      </c>
      <c r="K69" s="8" t="s">
        <v>175</v>
      </c>
    </row>
    <row r="70" s="9" customFormat="true" ht="19.5" hidden="true" customHeight="true" outlineLevel="0" collapsed="false">
      <c r="A70" s="8" t="s">
        <v>37</v>
      </c>
      <c r="B70" s="8" t="s">
        <v>42</v>
      </c>
      <c r="C70" s="8" t="s">
        <v>176</v>
      </c>
      <c r="D70" s="8" t="s">
        <v>40</v>
      </c>
      <c r="E70" s="8" t="n">
        <v>2100</v>
      </c>
      <c r="F70" s="8" t="n">
        <v>320</v>
      </c>
      <c r="G70" s="8" t="n">
        <v>32</v>
      </c>
      <c r="H70" s="13" t="n">
        <f aca="false">(E70/1000)*(F70/1000)*(G70/1000)*7850</f>
        <v>168.8064</v>
      </c>
      <c r="I70" s="8" t="n">
        <v>2</v>
      </c>
      <c r="J70" s="14" t="n">
        <f aca="false">H70*I70</f>
        <v>337.6128</v>
      </c>
      <c r="K70" s="8" t="s">
        <v>177</v>
      </c>
    </row>
    <row r="71" s="9" customFormat="true" ht="19.5" hidden="false" customHeight="true" outlineLevel="0" collapsed="false">
      <c r="A71" s="8" t="s">
        <v>178</v>
      </c>
      <c r="B71" s="8" t="s">
        <v>42</v>
      </c>
      <c r="C71" s="8" t="s">
        <v>179</v>
      </c>
      <c r="D71" s="8" t="s">
        <v>40</v>
      </c>
      <c r="E71" s="8"/>
      <c r="F71" s="8"/>
      <c r="G71" s="8" t="n">
        <v>20</v>
      </c>
      <c r="H71" s="13" t="n">
        <f aca="false">M71*(G71/1000)*7850</f>
        <v>2457.05</v>
      </c>
      <c r="I71" s="8" t="n">
        <v>1</v>
      </c>
      <c r="J71" s="14" t="n">
        <f aca="false">H71*I71</f>
        <v>2457.05</v>
      </c>
      <c r="K71" s="8" t="s">
        <v>180</v>
      </c>
      <c r="M71" s="15" t="n">
        <v>15.65</v>
      </c>
    </row>
    <row r="72" s="9" customFormat="true" ht="19.5" hidden="false" customHeight="true" outlineLevel="0" collapsed="false">
      <c r="A72" s="8" t="s">
        <v>178</v>
      </c>
      <c r="B72" s="8" t="s">
        <v>42</v>
      </c>
      <c r="C72" s="8" t="s">
        <v>181</v>
      </c>
      <c r="D72" s="8" t="s">
        <v>40</v>
      </c>
      <c r="E72" s="8"/>
      <c r="F72" s="8"/>
      <c r="G72" s="8" t="n">
        <v>20</v>
      </c>
      <c r="H72" s="13" t="n">
        <f aca="false">M72*(G72/1000)*7850</f>
        <v>3147.85</v>
      </c>
      <c r="I72" s="8" t="n">
        <v>1</v>
      </c>
      <c r="J72" s="14" t="n">
        <f aca="false">H72*I72</f>
        <v>3147.85</v>
      </c>
      <c r="K72" s="8" t="s">
        <v>182</v>
      </c>
      <c r="M72" s="15" t="n">
        <v>20.05</v>
      </c>
    </row>
    <row r="73" s="9" customFormat="true" ht="19.5" hidden="true" customHeight="true" outlineLevel="0" collapsed="false">
      <c r="A73" s="8" t="s">
        <v>178</v>
      </c>
      <c r="B73" s="8" t="s">
        <v>42</v>
      </c>
      <c r="C73" s="8" t="s">
        <v>183</v>
      </c>
      <c r="D73" s="8" t="s">
        <v>40</v>
      </c>
      <c r="E73" s="8" t="n">
        <v>7902</v>
      </c>
      <c r="F73" s="8" t="n">
        <v>1200</v>
      </c>
      <c r="G73" s="8" t="n">
        <v>20</v>
      </c>
      <c r="H73" s="13" t="n">
        <f aca="false">(E73/1000)*(F73/1000)*(G73/1000)*7850</f>
        <v>1488.7368</v>
      </c>
      <c r="I73" s="8" t="n">
        <v>1</v>
      </c>
      <c r="J73" s="14" t="n">
        <f aca="false">H73*I73</f>
        <v>1488.7368</v>
      </c>
      <c r="K73" s="8" t="s">
        <v>184</v>
      </c>
    </row>
    <row r="74" s="9" customFormat="true" ht="19.5" hidden="true" customHeight="true" outlineLevel="0" collapsed="false">
      <c r="A74" s="8" t="s">
        <v>178</v>
      </c>
      <c r="B74" s="8" t="s">
        <v>42</v>
      </c>
      <c r="C74" s="8" t="s">
        <v>185</v>
      </c>
      <c r="D74" s="8" t="s">
        <v>40</v>
      </c>
      <c r="E74" s="8" t="n">
        <v>10151</v>
      </c>
      <c r="F74" s="8" t="n">
        <v>1200</v>
      </c>
      <c r="G74" s="8" t="n">
        <v>20</v>
      </c>
      <c r="H74" s="13" t="n">
        <f aca="false">(E74/1000)*(F74/1000)*(G74/1000)*7850</f>
        <v>1912.4484</v>
      </c>
      <c r="I74" s="8" t="n">
        <v>1</v>
      </c>
      <c r="J74" s="14" t="n">
        <f aca="false">H74*I74</f>
        <v>1912.4484</v>
      </c>
      <c r="K74" s="8" t="s">
        <v>186</v>
      </c>
    </row>
    <row r="75" s="9" customFormat="true" ht="19.5" hidden="false" customHeight="true" outlineLevel="0" collapsed="false">
      <c r="A75" s="8" t="s">
        <v>178</v>
      </c>
      <c r="B75" s="8" t="s">
        <v>187</v>
      </c>
      <c r="C75" s="8" t="s">
        <v>188</v>
      </c>
      <c r="D75" s="8" t="s">
        <v>40</v>
      </c>
      <c r="E75" s="8"/>
      <c r="F75" s="8"/>
      <c r="G75" s="8" t="n">
        <v>40</v>
      </c>
      <c r="H75" s="13" t="n">
        <f aca="false">M75*(G75/1000)*7850</f>
        <v>6999.06</v>
      </c>
      <c r="I75" s="8" t="n">
        <v>2</v>
      </c>
      <c r="J75" s="14" t="n">
        <f aca="false">H75*I75</f>
        <v>13998.12</v>
      </c>
      <c r="K75" s="8" t="s">
        <v>189</v>
      </c>
      <c r="M75" s="15" t="n">
        <v>22.29</v>
      </c>
    </row>
    <row r="76" s="9" customFormat="true" ht="19.5" hidden="true" customHeight="true" outlineLevel="0" collapsed="false">
      <c r="A76" s="8" t="s">
        <v>178</v>
      </c>
      <c r="B76" s="8" t="s">
        <v>190</v>
      </c>
      <c r="C76" s="8" t="s">
        <v>191</v>
      </c>
      <c r="D76" s="8" t="s">
        <v>40</v>
      </c>
      <c r="E76" s="8" t="n">
        <v>10351</v>
      </c>
      <c r="F76" s="8" t="n">
        <v>2048</v>
      </c>
      <c r="G76" s="8" t="n">
        <v>20</v>
      </c>
      <c r="H76" s="13" t="n">
        <f aca="false">(E76/1000)*(F76/1000)*(G76/1000)*7850</f>
        <v>3328.219136</v>
      </c>
      <c r="I76" s="8" t="n">
        <v>2</v>
      </c>
      <c r="J76" s="14" t="n">
        <f aca="false">H76*I76</f>
        <v>6656.438272</v>
      </c>
      <c r="K76" s="8" t="s">
        <v>192</v>
      </c>
    </row>
    <row r="77" s="9" customFormat="true" ht="19.5" hidden="true" customHeight="true" outlineLevel="0" collapsed="false">
      <c r="A77" s="8" t="s">
        <v>178</v>
      </c>
      <c r="B77" s="8" t="s">
        <v>42</v>
      </c>
      <c r="C77" s="8" t="s">
        <v>58</v>
      </c>
      <c r="D77" s="8" t="s">
        <v>40</v>
      </c>
      <c r="E77" s="8" t="n">
        <v>1980</v>
      </c>
      <c r="F77" s="8" t="n">
        <v>1200</v>
      </c>
      <c r="G77" s="8" t="n">
        <v>16</v>
      </c>
      <c r="H77" s="13" t="n">
        <f aca="false">(E77/1000)*(F77/1000)*(G77/1000)*7850</f>
        <v>298.4256</v>
      </c>
      <c r="I77" s="8" t="n">
        <v>3</v>
      </c>
      <c r="J77" s="14" t="n">
        <f aca="false">H77*I77</f>
        <v>895.2768</v>
      </c>
      <c r="K77" s="8" t="s">
        <v>193</v>
      </c>
    </row>
    <row r="78" s="9" customFormat="true" ht="19.5" hidden="true" customHeight="true" outlineLevel="0" collapsed="false">
      <c r="A78" s="8" t="s">
        <v>178</v>
      </c>
      <c r="B78" s="8" t="s">
        <v>42</v>
      </c>
      <c r="C78" s="8" t="s">
        <v>194</v>
      </c>
      <c r="D78" s="8" t="s">
        <v>40</v>
      </c>
      <c r="E78" s="8" t="n">
        <v>1980</v>
      </c>
      <c r="F78" s="8" t="n">
        <v>1200</v>
      </c>
      <c r="G78" s="8" t="n">
        <v>16</v>
      </c>
      <c r="H78" s="13" t="n">
        <f aca="false">(E78/1000)*(F78/1000)*(G78/1000)*7850</f>
        <v>298.4256</v>
      </c>
      <c r="I78" s="8" t="n">
        <v>3</v>
      </c>
      <c r="J78" s="14" t="n">
        <f aca="false">H78*I78</f>
        <v>895.2768</v>
      </c>
      <c r="K78" s="8" t="s">
        <v>193</v>
      </c>
    </row>
    <row r="79" s="9" customFormat="true" ht="19.5" hidden="true" customHeight="true" outlineLevel="0" collapsed="false">
      <c r="A79" s="8" t="s">
        <v>178</v>
      </c>
      <c r="B79" s="8" t="s">
        <v>195</v>
      </c>
      <c r="C79" s="8" t="s">
        <v>196</v>
      </c>
      <c r="D79" s="8" t="s">
        <v>40</v>
      </c>
      <c r="E79" s="8" t="n">
        <v>2057</v>
      </c>
      <c r="F79" s="8" t="n">
        <v>200</v>
      </c>
      <c r="G79" s="8" t="n">
        <v>16</v>
      </c>
      <c r="H79" s="13" t="n">
        <f aca="false">(E79/1000)*(F79/1000)*(G79/1000)*7850</f>
        <v>51.67184</v>
      </c>
      <c r="I79" s="8" t="n">
        <v>4</v>
      </c>
      <c r="J79" s="14" t="n">
        <f aca="false">H79*I79</f>
        <v>206.68736</v>
      </c>
      <c r="K79" s="8" t="s">
        <v>197</v>
      </c>
    </row>
    <row r="80" s="9" customFormat="true" ht="19.5" hidden="true" customHeight="true" outlineLevel="0" collapsed="false">
      <c r="A80" s="8" t="s">
        <v>178</v>
      </c>
      <c r="B80" s="8" t="s">
        <v>42</v>
      </c>
      <c r="C80" s="8" t="s">
        <v>68</v>
      </c>
      <c r="D80" s="8" t="s">
        <v>40</v>
      </c>
      <c r="E80" s="8" t="n">
        <v>800</v>
      </c>
      <c r="F80" s="8" t="n">
        <v>400</v>
      </c>
      <c r="G80" s="8" t="n">
        <v>16</v>
      </c>
      <c r="H80" s="13" t="n">
        <f aca="false">(E80/1000)*(F80/1000)*(G80/1000)*7850</f>
        <v>40.192</v>
      </c>
      <c r="I80" s="8" t="n">
        <v>4</v>
      </c>
      <c r="J80" s="14" t="n">
        <f aca="false">H80*I80</f>
        <v>160.768</v>
      </c>
      <c r="K80" s="8" t="s">
        <v>198</v>
      </c>
    </row>
    <row r="81" s="9" customFormat="true" ht="19.5" hidden="true" customHeight="true" outlineLevel="0" collapsed="false">
      <c r="A81" s="8" t="s">
        <v>178</v>
      </c>
      <c r="B81" s="8" t="s">
        <v>42</v>
      </c>
      <c r="C81" s="8" t="s">
        <v>199</v>
      </c>
      <c r="D81" s="8" t="s">
        <v>40</v>
      </c>
      <c r="E81" s="8" t="n">
        <v>7902</v>
      </c>
      <c r="F81" s="8" t="n">
        <v>240</v>
      </c>
      <c r="G81" s="8" t="n">
        <v>20</v>
      </c>
      <c r="H81" s="13" t="n">
        <f aca="false">(E81/1000)*(F81/1000)*(G81/1000)*7850</f>
        <v>297.74736</v>
      </c>
      <c r="I81" s="8" t="n">
        <v>6</v>
      </c>
      <c r="J81" s="14" t="n">
        <f aca="false">H81*I81</f>
        <v>1786.48416</v>
      </c>
      <c r="K81" s="8" t="s">
        <v>200</v>
      </c>
    </row>
    <row r="82" s="9" customFormat="true" ht="19.5" hidden="true" customHeight="true" outlineLevel="0" collapsed="false">
      <c r="A82" s="8" t="s">
        <v>178</v>
      </c>
      <c r="B82" s="8" t="s">
        <v>42</v>
      </c>
      <c r="C82" s="8" t="s">
        <v>76</v>
      </c>
      <c r="D82" s="8" t="s">
        <v>40</v>
      </c>
      <c r="E82" s="8" t="n">
        <v>10151</v>
      </c>
      <c r="F82" s="8" t="n">
        <v>240</v>
      </c>
      <c r="G82" s="8" t="n">
        <v>20</v>
      </c>
      <c r="H82" s="13" t="n">
        <f aca="false">(E82/1000)*(F82/1000)*(G82/1000)*7850</f>
        <v>382.48968</v>
      </c>
      <c r="I82" s="8" t="n">
        <v>6</v>
      </c>
      <c r="J82" s="14" t="n">
        <f aca="false">H82*I82</f>
        <v>2294.93808</v>
      </c>
      <c r="K82" s="8" t="s">
        <v>201</v>
      </c>
    </row>
    <row r="83" s="9" customFormat="true" ht="19.5" hidden="false" customHeight="true" outlineLevel="0" collapsed="false">
      <c r="A83" s="8" t="s">
        <v>178</v>
      </c>
      <c r="B83" s="8" t="s">
        <v>42</v>
      </c>
      <c r="C83" s="8" t="s">
        <v>96</v>
      </c>
      <c r="D83" s="8" t="s">
        <v>40</v>
      </c>
      <c r="E83" s="8" t="n">
        <v>7902</v>
      </c>
      <c r="F83" s="8" t="n">
        <v>2500</v>
      </c>
      <c r="G83" s="8" t="n">
        <v>24</v>
      </c>
      <c r="H83" s="13" t="n">
        <f aca="false">(E83/1000)*(F83/1000)*(G83/1000)*7850</f>
        <v>3721.842</v>
      </c>
      <c r="I83" s="8" t="n">
        <v>1</v>
      </c>
      <c r="J83" s="14" t="n">
        <f aca="false">H83*I83</f>
        <v>3721.842</v>
      </c>
      <c r="K83" s="8" t="s">
        <v>202</v>
      </c>
    </row>
    <row r="84" s="9" customFormat="true" ht="19.5" hidden="true" customHeight="true" outlineLevel="0" collapsed="false">
      <c r="A84" s="8" t="s">
        <v>178</v>
      </c>
      <c r="B84" s="8" t="s">
        <v>42</v>
      </c>
      <c r="C84" s="8" t="s">
        <v>203</v>
      </c>
      <c r="D84" s="8" t="s">
        <v>40</v>
      </c>
      <c r="E84" s="8" t="n">
        <v>10105</v>
      </c>
      <c r="F84" s="8" t="n">
        <v>2500</v>
      </c>
      <c r="G84" s="8" t="n">
        <v>24</v>
      </c>
      <c r="H84" s="13" t="n">
        <f aca="false">(E84/1000)*(F84/1000)*(G84/1000)*7850</f>
        <v>4759.455</v>
      </c>
      <c r="I84" s="8" t="n">
        <v>1</v>
      </c>
      <c r="J84" s="14" t="n">
        <f aca="false">H84*I84</f>
        <v>4759.455</v>
      </c>
      <c r="K84" s="8" t="s">
        <v>204</v>
      </c>
    </row>
    <row r="85" s="9" customFormat="true" ht="19.5" hidden="false" customHeight="true" outlineLevel="0" collapsed="false">
      <c r="A85" s="8" t="s">
        <v>178</v>
      </c>
      <c r="B85" s="8" t="s">
        <v>42</v>
      </c>
      <c r="C85" s="8" t="s">
        <v>100</v>
      </c>
      <c r="D85" s="8" t="s">
        <v>40</v>
      </c>
      <c r="E85" s="8"/>
      <c r="F85" s="8"/>
      <c r="G85" s="8" t="n">
        <v>24</v>
      </c>
      <c r="H85" s="13" t="n">
        <f aca="false">M85*(G85/1000)*7850</f>
        <v>2441.664</v>
      </c>
      <c r="I85" s="8" t="n">
        <v>1</v>
      </c>
      <c r="J85" s="14" t="n">
        <f aca="false">H85*I85</f>
        <v>2441.664</v>
      </c>
      <c r="K85" s="8" t="s">
        <v>205</v>
      </c>
      <c r="L85" s="8"/>
      <c r="M85" s="15" t="n">
        <v>12.96</v>
      </c>
      <c r="N85" s="15"/>
      <c r="O85" s="15"/>
      <c r="P85" s="15"/>
      <c r="Q85" s="15"/>
      <c r="R85" s="15"/>
      <c r="S85" s="15"/>
      <c r="T85" s="15"/>
      <c r="U85" s="15"/>
      <c r="V85" s="15"/>
      <c r="W85" s="8"/>
    </row>
    <row r="86" s="9" customFormat="true" ht="19.5" hidden="false" customHeight="true" outlineLevel="0" collapsed="false">
      <c r="A86" s="8" t="s">
        <v>178</v>
      </c>
      <c r="B86" s="8" t="s">
        <v>42</v>
      </c>
      <c r="C86" s="8" t="s">
        <v>206</v>
      </c>
      <c r="D86" s="8" t="s">
        <v>40</v>
      </c>
      <c r="E86" s="8"/>
      <c r="F86" s="8"/>
      <c r="G86" s="8" t="n">
        <v>24</v>
      </c>
      <c r="H86" s="13" t="n">
        <f aca="false">M86*(G86/1000)*7850</f>
        <v>3006.864</v>
      </c>
      <c r="I86" s="8" t="n">
        <v>1</v>
      </c>
      <c r="J86" s="14" t="n">
        <f aca="false">H86*I86</f>
        <v>3006.864</v>
      </c>
      <c r="K86" s="8" t="s">
        <v>207</v>
      </c>
      <c r="M86" s="15" t="n">
        <v>15.96</v>
      </c>
    </row>
    <row r="87" s="9" customFormat="true" ht="19.5" hidden="true" customHeight="true" outlineLevel="0" collapsed="false">
      <c r="A87" s="8" t="s">
        <v>178</v>
      </c>
      <c r="B87" s="8" t="s">
        <v>105</v>
      </c>
      <c r="C87" s="8" t="s">
        <v>103</v>
      </c>
      <c r="D87" s="8" t="s">
        <v>40</v>
      </c>
      <c r="E87" s="8"/>
      <c r="F87" s="8"/>
      <c r="G87" s="8" t="n">
        <v>40</v>
      </c>
      <c r="H87" s="13" t="n">
        <f aca="false">M87*(G87/1000)*7850</f>
        <v>6857.76</v>
      </c>
      <c r="I87" s="8" t="n">
        <v>2</v>
      </c>
      <c r="J87" s="14" t="n">
        <f aca="false">H87*I87</f>
        <v>13715.52</v>
      </c>
      <c r="K87" s="8" t="s">
        <v>208</v>
      </c>
      <c r="M87" s="15" t="n">
        <v>21.84</v>
      </c>
    </row>
    <row r="88" s="9" customFormat="true" ht="19.5" hidden="true" customHeight="true" outlineLevel="0" collapsed="false">
      <c r="A88" s="8" t="s">
        <v>178</v>
      </c>
      <c r="B88" s="8" t="s">
        <v>102</v>
      </c>
      <c r="C88" s="8" t="s">
        <v>106</v>
      </c>
      <c r="D88" s="8" t="s">
        <v>40</v>
      </c>
      <c r="E88" s="8" t="n">
        <v>10305</v>
      </c>
      <c r="F88" s="8" t="n">
        <v>1880</v>
      </c>
      <c r="G88" s="8" t="n">
        <v>24</v>
      </c>
      <c r="H88" s="13" t="n">
        <f aca="false">(E88/1000)*(F88/1000)*(G88/1000)*7850</f>
        <v>3649.94856</v>
      </c>
      <c r="I88" s="8" t="n">
        <v>2</v>
      </c>
      <c r="J88" s="14" t="n">
        <f aca="false">H88*I88</f>
        <v>7299.89712</v>
      </c>
      <c r="K88" s="8" t="s">
        <v>209</v>
      </c>
    </row>
    <row r="89" s="9" customFormat="true" ht="19.5" hidden="true" customHeight="true" outlineLevel="0" collapsed="false">
      <c r="A89" s="8" t="s">
        <v>178</v>
      </c>
      <c r="B89" s="8" t="s">
        <v>42</v>
      </c>
      <c r="C89" s="8" t="s">
        <v>108</v>
      </c>
      <c r="D89" s="8" t="s">
        <v>40</v>
      </c>
      <c r="E89" s="8" t="n">
        <v>1800</v>
      </c>
      <c r="F89" s="8" t="n">
        <v>1200</v>
      </c>
      <c r="G89" s="8" t="n">
        <v>16</v>
      </c>
      <c r="H89" s="13" t="n">
        <f aca="false">(E89/1000)*(F89/1000)*(G89/1000)*7850</f>
        <v>271.296</v>
      </c>
      <c r="I89" s="8" t="n">
        <v>3</v>
      </c>
      <c r="J89" s="14" t="n">
        <f aca="false">H89*I89</f>
        <v>813.888</v>
      </c>
      <c r="K89" s="8" t="s">
        <v>210</v>
      </c>
    </row>
    <row r="90" s="9" customFormat="true" ht="19.5" hidden="true" customHeight="true" outlineLevel="0" collapsed="false">
      <c r="A90" s="8" t="s">
        <v>178</v>
      </c>
      <c r="B90" s="8" t="s">
        <v>110</v>
      </c>
      <c r="C90" s="8" t="s">
        <v>112</v>
      </c>
      <c r="D90" s="8" t="s">
        <v>40</v>
      </c>
      <c r="E90" s="8" t="n">
        <v>1800</v>
      </c>
      <c r="F90" s="8" t="n">
        <v>1200</v>
      </c>
      <c r="G90" s="8" t="n">
        <v>16</v>
      </c>
      <c r="H90" s="13" t="n">
        <f aca="false">(E90/1000)*(F90/1000)*(G90/1000)*7850</f>
        <v>271.296</v>
      </c>
      <c r="I90" s="8" t="n">
        <v>3</v>
      </c>
      <c r="J90" s="14" t="n">
        <f aca="false">H90*I90</f>
        <v>813.888</v>
      </c>
      <c r="K90" s="8" t="s">
        <v>210</v>
      </c>
    </row>
    <row r="91" s="9" customFormat="true" ht="19.5" hidden="true" customHeight="true" outlineLevel="0" collapsed="false">
      <c r="A91" s="8" t="s">
        <v>178</v>
      </c>
      <c r="B91" s="8" t="s">
        <v>42</v>
      </c>
      <c r="C91" s="8" t="s">
        <v>211</v>
      </c>
      <c r="D91" s="8" t="s">
        <v>40</v>
      </c>
      <c r="E91" s="8" t="n">
        <v>2057</v>
      </c>
      <c r="F91" s="8" t="n">
        <v>200</v>
      </c>
      <c r="G91" s="8" t="n">
        <v>16</v>
      </c>
      <c r="H91" s="13" t="n">
        <f aca="false">(E91/1000)*(F91/1000)*(G91/1000)*7850</f>
        <v>51.67184</v>
      </c>
      <c r="I91" s="8" t="n">
        <v>6</v>
      </c>
      <c r="J91" s="14" t="n">
        <f aca="false">H91*I91</f>
        <v>310.03104</v>
      </c>
      <c r="K91" s="8" t="s">
        <v>197</v>
      </c>
    </row>
    <row r="92" s="9" customFormat="true" ht="19.5" hidden="true" customHeight="true" outlineLevel="0" collapsed="false">
      <c r="A92" s="8" t="s">
        <v>178</v>
      </c>
      <c r="B92" s="8" t="s">
        <v>42</v>
      </c>
      <c r="C92" s="8" t="s">
        <v>114</v>
      </c>
      <c r="D92" s="8" t="s">
        <v>40</v>
      </c>
      <c r="E92" s="8" t="n">
        <v>7902</v>
      </c>
      <c r="F92" s="8" t="n">
        <v>240</v>
      </c>
      <c r="G92" s="8" t="n">
        <v>20</v>
      </c>
      <c r="H92" s="13" t="n">
        <f aca="false">(E92/1000)*(F92/1000)*(G92/1000)*7850</f>
        <v>297.74736</v>
      </c>
      <c r="I92" s="8" t="n">
        <v>2</v>
      </c>
      <c r="J92" s="14" t="n">
        <f aca="false">H92*I92</f>
        <v>595.49472</v>
      </c>
      <c r="K92" s="8" t="s">
        <v>200</v>
      </c>
    </row>
    <row r="93" s="9" customFormat="true" ht="19.5" hidden="true" customHeight="true" outlineLevel="0" collapsed="false">
      <c r="A93" s="8" t="s">
        <v>178</v>
      </c>
      <c r="B93" s="8" t="s">
        <v>42</v>
      </c>
      <c r="C93" s="8" t="s">
        <v>212</v>
      </c>
      <c r="D93" s="8" t="s">
        <v>40</v>
      </c>
      <c r="E93" s="8" t="n">
        <v>7902</v>
      </c>
      <c r="F93" s="8" t="n">
        <v>240</v>
      </c>
      <c r="G93" s="8" t="n">
        <v>20</v>
      </c>
      <c r="H93" s="13" t="n">
        <f aca="false">(E93/1000)*(F93/1000)*(G93/1000)*7850</f>
        <v>297.74736</v>
      </c>
      <c r="I93" s="8" t="n">
        <v>2</v>
      </c>
      <c r="J93" s="14" t="n">
        <f aca="false">H93*I93</f>
        <v>595.49472</v>
      </c>
      <c r="K93" s="8" t="s">
        <v>200</v>
      </c>
    </row>
    <row r="94" s="9" customFormat="true" ht="19.5" hidden="true" customHeight="true" outlineLevel="0" collapsed="false">
      <c r="A94" s="8" t="s">
        <v>178</v>
      </c>
      <c r="B94" s="8" t="s">
        <v>42</v>
      </c>
      <c r="C94" s="8" t="s">
        <v>116</v>
      </c>
      <c r="D94" s="8" t="s">
        <v>40</v>
      </c>
      <c r="E94" s="8" t="n">
        <v>10105</v>
      </c>
      <c r="F94" s="8" t="n">
        <v>240</v>
      </c>
      <c r="G94" s="8" t="n">
        <v>20</v>
      </c>
      <c r="H94" s="13" t="n">
        <f aca="false">(E94/1000)*(F94/1000)*(G94/1000)*7850</f>
        <v>380.7564</v>
      </c>
      <c r="I94" s="8" t="n">
        <v>4</v>
      </c>
      <c r="J94" s="14" t="n">
        <f aca="false">H94*I94</f>
        <v>1523.0256</v>
      </c>
      <c r="K94" s="8" t="s">
        <v>213</v>
      </c>
    </row>
    <row r="95" s="9" customFormat="true" ht="19.5" hidden="true" customHeight="true" outlineLevel="0" collapsed="false">
      <c r="A95" s="8" t="s">
        <v>178</v>
      </c>
      <c r="B95" s="8" t="s">
        <v>42</v>
      </c>
      <c r="C95" s="8" t="s">
        <v>118</v>
      </c>
      <c r="D95" s="8" t="s">
        <v>40</v>
      </c>
      <c r="E95" s="8" t="n">
        <v>18007</v>
      </c>
      <c r="F95" s="8" t="n">
        <v>170</v>
      </c>
      <c r="G95" s="8" t="n">
        <v>14</v>
      </c>
      <c r="H95" s="13" t="n">
        <f aca="false">(E95/1000)*(F95/1000)*(G95/1000)*7850</f>
        <v>336.424781</v>
      </c>
      <c r="I95" s="8" t="n">
        <v>2</v>
      </c>
      <c r="J95" s="14" t="n">
        <f aca="false">H95*I95</f>
        <v>672.849562</v>
      </c>
      <c r="K95" s="8" t="s">
        <v>214</v>
      </c>
    </row>
    <row r="96" s="9" customFormat="true" ht="19.5" hidden="true" customHeight="true" outlineLevel="0" collapsed="false">
      <c r="A96" s="8" t="s">
        <v>178</v>
      </c>
      <c r="B96" s="8" t="s">
        <v>42</v>
      </c>
      <c r="C96" s="8" t="s">
        <v>125</v>
      </c>
      <c r="D96" s="8" t="s">
        <v>40</v>
      </c>
      <c r="E96" s="8" t="n">
        <v>10047</v>
      </c>
      <c r="F96" s="8" t="n">
        <v>900</v>
      </c>
      <c r="G96" s="8" t="n">
        <v>36</v>
      </c>
      <c r="H96" s="13" t="n">
        <f aca="false">(E96/1000)*(F96/1000)*(G96/1000)*7850</f>
        <v>2555.35398</v>
      </c>
      <c r="I96" s="8" t="n">
        <v>2</v>
      </c>
      <c r="J96" s="14" t="n">
        <f aca="false">H96*I96</f>
        <v>5110.70796</v>
      </c>
      <c r="K96" s="8" t="s">
        <v>215</v>
      </c>
    </row>
    <row r="97" s="9" customFormat="true" ht="19.5" hidden="false" customHeight="true" outlineLevel="0" collapsed="false">
      <c r="A97" s="8" t="s">
        <v>178</v>
      </c>
      <c r="B97" s="8" t="s">
        <v>42</v>
      </c>
      <c r="C97" s="8" t="s">
        <v>128</v>
      </c>
      <c r="D97" s="8" t="s">
        <v>40</v>
      </c>
      <c r="E97" s="8" t="n">
        <v>14547</v>
      </c>
      <c r="F97" s="8" t="n">
        <v>1200</v>
      </c>
      <c r="G97" s="8" t="n">
        <v>32</v>
      </c>
      <c r="H97" s="13" t="n">
        <f aca="false">(E97/1000)*(F97/1000)*(G97/1000)*7850</f>
        <v>4385.04768</v>
      </c>
      <c r="I97" s="8" t="n">
        <v>1</v>
      </c>
      <c r="J97" s="14" t="n">
        <f aca="false">H97*I97</f>
        <v>4385.04768</v>
      </c>
      <c r="K97" s="8" t="s">
        <v>216</v>
      </c>
    </row>
    <row r="98" s="9" customFormat="true" ht="19.5" hidden="false" customHeight="true" outlineLevel="0" collapsed="false">
      <c r="A98" s="8" t="s">
        <v>178</v>
      </c>
      <c r="B98" s="8" t="s">
        <v>42</v>
      </c>
      <c r="C98" s="8" t="s">
        <v>130</v>
      </c>
      <c r="D98" s="8" t="s">
        <v>40</v>
      </c>
      <c r="E98" s="8" t="n">
        <v>13147</v>
      </c>
      <c r="F98" s="8" t="n">
        <v>240</v>
      </c>
      <c r="G98" s="8" t="n">
        <v>24</v>
      </c>
      <c r="H98" s="13" t="n">
        <f aca="false">(E98/1000)*(F98/1000)*(G98/1000)*7850</f>
        <v>594.454752</v>
      </c>
      <c r="I98" s="8" t="n">
        <v>2</v>
      </c>
      <c r="J98" s="14" t="n">
        <f aca="false">H98*I98</f>
        <v>1188.909504</v>
      </c>
      <c r="K98" s="8" t="s">
        <v>217</v>
      </c>
    </row>
    <row r="99" s="9" customFormat="true" ht="19.5" hidden="true" customHeight="true" outlineLevel="0" collapsed="false">
      <c r="A99" s="8" t="s">
        <v>178</v>
      </c>
      <c r="B99" s="8" t="s">
        <v>42</v>
      </c>
      <c r="C99" s="8" t="s">
        <v>137</v>
      </c>
      <c r="D99" s="8" t="s">
        <v>40</v>
      </c>
      <c r="E99" s="8" t="n">
        <v>4796</v>
      </c>
      <c r="F99" s="8" t="n">
        <v>900</v>
      </c>
      <c r="G99" s="8" t="n">
        <v>36</v>
      </c>
      <c r="H99" s="13" t="n">
        <f aca="false">(E99/1000)*(F99/1000)*(G99/1000)*7850</f>
        <v>1219.81464</v>
      </c>
      <c r="I99" s="8" t="n">
        <v>2</v>
      </c>
      <c r="J99" s="14" t="n">
        <f aca="false">H99*I99</f>
        <v>2439.62928</v>
      </c>
      <c r="K99" s="8" t="s">
        <v>218</v>
      </c>
    </row>
    <row r="100" s="9" customFormat="true" ht="19.5" hidden="true" customHeight="true" outlineLevel="0" collapsed="false">
      <c r="A100" s="8" t="s">
        <v>178</v>
      </c>
      <c r="B100" s="8" t="s">
        <v>42</v>
      </c>
      <c r="C100" s="8" t="s">
        <v>141</v>
      </c>
      <c r="D100" s="8" t="s">
        <v>40</v>
      </c>
      <c r="E100" s="8" t="n">
        <v>7096</v>
      </c>
      <c r="F100" s="8" t="n">
        <v>1200</v>
      </c>
      <c r="G100" s="8" t="n">
        <v>32</v>
      </c>
      <c r="H100" s="13" t="n">
        <f aca="false">(E100/1000)*(F100/1000)*(G100/1000)*7850</f>
        <v>2139.01824</v>
      </c>
      <c r="I100" s="8" t="n">
        <v>1</v>
      </c>
      <c r="J100" s="14" t="n">
        <f aca="false">H100*I100</f>
        <v>2139.01824</v>
      </c>
      <c r="K100" s="8" t="s">
        <v>219</v>
      </c>
    </row>
    <row r="101" s="9" customFormat="true" ht="19.5" hidden="false" customHeight="true" outlineLevel="0" collapsed="false">
      <c r="A101" s="8" t="s">
        <v>178</v>
      </c>
      <c r="B101" s="8" t="s">
        <v>42</v>
      </c>
      <c r="C101" s="8" t="s">
        <v>143</v>
      </c>
      <c r="D101" s="8" t="s">
        <v>40</v>
      </c>
      <c r="E101" s="8" t="n">
        <v>6396</v>
      </c>
      <c r="F101" s="8" t="n">
        <v>240</v>
      </c>
      <c r="G101" s="8" t="n">
        <v>24</v>
      </c>
      <c r="H101" s="13" t="n">
        <f aca="false">(E101/1000)*(F101/1000)*(G101/1000)*7850</f>
        <v>289.201536</v>
      </c>
      <c r="I101" s="8" t="n">
        <v>2</v>
      </c>
      <c r="J101" s="14" t="n">
        <f aca="false">H101*I101</f>
        <v>578.403072</v>
      </c>
      <c r="K101" s="8" t="s">
        <v>220</v>
      </c>
    </row>
    <row r="102" s="9" customFormat="true" ht="19.5" hidden="true" customHeight="true" outlineLevel="0" collapsed="false">
      <c r="A102" s="8" t="s">
        <v>178</v>
      </c>
      <c r="B102" s="8" t="s">
        <v>42</v>
      </c>
      <c r="C102" s="8" t="s">
        <v>221</v>
      </c>
      <c r="D102" s="8" t="s">
        <v>40</v>
      </c>
      <c r="E102" s="8" t="n">
        <v>7125</v>
      </c>
      <c r="F102" s="8" t="n">
        <v>1200</v>
      </c>
      <c r="G102" s="8" t="n">
        <v>36</v>
      </c>
      <c r="H102" s="13" t="n">
        <f aca="false">(E102/1000)*(F102/1000)*(G102/1000)*7850</f>
        <v>2416.23</v>
      </c>
      <c r="I102" s="8" t="n">
        <v>1</v>
      </c>
      <c r="J102" s="14" t="n">
        <f aca="false">H102*I102</f>
        <v>2416.23</v>
      </c>
      <c r="K102" s="8" t="s">
        <v>222</v>
      </c>
    </row>
    <row r="103" s="9" customFormat="true" ht="19.5" hidden="true" customHeight="true" outlineLevel="0" collapsed="false">
      <c r="A103" s="8" t="s">
        <v>178</v>
      </c>
      <c r="B103" s="8" t="s">
        <v>42</v>
      </c>
      <c r="C103" s="8" t="s">
        <v>152</v>
      </c>
      <c r="D103" s="8" t="s">
        <v>40</v>
      </c>
      <c r="E103" s="8" t="n">
        <v>6725</v>
      </c>
      <c r="F103" s="8" t="n">
        <v>1200</v>
      </c>
      <c r="G103" s="8" t="n">
        <v>36</v>
      </c>
      <c r="H103" s="13" t="n">
        <f aca="false">(E103/1000)*(F103/1000)*(G103/1000)*7850</f>
        <v>2280.582</v>
      </c>
      <c r="I103" s="8" t="n">
        <v>1</v>
      </c>
      <c r="J103" s="14" t="n">
        <f aca="false">H103*I103</f>
        <v>2280.582</v>
      </c>
      <c r="K103" s="8" t="s">
        <v>223</v>
      </c>
    </row>
    <row r="104" s="9" customFormat="true" ht="19.5" hidden="true" customHeight="true" outlineLevel="0" collapsed="false">
      <c r="A104" s="8" t="s">
        <v>178</v>
      </c>
      <c r="B104" s="8" t="s">
        <v>42</v>
      </c>
      <c r="C104" s="8" t="s">
        <v>155</v>
      </c>
      <c r="D104" s="8" t="s">
        <v>40</v>
      </c>
      <c r="E104" s="8" t="n">
        <v>4925</v>
      </c>
      <c r="F104" s="8" t="n">
        <v>1360</v>
      </c>
      <c r="G104" s="8" t="n">
        <v>36</v>
      </c>
      <c r="H104" s="13" t="n">
        <f aca="false">(E104/1000)*(F104/1000)*(G104/1000)*7850</f>
        <v>1892.8548</v>
      </c>
      <c r="I104" s="8" t="n">
        <v>2</v>
      </c>
      <c r="J104" s="14" t="n">
        <f aca="false">H104*I104</f>
        <v>3785.7096</v>
      </c>
      <c r="K104" s="8" t="s">
        <v>224</v>
      </c>
    </row>
    <row r="105" s="9" customFormat="true" ht="19.5" hidden="true" customHeight="true" outlineLevel="0" collapsed="false">
      <c r="A105" s="8" t="s">
        <v>178</v>
      </c>
      <c r="B105" s="8" t="s">
        <v>42</v>
      </c>
      <c r="C105" s="8" t="s">
        <v>160</v>
      </c>
      <c r="D105" s="8" t="s">
        <v>40</v>
      </c>
      <c r="E105" s="8" t="n">
        <v>4925</v>
      </c>
      <c r="F105" s="8" t="n">
        <v>320</v>
      </c>
      <c r="G105" s="8" t="n">
        <v>32</v>
      </c>
      <c r="H105" s="13" t="n">
        <f aca="false">(E105/1000)*(F105/1000)*(G105/1000)*7850</f>
        <v>395.8912</v>
      </c>
      <c r="I105" s="8" t="n">
        <v>2</v>
      </c>
      <c r="J105" s="14" t="n">
        <f aca="false">H105*I105</f>
        <v>791.7824</v>
      </c>
      <c r="K105" s="8" t="s">
        <v>225</v>
      </c>
    </row>
    <row r="106" s="9" customFormat="true" ht="19.5" hidden="true" customHeight="true" outlineLevel="0" collapsed="false">
      <c r="A106" s="8" t="s">
        <v>178</v>
      </c>
      <c r="B106" s="8" t="s">
        <v>42</v>
      </c>
      <c r="C106" s="8" t="s">
        <v>226</v>
      </c>
      <c r="D106" s="8" t="s">
        <v>40</v>
      </c>
      <c r="E106" s="8" t="n">
        <v>6425</v>
      </c>
      <c r="F106" s="8" t="n">
        <v>320</v>
      </c>
      <c r="G106" s="8" t="n">
        <v>32</v>
      </c>
      <c r="H106" s="13" t="n">
        <f aca="false">(E106/1000)*(F106/1000)*(G106/1000)*7850</f>
        <v>516.4672</v>
      </c>
      <c r="I106" s="8" t="n">
        <v>1</v>
      </c>
      <c r="J106" s="14" t="n">
        <f aca="false">H106*I106</f>
        <v>516.4672</v>
      </c>
      <c r="K106" s="8" t="s">
        <v>227</v>
      </c>
    </row>
    <row r="107" s="9" customFormat="true" ht="19.5" hidden="true" customHeight="true" outlineLevel="0" collapsed="false">
      <c r="A107" s="8" t="s">
        <v>178</v>
      </c>
      <c r="B107" s="8" t="s">
        <v>42</v>
      </c>
      <c r="C107" s="8" t="s">
        <v>165</v>
      </c>
      <c r="D107" s="8" t="s">
        <v>40</v>
      </c>
      <c r="E107" s="8" t="n">
        <v>6025</v>
      </c>
      <c r="F107" s="8" t="n">
        <v>320</v>
      </c>
      <c r="G107" s="8" t="n">
        <v>32</v>
      </c>
      <c r="H107" s="13" t="n">
        <f aca="false">(E107/1000)*(F107/1000)*(G107/1000)*7850</f>
        <v>484.3136</v>
      </c>
      <c r="I107" s="8" t="n">
        <v>1</v>
      </c>
      <c r="J107" s="14" t="n">
        <f aca="false">H107*I107</f>
        <v>484.3136</v>
      </c>
      <c r="K107" s="8" t="s">
        <v>228</v>
      </c>
    </row>
    <row r="108" s="9" customFormat="true" ht="19.5" hidden="true" customHeight="true" outlineLevel="0" collapsed="false">
      <c r="A108" s="8" t="s">
        <v>178</v>
      </c>
      <c r="B108" s="8" t="s">
        <v>42</v>
      </c>
      <c r="C108" s="8" t="s">
        <v>158</v>
      </c>
      <c r="D108" s="8" t="s">
        <v>40</v>
      </c>
      <c r="E108" s="8" t="n">
        <v>1200</v>
      </c>
      <c r="F108" s="8" t="n">
        <v>1200</v>
      </c>
      <c r="G108" s="8" t="n">
        <v>16</v>
      </c>
      <c r="H108" s="13" t="n">
        <f aca="false">(E108/1000)*(F108/1000)*(G108/1000)*7850</f>
        <v>180.864</v>
      </c>
      <c r="I108" s="8" t="n">
        <v>2</v>
      </c>
      <c r="J108" s="14" t="n">
        <f aca="false">H108*I108</f>
        <v>361.728</v>
      </c>
      <c r="K108" s="8" t="s">
        <v>229</v>
      </c>
    </row>
    <row r="109" s="9" customFormat="true" ht="19.5" hidden="false" customHeight="true" outlineLevel="0" collapsed="false">
      <c r="A109" s="8" t="s">
        <v>178</v>
      </c>
      <c r="B109" s="8" t="s">
        <v>42</v>
      </c>
      <c r="C109" s="8" t="s">
        <v>230</v>
      </c>
      <c r="D109" s="8" t="s">
        <v>40</v>
      </c>
      <c r="E109" s="8" t="n">
        <v>2150</v>
      </c>
      <c r="F109" s="8" t="n">
        <v>320</v>
      </c>
      <c r="G109" s="8" t="n">
        <v>32</v>
      </c>
      <c r="H109" s="13" t="n">
        <f aca="false">(E109/1000)*(F109/1000)*(G109/1000)*7850</f>
        <v>172.8256</v>
      </c>
      <c r="I109" s="8" t="n">
        <v>2</v>
      </c>
      <c r="J109" s="14" t="n">
        <f aca="false">H109*I109</f>
        <v>345.6512</v>
      </c>
      <c r="K109" s="8" t="s">
        <v>231</v>
      </c>
    </row>
    <row r="110" s="9" customFormat="true" ht="19.5" hidden="true" customHeight="true" outlineLevel="0" collapsed="false">
      <c r="A110" s="8" t="s">
        <v>178</v>
      </c>
      <c r="B110" s="8" t="s">
        <v>42</v>
      </c>
      <c r="C110" s="8" t="s">
        <v>167</v>
      </c>
      <c r="D110" s="8" t="s">
        <v>40</v>
      </c>
      <c r="E110" s="8" t="n">
        <v>1980</v>
      </c>
      <c r="F110" s="8" t="n">
        <v>610</v>
      </c>
      <c r="G110" s="8" t="n">
        <v>14</v>
      </c>
      <c r="H110" s="13" t="n">
        <f aca="false">(E110/1000)*(F110/1000)*(G110/1000)*7850</f>
        <v>132.73722</v>
      </c>
      <c r="I110" s="8" t="n">
        <v>6</v>
      </c>
      <c r="J110" s="14" t="n">
        <f aca="false">H110*I110</f>
        <v>796.42332</v>
      </c>
      <c r="K110" s="8" t="s">
        <v>232</v>
      </c>
    </row>
    <row r="111" s="9" customFormat="true" ht="19.5" hidden="false" customHeight="true" outlineLevel="0" collapsed="false">
      <c r="A111" s="8" t="s">
        <v>178</v>
      </c>
      <c r="B111" s="8" t="s">
        <v>42</v>
      </c>
      <c r="C111" s="8" t="s">
        <v>233</v>
      </c>
      <c r="D111" s="8" t="s">
        <v>40</v>
      </c>
      <c r="E111" s="8" t="n">
        <v>1980</v>
      </c>
      <c r="F111" s="8" t="n">
        <v>630</v>
      </c>
      <c r="G111" s="8" t="n">
        <v>14</v>
      </c>
      <c r="H111" s="13" t="n">
        <f aca="false">(E111/1000)*(F111/1000)*(G111/1000)*7850</f>
        <v>137.08926</v>
      </c>
      <c r="I111" s="8" t="n">
        <v>6</v>
      </c>
      <c r="J111" s="14" t="n">
        <f aca="false">H111*I111</f>
        <v>822.53556</v>
      </c>
      <c r="K111" s="8" t="s">
        <v>234</v>
      </c>
      <c r="L111" s="8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8"/>
    </row>
    <row r="112" s="9" customFormat="true" ht="19.5" hidden="false" customHeight="true" outlineLevel="0" collapsed="false">
      <c r="A112" s="8" t="s">
        <v>178</v>
      </c>
      <c r="B112" s="8" t="s">
        <v>42</v>
      </c>
      <c r="C112" s="8" t="s">
        <v>169</v>
      </c>
      <c r="D112" s="8" t="s">
        <v>40</v>
      </c>
      <c r="E112" s="8"/>
      <c r="F112" s="8"/>
      <c r="G112" s="8" t="n">
        <v>24</v>
      </c>
      <c r="H112" s="13" t="n">
        <f aca="false">M112*(G112/1000)*7850</f>
        <v>88.548</v>
      </c>
      <c r="I112" s="8" t="n">
        <v>6</v>
      </c>
      <c r="J112" s="14" t="n">
        <f aca="false">H112*I112</f>
        <v>531.288</v>
      </c>
      <c r="K112" s="8" t="s">
        <v>235</v>
      </c>
      <c r="M112" s="15" t="n">
        <v>0.47</v>
      </c>
    </row>
    <row r="113" s="9" customFormat="true" ht="19.5" hidden="true" customHeight="true" outlineLevel="0" collapsed="false">
      <c r="A113" s="8" t="s">
        <v>178</v>
      </c>
      <c r="B113" s="8" t="s">
        <v>42</v>
      </c>
      <c r="C113" s="8" t="s">
        <v>236</v>
      </c>
      <c r="D113" s="8" t="s">
        <v>40</v>
      </c>
      <c r="E113" s="8"/>
      <c r="F113" s="8"/>
      <c r="G113" s="8" t="n">
        <v>24</v>
      </c>
      <c r="H113" s="13" t="n">
        <f aca="false">M113*(G113/1000)*7850</f>
        <v>90.432</v>
      </c>
      <c r="I113" s="8" t="n">
        <v>6</v>
      </c>
      <c r="J113" s="14" t="n">
        <f aca="false">H113*I113</f>
        <v>542.592</v>
      </c>
      <c r="K113" s="8" t="s">
        <v>237</v>
      </c>
      <c r="M113" s="15" t="n">
        <v>0.48</v>
      </c>
    </row>
    <row r="114" s="9" customFormat="true" ht="19.5" hidden="true" customHeight="true" outlineLevel="0" collapsed="false">
      <c r="A114" s="8" t="s">
        <v>178</v>
      </c>
      <c r="B114" s="8" t="s">
        <v>42</v>
      </c>
      <c r="C114" s="8" t="s">
        <v>172</v>
      </c>
      <c r="D114" s="8" t="s">
        <v>40</v>
      </c>
      <c r="E114" s="8" t="n">
        <v>1800</v>
      </c>
      <c r="F114" s="8" t="n">
        <v>610</v>
      </c>
      <c r="G114" s="8" t="n">
        <v>14</v>
      </c>
      <c r="H114" s="13" t="n">
        <f aca="false">(E114/1000)*(F114/1000)*(G114/1000)*7850</f>
        <v>120.6702</v>
      </c>
      <c r="I114" s="8" t="n">
        <v>6</v>
      </c>
      <c r="J114" s="14" t="n">
        <f aca="false">H114*I114</f>
        <v>724.0212</v>
      </c>
      <c r="K114" s="8" t="s">
        <v>238</v>
      </c>
    </row>
    <row r="115" s="9" customFormat="true" ht="19.5" hidden="true" customHeight="true" outlineLevel="0" collapsed="false">
      <c r="A115" s="8" t="s">
        <v>178</v>
      </c>
      <c r="B115" s="8" t="s">
        <v>42</v>
      </c>
      <c r="C115" s="8" t="s">
        <v>239</v>
      </c>
      <c r="D115" s="8" t="s">
        <v>40</v>
      </c>
      <c r="E115" s="8" t="n">
        <v>1800</v>
      </c>
      <c r="F115" s="8" t="n">
        <v>626</v>
      </c>
      <c r="G115" s="8" t="n">
        <v>14</v>
      </c>
      <c r="H115" s="13" t="n">
        <f aca="false">(E115/1000)*(F115/1000)*(G115/1000)*7850</f>
        <v>123.83532</v>
      </c>
      <c r="I115" s="8" t="n">
        <v>6</v>
      </c>
      <c r="J115" s="14" t="n">
        <f aca="false">H115*I115</f>
        <v>743.01192</v>
      </c>
      <c r="K115" s="8" t="s">
        <v>240</v>
      </c>
    </row>
    <row r="116" s="9" customFormat="true" ht="19.5" hidden="true" customHeight="true" outlineLevel="0" collapsed="false">
      <c r="A116" s="8" t="s">
        <v>241</v>
      </c>
      <c r="B116" s="8" t="s">
        <v>38</v>
      </c>
      <c r="C116" s="8" t="s">
        <v>179</v>
      </c>
      <c r="D116" s="8" t="s">
        <v>40</v>
      </c>
      <c r="E116" s="8"/>
      <c r="F116" s="8"/>
      <c r="G116" s="8" t="n">
        <v>20</v>
      </c>
      <c r="H116" s="13" t="n">
        <f aca="false">M116*(G116/1000)*7850</f>
        <v>2400.53</v>
      </c>
      <c r="I116" s="8" t="n">
        <v>1</v>
      </c>
      <c r="J116" s="14" t="n">
        <f aca="false">H116*I116</f>
        <v>2400.53</v>
      </c>
      <c r="K116" s="8" t="s">
        <v>242</v>
      </c>
      <c r="M116" s="15" t="n">
        <v>15.29</v>
      </c>
    </row>
    <row r="117" s="9" customFormat="true" ht="19.5" hidden="true" customHeight="true" outlineLevel="0" collapsed="false">
      <c r="A117" s="8" t="s">
        <v>241</v>
      </c>
      <c r="B117" s="8" t="s">
        <v>42</v>
      </c>
      <c r="C117" s="8" t="s">
        <v>243</v>
      </c>
      <c r="D117" s="8" t="s">
        <v>40</v>
      </c>
      <c r="E117" s="8"/>
      <c r="F117" s="8"/>
      <c r="G117" s="8" t="n">
        <v>20</v>
      </c>
      <c r="H117" s="13" t="n">
        <f aca="false">M117*(G117/1000)*7850</f>
        <v>2654.87</v>
      </c>
      <c r="I117" s="8" t="n">
        <v>1</v>
      </c>
      <c r="J117" s="14" t="n">
        <f aca="false">H117*I117</f>
        <v>2654.87</v>
      </c>
      <c r="K117" s="8" t="s">
        <v>244</v>
      </c>
      <c r="M117" s="15" t="n">
        <v>16.91</v>
      </c>
    </row>
    <row r="118" s="9" customFormat="true" ht="19.5" hidden="true" customHeight="true" outlineLevel="0" collapsed="false">
      <c r="A118" s="8" t="s">
        <v>241</v>
      </c>
      <c r="B118" s="8" t="s">
        <v>45</v>
      </c>
      <c r="C118" s="8" t="s">
        <v>183</v>
      </c>
      <c r="D118" s="8" t="s">
        <v>40</v>
      </c>
      <c r="E118" s="8" t="n">
        <v>7902</v>
      </c>
      <c r="F118" s="8" t="n">
        <v>1200</v>
      </c>
      <c r="G118" s="8" t="n">
        <v>20</v>
      </c>
      <c r="H118" s="13" t="n">
        <f aca="false">(E118/1000)*(F118/1000)*(G118/1000)*7850</f>
        <v>1488.7368</v>
      </c>
      <c r="I118" s="8" t="n">
        <v>1</v>
      </c>
      <c r="J118" s="14" t="n">
        <f aca="false">H118*I118</f>
        <v>1488.7368</v>
      </c>
      <c r="K118" s="8" t="s">
        <v>245</v>
      </c>
    </row>
    <row r="119" s="9" customFormat="true" ht="19.5" hidden="true" customHeight="true" outlineLevel="0" collapsed="false">
      <c r="A119" s="8" t="s">
        <v>241</v>
      </c>
      <c r="B119" s="8" t="s">
        <v>42</v>
      </c>
      <c r="C119" s="8" t="s">
        <v>185</v>
      </c>
      <c r="D119" s="8" t="s">
        <v>40</v>
      </c>
      <c r="E119" s="8" t="n">
        <v>8600</v>
      </c>
      <c r="F119" s="8" t="n">
        <v>1200</v>
      </c>
      <c r="G119" s="8" t="n">
        <v>20</v>
      </c>
      <c r="H119" s="13" t="n">
        <f aca="false">(E119/1000)*(F119/1000)*(G119/1000)*7850</f>
        <v>1620.24</v>
      </c>
      <c r="I119" s="8" t="n">
        <v>1</v>
      </c>
      <c r="J119" s="14" t="n">
        <f aca="false">H119*I119</f>
        <v>1620.24</v>
      </c>
      <c r="K119" s="8" t="s">
        <v>246</v>
      </c>
    </row>
    <row r="120" s="9" customFormat="true" ht="19.5" hidden="true" customHeight="true" outlineLevel="0" collapsed="false">
      <c r="A120" s="8" t="s">
        <v>241</v>
      </c>
      <c r="B120" s="8" t="s">
        <v>187</v>
      </c>
      <c r="C120" s="8" t="s">
        <v>188</v>
      </c>
      <c r="D120" s="8" t="s">
        <v>40</v>
      </c>
      <c r="E120" s="8"/>
      <c r="F120" s="8"/>
      <c r="G120" s="8" t="n">
        <v>40</v>
      </c>
      <c r="H120" s="13" t="n">
        <f aca="false">M120*(G120/1000)*7850</f>
        <v>7039.88</v>
      </c>
      <c r="I120" s="8" t="n">
        <v>2</v>
      </c>
      <c r="J120" s="14" t="n">
        <f aca="false">H120*I120</f>
        <v>14079.76</v>
      </c>
      <c r="K120" s="8" t="s">
        <v>247</v>
      </c>
      <c r="M120" s="15" t="n">
        <v>22.42</v>
      </c>
    </row>
    <row r="121" s="9" customFormat="true" ht="19.5" hidden="true" customHeight="true" outlineLevel="0" collapsed="false">
      <c r="A121" s="8" t="s">
        <v>241</v>
      </c>
      <c r="B121" s="8" t="s">
        <v>190</v>
      </c>
      <c r="C121" s="8" t="s">
        <v>50</v>
      </c>
      <c r="D121" s="8" t="s">
        <v>40</v>
      </c>
      <c r="E121" s="8" t="n">
        <v>8800</v>
      </c>
      <c r="F121" s="8" t="n">
        <v>2048</v>
      </c>
      <c r="G121" s="8" t="n">
        <v>20</v>
      </c>
      <c r="H121" s="13" t="n">
        <f aca="false">(E121/1000)*(F121/1000)*(G121/1000)*7850</f>
        <v>2829.5168</v>
      </c>
      <c r="I121" s="8" t="n">
        <v>2</v>
      </c>
      <c r="J121" s="14" t="n">
        <f aca="false">H121*I121</f>
        <v>5659.0336</v>
      </c>
      <c r="K121" s="8" t="s">
        <v>248</v>
      </c>
    </row>
    <row r="122" s="9" customFormat="true" ht="19.5" hidden="true" customHeight="true" outlineLevel="0" collapsed="false">
      <c r="A122" s="8" t="s">
        <v>241</v>
      </c>
      <c r="B122" s="8" t="s">
        <v>195</v>
      </c>
      <c r="C122" s="8" t="s">
        <v>58</v>
      </c>
      <c r="D122" s="8" t="s">
        <v>40</v>
      </c>
      <c r="E122" s="8" t="n">
        <v>1980</v>
      </c>
      <c r="F122" s="8" t="n">
        <v>1200</v>
      </c>
      <c r="G122" s="8" t="n">
        <v>16</v>
      </c>
      <c r="H122" s="13" t="n">
        <f aca="false">(E122/1000)*(F122/1000)*(G122/1000)*7850</f>
        <v>298.4256</v>
      </c>
      <c r="I122" s="8" t="n">
        <v>3</v>
      </c>
      <c r="J122" s="14" t="n">
        <f aca="false">H122*I122</f>
        <v>895.2768</v>
      </c>
      <c r="K122" s="8" t="s">
        <v>249</v>
      </c>
    </row>
    <row r="123" s="9" customFormat="true" ht="19.5" hidden="false" customHeight="true" outlineLevel="0" collapsed="false">
      <c r="A123" s="8" t="s">
        <v>241</v>
      </c>
      <c r="B123" s="8" t="s">
        <v>42</v>
      </c>
      <c r="C123" s="8" t="s">
        <v>250</v>
      </c>
      <c r="D123" s="8" t="s">
        <v>40</v>
      </c>
      <c r="E123" s="8" t="n">
        <v>1980</v>
      </c>
      <c r="F123" s="8" t="n">
        <v>1200</v>
      </c>
      <c r="G123" s="8" t="n">
        <v>16</v>
      </c>
      <c r="H123" s="13" t="n">
        <f aca="false">(E123/1000)*(F123/1000)*(G123/1000)*7850</f>
        <v>298.4256</v>
      </c>
      <c r="I123" s="8" t="n">
        <v>3</v>
      </c>
      <c r="J123" s="14" t="n">
        <f aca="false">H123*I123</f>
        <v>895.2768</v>
      </c>
      <c r="K123" s="8" t="s">
        <v>249</v>
      </c>
    </row>
    <row r="124" s="9" customFormat="true" ht="19.5" hidden="false" customHeight="true" outlineLevel="0" collapsed="false">
      <c r="A124" s="8" t="s">
        <v>241</v>
      </c>
      <c r="B124" s="8" t="s">
        <v>42</v>
      </c>
      <c r="C124" s="8" t="s">
        <v>196</v>
      </c>
      <c r="D124" s="8" t="s">
        <v>40</v>
      </c>
      <c r="E124" s="8" t="n">
        <v>2057</v>
      </c>
      <c r="F124" s="8" t="n">
        <v>200</v>
      </c>
      <c r="G124" s="8" t="n">
        <v>16</v>
      </c>
      <c r="H124" s="13" t="n">
        <f aca="false">(E124/1000)*(F124/1000)*(G124/1000)*7850</f>
        <v>51.67184</v>
      </c>
      <c r="I124" s="8" t="n">
        <v>4</v>
      </c>
      <c r="J124" s="14" t="n">
        <f aca="false">H124*I124</f>
        <v>206.68736</v>
      </c>
      <c r="K124" s="8" t="s">
        <v>251</v>
      </c>
    </row>
    <row r="125" s="9" customFormat="true" ht="19.5" hidden="true" customHeight="true" outlineLevel="0" collapsed="false">
      <c r="A125" s="8" t="s">
        <v>241</v>
      </c>
      <c r="B125" s="8" t="s">
        <v>42</v>
      </c>
      <c r="C125" s="8" t="s">
        <v>68</v>
      </c>
      <c r="D125" s="8" t="s">
        <v>40</v>
      </c>
      <c r="E125" s="8" t="n">
        <v>800</v>
      </c>
      <c r="F125" s="8" t="n">
        <v>400</v>
      </c>
      <c r="G125" s="8" t="n">
        <v>16</v>
      </c>
      <c r="H125" s="13" t="n">
        <f aca="false">(E125/1000)*(F125/1000)*(G125/1000)*7850</f>
        <v>40.192</v>
      </c>
      <c r="I125" s="8" t="n">
        <v>4</v>
      </c>
      <c r="J125" s="14" t="n">
        <f aca="false">H125*I125</f>
        <v>160.768</v>
      </c>
      <c r="K125" s="8" t="s">
        <v>252</v>
      </c>
    </row>
    <row r="126" s="9" customFormat="true" ht="19.5" hidden="true" customHeight="true" outlineLevel="0" collapsed="false">
      <c r="A126" s="8" t="s">
        <v>241</v>
      </c>
      <c r="B126" s="8" t="s">
        <v>253</v>
      </c>
      <c r="C126" s="8" t="s">
        <v>199</v>
      </c>
      <c r="D126" s="8" t="s">
        <v>40</v>
      </c>
      <c r="E126" s="8" t="n">
        <v>7902</v>
      </c>
      <c r="F126" s="8" t="n">
        <v>240</v>
      </c>
      <c r="G126" s="8" t="n">
        <v>20</v>
      </c>
      <c r="H126" s="13" t="n">
        <f aca="false">(E126/1000)*(F126/1000)*(G126/1000)*7850</f>
        <v>297.74736</v>
      </c>
      <c r="I126" s="8" t="n">
        <v>4</v>
      </c>
      <c r="J126" s="14" t="n">
        <f aca="false">H126*I126</f>
        <v>1190.98944</v>
      </c>
      <c r="K126" s="8" t="s">
        <v>254</v>
      </c>
    </row>
    <row r="127" s="9" customFormat="true" ht="19.5" hidden="false" customHeight="true" outlineLevel="0" collapsed="false">
      <c r="A127" s="8" t="s">
        <v>241</v>
      </c>
      <c r="B127" s="8" t="s">
        <v>42</v>
      </c>
      <c r="C127" s="8" t="s">
        <v>76</v>
      </c>
      <c r="D127" s="8" t="s">
        <v>40</v>
      </c>
      <c r="E127" s="8" t="n">
        <v>8600</v>
      </c>
      <c r="F127" s="8" t="n">
        <v>240</v>
      </c>
      <c r="G127" s="8" t="n">
        <v>20</v>
      </c>
      <c r="H127" s="13" t="n">
        <f aca="false">(E127/1000)*(F127/1000)*(G127/1000)*7850</f>
        <v>324.048</v>
      </c>
      <c r="I127" s="8" t="n">
        <v>6</v>
      </c>
      <c r="J127" s="14" t="n">
        <f aca="false">H127*I127</f>
        <v>1944.288</v>
      </c>
      <c r="K127" s="8" t="s">
        <v>255</v>
      </c>
    </row>
    <row r="128" s="9" customFormat="true" ht="19.5" hidden="true" customHeight="true" outlineLevel="0" collapsed="false">
      <c r="A128" s="8" t="s">
        <v>241</v>
      </c>
      <c r="B128" s="8" t="s">
        <v>256</v>
      </c>
      <c r="C128" s="8" t="s">
        <v>257</v>
      </c>
      <c r="D128" s="8" t="s">
        <v>40</v>
      </c>
      <c r="E128" s="8" t="n">
        <v>7904</v>
      </c>
      <c r="F128" s="8" t="n">
        <v>2500</v>
      </c>
      <c r="G128" s="8" t="n">
        <v>24</v>
      </c>
      <c r="H128" s="13" t="n">
        <f aca="false">(E128/1000)*(F128/1000)*(G128/1000)*7850</f>
        <v>3722.784</v>
      </c>
      <c r="I128" s="8" t="n">
        <v>1</v>
      </c>
      <c r="J128" s="14" t="n">
        <f aca="false">H128*I128</f>
        <v>3722.784</v>
      </c>
      <c r="K128" s="8" t="s">
        <v>258</v>
      </c>
    </row>
    <row r="129" s="9" customFormat="true" ht="19.5" hidden="true" customHeight="true" outlineLevel="0" collapsed="false">
      <c r="A129" s="8" t="s">
        <v>241</v>
      </c>
      <c r="B129" s="8" t="s">
        <v>42</v>
      </c>
      <c r="C129" s="8" t="s">
        <v>203</v>
      </c>
      <c r="D129" s="8" t="s">
        <v>40</v>
      </c>
      <c r="E129" s="8" t="n">
        <v>7102</v>
      </c>
      <c r="F129" s="8" t="n">
        <v>2500</v>
      </c>
      <c r="G129" s="8" t="n">
        <v>24</v>
      </c>
      <c r="H129" s="13" t="n">
        <f aca="false">(E129/1000)*(F129/1000)*(G129/1000)*7850</f>
        <v>3345.042</v>
      </c>
      <c r="I129" s="8" t="n">
        <v>1</v>
      </c>
      <c r="J129" s="14" t="n">
        <f aca="false">H129*I129</f>
        <v>3345.042</v>
      </c>
      <c r="K129" s="8" t="s">
        <v>259</v>
      </c>
    </row>
    <row r="130" s="9" customFormat="true" ht="19.5" hidden="true" customHeight="true" outlineLevel="0" collapsed="false">
      <c r="A130" s="8" t="s">
        <v>241</v>
      </c>
      <c r="B130" s="8" t="s">
        <v>260</v>
      </c>
      <c r="C130" s="8" t="s">
        <v>100</v>
      </c>
      <c r="D130" s="8" t="s">
        <v>40</v>
      </c>
      <c r="E130" s="16"/>
      <c r="F130" s="8"/>
      <c r="G130" s="8" t="n">
        <v>24</v>
      </c>
      <c r="H130" s="13" t="n">
        <f aca="false">M130*(G130/1000)*7850</f>
        <v>2441.664</v>
      </c>
      <c r="I130" s="8" t="n">
        <v>1</v>
      </c>
      <c r="J130" s="14" t="n">
        <f aca="false">H130*I130</f>
        <v>2441.664</v>
      </c>
      <c r="K130" s="8" t="s">
        <v>261</v>
      </c>
      <c r="M130" s="15" t="n">
        <v>12.96</v>
      </c>
    </row>
    <row r="131" s="9" customFormat="true" ht="19.5" hidden="true" customHeight="true" outlineLevel="0" collapsed="false">
      <c r="A131" s="8" t="s">
        <v>241</v>
      </c>
      <c r="B131" s="8" t="s">
        <v>42</v>
      </c>
      <c r="C131" s="8" t="s">
        <v>206</v>
      </c>
      <c r="D131" s="8" t="s">
        <v>40</v>
      </c>
      <c r="E131" s="16"/>
      <c r="F131" s="8"/>
      <c r="G131" s="8" t="n">
        <v>24</v>
      </c>
      <c r="H131" s="13" t="n">
        <f aca="false">M131*(G131/1000)*7850</f>
        <v>2096.892</v>
      </c>
      <c r="I131" s="8" t="n">
        <v>1</v>
      </c>
      <c r="J131" s="14" t="n">
        <f aca="false">H131*I131</f>
        <v>2096.892</v>
      </c>
      <c r="K131" s="8" t="s">
        <v>262</v>
      </c>
      <c r="M131" s="15" t="n">
        <v>11.13</v>
      </c>
    </row>
    <row r="132" s="9" customFormat="true" ht="19.5" hidden="true" customHeight="true" outlineLevel="0" collapsed="false">
      <c r="A132" s="8" t="s">
        <v>241</v>
      </c>
      <c r="B132" s="8" t="s">
        <v>105</v>
      </c>
      <c r="C132" s="8" t="s">
        <v>103</v>
      </c>
      <c r="D132" s="8" t="s">
        <v>40</v>
      </c>
      <c r="E132" s="8"/>
      <c r="F132" s="8"/>
      <c r="G132" s="8" t="n">
        <v>40</v>
      </c>
      <c r="H132" s="13" t="n">
        <f aca="false">M132*(G132/1000)*7850</f>
        <v>6515.5</v>
      </c>
      <c r="I132" s="8" t="n">
        <v>2</v>
      </c>
      <c r="J132" s="14" t="n">
        <f aca="false">H132*I132</f>
        <v>13031</v>
      </c>
      <c r="K132" s="8" t="s">
        <v>263</v>
      </c>
      <c r="M132" s="15" t="n">
        <v>20.75</v>
      </c>
    </row>
    <row r="133" s="9" customFormat="true" ht="19.5" hidden="true" customHeight="true" outlineLevel="0" collapsed="false">
      <c r="A133" s="8" t="s">
        <v>241</v>
      </c>
      <c r="B133" s="8" t="s">
        <v>102</v>
      </c>
      <c r="C133" s="8" t="s">
        <v>264</v>
      </c>
      <c r="D133" s="8" t="s">
        <v>40</v>
      </c>
      <c r="E133" s="8" t="n">
        <v>7302</v>
      </c>
      <c r="F133" s="8" t="n">
        <v>1880</v>
      </c>
      <c r="G133" s="8" t="n">
        <v>24</v>
      </c>
      <c r="H133" s="13" t="n">
        <f aca="false">(E133/1000)*(F133/1000)*(G133/1000)*7850</f>
        <v>2586.309984</v>
      </c>
      <c r="I133" s="8" t="n">
        <v>2</v>
      </c>
      <c r="J133" s="14" t="n">
        <f aca="false">H133*I133</f>
        <v>5172.619968</v>
      </c>
      <c r="K133" s="8" t="s">
        <v>265</v>
      </c>
    </row>
    <row r="134" s="9" customFormat="true" ht="19.5" hidden="true" customHeight="true" outlineLevel="0" collapsed="false">
      <c r="A134" s="8" t="s">
        <v>241</v>
      </c>
      <c r="B134" s="8" t="s">
        <v>110</v>
      </c>
      <c r="C134" s="8" t="s">
        <v>108</v>
      </c>
      <c r="D134" s="8" t="s">
        <v>40</v>
      </c>
      <c r="E134" s="8" t="n">
        <v>1800</v>
      </c>
      <c r="F134" s="8" t="n">
        <v>1200</v>
      </c>
      <c r="G134" s="8" t="n">
        <v>16</v>
      </c>
      <c r="H134" s="13" t="n">
        <f aca="false">(E134/1000)*(F134/1000)*(G134/1000)*7850</f>
        <v>271.296</v>
      </c>
      <c r="I134" s="8" t="n">
        <v>3</v>
      </c>
      <c r="J134" s="14" t="n">
        <f aca="false">H134*I134</f>
        <v>813.888</v>
      </c>
      <c r="K134" s="8" t="s">
        <v>266</v>
      </c>
    </row>
    <row r="135" s="9" customFormat="true" ht="19.5" hidden="false" customHeight="true" outlineLevel="0" collapsed="false">
      <c r="A135" s="8" t="s">
        <v>241</v>
      </c>
      <c r="B135" s="8" t="s">
        <v>42</v>
      </c>
      <c r="C135" s="8" t="s">
        <v>267</v>
      </c>
      <c r="D135" s="8" t="s">
        <v>40</v>
      </c>
      <c r="E135" s="8" t="n">
        <v>1800</v>
      </c>
      <c r="F135" s="8" t="n">
        <v>1200</v>
      </c>
      <c r="G135" s="8" t="n">
        <v>16</v>
      </c>
      <c r="H135" s="13" t="n">
        <f aca="false">(E135/1000)*(F135/1000)*(G135/1000)*7850</f>
        <v>271.296</v>
      </c>
      <c r="I135" s="8" t="n">
        <v>2</v>
      </c>
      <c r="J135" s="14" t="n">
        <f aca="false">H135*I135</f>
        <v>542.592</v>
      </c>
      <c r="K135" s="8" t="s">
        <v>266</v>
      </c>
    </row>
    <row r="136" s="9" customFormat="true" ht="19.5" hidden="true" customHeight="true" outlineLevel="0" collapsed="false">
      <c r="A136" s="8" t="s">
        <v>241</v>
      </c>
      <c r="B136" s="8" t="s">
        <v>42</v>
      </c>
      <c r="C136" s="8" t="s">
        <v>211</v>
      </c>
      <c r="D136" s="8" t="s">
        <v>40</v>
      </c>
      <c r="E136" s="8" t="n">
        <v>2057</v>
      </c>
      <c r="F136" s="8" t="n">
        <v>200</v>
      </c>
      <c r="G136" s="8" t="n">
        <v>16</v>
      </c>
      <c r="H136" s="13" t="n">
        <f aca="false">(E136/1000)*(F136/1000)*(G136/1000)*7850</f>
        <v>51.67184</v>
      </c>
      <c r="I136" s="8" t="n">
        <v>5</v>
      </c>
      <c r="J136" s="14" t="n">
        <f aca="false">H136*I136</f>
        <v>258.3592</v>
      </c>
      <c r="K136" s="8" t="s">
        <v>251</v>
      </c>
    </row>
    <row r="137" s="9" customFormat="true" ht="19.5" hidden="false" customHeight="true" outlineLevel="0" collapsed="false">
      <c r="A137" s="8" t="s">
        <v>241</v>
      </c>
      <c r="B137" s="8" t="s">
        <v>268</v>
      </c>
      <c r="C137" s="8" t="s">
        <v>114</v>
      </c>
      <c r="D137" s="8" t="s">
        <v>40</v>
      </c>
      <c r="E137" s="8" t="n">
        <v>7904</v>
      </c>
      <c r="F137" s="8" t="n">
        <v>240</v>
      </c>
      <c r="G137" s="8" t="n">
        <v>20</v>
      </c>
      <c r="H137" s="13" t="n">
        <f aca="false">(E137/1000)*(F137/1000)*(G137/1000)*7850</f>
        <v>297.82272</v>
      </c>
      <c r="I137" s="8" t="n">
        <v>4</v>
      </c>
      <c r="J137" s="14" t="n">
        <f aca="false">H137*I137</f>
        <v>1191.29088</v>
      </c>
      <c r="K137" s="8" t="s">
        <v>269</v>
      </c>
      <c r="L137" s="8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8"/>
    </row>
    <row r="138" s="9" customFormat="true" ht="19.5" hidden="false" customHeight="true" outlineLevel="0" collapsed="false">
      <c r="A138" s="8" t="s">
        <v>241</v>
      </c>
      <c r="B138" s="8" t="s">
        <v>42</v>
      </c>
      <c r="C138" s="8" t="s">
        <v>116</v>
      </c>
      <c r="D138" s="8" t="s">
        <v>40</v>
      </c>
      <c r="E138" s="8" t="n">
        <v>7102</v>
      </c>
      <c r="F138" s="8" t="n">
        <v>240</v>
      </c>
      <c r="G138" s="8" t="n">
        <v>20</v>
      </c>
      <c r="H138" s="13" t="n">
        <f aca="false">(E138/1000)*(F138/1000)*(G138/1000)*7850</f>
        <v>267.60336</v>
      </c>
      <c r="I138" s="8" t="n">
        <v>4</v>
      </c>
      <c r="J138" s="14" t="n">
        <f aca="false">H138*I138</f>
        <v>1070.41344</v>
      </c>
      <c r="K138" s="8" t="s">
        <v>270</v>
      </c>
    </row>
    <row r="139" s="9" customFormat="true" ht="19.5" hidden="true" customHeight="true" outlineLevel="0" collapsed="false">
      <c r="A139" s="8" t="s">
        <v>241</v>
      </c>
      <c r="B139" s="8" t="s">
        <v>42</v>
      </c>
      <c r="C139" s="8" t="s">
        <v>118</v>
      </c>
      <c r="D139" s="8" t="s">
        <v>40</v>
      </c>
      <c r="E139" s="8" t="n">
        <v>15006</v>
      </c>
      <c r="F139" s="8" t="n">
        <v>170</v>
      </c>
      <c r="G139" s="8" t="n">
        <v>14</v>
      </c>
      <c r="H139" s="13" t="n">
        <f aca="false">(E139/1000)*(F139/1000)*(G139/1000)*7850</f>
        <v>280.357098</v>
      </c>
      <c r="I139" s="8" t="n">
        <v>2</v>
      </c>
      <c r="J139" s="14" t="n">
        <f aca="false">H139*I139</f>
        <v>560.714196</v>
      </c>
      <c r="K139" s="8" t="s">
        <v>271</v>
      </c>
    </row>
    <row r="140" s="9" customFormat="true" ht="19.5" hidden="true" customHeight="true" outlineLevel="0" collapsed="false">
      <c r="A140" s="8" t="s">
        <v>241</v>
      </c>
      <c r="B140" s="8" t="s">
        <v>272</v>
      </c>
      <c r="C140" s="8" t="s">
        <v>125</v>
      </c>
      <c r="D140" s="8" t="s">
        <v>40</v>
      </c>
      <c r="E140" s="8" t="n">
        <v>9010</v>
      </c>
      <c r="F140" s="8" t="n">
        <v>900</v>
      </c>
      <c r="G140" s="8" t="n">
        <v>36</v>
      </c>
      <c r="H140" s="13" t="n">
        <f aca="false">(E140/1000)*(F140/1000)*(G140/1000)*7850</f>
        <v>2291.6034</v>
      </c>
      <c r="I140" s="8" t="n">
        <v>2</v>
      </c>
      <c r="J140" s="14" t="n">
        <f aca="false">H140*I140</f>
        <v>4583.2068</v>
      </c>
      <c r="K140" s="8" t="s">
        <v>273</v>
      </c>
    </row>
    <row r="141" s="9" customFormat="true" ht="19.5" hidden="true" customHeight="true" outlineLevel="0" collapsed="false">
      <c r="A141" s="8" t="s">
        <v>241</v>
      </c>
      <c r="B141" s="8" t="s">
        <v>42</v>
      </c>
      <c r="C141" s="8" t="s">
        <v>128</v>
      </c>
      <c r="D141" s="8" t="s">
        <v>40</v>
      </c>
      <c r="E141" s="8" t="n">
        <v>13610</v>
      </c>
      <c r="F141" s="8" t="n">
        <v>1200</v>
      </c>
      <c r="G141" s="8" t="n">
        <v>32</v>
      </c>
      <c r="H141" s="13" t="n">
        <f aca="false">(E141/1000)*(F141/1000)*(G141/1000)*7850</f>
        <v>4102.5984</v>
      </c>
      <c r="I141" s="8" t="n">
        <v>1</v>
      </c>
      <c r="J141" s="14" t="n">
        <f aca="false">H141*I141</f>
        <v>4102.5984</v>
      </c>
      <c r="K141" s="8" t="s">
        <v>274</v>
      </c>
    </row>
    <row r="142" s="9" customFormat="true" ht="19.5" hidden="true" customHeight="true" outlineLevel="0" collapsed="false">
      <c r="A142" s="8" t="s">
        <v>241</v>
      </c>
      <c r="B142" s="8" t="s">
        <v>42</v>
      </c>
      <c r="C142" s="8" t="s">
        <v>130</v>
      </c>
      <c r="D142" s="8" t="s">
        <v>40</v>
      </c>
      <c r="E142" s="8" t="n">
        <v>12210</v>
      </c>
      <c r="F142" s="8" t="n">
        <v>240</v>
      </c>
      <c r="G142" s="8" t="n">
        <v>24</v>
      </c>
      <c r="H142" s="13" t="n">
        <f aca="false">(E142/1000)*(F142/1000)*(G142/1000)*7850</f>
        <v>552.08736</v>
      </c>
      <c r="I142" s="8" t="n">
        <v>2</v>
      </c>
      <c r="J142" s="14" t="n">
        <f aca="false">H142*I142</f>
        <v>1104.17472</v>
      </c>
      <c r="K142" s="8" t="s">
        <v>275</v>
      </c>
    </row>
    <row r="143" s="9" customFormat="true" ht="19.5" hidden="true" customHeight="true" outlineLevel="0" collapsed="false">
      <c r="A143" s="8" t="s">
        <v>241</v>
      </c>
      <c r="B143" s="8" t="s">
        <v>42</v>
      </c>
      <c r="C143" s="8" t="s">
        <v>137</v>
      </c>
      <c r="D143" s="8" t="s">
        <v>40</v>
      </c>
      <c r="E143" s="8" t="n">
        <v>4322</v>
      </c>
      <c r="F143" s="8" t="n">
        <v>900</v>
      </c>
      <c r="G143" s="8" t="n">
        <v>36</v>
      </c>
      <c r="H143" s="13" t="n">
        <f aca="false">(E143/1000)*(F143/1000)*(G143/1000)*7850</f>
        <v>1099.25748</v>
      </c>
      <c r="I143" s="8" t="n">
        <v>2</v>
      </c>
      <c r="J143" s="14" t="n">
        <f aca="false">H143*I143</f>
        <v>2198.51496</v>
      </c>
      <c r="K143" s="8" t="s">
        <v>276</v>
      </c>
    </row>
    <row r="144" s="9" customFormat="true" ht="19.5" hidden="true" customHeight="true" outlineLevel="0" collapsed="false">
      <c r="A144" s="8" t="s">
        <v>241</v>
      </c>
      <c r="B144" s="8" t="s">
        <v>42</v>
      </c>
      <c r="C144" s="8" t="s">
        <v>141</v>
      </c>
      <c r="D144" s="8" t="s">
        <v>40</v>
      </c>
      <c r="E144" s="8" t="n">
        <v>6722</v>
      </c>
      <c r="F144" s="8" t="n">
        <v>1200</v>
      </c>
      <c r="G144" s="8" t="n">
        <v>32</v>
      </c>
      <c r="H144" s="13" t="n">
        <f aca="false">(E144/1000)*(F144/1000)*(G144/1000)*7850</f>
        <v>2026.27968</v>
      </c>
      <c r="I144" s="8" t="n">
        <v>1</v>
      </c>
      <c r="J144" s="14" t="n">
        <f aca="false">H144*I144</f>
        <v>2026.27968</v>
      </c>
      <c r="K144" s="8" t="s">
        <v>277</v>
      </c>
    </row>
    <row r="145" s="9" customFormat="true" ht="19.5" hidden="true" customHeight="true" outlineLevel="0" collapsed="false">
      <c r="A145" s="8" t="s">
        <v>241</v>
      </c>
      <c r="B145" s="8" t="s">
        <v>42</v>
      </c>
      <c r="C145" s="8" t="s">
        <v>143</v>
      </c>
      <c r="D145" s="8" t="s">
        <v>40</v>
      </c>
      <c r="E145" s="8" t="n">
        <v>6022</v>
      </c>
      <c r="F145" s="8" t="n">
        <v>240</v>
      </c>
      <c r="G145" s="8" t="n">
        <v>24</v>
      </c>
      <c r="H145" s="13" t="n">
        <f aca="false">(E145/1000)*(F145/1000)*(G145/1000)*7850</f>
        <v>272.290752</v>
      </c>
      <c r="I145" s="8" t="n">
        <v>2</v>
      </c>
      <c r="J145" s="14" t="n">
        <f aca="false">H145*I145</f>
        <v>544.581504</v>
      </c>
      <c r="K145" s="8" t="s">
        <v>278</v>
      </c>
    </row>
    <row r="146" s="9" customFormat="true" ht="19.5" hidden="true" customHeight="true" outlineLevel="0" collapsed="false">
      <c r="A146" s="8" t="s">
        <v>241</v>
      </c>
      <c r="B146" s="8" t="s">
        <v>42</v>
      </c>
      <c r="C146" s="8" t="s">
        <v>221</v>
      </c>
      <c r="D146" s="8" t="s">
        <v>40</v>
      </c>
      <c r="E146" s="8" t="n">
        <v>4796</v>
      </c>
      <c r="F146" s="8" t="n">
        <v>900</v>
      </c>
      <c r="G146" s="8" t="n">
        <v>36</v>
      </c>
      <c r="H146" s="13" t="n">
        <f aca="false">(E146/1000)*(F146/1000)*(G146/1000)*7850</f>
        <v>1219.81464</v>
      </c>
      <c r="I146" s="8" t="n">
        <v>2</v>
      </c>
      <c r="J146" s="14" t="n">
        <f aca="false">H146*I146</f>
        <v>2439.62928</v>
      </c>
      <c r="K146" s="8" t="s">
        <v>279</v>
      </c>
    </row>
    <row r="147" s="9" customFormat="true" ht="19.5" hidden="true" customHeight="true" outlineLevel="0" collapsed="false">
      <c r="A147" s="8" t="s">
        <v>241</v>
      </c>
      <c r="B147" s="8" t="s">
        <v>42</v>
      </c>
      <c r="C147" s="8" t="s">
        <v>155</v>
      </c>
      <c r="D147" s="8" t="s">
        <v>40</v>
      </c>
      <c r="E147" s="8" t="n">
        <v>6996</v>
      </c>
      <c r="F147" s="8" t="n">
        <v>1200</v>
      </c>
      <c r="G147" s="8" t="n">
        <v>32</v>
      </c>
      <c r="H147" s="13" t="n">
        <f aca="false">(E147/1000)*(F147/1000)*(G147/1000)*7850</f>
        <v>2108.87424</v>
      </c>
      <c r="I147" s="8" t="n">
        <v>1</v>
      </c>
      <c r="J147" s="14" t="n">
        <f aca="false">H147*I147</f>
        <v>2108.87424</v>
      </c>
      <c r="K147" s="8" t="s">
        <v>280</v>
      </c>
    </row>
    <row r="148" s="9" customFormat="true" ht="19.5" hidden="true" customHeight="true" outlineLevel="0" collapsed="false">
      <c r="A148" s="8" t="s">
        <v>241</v>
      </c>
      <c r="B148" s="8" t="s">
        <v>42</v>
      </c>
      <c r="C148" s="8" t="s">
        <v>160</v>
      </c>
      <c r="D148" s="8" t="s">
        <v>40</v>
      </c>
      <c r="E148" s="8" t="n">
        <v>6296</v>
      </c>
      <c r="F148" s="8" t="n">
        <v>240</v>
      </c>
      <c r="G148" s="8" t="n">
        <v>24</v>
      </c>
      <c r="H148" s="13" t="n">
        <f aca="false">(E148/1000)*(F148/1000)*(G148/1000)*7850</f>
        <v>284.679936</v>
      </c>
      <c r="I148" s="8" t="n">
        <v>2</v>
      </c>
      <c r="J148" s="14" t="n">
        <f aca="false">H148*I148</f>
        <v>569.359872</v>
      </c>
      <c r="K148" s="8" t="s">
        <v>281</v>
      </c>
    </row>
    <row r="149" s="9" customFormat="true" ht="19.5" hidden="false" customHeight="true" outlineLevel="0" collapsed="false">
      <c r="A149" s="8" t="s">
        <v>241</v>
      </c>
      <c r="B149" s="8" t="s">
        <v>64</v>
      </c>
      <c r="C149" s="8" t="s">
        <v>167</v>
      </c>
      <c r="D149" s="8" t="s">
        <v>40</v>
      </c>
      <c r="E149" s="8" t="n">
        <v>1980</v>
      </c>
      <c r="F149" s="8" t="n">
        <v>610</v>
      </c>
      <c r="G149" s="8" t="n">
        <v>14</v>
      </c>
      <c r="H149" s="13" t="n">
        <f aca="false">(E149/1000)*(F149/1000)*(G149/1000)*7850</f>
        <v>132.73722</v>
      </c>
      <c r="I149" s="8" t="n">
        <v>6</v>
      </c>
      <c r="J149" s="14" t="n">
        <f aca="false">H149*I149</f>
        <v>796.42332</v>
      </c>
      <c r="K149" s="8" t="s">
        <v>282</v>
      </c>
    </row>
    <row r="150" s="9" customFormat="true" ht="19.5" hidden="false" customHeight="true" outlineLevel="0" collapsed="false">
      <c r="A150" s="8" t="s">
        <v>241</v>
      </c>
      <c r="B150" s="8" t="s">
        <v>42</v>
      </c>
      <c r="C150" s="8" t="s">
        <v>233</v>
      </c>
      <c r="D150" s="8" t="s">
        <v>40</v>
      </c>
      <c r="E150" s="8" t="n">
        <v>1980</v>
      </c>
      <c r="F150" s="8" t="n">
        <v>630</v>
      </c>
      <c r="G150" s="8" t="n">
        <v>14</v>
      </c>
      <c r="H150" s="13" t="n">
        <f aca="false">(E150/1000)*(F150/1000)*(G150/1000)*7850</f>
        <v>137.08926</v>
      </c>
      <c r="I150" s="8" t="n">
        <v>6</v>
      </c>
      <c r="J150" s="14" t="n">
        <f aca="false">H150*I150</f>
        <v>822.53556</v>
      </c>
      <c r="K150" s="8" t="s">
        <v>283</v>
      </c>
    </row>
    <row r="151" s="9" customFormat="true" ht="19.5" hidden="true" customHeight="true" outlineLevel="0" collapsed="false">
      <c r="A151" s="8" t="s">
        <v>241</v>
      </c>
      <c r="B151" s="8" t="s">
        <v>42</v>
      </c>
      <c r="C151" s="8" t="s">
        <v>169</v>
      </c>
      <c r="D151" s="8" t="s">
        <v>40</v>
      </c>
      <c r="E151" s="8"/>
      <c r="F151" s="8"/>
      <c r="G151" s="8" t="n">
        <v>24</v>
      </c>
      <c r="H151" s="13" t="n">
        <f aca="false">M151*(G151/1000)*7850</f>
        <v>88.548</v>
      </c>
      <c r="I151" s="8" t="n">
        <v>6</v>
      </c>
      <c r="J151" s="14" t="n">
        <f aca="false">H151*I151</f>
        <v>531.288</v>
      </c>
      <c r="K151" s="8" t="s">
        <v>284</v>
      </c>
      <c r="M151" s="15" t="n">
        <v>0.47</v>
      </c>
    </row>
    <row r="152" s="9" customFormat="true" ht="19.5" hidden="true" customHeight="true" outlineLevel="0" collapsed="false">
      <c r="A152" s="8" t="s">
        <v>241</v>
      </c>
      <c r="B152" s="8" t="s">
        <v>42</v>
      </c>
      <c r="C152" s="8" t="s">
        <v>236</v>
      </c>
      <c r="D152" s="8" t="s">
        <v>40</v>
      </c>
      <c r="E152" s="8"/>
      <c r="F152" s="8"/>
      <c r="G152" s="8" t="n">
        <v>24</v>
      </c>
      <c r="H152" s="13" t="n">
        <f aca="false">M152*(G152/1000)*7850</f>
        <v>90.432</v>
      </c>
      <c r="I152" s="8" t="n">
        <v>6</v>
      </c>
      <c r="J152" s="14" t="n">
        <f aca="false">H152*I152</f>
        <v>542.592</v>
      </c>
      <c r="K152" s="8" t="s">
        <v>285</v>
      </c>
      <c r="M152" s="15" t="n">
        <v>0.48</v>
      </c>
    </row>
    <row r="153" s="9" customFormat="true" ht="19.5" hidden="false" customHeight="true" outlineLevel="0" collapsed="false">
      <c r="A153" s="8" t="s">
        <v>241</v>
      </c>
      <c r="B153" s="8" t="s">
        <v>42</v>
      </c>
      <c r="C153" s="8" t="s">
        <v>172</v>
      </c>
      <c r="D153" s="8" t="s">
        <v>40</v>
      </c>
      <c r="E153" s="8" t="n">
        <v>1800</v>
      </c>
      <c r="F153" s="8" t="n">
        <v>610</v>
      </c>
      <c r="G153" s="8" t="n">
        <v>14</v>
      </c>
      <c r="H153" s="13" t="n">
        <f aca="false">(E153/1000)*(F153/1000)*(G153/1000)*7850</f>
        <v>120.6702</v>
      </c>
      <c r="I153" s="8" t="n">
        <v>6</v>
      </c>
      <c r="J153" s="14" t="n">
        <f aca="false">H153*I153</f>
        <v>724.0212</v>
      </c>
      <c r="K153" s="8" t="s">
        <v>286</v>
      </c>
    </row>
    <row r="154" s="9" customFormat="true" ht="19.5" hidden="true" customHeight="true" outlineLevel="0" collapsed="false">
      <c r="A154" s="8" t="s">
        <v>241</v>
      </c>
      <c r="B154" s="8" t="s">
        <v>42</v>
      </c>
      <c r="C154" s="8" t="s">
        <v>239</v>
      </c>
      <c r="D154" s="8" t="s">
        <v>40</v>
      </c>
      <c r="E154" s="8" t="n">
        <v>1800</v>
      </c>
      <c r="F154" s="8" t="n">
        <v>626</v>
      </c>
      <c r="G154" s="8" t="n">
        <v>14</v>
      </c>
      <c r="H154" s="13" t="n">
        <f aca="false">(E154/1000)*(F154/1000)*(G154/1000)*7850</f>
        <v>123.83532</v>
      </c>
      <c r="I154" s="8" t="n">
        <v>6</v>
      </c>
      <c r="J154" s="14" t="n">
        <f aca="false">H154*I154</f>
        <v>743.01192</v>
      </c>
      <c r="K154" s="8" t="s">
        <v>287</v>
      </c>
    </row>
    <row r="155" s="9" customFormat="true" ht="19.5" hidden="true" customHeight="true" outlineLevel="0" collapsed="false">
      <c r="A155" s="8" t="s">
        <v>288</v>
      </c>
      <c r="B155" s="8" t="s">
        <v>38</v>
      </c>
      <c r="C155" s="8" t="s">
        <v>179</v>
      </c>
      <c r="D155" s="8" t="s">
        <v>289</v>
      </c>
      <c r="E155" s="16"/>
      <c r="F155" s="8"/>
      <c r="G155" s="8" t="n">
        <v>20</v>
      </c>
      <c r="H155" s="13" t="n">
        <f aca="false">M155*(G155/1000)*7850</f>
        <v>2400.53</v>
      </c>
      <c r="I155" s="8" t="n">
        <v>1</v>
      </c>
      <c r="J155" s="14" t="n">
        <f aca="false">H155*I155</f>
        <v>2400.53</v>
      </c>
      <c r="K155" s="8" t="s">
        <v>290</v>
      </c>
      <c r="M155" s="15" t="n">
        <v>15.29</v>
      </c>
    </row>
    <row r="156" s="9" customFormat="true" ht="19.5" hidden="true" customHeight="true" outlineLevel="0" collapsed="false">
      <c r="A156" s="8" t="s">
        <v>288</v>
      </c>
      <c r="B156" s="8" t="s">
        <v>42</v>
      </c>
      <c r="C156" s="8" t="s">
        <v>243</v>
      </c>
      <c r="D156" s="8" t="s">
        <v>40</v>
      </c>
      <c r="E156" s="16"/>
      <c r="F156" s="8"/>
      <c r="G156" s="8" t="n">
        <v>20</v>
      </c>
      <c r="H156" s="13" t="n">
        <f aca="false">M156*(G156/1000)*7850</f>
        <v>2155.61</v>
      </c>
      <c r="I156" s="8" t="n">
        <v>1</v>
      </c>
      <c r="J156" s="14" t="n">
        <f aca="false">H156*I156</f>
        <v>2155.61</v>
      </c>
      <c r="K156" s="8" t="s">
        <v>291</v>
      </c>
      <c r="M156" s="15" t="n">
        <v>13.73</v>
      </c>
    </row>
    <row r="157" s="9" customFormat="true" ht="19.5" hidden="true" customHeight="true" outlineLevel="0" collapsed="false">
      <c r="A157" s="8" t="s">
        <v>288</v>
      </c>
      <c r="B157" s="8" t="s">
        <v>45</v>
      </c>
      <c r="C157" s="8" t="s">
        <v>292</v>
      </c>
      <c r="D157" s="8" t="s">
        <v>40</v>
      </c>
      <c r="E157" s="8" t="n">
        <v>7901</v>
      </c>
      <c r="F157" s="8" t="n">
        <v>1200</v>
      </c>
      <c r="G157" s="8" t="n">
        <v>20</v>
      </c>
      <c r="H157" s="13" t="n">
        <f aca="false">(E157/1000)*(F157/1000)*(G157/1000)*7850</f>
        <v>1488.5484</v>
      </c>
      <c r="I157" s="8" t="n">
        <v>1</v>
      </c>
      <c r="J157" s="14" t="n">
        <f aca="false">H157*I157</f>
        <v>1488.5484</v>
      </c>
      <c r="K157" s="8" t="s">
        <v>293</v>
      </c>
    </row>
    <row r="158" s="9" customFormat="true" ht="19.5" hidden="true" customHeight="true" outlineLevel="0" collapsed="false">
      <c r="A158" s="8" t="s">
        <v>288</v>
      </c>
      <c r="B158" s="8" t="s">
        <v>42</v>
      </c>
      <c r="C158" s="8" t="s">
        <v>185</v>
      </c>
      <c r="D158" s="8" t="s">
        <v>40</v>
      </c>
      <c r="E158" s="8" t="n">
        <v>7101</v>
      </c>
      <c r="F158" s="8" t="n">
        <v>1200</v>
      </c>
      <c r="G158" s="8" t="n">
        <v>20</v>
      </c>
      <c r="H158" s="13" t="n">
        <f aca="false">(E158/1000)*(F158/1000)*(G158/1000)*7850</f>
        <v>1337.8284</v>
      </c>
      <c r="I158" s="8" t="n">
        <v>1</v>
      </c>
      <c r="J158" s="14" t="n">
        <f aca="false">H158*I158</f>
        <v>1337.8284</v>
      </c>
      <c r="K158" s="8" t="s">
        <v>294</v>
      </c>
    </row>
    <row r="159" s="9" customFormat="true" ht="19.5" hidden="true" customHeight="true" outlineLevel="0" collapsed="false">
      <c r="A159" s="8" t="s">
        <v>288</v>
      </c>
      <c r="B159" s="8" t="s">
        <v>187</v>
      </c>
      <c r="C159" s="8" t="s">
        <v>188</v>
      </c>
      <c r="D159" s="8" t="s">
        <v>40</v>
      </c>
      <c r="E159" s="8"/>
      <c r="F159" s="8"/>
      <c r="G159" s="8" t="n">
        <v>40</v>
      </c>
      <c r="H159" s="13" t="n">
        <f aca="false">M159*(G159/1000)*7850</f>
        <v>7388.42</v>
      </c>
      <c r="I159" s="8" t="n">
        <v>2</v>
      </c>
      <c r="J159" s="14" t="n">
        <f aca="false">H159*I159</f>
        <v>14776.84</v>
      </c>
      <c r="K159" s="8" t="s">
        <v>295</v>
      </c>
      <c r="M159" s="15" t="n">
        <v>23.53</v>
      </c>
    </row>
    <row r="160" s="9" customFormat="true" ht="19.5" hidden="true" customHeight="true" outlineLevel="0" collapsed="false">
      <c r="A160" s="8" t="s">
        <v>288</v>
      </c>
      <c r="B160" s="8" t="s">
        <v>190</v>
      </c>
      <c r="C160" s="8" t="s">
        <v>50</v>
      </c>
      <c r="D160" s="8" t="s">
        <v>40</v>
      </c>
      <c r="E160" s="8" t="n">
        <v>7301</v>
      </c>
      <c r="F160" s="8" t="n">
        <v>2048</v>
      </c>
      <c r="G160" s="8" t="n">
        <v>32</v>
      </c>
      <c r="H160" s="13" t="n">
        <f aca="false">(E160/1000)*(F160/1000)*(G160/1000)*7850</f>
        <v>3756.0549376</v>
      </c>
      <c r="I160" s="8" t="n">
        <v>2</v>
      </c>
      <c r="J160" s="14" t="n">
        <f aca="false">H160*I160</f>
        <v>7512.1098752</v>
      </c>
      <c r="K160" s="8" t="s">
        <v>296</v>
      </c>
    </row>
    <row r="161" s="9" customFormat="true" ht="19.5" hidden="false" customHeight="true" outlineLevel="0" collapsed="false">
      <c r="A161" s="8" t="s">
        <v>288</v>
      </c>
      <c r="B161" s="8" t="s">
        <v>195</v>
      </c>
      <c r="C161" s="8" t="s">
        <v>58</v>
      </c>
      <c r="D161" s="8" t="s">
        <v>289</v>
      </c>
      <c r="E161" s="8" t="n">
        <v>1980</v>
      </c>
      <c r="F161" s="8" t="n">
        <v>1200</v>
      </c>
      <c r="G161" s="8" t="n">
        <v>16</v>
      </c>
      <c r="H161" s="13" t="n">
        <f aca="false">(E161/1000)*(F161/1000)*(G161/1000)*7850</f>
        <v>298.4256</v>
      </c>
      <c r="I161" s="8" t="n">
        <v>3</v>
      </c>
      <c r="J161" s="14" t="n">
        <f aca="false">H161*I161</f>
        <v>895.2768</v>
      </c>
      <c r="K161" s="8" t="s">
        <v>297</v>
      </c>
    </row>
    <row r="162" s="9" customFormat="true" ht="19.5" hidden="true" customHeight="true" outlineLevel="0" collapsed="false">
      <c r="A162" s="8" t="s">
        <v>288</v>
      </c>
      <c r="B162" s="8" t="s">
        <v>42</v>
      </c>
      <c r="C162" s="8" t="s">
        <v>298</v>
      </c>
      <c r="D162" s="8" t="s">
        <v>40</v>
      </c>
      <c r="E162" s="8" t="n">
        <v>1980</v>
      </c>
      <c r="F162" s="8" t="n">
        <v>1200</v>
      </c>
      <c r="G162" s="8" t="n">
        <v>16</v>
      </c>
      <c r="H162" s="13" t="n">
        <f aca="false">(E162/1000)*(F162/1000)*(G162/1000)*7850</f>
        <v>298.4256</v>
      </c>
      <c r="I162" s="8" t="n">
        <v>2</v>
      </c>
      <c r="J162" s="14" t="n">
        <f aca="false">H162*I162</f>
        <v>596.8512</v>
      </c>
      <c r="K162" s="8" t="s">
        <v>297</v>
      </c>
    </row>
    <row r="163" s="9" customFormat="true" ht="19.5" hidden="false" customHeight="true" outlineLevel="0" collapsed="false">
      <c r="A163" s="8" t="s">
        <v>288</v>
      </c>
      <c r="B163" s="8" t="s">
        <v>42</v>
      </c>
      <c r="C163" s="8" t="s">
        <v>299</v>
      </c>
      <c r="D163" s="8" t="s">
        <v>40</v>
      </c>
      <c r="E163" s="8" t="n">
        <v>2057</v>
      </c>
      <c r="F163" s="8" t="n">
        <v>200</v>
      </c>
      <c r="G163" s="8" t="n">
        <v>16</v>
      </c>
      <c r="H163" s="13" t="n">
        <f aca="false">(E163/1000)*(F163/1000)*(G163/1000)*7850</f>
        <v>51.67184</v>
      </c>
      <c r="I163" s="8" t="n">
        <v>3</v>
      </c>
      <c r="J163" s="14" t="n">
        <f aca="false">H163*I163</f>
        <v>155.01552</v>
      </c>
      <c r="K163" s="8" t="s">
        <v>300</v>
      </c>
      <c r="L163" s="8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8"/>
    </row>
    <row r="164" s="9" customFormat="true" ht="19.5" hidden="false" customHeight="true" outlineLevel="0" collapsed="false">
      <c r="A164" s="8" t="s">
        <v>288</v>
      </c>
      <c r="B164" s="8" t="s">
        <v>42</v>
      </c>
      <c r="C164" s="8" t="s">
        <v>68</v>
      </c>
      <c r="D164" s="8" t="s">
        <v>40</v>
      </c>
      <c r="E164" s="8" t="n">
        <v>800</v>
      </c>
      <c r="F164" s="8" t="n">
        <v>400</v>
      </c>
      <c r="G164" s="8" t="n">
        <v>16</v>
      </c>
      <c r="H164" s="13" t="n">
        <f aca="false">(E164/1000)*(F164/1000)*(G164/1000)*7850</f>
        <v>40.192</v>
      </c>
      <c r="I164" s="8" t="n">
        <v>4</v>
      </c>
      <c r="J164" s="14" t="n">
        <f aca="false">H164*I164</f>
        <v>160.768</v>
      </c>
      <c r="K164" s="8" t="s">
        <v>301</v>
      </c>
    </row>
    <row r="165" s="9" customFormat="true" ht="19.5" hidden="true" customHeight="true" outlineLevel="0" collapsed="false">
      <c r="A165" s="8" t="s">
        <v>288</v>
      </c>
      <c r="B165" s="8" t="s">
        <v>253</v>
      </c>
      <c r="C165" s="8" t="s">
        <v>199</v>
      </c>
      <c r="D165" s="8" t="s">
        <v>40</v>
      </c>
      <c r="E165" s="8" t="n">
        <v>7901</v>
      </c>
      <c r="F165" s="8" t="n">
        <v>240</v>
      </c>
      <c r="G165" s="8" t="n">
        <v>20</v>
      </c>
      <c r="H165" s="13" t="n">
        <f aca="false">(E165/1000)*(F165/1000)*(G165/1000)*7850</f>
        <v>297.70968</v>
      </c>
      <c r="I165" s="8" t="n">
        <v>6</v>
      </c>
      <c r="J165" s="14" t="n">
        <f aca="false">H165*I165</f>
        <v>1786.25808</v>
      </c>
      <c r="K165" s="8" t="s">
        <v>302</v>
      </c>
    </row>
    <row r="166" s="9" customFormat="true" ht="19.5" hidden="true" customHeight="true" outlineLevel="0" collapsed="false">
      <c r="A166" s="8" t="s">
        <v>288</v>
      </c>
      <c r="B166" s="8" t="s">
        <v>42</v>
      </c>
      <c r="C166" s="8" t="s">
        <v>76</v>
      </c>
      <c r="D166" s="8" t="s">
        <v>289</v>
      </c>
      <c r="E166" s="8" t="n">
        <v>7101</v>
      </c>
      <c r="F166" s="8" t="n">
        <v>240</v>
      </c>
      <c r="G166" s="8" t="n">
        <v>20</v>
      </c>
      <c r="H166" s="13" t="n">
        <f aca="false">(E166/1000)*(F166/1000)*(G166/1000)*7850</f>
        <v>267.56568</v>
      </c>
      <c r="I166" s="8" t="n">
        <v>6</v>
      </c>
      <c r="J166" s="14" t="n">
        <f aca="false">H166*I166</f>
        <v>1605.39408</v>
      </c>
      <c r="K166" s="8" t="s">
        <v>303</v>
      </c>
    </row>
    <row r="167" s="9" customFormat="true" ht="19.5" hidden="true" customHeight="true" outlineLevel="0" collapsed="false">
      <c r="A167" s="8" t="s">
        <v>288</v>
      </c>
      <c r="B167" s="8" t="s">
        <v>256</v>
      </c>
      <c r="C167" s="8" t="s">
        <v>96</v>
      </c>
      <c r="D167" s="8" t="s">
        <v>40</v>
      </c>
      <c r="E167" s="8" t="n">
        <v>7903</v>
      </c>
      <c r="F167" s="8" t="n">
        <v>2500</v>
      </c>
      <c r="G167" s="8" t="n">
        <v>20</v>
      </c>
      <c r="H167" s="13" t="n">
        <f aca="false">(E167/1000)*(F167/1000)*(G167/1000)*7850</f>
        <v>3101.9275</v>
      </c>
      <c r="I167" s="8" t="n">
        <v>1</v>
      </c>
      <c r="J167" s="14" t="n">
        <f aca="false">H167*I167</f>
        <v>3101.9275</v>
      </c>
      <c r="K167" s="8" t="s">
        <v>304</v>
      </c>
    </row>
    <row r="168" s="9" customFormat="true" ht="19.5" hidden="true" customHeight="true" outlineLevel="0" collapsed="false">
      <c r="A168" s="8" t="s">
        <v>288</v>
      </c>
      <c r="B168" s="8" t="s">
        <v>42</v>
      </c>
      <c r="C168" s="8" t="s">
        <v>305</v>
      </c>
      <c r="D168" s="8" t="s">
        <v>40</v>
      </c>
      <c r="E168" s="8" t="n">
        <v>7102</v>
      </c>
      <c r="F168" s="8" t="n">
        <v>2500</v>
      </c>
      <c r="G168" s="8" t="n">
        <v>20</v>
      </c>
      <c r="H168" s="13" t="n">
        <f aca="false">(E168/1000)*(F168/1000)*(G168/1000)*7850</f>
        <v>2787.535</v>
      </c>
      <c r="I168" s="8" t="n">
        <v>1</v>
      </c>
      <c r="J168" s="14" t="n">
        <f aca="false">H168*I168</f>
        <v>2787.535</v>
      </c>
      <c r="K168" s="8" t="s">
        <v>306</v>
      </c>
    </row>
    <row r="169" s="9" customFormat="true" ht="19.5" hidden="true" customHeight="true" outlineLevel="0" collapsed="false">
      <c r="A169" s="8" t="s">
        <v>288</v>
      </c>
      <c r="B169" s="8" t="s">
        <v>260</v>
      </c>
      <c r="C169" s="8" t="s">
        <v>307</v>
      </c>
      <c r="D169" s="8" t="s">
        <v>40</v>
      </c>
      <c r="E169" s="8"/>
      <c r="F169" s="8"/>
      <c r="G169" s="8" t="n">
        <v>20</v>
      </c>
      <c r="H169" s="13" t="n">
        <f aca="false">M169*(G169/1000)*7850</f>
        <v>2034.72</v>
      </c>
      <c r="I169" s="8" t="n">
        <v>1</v>
      </c>
      <c r="J169" s="14" t="n">
        <f aca="false">H169*I169</f>
        <v>2034.72</v>
      </c>
      <c r="K169" s="8" t="s">
        <v>308</v>
      </c>
      <c r="M169" s="15" t="n">
        <v>12.96</v>
      </c>
    </row>
    <row r="170" s="9" customFormat="true" ht="19.5" hidden="true" customHeight="true" outlineLevel="0" collapsed="false">
      <c r="A170" s="8" t="s">
        <v>288</v>
      </c>
      <c r="B170" s="8" t="s">
        <v>42</v>
      </c>
      <c r="C170" s="8" t="s">
        <v>206</v>
      </c>
      <c r="D170" s="8" t="s">
        <v>40</v>
      </c>
      <c r="E170" s="8"/>
      <c r="F170" s="8"/>
      <c r="G170" s="8" t="n">
        <v>20</v>
      </c>
      <c r="H170" s="13" t="n">
        <f aca="false">M170*(G170/1000)*7850</f>
        <v>1747.41</v>
      </c>
      <c r="I170" s="8" t="n">
        <v>1</v>
      </c>
      <c r="J170" s="14" t="n">
        <f aca="false">H170*I170</f>
        <v>1747.41</v>
      </c>
      <c r="K170" s="8" t="s">
        <v>309</v>
      </c>
      <c r="M170" s="15" t="n">
        <v>11.13</v>
      </c>
    </row>
    <row r="171" s="9" customFormat="true" ht="19.5" hidden="true" customHeight="true" outlineLevel="0" collapsed="false">
      <c r="A171" s="8" t="s">
        <v>288</v>
      </c>
      <c r="B171" s="8" t="s">
        <v>105</v>
      </c>
      <c r="C171" s="8" t="s">
        <v>103</v>
      </c>
      <c r="D171" s="8" t="s">
        <v>40</v>
      </c>
      <c r="E171" s="8"/>
      <c r="F171" s="8"/>
      <c r="G171" s="8" t="n">
        <v>40</v>
      </c>
      <c r="H171" s="13" t="n">
        <f aca="false">M171*(G171/1000)*7850</f>
        <v>6546.9</v>
      </c>
      <c r="I171" s="8" t="n">
        <v>2</v>
      </c>
      <c r="J171" s="14" t="n">
        <f aca="false">H171*I171</f>
        <v>13093.8</v>
      </c>
      <c r="K171" s="8" t="s">
        <v>310</v>
      </c>
      <c r="M171" s="15" t="n">
        <v>20.85</v>
      </c>
    </row>
    <row r="172" s="9" customFormat="true" ht="19.5" hidden="true" customHeight="true" outlineLevel="0" collapsed="false">
      <c r="A172" s="8" t="s">
        <v>288</v>
      </c>
      <c r="B172" s="8" t="s">
        <v>102</v>
      </c>
      <c r="C172" s="8" t="s">
        <v>106</v>
      </c>
      <c r="D172" s="8" t="s">
        <v>40</v>
      </c>
      <c r="E172" s="8" t="n">
        <v>7302</v>
      </c>
      <c r="F172" s="8" t="n">
        <v>1880</v>
      </c>
      <c r="G172" s="8" t="n">
        <v>24</v>
      </c>
      <c r="H172" s="13" t="n">
        <f aca="false">(E172/1000)*(F172/1000)*(G172/1000)*7850</f>
        <v>2586.309984</v>
      </c>
      <c r="I172" s="8" t="n">
        <v>2</v>
      </c>
      <c r="J172" s="14" t="n">
        <f aca="false">H172*I172</f>
        <v>5172.619968</v>
      </c>
      <c r="K172" s="8" t="s">
        <v>311</v>
      </c>
    </row>
    <row r="173" s="9" customFormat="true" ht="19.5" hidden="true" customHeight="true" outlineLevel="0" collapsed="false">
      <c r="A173" s="8" t="s">
        <v>288</v>
      </c>
      <c r="B173" s="8" t="s">
        <v>110</v>
      </c>
      <c r="C173" s="8" t="s">
        <v>108</v>
      </c>
      <c r="D173" s="8" t="s">
        <v>40</v>
      </c>
      <c r="E173" s="8" t="n">
        <v>1800</v>
      </c>
      <c r="F173" s="8" t="n">
        <v>1200</v>
      </c>
      <c r="G173" s="8" t="n">
        <v>16</v>
      </c>
      <c r="H173" s="13" t="n">
        <f aca="false">(E173/1000)*(F173/1000)*(G173/1000)*7850</f>
        <v>271.296</v>
      </c>
      <c r="I173" s="8" t="n">
        <v>3</v>
      </c>
      <c r="J173" s="14" t="n">
        <f aca="false">H173*I173</f>
        <v>813.888</v>
      </c>
      <c r="K173" s="8" t="s">
        <v>312</v>
      </c>
    </row>
    <row r="174" s="9" customFormat="true" ht="19.5" hidden="true" customHeight="true" outlineLevel="0" collapsed="false">
      <c r="A174" s="8" t="s">
        <v>288</v>
      </c>
      <c r="B174" s="8" t="s">
        <v>42</v>
      </c>
      <c r="C174" s="8" t="s">
        <v>112</v>
      </c>
      <c r="D174" s="8" t="s">
        <v>40</v>
      </c>
      <c r="E174" s="8" t="n">
        <v>1800</v>
      </c>
      <c r="F174" s="8" t="n">
        <v>1200</v>
      </c>
      <c r="G174" s="8" t="n">
        <v>16</v>
      </c>
      <c r="H174" s="13" t="n">
        <f aca="false">(E174/1000)*(F174/1000)*(G174/1000)*7850</f>
        <v>271.296</v>
      </c>
      <c r="I174" s="8" t="n">
        <v>2</v>
      </c>
      <c r="J174" s="14" t="n">
        <f aca="false">H174*I174</f>
        <v>542.592</v>
      </c>
      <c r="K174" s="8" t="s">
        <v>312</v>
      </c>
    </row>
    <row r="175" s="9" customFormat="true" ht="19.5" hidden="false" customHeight="true" outlineLevel="0" collapsed="false">
      <c r="A175" s="8" t="s">
        <v>288</v>
      </c>
      <c r="B175" s="8" t="s">
        <v>42</v>
      </c>
      <c r="C175" s="8" t="s">
        <v>313</v>
      </c>
      <c r="D175" s="8" t="s">
        <v>40</v>
      </c>
      <c r="E175" s="8" t="n">
        <v>2057</v>
      </c>
      <c r="F175" s="8" t="n">
        <v>200</v>
      </c>
      <c r="G175" s="8" t="n">
        <v>16</v>
      </c>
      <c r="H175" s="13" t="n">
        <f aca="false">(E175/1000)*(F175/1000)*(G175/1000)*7850</f>
        <v>51.67184</v>
      </c>
      <c r="I175" s="8" t="n">
        <v>5</v>
      </c>
      <c r="J175" s="14" t="n">
        <f aca="false">H175*I175</f>
        <v>258.3592</v>
      </c>
      <c r="K175" s="8" t="s">
        <v>300</v>
      </c>
    </row>
    <row r="176" s="9" customFormat="true" ht="19.5" hidden="false" customHeight="true" outlineLevel="0" collapsed="false">
      <c r="A176" s="8" t="s">
        <v>288</v>
      </c>
      <c r="B176" s="8" t="s">
        <v>314</v>
      </c>
      <c r="C176" s="8" t="s">
        <v>114</v>
      </c>
      <c r="D176" s="8" t="s">
        <v>40</v>
      </c>
      <c r="E176" s="8" t="n">
        <v>7903</v>
      </c>
      <c r="F176" s="8" t="n">
        <v>240</v>
      </c>
      <c r="G176" s="8" t="n">
        <v>20</v>
      </c>
      <c r="H176" s="13" t="n">
        <f aca="false">(E176/1000)*(F176/1000)*(G176/1000)*7850</f>
        <v>297.78504</v>
      </c>
      <c r="I176" s="8" t="n">
        <v>4</v>
      </c>
      <c r="J176" s="14" t="n">
        <f aca="false">H176*I176</f>
        <v>1191.14016</v>
      </c>
      <c r="K176" s="8" t="s">
        <v>315</v>
      </c>
    </row>
    <row r="177" s="9" customFormat="true" ht="19.5" hidden="true" customHeight="true" outlineLevel="0" collapsed="false">
      <c r="A177" s="8" t="s">
        <v>288</v>
      </c>
      <c r="B177" s="8" t="s">
        <v>42</v>
      </c>
      <c r="C177" s="8" t="s">
        <v>116</v>
      </c>
      <c r="D177" s="8" t="s">
        <v>289</v>
      </c>
      <c r="E177" s="8" t="n">
        <v>7102</v>
      </c>
      <c r="F177" s="8" t="n">
        <v>240</v>
      </c>
      <c r="G177" s="8" t="n">
        <v>20</v>
      </c>
      <c r="H177" s="13" t="n">
        <f aca="false">(E177/1000)*(F177/1000)*(G177/1000)*7850</f>
        <v>267.60336</v>
      </c>
      <c r="I177" s="8" t="n">
        <v>4</v>
      </c>
      <c r="J177" s="14" t="n">
        <f aca="false">H177*I177</f>
        <v>1070.41344</v>
      </c>
      <c r="K177" s="8" t="s">
        <v>316</v>
      </c>
    </row>
    <row r="178" s="9" customFormat="true" ht="19.5" hidden="true" customHeight="true" outlineLevel="0" collapsed="false">
      <c r="A178" s="8" t="s">
        <v>288</v>
      </c>
      <c r="B178" s="8" t="s">
        <v>42</v>
      </c>
      <c r="C178" s="8" t="s">
        <v>118</v>
      </c>
      <c r="D178" s="8" t="s">
        <v>40</v>
      </c>
      <c r="E178" s="8" t="n">
        <v>15005</v>
      </c>
      <c r="F178" s="8" t="n">
        <v>170</v>
      </c>
      <c r="G178" s="8" t="n">
        <v>14</v>
      </c>
      <c r="H178" s="13" t="n">
        <f aca="false">(E178/1000)*(F178/1000)*(G178/1000)*7850</f>
        <v>280.338415</v>
      </c>
      <c r="I178" s="8" t="n">
        <v>2</v>
      </c>
      <c r="J178" s="14" t="n">
        <f aca="false">H178*I178</f>
        <v>560.67683</v>
      </c>
      <c r="K178" s="8" t="s">
        <v>317</v>
      </c>
    </row>
    <row r="179" s="9" customFormat="true" ht="19.5" hidden="false" customHeight="true" outlineLevel="0" collapsed="false">
      <c r="A179" s="8" t="s">
        <v>288</v>
      </c>
      <c r="B179" s="8" t="s">
        <v>272</v>
      </c>
      <c r="C179" s="8" t="s">
        <v>125</v>
      </c>
      <c r="D179" s="8" t="s">
        <v>40</v>
      </c>
      <c r="E179" s="8" t="n">
        <v>8788</v>
      </c>
      <c r="F179" s="8" t="n">
        <v>900</v>
      </c>
      <c r="G179" s="8" t="n">
        <v>36</v>
      </c>
      <c r="H179" s="13" t="n">
        <f aca="false">(E179/1000)*(F179/1000)*(G179/1000)*7850</f>
        <v>2235.13992</v>
      </c>
      <c r="I179" s="8" t="n">
        <v>2</v>
      </c>
      <c r="J179" s="14" t="n">
        <f aca="false">H179*I179</f>
        <v>4470.27984</v>
      </c>
      <c r="K179" s="8" t="s">
        <v>318</v>
      </c>
    </row>
    <row r="180" s="9" customFormat="true" ht="19.5" hidden="true" customHeight="true" outlineLevel="0" collapsed="false">
      <c r="A180" s="8" t="s">
        <v>288</v>
      </c>
      <c r="B180" s="8" t="s">
        <v>42</v>
      </c>
      <c r="C180" s="8" t="s">
        <v>128</v>
      </c>
      <c r="D180" s="8" t="s">
        <v>40</v>
      </c>
      <c r="E180" s="8" t="n">
        <v>13288</v>
      </c>
      <c r="F180" s="8" t="n">
        <v>1200</v>
      </c>
      <c r="G180" s="8" t="n">
        <v>32</v>
      </c>
      <c r="H180" s="13" t="n">
        <f aca="false">(E180/1000)*(F180/1000)*(G180/1000)*7850</f>
        <v>4005.53472</v>
      </c>
      <c r="I180" s="8" t="n">
        <v>1</v>
      </c>
      <c r="J180" s="14" t="n">
        <f aca="false">H180*I180</f>
        <v>4005.53472</v>
      </c>
      <c r="K180" s="8" t="s">
        <v>319</v>
      </c>
    </row>
    <row r="181" s="9" customFormat="true" ht="19.5" hidden="true" customHeight="true" outlineLevel="0" collapsed="false">
      <c r="A181" s="8" t="s">
        <v>288</v>
      </c>
      <c r="B181" s="8" t="s">
        <v>42</v>
      </c>
      <c r="C181" s="8" t="s">
        <v>130</v>
      </c>
      <c r="D181" s="8" t="s">
        <v>40</v>
      </c>
      <c r="E181" s="8" t="n">
        <v>11888</v>
      </c>
      <c r="F181" s="8" t="n">
        <v>240</v>
      </c>
      <c r="G181" s="8" t="n">
        <v>24</v>
      </c>
      <c r="H181" s="13" t="n">
        <f aca="false">(E181/1000)*(F181/1000)*(G181/1000)*7850</f>
        <v>537.527808</v>
      </c>
      <c r="I181" s="8" t="n">
        <v>2</v>
      </c>
      <c r="J181" s="14" t="n">
        <f aca="false">H181*I181</f>
        <v>1075.055616</v>
      </c>
      <c r="K181" s="8" t="s">
        <v>320</v>
      </c>
    </row>
    <row r="182" s="9" customFormat="true" ht="19.5" hidden="true" customHeight="true" outlineLevel="0" collapsed="false">
      <c r="A182" s="8" t="s">
        <v>288</v>
      </c>
      <c r="B182" s="8" t="s">
        <v>42</v>
      </c>
      <c r="C182" s="8" t="s">
        <v>321</v>
      </c>
      <c r="D182" s="8" t="s">
        <v>40</v>
      </c>
      <c r="E182" s="8" t="n">
        <v>6225</v>
      </c>
      <c r="F182" s="8" t="n">
        <v>1200</v>
      </c>
      <c r="G182" s="8" t="n">
        <v>36</v>
      </c>
      <c r="H182" s="13" t="n">
        <f aca="false">(E182/1000)*(F182/1000)*(G182/1000)*7850</f>
        <v>2111.022</v>
      </c>
      <c r="I182" s="8" t="n">
        <v>1</v>
      </c>
      <c r="J182" s="14" t="n">
        <f aca="false">H182*I182</f>
        <v>2111.022</v>
      </c>
      <c r="K182" s="8" t="s">
        <v>322</v>
      </c>
    </row>
    <row r="183" s="9" customFormat="true" ht="19.5" hidden="true" customHeight="true" outlineLevel="0" collapsed="false">
      <c r="A183" s="8" t="s">
        <v>288</v>
      </c>
      <c r="B183" s="8" t="s">
        <v>42</v>
      </c>
      <c r="C183" s="8" t="s">
        <v>323</v>
      </c>
      <c r="D183" s="8" t="s">
        <v>289</v>
      </c>
      <c r="E183" s="8" t="n">
        <v>6225</v>
      </c>
      <c r="F183" s="8" t="n">
        <v>1200</v>
      </c>
      <c r="G183" s="8" t="n">
        <v>36</v>
      </c>
      <c r="H183" s="13" t="n">
        <f aca="false">(E183/1000)*(F183/1000)*(G183/1000)*7850</f>
        <v>2111.022</v>
      </c>
      <c r="I183" s="8" t="n">
        <v>1</v>
      </c>
      <c r="J183" s="14" t="n">
        <f aca="false">H183*I183</f>
        <v>2111.022</v>
      </c>
      <c r="K183" s="8" t="s">
        <v>322</v>
      </c>
    </row>
    <row r="184" s="9" customFormat="true" ht="19.5" hidden="true" customHeight="true" outlineLevel="0" collapsed="false">
      <c r="A184" s="8" t="s">
        <v>288</v>
      </c>
      <c r="B184" s="8" t="s">
        <v>42</v>
      </c>
      <c r="C184" s="8" t="s">
        <v>141</v>
      </c>
      <c r="D184" s="8" t="s">
        <v>40</v>
      </c>
      <c r="E184" s="8" t="n">
        <v>4225</v>
      </c>
      <c r="F184" s="8" t="n">
        <v>1360</v>
      </c>
      <c r="G184" s="8" t="n">
        <v>36</v>
      </c>
      <c r="H184" s="13" t="n">
        <f aca="false">(E184/1000)*(F184/1000)*(G184/1000)*7850</f>
        <v>1623.8196</v>
      </c>
      <c r="I184" s="8" t="n">
        <v>2</v>
      </c>
      <c r="J184" s="14" t="n">
        <f aca="false">H184*I184</f>
        <v>3247.6392</v>
      </c>
      <c r="K184" s="8" t="s">
        <v>324</v>
      </c>
    </row>
    <row r="185" s="9" customFormat="true" ht="19.5" hidden="true" customHeight="true" outlineLevel="0" collapsed="false">
      <c r="A185" s="8" t="s">
        <v>288</v>
      </c>
      <c r="B185" s="8" t="s">
        <v>42</v>
      </c>
      <c r="C185" s="8" t="s">
        <v>143</v>
      </c>
      <c r="D185" s="8" t="s">
        <v>40</v>
      </c>
      <c r="E185" s="8" t="n">
        <v>4225</v>
      </c>
      <c r="F185" s="8" t="n">
        <v>320</v>
      </c>
      <c r="G185" s="8" t="n">
        <v>32</v>
      </c>
      <c r="H185" s="13" t="n">
        <f aca="false">(E185/1000)*(F185/1000)*(G185/1000)*7850</f>
        <v>339.6224</v>
      </c>
      <c r="I185" s="8" t="n">
        <v>2</v>
      </c>
      <c r="J185" s="14" t="n">
        <f aca="false">H185*I185</f>
        <v>679.2448</v>
      </c>
      <c r="K185" s="8" t="s">
        <v>325</v>
      </c>
    </row>
    <row r="186" s="9" customFormat="true" ht="19.5" hidden="true" customHeight="true" outlineLevel="0" collapsed="false">
      <c r="A186" s="8" t="s">
        <v>288</v>
      </c>
      <c r="B186" s="8" t="s">
        <v>42</v>
      </c>
      <c r="C186" s="8" t="s">
        <v>326</v>
      </c>
      <c r="D186" s="8" t="s">
        <v>40</v>
      </c>
      <c r="E186" s="8" t="n">
        <v>5525</v>
      </c>
      <c r="F186" s="8" t="n">
        <v>320</v>
      </c>
      <c r="G186" s="8" t="n">
        <v>32</v>
      </c>
      <c r="H186" s="13" t="n">
        <f aca="false">(E186/1000)*(F186/1000)*(G186/1000)*7850</f>
        <v>444.1216</v>
      </c>
      <c r="I186" s="8" t="n">
        <v>1</v>
      </c>
      <c r="J186" s="14" t="n">
        <f aca="false">H186*I186</f>
        <v>444.1216</v>
      </c>
      <c r="K186" s="8" t="s">
        <v>327</v>
      </c>
    </row>
    <row r="187" s="9" customFormat="true" ht="19.5" hidden="false" customHeight="true" outlineLevel="0" collapsed="false">
      <c r="A187" s="8" t="s">
        <v>288</v>
      </c>
      <c r="B187" s="8" t="s">
        <v>42</v>
      </c>
      <c r="C187" s="8" t="s">
        <v>147</v>
      </c>
      <c r="D187" s="8" t="s">
        <v>40</v>
      </c>
      <c r="E187" s="8" t="n">
        <v>5525</v>
      </c>
      <c r="F187" s="8" t="n">
        <v>320</v>
      </c>
      <c r="G187" s="8" t="n">
        <v>32</v>
      </c>
      <c r="H187" s="13" t="n">
        <f aca="false">(E187/1000)*(F187/1000)*(G187/1000)*7850</f>
        <v>444.1216</v>
      </c>
      <c r="I187" s="8" t="n">
        <v>1</v>
      </c>
      <c r="J187" s="14" t="n">
        <f aca="false">H187*I187</f>
        <v>444.1216</v>
      </c>
      <c r="K187" s="8" t="s">
        <v>327</v>
      </c>
    </row>
    <row r="188" s="9" customFormat="true" ht="19.5" hidden="true" customHeight="true" outlineLevel="0" collapsed="false">
      <c r="A188" s="8" t="s">
        <v>288</v>
      </c>
      <c r="B188" s="8" t="s">
        <v>42</v>
      </c>
      <c r="C188" s="8" t="s">
        <v>149</v>
      </c>
      <c r="D188" s="8" t="s">
        <v>40</v>
      </c>
      <c r="E188" s="8" t="n">
        <v>1200</v>
      </c>
      <c r="F188" s="8" t="n">
        <v>1200</v>
      </c>
      <c r="G188" s="8" t="n">
        <v>16</v>
      </c>
      <c r="H188" s="13" t="n">
        <f aca="false">(E188/1000)*(F188/1000)*(G188/1000)*7850</f>
        <v>180.864</v>
      </c>
      <c r="I188" s="8" t="n">
        <v>3</v>
      </c>
      <c r="J188" s="14" t="n">
        <f aca="false">H188*I188</f>
        <v>542.592</v>
      </c>
      <c r="K188" s="8" t="s">
        <v>328</v>
      </c>
    </row>
    <row r="189" s="9" customFormat="true" ht="19.5" hidden="false" customHeight="true" outlineLevel="0" collapsed="false">
      <c r="A189" s="8" t="s">
        <v>288</v>
      </c>
      <c r="B189" s="8" t="s">
        <v>171</v>
      </c>
      <c r="C189" s="8" t="s">
        <v>221</v>
      </c>
      <c r="D189" s="8" t="s">
        <v>289</v>
      </c>
      <c r="E189" s="8" t="n">
        <v>4322</v>
      </c>
      <c r="F189" s="8" t="n">
        <v>900</v>
      </c>
      <c r="G189" s="8" t="n">
        <v>36</v>
      </c>
      <c r="H189" s="13" t="n">
        <f aca="false">(E189/1000)*(F189/1000)*(G189/1000)*7850</f>
        <v>1099.25748</v>
      </c>
      <c r="I189" s="8" t="n">
        <v>2</v>
      </c>
      <c r="J189" s="14" t="n">
        <f aca="false">H189*I189</f>
        <v>2198.51496</v>
      </c>
      <c r="K189" s="8" t="s">
        <v>329</v>
      </c>
      <c r="L189" s="8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8"/>
    </row>
    <row r="190" s="9" customFormat="true" ht="19.5" hidden="false" customHeight="true" outlineLevel="0" collapsed="false">
      <c r="A190" s="8" t="s">
        <v>288</v>
      </c>
      <c r="B190" s="8" t="s">
        <v>42</v>
      </c>
      <c r="C190" s="8" t="s">
        <v>155</v>
      </c>
      <c r="D190" s="8" t="s">
        <v>40</v>
      </c>
      <c r="E190" s="8" t="n">
        <v>6522</v>
      </c>
      <c r="F190" s="8" t="n">
        <v>1200</v>
      </c>
      <c r="G190" s="8" t="n">
        <v>32</v>
      </c>
      <c r="H190" s="13" t="n">
        <f aca="false">(E190/1000)*(F190/1000)*(G190/1000)*7850</f>
        <v>1965.99168</v>
      </c>
      <c r="I190" s="8" t="n">
        <v>1</v>
      </c>
      <c r="J190" s="14" t="n">
        <f aca="false">H190*I190</f>
        <v>1965.99168</v>
      </c>
      <c r="K190" s="8" t="s">
        <v>330</v>
      </c>
    </row>
    <row r="191" s="9" customFormat="true" ht="19.5" hidden="true" customHeight="true" outlineLevel="0" collapsed="false">
      <c r="A191" s="8" t="s">
        <v>288</v>
      </c>
      <c r="B191" s="8" t="s">
        <v>42</v>
      </c>
      <c r="C191" s="8" t="s">
        <v>160</v>
      </c>
      <c r="D191" s="8" t="s">
        <v>40</v>
      </c>
      <c r="E191" s="8" t="n">
        <v>5122</v>
      </c>
      <c r="F191" s="8" t="n">
        <v>240</v>
      </c>
      <c r="G191" s="8" t="n">
        <v>24</v>
      </c>
      <c r="H191" s="13" t="n">
        <f aca="false">(E191/1000)*(F191/1000)*(G191/1000)*7850</f>
        <v>231.596352</v>
      </c>
      <c r="I191" s="8" t="n">
        <v>2</v>
      </c>
      <c r="J191" s="14" t="n">
        <f aca="false">H191*I191</f>
        <v>463.192704</v>
      </c>
      <c r="K191" s="8" t="s">
        <v>331</v>
      </c>
    </row>
    <row r="192" s="9" customFormat="true" ht="19.5" hidden="true" customHeight="true" outlineLevel="0" collapsed="false">
      <c r="A192" s="8" t="s">
        <v>288</v>
      </c>
      <c r="B192" s="8" t="s">
        <v>42</v>
      </c>
      <c r="C192" s="8" t="s">
        <v>158</v>
      </c>
      <c r="D192" s="8" t="s">
        <v>40</v>
      </c>
      <c r="E192" s="8" t="n">
        <v>2300</v>
      </c>
      <c r="F192" s="8" t="n">
        <v>320</v>
      </c>
      <c r="G192" s="8" t="n">
        <v>32</v>
      </c>
      <c r="H192" s="13" t="n">
        <f aca="false">(E192/1000)*(F192/1000)*(G192/1000)*7850</f>
        <v>184.8832</v>
      </c>
      <c r="I192" s="8" t="n">
        <v>2</v>
      </c>
      <c r="J192" s="14" t="n">
        <f aca="false">H192*I192</f>
        <v>369.7664</v>
      </c>
      <c r="K192" s="8" t="s">
        <v>332</v>
      </c>
    </row>
    <row r="193" s="9" customFormat="true" ht="19.5" hidden="true" customHeight="true" outlineLevel="0" collapsed="false">
      <c r="A193" s="8" t="s">
        <v>288</v>
      </c>
      <c r="B193" s="8" t="s">
        <v>64</v>
      </c>
      <c r="C193" s="8" t="s">
        <v>167</v>
      </c>
      <c r="D193" s="8" t="s">
        <v>40</v>
      </c>
      <c r="E193" s="8" t="n">
        <v>1980</v>
      </c>
      <c r="F193" s="8" t="n">
        <v>610</v>
      </c>
      <c r="G193" s="8" t="n">
        <v>14</v>
      </c>
      <c r="H193" s="13" t="n">
        <f aca="false">(E193/1000)*(F193/1000)*(G193/1000)*7850</f>
        <v>132.73722</v>
      </c>
      <c r="I193" s="8" t="n">
        <v>6</v>
      </c>
      <c r="J193" s="14" t="n">
        <f aca="false">H193*I193</f>
        <v>796.42332</v>
      </c>
      <c r="K193" s="8" t="s">
        <v>333</v>
      </c>
    </row>
    <row r="194" s="9" customFormat="true" ht="19.5" hidden="true" customHeight="true" outlineLevel="0" collapsed="false">
      <c r="A194" s="8" t="s">
        <v>288</v>
      </c>
      <c r="B194" s="8" t="s">
        <v>42</v>
      </c>
      <c r="C194" s="8" t="s">
        <v>334</v>
      </c>
      <c r="D194" s="8" t="s">
        <v>40</v>
      </c>
      <c r="E194" s="8" t="n">
        <v>1980</v>
      </c>
      <c r="F194" s="8" t="n">
        <v>618</v>
      </c>
      <c r="G194" s="8" t="n">
        <v>14</v>
      </c>
      <c r="H194" s="13" t="n">
        <f aca="false">(E194/1000)*(F194/1000)*(G194/1000)*7850</f>
        <v>134.478036</v>
      </c>
      <c r="I194" s="8" t="n">
        <v>4</v>
      </c>
      <c r="J194" s="14" t="n">
        <f aca="false">H194*I194</f>
        <v>537.912144</v>
      </c>
      <c r="K194" s="8" t="s">
        <v>335</v>
      </c>
    </row>
    <row r="195" s="9" customFormat="true" ht="19.5" hidden="true" customHeight="true" outlineLevel="0" collapsed="false">
      <c r="A195" s="8" t="s">
        <v>288</v>
      </c>
      <c r="B195" s="8" t="s">
        <v>42</v>
      </c>
      <c r="C195" s="8" t="s">
        <v>169</v>
      </c>
      <c r="D195" s="8" t="s">
        <v>289</v>
      </c>
      <c r="E195" s="8"/>
      <c r="F195" s="8"/>
      <c r="G195" s="8" t="n">
        <v>24</v>
      </c>
      <c r="H195" s="13" t="n">
        <f aca="false">M195*(G195/1000)*7850</f>
        <v>88.548</v>
      </c>
      <c r="I195" s="8" t="n">
        <v>6</v>
      </c>
      <c r="J195" s="14" t="n">
        <f aca="false">H195*I195</f>
        <v>531.288</v>
      </c>
      <c r="K195" s="8" t="s">
        <v>336</v>
      </c>
      <c r="M195" s="15" t="n">
        <v>0.47</v>
      </c>
    </row>
    <row r="196" s="9" customFormat="true" ht="19.5" hidden="true" customHeight="true" outlineLevel="0" collapsed="false">
      <c r="A196" s="8" t="s">
        <v>288</v>
      </c>
      <c r="B196" s="8" t="s">
        <v>42</v>
      </c>
      <c r="C196" s="8" t="s">
        <v>236</v>
      </c>
      <c r="D196" s="8" t="s">
        <v>40</v>
      </c>
      <c r="E196" s="8"/>
      <c r="F196" s="8"/>
      <c r="G196" s="8" t="n">
        <v>24</v>
      </c>
      <c r="H196" s="13" t="n">
        <f aca="false">M196*(G196/1000)*7850</f>
        <v>90.432</v>
      </c>
      <c r="I196" s="8" t="n">
        <v>4</v>
      </c>
      <c r="J196" s="14" t="n">
        <f aca="false">H196*I196</f>
        <v>361.728</v>
      </c>
      <c r="K196" s="8" t="s">
        <v>337</v>
      </c>
      <c r="M196" s="15" t="n">
        <v>0.48</v>
      </c>
    </row>
    <row r="197" s="9" customFormat="true" ht="19.5" hidden="true" customHeight="true" outlineLevel="0" collapsed="false">
      <c r="A197" s="8" t="s">
        <v>288</v>
      </c>
      <c r="B197" s="8" t="s">
        <v>42</v>
      </c>
      <c r="C197" s="8" t="s">
        <v>172</v>
      </c>
      <c r="D197" s="8" t="s">
        <v>40</v>
      </c>
      <c r="E197" s="8" t="n">
        <v>1800</v>
      </c>
      <c r="F197" s="8" t="n">
        <v>610</v>
      </c>
      <c r="G197" s="8" t="n">
        <v>14</v>
      </c>
      <c r="H197" s="13" t="n">
        <f aca="false">(E197/1000)*(F197/1000)*(G197/1000)*7850</f>
        <v>120.6702</v>
      </c>
      <c r="I197" s="8" t="n">
        <v>6</v>
      </c>
      <c r="J197" s="14" t="n">
        <f aca="false">H197*I197</f>
        <v>724.0212</v>
      </c>
      <c r="K197" s="8" t="s">
        <v>338</v>
      </c>
    </row>
    <row r="198" s="9" customFormat="true" ht="19.5" hidden="true" customHeight="true" outlineLevel="0" collapsed="false">
      <c r="A198" s="8" t="s">
        <v>288</v>
      </c>
      <c r="B198" s="8" t="s">
        <v>42</v>
      </c>
      <c r="C198" s="8" t="s">
        <v>239</v>
      </c>
      <c r="D198" s="8" t="s">
        <v>40</v>
      </c>
      <c r="E198" s="8" t="n">
        <v>1800</v>
      </c>
      <c r="F198" s="8" t="n">
        <v>626</v>
      </c>
      <c r="G198" s="8" t="n">
        <v>14</v>
      </c>
      <c r="H198" s="13" t="n">
        <f aca="false">(E198/1000)*(F198/1000)*(G198/1000)*7850</f>
        <v>123.83532</v>
      </c>
      <c r="I198" s="8" t="n">
        <v>4</v>
      </c>
      <c r="J198" s="14" t="n">
        <f aca="false">H198*I198</f>
        <v>495.34128</v>
      </c>
      <c r="K198" s="8" t="s">
        <v>339</v>
      </c>
    </row>
    <row r="199" s="9" customFormat="true" ht="19.5" hidden="true" customHeight="true" outlineLevel="0" collapsed="false">
      <c r="A199" s="8" t="s">
        <v>340</v>
      </c>
      <c r="B199" s="8" t="s">
        <v>38</v>
      </c>
      <c r="C199" s="8" t="s">
        <v>179</v>
      </c>
      <c r="D199" s="8" t="s">
        <v>341</v>
      </c>
      <c r="E199" s="8"/>
      <c r="F199" s="8"/>
      <c r="G199" s="8" t="n">
        <v>40</v>
      </c>
      <c r="H199" s="13" t="n">
        <f aca="false">M199*(G199/1000)*7850</f>
        <v>4801.06</v>
      </c>
      <c r="I199" s="8" t="n">
        <v>1</v>
      </c>
      <c r="J199" s="14" t="n">
        <f aca="false">H199*I199</f>
        <v>4801.06</v>
      </c>
      <c r="K199" s="8" t="s">
        <v>342</v>
      </c>
      <c r="M199" s="15" t="n">
        <v>15.29</v>
      </c>
    </row>
    <row r="200" s="9" customFormat="true" ht="19.5" hidden="true" customHeight="true" outlineLevel="0" collapsed="false">
      <c r="A200" s="8" t="s">
        <v>340</v>
      </c>
      <c r="B200" s="8" t="s">
        <v>42</v>
      </c>
      <c r="C200" s="8" t="s">
        <v>243</v>
      </c>
      <c r="D200" s="8" t="s">
        <v>40</v>
      </c>
      <c r="E200" s="8"/>
      <c r="F200" s="8"/>
      <c r="G200" s="8" t="n">
        <v>24</v>
      </c>
      <c r="H200" s="13" t="n">
        <f aca="false">M200*(G200/1000)*7850</f>
        <v>2586.732</v>
      </c>
      <c r="I200" s="8" t="n">
        <v>1</v>
      </c>
      <c r="J200" s="14" t="n">
        <f aca="false">H200*I200</f>
        <v>2586.732</v>
      </c>
      <c r="K200" s="8" t="s">
        <v>343</v>
      </c>
      <c r="M200" s="15" t="n">
        <v>13.73</v>
      </c>
    </row>
    <row r="201" s="9" customFormat="true" ht="19.5" hidden="true" customHeight="true" outlineLevel="0" collapsed="false">
      <c r="A201" s="8" t="s">
        <v>340</v>
      </c>
      <c r="B201" s="8" t="s">
        <v>45</v>
      </c>
      <c r="C201" s="8" t="s">
        <v>292</v>
      </c>
      <c r="D201" s="8" t="s">
        <v>341</v>
      </c>
      <c r="E201" s="8" t="n">
        <v>7901</v>
      </c>
      <c r="F201" s="8" t="n">
        <v>1200</v>
      </c>
      <c r="G201" s="8" t="n">
        <v>40</v>
      </c>
      <c r="H201" s="13" t="n">
        <f aca="false">(E201/1000)*(F201/1000)*(G201/1000)*7850</f>
        <v>2977.0968</v>
      </c>
      <c r="I201" s="8" t="n">
        <v>1</v>
      </c>
      <c r="J201" s="14" t="n">
        <f aca="false">H201*I201</f>
        <v>2977.0968</v>
      </c>
      <c r="K201" s="8" t="s">
        <v>344</v>
      </c>
    </row>
    <row r="202" s="9" customFormat="true" ht="19.5" hidden="true" customHeight="true" outlineLevel="0" collapsed="false">
      <c r="A202" s="8" t="s">
        <v>340</v>
      </c>
      <c r="B202" s="8" t="s">
        <v>42</v>
      </c>
      <c r="C202" s="8" t="s">
        <v>345</v>
      </c>
      <c r="D202" s="8" t="s">
        <v>40</v>
      </c>
      <c r="E202" s="8" t="n">
        <v>7101</v>
      </c>
      <c r="F202" s="8" t="n">
        <v>1200</v>
      </c>
      <c r="G202" s="8" t="n">
        <v>24</v>
      </c>
      <c r="H202" s="13" t="n">
        <f aca="false">(E202/1000)*(F202/1000)*(G202/1000)*7850</f>
        <v>1605.39408</v>
      </c>
      <c r="I202" s="8" t="n">
        <v>1</v>
      </c>
      <c r="J202" s="14" t="n">
        <f aca="false">H202*I202</f>
        <v>1605.39408</v>
      </c>
      <c r="K202" s="8" t="s">
        <v>346</v>
      </c>
    </row>
    <row r="203" s="9" customFormat="true" ht="19.5" hidden="true" customHeight="true" outlineLevel="0" collapsed="false">
      <c r="A203" s="8" t="s">
        <v>340</v>
      </c>
      <c r="B203" s="8" t="s">
        <v>187</v>
      </c>
      <c r="C203" s="8" t="s">
        <v>188</v>
      </c>
      <c r="D203" s="8" t="s">
        <v>341</v>
      </c>
      <c r="E203" s="8"/>
      <c r="F203" s="8"/>
      <c r="G203" s="8" t="n">
        <v>48</v>
      </c>
      <c r="H203" s="13" t="n">
        <f aca="false">M203*(G203/1000)*7850</f>
        <v>9257.976</v>
      </c>
      <c r="I203" s="8" t="n">
        <v>2</v>
      </c>
      <c r="J203" s="14" t="n">
        <f aca="false">H203*I203</f>
        <v>18515.952</v>
      </c>
      <c r="K203" s="8" t="s">
        <v>347</v>
      </c>
      <c r="M203" s="15" t="n">
        <v>24.57</v>
      </c>
    </row>
    <row r="204" s="9" customFormat="true" ht="19.5" hidden="false" customHeight="true" outlineLevel="0" collapsed="false">
      <c r="A204" s="8" t="s">
        <v>340</v>
      </c>
      <c r="B204" s="8" t="s">
        <v>190</v>
      </c>
      <c r="C204" s="8" t="s">
        <v>191</v>
      </c>
      <c r="D204" s="8" t="s">
        <v>40</v>
      </c>
      <c r="E204" s="8" t="n">
        <v>7301</v>
      </c>
      <c r="F204" s="8" t="n">
        <v>2048</v>
      </c>
      <c r="G204" s="8" t="n">
        <v>32</v>
      </c>
      <c r="H204" s="13" t="n">
        <f aca="false">(E204/1000)*(F204/1000)*(G204/1000)*7850</f>
        <v>3756.0549376</v>
      </c>
      <c r="I204" s="8" t="n">
        <v>2</v>
      </c>
      <c r="J204" s="14" t="n">
        <f aca="false">H204*I204</f>
        <v>7512.1098752</v>
      </c>
      <c r="K204" s="8" t="s">
        <v>348</v>
      </c>
    </row>
    <row r="205" s="9" customFormat="true" ht="19.5" hidden="false" customHeight="true" outlineLevel="0" collapsed="false">
      <c r="A205" s="8" t="s">
        <v>340</v>
      </c>
      <c r="B205" s="8" t="s">
        <v>195</v>
      </c>
      <c r="C205" s="8" t="s">
        <v>58</v>
      </c>
      <c r="D205" s="8" t="s">
        <v>40</v>
      </c>
      <c r="E205" s="8" t="n">
        <v>1960</v>
      </c>
      <c r="F205" s="8" t="n">
        <v>1200</v>
      </c>
      <c r="G205" s="8" t="n">
        <v>16</v>
      </c>
      <c r="H205" s="13" t="n">
        <f aca="false">(E205/1000)*(F205/1000)*(G205/1000)*7850</f>
        <v>295.4112</v>
      </c>
      <c r="I205" s="8" t="n">
        <v>3</v>
      </c>
      <c r="J205" s="14" t="n">
        <f aca="false">H205*I205</f>
        <v>886.2336</v>
      </c>
      <c r="K205" s="8" t="s">
        <v>349</v>
      </c>
    </row>
    <row r="206" s="9" customFormat="true" ht="19.5" hidden="true" customHeight="true" outlineLevel="0" collapsed="false">
      <c r="A206" s="8" t="s">
        <v>340</v>
      </c>
      <c r="B206" s="8" t="s">
        <v>42</v>
      </c>
      <c r="C206" s="8" t="s">
        <v>298</v>
      </c>
      <c r="D206" s="8" t="s">
        <v>40</v>
      </c>
      <c r="E206" s="8" t="n">
        <v>1976</v>
      </c>
      <c r="F206" s="8" t="n">
        <v>1200</v>
      </c>
      <c r="G206" s="8" t="n">
        <v>16</v>
      </c>
      <c r="H206" s="13" t="n">
        <f aca="false">(E206/1000)*(F206/1000)*(G206/1000)*7850</f>
        <v>297.82272</v>
      </c>
      <c r="I206" s="8" t="n">
        <v>2</v>
      </c>
      <c r="J206" s="14" t="n">
        <f aca="false">H206*I206</f>
        <v>595.64544</v>
      </c>
      <c r="K206" s="8" t="s">
        <v>350</v>
      </c>
    </row>
    <row r="207" s="9" customFormat="true" ht="19.5" hidden="true" customHeight="true" outlineLevel="0" collapsed="false">
      <c r="A207" s="8" t="s">
        <v>340</v>
      </c>
      <c r="B207" s="8" t="s">
        <v>42</v>
      </c>
      <c r="C207" s="8" t="s">
        <v>196</v>
      </c>
      <c r="D207" s="8" t="s">
        <v>40</v>
      </c>
      <c r="E207" s="8" t="n">
        <v>2057</v>
      </c>
      <c r="F207" s="8" t="n">
        <v>200</v>
      </c>
      <c r="G207" s="8" t="n">
        <v>16</v>
      </c>
      <c r="H207" s="13" t="n">
        <f aca="false">(E207/1000)*(F207/1000)*(G207/1000)*7850</f>
        <v>51.67184</v>
      </c>
      <c r="I207" s="8" t="n">
        <v>3</v>
      </c>
      <c r="J207" s="14" t="n">
        <f aca="false">H207*I207</f>
        <v>155.01552</v>
      </c>
      <c r="K207" s="8" t="s">
        <v>351</v>
      </c>
    </row>
    <row r="208" s="9" customFormat="true" ht="19.5" hidden="false" customHeight="true" outlineLevel="0" collapsed="false">
      <c r="A208" s="8" t="s">
        <v>340</v>
      </c>
      <c r="B208" s="8" t="s">
        <v>42</v>
      </c>
      <c r="C208" s="8" t="s">
        <v>68</v>
      </c>
      <c r="D208" s="8" t="s">
        <v>40</v>
      </c>
      <c r="E208" s="8" t="n">
        <v>800</v>
      </c>
      <c r="F208" s="8" t="n">
        <v>400</v>
      </c>
      <c r="G208" s="8" t="n">
        <v>16</v>
      </c>
      <c r="H208" s="13" t="n">
        <f aca="false">(E208/1000)*(F208/1000)*(G208/1000)*7850</f>
        <v>40.192</v>
      </c>
      <c r="I208" s="8" t="n">
        <v>4</v>
      </c>
      <c r="J208" s="14" t="n">
        <f aca="false">H208*I208</f>
        <v>160.768</v>
      </c>
      <c r="K208" s="8" t="s">
        <v>352</v>
      </c>
    </row>
    <row r="209" s="9" customFormat="true" ht="19.5" hidden="true" customHeight="true" outlineLevel="0" collapsed="false">
      <c r="A209" s="8" t="s">
        <v>340</v>
      </c>
      <c r="B209" s="8" t="s">
        <v>253</v>
      </c>
      <c r="C209" s="8" t="s">
        <v>199</v>
      </c>
      <c r="D209" s="8" t="s">
        <v>341</v>
      </c>
      <c r="E209" s="8" t="n">
        <v>7901</v>
      </c>
      <c r="F209" s="8" t="n">
        <v>320</v>
      </c>
      <c r="G209" s="8" t="n">
        <v>32</v>
      </c>
      <c r="H209" s="13" t="n">
        <f aca="false">(E209/1000)*(F209/1000)*(G209/1000)*7850</f>
        <v>635.113984</v>
      </c>
      <c r="I209" s="8" t="n">
        <v>6</v>
      </c>
      <c r="J209" s="14" t="n">
        <f aca="false">H209*I209</f>
        <v>3810.683904</v>
      </c>
      <c r="K209" s="8" t="s">
        <v>353</v>
      </c>
    </row>
    <row r="210" s="9" customFormat="true" ht="19.5" hidden="true" customHeight="true" outlineLevel="0" collapsed="false">
      <c r="A210" s="8" t="s">
        <v>340</v>
      </c>
      <c r="B210" s="8" t="s">
        <v>42</v>
      </c>
      <c r="C210" s="8" t="s">
        <v>76</v>
      </c>
      <c r="D210" s="8" t="s">
        <v>40</v>
      </c>
      <c r="E210" s="8" t="n">
        <v>7101</v>
      </c>
      <c r="F210" s="8" t="n">
        <v>240</v>
      </c>
      <c r="G210" s="8" t="n">
        <v>20</v>
      </c>
      <c r="H210" s="13" t="n">
        <f aca="false">(E210/1000)*(F210/1000)*(G210/1000)*7850</f>
        <v>267.56568</v>
      </c>
      <c r="I210" s="8" t="n">
        <v>6</v>
      </c>
      <c r="J210" s="14" t="n">
        <f aca="false">H210*I210</f>
        <v>1605.39408</v>
      </c>
      <c r="K210" s="8" t="s">
        <v>354</v>
      </c>
    </row>
    <row r="211" s="9" customFormat="true" ht="19.5" hidden="true" customHeight="true" outlineLevel="0" collapsed="false">
      <c r="A211" s="8" t="s">
        <v>340</v>
      </c>
      <c r="B211" s="8" t="s">
        <v>256</v>
      </c>
      <c r="C211" s="8" t="s">
        <v>257</v>
      </c>
      <c r="D211" s="8" t="s">
        <v>40</v>
      </c>
      <c r="E211" s="8" t="n">
        <v>7903</v>
      </c>
      <c r="F211" s="8" t="n">
        <v>2500</v>
      </c>
      <c r="G211" s="8" t="n">
        <v>20</v>
      </c>
      <c r="H211" s="13" t="n">
        <f aca="false">(E211/1000)*(F211/1000)*(G211/1000)*7850</f>
        <v>3101.9275</v>
      </c>
      <c r="I211" s="8" t="n">
        <v>1</v>
      </c>
      <c r="J211" s="14" t="n">
        <f aca="false">H211*I211</f>
        <v>3101.9275</v>
      </c>
      <c r="K211" s="8" t="s">
        <v>355</v>
      </c>
    </row>
    <row r="212" s="9" customFormat="true" ht="19.5" hidden="true" customHeight="true" outlineLevel="0" collapsed="false">
      <c r="A212" s="8" t="s">
        <v>340</v>
      </c>
      <c r="B212" s="8" t="s">
        <v>42</v>
      </c>
      <c r="C212" s="8" t="s">
        <v>305</v>
      </c>
      <c r="D212" s="8" t="s">
        <v>40</v>
      </c>
      <c r="E212" s="8" t="n">
        <v>7102</v>
      </c>
      <c r="F212" s="8" t="n">
        <v>2500</v>
      </c>
      <c r="G212" s="8" t="n">
        <v>24</v>
      </c>
      <c r="H212" s="13" t="n">
        <f aca="false">(E212/1000)*(F212/1000)*(G212/1000)*7850</f>
        <v>3345.042</v>
      </c>
      <c r="I212" s="8" t="n">
        <v>1</v>
      </c>
      <c r="J212" s="14" t="n">
        <f aca="false">H212*I212</f>
        <v>3345.042</v>
      </c>
      <c r="K212" s="8" t="s">
        <v>356</v>
      </c>
    </row>
    <row r="213" s="9" customFormat="true" ht="19.5" hidden="true" customHeight="true" outlineLevel="0" collapsed="false">
      <c r="A213" s="8" t="s">
        <v>340</v>
      </c>
      <c r="B213" s="8" t="s">
        <v>260</v>
      </c>
      <c r="C213" s="8" t="s">
        <v>307</v>
      </c>
      <c r="D213" s="8" t="s">
        <v>40</v>
      </c>
      <c r="E213" s="8"/>
      <c r="F213" s="8"/>
      <c r="G213" s="8" t="n">
        <v>24</v>
      </c>
      <c r="H213" s="13" t="n">
        <f aca="false">M213*(G213/1000)*7850</f>
        <v>2441.664</v>
      </c>
      <c r="I213" s="8" t="n">
        <v>1</v>
      </c>
      <c r="J213" s="14" t="n">
        <f aca="false">H213*I213</f>
        <v>2441.664</v>
      </c>
      <c r="K213" s="8" t="s">
        <v>357</v>
      </c>
      <c r="M213" s="15" t="n">
        <v>12.96</v>
      </c>
    </row>
    <row r="214" s="9" customFormat="true" ht="19.5" hidden="true" customHeight="true" outlineLevel="0" collapsed="false">
      <c r="A214" s="8" t="s">
        <v>340</v>
      </c>
      <c r="B214" s="8" t="s">
        <v>42</v>
      </c>
      <c r="C214" s="8" t="s">
        <v>206</v>
      </c>
      <c r="D214" s="8" t="s">
        <v>40</v>
      </c>
      <c r="E214" s="8"/>
      <c r="F214" s="8"/>
      <c r="G214" s="8" t="n">
        <v>20</v>
      </c>
      <c r="H214" s="13" t="n">
        <f aca="false">M214*(G214/1000)*7850</f>
        <v>1747.41</v>
      </c>
      <c r="I214" s="8" t="n">
        <v>1</v>
      </c>
      <c r="J214" s="14" t="n">
        <f aca="false">H214*I214</f>
        <v>1747.41</v>
      </c>
      <c r="K214" s="8" t="s">
        <v>358</v>
      </c>
      <c r="M214" s="15" t="n">
        <v>11.13</v>
      </c>
    </row>
    <row r="215" s="9" customFormat="true" ht="19.5" hidden="true" customHeight="true" outlineLevel="0" collapsed="false">
      <c r="A215" s="8" t="s">
        <v>340</v>
      </c>
      <c r="B215" s="8" t="s">
        <v>105</v>
      </c>
      <c r="C215" s="8" t="s">
        <v>103</v>
      </c>
      <c r="D215" s="8" t="s">
        <v>40</v>
      </c>
      <c r="E215" s="8"/>
      <c r="F215" s="8"/>
      <c r="G215" s="8" t="n">
        <v>40</v>
      </c>
      <c r="H215" s="13" t="n">
        <f aca="false">M215*(G215/1000)*7850</f>
        <v>7086.98</v>
      </c>
      <c r="I215" s="8" t="n">
        <v>2</v>
      </c>
      <c r="J215" s="14" t="n">
        <f aca="false">H215*I215</f>
        <v>14173.96</v>
      </c>
      <c r="K215" s="8" t="s">
        <v>359</v>
      </c>
      <c r="M215" s="15" t="n">
        <v>22.57</v>
      </c>
    </row>
    <row r="216" s="9" customFormat="true" ht="19.5" hidden="false" customHeight="true" outlineLevel="0" collapsed="false">
      <c r="A216" s="8" t="s">
        <v>340</v>
      </c>
      <c r="B216" s="8" t="s">
        <v>102</v>
      </c>
      <c r="C216" s="8" t="s">
        <v>106</v>
      </c>
      <c r="D216" s="8" t="s">
        <v>40</v>
      </c>
      <c r="E216" s="8" t="n">
        <v>7302</v>
      </c>
      <c r="F216" s="8" t="n">
        <v>1880</v>
      </c>
      <c r="G216" s="8" t="n">
        <v>32</v>
      </c>
      <c r="H216" s="13" t="n">
        <f aca="false">(E216/1000)*(F216/1000)*(G216/1000)*7850</f>
        <v>3448.413312</v>
      </c>
      <c r="I216" s="8" t="n">
        <v>2</v>
      </c>
      <c r="J216" s="14" t="n">
        <f aca="false">H216*I216</f>
        <v>6896.826624</v>
      </c>
      <c r="K216" s="8" t="s">
        <v>360</v>
      </c>
    </row>
    <row r="217" s="9" customFormat="true" ht="19.5" hidden="true" customHeight="true" outlineLevel="0" collapsed="false">
      <c r="A217" s="8" t="s">
        <v>340</v>
      </c>
      <c r="B217" s="8" t="s">
        <v>110</v>
      </c>
      <c r="C217" s="8" t="s">
        <v>108</v>
      </c>
      <c r="D217" s="8" t="s">
        <v>40</v>
      </c>
      <c r="E217" s="8" t="n">
        <v>1800</v>
      </c>
      <c r="F217" s="8" t="n">
        <v>1200</v>
      </c>
      <c r="G217" s="8" t="n">
        <v>16</v>
      </c>
      <c r="H217" s="13" t="n">
        <f aca="false">(E217/1000)*(F217/1000)*(G217/1000)*7850</f>
        <v>271.296</v>
      </c>
      <c r="I217" s="8" t="n">
        <v>3</v>
      </c>
      <c r="J217" s="14" t="n">
        <f aca="false">H217*I217</f>
        <v>813.888</v>
      </c>
      <c r="K217" s="8" t="s">
        <v>361</v>
      </c>
    </row>
    <row r="218" s="9" customFormat="true" ht="19.5" hidden="false" customHeight="true" outlineLevel="0" collapsed="false">
      <c r="A218" s="8" t="s">
        <v>340</v>
      </c>
      <c r="B218" s="8" t="s">
        <v>42</v>
      </c>
      <c r="C218" s="8" t="s">
        <v>267</v>
      </c>
      <c r="D218" s="8" t="s">
        <v>40</v>
      </c>
      <c r="E218" s="8" t="n">
        <v>1800</v>
      </c>
      <c r="F218" s="8" t="n">
        <v>1200</v>
      </c>
      <c r="G218" s="8" t="n">
        <v>16</v>
      </c>
      <c r="H218" s="13" t="n">
        <f aca="false">(E218/1000)*(F218/1000)*(G218/1000)*7850</f>
        <v>271.296</v>
      </c>
      <c r="I218" s="8" t="n">
        <v>2</v>
      </c>
      <c r="J218" s="14" t="n">
        <f aca="false">H218*I218</f>
        <v>542.592</v>
      </c>
      <c r="K218" s="8" t="s">
        <v>361</v>
      </c>
      <c r="L218" s="8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8"/>
    </row>
    <row r="219" s="9" customFormat="true" ht="19.5" hidden="false" customHeight="true" outlineLevel="0" collapsed="false">
      <c r="A219" s="8" t="s">
        <v>340</v>
      </c>
      <c r="B219" s="8" t="s">
        <v>42</v>
      </c>
      <c r="C219" s="8" t="s">
        <v>211</v>
      </c>
      <c r="D219" s="8" t="s">
        <v>40</v>
      </c>
      <c r="E219" s="8" t="n">
        <v>2057</v>
      </c>
      <c r="F219" s="8" t="n">
        <v>200</v>
      </c>
      <c r="G219" s="8" t="n">
        <v>16</v>
      </c>
      <c r="H219" s="13" t="n">
        <f aca="false">(E219/1000)*(F219/1000)*(G219/1000)*7850</f>
        <v>51.67184</v>
      </c>
      <c r="I219" s="8" t="n">
        <v>5</v>
      </c>
      <c r="J219" s="14" t="n">
        <f aca="false">H219*I219</f>
        <v>258.3592</v>
      </c>
      <c r="K219" s="8" t="s">
        <v>351</v>
      </c>
    </row>
    <row r="220" s="9" customFormat="true" ht="19.5" hidden="true" customHeight="true" outlineLevel="0" collapsed="false">
      <c r="A220" s="8" t="s">
        <v>340</v>
      </c>
      <c r="B220" s="8" t="s">
        <v>362</v>
      </c>
      <c r="C220" s="8" t="s">
        <v>114</v>
      </c>
      <c r="D220" s="8" t="s">
        <v>40</v>
      </c>
      <c r="E220" s="8" t="n">
        <v>7903</v>
      </c>
      <c r="F220" s="8" t="n">
        <v>240</v>
      </c>
      <c r="G220" s="8" t="n">
        <v>20</v>
      </c>
      <c r="H220" s="13" t="n">
        <f aca="false">(E220/1000)*(F220/1000)*(G220/1000)*7850</f>
        <v>297.78504</v>
      </c>
      <c r="I220" s="8" t="n">
        <v>4</v>
      </c>
      <c r="J220" s="14" t="n">
        <f aca="false">H220*I220</f>
        <v>1191.14016</v>
      </c>
      <c r="K220" s="8" t="s">
        <v>363</v>
      </c>
    </row>
    <row r="221" s="9" customFormat="true" ht="19.5" hidden="true" customHeight="true" outlineLevel="0" collapsed="false">
      <c r="A221" s="8" t="s">
        <v>340</v>
      </c>
      <c r="B221" s="8" t="s">
        <v>42</v>
      </c>
      <c r="C221" s="8" t="s">
        <v>116</v>
      </c>
      <c r="D221" s="8" t="s">
        <v>40</v>
      </c>
      <c r="E221" s="8" t="n">
        <v>7102</v>
      </c>
      <c r="F221" s="8" t="n">
        <v>320</v>
      </c>
      <c r="G221" s="8" t="n">
        <v>32</v>
      </c>
      <c r="H221" s="13" t="n">
        <f aca="false">(E221/1000)*(F221/1000)*(G221/1000)*7850</f>
        <v>570.887168</v>
      </c>
      <c r="I221" s="8" t="n">
        <v>4</v>
      </c>
      <c r="J221" s="14" t="n">
        <f aca="false">H221*I221</f>
        <v>2283.548672</v>
      </c>
      <c r="K221" s="8" t="s">
        <v>364</v>
      </c>
    </row>
    <row r="222" s="9" customFormat="true" ht="19.5" hidden="true" customHeight="true" outlineLevel="0" collapsed="false">
      <c r="A222" s="8" t="s">
        <v>340</v>
      </c>
      <c r="B222" s="8" t="s">
        <v>42</v>
      </c>
      <c r="C222" s="8" t="s">
        <v>118</v>
      </c>
      <c r="D222" s="8" t="s">
        <v>40</v>
      </c>
      <c r="E222" s="8" t="n">
        <v>15005</v>
      </c>
      <c r="F222" s="8" t="n">
        <v>170</v>
      </c>
      <c r="G222" s="8" t="n">
        <v>14</v>
      </c>
      <c r="H222" s="13" t="n">
        <f aca="false">(E222/1000)*(F222/1000)*(G222/1000)*7850</f>
        <v>280.338415</v>
      </c>
      <c r="I222" s="8" t="n">
        <v>2</v>
      </c>
      <c r="J222" s="14" t="n">
        <f aca="false">H222*I222</f>
        <v>560.67683</v>
      </c>
      <c r="K222" s="8" t="s">
        <v>365</v>
      </c>
    </row>
    <row r="223" s="9" customFormat="true" ht="19.5" hidden="true" customHeight="true" outlineLevel="0" collapsed="false">
      <c r="A223" s="8" t="s">
        <v>340</v>
      </c>
      <c r="B223" s="8" t="s">
        <v>272</v>
      </c>
      <c r="C223" s="8" t="s">
        <v>125</v>
      </c>
      <c r="D223" s="8" t="s">
        <v>40</v>
      </c>
      <c r="E223" s="8" t="n">
        <v>12581</v>
      </c>
      <c r="F223" s="8" t="n">
        <v>1200</v>
      </c>
      <c r="G223" s="8" t="n">
        <v>36</v>
      </c>
      <c r="H223" s="13" t="n">
        <f aca="false">(E223/1000)*(F223/1000)*(G223/1000)*7850</f>
        <v>4266.46872</v>
      </c>
      <c r="I223" s="8" t="n">
        <v>1</v>
      </c>
      <c r="J223" s="14" t="n">
        <f aca="false">H223*I223</f>
        <v>4266.46872</v>
      </c>
      <c r="K223" s="8" t="s">
        <v>366</v>
      </c>
    </row>
    <row r="224" s="9" customFormat="true" ht="19.5" hidden="true" customHeight="true" outlineLevel="0" collapsed="false">
      <c r="A224" s="8" t="s">
        <v>340</v>
      </c>
      <c r="B224" s="8" t="s">
        <v>42</v>
      </c>
      <c r="C224" s="8" t="s">
        <v>127</v>
      </c>
      <c r="D224" s="8" t="s">
        <v>40</v>
      </c>
      <c r="E224" s="8" t="n">
        <v>12381</v>
      </c>
      <c r="F224" s="8" t="n">
        <v>1200</v>
      </c>
      <c r="G224" s="8" t="n">
        <v>36</v>
      </c>
      <c r="H224" s="13" t="n">
        <f aca="false">(E224/1000)*(F224/1000)*(G224/1000)*7850</f>
        <v>4198.64472</v>
      </c>
      <c r="I224" s="8" t="n">
        <v>1</v>
      </c>
      <c r="J224" s="14" t="n">
        <f aca="false">H224*I224</f>
        <v>4198.64472</v>
      </c>
      <c r="K224" s="8" t="s">
        <v>367</v>
      </c>
    </row>
    <row r="225" s="9" customFormat="true" ht="19.5" hidden="true" customHeight="true" outlineLevel="0" collapsed="false">
      <c r="A225" s="8" t="s">
        <v>340</v>
      </c>
      <c r="B225" s="8" t="s">
        <v>42</v>
      </c>
      <c r="C225" s="8" t="s">
        <v>128</v>
      </c>
      <c r="D225" s="8" t="s">
        <v>40</v>
      </c>
      <c r="E225" s="8" t="n">
        <v>8581</v>
      </c>
      <c r="F225" s="8" t="n">
        <v>1360</v>
      </c>
      <c r="G225" s="8" t="n">
        <v>36</v>
      </c>
      <c r="H225" s="13" t="n">
        <f aca="false">(E225/1000)*(F225/1000)*(G225/1000)*7850</f>
        <v>3297.987216</v>
      </c>
      <c r="I225" s="8" t="n">
        <v>2</v>
      </c>
      <c r="J225" s="14" t="n">
        <f aca="false">H225*I225</f>
        <v>6595.974432</v>
      </c>
      <c r="K225" s="8" t="s">
        <v>368</v>
      </c>
    </row>
    <row r="226" s="9" customFormat="true" ht="19.5" hidden="true" customHeight="true" outlineLevel="0" collapsed="false">
      <c r="A226" s="8" t="s">
        <v>340</v>
      </c>
      <c r="B226" s="8" t="s">
        <v>42</v>
      </c>
      <c r="C226" s="8" t="s">
        <v>130</v>
      </c>
      <c r="D226" s="8" t="s">
        <v>40</v>
      </c>
      <c r="E226" s="8" t="n">
        <v>8581</v>
      </c>
      <c r="F226" s="8" t="n">
        <v>320</v>
      </c>
      <c r="G226" s="8" t="n">
        <v>32</v>
      </c>
      <c r="H226" s="13" t="n">
        <f aca="false">(E226/1000)*(F226/1000)*(G226/1000)*7850</f>
        <v>689.775104</v>
      </c>
      <c r="I226" s="8" t="n">
        <v>2</v>
      </c>
      <c r="J226" s="14" t="n">
        <f aca="false">H226*I226</f>
        <v>1379.550208</v>
      </c>
      <c r="K226" s="8" t="s">
        <v>369</v>
      </c>
    </row>
    <row r="227" s="9" customFormat="true" ht="19.5" hidden="true" customHeight="true" outlineLevel="0" collapsed="false">
      <c r="A227" s="8" t="s">
        <v>340</v>
      </c>
      <c r="B227" s="8" t="s">
        <v>42</v>
      </c>
      <c r="C227" s="8" t="s">
        <v>132</v>
      </c>
      <c r="D227" s="8" t="s">
        <v>40</v>
      </c>
      <c r="E227" s="8" t="n">
        <v>11181</v>
      </c>
      <c r="F227" s="8" t="n">
        <v>320</v>
      </c>
      <c r="G227" s="8" t="n">
        <v>32</v>
      </c>
      <c r="H227" s="13" t="n">
        <f aca="false">(E227/1000)*(F227/1000)*(G227/1000)*7850</f>
        <v>898.773504</v>
      </c>
      <c r="I227" s="8" t="n">
        <v>1</v>
      </c>
      <c r="J227" s="14" t="n">
        <f aca="false">H227*I227</f>
        <v>898.773504</v>
      </c>
      <c r="K227" s="8" t="s">
        <v>370</v>
      </c>
    </row>
    <row r="228" s="9" customFormat="true" ht="19.5" hidden="true" customHeight="true" outlineLevel="0" collapsed="false">
      <c r="A228" s="8" t="s">
        <v>340</v>
      </c>
      <c r="B228" s="8" t="s">
        <v>42</v>
      </c>
      <c r="C228" s="8" t="s">
        <v>134</v>
      </c>
      <c r="D228" s="8" t="s">
        <v>40</v>
      </c>
      <c r="E228" s="8" t="n">
        <v>10981</v>
      </c>
      <c r="F228" s="8" t="n">
        <v>320</v>
      </c>
      <c r="G228" s="8" t="n">
        <v>32</v>
      </c>
      <c r="H228" s="13" t="n">
        <f aca="false">(E228/1000)*(F228/1000)*(G228/1000)*7850</f>
        <v>882.696704</v>
      </c>
      <c r="I228" s="8" t="n">
        <v>1</v>
      </c>
      <c r="J228" s="14" t="n">
        <f aca="false">H228*I228</f>
        <v>882.696704</v>
      </c>
      <c r="K228" s="8" t="s">
        <v>371</v>
      </c>
    </row>
    <row r="229" s="9" customFormat="true" ht="19.5" hidden="true" customHeight="true" outlineLevel="0" collapsed="false">
      <c r="A229" s="8" t="s">
        <v>340</v>
      </c>
      <c r="B229" s="8" t="s">
        <v>42</v>
      </c>
      <c r="C229" s="8" t="s">
        <v>135</v>
      </c>
      <c r="D229" s="8" t="s">
        <v>40</v>
      </c>
      <c r="E229" s="8" t="n">
        <v>1200</v>
      </c>
      <c r="F229" s="8" t="n">
        <v>1200</v>
      </c>
      <c r="G229" s="8" t="n">
        <v>16</v>
      </c>
      <c r="H229" s="13" t="n">
        <f aca="false">(E229/1000)*(F229/1000)*(G229/1000)*7850</f>
        <v>180.864</v>
      </c>
      <c r="I229" s="8" t="n">
        <v>3</v>
      </c>
      <c r="J229" s="14" t="n">
        <f aca="false">H229*I229</f>
        <v>542.592</v>
      </c>
      <c r="K229" s="8" t="s">
        <v>372</v>
      </c>
    </row>
    <row r="230" s="9" customFormat="true" ht="19.5" hidden="true" customHeight="true" outlineLevel="0" collapsed="false">
      <c r="A230" s="8" t="s">
        <v>340</v>
      </c>
      <c r="B230" s="8" t="s">
        <v>42</v>
      </c>
      <c r="C230" s="8" t="s">
        <v>137</v>
      </c>
      <c r="D230" s="8" t="s">
        <v>40</v>
      </c>
      <c r="E230" s="8" t="n">
        <v>6135</v>
      </c>
      <c r="F230" s="8" t="n">
        <v>1200</v>
      </c>
      <c r="G230" s="8" t="n">
        <v>36</v>
      </c>
      <c r="H230" s="13" t="n">
        <f aca="false">(E230/1000)*(F230/1000)*(G230/1000)*7850</f>
        <v>2080.5012</v>
      </c>
      <c r="I230" s="8" t="n">
        <v>1</v>
      </c>
      <c r="J230" s="14" t="n">
        <f aca="false">H230*I230</f>
        <v>2080.5012</v>
      </c>
      <c r="K230" s="8" t="s">
        <v>373</v>
      </c>
    </row>
    <row r="231" s="9" customFormat="true" ht="19.5" hidden="true" customHeight="true" outlineLevel="0" collapsed="false">
      <c r="A231" s="8" t="s">
        <v>340</v>
      </c>
      <c r="B231" s="8" t="s">
        <v>42</v>
      </c>
      <c r="C231" s="8" t="s">
        <v>374</v>
      </c>
      <c r="D231" s="8" t="s">
        <v>40</v>
      </c>
      <c r="E231" s="8" t="n">
        <v>6135</v>
      </c>
      <c r="F231" s="8" t="n">
        <v>1200</v>
      </c>
      <c r="G231" s="8" t="n">
        <v>36</v>
      </c>
      <c r="H231" s="13" t="n">
        <f aca="false">(E231/1000)*(F231/1000)*(G231/1000)*7850</f>
        <v>2080.5012</v>
      </c>
      <c r="I231" s="8" t="n">
        <v>1</v>
      </c>
      <c r="J231" s="14" t="n">
        <f aca="false">H231*I231</f>
        <v>2080.5012</v>
      </c>
      <c r="K231" s="8" t="s">
        <v>373</v>
      </c>
    </row>
    <row r="232" s="9" customFormat="true" ht="19.5" hidden="true" customHeight="true" outlineLevel="0" collapsed="false">
      <c r="A232" s="8" t="s">
        <v>340</v>
      </c>
      <c r="B232" s="8" t="s">
        <v>42</v>
      </c>
      <c r="C232" s="8" t="s">
        <v>141</v>
      </c>
      <c r="D232" s="8" t="s">
        <v>40</v>
      </c>
      <c r="E232" s="8" t="n">
        <v>4135</v>
      </c>
      <c r="F232" s="8" t="n">
        <v>1360</v>
      </c>
      <c r="G232" s="8" t="n">
        <v>36</v>
      </c>
      <c r="H232" s="13" t="n">
        <f aca="false">(E232/1000)*(F232/1000)*(G232/1000)*7850</f>
        <v>1589.22936</v>
      </c>
      <c r="I232" s="8" t="n">
        <v>2</v>
      </c>
      <c r="J232" s="14" t="n">
        <f aca="false">H232*I232</f>
        <v>3178.45872</v>
      </c>
      <c r="K232" s="8" t="s">
        <v>375</v>
      </c>
    </row>
    <row r="233" s="9" customFormat="true" ht="19.5" hidden="false" customHeight="true" outlineLevel="0" collapsed="false">
      <c r="A233" s="8" t="s">
        <v>340</v>
      </c>
      <c r="B233" s="8" t="s">
        <v>42</v>
      </c>
      <c r="C233" s="8" t="s">
        <v>143</v>
      </c>
      <c r="D233" s="8" t="s">
        <v>40</v>
      </c>
      <c r="E233" s="8" t="n">
        <v>4135</v>
      </c>
      <c r="F233" s="8" t="n">
        <v>320</v>
      </c>
      <c r="G233" s="8" t="n">
        <v>32</v>
      </c>
      <c r="H233" s="13" t="n">
        <f aca="false">(E233/1000)*(F233/1000)*(G233/1000)*7850</f>
        <v>332.38784</v>
      </c>
      <c r="I233" s="8" t="n">
        <v>2</v>
      </c>
      <c r="J233" s="14" t="n">
        <f aca="false">H233*I233</f>
        <v>664.77568</v>
      </c>
      <c r="K233" s="8" t="s">
        <v>376</v>
      </c>
    </row>
    <row r="234" s="9" customFormat="true" ht="19.5" hidden="false" customHeight="true" outlineLevel="0" collapsed="false">
      <c r="A234" s="8" t="s">
        <v>340</v>
      </c>
      <c r="B234" s="8" t="s">
        <v>42</v>
      </c>
      <c r="C234" s="8" t="s">
        <v>145</v>
      </c>
      <c r="D234" s="8" t="s">
        <v>40</v>
      </c>
      <c r="E234" s="8" t="n">
        <v>5435</v>
      </c>
      <c r="F234" s="8" t="n">
        <v>320</v>
      </c>
      <c r="G234" s="8" t="n">
        <v>32</v>
      </c>
      <c r="H234" s="13" t="n">
        <f aca="false">(E234/1000)*(F234/1000)*(G234/1000)*7850</f>
        <v>436.88704</v>
      </c>
      <c r="I234" s="8" t="n">
        <v>1</v>
      </c>
      <c r="J234" s="14" t="n">
        <f aca="false">H234*I234</f>
        <v>436.88704</v>
      </c>
      <c r="K234" s="8" t="s">
        <v>377</v>
      </c>
    </row>
    <row r="235" s="9" customFormat="true" ht="19.5" hidden="true" customHeight="true" outlineLevel="0" collapsed="false">
      <c r="A235" s="8" t="s">
        <v>340</v>
      </c>
      <c r="B235" s="8" t="s">
        <v>42</v>
      </c>
      <c r="C235" s="8" t="s">
        <v>147</v>
      </c>
      <c r="D235" s="8" t="s">
        <v>40</v>
      </c>
      <c r="E235" s="8" t="n">
        <v>5435</v>
      </c>
      <c r="F235" s="8" t="n">
        <v>320</v>
      </c>
      <c r="G235" s="8" t="n">
        <v>32</v>
      </c>
      <c r="H235" s="13" t="n">
        <f aca="false">(E235/1000)*(F235/1000)*(G235/1000)*7850</f>
        <v>436.88704</v>
      </c>
      <c r="I235" s="8" t="n">
        <v>1</v>
      </c>
      <c r="J235" s="14" t="n">
        <f aca="false">H235*I235</f>
        <v>436.88704</v>
      </c>
      <c r="K235" s="8" t="s">
        <v>377</v>
      </c>
    </row>
    <row r="236" s="9" customFormat="true" ht="19.5" hidden="true" customHeight="true" outlineLevel="0" collapsed="false">
      <c r="A236" s="8" t="s">
        <v>340</v>
      </c>
      <c r="B236" s="8" t="s">
        <v>42</v>
      </c>
      <c r="C236" s="8" t="s">
        <v>149</v>
      </c>
      <c r="D236" s="8" t="s">
        <v>40</v>
      </c>
      <c r="E236" s="8" t="n">
        <v>1200</v>
      </c>
      <c r="F236" s="8" t="n">
        <v>1200</v>
      </c>
      <c r="G236" s="8" t="n">
        <v>16</v>
      </c>
      <c r="H236" s="13" t="n">
        <f aca="false">(E236/1000)*(F236/1000)*(G236/1000)*7850</f>
        <v>180.864</v>
      </c>
      <c r="I236" s="8" t="n">
        <v>3</v>
      </c>
      <c r="J236" s="14" t="n">
        <f aca="false">H236*I236</f>
        <v>542.592</v>
      </c>
      <c r="K236" s="8" t="s">
        <v>372</v>
      </c>
    </row>
    <row r="237" s="9" customFormat="true" ht="19.5" hidden="false" customHeight="true" outlineLevel="0" collapsed="false">
      <c r="A237" s="8" t="s">
        <v>340</v>
      </c>
      <c r="B237" s="8" t="s">
        <v>171</v>
      </c>
      <c r="C237" s="8" t="s">
        <v>378</v>
      </c>
      <c r="D237" s="8" t="s">
        <v>40</v>
      </c>
      <c r="E237" s="8" t="n">
        <v>6425</v>
      </c>
      <c r="F237" s="8" t="n">
        <v>1200</v>
      </c>
      <c r="G237" s="8" t="n">
        <v>36</v>
      </c>
      <c r="H237" s="13" t="n">
        <f aca="false">(E237/1000)*(F237/1000)*(G237/1000)*7850</f>
        <v>2178.846</v>
      </c>
      <c r="I237" s="8" t="n">
        <v>1</v>
      </c>
      <c r="J237" s="14" t="n">
        <f aca="false">H237*I237</f>
        <v>2178.846</v>
      </c>
      <c r="K237" s="8" t="s">
        <v>379</v>
      </c>
    </row>
    <row r="238" s="9" customFormat="true" ht="19.5" hidden="true" customHeight="true" outlineLevel="0" collapsed="false">
      <c r="A238" s="8" t="s">
        <v>340</v>
      </c>
      <c r="B238" s="8" t="s">
        <v>42</v>
      </c>
      <c r="C238" s="8" t="s">
        <v>380</v>
      </c>
      <c r="D238" s="8" t="s">
        <v>40</v>
      </c>
      <c r="E238" s="8" t="n">
        <v>6025</v>
      </c>
      <c r="F238" s="8" t="n">
        <v>1200</v>
      </c>
      <c r="G238" s="8" t="n">
        <v>36</v>
      </c>
      <c r="H238" s="13" t="n">
        <f aca="false">(E238/1000)*(F238/1000)*(G238/1000)*7850</f>
        <v>2043.198</v>
      </c>
      <c r="I238" s="8" t="n">
        <v>1</v>
      </c>
      <c r="J238" s="14" t="n">
        <f aca="false">H238*I238</f>
        <v>2043.198</v>
      </c>
      <c r="K238" s="8" t="s">
        <v>381</v>
      </c>
    </row>
    <row r="239" s="9" customFormat="true" ht="19.5" hidden="true" customHeight="true" outlineLevel="0" collapsed="false">
      <c r="A239" s="8" t="s">
        <v>340</v>
      </c>
      <c r="B239" s="8" t="s">
        <v>42</v>
      </c>
      <c r="C239" s="8" t="s">
        <v>155</v>
      </c>
      <c r="D239" s="8" t="s">
        <v>40</v>
      </c>
      <c r="E239" s="8" t="n">
        <v>4225</v>
      </c>
      <c r="F239" s="8" t="n">
        <v>1360</v>
      </c>
      <c r="G239" s="8" t="n">
        <v>36</v>
      </c>
      <c r="H239" s="13" t="n">
        <f aca="false">(E239/1000)*(F239/1000)*(G239/1000)*7850</f>
        <v>1623.8196</v>
      </c>
      <c r="I239" s="8" t="n">
        <v>2</v>
      </c>
      <c r="J239" s="14" t="n">
        <f aca="false">H239*I239</f>
        <v>3247.6392</v>
      </c>
      <c r="K239" s="8" t="s">
        <v>382</v>
      </c>
    </row>
    <row r="240" s="9" customFormat="true" ht="19.5" hidden="true" customHeight="true" outlineLevel="0" collapsed="false">
      <c r="A240" s="8" t="s">
        <v>340</v>
      </c>
      <c r="B240" s="8" t="s">
        <v>42</v>
      </c>
      <c r="C240" s="8" t="s">
        <v>160</v>
      </c>
      <c r="D240" s="8" t="s">
        <v>40</v>
      </c>
      <c r="E240" s="8" t="n">
        <v>4225</v>
      </c>
      <c r="F240" s="8" t="n">
        <v>320</v>
      </c>
      <c r="G240" s="8" t="n">
        <v>32</v>
      </c>
      <c r="H240" s="13" t="n">
        <f aca="false">(E240/1000)*(F240/1000)*(G240/1000)*7850</f>
        <v>339.6224</v>
      </c>
      <c r="I240" s="8" t="n">
        <v>2</v>
      </c>
      <c r="J240" s="14" t="n">
        <f aca="false">H240*I240</f>
        <v>679.2448</v>
      </c>
      <c r="K240" s="8" t="s">
        <v>383</v>
      </c>
    </row>
    <row r="241" s="9" customFormat="true" ht="19.5" hidden="true" customHeight="true" outlineLevel="0" collapsed="false">
      <c r="A241" s="8" t="s">
        <v>340</v>
      </c>
      <c r="B241" s="8" t="s">
        <v>42</v>
      </c>
      <c r="C241" s="8" t="s">
        <v>163</v>
      </c>
      <c r="D241" s="8" t="s">
        <v>40</v>
      </c>
      <c r="E241" s="8" t="n">
        <v>5725</v>
      </c>
      <c r="F241" s="8" t="n">
        <v>320</v>
      </c>
      <c r="G241" s="8" t="n">
        <v>32</v>
      </c>
      <c r="H241" s="13" t="n">
        <f aca="false">(E241/1000)*(F241/1000)*(G241/1000)*7850</f>
        <v>460.1984</v>
      </c>
      <c r="I241" s="8" t="n">
        <v>1</v>
      </c>
      <c r="J241" s="14" t="n">
        <f aca="false">H241*I241</f>
        <v>460.1984</v>
      </c>
      <c r="K241" s="8" t="s">
        <v>384</v>
      </c>
    </row>
    <row r="242" s="9" customFormat="true" ht="19.5" hidden="true" customHeight="true" outlineLevel="0" collapsed="false">
      <c r="A242" s="8" t="s">
        <v>340</v>
      </c>
      <c r="B242" s="8" t="s">
        <v>42</v>
      </c>
      <c r="C242" s="8" t="s">
        <v>165</v>
      </c>
      <c r="D242" s="8" t="s">
        <v>40</v>
      </c>
      <c r="E242" s="8" t="n">
        <v>5325</v>
      </c>
      <c r="F242" s="8" t="n">
        <v>320</v>
      </c>
      <c r="G242" s="8" t="n">
        <v>32</v>
      </c>
      <c r="H242" s="13" t="n">
        <f aca="false">(E242/1000)*(F242/1000)*(G242/1000)*7850</f>
        <v>428.0448</v>
      </c>
      <c r="I242" s="8" t="n">
        <v>1</v>
      </c>
      <c r="J242" s="14" t="n">
        <f aca="false">H242*I242</f>
        <v>428.0448</v>
      </c>
      <c r="K242" s="8" t="s">
        <v>385</v>
      </c>
    </row>
    <row r="243" s="9" customFormat="true" ht="19.5" hidden="true" customHeight="true" outlineLevel="0" collapsed="false">
      <c r="A243" s="8" t="s">
        <v>340</v>
      </c>
      <c r="B243" s="8" t="s">
        <v>42</v>
      </c>
      <c r="C243" s="8" t="s">
        <v>158</v>
      </c>
      <c r="D243" s="8" t="s">
        <v>40</v>
      </c>
      <c r="E243" s="8" t="n">
        <v>1200</v>
      </c>
      <c r="F243" s="8" t="n">
        <v>1200</v>
      </c>
      <c r="G243" s="8" t="n">
        <v>16</v>
      </c>
      <c r="H243" s="13" t="n">
        <f aca="false">(E243/1000)*(F243/1000)*(G243/1000)*7850</f>
        <v>180.864</v>
      </c>
      <c r="I243" s="8" t="n">
        <v>3</v>
      </c>
      <c r="J243" s="14" t="n">
        <f aca="false">H243*I243</f>
        <v>542.592</v>
      </c>
      <c r="K243" s="8" t="s">
        <v>372</v>
      </c>
    </row>
    <row r="244" s="9" customFormat="true" ht="19.5" hidden="true" customHeight="true" outlineLevel="0" collapsed="false">
      <c r="A244" s="8" t="s">
        <v>340</v>
      </c>
      <c r="B244" s="8" t="s">
        <v>42</v>
      </c>
      <c r="C244" s="8" t="s">
        <v>386</v>
      </c>
      <c r="D244" s="8" t="s">
        <v>40</v>
      </c>
      <c r="E244" s="8" t="n">
        <v>2300</v>
      </c>
      <c r="F244" s="8" t="n">
        <v>320</v>
      </c>
      <c r="G244" s="8" t="n">
        <v>32</v>
      </c>
      <c r="H244" s="13" t="n">
        <f aca="false">(E244/1000)*(F244/1000)*(G244/1000)*7850</f>
        <v>184.8832</v>
      </c>
      <c r="I244" s="8" t="n">
        <v>4</v>
      </c>
      <c r="J244" s="14" t="n">
        <f aca="false">H244*I244</f>
        <v>739.5328</v>
      </c>
      <c r="K244" s="8" t="s">
        <v>387</v>
      </c>
    </row>
    <row r="245" s="9" customFormat="true" ht="19.5" hidden="false" customHeight="true" outlineLevel="0" collapsed="false">
      <c r="A245" s="8" t="s">
        <v>340</v>
      </c>
      <c r="B245" s="8" t="s">
        <v>42</v>
      </c>
      <c r="C245" s="8" t="s">
        <v>388</v>
      </c>
      <c r="D245" s="8" t="s">
        <v>40</v>
      </c>
      <c r="E245" s="8" t="n">
        <v>2200</v>
      </c>
      <c r="F245" s="8" t="n">
        <v>320</v>
      </c>
      <c r="G245" s="8" t="n">
        <v>32</v>
      </c>
      <c r="H245" s="13" t="n">
        <f aca="false">(E245/1000)*(F245/1000)*(G245/1000)*7850</f>
        <v>176.8448</v>
      </c>
      <c r="I245" s="8" t="n">
        <v>4</v>
      </c>
      <c r="J245" s="14" t="n">
        <f aca="false">H245*I245</f>
        <v>707.3792</v>
      </c>
      <c r="K245" s="8" t="s">
        <v>389</v>
      </c>
    </row>
    <row r="246" s="9" customFormat="true" ht="19.5" hidden="true" customHeight="true" outlineLevel="0" collapsed="false">
      <c r="A246" s="8" t="s">
        <v>340</v>
      </c>
      <c r="B246" s="8" t="s">
        <v>64</v>
      </c>
      <c r="C246" s="8" t="s">
        <v>390</v>
      </c>
      <c r="D246" s="8" t="s">
        <v>40</v>
      </c>
      <c r="E246" s="8" t="n">
        <v>1960</v>
      </c>
      <c r="F246" s="8" t="n">
        <v>602</v>
      </c>
      <c r="G246" s="8" t="n">
        <v>14</v>
      </c>
      <c r="H246" s="13" t="n">
        <f aca="false">(E246/1000)*(F246/1000)*(G246/1000)*7850</f>
        <v>129.673208</v>
      </c>
      <c r="I246" s="8" t="n">
        <v>6</v>
      </c>
      <c r="J246" s="14" t="n">
        <f aca="false">H246*I246</f>
        <v>778.039248</v>
      </c>
      <c r="K246" s="8" t="s">
        <v>391</v>
      </c>
    </row>
    <row r="247" s="9" customFormat="true" ht="19.5" hidden="false" customHeight="true" outlineLevel="0" collapsed="false">
      <c r="A247" s="8" t="s">
        <v>340</v>
      </c>
      <c r="B247" s="8" t="s">
        <v>42</v>
      </c>
      <c r="C247" s="8" t="s">
        <v>334</v>
      </c>
      <c r="D247" s="8" t="s">
        <v>40</v>
      </c>
      <c r="E247" s="8" t="n">
        <v>1976</v>
      </c>
      <c r="F247" s="8" t="n">
        <v>618</v>
      </c>
      <c r="G247" s="8" t="n">
        <v>14</v>
      </c>
      <c r="H247" s="13" t="n">
        <f aca="false">(E247/1000)*(F247/1000)*(G247/1000)*7850</f>
        <v>134.2063632</v>
      </c>
      <c r="I247" s="8" t="n">
        <v>4</v>
      </c>
      <c r="J247" s="14" t="n">
        <f aca="false">H247*I247</f>
        <v>536.8254528</v>
      </c>
      <c r="K247" s="8" t="s">
        <v>392</v>
      </c>
      <c r="L247" s="8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8"/>
    </row>
    <row r="248" s="9" customFormat="true" ht="19.5" hidden="false" customHeight="true" outlineLevel="0" collapsed="false">
      <c r="A248" s="8" t="s">
        <v>340</v>
      </c>
      <c r="B248" s="8" t="s">
        <v>42</v>
      </c>
      <c r="C248" s="8" t="s">
        <v>169</v>
      </c>
      <c r="D248" s="8" t="s">
        <v>40</v>
      </c>
      <c r="E248" s="8"/>
      <c r="F248" s="8"/>
      <c r="G248" s="8" t="n">
        <v>24</v>
      </c>
      <c r="H248" s="13" t="n">
        <f aca="false">M248*(G248/1000)*7850</f>
        <v>88.548</v>
      </c>
      <c r="I248" s="8" t="n">
        <v>6</v>
      </c>
      <c r="J248" s="14" t="n">
        <f aca="false">H248*I248</f>
        <v>531.288</v>
      </c>
      <c r="K248" s="8" t="s">
        <v>393</v>
      </c>
      <c r="M248" s="15" t="n">
        <v>0.47</v>
      </c>
    </row>
    <row r="249" s="9" customFormat="true" ht="19.5" hidden="true" customHeight="true" outlineLevel="0" collapsed="false">
      <c r="A249" s="8" t="s">
        <v>340</v>
      </c>
      <c r="B249" s="8" t="s">
        <v>42</v>
      </c>
      <c r="C249" s="8" t="s">
        <v>236</v>
      </c>
      <c r="D249" s="8" t="s">
        <v>40</v>
      </c>
      <c r="E249" s="8"/>
      <c r="F249" s="8"/>
      <c r="G249" s="8" t="n">
        <v>24</v>
      </c>
      <c r="H249" s="13" t="n">
        <f aca="false">M249*(G249/1000)*7850</f>
        <v>90.432</v>
      </c>
      <c r="I249" s="8" t="n">
        <v>4</v>
      </c>
      <c r="J249" s="14" t="n">
        <f aca="false">H249*I249</f>
        <v>361.728</v>
      </c>
      <c r="K249" s="8" t="s">
        <v>394</v>
      </c>
      <c r="M249" s="15" t="n">
        <v>0.48</v>
      </c>
    </row>
    <row r="250" s="9" customFormat="true" ht="19.5" hidden="true" customHeight="true" outlineLevel="0" collapsed="false">
      <c r="A250" s="8" t="s">
        <v>340</v>
      </c>
      <c r="B250" s="8" t="s">
        <v>42</v>
      </c>
      <c r="C250" s="8" t="s">
        <v>172</v>
      </c>
      <c r="D250" s="8" t="s">
        <v>40</v>
      </c>
      <c r="E250" s="8" t="n">
        <v>1800</v>
      </c>
      <c r="F250" s="8" t="n">
        <v>610</v>
      </c>
      <c r="G250" s="8" t="n">
        <v>14</v>
      </c>
      <c r="H250" s="13" t="n">
        <f aca="false">(E250/1000)*(F250/1000)*(G250/1000)*7850</f>
        <v>120.6702</v>
      </c>
      <c r="I250" s="8" t="n">
        <v>6</v>
      </c>
      <c r="J250" s="14" t="n">
        <f aca="false">H250*I250</f>
        <v>724.0212</v>
      </c>
      <c r="K250" s="8" t="s">
        <v>395</v>
      </c>
    </row>
    <row r="251" s="9" customFormat="true" ht="19.5" hidden="true" customHeight="true" outlineLevel="0" collapsed="false">
      <c r="A251" s="8" t="s">
        <v>340</v>
      </c>
      <c r="B251" s="8" t="s">
        <v>42</v>
      </c>
      <c r="C251" s="8" t="s">
        <v>239</v>
      </c>
      <c r="D251" s="8" t="s">
        <v>40</v>
      </c>
      <c r="E251" s="8" t="n">
        <v>1800</v>
      </c>
      <c r="F251" s="8" t="n">
        <v>618</v>
      </c>
      <c r="G251" s="8" t="n">
        <v>14</v>
      </c>
      <c r="H251" s="13" t="n">
        <f aca="false">(E251/1000)*(F251/1000)*(G251/1000)*7850</f>
        <v>122.25276</v>
      </c>
      <c r="I251" s="8" t="n">
        <v>4</v>
      </c>
      <c r="J251" s="14" t="n">
        <f aca="false">H251*I251</f>
        <v>489.01104</v>
      </c>
      <c r="K251" s="8" t="s">
        <v>396</v>
      </c>
    </row>
    <row r="252" s="9" customFormat="true" ht="19.5" hidden="true" customHeight="true" outlineLevel="0" collapsed="false">
      <c r="A252" s="8" t="s">
        <v>397</v>
      </c>
      <c r="B252" s="8" t="s">
        <v>38</v>
      </c>
      <c r="C252" s="8" t="s">
        <v>179</v>
      </c>
      <c r="D252" s="8" t="s">
        <v>341</v>
      </c>
      <c r="E252" s="8"/>
      <c r="F252" s="8"/>
      <c r="G252" s="8" t="n">
        <v>40</v>
      </c>
      <c r="H252" s="13" t="n">
        <f aca="false">M252*(G252/1000)*7850</f>
        <v>4801.06</v>
      </c>
      <c r="I252" s="8" t="n">
        <v>1</v>
      </c>
      <c r="J252" s="14" t="n">
        <f aca="false">H252*I252</f>
        <v>4801.06</v>
      </c>
      <c r="K252" s="8" t="s">
        <v>398</v>
      </c>
      <c r="M252" s="15" t="n">
        <v>15.29</v>
      </c>
    </row>
    <row r="253" s="9" customFormat="true" ht="19.5" hidden="true" customHeight="true" outlineLevel="0" collapsed="false">
      <c r="A253" s="8" t="s">
        <v>397</v>
      </c>
      <c r="B253" s="8" t="s">
        <v>42</v>
      </c>
      <c r="C253" s="8" t="s">
        <v>243</v>
      </c>
      <c r="D253" s="8" t="s">
        <v>341</v>
      </c>
      <c r="E253" s="8"/>
      <c r="F253" s="8"/>
      <c r="G253" s="8" t="n">
        <v>40</v>
      </c>
      <c r="H253" s="13" t="n">
        <f aca="false">M253*(G253/1000)*7850</f>
        <v>4311.22</v>
      </c>
      <c r="I253" s="8" t="n">
        <v>1</v>
      </c>
      <c r="J253" s="14" t="n">
        <f aca="false">H253*I253</f>
        <v>4311.22</v>
      </c>
      <c r="K253" s="8" t="s">
        <v>399</v>
      </c>
      <c r="M253" s="15" t="n">
        <v>13.73</v>
      </c>
    </row>
    <row r="254" s="9" customFormat="true" ht="19.5" hidden="true" customHeight="true" outlineLevel="0" collapsed="false">
      <c r="A254" s="8" t="s">
        <v>397</v>
      </c>
      <c r="B254" s="8" t="s">
        <v>45</v>
      </c>
      <c r="C254" s="8" t="s">
        <v>292</v>
      </c>
      <c r="D254" s="8" t="s">
        <v>341</v>
      </c>
      <c r="E254" s="8" t="n">
        <v>7901</v>
      </c>
      <c r="F254" s="8" t="n">
        <v>1200</v>
      </c>
      <c r="G254" s="8" t="n">
        <v>40</v>
      </c>
      <c r="H254" s="13" t="n">
        <f aca="false">(E254/1000)*(F254/1000)*(G254/1000)*7850</f>
        <v>2977.0968</v>
      </c>
      <c r="I254" s="8" t="n">
        <v>1</v>
      </c>
      <c r="J254" s="14" t="n">
        <f aca="false">H254*I254</f>
        <v>2977.0968</v>
      </c>
      <c r="K254" s="8" t="s">
        <v>400</v>
      </c>
    </row>
    <row r="255" s="9" customFormat="true" ht="19.5" hidden="true" customHeight="true" outlineLevel="0" collapsed="false">
      <c r="A255" s="8" t="s">
        <v>397</v>
      </c>
      <c r="B255" s="8" t="s">
        <v>42</v>
      </c>
      <c r="C255" s="8" t="s">
        <v>185</v>
      </c>
      <c r="D255" s="8" t="s">
        <v>341</v>
      </c>
      <c r="E255" s="8" t="n">
        <v>7101</v>
      </c>
      <c r="F255" s="8" t="n">
        <v>1200</v>
      </c>
      <c r="G255" s="8" t="n">
        <v>40</v>
      </c>
      <c r="H255" s="13" t="n">
        <f aca="false">(E255/1000)*(F255/1000)*(G255/1000)*7850</f>
        <v>2675.6568</v>
      </c>
      <c r="I255" s="8" t="n">
        <v>1</v>
      </c>
      <c r="J255" s="14" t="n">
        <f aca="false">H255*I255</f>
        <v>2675.6568</v>
      </c>
      <c r="K255" s="8" t="s">
        <v>401</v>
      </c>
    </row>
    <row r="256" s="9" customFormat="true" ht="19.5" hidden="true" customHeight="true" outlineLevel="0" collapsed="false">
      <c r="A256" s="8" t="s">
        <v>397</v>
      </c>
      <c r="B256" s="8" t="s">
        <v>187</v>
      </c>
      <c r="C256" s="8" t="s">
        <v>188</v>
      </c>
      <c r="D256" s="8" t="s">
        <v>341</v>
      </c>
      <c r="E256" s="8"/>
      <c r="F256" s="8"/>
      <c r="G256" s="8" t="n">
        <v>48</v>
      </c>
      <c r="H256" s="13" t="n">
        <f aca="false">M256*(G256/1000)*7850</f>
        <v>9608.4</v>
      </c>
      <c r="I256" s="8" t="n">
        <v>2</v>
      </c>
      <c r="J256" s="14" t="n">
        <f aca="false">H256*I256</f>
        <v>19216.8</v>
      </c>
      <c r="K256" s="8" t="s">
        <v>402</v>
      </c>
      <c r="M256" s="15" t="n">
        <v>25.5</v>
      </c>
    </row>
    <row r="257" s="9" customFormat="true" ht="19.5" hidden="true" customHeight="true" outlineLevel="0" collapsed="false">
      <c r="A257" s="8" t="s">
        <v>397</v>
      </c>
      <c r="B257" s="8" t="s">
        <v>190</v>
      </c>
      <c r="C257" s="8" t="s">
        <v>50</v>
      </c>
      <c r="D257" s="8" t="s">
        <v>341</v>
      </c>
      <c r="E257" s="8" t="n">
        <v>7301</v>
      </c>
      <c r="F257" s="8" t="n">
        <v>2048</v>
      </c>
      <c r="G257" s="8" t="n">
        <v>48</v>
      </c>
      <c r="H257" s="13" t="n">
        <f aca="false">(E257/1000)*(F257/1000)*(G257/1000)*7850</f>
        <v>5634.0824064</v>
      </c>
      <c r="I257" s="8" t="n">
        <v>2</v>
      </c>
      <c r="J257" s="14" t="n">
        <f aca="false">H257*I257</f>
        <v>11268.1648128</v>
      </c>
      <c r="K257" s="8" t="s">
        <v>403</v>
      </c>
    </row>
    <row r="258" s="9" customFormat="true" ht="19.5" hidden="true" customHeight="true" outlineLevel="0" collapsed="false">
      <c r="A258" s="8" t="s">
        <v>397</v>
      </c>
      <c r="B258" s="8" t="s">
        <v>195</v>
      </c>
      <c r="C258" s="8" t="s">
        <v>58</v>
      </c>
      <c r="D258" s="8" t="s">
        <v>341</v>
      </c>
      <c r="E258" s="8" t="n">
        <v>1960</v>
      </c>
      <c r="F258" s="8" t="n">
        <v>1200</v>
      </c>
      <c r="G258" s="8" t="n">
        <v>16</v>
      </c>
      <c r="H258" s="13" t="n">
        <f aca="false">(E258/1000)*(F258/1000)*(G258/1000)*7850</f>
        <v>295.4112</v>
      </c>
      <c r="I258" s="8" t="n">
        <v>3</v>
      </c>
      <c r="J258" s="14" t="n">
        <f aca="false">H258*I258</f>
        <v>886.2336</v>
      </c>
      <c r="K258" s="8" t="s">
        <v>404</v>
      </c>
    </row>
    <row r="259" s="9" customFormat="true" ht="19.5" hidden="false" customHeight="true" outlineLevel="0" collapsed="false">
      <c r="A259" s="8" t="s">
        <v>397</v>
      </c>
      <c r="B259" s="8" t="s">
        <v>42</v>
      </c>
      <c r="C259" s="8" t="s">
        <v>298</v>
      </c>
      <c r="D259" s="8" t="s">
        <v>341</v>
      </c>
      <c r="E259" s="8" t="n">
        <v>1960</v>
      </c>
      <c r="F259" s="8" t="n">
        <v>1200</v>
      </c>
      <c r="G259" s="8" t="n">
        <v>16</v>
      </c>
      <c r="H259" s="13" t="n">
        <f aca="false">(E259/1000)*(F259/1000)*(G259/1000)*7850</f>
        <v>295.4112</v>
      </c>
      <c r="I259" s="8" t="n">
        <v>2</v>
      </c>
      <c r="J259" s="14" t="n">
        <f aca="false">H259*I259</f>
        <v>590.8224</v>
      </c>
      <c r="K259" s="8" t="s">
        <v>404</v>
      </c>
    </row>
    <row r="260" s="9" customFormat="true" ht="19.5" hidden="false" customHeight="true" outlineLevel="0" collapsed="false">
      <c r="A260" s="8" t="s">
        <v>397</v>
      </c>
      <c r="B260" s="8" t="s">
        <v>42</v>
      </c>
      <c r="C260" s="8" t="s">
        <v>196</v>
      </c>
      <c r="D260" s="8" t="s">
        <v>341</v>
      </c>
      <c r="E260" s="8" t="n">
        <v>2057</v>
      </c>
      <c r="F260" s="8" t="n">
        <v>200</v>
      </c>
      <c r="G260" s="8" t="n">
        <v>16</v>
      </c>
      <c r="H260" s="13" t="n">
        <f aca="false">(E260/1000)*(F260/1000)*(G260/1000)*7850</f>
        <v>51.67184</v>
      </c>
      <c r="I260" s="8" t="n">
        <v>3</v>
      </c>
      <c r="J260" s="14" t="n">
        <f aca="false">H260*I260</f>
        <v>155.01552</v>
      </c>
      <c r="K260" s="8" t="s">
        <v>405</v>
      </c>
    </row>
    <row r="261" s="9" customFormat="true" ht="19.5" hidden="true" customHeight="true" outlineLevel="0" collapsed="false">
      <c r="A261" s="8" t="s">
        <v>397</v>
      </c>
      <c r="B261" s="8" t="s">
        <v>42</v>
      </c>
      <c r="C261" s="8" t="s">
        <v>68</v>
      </c>
      <c r="D261" s="8" t="s">
        <v>341</v>
      </c>
      <c r="E261" s="8" t="n">
        <v>800</v>
      </c>
      <c r="F261" s="8" t="n">
        <v>400</v>
      </c>
      <c r="G261" s="8" t="n">
        <v>16</v>
      </c>
      <c r="H261" s="13" t="n">
        <f aca="false">(E261/1000)*(F261/1000)*(G261/1000)*7850</f>
        <v>40.192</v>
      </c>
      <c r="I261" s="8" t="n">
        <v>4</v>
      </c>
      <c r="J261" s="14" t="n">
        <f aca="false">H261*I261</f>
        <v>160.768</v>
      </c>
      <c r="K261" s="8" t="s">
        <v>406</v>
      </c>
    </row>
    <row r="262" s="9" customFormat="true" ht="19.5" hidden="true" customHeight="true" outlineLevel="0" collapsed="false">
      <c r="A262" s="8" t="s">
        <v>397</v>
      </c>
      <c r="B262" s="8" t="s">
        <v>253</v>
      </c>
      <c r="C262" s="8" t="s">
        <v>199</v>
      </c>
      <c r="D262" s="8" t="s">
        <v>341</v>
      </c>
      <c r="E262" s="8" t="n">
        <v>7901</v>
      </c>
      <c r="F262" s="8" t="n">
        <v>320</v>
      </c>
      <c r="G262" s="8" t="n">
        <v>32</v>
      </c>
      <c r="H262" s="13" t="n">
        <f aca="false">(E262/1000)*(F262/1000)*(G262/1000)*7850</f>
        <v>635.113984</v>
      </c>
      <c r="I262" s="8" t="n">
        <v>6</v>
      </c>
      <c r="J262" s="14" t="n">
        <f aca="false">H262*I262</f>
        <v>3810.683904</v>
      </c>
      <c r="K262" s="8" t="s">
        <v>407</v>
      </c>
    </row>
    <row r="263" s="9" customFormat="true" ht="19.5" hidden="false" customHeight="true" outlineLevel="0" collapsed="false">
      <c r="A263" s="8" t="s">
        <v>397</v>
      </c>
      <c r="B263" s="8" t="s">
        <v>42</v>
      </c>
      <c r="C263" s="8" t="s">
        <v>76</v>
      </c>
      <c r="D263" s="8" t="s">
        <v>341</v>
      </c>
      <c r="E263" s="8" t="n">
        <v>7101</v>
      </c>
      <c r="F263" s="8" t="n">
        <v>320</v>
      </c>
      <c r="G263" s="8" t="n">
        <v>32</v>
      </c>
      <c r="H263" s="13" t="n">
        <f aca="false">(E263/1000)*(F263/1000)*(G263/1000)*7850</f>
        <v>570.806784</v>
      </c>
      <c r="I263" s="8" t="n">
        <v>6</v>
      </c>
      <c r="J263" s="14" t="n">
        <f aca="false">H263*I263</f>
        <v>3424.840704</v>
      </c>
      <c r="K263" s="8" t="s">
        <v>408</v>
      </c>
    </row>
    <row r="264" s="9" customFormat="true" ht="19.5" hidden="true" customHeight="true" outlineLevel="0" collapsed="false">
      <c r="A264" s="8" t="s">
        <v>397</v>
      </c>
      <c r="B264" s="8" t="s">
        <v>256</v>
      </c>
      <c r="C264" s="8" t="s">
        <v>257</v>
      </c>
      <c r="D264" s="8" t="s">
        <v>341</v>
      </c>
      <c r="E264" s="8" t="n">
        <v>7903</v>
      </c>
      <c r="F264" s="8" t="n">
        <v>2500</v>
      </c>
      <c r="G264" s="8" t="n">
        <v>32</v>
      </c>
      <c r="H264" s="13" t="n">
        <f aca="false">(E264/1000)*(F264/1000)*(G264/1000)*7850</f>
        <v>4963.084</v>
      </c>
      <c r="I264" s="8" t="n">
        <v>1</v>
      </c>
      <c r="J264" s="14" t="n">
        <f aca="false">H264*I264</f>
        <v>4963.084</v>
      </c>
      <c r="K264" s="8" t="s">
        <v>409</v>
      </c>
    </row>
    <row r="265" s="9" customFormat="true" ht="19.5" hidden="true" customHeight="true" outlineLevel="0" collapsed="false">
      <c r="A265" s="8" t="s">
        <v>397</v>
      </c>
      <c r="B265" s="8" t="s">
        <v>42</v>
      </c>
      <c r="C265" s="8" t="s">
        <v>305</v>
      </c>
      <c r="D265" s="8" t="s">
        <v>341</v>
      </c>
      <c r="E265" s="8" t="n">
        <v>7102</v>
      </c>
      <c r="F265" s="8" t="n">
        <v>2500</v>
      </c>
      <c r="G265" s="8" t="n">
        <v>32</v>
      </c>
      <c r="H265" s="13" t="n">
        <f aca="false">(E265/1000)*(F265/1000)*(G265/1000)*7850</f>
        <v>4460.056</v>
      </c>
      <c r="I265" s="8" t="n">
        <v>1</v>
      </c>
      <c r="J265" s="14" t="n">
        <f aca="false">H265*I265</f>
        <v>4460.056</v>
      </c>
      <c r="K265" s="8" t="s">
        <v>410</v>
      </c>
    </row>
    <row r="266" s="9" customFormat="true" ht="19.5" hidden="true" customHeight="true" outlineLevel="0" collapsed="false">
      <c r="A266" s="8" t="s">
        <v>397</v>
      </c>
      <c r="B266" s="8" t="s">
        <v>260</v>
      </c>
      <c r="C266" s="8" t="s">
        <v>100</v>
      </c>
      <c r="D266" s="8" t="s">
        <v>341</v>
      </c>
      <c r="E266" s="16"/>
      <c r="F266" s="8"/>
      <c r="G266" s="8" t="n">
        <v>32</v>
      </c>
      <c r="H266" s="13" t="n">
        <f aca="false">M266*(G266/1000)*7850</f>
        <v>3255.552</v>
      </c>
      <c r="I266" s="8" t="n">
        <v>1</v>
      </c>
      <c r="J266" s="14" t="n">
        <f aca="false">H266*I266</f>
        <v>3255.552</v>
      </c>
      <c r="K266" s="8" t="s">
        <v>411</v>
      </c>
      <c r="M266" s="15" t="n">
        <v>12.96</v>
      </c>
    </row>
    <row r="267" s="9" customFormat="true" ht="19.5" hidden="true" customHeight="true" outlineLevel="0" collapsed="false">
      <c r="A267" s="8" t="s">
        <v>397</v>
      </c>
      <c r="B267" s="8" t="s">
        <v>42</v>
      </c>
      <c r="C267" s="8" t="s">
        <v>206</v>
      </c>
      <c r="D267" s="8" t="s">
        <v>341</v>
      </c>
      <c r="E267" s="16"/>
      <c r="F267" s="8"/>
      <c r="G267" s="8" t="n">
        <v>32</v>
      </c>
      <c r="H267" s="13" t="n">
        <f aca="false">M267*(G267/1000)*7850</f>
        <v>2795.856</v>
      </c>
      <c r="I267" s="8" t="n">
        <v>1</v>
      </c>
      <c r="J267" s="14" t="n">
        <f aca="false">H267*I267</f>
        <v>2795.856</v>
      </c>
      <c r="K267" s="8" t="s">
        <v>412</v>
      </c>
      <c r="M267" s="15" t="n">
        <v>11.13</v>
      </c>
    </row>
    <row r="268" s="9" customFormat="true" ht="19.5" hidden="true" customHeight="true" outlineLevel="0" collapsed="false">
      <c r="A268" s="8" t="s">
        <v>397</v>
      </c>
      <c r="B268" s="8" t="s">
        <v>105</v>
      </c>
      <c r="C268" s="8" t="s">
        <v>103</v>
      </c>
      <c r="D268" s="8" t="s">
        <v>341</v>
      </c>
      <c r="E268" s="8"/>
      <c r="F268" s="8"/>
      <c r="G268" s="8" t="n">
        <v>48</v>
      </c>
      <c r="H268" s="13" t="n">
        <f aca="false">M268*(G268/1000)*7850</f>
        <v>8500.608</v>
      </c>
      <c r="I268" s="8" t="n">
        <v>2</v>
      </c>
      <c r="J268" s="14" t="n">
        <f aca="false">H268*I268</f>
        <v>17001.216</v>
      </c>
      <c r="K268" s="8" t="s">
        <v>413</v>
      </c>
      <c r="M268" s="15" t="n">
        <v>22.56</v>
      </c>
    </row>
    <row r="269" s="9" customFormat="true" ht="19.5" hidden="true" customHeight="true" outlineLevel="0" collapsed="false">
      <c r="A269" s="8" t="s">
        <v>397</v>
      </c>
      <c r="B269" s="8" t="s">
        <v>102</v>
      </c>
      <c r="C269" s="8" t="s">
        <v>106</v>
      </c>
      <c r="D269" s="8" t="s">
        <v>341</v>
      </c>
      <c r="E269" s="8" t="n">
        <v>7302</v>
      </c>
      <c r="F269" s="8" t="n">
        <v>1880</v>
      </c>
      <c r="G269" s="8" t="n">
        <v>44</v>
      </c>
      <c r="H269" s="13" t="n">
        <f aca="false">(E269/1000)*(F269/1000)*(G269/1000)*7850</f>
        <v>4741.568304</v>
      </c>
      <c r="I269" s="8" t="n">
        <v>2</v>
      </c>
      <c r="J269" s="14" t="n">
        <f aca="false">H269*I269</f>
        <v>9483.136608</v>
      </c>
      <c r="K269" s="8" t="s">
        <v>414</v>
      </c>
    </row>
    <row r="270" s="9" customFormat="true" ht="19.5" hidden="true" customHeight="true" outlineLevel="0" collapsed="false">
      <c r="A270" s="8" t="s">
        <v>397</v>
      </c>
      <c r="B270" s="8" t="s">
        <v>110</v>
      </c>
      <c r="C270" s="8" t="s">
        <v>108</v>
      </c>
      <c r="D270" s="8" t="s">
        <v>341</v>
      </c>
      <c r="E270" s="8" t="n">
        <v>1800</v>
      </c>
      <c r="F270" s="8" t="n">
        <v>1200</v>
      </c>
      <c r="G270" s="8" t="n">
        <v>16</v>
      </c>
      <c r="H270" s="13" t="n">
        <f aca="false">(E270/1000)*(F270/1000)*(G270/1000)*7850</f>
        <v>271.296</v>
      </c>
      <c r="I270" s="8" t="n">
        <v>3</v>
      </c>
      <c r="J270" s="14" t="n">
        <f aca="false">H270*I270</f>
        <v>813.888</v>
      </c>
      <c r="K270" s="8" t="s">
        <v>415</v>
      </c>
    </row>
    <row r="271" s="9" customFormat="true" ht="19.5" hidden="false" customHeight="true" outlineLevel="0" collapsed="false">
      <c r="A271" s="8" t="s">
        <v>397</v>
      </c>
      <c r="B271" s="8" t="s">
        <v>42</v>
      </c>
      <c r="C271" s="8" t="s">
        <v>112</v>
      </c>
      <c r="D271" s="8" t="s">
        <v>341</v>
      </c>
      <c r="E271" s="8" t="n">
        <v>1800</v>
      </c>
      <c r="F271" s="8" t="n">
        <v>1200</v>
      </c>
      <c r="G271" s="8" t="n">
        <v>16</v>
      </c>
      <c r="H271" s="13" t="n">
        <f aca="false">(E271/1000)*(F271/1000)*(G271/1000)*7850</f>
        <v>271.296</v>
      </c>
      <c r="I271" s="8" t="n">
        <v>2</v>
      </c>
      <c r="J271" s="14" t="n">
        <f aca="false">H271*I271</f>
        <v>542.592</v>
      </c>
      <c r="K271" s="8" t="s">
        <v>415</v>
      </c>
    </row>
    <row r="272" s="9" customFormat="true" ht="19.5" hidden="true" customHeight="true" outlineLevel="0" collapsed="false">
      <c r="A272" s="8" t="s">
        <v>397</v>
      </c>
      <c r="B272" s="8" t="s">
        <v>42</v>
      </c>
      <c r="C272" s="8" t="s">
        <v>108</v>
      </c>
      <c r="D272" s="8" t="s">
        <v>341</v>
      </c>
      <c r="E272" s="8" t="n">
        <v>2057</v>
      </c>
      <c r="F272" s="8" t="n">
        <v>200</v>
      </c>
      <c r="G272" s="8" t="n">
        <v>16</v>
      </c>
      <c r="H272" s="13" t="n">
        <f aca="false">(E272/1000)*(F272/1000)*(G272/1000)*7850</f>
        <v>51.67184</v>
      </c>
      <c r="I272" s="8" t="n">
        <v>3</v>
      </c>
      <c r="J272" s="14" t="n">
        <f aca="false">H272*I272</f>
        <v>155.01552</v>
      </c>
      <c r="K272" s="8" t="s">
        <v>416</v>
      </c>
    </row>
    <row r="273" s="9" customFormat="true" ht="19.5" hidden="false" customHeight="true" outlineLevel="0" collapsed="false">
      <c r="A273" s="8" t="s">
        <v>397</v>
      </c>
      <c r="B273" s="8" t="s">
        <v>268</v>
      </c>
      <c r="C273" s="8" t="s">
        <v>114</v>
      </c>
      <c r="D273" s="8" t="s">
        <v>341</v>
      </c>
      <c r="E273" s="8" t="n">
        <v>7903</v>
      </c>
      <c r="F273" s="8" t="n">
        <v>320</v>
      </c>
      <c r="G273" s="8" t="n">
        <v>32</v>
      </c>
      <c r="H273" s="13" t="n">
        <f aca="false">(E273/1000)*(F273/1000)*(G273/1000)*7850</f>
        <v>635.274752</v>
      </c>
      <c r="I273" s="8" t="n">
        <v>4</v>
      </c>
      <c r="J273" s="14" t="n">
        <f aca="false">H273*I273</f>
        <v>2541.099008</v>
      </c>
      <c r="K273" s="8" t="s">
        <v>417</v>
      </c>
      <c r="L273" s="8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8"/>
    </row>
    <row r="274" s="9" customFormat="true" ht="19.5" hidden="false" customHeight="true" outlineLevel="0" collapsed="false">
      <c r="A274" s="8" t="s">
        <v>397</v>
      </c>
      <c r="B274" s="8" t="s">
        <v>42</v>
      </c>
      <c r="C274" s="8" t="s">
        <v>116</v>
      </c>
      <c r="D274" s="8" t="s">
        <v>341</v>
      </c>
      <c r="E274" s="8" t="n">
        <v>7102</v>
      </c>
      <c r="F274" s="8" t="n">
        <v>320</v>
      </c>
      <c r="G274" s="8" t="n">
        <v>32</v>
      </c>
      <c r="H274" s="13" t="n">
        <f aca="false">(E274/1000)*(F274/1000)*(G274/1000)*7850</f>
        <v>570.887168</v>
      </c>
      <c r="I274" s="8" t="n">
        <v>4</v>
      </c>
      <c r="J274" s="14" t="n">
        <f aca="false">H274*I274</f>
        <v>2283.548672</v>
      </c>
      <c r="K274" s="8" t="s">
        <v>418</v>
      </c>
    </row>
    <row r="275" s="9" customFormat="true" ht="19.5" hidden="true" customHeight="true" outlineLevel="0" collapsed="false">
      <c r="A275" s="8" t="s">
        <v>397</v>
      </c>
      <c r="B275" s="8" t="s">
        <v>42</v>
      </c>
      <c r="C275" s="8" t="s">
        <v>118</v>
      </c>
      <c r="D275" s="8" t="s">
        <v>341</v>
      </c>
      <c r="E275" s="8" t="n">
        <v>15005</v>
      </c>
      <c r="F275" s="8" t="n">
        <v>170</v>
      </c>
      <c r="G275" s="8" t="n">
        <v>14</v>
      </c>
      <c r="H275" s="13" t="n">
        <f aca="false">(E275/1000)*(F275/1000)*(G275/1000)*7850</f>
        <v>280.338415</v>
      </c>
      <c r="I275" s="8" t="n">
        <v>2</v>
      </c>
      <c r="J275" s="14" t="n">
        <f aca="false">H275*I275</f>
        <v>560.67683</v>
      </c>
      <c r="K275" s="8" t="s">
        <v>419</v>
      </c>
    </row>
    <row r="276" s="9" customFormat="true" ht="19.5" hidden="true" customHeight="true" outlineLevel="0" collapsed="false">
      <c r="A276" s="8" t="s">
        <v>397</v>
      </c>
      <c r="B276" s="8" t="s">
        <v>272</v>
      </c>
      <c r="C276" s="8" t="s">
        <v>125</v>
      </c>
      <c r="D276" s="8" t="s">
        <v>40</v>
      </c>
      <c r="E276" s="8" t="n">
        <v>12189</v>
      </c>
      <c r="F276" s="8" t="n">
        <v>1200</v>
      </c>
      <c r="G276" s="8" t="n">
        <v>36</v>
      </c>
      <c r="H276" s="13" t="n">
        <f aca="false">(E276/1000)*(F276/1000)*(G276/1000)*7850</f>
        <v>4133.53368</v>
      </c>
      <c r="I276" s="8" t="n">
        <v>1</v>
      </c>
      <c r="J276" s="14" t="n">
        <f aca="false">H276*I276</f>
        <v>4133.53368</v>
      </c>
      <c r="K276" s="8" t="s">
        <v>420</v>
      </c>
    </row>
    <row r="277" s="9" customFormat="true" ht="19.5" hidden="true" customHeight="true" outlineLevel="0" collapsed="false">
      <c r="A277" s="8" t="s">
        <v>397</v>
      </c>
      <c r="B277" s="8" t="s">
        <v>42</v>
      </c>
      <c r="C277" s="8" t="s">
        <v>127</v>
      </c>
      <c r="D277" s="8" t="s">
        <v>40</v>
      </c>
      <c r="E277" s="8" t="n">
        <v>12189</v>
      </c>
      <c r="F277" s="8" t="n">
        <v>1200</v>
      </c>
      <c r="G277" s="8" t="n">
        <v>36</v>
      </c>
      <c r="H277" s="13" t="n">
        <f aca="false">(E277/1000)*(F277/1000)*(G277/1000)*7850</f>
        <v>4133.53368</v>
      </c>
      <c r="I277" s="8" t="n">
        <v>1</v>
      </c>
      <c r="J277" s="14" t="n">
        <f aca="false">H277*I277</f>
        <v>4133.53368</v>
      </c>
      <c r="K277" s="8" t="s">
        <v>420</v>
      </c>
    </row>
    <row r="278" s="9" customFormat="true" ht="19.5" hidden="true" customHeight="true" outlineLevel="0" collapsed="false">
      <c r="A278" s="8" t="s">
        <v>397</v>
      </c>
      <c r="B278" s="8" t="s">
        <v>42</v>
      </c>
      <c r="C278" s="8" t="s">
        <v>128</v>
      </c>
      <c r="D278" s="8" t="s">
        <v>40</v>
      </c>
      <c r="E278" s="8" t="n">
        <v>8389</v>
      </c>
      <c r="F278" s="8" t="n">
        <v>1360</v>
      </c>
      <c r="G278" s="8" t="n">
        <v>36</v>
      </c>
      <c r="H278" s="13" t="n">
        <f aca="false">(E278/1000)*(F278/1000)*(G278/1000)*7850</f>
        <v>3224.194704</v>
      </c>
      <c r="I278" s="8" t="n">
        <v>2</v>
      </c>
      <c r="J278" s="14" t="n">
        <f aca="false">H278*I278</f>
        <v>6448.389408</v>
      </c>
      <c r="K278" s="8" t="s">
        <v>421</v>
      </c>
    </row>
    <row r="279" s="9" customFormat="true" ht="19.5" hidden="true" customHeight="true" outlineLevel="0" collapsed="false">
      <c r="A279" s="8" t="s">
        <v>397</v>
      </c>
      <c r="B279" s="8" t="s">
        <v>42</v>
      </c>
      <c r="C279" s="8" t="s">
        <v>130</v>
      </c>
      <c r="D279" s="8" t="s">
        <v>40</v>
      </c>
      <c r="E279" s="8" t="n">
        <v>8389</v>
      </c>
      <c r="F279" s="8" t="n">
        <v>320</v>
      </c>
      <c r="G279" s="8" t="n">
        <v>32</v>
      </c>
      <c r="H279" s="13" t="n">
        <f aca="false">(E279/1000)*(F279/1000)*(G279/1000)*7850</f>
        <v>674.341376</v>
      </c>
      <c r="I279" s="8" t="n">
        <v>2</v>
      </c>
      <c r="J279" s="14" t="n">
        <f aca="false">H279*I279</f>
        <v>1348.682752</v>
      </c>
      <c r="K279" s="8" t="s">
        <v>422</v>
      </c>
    </row>
    <row r="280" s="9" customFormat="true" ht="19.5" hidden="true" customHeight="true" outlineLevel="0" collapsed="false">
      <c r="A280" s="8" t="s">
        <v>397</v>
      </c>
      <c r="B280" s="8" t="s">
        <v>42</v>
      </c>
      <c r="C280" s="8" t="s">
        <v>132</v>
      </c>
      <c r="D280" s="8" t="s">
        <v>40</v>
      </c>
      <c r="E280" s="8" t="n">
        <v>10789</v>
      </c>
      <c r="F280" s="8" t="n">
        <v>320</v>
      </c>
      <c r="G280" s="8" t="n">
        <v>32</v>
      </c>
      <c r="H280" s="13" t="n">
        <f aca="false">(E280/1000)*(F280/1000)*(G280/1000)*7850</f>
        <v>867.262976</v>
      </c>
      <c r="I280" s="8" t="n">
        <v>1</v>
      </c>
      <c r="J280" s="14" t="n">
        <f aca="false">H280*I280</f>
        <v>867.262976</v>
      </c>
      <c r="K280" s="8" t="s">
        <v>423</v>
      </c>
    </row>
    <row r="281" s="9" customFormat="true" ht="19.5" hidden="true" customHeight="true" outlineLevel="0" collapsed="false">
      <c r="A281" s="8" t="s">
        <v>397</v>
      </c>
      <c r="B281" s="8" t="s">
        <v>42</v>
      </c>
      <c r="C281" s="8" t="s">
        <v>134</v>
      </c>
      <c r="D281" s="8" t="s">
        <v>40</v>
      </c>
      <c r="E281" s="8" t="n">
        <v>10789</v>
      </c>
      <c r="F281" s="8" t="n">
        <v>320</v>
      </c>
      <c r="G281" s="8" t="n">
        <v>32</v>
      </c>
      <c r="H281" s="13" t="n">
        <f aca="false">(E281/1000)*(F281/1000)*(G281/1000)*7850</f>
        <v>867.262976</v>
      </c>
      <c r="I281" s="8" t="n">
        <v>1</v>
      </c>
      <c r="J281" s="14" t="n">
        <f aca="false">H281*I281</f>
        <v>867.262976</v>
      </c>
      <c r="K281" s="8" t="s">
        <v>423</v>
      </c>
    </row>
    <row r="282" s="9" customFormat="true" ht="19.5" hidden="true" customHeight="true" outlineLevel="0" collapsed="false">
      <c r="A282" s="8" t="s">
        <v>397</v>
      </c>
      <c r="B282" s="8" t="s">
        <v>42</v>
      </c>
      <c r="C282" s="8" t="s">
        <v>135</v>
      </c>
      <c r="D282" s="8" t="s">
        <v>40</v>
      </c>
      <c r="E282" s="8" t="n">
        <v>1200</v>
      </c>
      <c r="F282" s="8" t="n">
        <v>1200</v>
      </c>
      <c r="G282" s="8" t="n">
        <v>16</v>
      </c>
      <c r="H282" s="13" t="n">
        <f aca="false">(E282/1000)*(F282/1000)*(G282/1000)*7850</f>
        <v>180.864</v>
      </c>
      <c r="I282" s="8" t="n">
        <v>3</v>
      </c>
      <c r="J282" s="14" t="n">
        <f aca="false">H282*I282</f>
        <v>542.592</v>
      </c>
      <c r="K282" s="8" t="s">
        <v>424</v>
      </c>
    </row>
    <row r="283" s="9" customFormat="true" ht="19.5" hidden="true" customHeight="true" outlineLevel="0" collapsed="false">
      <c r="A283" s="8" t="s">
        <v>397</v>
      </c>
      <c r="B283" s="8" t="s">
        <v>42</v>
      </c>
      <c r="C283" s="8" t="s">
        <v>137</v>
      </c>
      <c r="D283" s="8" t="s">
        <v>40</v>
      </c>
      <c r="E283" s="8" t="n">
        <v>5843</v>
      </c>
      <c r="F283" s="8" t="n">
        <v>1200</v>
      </c>
      <c r="G283" s="8" t="n">
        <v>40</v>
      </c>
      <c r="H283" s="13" t="n">
        <f aca="false">(E283/1000)*(F283/1000)*(G283/1000)*7850</f>
        <v>2201.6424</v>
      </c>
      <c r="I283" s="8" t="n">
        <v>1</v>
      </c>
      <c r="J283" s="14" t="n">
        <f aca="false">H283*I283</f>
        <v>2201.6424</v>
      </c>
      <c r="K283" s="8" t="s">
        <v>425</v>
      </c>
    </row>
    <row r="284" s="9" customFormat="true" ht="19.5" hidden="true" customHeight="true" outlineLevel="0" collapsed="false">
      <c r="A284" s="8" t="s">
        <v>397</v>
      </c>
      <c r="B284" s="8" t="s">
        <v>42</v>
      </c>
      <c r="C284" s="8" t="s">
        <v>374</v>
      </c>
      <c r="D284" s="8" t="s">
        <v>40</v>
      </c>
      <c r="E284" s="8" t="n">
        <v>6043</v>
      </c>
      <c r="F284" s="8" t="n">
        <v>1200</v>
      </c>
      <c r="G284" s="8" t="n">
        <v>40</v>
      </c>
      <c r="H284" s="13" t="n">
        <f aca="false">(E284/1000)*(F284/1000)*(G284/1000)*7850</f>
        <v>2277.0024</v>
      </c>
      <c r="I284" s="8" t="n">
        <v>1</v>
      </c>
      <c r="J284" s="14" t="n">
        <f aca="false">H284*I284</f>
        <v>2277.0024</v>
      </c>
      <c r="K284" s="8" t="s">
        <v>426</v>
      </c>
    </row>
    <row r="285" s="9" customFormat="true" ht="19.5" hidden="false" customHeight="true" outlineLevel="0" collapsed="false">
      <c r="A285" s="8" t="s">
        <v>397</v>
      </c>
      <c r="B285" s="8" t="s">
        <v>42</v>
      </c>
      <c r="C285" s="8" t="s">
        <v>141</v>
      </c>
      <c r="D285" s="8" t="s">
        <v>40</v>
      </c>
      <c r="E285" s="8" t="n">
        <v>4043</v>
      </c>
      <c r="F285" s="8" t="n">
        <v>1360</v>
      </c>
      <c r="G285" s="8" t="n">
        <v>40</v>
      </c>
      <c r="H285" s="13" t="n">
        <f aca="false">(E285/1000)*(F285/1000)*(G285/1000)*7850</f>
        <v>1726.52272</v>
      </c>
      <c r="I285" s="8" t="n">
        <v>2</v>
      </c>
      <c r="J285" s="14" t="n">
        <f aca="false">H285*I285</f>
        <v>3453.04544</v>
      </c>
      <c r="K285" s="8" t="s">
        <v>427</v>
      </c>
    </row>
    <row r="286" s="9" customFormat="true" ht="19.5" hidden="false" customHeight="true" outlineLevel="0" collapsed="false">
      <c r="A286" s="8" t="s">
        <v>397</v>
      </c>
      <c r="B286" s="8" t="s">
        <v>42</v>
      </c>
      <c r="C286" s="8" t="s">
        <v>143</v>
      </c>
      <c r="D286" s="8" t="s">
        <v>289</v>
      </c>
      <c r="E286" s="8" t="n">
        <v>4043</v>
      </c>
      <c r="F286" s="8" t="n">
        <v>320</v>
      </c>
      <c r="G286" s="8" t="n">
        <v>32</v>
      </c>
      <c r="H286" s="13" t="n">
        <f aca="false">(E286/1000)*(F286/1000)*(G286/1000)*7850</f>
        <v>324.992512</v>
      </c>
      <c r="I286" s="8" t="n">
        <v>4</v>
      </c>
      <c r="J286" s="14" t="n">
        <f aca="false">H286*I286</f>
        <v>1299.970048</v>
      </c>
      <c r="K286" s="8" t="s">
        <v>428</v>
      </c>
    </row>
    <row r="287" s="9" customFormat="true" ht="19.5" hidden="true" customHeight="true" outlineLevel="0" collapsed="false">
      <c r="A287" s="8" t="s">
        <v>397</v>
      </c>
      <c r="B287" s="8" t="s">
        <v>42</v>
      </c>
      <c r="C287" s="8" t="s">
        <v>145</v>
      </c>
      <c r="D287" s="8" t="s">
        <v>40</v>
      </c>
      <c r="E287" s="8" t="n">
        <v>5143</v>
      </c>
      <c r="F287" s="8" t="n">
        <v>320</v>
      </c>
      <c r="G287" s="8" t="n">
        <v>32</v>
      </c>
      <c r="H287" s="13" t="n">
        <f aca="false">(E287/1000)*(F287/1000)*(G287/1000)*7850</f>
        <v>413.414912</v>
      </c>
      <c r="I287" s="8" t="n">
        <v>1</v>
      </c>
      <c r="J287" s="14" t="n">
        <f aca="false">H287*I287</f>
        <v>413.414912</v>
      </c>
      <c r="K287" s="8" t="s">
        <v>429</v>
      </c>
    </row>
    <row r="288" s="9" customFormat="true" ht="19.5" hidden="true" customHeight="true" outlineLevel="0" collapsed="false">
      <c r="A288" s="8" t="s">
        <v>397</v>
      </c>
      <c r="B288" s="8" t="s">
        <v>42</v>
      </c>
      <c r="C288" s="8" t="s">
        <v>149</v>
      </c>
      <c r="D288" s="8" t="s">
        <v>40</v>
      </c>
      <c r="E288" s="8" t="n">
        <v>1200</v>
      </c>
      <c r="F288" s="8" t="n">
        <v>1200</v>
      </c>
      <c r="G288" s="8" t="n">
        <v>16</v>
      </c>
      <c r="H288" s="13" t="n">
        <f aca="false">(E288/1000)*(F288/1000)*(G288/1000)*7850</f>
        <v>180.864</v>
      </c>
      <c r="I288" s="8" t="n">
        <v>2</v>
      </c>
      <c r="J288" s="14" t="n">
        <f aca="false">H288*I288</f>
        <v>361.728</v>
      </c>
      <c r="K288" s="8" t="s">
        <v>424</v>
      </c>
    </row>
    <row r="289" s="9" customFormat="true" ht="19.5" hidden="false" customHeight="true" outlineLevel="0" collapsed="false">
      <c r="A289" s="8" t="s">
        <v>397</v>
      </c>
      <c r="B289" s="8" t="s">
        <v>42</v>
      </c>
      <c r="C289" s="8" t="s">
        <v>150</v>
      </c>
      <c r="D289" s="8" t="s">
        <v>341</v>
      </c>
      <c r="E289" s="8" t="n">
        <v>5925</v>
      </c>
      <c r="F289" s="8" t="n">
        <v>1200</v>
      </c>
      <c r="G289" s="8" t="n">
        <v>40</v>
      </c>
      <c r="H289" s="13" t="n">
        <f aca="false">(E289/1000)*(F289/1000)*(G289/1000)*7850</f>
        <v>2232.54</v>
      </c>
      <c r="I289" s="8" t="n">
        <v>1</v>
      </c>
      <c r="J289" s="14" t="n">
        <f aca="false">H289*I289</f>
        <v>2232.54</v>
      </c>
      <c r="K289" s="8" t="s">
        <v>430</v>
      </c>
    </row>
    <row r="290" s="9" customFormat="true" ht="19.5" hidden="true" customHeight="true" outlineLevel="0" collapsed="false">
      <c r="A290" s="8" t="s">
        <v>397</v>
      </c>
      <c r="B290" s="8" t="s">
        <v>42</v>
      </c>
      <c r="C290" s="8" t="s">
        <v>152</v>
      </c>
      <c r="D290" s="8" t="s">
        <v>341</v>
      </c>
      <c r="E290" s="8" t="n">
        <v>6125</v>
      </c>
      <c r="F290" s="8" t="n">
        <v>1200</v>
      </c>
      <c r="G290" s="8" t="n">
        <v>40</v>
      </c>
      <c r="H290" s="13" t="n">
        <f aca="false">(E290/1000)*(F290/1000)*(G290/1000)*7850</f>
        <v>2307.9</v>
      </c>
      <c r="I290" s="8" t="n">
        <v>1</v>
      </c>
      <c r="J290" s="14" t="n">
        <f aca="false">H290*I290</f>
        <v>2307.9</v>
      </c>
      <c r="K290" s="8" t="s">
        <v>431</v>
      </c>
    </row>
    <row r="291" s="9" customFormat="true" ht="19.5" hidden="true" customHeight="true" outlineLevel="0" collapsed="false">
      <c r="A291" s="8" t="s">
        <v>397</v>
      </c>
      <c r="B291" s="8" t="s">
        <v>42</v>
      </c>
      <c r="C291" s="8" t="s">
        <v>155</v>
      </c>
      <c r="D291" s="8" t="s">
        <v>341</v>
      </c>
      <c r="E291" s="8" t="n">
        <v>4125</v>
      </c>
      <c r="F291" s="8" t="n">
        <v>1360</v>
      </c>
      <c r="G291" s="8" t="n">
        <v>40</v>
      </c>
      <c r="H291" s="13" t="n">
        <f aca="false">(E291/1000)*(F291/1000)*(G291/1000)*7850</f>
        <v>1761.54</v>
      </c>
      <c r="I291" s="8" t="n">
        <v>2</v>
      </c>
      <c r="J291" s="14" t="n">
        <f aca="false">H291*I291</f>
        <v>3523.08</v>
      </c>
      <c r="K291" s="8" t="s">
        <v>432</v>
      </c>
    </row>
    <row r="292" s="9" customFormat="true" ht="19.5" hidden="true" customHeight="true" outlineLevel="0" collapsed="false">
      <c r="A292" s="8" t="s">
        <v>397</v>
      </c>
      <c r="B292" s="8" t="s">
        <v>42</v>
      </c>
      <c r="C292" s="8" t="s">
        <v>160</v>
      </c>
      <c r="D292" s="8" t="s">
        <v>341</v>
      </c>
      <c r="E292" s="8" t="n">
        <v>4125</v>
      </c>
      <c r="F292" s="8" t="n">
        <v>320</v>
      </c>
      <c r="G292" s="8" t="n">
        <v>32</v>
      </c>
      <c r="H292" s="13" t="n">
        <f aca="false">(E292/1000)*(F292/1000)*(G292/1000)*7850</f>
        <v>331.584</v>
      </c>
      <c r="I292" s="8" t="n">
        <v>4</v>
      </c>
      <c r="J292" s="14" t="n">
        <f aca="false">H292*I292</f>
        <v>1326.336</v>
      </c>
      <c r="K292" s="8" t="s">
        <v>433</v>
      </c>
    </row>
    <row r="293" s="9" customFormat="true" ht="19.5" hidden="true" customHeight="true" outlineLevel="0" collapsed="false">
      <c r="A293" s="8" t="s">
        <v>397</v>
      </c>
      <c r="B293" s="8" t="s">
        <v>42</v>
      </c>
      <c r="C293" s="8" t="s">
        <v>226</v>
      </c>
      <c r="D293" s="8" t="s">
        <v>341</v>
      </c>
      <c r="E293" s="8" t="n">
        <v>5225</v>
      </c>
      <c r="F293" s="8" t="n">
        <v>320</v>
      </c>
      <c r="G293" s="8" t="n">
        <v>32</v>
      </c>
      <c r="H293" s="13" t="n">
        <f aca="false">(E293/1000)*(F293/1000)*(G293/1000)*7850</f>
        <v>420.0064</v>
      </c>
      <c r="I293" s="8" t="n">
        <v>1</v>
      </c>
      <c r="J293" s="14" t="n">
        <f aca="false">H293*I293</f>
        <v>420.0064</v>
      </c>
      <c r="K293" s="8" t="s">
        <v>434</v>
      </c>
    </row>
    <row r="294" s="9" customFormat="true" ht="19.5" hidden="true" customHeight="true" outlineLevel="0" collapsed="false">
      <c r="A294" s="8" t="s">
        <v>397</v>
      </c>
      <c r="B294" s="8" t="s">
        <v>42</v>
      </c>
      <c r="C294" s="8" t="s">
        <v>165</v>
      </c>
      <c r="D294" s="8" t="s">
        <v>341</v>
      </c>
      <c r="E294" s="8" t="n">
        <v>5425</v>
      </c>
      <c r="F294" s="8" t="n">
        <v>320</v>
      </c>
      <c r="G294" s="8" t="n">
        <v>32</v>
      </c>
      <c r="H294" s="13" t="n">
        <f aca="false">(E294/1000)*(F294/1000)*(G294/1000)*7850</f>
        <v>436.0832</v>
      </c>
      <c r="I294" s="8" t="n">
        <v>1</v>
      </c>
      <c r="J294" s="14" t="n">
        <f aca="false">H294*I294</f>
        <v>436.0832</v>
      </c>
      <c r="K294" s="8" t="s">
        <v>435</v>
      </c>
    </row>
    <row r="295" s="9" customFormat="true" ht="19.5" hidden="true" customHeight="true" outlineLevel="0" collapsed="false">
      <c r="A295" s="8" t="s">
        <v>397</v>
      </c>
      <c r="B295" s="8" t="s">
        <v>42</v>
      </c>
      <c r="C295" s="8" t="s">
        <v>158</v>
      </c>
      <c r="D295" s="8" t="s">
        <v>341</v>
      </c>
      <c r="E295" s="8" t="n">
        <v>1200</v>
      </c>
      <c r="F295" s="8" t="n">
        <v>1200</v>
      </c>
      <c r="G295" s="8" t="n">
        <v>16</v>
      </c>
      <c r="H295" s="13" t="n">
        <f aca="false">(E295/1000)*(F295/1000)*(G295/1000)*7850</f>
        <v>180.864</v>
      </c>
      <c r="I295" s="8" t="n">
        <v>2</v>
      </c>
      <c r="J295" s="14" t="n">
        <f aca="false">H295*I295</f>
        <v>361.728</v>
      </c>
      <c r="K295" s="8" t="s">
        <v>424</v>
      </c>
    </row>
    <row r="296" s="9" customFormat="true" ht="19.5" hidden="true" customHeight="true" outlineLevel="0" collapsed="false">
      <c r="A296" s="8" t="s">
        <v>397</v>
      </c>
      <c r="B296" s="8" t="s">
        <v>171</v>
      </c>
      <c r="C296" s="8" t="s">
        <v>386</v>
      </c>
      <c r="D296" s="8" t="s">
        <v>341</v>
      </c>
      <c r="E296" s="8" t="n">
        <v>2100</v>
      </c>
      <c r="F296" s="8" t="n">
        <v>320</v>
      </c>
      <c r="G296" s="8" t="n">
        <v>32</v>
      </c>
      <c r="H296" s="13" t="n">
        <f aca="false">(E296/1000)*(F296/1000)*(G296/1000)*7850</f>
        <v>168.8064</v>
      </c>
      <c r="I296" s="8" t="n">
        <v>6</v>
      </c>
      <c r="J296" s="14" t="n">
        <f aca="false">H296*I296</f>
        <v>1012.8384</v>
      </c>
      <c r="K296" s="8" t="s">
        <v>436</v>
      </c>
    </row>
    <row r="297" s="9" customFormat="true" ht="19.5" hidden="false" customHeight="true" outlineLevel="0" collapsed="false">
      <c r="A297" s="8" t="s">
        <v>397</v>
      </c>
      <c r="B297" s="8" t="s">
        <v>42</v>
      </c>
      <c r="C297" s="8" t="s">
        <v>388</v>
      </c>
      <c r="D297" s="8" t="s">
        <v>341</v>
      </c>
      <c r="E297" s="8" t="n">
        <v>2200</v>
      </c>
      <c r="F297" s="8" t="n">
        <v>320</v>
      </c>
      <c r="G297" s="8" t="n">
        <v>32</v>
      </c>
      <c r="H297" s="13" t="n">
        <f aca="false">(E297/1000)*(F297/1000)*(G297/1000)*7850</f>
        <v>176.8448</v>
      </c>
      <c r="I297" s="8" t="n">
        <v>4</v>
      </c>
      <c r="J297" s="14" t="n">
        <f aca="false">H297*I297</f>
        <v>707.3792</v>
      </c>
      <c r="K297" s="8" t="s">
        <v>437</v>
      </c>
    </row>
    <row r="298" s="9" customFormat="true" ht="19.5" hidden="true" customHeight="true" outlineLevel="0" collapsed="false">
      <c r="A298" s="8" t="s">
        <v>397</v>
      </c>
      <c r="B298" s="8" t="s">
        <v>64</v>
      </c>
      <c r="C298" s="8" t="s">
        <v>167</v>
      </c>
      <c r="D298" s="8" t="s">
        <v>40</v>
      </c>
      <c r="E298" s="8" t="n">
        <v>1960</v>
      </c>
      <c r="F298" s="8" t="n">
        <v>602</v>
      </c>
      <c r="G298" s="8" t="n">
        <v>14</v>
      </c>
      <c r="H298" s="13" t="n">
        <f aca="false">(E298/1000)*(F298/1000)*(G298/1000)*7850</f>
        <v>129.673208</v>
      </c>
      <c r="I298" s="8" t="n">
        <v>6</v>
      </c>
      <c r="J298" s="14" t="n">
        <f aca="false">H298*I298</f>
        <v>778.039248</v>
      </c>
      <c r="K298" s="8" t="s">
        <v>438</v>
      </c>
    </row>
    <row r="299" s="9" customFormat="true" ht="19.5" hidden="false" customHeight="true" outlineLevel="0" collapsed="false">
      <c r="A299" s="8" t="s">
        <v>397</v>
      </c>
      <c r="B299" s="8" t="s">
        <v>42</v>
      </c>
      <c r="C299" s="8" t="s">
        <v>233</v>
      </c>
      <c r="D299" s="8" t="s">
        <v>40</v>
      </c>
      <c r="E299" s="8" t="n">
        <v>1960</v>
      </c>
      <c r="F299" s="8" t="n">
        <v>602</v>
      </c>
      <c r="G299" s="8" t="n">
        <v>14</v>
      </c>
      <c r="H299" s="13" t="n">
        <f aca="false">(E299/1000)*(F299/1000)*(G299/1000)*7850</f>
        <v>129.673208</v>
      </c>
      <c r="I299" s="8" t="n">
        <v>4</v>
      </c>
      <c r="J299" s="14" t="n">
        <f aca="false">H299*I299</f>
        <v>518.692832</v>
      </c>
      <c r="K299" s="8" t="s">
        <v>438</v>
      </c>
      <c r="L299" s="8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8"/>
    </row>
    <row r="300" s="9" customFormat="true" ht="19.5" hidden="false" customHeight="true" outlineLevel="0" collapsed="false">
      <c r="A300" s="8" t="s">
        <v>397</v>
      </c>
      <c r="B300" s="8" t="s">
        <v>42</v>
      </c>
      <c r="C300" s="8" t="s">
        <v>169</v>
      </c>
      <c r="D300" s="8" t="s">
        <v>40</v>
      </c>
      <c r="E300" s="8"/>
      <c r="F300" s="8"/>
      <c r="G300" s="8" t="n">
        <v>24</v>
      </c>
      <c r="H300" s="13" t="n">
        <f aca="false">M300*(G300/1000)*7850</f>
        <v>88.548</v>
      </c>
      <c r="I300" s="8" t="n">
        <v>6</v>
      </c>
      <c r="J300" s="14" t="n">
        <f aca="false">H300*I300</f>
        <v>531.288</v>
      </c>
      <c r="K300" s="8" t="s">
        <v>439</v>
      </c>
      <c r="M300" s="15" t="n">
        <v>0.47</v>
      </c>
    </row>
    <row r="301" s="9" customFormat="true" ht="19.5" hidden="true" customHeight="true" outlineLevel="0" collapsed="false">
      <c r="A301" s="8" t="s">
        <v>397</v>
      </c>
      <c r="B301" s="8" t="s">
        <v>42</v>
      </c>
      <c r="C301" s="8" t="s">
        <v>236</v>
      </c>
      <c r="D301" s="8" t="s">
        <v>40</v>
      </c>
      <c r="E301" s="8"/>
      <c r="F301" s="8"/>
      <c r="G301" s="8" t="n">
        <v>24</v>
      </c>
      <c r="H301" s="13" t="n">
        <f aca="false">M301*(G301/1000)*7850</f>
        <v>90.432</v>
      </c>
      <c r="I301" s="8" t="n">
        <v>4</v>
      </c>
      <c r="J301" s="14" t="n">
        <f aca="false">H301*I301</f>
        <v>361.728</v>
      </c>
      <c r="K301" s="8" t="s">
        <v>440</v>
      </c>
      <c r="M301" s="15" t="n">
        <v>0.48</v>
      </c>
    </row>
    <row r="302" s="9" customFormat="true" ht="19.5" hidden="true" customHeight="true" outlineLevel="0" collapsed="false">
      <c r="A302" s="8" t="s">
        <v>397</v>
      </c>
      <c r="B302" s="8" t="s">
        <v>42</v>
      </c>
      <c r="C302" s="8" t="s">
        <v>172</v>
      </c>
      <c r="D302" s="8" t="s">
        <v>40</v>
      </c>
      <c r="E302" s="8" t="n">
        <v>1800</v>
      </c>
      <c r="F302" s="8" t="n">
        <v>602</v>
      </c>
      <c r="G302" s="8" t="n">
        <v>14</v>
      </c>
      <c r="H302" s="13" t="n">
        <f aca="false">(E302/1000)*(F302/1000)*(G302/1000)*7850</f>
        <v>119.08764</v>
      </c>
      <c r="I302" s="8" t="n">
        <v>6</v>
      </c>
      <c r="J302" s="14" t="n">
        <f aca="false">H302*I302</f>
        <v>714.52584</v>
      </c>
      <c r="K302" s="8" t="s">
        <v>441</v>
      </c>
    </row>
    <row r="303" s="9" customFormat="true" ht="19.5" hidden="true" customHeight="true" outlineLevel="0" collapsed="false">
      <c r="A303" s="8" t="s">
        <v>397</v>
      </c>
      <c r="B303" s="8" t="s">
        <v>42</v>
      </c>
      <c r="C303" s="8" t="s">
        <v>239</v>
      </c>
      <c r="D303" s="8" t="s">
        <v>40</v>
      </c>
      <c r="E303" s="8" t="n">
        <v>1800</v>
      </c>
      <c r="F303" s="8" t="n">
        <v>606</v>
      </c>
      <c r="G303" s="8" t="n">
        <v>14</v>
      </c>
      <c r="H303" s="13" t="n">
        <f aca="false">(E303/1000)*(F303/1000)*(G303/1000)*7850</f>
        <v>119.87892</v>
      </c>
      <c r="I303" s="8" t="n">
        <v>4</v>
      </c>
      <c r="J303" s="14" t="n">
        <f aca="false">H303*I303</f>
        <v>479.51568</v>
      </c>
      <c r="K303" s="8" t="s">
        <v>442</v>
      </c>
    </row>
    <row r="304" s="9" customFormat="true" ht="19.5" hidden="true" customHeight="true" outlineLevel="0" collapsed="false">
      <c r="A304" s="8" t="s">
        <v>443</v>
      </c>
      <c r="B304" s="8" t="s">
        <v>38</v>
      </c>
      <c r="C304" s="8" t="s">
        <v>444</v>
      </c>
      <c r="D304" s="8" t="s">
        <v>341</v>
      </c>
      <c r="E304" s="8"/>
      <c r="F304" s="8"/>
      <c r="G304" s="8" t="n">
        <v>40</v>
      </c>
      <c r="H304" s="13" t="n">
        <f aca="false">M304*(G304/1000)*7850</f>
        <v>4882.7</v>
      </c>
      <c r="I304" s="8" t="n">
        <v>1</v>
      </c>
      <c r="J304" s="14" t="n">
        <f aca="false">H304*I304</f>
        <v>4882.7</v>
      </c>
      <c r="K304" s="8" t="s">
        <v>445</v>
      </c>
      <c r="M304" s="15" t="n">
        <v>15.55</v>
      </c>
    </row>
    <row r="305" s="9" customFormat="true" ht="19.5" hidden="true" customHeight="true" outlineLevel="0" collapsed="false">
      <c r="A305" s="8" t="s">
        <v>443</v>
      </c>
      <c r="B305" s="8" t="s">
        <v>42</v>
      </c>
      <c r="C305" s="8" t="s">
        <v>181</v>
      </c>
      <c r="D305" s="8" t="s">
        <v>341</v>
      </c>
      <c r="E305" s="8"/>
      <c r="F305" s="8"/>
      <c r="G305" s="8" t="n">
        <v>40</v>
      </c>
      <c r="H305" s="13" t="n">
        <f aca="false">M305*(G305/1000)*7850</f>
        <v>4339.48</v>
      </c>
      <c r="I305" s="8" t="n">
        <v>1</v>
      </c>
      <c r="J305" s="14" t="n">
        <f aca="false">H305*I305</f>
        <v>4339.48</v>
      </c>
      <c r="K305" s="8" t="s">
        <v>446</v>
      </c>
      <c r="M305" s="15" t="n">
        <v>13.82</v>
      </c>
    </row>
    <row r="306" s="9" customFormat="true" ht="19.5" hidden="true" customHeight="true" outlineLevel="0" collapsed="false">
      <c r="A306" s="8" t="s">
        <v>443</v>
      </c>
      <c r="B306" s="8" t="s">
        <v>45</v>
      </c>
      <c r="C306" s="8" t="s">
        <v>183</v>
      </c>
      <c r="D306" s="8" t="s">
        <v>341</v>
      </c>
      <c r="E306" s="8" t="n">
        <v>8039</v>
      </c>
      <c r="F306" s="8" t="n">
        <v>1200</v>
      </c>
      <c r="G306" s="8" t="n">
        <v>40</v>
      </c>
      <c r="H306" s="13" t="n">
        <f aca="false">(E306/1000)*(F306/1000)*(G306/1000)*7850</f>
        <v>3029.0952</v>
      </c>
      <c r="I306" s="8" t="n">
        <v>2</v>
      </c>
      <c r="J306" s="14" t="n">
        <f aca="false">H306*I306</f>
        <v>6058.1904</v>
      </c>
      <c r="K306" s="8" t="s">
        <v>447</v>
      </c>
    </row>
    <row r="307" s="9" customFormat="true" ht="19.5" hidden="true" customHeight="true" outlineLevel="0" collapsed="false">
      <c r="A307" s="8" t="s">
        <v>443</v>
      </c>
      <c r="B307" s="8" t="s">
        <v>42</v>
      </c>
      <c r="C307" s="8" t="s">
        <v>185</v>
      </c>
      <c r="D307" s="8" t="s">
        <v>341</v>
      </c>
      <c r="E307" s="8" t="n">
        <v>6940</v>
      </c>
      <c r="F307" s="8" t="n">
        <v>1200</v>
      </c>
      <c r="G307" s="8" t="n">
        <v>40</v>
      </c>
      <c r="H307" s="13" t="n">
        <f aca="false">(E307/1000)*(F307/1000)*(G307/1000)*7850</f>
        <v>2614.992</v>
      </c>
      <c r="I307" s="8" t="n">
        <v>1</v>
      </c>
      <c r="J307" s="14" t="n">
        <f aca="false">H307*I307</f>
        <v>2614.992</v>
      </c>
      <c r="K307" s="8" t="s">
        <v>448</v>
      </c>
    </row>
    <row r="308" s="9" customFormat="true" ht="19.5" hidden="true" customHeight="true" outlineLevel="0" collapsed="false">
      <c r="A308" s="8" t="s">
        <v>443</v>
      </c>
      <c r="B308" s="8" t="s">
        <v>187</v>
      </c>
      <c r="C308" s="8" t="s">
        <v>188</v>
      </c>
      <c r="D308" s="8" t="s">
        <v>341</v>
      </c>
      <c r="E308" s="8"/>
      <c r="F308" s="8"/>
      <c r="G308" s="8" t="n">
        <v>44</v>
      </c>
      <c r="H308" s="13" t="n">
        <f aca="false">M308*(G308/1000)*7850</f>
        <v>9011.486</v>
      </c>
      <c r="I308" s="8" t="n">
        <v>2</v>
      </c>
      <c r="J308" s="14" t="n">
        <f aca="false">H308*I308</f>
        <v>18022.972</v>
      </c>
      <c r="K308" s="8" t="s">
        <v>449</v>
      </c>
      <c r="M308" s="15" t="n">
        <v>26.09</v>
      </c>
    </row>
    <row r="309" s="9" customFormat="true" ht="19.5" hidden="true" customHeight="true" outlineLevel="0" collapsed="false">
      <c r="A309" s="8" t="s">
        <v>443</v>
      </c>
      <c r="B309" s="8" t="s">
        <v>190</v>
      </c>
      <c r="C309" s="8" t="s">
        <v>191</v>
      </c>
      <c r="D309" s="8" t="s">
        <v>341</v>
      </c>
      <c r="E309" s="8" t="n">
        <v>7140</v>
      </c>
      <c r="F309" s="8" t="n">
        <v>2048</v>
      </c>
      <c r="G309" s="8" t="n">
        <v>48</v>
      </c>
      <c r="H309" s="13" t="n">
        <f aca="false">(E309/1000)*(F309/1000)*(G309/1000)*7850</f>
        <v>5509.840896</v>
      </c>
      <c r="I309" s="8" t="n">
        <v>2</v>
      </c>
      <c r="J309" s="14" t="n">
        <f aca="false">H309*I309</f>
        <v>11019.681792</v>
      </c>
      <c r="K309" s="8" t="s">
        <v>450</v>
      </c>
    </row>
    <row r="310" s="9" customFormat="true" ht="19.5" hidden="true" customHeight="true" outlineLevel="0" collapsed="false">
      <c r="A310" s="8" t="s">
        <v>443</v>
      </c>
      <c r="B310" s="8" t="s">
        <v>195</v>
      </c>
      <c r="C310" s="8" t="s">
        <v>58</v>
      </c>
      <c r="D310" s="8" t="s">
        <v>341</v>
      </c>
      <c r="E310" s="8" t="n">
        <v>1960</v>
      </c>
      <c r="F310" s="8" t="n">
        <v>1200</v>
      </c>
      <c r="G310" s="8" t="n">
        <v>16</v>
      </c>
      <c r="H310" s="13" t="n">
        <f aca="false">(E310/1000)*(F310/1000)*(G310/1000)*7850</f>
        <v>295.4112</v>
      </c>
      <c r="I310" s="8" t="n">
        <v>3</v>
      </c>
      <c r="J310" s="14" t="n">
        <f aca="false">H310*I310</f>
        <v>886.2336</v>
      </c>
      <c r="K310" s="8" t="s">
        <v>451</v>
      </c>
    </row>
    <row r="311" s="9" customFormat="true" ht="19.5" hidden="false" customHeight="true" outlineLevel="0" collapsed="false">
      <c r="A311" s="8" t="s">
        <v>443</v>
      </c>
      <c r="B311" s="8" t="s">
        <v>42</v>
      </c>
      <c r="C311" s="8" t="s">
        <v>194</v>
      </c>
      <c r="D311" s="8" t="s">
        <v>341</v>
      </c>
      <c r="E311" s="8" t="n">
        <v>1960</v>
      </c>
      <c r="F311" s="8" t="n">
        <v>1200</v>
      </c>
      <c r="G311" s="8" t="n">
        <v>16</v>
      </c>
      <c r="H311" s="13" t="n">
        <f aca="false">(E311/1000)*(F311/1000)*(G311/1000)*7850</f>
        <v>295.4112</v>
      </c>
      <c r="I311" s="8" t="n">
        <v>2</v>
      </c>
      <c r="J311" s="14" t="n">
        <f aca="false">H311*I311</f>
        <v>590.8224</v>
      </c>
      <c r="K311" s="8" t="s">
        <v>451</v>
      </c>
    </row>
    <row r="312" s="9" customFormat="true" ht="19.5" hidden="false" customHeight="true" outlineLevel="0" collapsed="false">
      <c r="A312" s="8" t="s">
        <v>443</v>
      </c>
      <c r="B312" s="8" t="s">
        <v>42</v>
      </c>
      <c r="C312" s="8" t="s">
        <v>58</v>
      </c>
      <c r="D312" s="8" t="s">
        <v>341</v>
      </c>
      <c r="E312" s="8" t="n">
        <v>2057</v>
      </c>
      <c r="F312" s="8" t="n">
        <v>200</v>
      </c>
      <c r="G312" s="8" t="n">
        <v>16</v>
      </c>
      <c r="H312" s="13" t="n">
        <f aca="false">(E312/1000)*(F312/1000)*(G312/1000)*7850</f>
        <v>51.67184</v>
      </c>
      <c r="I312" s="8" t="n">
        <v>3</v>
      </c>
      <c r="J312" s="14" t="n">
        <f aca="false">H312*I312</f>
        <v>155.01552</v>
      </c>
      <c r="K312" s="8" t="s">
        <v>452</v>
      </c>
    </row>
    <row r="313" s="9" customFormat="true" ht="19.5" hidden="true" customHeight="true" outlineLevel="0" collapsed="false">
      <c r="A313" s="8" t="s">
        <v>443</v>
      </c>
      <c r="B313" s="8" t="s">
        <v>42</v>
      </c>
      <c r="C313" s="8" t="s">
        <v>68</v>
      </c>
      <c r="D313" s="8" t="s">
        <v>341</v>
      </c>
      <c r="E313" s="8" t="n">
        <v>800</v>
      </c>
      <c r="F313" s="8" t="n">
        <v>400</v>
      </c>
      <c r="G313" s="8" t="n">
        <v>16</v>
      </c>
      <c r="H313" s="13" t="n">
        <f aca="false">(E313/1000)*(F313/1000)*(G313/1000)*7850</f>
        <v>40.192</v>
      </c>
      <c r="I313" s="8" t="n">
        <v>4</v>
      </c>
      <c r="J313" s="14" t="n">
        <f aca="false">H313*I313</f>
        <v>160.768</v>
      </c>
      <c r="K313" s="8" t="s">
        <v>453</v>
      </c>
    </row>
    <row r="314" s="9" customFormat="true" ht="19.5" hidden="true" customHeight="true" outlineLevel="0" collapsed="false">
      <c r="A314" s="8" t="s">
        <v>443</v>
      </c>
      <c r="B314" s="8" t="s">
        <v>80</v>
      </c>
      <c r="C314" s="8" t="s">
        <v>199</v>
      </c>
      <c r="D314" s="8" t="s">
        <v>341</v>
      </c>
      <c r="E314" s="8" t="n">
        <v>8039</v>
      </c>
      <c r="F314" s="8" t="n">
        <v>320</v>
      </c>
      <c r="G314" s="8" t="n">
        <v>32</v>
      </c>
      <c r="H314" s="13" t="n">
        <f aca="false">(E314/1000)*(F314/1000)*(G314/1000)*7850</f>
        <v>646.206976</v>
      </c>
      <c r="I314" s="8" t="n">
        <v>6</v>
      </c>
      <c r="J314" s="14" t="n">
        <f aca="false">H314*I314</f>
        <v>3877.241856</v>
      </c>
      <c r="K314" s="8" t="s">
        <v>454</v>
      </c>
    </row>
    <row r="315" s="9" customFormat="true" ht="19.5" hidden="false" customHeight="true" outlineLevel="0" collapsed="false">
      <c r="A315" s="8" t="s">
        <v>443</v>
      </c>
      <c r="B315" s="8" t="s">
        <v>42</v>
      </c>
      <c r="C315" s="8" t="s">
        <v>76</v>
      </c>
      <c r="D315" s="8" t="s">
        <v>341</v>
      </c>
      <c r="E315" s="8" t="n">
        <v>6940</v>
      </c>
      <c r="F315" s="8" t="n">
        <v>320</v>
      </c>
      <c r="G315" s="8" t="n">
        <v>32</v>
      </c>
      <c r="H315" s="13" t="n">
        <f aca="false">(E315/1000)*(F315/1000)*(G315/1000)*7850</f>
        <v>557.86496</v>
      </c>
      <c r="I315" s="8" t="n">
        <v>6</v>
      </c>
      <c r="J315" s="14" t="n">
        <f aca="false">H315*I315</f>
        <v>3347.18976</v>
      </c>
      <c r="K315" s="8" t="s">
        <v>455</v>
      </c>
    </row>
    <row r="316" s="9" customFormat="true" ht="19.5" hidden="true" customHeight="true" outlineLevel="0" collapsed="false">
      <c r="A316" s="8" t="s">
        <v>443</v>
      </c>
      <c r="B316" s="8" t="s">
        <v>256</v>
      </c>
      <c r="C316" s="8" t="s">
        <v>257</v>
      </c>
      <c r="D316" s="8" t="s">
        <v>341</v>
      </c>
      <c r="E316" s="8" t="n">
        <v>8040</v>
      </c>
      <c r="F316" s="8" t="n">
        <v>2500</v>
      </c>
      <c r="G316" s="8" t="n">
        <v>32</v>
      </c>
      <c r="H316" s="13" t="n">
        <f aca="false">(E316/1000)*(F316/1000)*(G316/1000)*7850</f>
        <v>5049.12</v>
      </c>
      <c r="I316" s="8" t="n">
        <v>1</v>
      </c>
      <c r="J316" s="14" t="n">
        <f aca="false">H316*I316</f>
        <v>5049.12</v>
      </c>
      <c r="K316" s="8" t="s">
        <v>456</v>
      </c>
    </row>
    <row r="317" s="9" customFormat="true" ht="19.5" hidden="true" customHeight="true" outlineLevel="0" collapsed="false">
      <c r="A317" s="8" t="s">
        <v>443</v>
      </c>
      <c r="B317" s="8" t="s">
        <v>42</v>
      </c>
      <c r="C317" s="8" t="s">
        <v>305</v>
      </c>
      <c r="D317" s="8" t="s">
        <v>341</v>
      </c>
      <c r="E317" s="8" t="n">
        <v>6941</v>
      </c>
      <c r="F317" s="8" t="n">
        <v>2500</v>
      </c>
      <c r="G317" s="8" t="n">
        <v>32</v>
      </c>
      <c r="H317" s="13" t="n">
        <f aca="false">(E317/1000)*(F317/1000)*(G317/1000)*7850</f>
        <v>4358.948</v>
      </c>
      <c r="I317" s="8" t="n">
        <v>1</v>
      </c>
      <c r="J317" s="14" t="n">
        <f aca="false">H317*I317</f>
        <v>4358.948</v>
      </c>
      <c r="K317" s="8" t="s">
        <v>457</v>
      </c>
    </row>
    <row r="318" s="9" customFormat="true" ht="19.5" hidden="true" customHeight="true" outlineLevel="0" collapsed="false">
      <c r="A318" s="8" t="s">
        <v>443</v>
      </c>
      <c r="B318" s="8" t="s">
        <v>260</v>
      </c>
      <c r="C318" s="8" t="s">
        <v>100</v>
      </c>
      <c r="D318" s="8" t="s">
        <v>341</v>
      </c>
      <c r="E318" s="16"/>
      <c r="F318" s="8"/>
      <c r="G318" s="8" t="n">
        <v>40</v>
      </c>
      <c r="H318" s="13" t="n">
        <f aca="false">M318*(G318/1000)*7850</f>
        <v>5473.02</v>
      </c>
      <c r="I318" s="8" t="n">
        <v>1</v>
      </c>
      <c r="J318" s="14" t="n">
        <f aca="false">H318*I318</f>
        <v>5473.02</v>
      </c>
      <c r="K318" s="8" t="s">
        <v>458</v>
      </c>
      <c r="M318" s="15" t="n">
        <v>17.43</v>
      </c>
    </row>
    <row r="319" s="9" customFormat="true" ht="19.5" hidden="true" customHeight="true" outlineLevel="0" collapsed="false">
      <c r="A319" s="8" t="s">
        <v>443</v>
      </c>
      <c r="B319" s="8" t="s">
        <v>42</v>
      </c>
      <c r="C319" s="8" t="s">
        <v>206</v>
      </c>
      <c r="D319" s="8" t="s">
        <v>341</v>
      </c>
      <c r="E319" s="16"/>
      <c r="F319" s="8"/>
      <c r="G319" s="8" t="n">
        <v>32</v>
      </c>
      <c r="H319" s="13" t="n">
        <f aca="false">M319*(G319/1000)*7850</f>
        <v>2740.592</v>
      </c>
      <c r="I319" s="8" t="n">
        <v>1</v>
      </c>
      <c r="J319" s="14" t="n">
        <f aca="false">H319*I319</f>
        <v>2740.592</v>
      </c>
      <c r="K319" s="8" t="s">
        <v>459</v>
      </c>
      <c r="M319" s="15" t="n">
        <v>10.91</v>
      </c>
    </row>
    <row r="320" s="9" customFormat="true" ht="19.5" hidden="true" customHeight="true" outlineLevel="0" collapsed="false">
      <c r="A320" s="8" t="s">
        <v>443</v>
      </c>
      <c r="B320" s="8" t="s">
        <v>105</v>
      </c>
      <c r="C320" s="8" t="s">
        <v>103</v>
      </c>
      <c r="D320" s="8" t="s">
        <v>341</v>
      </c>
      <c r="E320" s="8"/>
      <c r="F320" s="8"/>
      <c r="G320" s="8" t="n">
        <v>44</v>
      </c>
      <c r="H320" s="13" t="n">
        <f aca="false">M320*(G320/1000)*7850</f>
        <v>8362.134</v>
      </c>
      <c r="I320" s="8" t="n">
        <v>2</v>
      </c>
      <c r="J320" s="14" t="n">
        <f aca="false">H320*I320</f>
        <v>16724.268</v>
      </c>
      <c r="K320" s="8" t="s">
        <v>460</v>
      </c>
      <c r="M320" s="15" t="n">
        <v>24.21</v>
      </c>
    </row>
    <row r="321" s="9" customFormat="true" ht="19.5" hidden="true" customHeight="true" outlineLevel="0" collapsed="false">
      <c r="A321" s="8" t="s">
        <v>443</v>
      </c>
      <c r="B321" s="8" t="s">
        <v>102</v>
      </c>
      <c r="C321" s="8" t="s">
        <v>106</v>
      </c>
      <c r="D321" s="8" t="s">
        <v>341</v>
      </c>
      <c r="E321" s="8" t="n">
        <v>7141</v>
      </c>
      <c r="F321" s="8" t="n">
        <v>1880</v>
      </c>
      <c r="G321" s="8" t="n">
        <v>44</v>
      </c>
      <c r="H321" s="13" t="n">
        <f aca="false">(E321/1000)*(F321/1000)*(G321/1000)*7850</f>
        <v>4637.022632</v>
      </c>
      <c r="I321" s="8" t="n">
        <v>2</v>
      </c>
      <c r="J321" s="14" t="n">
        <f aca="false">H321*I321</f>
        <v>9274.045264</v>
      </c>
      <c r="K321" s="8" t="s">
        <v>461</v>
      </c>
    </row>
    <row r="322" s="9" customFormat="true" ht="19.5" hidden="true" customHeight="true" outlineLevel="0" collapsed="false">
      <c r="A322" s="8" t="s">
        <v>443</v>
      </c>
      <c r="B322" s="8" t="s">
        <v>110</v>
      </c>
      <c r="C322" s="8" t="s">
        <v>108</v>
      </c>
      <c r="D322" s="8" t="s">
        <v>341</v>
      </c>
      <c r="E322" s="8" t="n">
        <v>1800</v>
      </c>
      <c r="F322" s="8" t="n">
        <v>1200</v>
      </c>
      <c r="G322" s="8" t="n">
        <v>16</v>
      </c>
      <c r="H322" s="13" t="n">
        <f aca="false">(E322/1000)*(F322/1000)*(G322/1000)*7850</f>
        <v>271.296</v>
      </c>
      <c r="I322" s="8" t="n">
        <v>2</v>
      </c>
      <c r="J322" s="14" t="n">
        <f aca="false">H322*I322</f>
        <v>542.592</v>
      </c>
      <c r="K322" s="8" t="s">
        <v>462</v>
      </c>
    </row>
    <row r="323" s="9" customFormat="true" ht="19.5" hidden="false" customHeight="true" outlineLevel="0" collapsed="false">
      <c r="A323" s="8" t="s">
        <v>443</v>
      </c>
      <c r="B323" s="8" t="s">
        <v>42</v>
      </c>
      <c r="C323" s="8" t="s">
        <v>267</v>
      </c>
      <c r="D323" s="8" t="s">
        <v>341</v>
      </c>
      <c r="E323" s="8" t="n">
        <v>1800</v>
      </c>
      <c r="F323" s="8" t="n">
        <v>1200</v>
      </c>
      <c r="G323" s="8" t="n">
        <v>16</v>
      </c>
      <c r="H323" s="13" t="n">
        <f aca="false">(E323/1000)*(F323/1000)*(G323/1000)*7850</f>
        <v>271.296</v>
      </c>
      <c r="I323" s="8" t="n">
        <v>2</v>
      </c>
      <c r="J323" s="14" t="n">
        <f aca="false">H323*I323</f>
        <v>542.592</v>
      </c>
      <c r="K323" s="8" t="s">
        <v>462</v>
      </c>
    </row>
    <row r="324" s="9" customFormat="true" ht="19.5" hidden="true" customHeight="true" outlineLevel="0" collapsed="false">
      <c r="A324" s="8" t="s">
        <v>443</v>
      </c>
      <c r="B324" s="8" t="s">
        <v>42</v>
      </c>
      <c r="C324" s="8" t="s">
        <v>211</v>
      </c>
      <c r="D324" s="8" t="s">
        <v>341</v>
      </c>
      <c r="E324" s="8" t="n">
        <v>2057</v>
      </c>
      <c r="F324" s="8" t="n">
        <v>200</v>
      </c>
      <c r="G324" s="8" t="n">
        <v>16</v>
      </c>
      <c r="H324" s="13" t="n">
        <f aca="false">(E324/1000)*(F324/1000)*(G324/1000)*7850</f>
        <v>51.67184</v>
      </c>
      <c r="I324" s="8" t="n">
        <v>2</v>
      </c>
      <c r="J324" s="14" t="n">
        <f aca="false">H324*I324</f>
        <v>103.34368</v>
      </c>
      <c r="K324" s="8" t="s">
        <v>452</v>
      </c>
    </row>
    <row r="325" s="9" customFormat="true" ht="19.5" hidden="false" customHeight="true" outlineLevel="0" collapsed="false">
      <c r="A325" s="8" t="s">
        <v>443</v>
      </c>
      <c r="B325" s="8" t="s">
        <v>314</v>
      </c>
      <c r="C325" s="8" t="s">
        <v>114</v>
      </c>
      <c r="D325" s="8" t="s">
        <v>341</v>
      </c>
      <c r="E325" s="8" t="n">
        <v>8040</v>
      </c>
      <c r="F325" s="8" t="n">
        <v>320</v>
      </c>
      <c r="G325" s="8" t="n">
        <v>32</v>
      </c>
      <c r="H325" s="13" t="n">
        <f aca="false">(E325/1000)*(F325/1000)*(G325/1000)*7850</f>
        <v>646.28736</v>
      </c>
      <c r="I325" s="8" t="n">
        <v>4</v>
      </c>
      <c r="J325" s="14" t="n">
        <f aca="false">H325*I325</f>
        <v>2585.14944</v>
      </c>
      <c r="K325" s="8" t="s">
        <v>463</v>
      </c>
      <c r="L325" s="8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8"/>
    </row>
    <row r="326" s="9" customFormat="true" ht="19.5" hidden="false" customHeight="true" outlineLevel="0" collapsed="false">
      <c r="A326" s="8" t="s">
        <v>443</v>
      </c>
      <c r="B326" s="8" t="s">
        <v>42</v>
      </c>
      <c r="C326" s="8" t="s">
        <v>116</v>
      </c>
      <c r="D326" s="8" t="s">
        <v>341</v>
      </c>
      <c r="E326" s="8" t="n">
        <v>6941</v>
      </c>
      <c r="F326" s="8" t="n">
        <v>320</v>
      </c>
      <c r="G326" s="8" t="n">
        <v>32</v>
      </c>
      <c r="H326" s="13" t="n">
        <f aca="false">(E326/1000)*(F326/1000)*(G326/1000)*7850</f>
        <v>557.945344</v>
      </c>
      <c r="I326" s="8" t="n">
        <v>4</v>
      </c>
      <c r="J326" s="14" t="n">
        <f aca="false">H326*I326</f>
        <v>2231.781376</v>
      </c>
      <c r="K326" s="8" t="s">
        <v>464</v>
      </c>
    </row>
    <row r="327" s="9" customFormat="true" ht="19.5" hidden="true" customHeight="true" outlineLevel="0" collapsed="false">
      <c r="A327" s="8" t="s">
        <v>443</v>
      </c>
      <c r="B327" s="8" t="s">
        <v>42</v>
      </c>
      <c r="C327" s="8" t="s">
        <v>118</v>
      </c>
      <c r="D327" s="8" t="s">
        <v>341</v>
      </c>
      <c r="E327" s="8" t="n">
        <v>14981</v>
      </c>
      <c r="F327" s="8" t="n">
        <v>170</v>
      </c>
      <c r="G327" s="8" t="n">
        <v>14</v>
      </c>
      <c r="H327" s="13" t="n">
        <f aca="false">(E327/1000)*(F327/1000)*(G327/1000)*7850</f>
        <v>279.890023</v>
      </c>
      <c r="I327" s="8" t="n">
        <v>2</v>
      </c>
      <c r="J327" s="14" t="n">
        <f aca="false">H327*I327</f>
        <v>559.780046</v>
      </c>
      <c r="K327" s="8" t="s">
        <v>465</v>
      </c>
    </row>
    <row r="328" s="9" customFormat="true" ht="19.5" hidden="true" customHeight="true" outlineLevel="0" collapsed="false">
      <c r="A328" s="8" t="s">
        <v>443</v>
      </c>
      <c r="B328" s="8" t="s">
        <v>272</v>
      </c>
      <c r="C328" s="8" t="s">
        <v>125</v>
      </c>
      <c r="D328" s="8" t="s">
        <v>341</v>
      </c>
      <c r="E328" s="8" t="n">
        <v>11812</v>
      </c>
      <c r="F328" s="8" t="n">
        <v>1200</v>
      </c>
      <c r="G328" s="8" t="n">
        <v>40</v>
      </c>
      <c r="H328" s="13" t="n">
        <f aca="false">(E328/1000)*(F328/1000)*(G328/1000)*7850</f>
        <v>4450.7616</v>
      </c>
      <c r="I328" s="8" t="n">
        <v>1</v>
      </c>
      <c r="J328" s="14" t="n">
        <f aca="false">H328*I328</f>
        <v>4450.7616</v>
      </c>
      <c r="K328" s="8" t="s">
        <v>466</v>
      </c>
    </row>
    <row r="329" s="9" customFormat="true" ht="19.5" hidden="true" customHeight="true" outlineLevel="0" collapsed="false">
      <c r="A329" s="8" t="s">
        <v>443</v>
      </c>
      <c r="B329" s="8" t="s">
        <v>42</v>
      </c>
      <c r="C329" s="8" t="s">
        <v>467</v>
      </c>
      <c r="D329" s="8" t="s">
        <v>341</v>
      </c>
      <c r="E329" s="8" t="n">
        <v>12012</v>
      </c>
      <c r="F329" s="8" t="n">
        <v>1200</v>
      </c>
      <c r="G329" s="8" t="n">
        <v>40</v>
      </c>
      <c r="H329" s="13" t="n">
        <f aca="false">(E329/1000)*(F329/1000)*(G329/1000)*7850</f>
        <v>4526.1216</v>
      </c>
      <c r="I329" s="8" t="n">
        <v>1</v>
      </c>
      <c r="J329" s="14" t="n">
        <f aca="false">H329*I329</f>
        <v>4526.1216</v>
      </c>
      <c r="K329" s="8" t="s">
        <v>468</v>
      </c>
    </row>
    <row r="330" s="9" customFormat="true" ht="19.5" hidden="true" customHeight="true" outlineLevel="0" collapsed="false">
      <c r="A330" s="8" t="s">
        <v>443</v>
      </c>
      <c r="B330" s="8" t="s">
        <v>42</v>
      </c>
      <c r="C330" s="8" t="s">
        <v>128</v>
      </c>
      <c r="D330" s="8" t="s">
        <v>341</v>
      </c>
      <c r="E330" s="8" t="n">
        <v>8212</v>
      </c>
      <c r="F330" s="8" t="n">
        <v>1760</v>
      </c>
      <c r="G330" s="8" t="n">
        <v>40</v>
      </c>
      <c r="H330" s="13" t="n">
        <f aca="false">(E330/1000)*(F330/1000)*(G330/1000)*7850</f>
        <v>4538.27968</v>
      </c>
      <c r="I330" s="8" t="n">
        <v>2</v>
      </c>
      <c r="J330" s="14" t="n">
        <f aca="false">H330*I330</f>
        <v>9076.55936</v>
      </c>
      <c r="K330" s="8" t="s">
        <v>469</v>
      </c>
    </row>
    <row r="331" s="9" customFormat="true" ht="19.5" hidden="true" customHeight="true" outlineLevel="0" collapsed="false">
      <c r="A331" s="8" t="s">
        <v>443</v>
      </c>
      <c r="B331" s="8" t="s">
        <v>42</v>
      </c>
      <c r="C331" s="8" t="s">
        <v>130</v>
      </c>
      <c r="D331" s="8" t="s">
        <v>341</v>
      </c>
      <c r="E331" s="8" t="n">
        <v>8212</v>
      </c>
      <c r="F331" s="8" t="n">
        <v>320</v>
      </c>
      <c r="G331" s="8" t="n">
        <v>32</v>
      </c>
      <c r="H331" s="13" t="n">
        <f aca="false">(E331/1000)*(F331/1000)*(G331/1000)*7850</f>
        <v>660.113408</v>
      </c>
      <c r="I331" s="8" t="n">
        <v>4</v>
      </c>
      <c r="J331" s="14" t="n">
        <f aca="false">H331*I331</f>
        <v>2640.453632</v>
      </c>
      <c r="K331" s="8" t="s">
        <v>470</v>
      </c>
    </row>
    <row r="332" s="9" customFormat="true" ht="19.5" hidden="true" customHeight="true" outlineLevel="0" collapsed="false">
      <c r="A332" s="8" t="s">
        <v>443</v>
      </c>
      <c r="B332" s="8" t="s">
        <v>42</v>
      </c>
      <c r="C332" s="8" t="s">
        <v>132</v>
      </c>
      <c r="D332" s="8" t="s">
        <v>341</v>
      </c>
      <c r="E332" s="8" t="n">
        <v>10412</v>
      </c>
      <c r="F332" s="8" t="n">
        <v>320</v>
      </c>
      <c r="G332" s="8" t="n">
        <v>32</v>
      </c>
      <c r="H332" s="13" t="n">
        <f aca="false">(E332/1000)*(F332/1000)*(G332/1000)*7850</f>
        <v>836.958208</v>
      </c>
      <c r="I332" s="8" t="n">
        <v>1</v>
      </c>
      <c r="J332" s="14" t="n">
        <f aca="false">H332*I332</f>
        <v>836.958208</v>
      </c>
      <c r="K332" s="8" t="s">
        <v>471</v>
      </c>
    </row>
    <row r="333" s="9" customFormat="true" ht="19.5" hidden="true" customHeight="true" outlineLevel="0" collapsed="false">
      <c r="A333" s="8" t="s">
        <v>443</v>
      </c>
      <c r="B333" s="8" t="s">
        <v>42</v>
      </c>
      <c r="C333" s="8" t="s">
        <v>134</v>
      </c>
      <c r="D333" s="8"/>
      <c r="E333" s="8" t="n">
        <v>10612</v>
      </c>
      <c r="F333" s="8" t="n">
        <v>320</v>
      </c>
      <c r="G333" s="8" t="n">
        <v>32</v>
      </c>
      <c r="H333" s="13" t="n">
        <f aca="false">(E333/1000)*(F333/1000)*(G333/1000)*7850</f>
        <v>853.035008</v>
      </c>
      <c r="I333" s="8" t="n">
        <v>1</v>
      </c>
      <c r="J333" s="14" t="n">
        <f aca="false">H333*I333</f>
        <v>853.035008</v>
      </c>
      <c r="K333" s="8" t="s">
        <v>472</v>
      </c>
    </row>
    <row r="334" s="9" customFormat="true" ht="19.5" hidden="true" customHeight="true" outlineLevel="0" collapsed="false">
      <c r="A334" s="8" t="s">
        <v>443</v>
      </c>
      <c r="B334" s="8" t="s">
        <v>42</v>
      </c>
      <c r="C334" s="8" t="s">
        <v>135</v>
      </c>
      <c r="D334" s="8" t="s">
        <v>341</v>
      </c>
      <c r="E334" s="8" t="n">
        <v>1200</v>
      </c>
      <c r="F334" s="8" t="n">
        <v>1600</v>
      </c>
      <c r="G334" s="8" t="n">
        <v>16</v>
      </c>
      <c r="H334" s="13" t="n">
        <f aca="false">(E334/1000)*(F334/1000)*(G334/1000)*7850</f>
        <v>241.152</v>
      </c>
      <c r="I334" s="8" t="n">
        <v>3</v>
      </c>
      <c r="J334" s="14" t="n">
        <f aca="false">H334*I334</f>
        <v>723.456</v>
      </c>
      <c r="K334" s="8" t="s">
        <v>473</v>
      </c>
    </row>
    <row r="335" s="9" customFormat="true" ht="19.5" hidden="true" customHeight="true" outlineLevel="0" collapsed="false">
      <c r="A335" s="8" t="s">
        <v>443</v>
      </c>
      <c r="B335" s="8" t="s">
        <v>42</v>
      </c>
      <c r="C335" s="8" t="s">
        <v>137</v>
      </c>
      <c r="D335" s="8" t="s">
        <v>341</v>
      </c>
      <c r="E335" s="8" t="n">
        <v>5769</v>
      </c>
      <c r="F335" s="8" t="n">
        <v>1200</v>
      </c>
      <c r="G335" s="8" t="n">
        <v>40</v>
      </c>
      <c r="H335" s="13" t="n">
        <f aca="false">(E335/1000)*(F335/1000)*(G335/1000)*7850</f>
        <v>2173.7592</v>
      </c>
      <c r="I335" s="8" t="n">
        <v>1</v>
      </c>
      <c r="J335" s="14" t="n">
        <f aca="false">H335*I335</f>
        <v>2173.7592</v>
      </c>
      <c r="K335" s="8" t="s">
        <v>474</v>
      </c>
    </row>
    <row r="336" s="9" customFormat="true" ht="19.5" hidden="true" customHeight="true" outlineLevel="0" collapsed="false">
      <c r="A336" s="8" t="s">
        <v>443</v>
      </c>
      <c r="B336" s="8" t="s">
        <v>42</v>
      </c>
      <c r="C336" s="8" t="s">
        <v>374</v>
      </c>
      <c r="D336" s="8" t="s">
        <v>341</v>
      </c>
      <c r="E336" s="8" t="n">
        <v>5969</v>
      </c>
      <c r="F336" s="8" t="n">
        <v>1200</v>
      </c>
      <c r="G336" s="8" t="n">
        <v>40</v>
      </c>
      <c r="H336" s="13" t="n">
        <f aca="false">(E336/1000)*(F336/1000)*(G336/1000)*7850</f>
        <v>2249.1192</v>
      </c>
      <c r="I336" s="8" t="n">
        <v>1</v>
      </c>
      <c r="J336" s="14" t="n">
        <f aca="false">H336*I336</f>
        <v>2249.1192</v>
      </c>
      <c r="K336" s="8" t="s">
        <v>475</v>
      </c>
    </row>
    <row r="337" s="9" customFormat="true" ht="19.5" hidden="false" customHeight="true" outlineLevel="0" collapsed="false">
      <c r="A337" s="8" t="s">
        <v>443</v>
      </c>
      <c r="B337" s="8" t="s">
        <v>42</v>
      </c>
      <c r="C337" s="8" t="s">
        <v>141</v>
      </c>
      <c r="D337" s="8" t="s">
        <v>341</v>
      </c>
      <c r="E337" s="8" t="n">
        <v>3969</v>
      </c>
      <c r="F337" s="8" t="n">
        <v>1760</v>
      </c>
      <c r="G337" s="8" t="n">
        <v>40</v>
      </c>
      <c r="H337" s="13" t="n">
        <f aca="false">(E337/1000)*(F337/1000)*(G337/1000)*7850</f>
        <v>2193.42816</v>
      </c>
      <c r="I337" s="8" t="n">
        <v>2</v>
      </c>
      <c r="J337" s="14" t="n">
        <f aca="false">H337*I337</f>
        <v>4386.85632</v>
      </c>
      <c r="K337" s="8" t="s">
        <v>476</v>
      </c>
    </row>
    <row r="338" s="9" customFormat="true" ht="19.5" hidden="false" customHeight="true" outlineLevel="0" collapsed="false">
      <c r="A338" s="8" t="s">
        <v>443</v>
      </c>
      <c r="B338" s="8" t="s">
        <v>42</v>
      </c>
      <c r="C338" s="8" t="s">
        <v>143</v>
      </c>
      <c r="D338" s="8" t="s">
        <v>341</v>
      </c>
      <c r="E338" s="8" t="n">
        <v>3969</v>
      </c>
      <c r="F338" s="8" t="n">
        <v>320</v>
      </c>
      <c r="G338" s="8" t="n">
        <v>32</v>
      </c>
      <c r="H338" s="13" t="n">
        <f aca="false">(E338/1000)*(F338/1000)*(G338/1000)*7850</f>
        <v>319.044096</v>
      </c>
      <c r="I338" s="8" t="n">
        <v>4</v>
      </c>
      <c r="J338" s="14" t="n">
        <f aca="false">H338*I338</f>
        <v>1276.176384</v>
      </c>
      <c r="K338" s="8" t="s">
        <v>477</v>
      </c>
    </row>
    <row r="339" s="9" customFormat="true" ht="19.5" hidden="true" customHeight="true" outlineLevel="0" collapsed="false">
      <c r="A339" s="8" t="s">
        <v>443</v>
      </c>
      <c r="B339" s="8" t="s">
        <v>42</v>
      </c>
      <c r="C339" s="8" t="s">
        <v>326</v>
      </c>
      <c r="D339" s="8" t="s">
        <v>341</v>
      </c>
      <c r="E339" s="8" t="n">
        <v>5069</v>
      </c>
      <c r="F339" s="8" t="n">
        <v>320</v>
      </c>
      <c r="G339" s="8" t="n">
        <v>32</v>
      </c>
      <c r="H339" s="13" t="n">
        <f aca="false">(E339/1000)*(F339/1000)*(G339/1000)*7850</f>
        <v>407.466496</v>
      </c>
      <c r="I339" s="8" t="n">
        <v>1</v>
      </c>
      <c r="J339" s="14" t="n">
        <f aca="false">H339*I339</f>
        <v>407.466496</v>
      </c>
      <c r="K339" s="8" t="s">
        <v>478</v>
      </c>
    </row>
    <row r="340" s="9" customFormat="true" ht="19.5" hidden="true" customHeight="true" outlineLevel="0" collapsed="false">
      <c r="A340" s="8" t="s">
        <v>443</v>
      </c>
      <c r="B340" s="8" t="s">
        <v>42</v>
      </c>
      <c r="C340" s="8" t="s">
        <v>147</v>
      </c>
      <c r="D340" s="8" t="s">
        <v>341</v>
      </c>
      <c r="E340" s="8" t="n">
        <v>5269</v>
      </c>
      <c r="F340" s="8" t="n">
        <v>320</v>
      </c>
      <c r="G340" s="8" t="n">
        <v>32</v>
      </c>
      <c r="H340" s="13" t="n">
        <f aca="false">(E340/1000)*(F340/1000)*(G340/1000)*7850</f>
        <v>423.543296</v>
      </c>
      <c r="I340" s="8" t="n">
        <v>1</v>
      </c>
      <c r="J340" s="14" t="n">
        <f aca="false">H340*I340</f>
        <v>423.543296</v>
      </c>
      <c r="K340" s="8" t="s">
        <v>479</v>
      </c>
    </row>
    <row r="341" s="9" customFormat="true" ht="19.5" hidden="false" customHeight="true" outlineLevel="0" collapsed="false">
      <c r="A341" s="8" t="s">
        <v>443</v>
      </c>
      <c r="B341" s="8" t="s">
        <v>42</v>
      </c>
      <c r="C341" s="8" t="s">
        <v>149</v>
      </c>
      <c r="D341" s="8" t="s">
        <v>341</v>
      </c>
      <c r="E341" s="8" t="n">
        <v>1200</v>
      </c>
      <c r="F341" s="8" t="n">
        <v>1600</v>
      </c>
      <c r="G341" s="8" t="n">
        <v>16</v>
      </c>
      <c r="H341" s="13" t="n">
        <f aca="false">(E341/1000)*(F341/1000)*(G341/1000)*7850</f>
        <v>241.152</v>
      </c>
      <c r="I341" s="8" t="n">
        <v>2</v>
      </c>
      <c r="J341" s="14" t="n">
        <f aca="false">H341*I341</f>
        <v>482.304</v>
      </c>
      <c r="K341" s="8" t="s">
        <v>473</v>
      </c>
    </row>
    <row r="342" s="9" customFormat="true" ht="19.5" hidden="true" customHeight="true" outlineLevel="0" collapsed="false">
      <c r="A342" s="8" t="s">
        <v>443</v>
      </c>
      <c r="B342" s="8" t="s">
        <v>42</v>
      </c>
      <c r="C342" s="8" t="s">
        <v>150</v>
      </c>
      <c r="D342" s="8" t="s">
        <v>341</v>
      </c>
      <c r="E342" s="8" t="n">
        <v>5853</v>
      </c>
      <c r="F342" s="8" t="n">
        <v>1200</v>
      </c>
      <c r="G342" s="8" t="n">
        <v>40</v>
      </c>
      <c r="H342" s="13" t="n">
        <f aca="false">(E342/1000)*(F342/1000)*(G342/1000)*7850</f>
        <v>2205.4104</v>
      </c>
      <c r="I342" s="8" t="n">
        <v>1</v>
      </c>
      <c r="J342" s="14" t="n">
        <f aca="false">H342*I342</f>
        <v>2205.4104</v>
      </c>
      <c r="K342" s="8" t="s">
        <v>480</v>
      </c>
    </row>
    <row r="343" s="9" customFormat="true" ht="19.5" hidden="true" customHeight="true" outlineLevel="0" collapsed="false">
      <c r="A343" s="8" t="s">
        <v>443</v>
      </c>
      <c r="B343" s="8" t="s">
        <v>42</v>
      </c>
      <c r="C343" s="8" t="s">
        <v>155</v>
      </c>
      <c r="D343" s="8" t="s">
        <v>341</v>
      </c>
      <c r="E343" s="8" t="n">
        <v>4053</v>
      </c>
      <c r="F343" s="8" t="n">
        <v>1760</v>
      </c>
      <c r="G343" s="8" t="n">
        <v>40</v>
      </c>
      <c r="H343" s="13" t="n">
        <f aca="false">(E343/1000)*(F343/1000)*(G343/1000)*7850</f>
        <v>2239.84992</v>
      </c>
      <c r="I343" s="8" t="n">
        <v>2</v>
      </c>
      <c r="J343" s="14" t="n">
        <f aca="false">H343*I343</f>
        <v>4479.69984</v>
      </c>
      <c r="K343" s="8" t="s">
        <v>481</v>
      </c>
    </row>
    <row r="344" s="9" customFormat="true" ht="19.5" hidden="true" customHeight="true" outlineLevel="0" collapsed="false">
      <c r="A344" s="8" t="s">
        <v>443</v>
      </c>
      <c r="B344" s="8" t="s">
        <v>42</v>
      </c>
      <c r="C344" s="8" t="s">
        <v>160</v>
      </c>
      <c r="D344" s="8" t="s">
        <v>341</v>
      </c>
      <c r="E344" s="8" t="n">
        <v>4053</v>
      </c>
      <c r="F344" s="8" t="n">
        <v>320</v>
      </c>
      <c r="G344" s="8" t="n">
        <v>32</v>
      </c>
      <c r="H344" s="13" t="n">
        <f aca="false">(E344/1000)*(F344/1000)*(G344/1000)*7850</f>
        <v>325.796352</v>
      </c>
      <c r="I344" s="8" t="n">
        <v>4</v>
      </c>
      <c r="J344" s="14" t="n">
        <f aca="false">H344*I344</f>
        <v>1303.185408</v>
      </c>
      <c r="K344" s="8" t="s">
        <v>482</v>
      </c>
    </row>
    <row r="345" s="9" customFormat="true" ht="19.5" hidden="true" customHeight="true" outlineLevel="0" collapsed="false">
      <c r="A345" s="8" t="s">
        <v>443</v>
      </c>
      <c r="B345" s="8" t="s">
        <v>42</v>
      </c>
      <c r="C345" s="8" t="s">
        <v>226</v>
      </c>
      <c r="D345" s="8" t="s">
        <v>341</v>
      </c>
      <c r="E345" s="8" t="n">
        <v>5153</v>
      </c>
      <c r="F345" s="8" t="n">
        <v>320</v>
      </c>
      <c r="G345" s="8" t="n">
        <v>32</v>
      </c>
      <c r="H345" s="13" t="n">
        <f aca="false">(E345/1000)*(F345/1000)*(G345/1000)*7850</f>
        <v>414.218752</v>
      </c>
      <c r="I345" s="8" t="n">
        <v>1</v>
      </c>
      <c r="J345" s="14" t="n">
        <f aca="false">H345*I345</f>
        <v>414.218752</v>
      </c>
      <c r="K345" s="8" t="s">
        <v>483</v>
      </c>
    </row>
    <row r="346" s="9" customFormat="true" ht="19.5" hidden="true" customHeight="true" outlineLevel="0" collapsed="false">
      <c r="A346" s="8" t="s">
        <v>443</v>
      </c>
      <c r="B346" s="8" t="s">
        <v>42</v>
      </c>
      <c r="C346" s="8" t="s">
        <v>165</v>
      </c>
      <c r="D346" s="8" t="s">
        <v>341</v>
      </c>
      <c r="E346" s="8" t="n">
        <v>5353</v>
      </c>
      <c r="F346" s="8" t="n">
        <v>320</v>
      </c>
      <c r="G346" s="8" t="n">
        <v>32</v>
      </c>
      <c r="H346" s="13" t="n">
        <f aca="false">(E346/1000)*(F346/1000)*(G346/1000)*7850</f>
        <v>430.295552</v>
      </c>
      <c r="I346" s="8" t="n">
        <v>1</v>
      </c>
      <c r="J346" s="14" t="n">
        <f aca="false">H346*I346</f>
        <v>430.295552</v>
      </c>
      <c r="K346" s="8" t="s">
        <v>484</v>
      </c>
    </row>
    <row r="347" s="9" customFormat="true" ht="19.5" hidden="true" customHeight="true" outlineLevel="0" collapsed="false">
      <c r="A347" s="8" t="s">
        <v>443</v>
      </c>
      <c r="B347" s="8" t="s">
        <v>42</v>
      </c>
      <c r="C347" s="8" t="s">
        <v>158</v>
      </c>
      <c r="D347" s="8" t="s">
        <v>341</v>
      </c>
      <c r="E347" s="8" t="n">
        <v>1200</v>
      </c>
      <c r="F347" s="8" t="n">
        <v>1600</v>
      </c>
      <c r="G347" s="8" t="n">
        <v>16</v>
      </c>
      <c r="H347" s="13" t="n">
        <f aca="false">(E347/1000)*(F347/1000)*(G347/1000)*7850</f>
        <v>241.152</v>
      </c>
      <c r="I347" s="8" t="n">
        <v>2</v>
      </c>
      <c r="J347" s="14" t="n">
        <f aca="false">H347*I347</f>
        <v>482.304</v>
      </c>
      <c r="K347" s="8" t="s">
        <v>473</v>
      </c>
    </row>
    <row r="348" s="9" customFormat="true" ht="19.5" hidden="true" customHeight="true" outlineLevel="0" collapsed="false">
      <c r="A348" s="8" t="s">
        <v>443</v>
      </c>
      <c r="B348" s="8" t="s">
        <v>171</v>
      </c>
      <c r="C348" s="8" t="s">
        <v>386</v>
      </c>
      <c r="D348" s="8" t="s">
        <v>341</v>
      </c>
      <c r="E348" s="8" t="n">
        <v>2100</v>
      </c>
      <c r="F348" s="8" t="n">
        <v>320</v>
      </c>
      <c r="G348" s="8" t="n">
        <v>32</v>
      </c>
      <c r="H348" s="13" t="n">
        <f aca="false">(E348/1000)*(F348/1000)*(G348/1000)*7850</f>
        <v>168.8064</v>
      </c>
      <c r="I348" s="8" t="n">
        <v>8</v>
      </c>
      <c r="J348" s="14" t="n">
        <f aca="false">H348*I348</f>
        <v>1350.4512</v>
      </c>
      <c r="K348" s="8" t="s">
        <v>485</v>
      </c>
    </row>
    <row r="349" s="9" customFormat="true" ht="19.5" hidden="false" customHeight="true" outlineLevel="0" collapsed="false">
      <c r="A349" s="8" t="s">
        <v>443</v>
      </c>
      <c r="B349" s="8" t="s">
        <v>42</v>
      </c>
      <c r="C349" s="8" t="s">
        <v>388</v>
      </c>
      <c r="D349" s="8" t="s">
        <v>341</v>
      </c>
      <c r="E349" s="8" t="n">
        <v>2000</v>
      </c>
      <c r="F349" s="8" t="n">
        <v>320</v>
      </c>
      <c r="G349" s="8" t="n">
        <v>32</v>
      </c>
      <c r="H349" s="13" t="n">
        <f aca="false">(E349/1000)*(F349/1000)*(G349/1000)*7850</f>
        <v>160.768</v>
      </c>
      <c r="I349" s="8" t="n">
        <v>8</v>
      </c>
      <c r="J349" s="14" t="n">
        <f aca="false">H349*I349</f>
        <v>1286.144</v>
      </c>
      <c r="K349" s="8" t="s">
        <v>486</v>
      </c>
    </row>
    <row r="350" s="9" customFormat="true" ht="19.5" hidden="true" customHeight="true" outlineLevel="0" collapsed="false">
      <c r="A350" s="8" t="s">
        <v>443</v>
      </c>
      <c r="B350" s="8" t="s">
        <v>64</v>
      </c>
      <c r="C350" s="8" t="s">
        <v>167</v>
      </c>
      <c r="D350" s="8" t="s">
        <v>40</v>
      </c>
      <c r="E350" s="8" t="n">
        <v>1960</v>
      </c>
      <c r="F350" s="8" t="n">
        <v>606</v>
      </c>
      <c r="G350" s="8" t="n">
        <v>14</v>
      </c>
      <c r="H350" s="13" t="n">
        <f aca="false">(E350/1000)*(F350/1000)*(G350/1000)*7850</f>
        <v>130.534824</v>
      </c>
      <c r="I350" s="8" t="n">
        <v>6</v>
      </c>
      <c r="J350" s="14" t="n">
        <f aca="false">H350*I350</f>
        <v>783.208944</v>
      </c>
      <c r="K350" s="8" t="s">
        <v>487</v>
      </c>
    </row>
    <row r="351" s="9" customFormat="true" ht="19.5" hidden="false" customHeight="true" outlineLevel="0" collapsed="false">
      <c r="A351" s="8" t="s">
        <v>443</v>
      </c>
      <c r="B351" s="8" t="s">
        <v>42</v>
      </c>
      <c r="C351" s="8" t="s">
        <v>233</v>
      </c>
      <c r="D351" s="8" t="s">
        <v>40</v>
      </c>
      <c r="E351" s="8" t="n">
        <v>1960</v>
      </c>
      <c r="F351" s="8" t="n">
        <v>602</v>
      </c>
      <c r="G351" s="8" t="n">
        <v>14</v>
      </c>
      <c r="H351" s="13" t="n">
        <f aca="false">(E351/1000)*(F351/1000)*(G351/1000)*7850</f>
        <v>129.673208</v>
      </c>
      <c r="I351" s="8" t="n">
        <v>4</v>
      </c>
      <c r="J351" s="14" t="n">
        <f aca="false">H351*I351</f>
        <v>518.692832</v>
      </c>
      <c r="K351" s="8" t="s">
        <v>488</v>
      </c>
      <c r="L351" s="8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8"/>
    </row>
    <row r="352" s="9" customFormat="true" ht="19.5" hidden="false" customHeight="true" outlineLevel="0" collapsed="false">
      <c r="A352" s="8" t="s">
        <v>443</v>
      </c>
      <c r="B352" s="8" t="s">
        <v>42</v>
      </c>
      <c r="C352" s="8" t="s">
        <v>169</v>
      </c>
      <c r="D352" s="8" t="s">
        <v>40</v>
      </c>
      <c r="E352" s="8"/>
      <c r="F352" s="8"/>
      <c r="G352" s="8" t="n">
        <v>24</v>
      </c>
      <c r="H352" s="13" t="n">
        <f aca="false">M352*(G352/1000)*7850</f>
        <v>88.548</v>
      </c>
      <c r="I352" s="8" t="n">
        <v>4</v>
      </c>
      <c r="J352" s="14" t="n">
        <f aca="false">H352*I352</f>
        <v>354.192</v>
      </c>
      <c r="K352" s="8" t="s">
        <v>489</v>
      </c>
      <c r="M352" s="15" t="n">
        <v>0.47</v>
      </c>
    </row>
    <row r="353" s="9" customFormat="true" ht="19.5" hidden="true" customHeight="true" outlineLevel="0" collapsed="false">
      <c r="A353" s="8" t="s">
        <v>443</v>
      </c>
      <c r="B353" s="8" t="s">
        <v>42</v>
      </c>
      <c r="C353" s="8" t="s">
        <v>236</v>
      </c>
      <c r="D353" s="8" t="s">
        <v>40</v>
      </c>
      <c r="E353" s="8"/>
      <c r="F353" s="8"/>
      <c r="G353" s="8" t="n">
        <v>24</v>
      </c>
      <c r="H353" s="13" t="n">
        <f aca="false">M353*(G353/1000)*7850</f>
        <v>90.432</v>
      </c>
      <c r="I353" s="8" t="n">
        <v>4</v>
      </c>
      <c r="J353" s="14" t="n">
        <f aca="false">H353*I353</f>
        <v>361.728</v>
      </c>
      <c r="K353" s="8" t="s">
        <v>490</v>
      </c>
      <c r="M353" s="15" t="n">
        <v>0.48</v>
      </c>
    </row>
    <row r="354" s="9" customFormat="true" ht="19.5" hidden="true" customHeight="true" outlineLevel="0" collapsed="false">
      <c r="A354" s="8" t="s">
        <v>443</v>
      </c>
      <c r="B354" s="8" t="s">
        <v>42</v>
      </c>
      <c r="C354" s="8" t="s">
        <v>172</v>
      </c>
      <c r="D354" s="8" t="s">
        <v>40</v>
      </c>
      <c r="E354" s="8" t="n">
        <v>1800</v>
      </c>
      <c r="F354" s="8" t="n">
        <v>606</v>
      </c>
      <c r="G354" s="8" t="n">
        <v>14</v>
      </c>
      <c r="H354" s="13" t="n">
        <f aca="false">(E354/1000)*(F354/1000)*(G354/1000)*7850</f>
        <v>119.87892</v>
      </c>
      <c r="I354" s="8" t="n">
        <v>4</v>
      </c>
      <c r="J354" s="14" t="n">
        <f aca="false">H354*I354</f>
        <v>479.51568</v>
      </c>
      <c r="K354" s="8" t="s">
        <v>491</v>
      </c>
    </row>
    <row r="355" s="9" customFormat="true" ht="19.5" hidden="true" customHeight="true" outlineLevel="0" collapsed="false">
      <c r="A355" s="8" t="s">
        <v>443</v>
      </c>
      <c r="B355" s="8" t="s">
        <v>42</v>
      </c>
      <c r="C355" s="8" t="s">
        <v>239</v>
      </c>
      <c r="D355" s="8" t="s">
        <v>40</v>
      </c>
      <c r="E355" s="8" t="n">
        <v>1800</v>
      </c>
      <c r="F355" s="8" t="n">
        <v>606</v>
      </c>
      <c r="G355" s="8" t="n">
        <v>14</v>
      </c>
      <c r="H355" s="13" t="n">
        <f aca="false">(E355/1000)*(F355/1000)*(G355/1000)*7850</f>
        <v>119.87892</v>
      </c>
      <c r="I355" s="8" t="n">
        <v>6</v>
      </c>
      <c r="J355" s="14" t="n">
        <f aca="false">H355*I355</f>
        <v>719.27352</v>
      </c>
      <c r="K355" s="8" t="s">
        <v>491</v>
      </c>
    </row>
    <row r="356" s="9" customFormat="true" ht="19.5" hidden="true" customHeight="true" outlineLevel="0" collapsed="false">
      <c r="A356" s="8" t="s">
        <v>443</v>
      </c>
      <c r="B356" s="8" t="s">
        <v>492</v>
      </c>
      <c r="C356" s="8" t="s">
        <v>78</v>
      </c>
      <c r="D356" s="8" t="s">
        <v>341</v>
      </c>
      <c r="E356" s="8" t="n">
        <v>1800</v>
      </c>
      <c r="F356" s="8" t="n">
        <v>1200</v>
      </c>
      <c r="G356" s="8" t="n">
        <v>32</v>
      </c>
      <c r="H356" s="13" t="n">
        <f aca="false">(E356/1000)*(F356/1000)*(G356/1000)*7850</f>
        <v>542.592</v>
      </c>
      <c r="I356" s="8" t="n">
        <v>5</v>
      </c>
      <c r="J356" s="14" t="n">
        <f aca="false">H356*I356</f>
        <v>2712.96</v>
      </c>
      <c r="K356" s="8" t="s">
        <v>493</v>
      </c>
    </row>
    <row r="357" s="9" customFormat="true" ht="19.5" hidden="true" customHeight="true" outlineLevel="0" collapsed="false">
      <c r="A357" s="8" t="s">
        <v>443</v>
      </c>
      <c r="B357" s="8" t="s">
        <v>42</v>
      </c>
      <c r="C357" s="8" t="s">
        <v>82</v>
      </c>
      <c r="D357" s="8" t="s">
        <v>341</v>
      </c>
      <c r="E357" s="8" t="n">
        <v>1800</v>
      </c>
      <c r="F357" s="8" t="n">
        <v>602</v>
      </c>
      <c r="G357" s="8" t="n">
        <v>44</v>
      </c>
      <c r="H357" s="13" t="n">
        <f aca="false">(E357/1000)*(F357/1000)*(G357/1000)*7850</f>
        <v>374.27544</v>
      </c>
      <c r="I357" s="8" t="n">
        <v>6</v>
      </c>
      <c r="J357" s="14" t="n">
        <f aca="false">H357*I357</f>
        <v>2245.65264</v>
      </c>
      <c r="K357" s="8" t="s">
        <v>494</v>
      </c>
    </row>
    <row r="358" s="9" customFormat="true" ht="19.5" hidden="true" customHeight="true" outlineLevel="0" collapsed="false">
      <c r="A358" s="8" t="s">
        <v>443</v>
      </c>
      <c r="B358" s="8" t="s">
        <v>42</v>
      </c>
      <c r="C358" s="8" t="s">
        <v>87</v>
      </c>
      <c r="D358" s="8" t="s">
        <v>341</v>
      </c>
      <c r="E358" s="8" t="n">
        <v>2800</v>
      </c>
      <c r="F358" s="8" t="n">
        <v>2650</v>
      </c>
      <c r="G358" s="8" t="n">
        <v>100</v>
      </c>
      <c r="H358" s="13" t="n">
        <f aca="false">(E358/1000)*(F358/1000)*(G358/1000)*7850</f>
        <v>5824.7</v>
      </c>
      <c r="I358" s="8" t="n">
        <v>1</v>
      </c>
      <c r="J358" s="14" t="n">
        <f aca="false">H358*I358</f>
        <v>5824.7</v>
      </c>
      <c r="K358" s="8" t="s">
        <v>495</v>
      </c>
    </row>
    <row r="359" s="9" customFormat="true" ht="19.5" hidden="true" customHeight="true" outlineLevel="0" collapsed="false">
      <c r="A359" s="8" t="s">
        <v>443</v>
      </c>
      <c r="B359" s="8" t="s">
        <v>42</v>
      </c>
      <c r="C359" s="8" t="s">
        <v>90</v>
      </c>
      <c r="D359" s="8" t="s">
        <v>341</v>
      </c>
      <c r="E359" s="8" t="n">
        <v>1000</v>
      </c>
      <c r="F359" s="8" t="n">
        <v>568</v>
      </c>
      <c r="G359" s="8" t="n">
        <v>32</v>
      </c>
      <c r="H359" s="13" t="n">
        <f aca="false">(E359/1000)*(F359/1000)*(G359/1000)*7850</f>
        <v>142.6816</v>
      </c>
      <c r="I359" s="8" t="n">
        <v>4</v>
      </c>
      <c r="J359" s="14" t="n">
        <f aca="false">H359*I359</f>
        <v>570.7264</v>
      </c>
      <c r="K359" s="8" t="s">
        <v>496</v>
      </c>
    </row>
    <row r="360" s="9" customFormat="true" ht="19.5" hidden="true" customHeight="true" outlineLevel="0" collapsed="false">
      <c r="A360" s="8" t="s">
        <v>443</v>
      </c>
      <c r="B360" s="8" t="s">
        <v>42</v>
      </c>
      <c r="C360" s="8" t="s">
        <v>94</v>
      </c>
      <c r="D360" s="8" t="s">
        <v>341</v>
      </c>
      <c r="E360" s="8" t="n">
        <v>1350</v>
      </c>
      <c r="F360" s="8" t="n">
        <v>570</v>
      </c>
      <c r="G360" s="8" t="n">
        <v>32</v>
      </c>
      <c r="H360" s="13" t="n">
        <f aca="false">(E360/1000)*(F360/1000)*(G360/1000)*7850</f>
        <v>193.2984</v>
      </c>
      <c r="I360" s="8" t="n">
        <v>4</v>
      </c>
      <c r="J360" s="14" t="n">
        <f aca="false">H360*I360</f>
        <v>773.1936</v>
      </c>
      <c r="K360" s="8" t="s">
        <v>497</v>
      </c>
    </row>
    <row r="361" s="9" customFormat="true" ht="19.5" hidden="true" customHeight="true" outlineLevel="0" collapsed="false">
      <c r="A361" s="8" t="s">
        <v>498</v>
      </c>
      <c r="B361" s="8" t="s">
        <v>38</v>
      </c>
      <c r="C361" s="8" t="s">
        <v>179</v>
      </c>
      <c r="D361" s="8" t="s">
        <v>341</v>
      </c>
      <c r="E361" s="8"/>
      <c r="F361" s="8"/>
      <c r="G361" s="8" t="n">
        <v>40</v>
      </c>
      <c r="H361" s="13" t="n">
        <f aca="false">M361*(G361/1000)*7850</f>
        <v>4797.92</v>
      </c>
      <c r="I361" s="8" t="n">
        <v>1</v>
      </c>
      <c r="J361" s="14" t="n">
        <f aca="false">H361*I361</f>
        <v>4797.92</v>
      </c>
      <c r="K361" s="8" t="s">
        <v>499</v>
      </c>
      <c r="M361" s="15" t="n">
        <v>15.28</v>
      </c>
    </row>
    <row r="362" s="9" customFormat="true" ht="19.5" hidden="true" customHeight="true" outlineLevel="0" collapsed="false">
      <c r="A362" s="8" t="s">
        <v>498</v>
      </c>
      <c r="B362" s="8" t="s">
        <v>42</v>
      </c>
      <c r="C362" s="8" t="s">
        <v>243</v>
      </c>
      <c r="D362" s="8" t="s">
        <v>341</v>
      </c>
      <c r="E362" s="8"/>
      <c r="F362" s="8"/>
      <c r="G362" s="8" t="n">
        <v>40</v>
      </c>
      <c r="H362" s="13" t="n">
        <f aca="false">M362*(G362/1000)*7850</f>
        <v>4226.44</v>
      </c>
      <c r="I362" s="8" t="n">
        <v>1</v>
      </c>
      <c r="J362" s="14" t="n">
        <f aca="false">H362*I362</f>
        <v>4226.44</v>
      </c>
      <c r="K362" s="8" t="s">
        <v>500</v>
      </c>
      <c r="M362" s="15" t="n">
        <v>13.46</v>
      </c>
    </row>
    <row r="363" s="9" customFormat="true" ht="19.5" hidden="false" customHeight="true" outlineLevel="0" collapsed="false">
      <c r="A363" s="8" t="s">
        <v>498</v>
      </c>
      <c r="B363" s="8" t="s">
        <v>45</v>
      </c>
      <c r="C363" s="8" t="s">
        <v>292</v>
      </c>
      <c r="D363" s="8" t="s">
        <v>341</v>
      </c>
      <c r="E363" s="8" t="n">
        <v>7900</v>
      </c>
      <c r="F363" s="8" t="n">
        <v>1200</v>
      </c>
      <c r="G363" s="8" t="n">
        <v>40</v>
      </c>
      <c r="H363" s="13" t="n">
        <f aca="false">(E363/1000)*(F363/1000)*(G363/1000)*7850</f>
        <v>2976.72</v>
      </c>
      <c r="I363" s="8" t="n">
        <v>1</v>
      </c>
      <c r="J363" s="14" t="n">
        <f aca="false">H363*I363</f>
        <v>2976.72</v>
      </c>
      <c r="K363" s="8" t="s">
        <v>501</v>
      </c>
    </row>
    <row r="364" s="9" customFormat="true" ht="19.5" hidden="false" customHeight="true" outlineLevel="0" collapsed="false">
      <c r="A364" s="8" t="s">
        <v>498</v>
      </c>
      <c r="B364" s="8" t="s">
        <v>42</v>
      </c>
      <c r="C364" s="8" t="s">
        <v>185</v>
      </c>
      <c r="D364" s="8" t="s">
        <v>341</v>
      </c>
      <c r="E364" s="8" t="n">
        <v>6950</v>
      </c>
      <c r="F364" s="8" t="n">
        <v>1200</v>
      </c>
      <c r="G364" s="8" t="n">
        <v>40</v>
      </c>
      <c r="H364" s="13" t="n">
        <f aca="false">(E364/1000)*(F364/1000)*(G364/1000)*7850</f>
        <v>2618.76</v>
      </c>
      <c r="I364" s="8" t="n">
        <v>1</v>
      </c>
      <c r="J364" s="14" t="n">
        <f aca="false">H364*I364</f>
        <v>2618.76</v>
      </c>
      <c r="K364" s="8" t="s">
        <v>502</v>
      </c>
    </row>
    <row r="365" s="9" customFormat="true" ht="19.5" hidden="true" customHeight="true" outlineLevel="0" collapsed="false">
      <c r="A365" s="8" t="s">
        <v>498</v>
      </c>
      <c r="B365" s="8" t="s">
        <v>187</v>
      </c>
      <c r="C365" s="8" t="s">
        <v>188</v>
      </c>
      <c r="D365" s="8" t="s">
        <v>341</v>
      </c>
      <c r="E365" s="8"/>
      <c r="F365" s="8"/>
      <c r="G365" s="8" t="n">
        <v>44</v>
      </c>
      <c r="H365" s="13" t="n">
        <f aca="false">M365*(G365/1000)*7850</f>
        <v>8897.504</v>
      </c>
      <c r="I365" s="8" t="n">
        <v>2</v>
      </c>
      <c r="J365" s="14" t="n">
        <f aca="false">H365*I365</f>
        <v>17795.008</v>
      </c>
      <c r="K365" s="8" t="s">
        <v>503</v>
      </c>
      <c r="M365" s="15" t="n">
        <v>25.76</v>
      </c>
    </row>
    <row r="366" s="9" customFormat="true" ht="19.5" hidden="true" customHeight="true" outlineLevel="0" collapsed="false">
      <c r="A366" s="8" t="s">
        <v>498</v>
      </c>
      <c r="B366" s="8" t="s">
        <v>190</v>
      </c>
      <c r="C366" s="8" t="s">
        <v>191</v>
      </c>
      <c r="D366" s="8" t="s">
        <v>341</v>
      </c>
      <c r="E366" s="8" t="n">
        <v>7150</v>
      </c>
      <c r="F366" s="8" t="n">
        <v>2048</v>
      </c>
      <c r="G366" s="8" t="n">
        <v>48</v>
      </c>
      <c r="H366" s="13" t="n">
        <f aca="false">(E366/1000)*(F366/1000)*(G366/1000)*7850</f>
        <v>5517.55776</v>
      </c>
      <c r="I366" s="8" t="n">
        <v>2</v>
      </c>
      <c r="J366" s="14" t="n">
        <f aca="false">H366*I366</f>
        <v>11035.11552</v>
      </c>
      <c r="K366" s="8" t="s">
        <v>504</v>
      </c>
    </row>
    <row r="367" s="9" customFormat="true" ht="19.5" hidden="false" customHeight="true" outlineLevel="0" collapsed="false">
      <c r="A367" s="8" t="s">
        <v>498</v>
      </c>
      <c r="B367" s="8" t="s">
        <v>195</v>
      </c>
      <c r="C367" s="8" t="s">
        <v>58</v>
      </c>
      <c r="D367" s="8" t="s">
        <v>40</v>
      </c>
      <c r="E367" s="8" t="n">
        <v>1960</v>
      </c>
      <c r="F367" s="8" t="n">
        <v>1200</v>
      </c>
      <c r="G367" s="8" t="n">
        <v>16</v>
      </c>
      <c r="H367" s="13" t="n">
        <f aca="false">(E367/1000)*(F367/1000)*(G367/1000)*7850</f>
        <v>295.4112</v>
      </c>
      <c r="I367" s="8" t="n">
        <v>3</v>
      </c>
      <c r="J367" s="14" t="n">
        <f aca="false">H367*I367</f>
        <v>886.2336</v>
      </c>
      <c r="K367" s="8" t="s">
        <v>505</v>
      </c>
    </row>
    <row r="368" s="9" customFormat="true" ht="19.5" hidden="true" customHeight="true" outlineLevel="0" collapsed="false">
      <c r="A368" s="8" t="s">
        <v>498</v>
      </c>
      <c r="B368" s="8" t="s">
        <v>42</v>
      </c>
      <c r="C368" s="8" t="s">
        <v>194</v>
      </c>
      <c r="D368" s="8" t="s">
        <v>40</v>
      </c>
      <c r="E368" s="8" t="n">
        <v>1960</v>
      </c>
      <c r="F368" s="8" t="n">
        <v>1200</v>
      </c>
      <c r="G368" s="8" t="n">
        <v>16</v>
      </c>
      <c r="H368" s="13" t="n">
        <f aca="false">(E368/1000)*(F368/1000)*(G368/1000)*7850</f>
        <v>295.4112</v>
      </c>
      <c r="I368" s="8" t="n">
        <v>2</v>
      </c>
      <c r="J368" s="14" t="n">
        <f aca="false">H368*I368</f>
        <v>590.8224</v>
      </c>
      <c r="K368" s="8" t="s">
        <v>505</v>
      </c>
    </row>
    <row r="369" s="9" customFormat="true" ht="19.5" hidden="true" customHeight="true" outlineLevel="0" collapsed="false">
      <c r="A369" s="8" t="s">
        <v>498</v>
      </c>
      <c r="B369" s="8" t="s">
        <v>42</v>
      </c>
      <c r="C369" s="8" t="s">
        <v>196</v>
      </c>
      <c r="D369" s="8" t="s">
        <v>40</v>
      </c>
      <c r="E369" s="8" t="n">
        <v>2057</v>
      </c>
      <c r="F369" s="8" t="n">
        <v>200</v>
      </c>
      <c r="G369" s="8" t="n">
        <v>16</v>
      </c>
      <c r="H369" s="13" t="n">
        <f aca="false">(E369/1000)*(F369/1000)*(G369/1000)*7850</f>
        <v>51.67184</v>
      </c>
      <c r="I369" s="8" t="n">
        <v>3</v>
      </c>
      <c r="J369" s="14" t="n">
        <f aca="false">H369*I369</f>
        <v>155.01552</v>
      </c>
      <c r="K369" s="8" t="s">
        <v>506</v>
      </c>
    </row>
    <row r="370" s="9" customFormat="true" ht="19.5" hidden="true" customHeight="true" outlineLevel="0" collapsed="false">
      <c r="A370" s="8" t="s">
        <v>498</v>
      </c>
      <c r="B370" s="8" t="s">
        <v>42</v>
      </c>
      <c r="C370" s="8" t="s">
        <v>68</v>
      </c>
      <c r="D370" s="8" t="s">
        <v>289</v>
      </c>
      <c r="E370" s="8" t="n">
        <v>800</v>
      </c>
      <c r="F370" s="8" t="n">
        <v>400</v>
      </c>
      <c r="G370" s="8" t="n">
        <v>16</v>
      </c>
      <c r="H370" s="13" t="n">
        <f aca="false">(E370/1000)*(F370/1000)*(G370/1000)*7850</f>
        <v>40.192</v>
      </c>
      <c r="I370" s="8" t="n">
        <v>4</v>
      </c>
      <c r="J370" s="14" t="n">
        <f aca="false">H370*I370</f>
        <v>160.768</v>
      </c>
      <c r="K370" s="8" t="s">
        <v>507</v>
      </c>
    </row>
    <row r="371" s="9" customFormat="true" ht="19.5" hidden="true" customHeight="true" outlineLevel="0" collapsed="false">
      <c r="A371" s="8" t="s">
        <v>498</v>
      </c>
      <c r="B371" s="8" t="s">
        <v>508</v>
      </c>
      <c r="C371" s="8" t="s">
        <v>199</v>
      </c>
      <c r="D371" s="8" t="s">
        <v>341</v>
      </c>
      <c r="E371" s="8" t="n">
        <v>7900</v>
      </c>
      <c r="F371" s="8" t="n">
        <v>320</v>
      </c>
      <c r="G371" s="8" t="n">
        <v>32</v>
      </c>
      <c r="H371" s="13" t="n">
        <f aca="false">(E371/1000)*(F371/1000)*(G371/1000)*7850</f>
        <v>635.0336</v>
      </c>
      <c r="I371" s="8" t="n">
        <v>6</v>
      </c>
      <c r="J371" s="14" t="n">
        <f aca="false">H371*I371</f>
        <v>3810.2016</v>
      </c>
      <c r="K371" s="8" t="s">
        <v>509</v>
      </c>
    </row>
    <row r="372" s="9" customFormat="true" ht="19.5" hidden="true" customHeight="true" outlineLevel="0" collapsed="false">
      <c r="A372" s="8" t="s">
        <v>498</v>
      </c>
      <c r="B372" s="8" t="s">
        <v>42</v>
      </c>
      <c r="C372" s="8" t="s">
        <v>76</v>
      </c>
      <c r="D372" s="8" t="s">
        <v>341</v>
      </c>
      <c r="E372" s="8" t="n">
        <v>6950</v>
      </c>
      <c r="F372" s="8" t="n">
        <v>320</v>
      </c>
      <c r="G372" s="8" t="n">
        <v>32</v>
      </c>
      <c r="H372" s="13" t="n">
        <f aca="false">(E372/1000)*(F372/1000)*(G372/1000)*7850</f>
        <v>558.6688</v>
      </c>
      <c r="I372" s="8" t="n">
        <v>6</v>
      </c>
      <c r="J372" s="14" t="n">
        <f aca="false">H372*I372</f>
        <v>3352.0128</v>
      </c>
      <c r="K372" s="8" t="s">
        <v>510</v>
      </c>
    </row>
    <row r="373" s="9" customFormat="true" ht="19.5" hidden="true" customHeight="true" outlineLevel="0" collapsed="false">
      <c r="A373" s="8" t="s">
        <v>498</v>
      </c>
      <c r="B373" s="8" t="s">
        <v>256</v>
      </c>
      <c r="C373" s="8" t="s">
        <v>96</v>
      </c>
      <c r="D373" s="8" t="s">
        <v>341</v>
      </c>
      <c r="E373" s="8" t="n">
        <v>8050</v>
      </c>
      <c r="F373" s="8" t="n">
        <v>2500</v>
      </c>
      <c r="G373" s="8" t="n">
        <v>32</v>
      </c>
      <c r="H373" s="13" t="n">
        <f aca="false">(E373/1000)*(F373/1000)*(G373/1000)*7850</f>
        <v>5055.4</v>
      </c>
      <c r="I373" s="8" t="n">
        <v>1</v>
      </c>
      <c r="J373" s="14" t="n">
        <f aca="false">H373*I373</f>
        <v>5055.4</v>
      </c>
      <c r="K373" s="8" t="s">
        <v>511</v>
      </c>
    </row>
    <row r="374" s="9" customFormat="true" ht="19.5" hidden="true" customHeight="true" outlineLevel="0" collapsed="false">
      <c r="A374" s="8" t="s">
        <v>498</v>
      </c>
      <c r="B374" s="8" t="s">
        <v>42</v>
      </c>
      <c r="C374" s="8" t="s">
        <v>203</v>
      </c>
      <c r="D374" s="8" t="s">
        <v>40</v>
      </c>
      <c r="E374" s="8" t="n">
        <v>7101</v>
      </c>
      <c r="F374" s="8" t="n">
        <v>2500</v>
      </c>
      <c r="G374" s="8" t="n">
        <v>24</v>
      </c>
      <c r="H374" s="13" t="n">
        <f aca="false">(E374/1000)*(F374/1000)*(G374/1000)*7850</f>
        <v>3344.571</v>
      </c>
      <c r="I374" s="8" t="n">
        <v>1</v>
      </c>
      <c r="J374" s="14" t="n">
        <f aca="false">H374*I374</f>
        <v>3344.571</v>
      </c>
      <c r="K374" s="8" t="s">
        <v>512</v>
      </c>
    </row>
    <row r="375" s="9" customFormat="true" ht="19.5" hidden="false" customHeight="true" outlineLevel="0" collapsed="false">
      <c r="A375" s="8" t="s">
        <v>498</v>
      </c>
      <c r="B375" s="8" t="s">
        <v>260</v>
      </c>
      <c r="C375" s="8" t="s">
        <v>100</v>
      </c>
      <c r="D375" s="8" t="s">
        <v>341</v>
      </c>
      <c r="E375" s="8"/>
      <c r="F375" s="8"/>
      <c r="G375" s="8" t="n">
        <v>32</v>
      </c>
      <c r="H375" s="13" t="n">
        <f aca="false">M375*(G375/1000)*7850</f>
        <v>3305.792</v>
      </c>
      <c r="I375" s="8" t="n">
        <v>1</v>
      </c>
      <c r="J375" s="14" t="n">
        <f aca="false">H375*I375</f>
        <v>3305.792</v>
      </c>
      <c r="K375" s="8" t="s">
        <v>513</v>
      </c>
      <c r="M375" s="15" t="n">
        <v>13.16</v>
      </c>
    </row>
    <row r="376" s="9" customFormat="true" ht="19.5" hidden="true" customHeight="true" outlineLevel="0" collapsed="false">
      <c r="A376" s="8" t="s">
        <v>498</v>
      </c>
      <c r="B376" s="8" t="s">
        <v>42</v>
      </c>
      <c r="C376" s="8" t="s">
        <v>206</v>
      </c>
      <c r="D376" s="8" t="s">
        <v>40</v>
      </c>
      <c r="E376" s="8"/>
      <c r="F376" s="8"/>
      <c r="G376" s="8" t="n">
        <v>24</v>
      </c>
      <c r="H376" s="13" t="n">
        <f aca="false">M376*(G376/1000)*7850</f>
        <v>2096.892</v>
      </c>
      <c r="I376" s="8" t="n">
        <v>1</v>
      </c>
      <c r="J376" s="14" t="n">
        <f aca="false">H376*I376</f>
        <v>2096.892</v>
      </c>
      <c r="K376" s="8" t="s">
        <v>514</v>
      </c>
      <c r="M376" s="15" t="n">
        <v>11.13</v>
      </c>
    </row>
    <row r="377" s="9" customFormat="true" ht="19.5" hidden="false" customHeight="true" outlineLevel="0" collapsed="false">
      <c r="A377" s="8" t="s">
        <v>498</v>
      </c>
      <c r="B377" s="8" t="s">
        <v>105</v>
      </c>
      <c r="C377" s="8" t="s">
        <v>103</v>
      </c>
      <c r="D377" s="8" t="s">
        <v>341</v>
      </c>
      <c r="E377" s="8"/>
      <c r="F377" s="8"/>
      <c r="G377" s="8" t="n">
        <v>44</v>
      </c>
      <c r="H377" s="13" t="n">
        <f aca="false">M377*(G377/1000)*7850</f>
        <v>8462.3</v>
      </c>
      <c r="I377" s="8" t="n">
        <v>2</v>
      </c>
      <c r="J377" s="14" t="n">
        <f aca="false">H377*I377</f>
        <v>16924.6</v>
      </c>
      <c r="K377" s="8" t="s">
        <v>515</v>
      </c>
      <c r="L377" s="8"/>
      <c r="M377" s="15" t="n">
        <v>24.5</v>
      </c>
      <c r="N377" s="15"/>
      <c r="O377" s="15"/>
      <c r="P377" s="15"/>
      <c r="Q377" s="15"/>
      <c r="R377" s="15"/>
      <c r="S377" s="15"/>
      <c r="T377" s="15"/>
      <c r="U377" s="15"/>
      <c r="V377" s="15"/>
      <c r="W377" s="8"/>
    </row>
    <row r="378" s="9" customFormat="true" ht="19.5" hidden="false" customHeight="true" outlineLevel="0" collapsed="false">
      <c r="A378" s="8" t="s">
        <v>498</v>
      </c>
      <c r="B378" s="8" t="s">
        <v>102</v>
      </c>
      <c r="C378" s="8" t="s">
        <v>106</v>
      </c>
      <c r="D378" s="8" t="s">
        <v>40</v>
      </c>
      <c r="E378" s="8" t="n">
        <v>7301</v>
      </c>
      <c r="F378" s="8" t="n">
        <v>1880</v>
      </c>
      <c r="G378" s="8" t="n">
        <v>32</v>
      </c>
      <c r="H378" s="13" t="n">
        <f aca="false">(E378/1000)*(F378/1000)*(G378/1000)*7850</f>
        <v>3447.941056</v>
      </c>
      <c r="I378" s="8" t="n">
        <v>2</v>
      </c>
      <c r="J378" s="14" t="n">
        <f aca="false">H378*I378</f>
        <v>6895.882112</v>
      </c>
      <c r="K378" s="8" t="s">
        <v>516</v>
      </c>
    </row>
    <row r="379" s="9" customFormat="true" ht="19.5" hidden="true" customHeight="true" outlineLevel="0" collapsed="false">
      <c r="A379" s="8" t="s">
        <v>498</v>
      </c>
      <c r="B379" s="8" t="s">
        <v>110</v>
      </c>
      <c r="C379" s="8" t="s">
        <v>108</v>
      </c>
      <c r="D379" s="8" t="s">
        <v>40</v>
      </c>
      <c r="E379" s="8" t="n">
        <v>1800</v>
      </c>
      <c r="F379" s="8" t="n">
        <v>1200</v>
      </c>
      <c r="G379" s="8" t="n">
        <v>16</v>
      </c>
      <c r="H379" s="13" t="n">
        <f aca="false">(E379/1000)*(F379/1000)*(G379/1000)*7850</f>
        <v>271.296</v>
      </c>
      <c r="I379" s="8" t="n">
        <v>3</v>
      </c>
      <c r="J379" s="14" t="n">
        <f aca="false">H379*I379</f>
        <v>813.888</v>
      </c>
      <c r="K379" s="8" t="s">
        <v>517</v>
      </c>
    </row>
    <row r="380" s="9" customFormat="true" ht="19.5" hidden="true" customHeight="true" outlineLevel="0" collapsed="false">
      <c r="A380" s="8" t="s">
        <v>498</v>
      </c>
      <c r="B380" s="8" t="s">
        <v>42</v>
      </c>
      <c r="C380" s="8" t="s">
        <v>112</v>
      </c>
      <c r="D380" s="8" t="s">
        <v>40</v>
      </c>
      <c r="E380" s="8" t="n">
        <v>1800</v>
      </c>
      <c r="F380" s="8" t="n">
        <v>1200</v>
      </c>
      <c r="G380" s="8" t="n">
        <v>16</v>
      </c>
      <c r="H380" s="13" t="n">
        <f aca="false">(E380/1000)*(F380/1000)*(G380/1000)*7850</f>
        <v>271.296</v>
      </c>
      <c r="I380" s="8" t="n">
        <v>2</v>
      </c>
      <c r="J380" s="14" t="n">
        <f aca="false">H380*I380</f>
        <v>542.592</v>
      </c>
      <c r="K380" s="8" t="s">
        <v>517</v>
      </c>
    </row>
    <row r="381" s="9" customFormat="true" ht="19.5" hidden="true" customHeight="true" outlineLevel="0" collapsed="false">
      <c r="A381" s="8" t="s">
        <v>498</v>
      </c>
      <c r="B381" s="8" t="s">
        <v>42</v>
      </c>
      <c r="C381" s="8" t="s">
        <v>108</v>
      </c>
      <c r="D381" s="8" t="s">
        <v>40</v>
      </c>
      <c r="E381" s="8" t="n">
        <v>2057</v>
      </c>
      <c r="F381" s="8" t="n">
        <v>200</v>
      </c>
      <c r="G381" s="8" t="n">
        <v>16</v>
      </c>
      <c r="H381" s="13" t="n">
        <f aca="false">(E381/1000)*(F381/1000)*(G381/1000)*7850</f>
        <v>51.67184</v>
      </c>
      <c r="I381" s="8" t="n">
        <v>3</v>
      </c>
      <c r="J381" s="14" t="n">
        <f aca="false">H381*I381</f>
        <v>155.01552</v>
      </c>
      <c r="K381" s="8" t="s">
        <v>506</v>
      </c>
    </row>
    <row r="382" s="9" customFormat="true" ht="19.5" hidden="true" customHeight="true" outlineLevel="0" collapsed="false">
      <c r="A382" s="8" t="s">
        <v>498</v>
      </c>
      <c r="B382" s="8" t="s">
        <v>518</v>
      </c>
      <c r="C382" s="8" t="s">
        <v>114</v>
      </c>
      <c r="D382" s="8" t="s">
        <v>341</v>
      </c>
      <c r="E382" s="8" t="n">
        <v>8050</v>
      </c>
      <c r="F382" s="8" t="n">
        <v>320</v>
      </c>
      <c r="G382" s="8" t="n">
        <v>32</v>
      </c>
      <c r="H382" s="13" t="n">
        <f aca="false">(E382/1000)*(F382/1000)*(G382/1000)*7850</f>
        <v>647.0912</v>
      </c>
      <c r="I382" s="8" t="n">
        <v>4</v>
      </c>
      <c r="J382" s="14" t="n">
        <f aca="false">H382*I382</f>
        <v>2588.3648</v>
      </c>
      <c r="K382" s="8" t="s">
        <v>519</v>
      </c>
    </row>
    <row r="383" s="9" customFormat="true" ht="19.5" hidden="true" customHeight="true" outlineLevel="0" collapsed="false">
      <c r="A383" s="8" t="s">
        <v>498</v>
      </c>
      <c r="B383" s="8" t="s">
        <v>42</v>
      </c>
      <c r="C383" s="8" t="s">
        <v>116</v>
      </c>
      <c r="D383" s="8" t="s">
        <v>40</v>
      </c>
      <c r="E383" s="8" t="n">
        <v>7101</v>
      </c>
      <c r="F383" s="8" t="n">
        <v>320</v>
      </c>
      <c r="G383" s="8" t="n">
        <v>32</v>
      </c>
      <c r="H383" s="13" t="n">
        <f aca="false">(E383/1000)*(F383/1000)*(G383/1000)*7850</f>
        <v>570.806784</v>
      </c>
      <c r="I383" s="8" t="n">
        <v>4</v>
      </c>
      <c r="J383" s="14" t="n">
        <f aca="false">H383*I383</f>
        <v>2283.227136</v>
      </c>
      <c r="K383" s="8" t="s">
        <v>520</v>
      </c>
    </row>
    <row r="384" s="9" customFormat="true" ht="19.5" hidden="true" customHeight="true" outlineLevel="0" collapsed="false">
      <c r="A384" s="8" t="s">
        <v>498</v>
      </c>
      <c r="B384" s="8" t="s">
        <v>42</v>
      </c>
      <c r="C384" s="8" t="s">
        <v>118</v>
      </c>
      <c r="D384" s="8" t="s">
        <v>40</v>
      </c>
      <c r="E384" s="8" t="n">
        <v>15151</v>
      </c>
      <c r="F384" s="8" t="n">
        <v>170</v>
      </c>
      <c r="G384" s="8" t="n">
        <v>14</v>
      </c>
      <c r="H384" s="13" t="n">
        <f aca="false">(E384/1000)*(F384/1000)*(G384/1000)*7850</f>
        <v>283.066133</v>
      </c>
      <c r="I384" s="8" t="n">
        <v>2</v>
      </c>
      <c r="J384" s="14" t="n">
        <f aca="false">H384*I384</f>
        <v>566.132266</v>
      </c>
      <c r="K384" s="8" t="s">
        <v>521</v>
      </c>
    </row>
    <row r="385" s="9" customFormat="true" ht="19.5" hidden="true" customHeight="true" outlineLevel="0" collapsed="false">
      <c r="A385" s="8" t="s">
        <v>498</v>
      </c>
      <c r="B385" s="8" t="s">
        <v>272</v>
      </c>
      <c r="C385" s="8" t="s">
        <v>125</v>
      </c>
      <c r="D385" s="8" t="s">
        <v>40</v>
      </c>
      <c r="E385" s="8" t="n">
        <v>11850</v>
      </c>
      <c r="F385" s="8" t="n">
        <v>1200</v>
      </c>
      <c r="G385" s="8" t="n">
        <v>40</v>
      </c>
      <c r="H385" s="13" t="n">
        <f aca="false">(E385/1000)*(F385/1000)*(G385/1000)*7850</f>
        <v>4465.08</v>
      </c>
      <c r="I385" s="8" t="n">
        <v>1</v>
      </c>
      <c r="J385" s="14" t="n">
        <f aca="false">H385*I385</f>
        <v>4465.08</v>
      </c>
      <c r="K385" s="8" t="s">
        <v>522</v>
      </c>
    </row>
    <row r="386" s="9" customFormat="true" ht="19.5" hidden="true" customHeight="true" outlineLevel="0" collapsed="false">
      <c r="A386" s="8" t="s">
        <v>498</v>
      </c>
      <c r="B386" s="8" t="s">
        <v>42</v>
      </c>
      <c r="C386" s="8" t="s">
        <v>127</v>
      </c>
      <c r="D386" s="8" t="s">
        <v>40</v>
      </c>
      <c r="E386" s="8" t="n">
        <v>11950</v>
      </c>
      <c r="F386" s="8" t="n">
        <v>1200</v>
      </c>
      <c r="G386" s="8" t="n">
        <v>40</v>
      </c>
      <c r="H386" s="13" t="n">
        <f aca="false">(E386/1000)*(F386/1000)*(G386/1000)*7850</f>
        <v>4502.76</v>
      </c>
      <c r="I386" s="8" t="n">
        <v>1</v>
      </c>
      <c r="J386" s="14" t="n">
        <f aca="false">H386*I386</f>
        <v>4502.76</v>
      </c>
      <c r="K386" s="8" t="s">
        <v>523</v>
      </c>
    </row>
    <row r="387" s="9" customFormat="true" ht="19.5" hidden="true" customHeight="true" outlineLevel="0" collapsed="false">
      <c r="A387" s="8" t="s">
        <v>498</v>
      </c>
      <c r="B387" s="8" t="s">
        <v>42</v>
      </c>
      <c r="C387" s="8" t="s">
        <v>128</v>
      </c>
      <c r="D387" s="8" t="s">
        <v>40</v>
      </c>
      <c r="E387" s="8" t="n">
        <v>8050</v>
      </c>
      <c r="F387" s="8" t="n">
        <v>1760</v>
      </c>
      <c r="G387" s="8" t="n">
        <v>40</v>
      </c>
      <c r="H387" s="13" t="n">
        <f aca="false">(E387/1000)*(F387/1000)*(G387/1000)*7850</f>
        <v>4448.752</v>
      </c>
      <c r="I387" s="8" t="n">
        <v>2</v>
      </c>
      <c r="J387" s="14" t="n">
        <f aca="false">H387*I387</f>
        <v>8897.504</v>
      </c>
      <c r="K387" s="8" t="s">
        <v>524</v>
      </c>
    </row>
    <row r="388" s="9" customFormat="true" ht="19.5" hidden="true" customHeight="true" outlineLevel="0" collapsed="false">
      <c r="A388" s="8" t="s">
        <v>498</v>
      </c>
      <c r="B388" s="8" t="s">
        <v>42</v>
      </c>
      <c r="C388" s="8" t="s">
        <v>130</v>
      </c>
      <c r="D388" s="8" t="s">
        <v>40</v>
      </c>
      <c r="E388" s="8" t="n">
        <v>8050</v>
      </c>
      <c r="F388" s="8" t="n">
        <v>320</v>
      </c>
      <c r="G388" s="8" t="n">
        <v>32</v>
      </c>
      <c r="H388" s="13" t="n">
        <f aca="false">(E388/1000)*(F388/1000)*(G388/1000)*7850</f>
        <v>647.0912</v>
      </c>
      <c r="I388" s="8" t="n">
        <v>4</v>
      </c>
      <c r="J388" s="14" t="n">
        <f aca="false">H388*I388</f>
        <v>2588.3648</v>
      </c>
      <c r="K388" s="8" t="s">
        <v>519</v>
      </c>
    </row>
    <row r="389" s="9" customFormat="true" ht="19.5" hidden="false" customHeight="true" outlineLevel="0" collapsed="false">
      <c r="A389" s="8" t="s">
        <v>498</v>
      </c>
      <c r="B389" s="8" t="s">
        <v>42</v>
      </c>
      <c r="C389" s="8" t="s">
        <v>132</v>
      </c>
      <c r="D389" s="8" t="s">
        <v>40</v>
      </c>
      <c r="E389" s="8" t="n">
        <v>10450</v>
      </c>
      <c r="F389" s="8" t="n">
        <v>320</v>
      </c>
      <c r="G389" s="8" t="n">
        <v>32</v>
      </c>
      <c r="H389" s="13" t="n">
        <f aca="false">(E389/1000)*(F389/1000)*(G389/1000)*7850</f>
        <v>840.0128</v>
      </c>
      <c r="I389" s="8" t="n">
        <v>1</v>
      </c>
      <c r="J389" s="14" t="n">
        <f aca="false">H389*I389</f>
        <v>840.0128</v>
      </c>
      <c r="K389" s="8" t="s">
        <v>525</v>
      </c>
    </row>
    <row r="390" s="9" customFormat="true" ht="19.5" hidden="false" customHeight="true" outlineLevel="0" collapsed="false">
      <c r="A390" s="8" t="s">
        <v>498</v>
      </c>
      <c r="B390" s="8" t="s">
        <v>42</v>
      </c>
      <c r="C390" s="8" t="s">
        <v>135</v>
      </c>
      <c r="D390" s="8" t="s">
        <v>40</v>
      </c>
      <c r="E390" s="8" t="n">
        <v>1200</v>
      </c>
      <c r="F390" s="8" t="n">
        <v>1600</v>
      </c>
      <c r="G390" s="8" t="n">
        <v>16</v>
      </c>
      <c r="H390" s="13" t="n">
        <f aca="false">(E390/1000)*(F390/1000)*(G390/1000)*7850</f>
        <v>241.152</v>
      </c>
      <c r="I390" s="8" t="n">
        <v>3</v>
      </c>
      <c r="J390" s="14" t="n">
        <f aca="false">H390*I390</f>
        <v>723.456</v>
      </c>
      <c r="K390" s="8" t="s">
        <v>526</v>
      </c>
    </row>
    <row r="391" s="9" customFormat="true" ht="19.5" hidden="true" customHeight="true" outlineLevel="0" collapsed="false">
      <c r="A391" s="8" t="s">
        <v>498</v>
      </c>
      <c r="B391" s="8" t="s">
        <v>42</v>
      </c>
      <c r="C391" s="8" t="s">
        <v>137</v>
      </c>
      <c r="D391" s="8" t="s">
        <v>40</v>
      </c>
      <c r="E391" s="8" t="n">
        <v>5711</v>
      </c>
      <c r="F391" s="8" t="n">
        <v>1200</v>
      </c>
      <c r="G391" s="8" t="n">
        <v>36</v>
      </c>
      <c r="H391" s="13" t="n">
        <f aca="false">(E391/1000)*(F391/1000)*(G391/1000)*7850</f>
        <v>1936.71432</v>
      </c>
      <c r="I391" s="8" t="n">
        <v>1</v>
      </c>
      <c r="J391" s="14" t="n">
        <f aca="false">H391*I391</f>
        <v>1936.71432</v>
      </c>
      <c r="K391" s="8" t="s">
        <v>527</v>
      </c>
    </row>
    <row r="392" s="9" customFormat="true" ht="19.5" hidden="true" customHeight="true" outlineLevel="0" collapsed="false">
      <c r="A392" s="8" t="s">
        <v>498</v>
      </c>
      <c r="B392" s="8" t="s">
        <v>42</v>
      </c>
      <c r="C392" s="8" t="s">
        <v>374</v>
      </c>
      <c r="D392" s="8" t="s">
        <v>289</v>
      </c>
      <c r="E392" s="8" t="n">
        <v>6011</v>
      </c>
      <c r="F392" s="8" t="n">
        <v>1200</v>
      </c>
      <c r="G392" s="8" t="n">
        <v>36</v>
      </c>
      <c r="H392" s="13" t="n">
        <f aca="false">(E392/1000)*(F392/1000)*(G392/1000)*7850</f>
        <v>2038.45032</v>
      </c>
      <c r="I392" s="8" t="n">
        <v>1</v>
      </c>
      <c r="J392" s="14" t="n">
        <f aca="false">H392*I392</f>
        <v>2038.45032</v>
      </c>
      <c r="K392" s="8" t="s">
        <v>528</v>
      </c>
    </row>
    <row r="393" s="9" customFormat="true" ht="19.5" hidden="false" customHeight="true" outlineLevel="0" collapsed="false">
      <c r="A393" s="8" t="s">
        <v>498</v>
      </c>
      <c r="B393" s="8" t="s">
        <v>42</v>
      </c>
      <c r="C393" s="8" t="s">
        <v>141</v>
      </c>
      <c r="D393" s="8" t="s">
        <v>40</v>
      </c>
      <c r="E393" s="8" t="n">
        <v>3911</v>
      </c>
      <c r="F393" s="8" t="n">
        <v>1360</v>
      </c>
      <c r="G393" s="8" t="n">
        <v>36</v>
      </c>
      <c r="H393" s="13" t="n">
        <f aca="false">(E393/1000)*(F393/1000)*(G393/1000)*7850</f>
        <v>1503.138096</v>
      </c>
      <c r="I393" s="8" t="n">
        <v>2</v>
      </c>
      <c r="J393" s="14" t="n">
        <f aca="false">H393*I393</f>
        <v>3006.276192</v>
      </c>
      <c r="K393" s="8" t="s">
        <v>529</v>
      </c>
    </row>
    <row r="394" s="9" customFormat="true" ht="19.5" hidden="true" customHeight="true" outlineLevel="0" collapsed="false">
      <c r="A394" s="8" t="s">
        <v>498</v>
      </c>
      <c r="B394" s="8" t="s">
        <v>42</v>
      </c>
      <c r="C394" s="8" t="s">
        <v>143</v>
      </c>
      <c r="D394" s="8" t="s">
        <v>40</v>
      </c>
      <c r="E394" s="8" t="n">
        <v>3911</v>
      </c>
      <c r="F394" s="8" t="n">
        <v>320</v>
      </c>
      <c r="G394" s="8" t="n">
        <v>32</v>
      </c>
      <c r="H394" s="13" t="n">
        <f aca="false">(E394/1000)*(F394/1000)*(G394/1000)*7850</f>
        <v>314.381824</v>
      </c>
      <c r="I394" s="8" t="n">
        <v>2</v>
      </c>
      <c r="J394" s="14" t="n">
        <f aca="false">H394*I394</f>
        <v>628.763648</v>
      </c>
      <c r="K394" s="8" t="s">
        <v>530</v>
      </c>
    </row>
    <row r="395" s="9" customFormat="true" ht="19.5" hidden="true" customHeight="true" outlineLevel="0" collapsed="false">
      <c r="A395" s="8" t="s">
        <v>498</v>
      </c>
      <c r="B395" s="8" t="s">
        <v>42</v>
      </c>
      <c r="C395" s="8" t="s">
        <v>326</v>
      </c>
      <c r="D395" s="8" t="s">
        <v>40</v>
      </c>
      <c r="E395" s="8" t="n">
        <v>5011</v>
      </c>
      <c r="F395" s="8" t="n">
        <v>320</v>
      </c>
      <c r="G395" s="8" t="n">
        <v>32</v>
      </c>
      <c r="H395" s="13" t="n">
        <f aca="false">(E395/1000)*(F395/1000)*(G395/1000)*7850</f>
        <v>402.804224</v>
      </c>
      <c r="I395" s="8" t="n">
        <v>1</v>
      </c>
      <c r="J395" s="14" t="n">
        <f aca="false">H395*I395</f>
        <v>402.804224</v>
      </c>
      <c r="K395" s="8" t="s">
        <v>531</v>
      </c>
    </row>
    <row r="396" s="9" customFormat="true" ht="19.5" hidden="true" customHeight="true" outlineLevel="0" collapsed="false">
      <c r="A396" s="8" t="s">
        <v>498</v>
      </c>
      <c r="B396" s="8" t="s">
        <v>42</v>
      </c>
      <c r="C396" s="8" t="s">
        <v>147</v>
      </c>
      <c r="D396" s="8" t="s">
        <v>40</v>
      </c>
      <c r="E396" s="8" t="n">
        <v>5311</v>
      </c>
      <c r="F396" s="8" t="n">
        <v>320</v>
      </c>
      <c r="G396" s="8" t="n">
        <v>32</v>
      </c>
      <c r="H396" s="13" t="n">
        <f aca="false">(E396/1000)*(F396/1000)*(G396/1000)*7850</f>
        <v>426.919424</v>
      </c>
      <c r="I396" s="8" t="n">
        <v>1</v>
      </c>
      <c r="J396" s="14" t="n">
        <f aca="false">H396*I396</f>
        <v>426.919424</v>
      </c>
      <c r="K396" s="8" t="s">
        <v>532</v>
      </c>
    </row>
    <row r="397" s="9" customFormat="true" ht="19.5" hidden="true" customHeight="true" outlineLevel="0" collapsed="false">
      <c r="A397" s="8" t="s">
        <v>498</v>
      </c>
      <c r="B397" s="8" t="s">
        <v>42</v>
      </c>
      <c r="C397" s="8" t="s">
        <v>149</v>
      </c>
      <c r="D397" s="8" t="s">
        <v>40</v>
      </c>
      <c r="E397" s="8" t="n">
        <v>1200</v>
      </c>
      <c r="F397" s="8" t="n">
        <v>1200</v>
      </c>
      <c r="G397" s="8" t="n">
        <v>16</v>
      </c>
      <c r="H397" s="13" t="n">
        <f aca="false">(E397/1000)*(F397/1000)*(G397/1000)*7850</f>
        <v>180.864</v>
      </c>
      <c r="I397" s="8" t="n">
        <v>2</v>
      </c>
      <c r="J397" s="14" t="n">
        <f aca="false">H397*I397</f>
        <v>361.728</v>
      </c>
      <c r="K397" s="8" t="s">
        <v>533</v>
      </c>
    </row>
    <row r="398" s="9" customFormat="true" ht="19.5" hidden="true" customHeight="true" outlineLevel="0" collapsed="false">
      <c r="A398" s="8" t="s">
        <v>498</v>
      </c>
      <c r="B398" s="8" t="s">
        <v>171</v>
      </c>
      <c r="C398" s="8" t="s">
        <v>150</v>
      </c>
      <c r="D398" s="8" t="s">
        <v>40</v>
      </c>
      <c r="E398" s="8" t="n">
        <v>5979</v>
      </c>
      <c r="F398" s="8" t="n">
        <v>1200</v>
      </c>
      <c r="G398" s="8" t="n">
        <v>36</v>
      </c>
      <c r="H398" s="13" t="n">
        <f aca="false">(E398/1000)*(F398/1000)*(G398/1000)*7850</f>
        <v>2027.59848</v>
      </c>
      <c r="I398" s="8" t="n">
        <v>1</v>
      </c>
      <c r="J398" s="14" t="n">
        <f aca="false">H398*I398</f>
        <v>2027.59848</v>
      </c>
      <c r="K398" s="8" t="s">
        <v>534</v>
      </c>
    </row>
    <row r="399" s="9" customFormat="true" ht="19.5" hidden="true" customHeight="true" outlineLevel="0" collapsed="false">
      <c r="A399" s="8" t="s">
        <v>498</v>
      </c>
      <c r="B399" s="8" t="s">
        <v>42</v>
      </c>
      <c r="C399" s="8" t="s">
        <v>152</v>
      </c>
      <c r="D399" s="8" t="s">
        <v>40</v>
      </c>
      <c r="E399" s="8" t="n">
        <v>5779</v>
      </c>
      <c r="F399" s="8" t="n">
        <v>1200</v>
      </c>
      <c r="G399" s="8" t="n">
        <v>36</v>
      </c>
      <c r="H399" s="13" t="n">
        <f aca="false">(E399/1000)*(F399/1000)*(G399/1000)*7850</f>
        <v>1959.77448</v>
      </c>
      <c r="I399" s="8" t="n">
        <v>1</v>
      </c>
      <c r="J399" s="14" t="n">
        <f aca="false">H399*I399</f>
        <v>1959.77448</v>
      </c>
      <c r="K399" s="8" t="s">
        <v>535</v>
      </c>
    </row>
    <row r="400" s="9" customFormat="true" ht="19.5" hidden="true" customHeight="true" outlineLevel="0" collapsed="false">
      <c r="A400" s="8" t="s">
        <v>498</v>
      </c>
      <c r="B400" s="8" t="s">
        <v>42</v>
      </c>
      <c r="C400" s="8" t="s">
        <v>155</v>
      </c>
      <c r="D400" s="8" t="s">
        <v>40</v>
      </c>
      <c r="E400" s="8" t="n">
        <v>3979</v>
      </c>
      <c r="F400" s="8" t="n">
        <v>1760</v>
      </c>
      <c r="G400" s="8" t="n">
        <v>36</v>
      </c>
      <c r="H400" s="13" t="n">
        <f aca="false">(E400/1000)*(F400/1000)*(G400/1000)*7850</f>
        <v>1979.059104</v>
      </c>
      <c r="I400" s="8" t="n">
        <v>2</v>
      </c>
      <c r="J400" s="14" t="n">
        <f aca="false">H400*I400</f>
        <v>3958.118208</v>
      </c>
      <c r="K400" s="8" t="s">
        <v>536</v>
      </c>
    </row>
    <row r="401" s="9" customFormat="true" ht="19.5" hidden="false" customHeight="true" outlineLevel="0" collapsed="false">
      <c r="A401" s="8" t="s">
        <v>498</v>
      </c>
      <c r="B401" s="8" t="s">
        <v>42</v>
      </c>
      <c r="C401" s="8" t="s">
        <v>160</v>
      </c>
      <c r="D401" s="8" t="s">
        <v>40</v>
      </c>
      <c r="E401" s="8" t="n">
        <v>3979</v>
      </c>
      <c r="F401" s="8" t="n">
        <v>320</v>
      </c>
      <c r="G401" s="8" t="n">
        <v>32</v>
      </c>
      <c r="H401" s="13" t="n">
        <f aca="false">(E401/1000)*(F401/1000)*(G401/1000)*7850</f>
        <v>319.847936</v>
      </c>
      <c r="I401" s="8" t="n">
        <v>4</v>
      </c>
      <c r="J401" s="14" t="n">
        <f aca="false">H401*I401</f>
        <v>1279.391744</v>
      </c>
      <c r="K401" s="8" t="s">
        <v>537</v>
      </c>
    </row>
    <row r="402" s="9" customFormat="true" ht="19.5" hidden="true" customHeight="true" outlineLevel="0" collapsed="false">
      <c r="A402" s="8" t="s">
        <v>498</v>
      </c>
      <c r="B402" s="8" t="s">
        <v>42</v>
      </c>
      <c r="C402" s="8" t="s">
        <v>226</v>
      </c>
      <c r="D402" s="8" t="s">
        <v>40</v>
      </c>
      <c r="E402" s="8" t="n">
        <v>5279</v>
      </c>
      <c r="F402" s="8" t="n">
        <v>320</v>
      </c>
      <c r="G402" s="8" t="n">
        <v>32</v>
      </c>
      <c r="H402" s="13" t="n">
        <f aca="false">(E402/1000)*(F402/1000)*(G402/1000)*7850</f>
        <v>424.347136</v>
      </c>
      <c r="I402" s="8" t="n">
        <v>1</v>
      </c>
      <c r="J402" s="14" t="n">
        <f aca="false">H402*I402</f>
        <v>424.347136</v>
      </c>
      <c r="K402" s="8" t="s">
        <v>538</v>
      </c>
    </row>
    <row r="403" s="9" customFormat="true" ht="19.5" hidden="false" customHeight="true" outlineLevel="0" collapsed="false">
      <c r="A403" s="8" t="s">
        <v>498</v>
      </c>
      <c r="B403" s="8" t="s">
        <v>42</v>
      </c>
      <c r="C403" s="8" t="s">
        <v>165</v>
      </c>
      <c r="D403" s="8" t="s">
        <v>40</v>
      </c>
      <c r="E403" s="8" t="n">
        <v>5079</v>
      </c>
      <c r="F403" s="8" t="n">
        <v>320</v>
      </c>
      <c r="G403" s="8" t="n">
        <v>32</v>
      </c>
      <c r="H403" s="13" t="n">
        <f aca="false">(E403/1000)*(F403/1000)*(G403/1000)*7850</f>
        <v>408.270336</v>
      </c>
      <c r="I403" s="8" t="n">
        <v>1</v>
      </c>
      <c r="J403" s="14" t="n">
        <f aca="false">H403*I403</f>
        <v>408.270336</v>
      </c>
      <c r="K403" s="8" t="s">
        <v>539</v>
      </c>
      <c r="L403" s="8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8"/>
    </row>
    <row r="404" s="9" customFormat="true" ht="19.5" hidden="false" customHeight="true" outlineLevel="0" collapsed="false">
      <c r="A404" s="8" t="s">
        <v>498</v>
      </c>
      <c r="B404" s="8" t="s">
        <v>42</v>
      </c>
      <c r="C404" s="8" t="s">
        <v>158</v>
      </c>
      <c r="D404" s="8" t="s">
        <v>40</v>
      </c>
      <c r="E404" s="8" t="n">
        <v>1200</v>
      </c>
      <c r="F404" s="8" t="n">
        <v>1600</v>
      </c>
      <c r="G404" s="8" t="n">
        <v>16</v>
      </c>
      <c r="H404" s="13" t="n">
        <f aca="false">(E404/1000)*(F404/1000)*(G404/1000)*7850</f>
        <v>241.152</v>
      </c>
      <c r="I404" s="8" t="n">
        <v>2</v>
      </c>
      <c r="J404" s="14" t="n">
        <f aca="false">H404*I404</f>
        <v>482.304</v>
      </c>
      <c r="K404" s="8" t="s">
        <v>526</v>
      </c>
    </row>
    <row r="405" s="9" customFormat="true" ht="19.5" hidden="true" customHeight="true" outlineLevel="0" collapsed="false">
      <c r="A405" s="8" t="s">
        <v>498</v>
      </c>
      <c r="B405" s="8" t="s">
        <v>42</v>
      </c>
      <c r="C405" s="8" t="s">
        <v>388</v>
      </c>
      <c r="D405" s="8" t="s">
        <v>40</v>
      </c>
      <c r="E405" s="8" t="n">
        <v>2000</v>
      </c>
      <c r="F405" s="8" t="n">
        <v>320</v>
      </c>
      <c r="G405" s="8" t="n">
        <v>32</v>
      </c>
      <c r="H405" s="13" t="n">
        <f aca="false">(E405/1000)*(F405/1000)*(G405/1000)*7850</f>
        <v>160.768</v>
      </c>
      <c r="I405" s="8" t="n">
        <v>8</v>
      </c>
      <c r="J405" s="14" t="n">
        <f aca="false">H405*I405</f>
        <v>1286.144</v>
      </c>
      <c r="K405" s="8" t="s">
        <v>540</v>
      </c>
    </row>
    <row r="406" s="9" customFormat="true" ht="19.5" hidden="true" customHeight="true" outlineLevel="0" collapsed="false">
      <c r="A406" s="8" t="s">
        <v>498</v>
      </c>
      <c r="B406" s="8" t="s">
        <v>64</v>
      </c>
      <c r="C406" s="8" t="s">
        <v>167</v>
      </c>
      <c r="D406" s="8" t="s">
        <v>40</v>
      </c>
      <c r="E406" s="8" t="n">
        <v>1960</v>
      </c>
      <c r="F406" s="8" t="n">
        <v>606</v>
      </c>
      <c r="G406" s="8" t="n">
        <v>14</v>
      </c>
      <c r="H406" s="13" t="n">
        <f aca="false">(E406/1000)*(F406/1000)*(G406/1000)*7850</f>
        <v>130.534824</v>
      </c>
      <c r="I406" s="8" t="n">
        <v>6</v>
      </c>
      <c r="J406" s="14" t="n">
        <f aca="false">H406*I406</f>
        <v>783.208944</v>
      </c>
      <c r="K406" s="8" t="s">
        <v>541</v>
      </c>
    </row>
    <row r="407" s="9" customFormat="true" ht="19.5" hidden="true" customHeight="true" outlineLevel="0" collapsed="false">
      <c r="A407" s="8" t="s">
        <v>498</v>
      </c>
      <c r="B407" s="8" t="s">
        <v>42</v>
      </c>
      <c r="C407" s="8" t="s">
        <v>233</v>
      </c>
      <c r="D407" s="8" t="s">
        <v>40</v>
      </c>
      <c r="E407" s="8" t="n">
        <v>1960</v>
      </c>
      <c r="F407" s="8" t="n">
        <v>602</v>
      </c>
      <c r="G407" s="8" t="n">
        <v>14</v>
      </c>
      <c r="H407" s="13" t="n">
        <f aca="false">(E407/1000)*(F407/1000)*(G407/1000)*7850</f>
        <v>129.673208</v>
      </c>
      <c r="I407" s="8" t="n">
        <v>4</v>
      </c>
      <c r="J407" s="14" t="n">
        <f aca="false">H407*I407</f>
        <v>518.692832</v>
      </c>
      <c r="K407" s="8" t="s">
        <v>542</v>
      </c>
    </row>
    <row r="408" s="9" customFormat="true" ht="19.5" hidden="true" customHeight="true" outlineLevel="0" collapsed="false">
      <c r="A408" s="8" t="s">
        <v>498</v>
      </c>
      <c r="B408" s="8" t="s">
        <v>42</v>
      </c>
      <c r="C408" s="8" t="s">
        <v>169</v>
      </c>
      <c r="D408" s="8" t="s">
        <v>40</v>
      </c>
      <c r="E408" s="8"/>
      <c r="F408" s="8"/>
      <c r="G408" s="8" t="n">
        <v>24</v>
      </c>
      <c r="H408" s="13" t="n">
        <f aca="false">M408*(G408/1000)*7850</f>
        <v>88.548</v>
      </c>
      <c r="I408" s="8" t="n">
        <v>6</v>
      </c>
      <c r="J408" s="14" t="n">
        <f aca="false">H408*I408</f>
        <v>531.288</v>
      </c>
      <c r="K408" s="8" t="s">
        <v>543</v>
      </c>
      <c r="M408" s="15" t="n">
        <v>0.47</v>
      </c>
    </row>
    <row r="409" s="9" customFormat="true" ht="19.5" hidden="true" customHeight="true" outlineLevel="0" collapsed="false">
      <c r="A409" s="8" t="s">
        <v>498</v>
      </c>
      <c r="B409" s="8" t="s">
        <v>42</v>
      </c>
      <c r="C409" s="8" t="s">
        <v>236</v>
      </c>
      <c r="D409" s="8" t="s">
        <v>40</v>
      </c>
      <c r="E409" s="8"/>
      <c r="F409" s="8"/>
      <c r="G409" s="8" t="n">
        <v>24</v>
      </c>
      <c r="H409" s="13" t="n">
        <f aca="false">M409*(G409/1000)*7850</f>
        <v>90.432</v>
      </c>
      <c r="I409" s="8" t="n">
        <v>4</v>
      </c>
      <c r="J409" s="14" t="n">
        <f aca="false">H409*I409</f>
        <v>361.728</v>
      </c>
      <c r="K409" s="8" t="s">
        <v>544</v>
      </c>
      <c r="M409" s="15" t="n">
        <v>0.48</v>
      </c>
    </row>
    <row r="410" s="9" customFormat="true" ht="19.5" hidden="true" customHeight="true" outlineLevel="0" collapsed="false">
      <c r="A410" s="8" t="s">
        <v>498</v>
      </c>
      <c r="B410" s="8" t="s">
        <v>42</v>
      </c>
      <c r="C410" s="8" t="s">
        <v>172</v>
      </c>
      <c r="D410" s="8" t="s">
        <v>40</v>
      </c>
      <c r="E410" s="8" t="n">
        <v>1800</v>
      </c>
      <c r="F410" s="8" t="n">
        <v>606</v>
      </c>
      <c r="G410" s="8" t="n">
        <v>14</v>
      </c>
      <c r="H410" s="13" t="n">
        <f aca="false">(E410/1000)*(F410/1000)*(G410/1000)*7850</f>
        <v>119.87892</v>
      </c>
      <c r="I410" s="8" t="n">
        <v>6</v>
      </c>
      <c r="J410" s="14" t="n">
        <f aca="false">H410*I410</f>
        <v>719.27352</v>
      </c>
      <c r="K410" s="8" t="s">
        <v>545</v>
      </c>
    </row>
    <row r="411" s="9" customFormat="true" ht="19.5" hidden="true" customHeight="true" outlineLevel="0" collapsed="false">
      <c r="A411" s="8" t="s">
        <v>498</v>
      </c>
      <c r="B411" s="8" t="s">
        <v>42</v>
      </c>
      <c r="C411" s="8" t="s">
        <v>546</v>
      </c>
      <c r="D411" s="8" t="s">
        <v>40</v>
      </c>
      <c r="E411" s="8" t="n">
        <v>1800</v>
      </c>
      <c r="F411" s="8" t="n">
        <v>618</v>
      </c>
      <c r="G411" s="8" t="n">
        <v>14</v>
      </c>
      <c r="H411" s="13" t="n">
        <f aca="false">(E411/1000)*(F411/1000)*(G411/1000)*7850</f>
        <v>122.25276</v>
      </c>
      <c r="I411" s="8" t="n">
        <v>4</v>
      </c>
      <c r="J411" s="14" t="n">
        <f aca="false">H411*I411</f>
        <v>489.01104</v>
      </c>
      <c r="K411" s="8" t="s">
        <v>547</v>
      </c>
    </row>
    <row r="412" s="9" customFormat="true" ht="19.5" hidden="true" customHeight="true" outlineLevel="0" collapsed="false">
      <c r="A412" s="8" t="s">
        <v>548</v>
      </c>
      <c r="B412" s="8" t="s">
        <v>38</v>
      </c>
      <c r="C412" s="8" t="s">
        <v>179</v>
      </c>
      <c r="D412" s="8" t="s">
        <v>40</v>
      </c>
      <c r="E412" s="8"/>
      <c r="F412" s="8"/>
      <c r="G412" s="8" t="n">
        <v>20</v>
      </c>
      <c r="H412" s="13" t="n">
        <f aca="false">M412*(G412/1000)*7850</f>
        <v>2398.96</v>
      </c>
      <c r="I412" s="8" t="n">
        <v>1</v>
      </c>
      <c r="J412" s="14" t="n">
        <f aca="false">H412*I412</f>
        <v>2398.96</v>
      </c>
      <c r="K412" s="8" t="s">
        <v>549</v>
      </c>
      <c r="M412" s="15" t="n">
        <v>15.28</v>
      </c>
    </row>
    <row r="413" s="9" customFormat="true" ht="19.5" hidden="true" customHeight="true" outlineLevel="0" collapsed="false">
      <c r="A413" s="8" t="s">
        <v>548</v>
      </c>
      <c r="B413" s="8" t="s">
        <v>42</v>
      </c>
      <c r="C413" s="8" t="s">
        <v>243</v>
      </c>
      <c r="D413" s="8" t="s">
        <v>40</v>
      </c>
      <c r="E413" s="8"/>
      <c r="F413" s="8"/>
      <c r="G413" s="8" t="n">
        <v>24</v>
      </c>
      <c r="H413" s="13" t="n">
        <f aca="false">M413*(G413/1000)*7850</f>
        <v>2586.732</v>
      </c>
      <c r="I413" s="8" t="n">
        <v>1</v>
      </c>
      <c r="J413" s="14" t="n">
        <f aca="false">H413*I413</f>
        <v>2586.732</v>
      </c>
      <c r="K413" s="8" t="s">
        <v>550</v>
      </c>
      <c r="M413" s="15" t="n">
        <v>13.73</v>
      </c>
    </row>
    <row r="414" s="9" customFormat="true" ht="19.5" hidden="true" customHeight="true" outlineLevel="0" collapsed="false">
      <c r="A414" s="8" t="s">
        <v>548</v>
      </c>
      <c r="B414" s="8" t="s">
        <v>45</v>
      </c>
      <c r="C414" s="8" t="s">
        <v>292</v>
      </c>
      <c r="D414" s="8" t="s">
        <v>40</v>
      </c>
      <c r="E414" s="8" t="n">
        <v>7900</v>
      </c>
      <c r="F414" s="8" t="n">
        <v>1200</v>
      </c>
      <c r="G414" s="8" t="n">
        <v>20</v>
      </c>
      <c r="H414" s="13" t="n">
        <f aca="false">(E414/1000)*(F414/1000)*(G414/1000)*7850</f>
        <v>1488.36</v>
      </c>
      <c r="I414" s="8" t="n">
        <v>1</v>
      </c>
      <c r="J414" s="14" t="n">
        <f aca="false">H414*I414</f>
        <v>1488.36</v>
      </c>
      <c r="K414" s="8" t="s">
        <v>551</v>
      </c>
    </row>
    <row r="415" s="9" customFormat="true" ht="19.5" hidden="true" customHeight="true" outlineLevel="0" collapsed="false">
      <c r="A415" s="8" t="s">
        <v>548</v>
      </c>
      <c r="B415" s="8" t="s">
        <v>42</v>
      </c>
      <c r="C415" s="8" t="s">
        <v>185</v>
      </c>
      <c r="D415" s="8" t="s">
        <v>40</v>
      </c>
      <c r="E415" s="8" t="n">
        <v>7100</v>
      </c>
      <c r="F415" s="8" t="n">
        <v>1200</v>
      </c>
      <c r="G415" s="8" t="n">
        <v>24</v>
      </c>
      <c r="H415" s="13" t="n">
        <f aca="false">(E415/1000)*(F415/1000)*(G415/1000)*7850</f>
        <v>1605.168</v>
      </c>
      <c r="I415" s="8" t="n">
        <v>1</v>
      </c>
      <c r="J415" s="14" t="n">
        <f aca="false">H415*I415</f>
        <v>1605.168</v>
      </c>
      <c r="K415" s="8" t="s">
        <v>552</v>
      </c>
    </row>
    <row r="416" s="9" customFormat="true" ht="19.5" hidden="true" customHeight="true" outlineLevel="0" collapsed="false">
      <c r="A416" s="8" t="s">
        <v>548</v>
      </c>
      <c r="B416" s="8" t="s">
        <v>187</v>
      </c>
      <c r="C416" s="8" t="s">
        <v>188</v>
      </c>
      <c r="D416" s="8" t="s">
        <v>40</v>
      </c>
      <c r="E416" s="8"/>
      <c r="F416" s="8"/>
      <c r="G416" s="8" t="n">
        <v>40</v>
      </c>
      <c r="H416" s="13" t="n">
        <f aca="false">M416*(G416/1000)*7850</f>
        <v>7705.56</v>
      </c>
      <c r="I416" s="8" t="n">
        <v>2</v>
      </c>
      <c r="J416" s="14" t="n">
        <f aca="false">H416*I416</f>
        <v>15411.12</v>
      </c>
      <c r="K416" s="8" t="s">
        <v>553</v>
      </c>
      <c r="M416" s="15" t="n">
        <v>24.54</v>
      </c>
    </row>
    <row r="417" s="9" customFormat="true" ht="19.5" hidden="true" customHeight="true" outlineLevel="0" collapsed="false">
      <c r="A417" s="8" t="s">
        <v>548</v>
      </c>
      <c r="B417" s="8" t="s">
        <v>190</v>
      </c>
      <c r="C417" s="8" t="s">
        <v>191</v>
      </c>
      <c r="D417" s="8" t="s">
        <v>40</v>
      </c>
      <c r="E417" s="8" t="n">
        <v>7300</v>
      </c>
      <c r="F417" s="8" t="n">
        <v>2048</v>
      </c>
      <c r="G417" s="8" t="n">
        <v>32</v>
      </c>
      <c r="H417" s="13" t="n">
        <f aca="false">(E417/1000)*(F417/1000)*(G417/1000)*7850</f>
        <v>3755.54048</v>
      </c>
      <c r="I417" s="8" t="n">
        <v>2</v>
      </c>
      <c r="J417" s="14" t="n">
        <f aca="false">H417*I417</f>
        <v>7511.08096</v>
      </c>
      <c r="K417" s="8" t="s">
        <v>554</v>
      </c>
    </row>
    <row r="418" s="9" customFormat="true" ht="19.5" hidden="false" customHeight="true" outlineLevel="0" collapsed="false">
      <c r="A418" s="8" t="s">
        <v>548</v>
      </c>
      <c r="B418" s="8" t="s">
        <v>195</v>
      </c>
      <c r="C418" s="8" t="s">
        <v>58</v>
      </c>
      <c r="D418" s="8" t="s">
        <v>40</v>
      </c>
      <c r="E418" s="8" t="n">
        <v>1980</v>
      </c>
      <c r="F418" s="8" t="n">
        <v>1200</v>
      </c>
      <c r="G418" s="8" t="n">
        <v>16</v>
      </c>
      <c r="H418" s="13" t="n">
        <f aca="false">(E418/1000)*(F418/1000)*(G418/1000)*7850</f>
        <v>298.4256</v>
      </c>
      <c r="I418" s="8" t="n">
        <v>3</v>
      </c>
      <c r="J418" s="14" t="n">
        <f aca="false">H418*I418</f>
        <v>895.2768</v>
      </c>
      <c r="K418" s="8" t="s">
        <v>555</v>
      </c>
    </row>
    <row r="419" s="9" customFormat="true" ht="19.5" hidden="false" customHeight="true" outlineLevel="0" collapsed="false">
      <c r="A419" s="8" t="s">
        <v>548</v>
      </c>
      <c r="B419" s="8" t="s">
        <v>42</v>
      </c>
      <c r="C419" s="8" t="s">
        <v>298</v>
      </c>
      <c r="D419" s="8" t="s">
        <v>40</v>
      </c>
      <c r="E419" s="8" t="n">
        <v>1976</v>
      </c>
      <c r="F419" s="8" t="n">
        <v>1200</v>
      </c>
      <c r="G419" s="8" t="n">
        <v>16</v>
      </c>
      <c r="H419" s="13" t="n">
        <f aca="false">(E419/1000)*(F419/1000)*(G419/1000)*7850</f>
        <v>297.82272</v>
      </c>
      <c r="I419" s="8" t="n">
        <v>2</v>
      </c>
      <c r="J419" s="14" t="n">
        <f aca="false">H419*I419</f>
        <v>595.64544</v>
      </c>
      <c r="K419" s="8" t="s">
        <v>556</v>
      </c>
    </row>
    <row r="420" s="9" customFormat="true" ht="19.5" hidden="true" customHeight="true" outlineLevel="0" collapsed="false">
      <c r="A420" s="8" t="s">
        <v>548</v>
      </c>
      <c r="B420" s="8" t="s">
        <v>42</v>
      </c>
      <c r="C420" s="8" t="s">
        <v>196</v>
      </c>
      <c r="D420" s="8" t="s">
        <v>40</v>
      </c>
      <c r="E420" s="8" t="n">
        <v>2057</v>
      </c>
      <c r="F420" s="8" t="n">
        <v>200</v>
      </c>
      <c r="G420" s="8" t="n">
        <v>16</v>
      </c>
      <c r="H420" s="13" t="n">
        <f aca="false">(E420/1000)*(F420/1000)*(G420/1000)*7850</f>
        <v>51.67184</v>
      </c>
      <c r="I420" s="8" t="n">
        <v>3</v>
      </c>
      <c r="J420" s="14" t="n">
        <f aca="false">H420*I420</f>
        <v>155.01552</v>
      </c>
      <c r="K420" s="8" t="s">
        <v>557</v>
      </c>
    </row>
    <row r="421" s="9" customFormat="true" ht="19.5" hidden="true" customHeight="true" outlineLevel="0" collapsed="false">
      <c r="A421" s="8" t="s">
        <v>548</v>
      </c>
      <c r="B421" s="8" t="s">
        <v>42</v>
      </c>
      <c r="C421" s="8" t="s">
        <v>68</v>
      </c>
      <c r="D421" s="8" t="s">
        <v>40</v>
      </c>
      <c r="E421" s="8" t="n">
        <v>800</v>
      </c>
      <c r="F421" s="8" t="n">
        <v>400</v>
      </c>
      <c r="G421" s="8" t="n">
        <v>16</v>
      </c>
      <c r="H421" s="13" t="n">
        <f aca="false">(E421/1000)*(F421/1000)*(G421/1000)*7850</f>
        <v>40.192</v>
      </c>
      <c r="I421" s="8" t="n">
        <v>4</v>
      </c>
      <c r="J421" s="14" t="n">
        <f aca="false">H421*I421</f>
        <v>160.768</v>
      </c>
      <c r="K421" s="8" t="s">
        <v>558</v>
      </c>
    </row>
    <row r="422" s="9" customFormat="true" ht="19.5" hidden="false" customHeight="true" outlineLevel="0" collapsed="false">
      <c r="A422" s="8" t="s">
        <v>548</v>
      </c>
      <c r="B422" s="8" t="s">
        <v>80</v>
      </c>
      <c r="C422" s="8" t="s">
        <v>199</v>
      </c>
      <c r="D422" s="8" t="s">
        <v>40</v>
      </c>
      <c r="E422" s="8" t="n">
        <v>7900</v>
      </c>
      <c r="F422" s="8" t="n">
        <v>280</v>
      </c>
      <c r="G422" s="8" t="n">
        <v>24</v>
      </c>
      <c r="H422" s="13" t="n">
        <f aca="false">(E422/1000)*(F422/1000)*(G422/1000)*7850</f>
        <v>416.7408</v>
      </c>
      <c r="I422" s="8" t="n">
        <v>6</v>
      </c>
      <c r="J422" s="14" t="n">
        <f aca="false">H422*I422</f>
        <v>2500.4448</v>
      </c>
      <c r="K422" s="8" t="s">
        <v>559</v>
      </c>
    </row>
    <row r="423" s="9" customFormat="true" ht="19.5" hidden="true" customHeight="true" outlineLevel="0" collapsed="false">
      <c r="A423" s="8" t="s">
        <v>548</v>
      </c>
      <c r="B423" s="8" t="s">
        <v>42</v>
      </c>
      <c r="C423" s="8" t="s">
        <v>76</v>
      </c>
      <c r="D423" s="8" t="s">
        <v>40</v>
      </c>
      <c r="E423" s="8" t="n">
        <v>7100</v>
      </c>
      <c r="F423" s="8" t="n">
        <v>320</v>
      </c>
      <c r="G423" s="8" t="n">
        <v>32</v>
      </c>
      <c r="H423" s="13" t="n">
        <f aca="false">(E423/1000)*(F423/1000)*(G423/1000)*7850</f>
        <v>570.7264</v>
      </c>
      <c r="I423" s="8" t="n">
        <v>6</v>
      </c>
      <c r="J423" s="14" t="n">
        <f aca="false">H423*I423</f>
        <v>3424.3584</v>
      </c>
      <c r="K423" s="8" t="s">
        <v>560</v>
      </c>
    </row>
    <row r="424" s="9" customFormat="true" ht="19.5" hidden="true" customHeight="true" outlineLevel="0" collapsed="false">
      <c r="A424" s="8" t="s">
        <v>548</v>
      </c>
      <c r="B424" s="8" t="s">
        <v>256</v>
      </c>
      <c r="C424" s="8" t="s">
        <v>257</v>
      </c>
      <c r="D424" s="8" t="s">
        <v>40</v>
      </c>
      <c r="E424" s="8" t="n">
        <v>7901</v>
      </c>
      <c r="F424" s="8" t="n">
        <v>2500</v>
      </c>
      <c r="G424" s="8" t="n">
        <v>24</v>
      </c>
      <c r="H424" s="13" t="n">
        <f aca="false">(E424/1000)*(F424/1000)*(G424/1000)*7850</f>
        <v>3721.371</v>
      </c>
      <c r="I424" s="8" t="n">
        <v>1</v>
      </c>
      <c r="J424" s="14" t="n">
        <f aca="false">H424*I424</f>
        <v>3721.371</v>
      </c>
      <c r="K424" s="8" t="s">
        <v>561</v>
      </c>
    </row>
    <row r="425" s="9" customFormat="true" ht="19.5" hidden="true" customHeight="true" outlineLevel="0" collapsed="false">
      <c r="A425" s="8" t="s">
        <v>548</v>
      </c>
      <c r="B425" s="8" t="s">
        <v>42</v>
      </c>
      <c r="C425" s="8" t="s">
        <v>305</v>
      </c>
      <c r="D425" s="8" t="s">
        <v>40</v>
      </c>
      <c r="E425" s="8" t="n">
        <v>7101</v>
      </c>
      <c r="F425" s="8" t="n">
        <v>2500</v>
      </c>
      <c r="G425" s="8" t="n">
        <v>24</v>
      </c>
      <c r="H425" s="13" t="n">
        <f aca="false">(E425/1000)*(F425/1000)*(G425/1000)*7850</f>
        <v>3344.571</v>
      </c>
      <c r="I425" s="8" t="n">
        <v>1</v>
      </c>
      <c r="J425" s="14" t="n">
        <f aca="false">H425*I425</f>
        <v>3344.571</v>
      </c>
      <c r="K425" s="8" t="s">
        <v>562</v>
      </c>
    </row>
    <row r="426" s="9" customFormat="true" ht="19.5" hidden="true" customHeight="true" outlineLevel="0" collapsed="false">
      <c r="A426" s="8" t="s">
        <v>548</v>
      </c>
      <c r="B426" s="8" t="s">
        <v>260</v>
      </c>
      <c r="C426" s="8" t="s">
        <v>307</v>
      </c>
      <c r="D426" s="8" t="s">
        <v>40</v>
      </c>
      <c r="E426" s="16"/>
      <c r="F426" s="8"/>
      <c r="G426" s="8" t="n">
        <v>24</v>
      </c>
      <c r="H426" s="13" t="n">
        <f aca="false">M426*(G426/1000)*7850</f>
        <v>2441.664</v>
      </c>
      <c r="I426" s="8" t="n">
        <v>1</v>
      </c>
      <c r="J426" s="14" t="n">
        <f aca="false">H426*I426</f>
        <v>2441.664</v>
      </c>
      <c r="K426" s="8" t="s">
        <v>563</v>
      </c>
      <c r="M426" s="15" t="n">
        <v>12.96</v>
      </c>
    </row>
    <row r="427" s="9" customFormat="true" ht="19.5" hidden="true" customHeight="true" outlineLevel="0" collapsed="false">
      <c r="A427" s="8" t="s">
        <v>548</v>
      </c>
      <c r="B427" s="8" t="s">
        <v>42</v>
      </c>
      <c r="C427" s="8" t="s">
        <v>206</v>
      </c>
      <c r="D427" s="8" t="s">
        <v>289</v>
      </c>
      <c r="E427" s="8"/>
      <c r="F427" s="8"/>
      <c r="G427" s="8" t="n">
        <v>24</v>
      </c>
      <c r="H427" s="13" t="n">
        <f aca="false">M427*(G427/1000)*7850</f>
        <v>2096.892</v>
      </c>
      <c r="I427" s="8" t="n">
        <v>1</v>
      </c>
      <c r="J427" s="14" t="n">
        <f aca="false">H427*I427</f>
        <v>2096.892</v>
      </c>
      <c r="K427" s="8" t="s">
        <v>564</v>
      </c>
      <c r="M427" s="15" t="n">
        <v>11.13</v>
      </c>
    </row>
    <row r="428" s="9" customFormat="true" ht="19.5" hidden="true" customHeight="true" outlineLevel="0" collapsed="false">
      <c r="A428" s="8" t="s">
        <v>548</v>
      </c>
      <c r="B428" s="8" t="s">
        <v>105</v>
      </c>
      <c r="C428" s="8" t="s">
        <v>103</v>
      </c>
      <c r="D428" s="8" t="s">
        <v>40</v>
      </c>
      <c r="E428" s="8"/>
      <c r="F428" s="8"/>
      <c r="G428" s="8" t="n">
        <v>48</v>
      </c>
      <c r="H428" s="13" t="n">
        <f aca="false">M428*(G428/1000)*7850</f>
        <v>8489.304</v>
      </c>
      <c r="I428" s="8" t="n">
        <v>2</v>
      </c>
      <c r="J428" s="14" t="n">
        <f aca="false">H428*I428</f>
        <v>16978.608</v>
      </c>
      <c r="K428" s="8" t="s">
        <v>565</v>
      </c>
      <c r="M428" s="15" t="n">
        <v>22.53</v>
      </c>
    </row>
    <row r="429" s="9" customFormat="true" ht="19.5" hidden="true" customHeight="true" outlineLevel="0" collapsed="false">
      <c r="A429" s="8" t="s">
        <v>548</v>
      </c>
      <c r="B429" s="8" t="s">
        <v>102</v>
      </c>
      <c r="C429" s="8" t="s">
        <v>264</v>
      </c>
      <c r="D429" s="8" t="s">
        <v>40</v>
      </c>
      <c r="E429" s="8" t="n">
        <v>7301</v>
      </c>
      <c r="F429" s="8" t="n">
        <v>1880</v>
      </c>
      <c r="G429" s="8" t="n">
        <v>32</v>
      </c>
      <c r="H429" s="13" t="n">
        <f aca="false">(E429/1000)*(F429/1000)*(G429/1000)*7850</f>
        <v>3447.941056</v>
      </c>
      <c r="I429" s="8" t="n">
        <v>2</v>
      </c>
      <c r="J429" s="14" t="n">
        <f aca="false">H429*I429</f>
        <v>6895.882112</v>
      </c>
      <c r="K429" s="8" t="s">
        <v>566</v>
      </c>
    </row>
    <row r="430" s="9" customFormat="true" ht="19.5" hidden="false" customHeight="true" outlineLevel="0" collapsed="false">
      <c r="A430" s="8" t="s">
        <v>548</v>
      </c>
      <c r="B430" s="8" t="s">
        <v>110</v>
      </c>
      <c r="C430" s="8" t="s">
        <v>108</v>
      </c>
      <c r="D430" s="8" t="s">
        <v>40</v>
      </c>
      <c r="E430" s="8" t="n">
        <v>1800</v>
      </c>
      <c r="F430" s="8" t="n">
        <v>1200</v>
      </c>
      <c r="G430" s="8" t="n">
        <v>16</v>
      </c>
      <c r="H430" s="13" t="n">
        <f aca="false">(E430/1000)*(F430/1000)*(G430/1000)*7850</f>
        <v>271.296</v>
      </c>
      <c r="I430" s="8" t="n">
        <v>3</v>
      </c>
      <c r="J430" s="14" t="n">
        <f aca="false">H430*I430</f>
        <v>813.888</v>
      </c>
      <c r="K430" s="8" t="s">
        <v>567</v>
      </c>
    </row>
    <row r="431" s="9" customFormat="true" ht="19.5" hidden="true" customHeight="true" outlineLevel="0" collapsed="false">
      <c r="A431" s="8" t="s">
        <v>548</v>
      </c>
      <c r="B431" s="8" t="s">
        <v>42</v>
      </c>
      <c r="C431" s="8" t="s">
        <v>112</v>
      </c>
      <c r="D431" s="8" t="s">
        <v>40</v>
      </c>
      <c r="E431" s="8" t="n">
        <v>1800</v>
      </c>
      <c r="F431" s="8" t="n">
        <v>1200</v>
      </c>
      <c r="G431" s="8" t="n">
        <v>16</v>
      </c>
      <c r="H431" s="13" t="n">
        <f aca="false">(E431/1000)*(F431/1000)*(G431/1000)*7850</f>
        <v>271.296</v>
      </c>
      <c r="I431" s="8" t="n">
        <v>2</v>
      </c>
      <c r="J431" s="14" t="n">
        <f aca="false">H431*I431</f>
        <v>542.592</v>
      </c>
      <c r="K431" s="8" t="s">
        <v>567</v>
      </c>
    </row>
    <row r="432" s="9" customFormat="true" ht="25.5" hidden="true" customHeight="true" outlineLevel="0" collapsed="false">
      <c r="A432" s="8" t="s">
        <v>548</v>
      </c>
      <c r="B432" s="8" t="s">
        <v>42</v>
      </c>
      <c r="C432" s="8" t="s">
        <v>108</v>
      </c>
      <c r="D432" s="8" t="s">
        <v>289</v>
      </c>
      <c r="E432" s="8" t="n">
        <v>2057</v>
      </c>
      <c r="F432" s="8" t="n">
        <v>200</v>
      </c>
      <c r="G432" s="8" t="n">
        <v>16</v>
      </c>
      <c r="H432" s="13" t="n">
        <f aca="false">(E432/1000)*(F432/1000)*(G432/1000)*7850</f>
        <v>51.67184</v>
      </c>
      <c r="I432" s="8" t="n">
        <v>3</v>
      </c>
      <c r="J432" s="14" t="n">
        <f aca="false">H432*I432</f>
        <v>155.01552</v>
      </c>
      <c r="K432" s="8" t="s">
        <v>557</v>
      </c>
      <c r="L432" s="8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8"/>
    </row>
    <row r="433" s="9" customFormat="true" ht="25.5" hidden="true" customHeight="true" outlineLevel="0" collapsed="false">
      <c r="A433" s="8" t="s">
        <v>548</v>
      </c>
      <c r="B433" s="8" t="s">
        <v>314</v>
      </c>
      <c r="C433" s="8" t="s">
        <v>114</v>
      </c>
      <c r="D433" s="8" t="s">
        <v>40</v>
      </c>
      <c r="E433" s="8" t="n">
        <v>7901</v>
      </c>
      <c r="F433" s="8" t="n">
        <v>320</v>
      </c>
      <c r="G433" s="8" t="n">
        <v>32</v>
      </c>
      <c r="H433" s="13" t="n">
        <f aca="false">(E433/1000)*(F433/1000)*(G433/1000)*7850</f>
        <v>635.113984</v>
      </c>
      <c r="I433" s="8" t="n">
        <v>4</v>
      </c>
      <c r="J433" s="14" t="n">
        <f aca="false">H433*I433</f>
        <v>2540.455936</v>
      </c>
      <c r="K433" s="8" t="s">
        <v>568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15"/>
      <c r="W433" s="8"/>
    </row>
    <row r="434" s="9" customFormat="true" ht="19.5" hidden="true" customHeight="true" outlineLevel="0" collapsed="false">
      <c r="A434" s="8" t="s">
        <v>548</v>
      </c>
      <c r="B434" s="8" t="s">
        <v>42</v>
      </c>
      <c r="C434" s="8" t="s">
        <v>116</v>
      </c>
      <c r="D434" s="8" t="s">
        <v>40</v>
      </c>
      <c r="E434" s="8" t="n">
        <v>7101</v>
      </c>
      <c r="F434" s="8" t="n">
        <v>280</v>
      </c>
      <c r="G434" s="8" t="n">
        <v>24</v>
      </c>
      <c r="H434" s="13" t="n">
        <f aca="false">(E434/1000)*(F434/1000)*(G434/1000)*7850</f>
        <v>374.591952</v>
      </c>
      <c r="I434" s="8" t="n">
        <v>4</v>
      </c>
      <c r="J434" s="14" t="n">
        <f aca="false">H434*I434</f>
        <v>1498.367808</v>
      </c>
      <c r="K434" s="8" t="s">
        <v>569</v>
      </c>
      <c r="L434" s="8"/>
      <c r="M434" s="15"/>
      <c r="N434" s="15"/>
      <c r="O434" s="15"/>
      <c r="P434" s="15"/>
      <c r="Q434" s="15"/>
      <c r="R434" s="15"/>
      <c r="S434" s="15"/>
      <c r="T434" s="15"/>
      <c r="U434" s="8"/>
      <c r="V434" s="8"/>
      <c r="W434" s="8"/>
    </row>
    <row r="435" s="9" customFormat="true" ht="19.5" hidden="false" customHeight="true" outlineLevel="0" collapsed="false">
      <c r="A435" s="8" t="s">
        <v>548</v>
      </c>
      <c r="B435" s="8" t="s">
        <v>42</v>
      </c>
      <c r="C435" s="8" t="s">
        <v>118</v>
      </c>
      <c r="D435" s="8" t="s">
        <v>40</v>
      </c>
      <c r="E435" s="8" t="n">
        <v>15002</v>
      </c>
      <c r="F435" s="8" t="n">
        <v>170</v>
      </c>
      <c r="G435" s="8" t="n">
        <v>14</v>
      </c>
      <c r="H435" s="13" t="n">
        <f aca="false">(E435/1000)*(F435/1000)*(G435/1000)*7850</f>
        <v>280.282366</v>
      </c>
      <c r="I435" s="8" t="n">
        <v>2</v>
      </c>
      <c r="J435" s="14" t="n">
        <f aca="false">H435*I435</f>
        <v>560.564732</v>
      </c>
      <c r="K435" s="8" t="s">
        <v>570</v>
      </c>
    </row>
    <row r="436" customFormat="false" ht="13.8" hidden="false" customHeight="false" outlineLevel="0" collapsed="false">
      <c r="A436" s="8" t="s">
        <v>548</v>
      </c>
      <c r="B436" s="8" t="s">
        <v>272</v>
      </c>
      <c r="C436" s="8" t="s">
        <v>125</v>
      </c>
      <c r="D436" s="8" t="s">
        <v>40</v>
      </c>
      <c r="E436" s="8" t="n">
        <v>11903</v>
      </c>
      <c r="F436" s="8" t="n">
        <v>1200</v>
      </c>
      <c r="G436" s="8" t="n">
        <v>36</v>
      </c>
      <c r="H436" s="13" t="n">
        <f aca="false">(E436/1000)*(F436/1000)*(G436/1000)*7850</f>
        <v>4036.54536</v>
      </c>
      <c r="I436" s="8" t="n">
        <v>1</v>
      </c>
      <c r="J436" s="14" t="n">
        <f aca="false">H436*I436</f>
        <v>4036.54536</v>
      </c>
      <c r="K436" s="8" t="s">
        <v>571</v>
      </c>
    </row>
    <row r="437" customFormat="false" ht="13.8" hidden="false" customHeight="false" outlineLevel="0" collapsed="false">
      <c r="A437" s="8" t="s">
        <v>548</v>
      </c>
      <c r="B437" s="8" t="s">
        <v>42</v>
      </c>
      <c r="C437" s="8" t="s">
        <v>127</v>
      </c>
      <c r="D437" s="8" t="s">
        <v>40</v>
      </c>
      <c r="E437" s="8" t="n">
        <v>11803</v>
      </c>
      <c r="F437" s="8" t="n">
        <v>1200</v>
      </c>
      <c r="G437" s="8" t="n">
        <v>36</v>
      </c>
      <c r="H437" s="13" t="n">
        <f aca="false">(E437/1000)*(F437/1000)*(G437/1000)*7850</f>
        <v>4002.63336</v>
      </c>
      <c r="I437" s="8" t="n">
        <v>1</v>
      </c>
      <c r="J437" s="14" t="n">
        <f aca="false">H437*I437</f>
        <v>4002.63336</v>
      </c>
      <c r="K437" s="8" t="s">
        <v>572</v>
      </c>
    </row>
    <row r="438" customFormat="false" ht="13.8" hidden="false" customHeight="false" outlineLevel="0" collapsed="false">
      <c r="A438" s="8" t="s">
        <v>548</v>
      </c>
      <c r="B438" s="8" t="s">
        <v>42</v>
      </c>
      <c r="C438" s="8" t="s">
        <v>128</v>
      </c>
      <c r="D438" s="8" t="s">
        <v>40</v>
      </c>
      <c r="E438" s="8" t="n">
        <v>7903</v>
      </c>
      <c r="F438" s="8" t="n">
        <v>1360</v>
      </c>
      <c r="G438" s="8" t="n">
        <v>36</v>
      </c>
      <c r="H438" s="13" t="n">
        <f aca="false">(E438/1000)*(F438/1000)*(G438/1000)*7850</f>
        <v>3037.407408</v>
      </c>
      <c r="I438" s="8" t="n">
        <v>2</v>
      </c>
      <c r="J438" s="14" t="n">
        <f aca="false">H438*I438</f>
        <v>6074.814816</v>
      </c>
      <c r="K438" s="8" t="s">
        <v>573</v>
      </c>
    </row>
    <row r="439" customFormat="false" ht="13.8" hidden="false" customHeight="false" outlineLevel="0" collapsed="false">
      <c r="A439" s="8" t="s">
        <v>548</v>
      </c>
      <c r="B439" s="8" t="s">
        <v>42</v>
      </c>
      <c r="C439" s="8" t="s">
        <v>130</v>
      </c>
      <c r="D439" s="8" t="s">
        <v>40</v>
      </c>
      <c r="E439" s="8" t="n">
        <v>7903</v>
      </c>
      <c r="F439" s="8" t="n">
        <v>320</v>
      </c>
      <c r="G439" s="8" t="n">
        <v>32</v>
      </c>
      <c r="H439" s="13" t="n">
        <f aca="false">(E439/1000)*(F439/1000)*(G439/1000)*7850</f>
        <v>635.274752</v>
      </c>
      <c r="I439" s="8" t="n">
        <v>2</v>
      </c>
      <c r="J439" s="14" t="n">
        <f aca="false">H439*I439</f>
        <v>1270.549504</v>
      </c>
      <c r="K439" s="8" t="s">
        <v>574</v>
      </c>
    </row>
    <row r="440" customFormat="false" ht="13.8" hidden="false" customHeight="false" outlineLevel="0" collapsed="false">
      <c r="A440" s="8" t="s">
        <v>548</v>
      </c>
      <c r="B440" s="8" t="s">
        <v>42</v>
      </c>
      <c r="C440" s="8" t="s">
        <v>132</v>
      </c>
      <c r="D440" s="8"/>
      <c r="E440" s="8" t="n">
        <v>10503</v>
      </c>
      <c r="F440" s="8" t="n">
        <v>320</v>
      </c>
      <c r="G440" s="8" t="n">
        <v>32</v>
      </c>
      <c r="H440" s="13" t="n">
        <f aca="false">(E440/1000)*(F440/1000)*(G440/1000)*7850</f>
        <v>844.273152</v>
      </c>
      <c r="I440" s="8" t="n">
        <v>1</v>
      </c>
      <c r="J440" s="14" t="n">
        <f aca="false">H440*I440</f>
        <v>844.273152</v>
      </c>
      <c r="K440" s="8" t="s">
        <v>575</v>
      </c>
    </row>
    <row r="441" customFormat="false" ht="13.8" hidden="false" customHeight="false" outlineLevel="0" collapsed="false">
      <c r="A441" s="8" t="s">
        <v>548</v>
      </c>
      <c r="B441" s="8" t="s">
        <v>42</v>
      </c>
      <c r="C441" s="8" t="s">
        <v>134</v>
      </c>
      <c r="D441" s="8" t="s">
        <v>40</v>
      </c>
      <c r="E441" s="8" t="n">
        <v>10403</v>
      </c>
      <c r="F441" s="8" t="n">
        <v>320</v>
      </c>
      <c r="G441" s="8" t="n">
        <v>32</v>
      </c>
      <c r="H441" s="13" t="n">
        <f aca="false">(E441/1000)*(F441/1000)*(G441/1000)*7850</f>
        <v>836.234752</v>
      </c>
      <c r="I441" s="8" t="n">
        <v>1</v>
      </c>
      <c r="J441" s="14" t="n">
        <f aca="false">H441*I441</f>
        <v>836.234752</v>
      </c>
      <c r="K441" s="8" t="s">
        <v>576</v>
      </c>
    </row>
    <row r="442" customFormat="false" ht="13.8" hidden="false" customHeight="false" outlineLevel="0" collapsed="false">
      <c r="A442" s="8" t="s">
        <v>548</v>
      </c>
      <c r="B442" s="8" t="s">
        <v>42</v>
      </c>
      <c r="C442" s="8" t="s">
        <v>135</v>
      </c>
      <c r="D442" s="8" t="s">
        <v>40</v>
      </c>
      <c r="E442" s="8" t="n">
        <v>1200</v>
      </c>
      <c r="F442" s="8" t="n">
        <v>1200</v>
      </c>
      <c r="G442" s="8" t="n">
        <v>16</v>
      </c>
      <c r="H442" s="13" t="n">
        <f aca="false">(E442/1000)*(F442/1000)*(G442/1000)*7850</f>
        <v>180.864</v>
      </c>
      <c r="I442" s="8" t="n">
        <v>3</v>
      </c>
      <c r="J442" s="14" t="n">
        <f aca="false">H442*I442</f>
        <v>542.592</v>
      </c>
      <c r="K442" s="8" t="s">
        <v>577</v>
      </c>
    </row>
    <row r="443" customFormat="false" ht="13.8" hidden="false" customHeight="false" outlineLevel="0" collapsed="false">
      <c r="A443" s="8" t="s">
        <v>548</v>
      </c>
      <c r="B443" s="8" t="s">
        <v>42</v>
      </c>
      <c r="C443" s="8" t="s">
        <v>137</v>
      </c>
      <c r="D443" s="8" t="s">
        <v>40</v>
      </c>
      <c r="E443" s="8" t="n">
        <v>5651</v>
      </c>
      <c r="F443" s="8" t="n">
        <v>1200</v>
      </c>
      <c r="G443" s="8" t="n">
        <v>36</v>
      </c>
      <c r="H443" s="13" t="n">
        <f aca="false">(E443/1000)*(F443/1000)*(G443/1000)*7850</f>
        <v>1916.36712</v>
      </c>
      <c r="I443" s="8" t="n">
        <v>1</v>
      </c>
      <c r="J443" s="14" t="n">
        <f aca="false">H443*I443</f>
        <v>1916.36712</v>
      </c>
      <c r="K443" s="8" t="s">
        <v>578</v>
      </c>
    </row>
    <row r="444" customFormat="false" ht="13.8" hidden="false" customHeight="false" outlineLevel="0" collapsed="false">
      <c r="A444" s="8" t="s">
        <v>548</v>
      </c>
      <c r="B444" s="8" t="s">
        <v>42</v>
      </c>
      <c r="C444" s="8" t="s">
        <v>139</v>
      </c>
      <c r="D444" s="8" t="s">
        <v>40</v>
      </c>
      <c r="E444" s="8" t="n">
        <v>5951</v>
      </c>
      <c r="F444" s="8" t="n">
        <v>1200</v>
      </c>
      <c r="G444" s="8" t="n">
        <v>36</v>
      </c>
      <c r="H444" s="13" t="n">
        <f aca="false">(E444/1000)*(F444/1000)*(G444/1000)*7850</f>
        <v>2018.10312</v>
      </c>
      <c r="I444" s="8" t="n">
        <v>1</v>
      </c>
      <c r="J444" s="14" t="n">
        <f aca="false">H444*I444</f>
        <v>2018.10312</v>
      </c>
      <c r="K444" s="8" t="s">
        <v>579</v>
      </c>
    </row>
    <row r="445" customFormat="false" ht="13.8" hidden="false" customHeight="false" outlineLevel="0" collapsed="false">
      <c r="A445" s="8" t="s">
        <v>548</v>
      </c>
      <c r="B445" s="8" t="s">
        <v>42</v>
      </c>
      <c r="C445" s="8" t="s">
        <v>141</v>
      </c>
      <c r="D445" s="8" t="s">
        <v>40</v>
      </c>
      <c r="E445" s="8" t="n">
        <v>3851</v>
      </c>
      <c r="F445" s="8" t="n">
        <v>1360</v>
      </c>
      <c r="G445" s="8" t="n">
        <v>36</v>
      </c>
      <c r="H445" s="13" t="n">
        <f aca="false">(E445/1000)*(F445/1000)*(G445/1000)*7850</f>
        <v>1480.077936</v>
      </c>
      <c r="I445" s="8" t="n">
        <v>2</v>
      </c>
      <c r="J445" s="14" t="n">
        <f aca="false">H445*I445</f>
        <v>2960.155872</v>
      </c>
      <c r="K445" s="8" t="s">
        <v>580</v>
      </c>
    </row>
    <row r="446" customFormat="false" ht="13.8" hidden="false" customHeight="false" outlineLevel="0" collapsed="false">
      <c r="A446" s="8" t="s">
        <v>548</v>
      </c>
      <c r="B446" s="8" t="s">
        <v>42</v>
      </c>
      <c r="C446" s="8" t="s">
        <v>143</v>
      </c>
      <c r="D446" s="8" t="s">
        <v>40</v>
      </c>
      <c r="E446" s="8" t="n">
        <v>3851</v>
      </c>
      <c r="F446" s="8" t="n">
        <v>320</v>
      </c>
      <c r="G446" s="8" t="n">
        <v>32</v>
      </c>
      <c r="H446" s="13" t="n">
        <f aca="false">(E446/1000)*(F446/1000)*(G446/1000)*7850</f>
        <v>309.558784</v>
      </c>
      <c r="I446" s="8" t="n">
        <v>2</v>
      </c>
      <c r="J446" s="14" t="n">
        <f aca="false">H446*I446</f>
        <v>619.117568</v>
      </c>
      <c r="K446" s="8" t="s">
        <v>581</v>
      </c>
    </row>
    <row r="447" customFormat="false" ht="13.8" hidden="false" customHeight="false" outlineLevel="0" collapsed="false">
      <c r="A447" s="8" t="s">
        <v>548</v>
      </c>
      <c r="B447" s="8" t="s">
        <v>42</v>
      </c>
      <c r="C447" s="8" t="s">
        <v>147</v>
      </c>
      <c r="D447" s="8" t="s">
        <v>40</v>
      </c>
      <c r="E447" s="8" t="n">
        <v>5251</v>
      </c>
      <c r="F447" s="8" t="n">
        <v>320</v>
      </c>
      <c r="G447" s="8" t="n">
        <v>32</v>
      </c>
      <c r="H447" s="13" t="n">
        <f aca="false">(E447/1000)*(F447/1000)*(G447/1000)*7850</f>
        <v>422.096384</v>
      </c>
      <c r="I447" s="8" t="n">
        <v>1</v>
      </c>
      <c r="J447" s="14" t="n">
        <f aca="false">H447*I447</f>
        <v>422.096384</v>
      </c>
      <c r="K447" s="8" t="s">
        <v>582</v>
      </c>
    </row>
    <row r="448" customFormat="false" ht="13.8" hidden="false" customHeight="false" outlineLevel="0" collapsed="false">
      <c r="A448" s="8" t="s">
        <v>548</v>
      </c>
      <c r="B448" s="8" t="s">
        <v>42</v>
      </c>
      <c r="C448" s="8" t="s">
        <v>149</v>
      </c>
      <c r="D448" s="8" t="s">
        <v>40</v>
      </c>
      <c r="E448" s="8" t="n">
        <v>1200</v>
      </c>
      <c r="F448" s="8" t="n">
        <v>1200</v>
      </c>
      <c r="G448" s="8" t="n">
        <v>16</v>
      </c>
      <c r="H448" s="13" t="n">
        <f aca="false">(E448/1000)*(F448/1000)*(G448/1000)*7850</f>
        <v>180.864</v>
      </c>
      <c r="I448" s="8" t="n">
        <v>3</v>
      </c>
      <c r="J448" s="14" t="n">
        <f aca="false">H448*I448</f>
        <v>542.592</v>
      </c>
      <c r="K448" s="8" t="s">
        <v>577</v>
      </c>
    </row>
    <row r="449" customFormat="false" ht="13.8" hidden="false" customHeight="false" outlineLevel="0" collapsed="false">
      <c r="A449" s="8" t="s">
        <v>548</v>
      </c>
      <c r="B449" s="8" t="s">
        <v>171</v>
      </c>
      <c r="C449" s="8" t="s">
        <v>221</v>
      </c>
      <c r="D449" s="8" t="s">
        <v>289</v>
      </c>
      <c r="E449" s="8" t="n">
        <v>6111</v>
      </c>
      <c r="F449" s="8" t="n">
        <v>1200</v>
      </c>
      <c r="G449" s="8" t="n">
        <v>36</v>
      </c>
      <c r="H449" s="13" t="n">
        <f aca="false">(E449/1000)*(F449/1000)*(G449/1000)*7850</f>
        <v>2072.36232</v>
      </c>
      <c r="I449" s="8" t="n">
        <v>1</v>
      </c>
      <c r="J449" s="14" t="n">
        <f aca="false">H449*I449</f>
        <v>2072.36232</v>
      </c>
      <c r="K449" s="8" t="s">
        <v>583</v>
      </c>
    </row>
    <row r="450" customFormat="false" ht="13.8" hidden="false" customHeight="false" outlineLevel="0" collapsed="false">
      <c r="A450" s="8" t="s">
        <v>548</v>
      </c>
      <c r="B450" s="8" t="s">
        <v>42</v>
      </c>
      <c r="C450" s="8" t="s">
        <v>380</v>
      </c>
      <c r="D450" s="8" t="s">
        <v>40</v>
      </c>
      <c r="E450" s="8" t="n">
        <v>5711</v>
      </c>
      <c r="F450" s="8" t="n">
        <v>1200</v>
      </c>
      <c r="G450" s="8" t="n">
        <v>36</v>
      </c>
      <c r="H450" s="13" t="n">
        <f aca="false">(E450/1000)*(F450/1000)*(G450/1000)*7850</f>
        <v>1936.71432</v>
      </c>
      <c r="I450" s="8" t="n">
        <v>1</v>
      </c>
      <c r="J450" s="14" t="n">
        <f aca="false">H450*I450</f>
        <v>1936.71432</v>
      </c>
      <c r="K450" s="8" t="s">
        <v>584</v>
      </c>
    </row>
    <row r="451" customFormat="false" ht="13.8" hidden="false" customHeight="false" outlineLevel="0" collapsed="false">
      <c r="A451" s="8" t="s">
        <v>548</v>
      </c>
      <c r="B451" s="8" t="s">
        <v>42</v>
      </c>
      <c r="C451" s="8" t="s">
        <v>155</v>
      </c>
      <c r="D451" s="8" t="s">
        <v>40</v>
      </c>
      <c r="E451" s="8" t="n">
        <v>3911</v>
      </c>
      <c r="F451" s="8" t="n">
        <v>1360</v>
      </c>
      <c r="G451" s="8" t="n">
        <v>36</v>
      </c>
      <c r="H451" s="13" t="n">
        <f aca="false">(E451/1000)*(F451/1000)*(G451/1000)*7850</f>
        <v>1503.138096</v>
      </c>
      <c r="I451" s="8" t="n">
        <v>2</v>
      </c>
      <c r="J451" s="14" t="n">
        <f aca="false">H451*I451</f>
        <v>3006.276192</v>
      </c>
      <c r="K451" s="8" t="s">
        <v>585</v>
      </c>
    </row>
    <row r="452" customFormat="false" ht="13.8" hidden="false" customHeight="false" outlineLevel="0" collapsed="false">
      <c r="A452" s="8" t="s">
        <v>548</v>
      </c>
      <c r="B452" s="8" t="s">
        <v>42</v>
      </c>
      <c r="C452" s="8" t="s">
        <v>160</v>
      </c>
      <c r="D452" s="8" t="s">
        <v>40</v>
      </c>
      <c r="E452" s="8" t="n">
        <v>3911</v>
      </c>
      <c r="F452" s="8" t="n">
        <v>320</v>
      </c>
      <c r="G452" s="8" t="n">
        <v>32</v>
      </c>
      <c r="H452" s="13" t="n">
        <f aca="false">(E452/1000)*(F452/1000)*(G452/1000)*7850</f>
        <v>314.381824</v>
      </c>
      <c r="I452" s="8" t="n">
        <v>2</v>
      </c>
      <c r="J452" s="14" t="n">
        <f aca="false">H452*I452</f>
        <v>628.763648</v>
      </c>
      <c r="K452" s="8" t="s">
        <v>586</v>
      </c>
    </row>
    <row r="453" customFormat="false" ht="13.8" hidden="false" customHeight="false" outlineLevel="0" collapsed="false">
      <c r="A453" s="8" t="s">
        <v>548</v>
      </c>
      <c r="B453" s="8" t="s">
        <v>42</v>
      </c>
      <c r="C453" s="8" t="s">
        <v>163</v>
      </c>
      <c r="D453" s="8" t="s">
        <v>40</v>
      </c>
      <c r="E453" s="8" t="n">
        <v>5411</v>
      </c>
      <c r="F453" s="8" t="n">
        <v>320</v>
      </c>
      <c r="G453" s="8" t="n">
        <v>32</v>
      </c>
      <c r="H453" s="13" t="n">
        <f aca="false">(E453/1000)*(F453/1000)*(G453/1000)*7850</f>
        <v>434.957824</v>
      </c>
      <c r="I453" s="8" t="n">
        <v>1</v>
      </c>
      <c r="J453" s="14" t="n">
        <f aca="false">H453*I453</f>
        <v>434.957824</v>
      </c>
      <c r="K453" s="8" t="s">
        <v>587</v>
      </c>
    </row>
    <row r="454" customFormat="false" ht="13.8" hidden="false" customHeight="false" outlineLevel="0" collapsed="false">
      <c r="A454" s="8" t="s">
        <v>548</v>
      </c>
      <c r="B454" s="8" t="s">
        <v>42</v>
      </c>
      <c r="C454" s="8" t="s">
        <v>165</v>
      </c>
      <c r="D454" s="8" t="s">
        <v>289</v>
      </c>
      <c r="E454" s="8" t="n">
        <v>5011</v>
      </c>
      <c r="F454" s="8" t="n">
        <v>320</v>
      </c>
      <c r="G454" s="8" t="n">
        <v>32</v>
      </c>
      <c r="H454" s="13" t="n">
        <f aca="false">(E454/1000)*(F454/1000)*(G454/1000)*7850</f>
        <v>402.804224</v>
      </c>
      <c r="I454" s="8" t="n">
        <v>1</v>
      </c>
      <c r="J454" s="14" t="n">
        <f aca="false">H454*I454</f>
        <v>402.804224</v>
      </c>
      <c r="K454" s="8" t="s">
        <v>588</v>
      </c>
    </row>
    <row r="455" customFormat="false" ht="13.8" hidden="false" customHeight="false" outlineLevel="0" collapsed="false">
      <c r="A455" s="8" t="s">
        <v>548</v>
      </c>
      <c r="B455" s="8" t="s">
        <v>42</v>
      </c>
      <c r="C455" s="8" t="s">
        <v>158</v>
      </c>
      <c r="D455" s="8" t="s">
        <v>40</v>
      </c>
      <c r="E455" s="8" t="n">
        <v>1200</v>
      </c>
      <c r="F455" s="8" t="n">
        <v>1200</v>
      </c>
      <c r="G455" s="8" t="n">
        <v>16</v>
      </c>
      <c r="H455" s="13" t="n">
        <f aca="false">(E455/1000)*(F455/1000)*(G455/1000)*7850</f>
        <v>180.864</v>
      </c>
      <c r="I455" s="8" t="n">
        <v>2</v>
      </c>
      <c r="J455" s="14" t="n">
        <f aca="false">H455*I455</f>
        <v>361.728</v>
      </c>
      <c r="K455" s="8" t="s">
        <v>577</v>
      </c>
    </row>
    <row r="456" customFormat="false" ht="13.8" hidden="false" customHeight="false" outlineLevel="0" collapsed="false">
      <c r="A456" s="8" t="s">
        <v>548</v>
      </c>
      <c r="B456" s="8" t="s">
        <v>42</v>
      </c>
      <c r="C456" s="8" t="s">
        <v>386</v>
      </c>
      <c r="D456" s="8" t="s">
        <v>40</v>
      </c>
      <c r="E456" s="8" t="n">
        <v>2300</v>
      </c>
      <c r="F456" s="8" t="n">
        <v>320</v>
      </c>
      <c r="G456" s="8" t="n">
        <v>32</v>
      </c>
      <c r="H456" s="13" t="n">
        <f aca="false">(E456/1000)*(F456/1000)*(G456/1000)*7850</f>
        <v>184.8832</v>
      </c>
      <c r="I456" s="8" t="n">
        <v>4</v>
      </c>
      <c r="J456" s="14" t="n">
        <f aca="false">H456*I456</f>
        <v>739.5328</v>
      </c>
      <c r="K456" s="8" t="s">
        <v>589</v>
      </c>
    </row>
    <row r="457" customFormat="false" ht="13.8" hidden="false" customHeight="false" outlineLevel="0" collapsed="false">
      <c r="A457" s="8" t="s">
        <v>548</v>
      </c>
      <c r="B457" s="8" t="s">
        <v>42</v>
      </c>
      <c r="C457" s="8" t="s">
        <v>388</v>
      </c>
      <c r="D457" s="8" t="s">
        <v>40</v>
      </c>
      <c r="E457" s="8" t="n">
        <v>2200</v>
      </c>
      <c r="F457" s="8" t="n">
        <v>320</v>
      </c>
      <c r="G457" s="8" t="n">
        <v>32</v>
      </c>
      <c r="H457" s="13" t="n">
        <f aca="false">(E457/1000)*(F457/1000)*(G457/1000)*7850</f>
        <v>176.8448</v>
      </c>
      <c r="I457" s="8" t="n">
        <v>4</v>
      </c>
      <c r="J457" s="14" t="n">
        <f aca="false">H457*I457</f>
        <v>707.3792</v>
      </c>
      <c r="K457" s="8" t="s">
        <v>590</v>
      </c>
    </row>
    <row r="458" customFormat="false" ht="13.8" hidden="false" customHeight="false" outlineLevel="0" collapsed="false">
      <c r="A458" s="8" t="s">
        <v>548</v>
      </c>
      <c r="B458" s="8" t="s">
        <v>64</v>
      </c>
      <c r="C458" s="8" t="s">
        <v>167</v>
      </c>
      <c r="D458" s="8" t="s">
        <v>289</v>
      </c>
      <c r="E458" s="8" t="n">
        <v>1980</v>
      </c>
      <c r="F458" s="8" t="n">
        <v>610</v>
      </c>
      <c r="G458" s="8" t="n">
        <v>14</v>
      </c>
      <c r="H458" s="13" t="n">
        <f aca="false">(E458/1000)*(F458/1000)*(G458/1000)*7850</f>
        <v>132.73722</v>
      </c>
      <c r="I458" s="8" t="n">
        <v>6</v>
      </c>
      <c r="J458" s="14" t="n">
        <f aca="false">H458*I458</f>
        <v>796.42332</v>
      </c>
      <c r="K458" s="8" t="s">
        <v>591</v>
      </c>
    </row>
    <row r="459" customFormat="false" ht="13.8" hidden="false" customHeight="false" outlineLevel="0" collapsed="false">
      <c r="A459" s="8" t="s">
        <v>548</v>
      </c>
      <c r="B459" s="8" t="s">
        <v>42</v>
      </c>
      <c r="C459" s="8" t="s">
        <v>334</v>
      </c>
      <c r="D459" s="8" t="s">
        <v>40</v>
      </c>
      <c r="E459" s="8" t="n">
        <v>1976</v>
      </c>
      <c r="F459" s="8" t="n">
        <v>618</v>
      </c>
      <c r="G459" s="8" t="n">
        <v>14</v>
      </c>
      <c r="H459" s="13" t="n">
        <f aca="false">(E459/1000)*(F459/1000)*(G459/1000)*7850</f>
        <v>134.2063632</v>
      </c>
      <c r="I459" s="8" t="n">
        <v>4</v>
      </c>
      <c r="J459" s="14" t="n">
        <f aca="false">H459*I459</f>
        <v>536.8254528</v>
      </c>
      <c r="K459" s="8" t="s">
        <v>592</v>
      </c>
    </row>
    <row r="460" customFormat="false" ht="13.8" hidden="false" customHeight="false" outlineLevel="0" collapsed="false">
      <c r="A460" s="8" t="s">
        <v>548</v>
      </c>
      <c r="B460" s="8" t="s">
        <v>42</v>
      </c>
      <c r="C460" s="8" t="s">
        <v>169</v>
      </c>
      <c r="D460" s="8" t="s">
        <v>40</v>
      </c>
      <c r="G460" s="8" t="n">
        <v>24</v>
      </c>
      <c r="H460" s="13" t="n">
        <f aca="false">M460*(G460/1000)*7850</f>
        <v>88.548</v>
      </c>
      <c r="I460" s="8" t="n">
        <v>6</v>
      </c>
      <c r="J460" s="14" t="n">
        <f aca="false">H460*I460</f>
        <v>531.288</v>
      </c>
      <c r="K460" s="8" t="s">
        <v>593</v>
      </c>
      <c r="M460" s="15" t="n">
        <v>0.47</v>
      </c>
    </row>
    <row r="461" customFormat="false" ht="13.8" hidden="false" customHeight="false" outlineLevel="0" collapsed="false">
      <c r="A461" s="8" t="s">
        <v>548</v>
      </c>
      <c r="B461" s="8" t="s">
        <v>42</v>
      </c>
      <c r="C461" s="8" t="s">
        <v>236</v>
      </c>
      <c r="D461" s="8" t="s">
        <v>40</v>
      </c>
      <c r="G461" s="8" t="n">
        <v>24</v>
      </c>
      <c r="H461" s="13" t="n">
        <f aca="false">M461*(G461/1000)*7850</f>
        <v>90.432</v>
      </c>
      <c r="I461" s="8" t="n">
        <v>4</v>
      </c>
      <c r="J461" s="14" t="n">
        <f aca="false">H461*I461</f>
        <v>361.728</v>
      </c>
      <c r="K461" s="8" t="s">
        <v>594</v>
      </c>
      <c r="M461" s="15" t="n">
        <v>0.48</v>
      </c>
    </row>
    <row r="462" customFormat="false" ht="13.8" hidden="false" customHeight="false" outlineLevel="0" collapsed="false">
      <c r="A462" s="8" t="s">
        <v>548</v>
      </c>
      <c r="B462" s="8" t="s">
        <v>42</v>
      </c>
      <c r="C462" s="8" t="s">
        <v>172</v>
      </c>
      <c r="D462" s="8" t="s">
        <v>40</v>
      </c>
      <c r="E462" s="8" t="n">
        <v>1800</v>
      </c>
      <c r="F462" s="8" t="n">
        <v>602</v>
      </c>
      <c r="G462" s="8" t="n">
        <v>14</v>
      </c>
      <c r="H462" s="13" t="n">
        <f aca="false">(E462/1000)*(F462/1000)*(G462/1000)*7850</f>
        <v>119.08764</v>
      </c>
      <c r="I462" s="8" t="n">
        <v>6</v>
      </c>
      <c r="J462" s="14" t="n">
        <f aca="false">H462*I462</f>
        <v>714.52584</v>
      </c>
      <c r="K462" s="8" t="s">
        <v>595</v>
      </c>
    </row>
    <row r="463" customFormat="false" ht="13.8" hidden="false" customHeight="false" outlineLevel="0" collapsed="false">
      <c r="A463" s="8" t="s">
        <v>548</v>
      </c>
      <c r="B463" s="8" t="s">
        <v>42</v>
      </c>
      <c r="C463" s="8" t="s">
        <v>239</v>
      </c>
      <c r="D463" s="8" t="s">
        <v>289</v>
      </c>
      <c r="E463" s="8" t="n">
        <v>1800</v>
      </c>
      <c r="F463" s="8" t="n">
        <v>618</v>
      </c>
      <c r="G463" s="8" t="n">
        <v>14</v>
      </c>
      <c r="H463" s="13" t="n">
        <f aca="false">(E463/1000)*(F463/1000)*(G463/1000)*7850</f>
        <v>122.25276</v>
      </c>
      <c r="I463" s="8" t="n">
        <v>4</v>
      </c>
      <c r="J463" s="14" t="n">
        <f aca="false">H463*I463</f>
        <v>489.01104</v>
      </c>
      <c r="K463" s="8" t="s">
        <v>596</v>
      </c>
    </row>
    <row r="464" customFormat="false" ht="13.8" hidden="false" customHeight="false" outlineLevel="0" collapsed="false">
      <c r="A464" s="8" t="s">
        <v>597</v>
      </c>
      <c r="B464" s="8" t="s">
        <v>38</v>
      </c>
      <c r="C464" s="8" t="s">
        <v>179</v>
      </c>
      <c r="D464" s="8" t="s">
        <v>40</v>
      </c>
      <c r="G464" s="8" t="n">
        <v>20</v>
      </c>
      <c r="H464" s="13" t="n">
        <f aca="false">M464*(G464/1000)*7850</f>
        <v>2398.96</v>
      </c>
      <c r="I464" s="8" t="n">
        <v>1</v>
      </c>
      <c r="J464" s="14" t="n">
        <f aca="false">H464*I464</f>
        <v>2398.96</v>
      </c>
      <c r="K464" s="8" t="s">
        <v>598</v>
      </c>
      <c r="M464" s="15" t="n">
        <v>15.28</v>
      </c>
    </row>
    <row r="465" customFormat="false" ht="13.8" hidden="false" customHeight="false" outlineLevel="0" collapsed="false">
      <c r="A465" s="8" t="s">
        <v>597</v>
      </c>
      <c r="B465" s="8" t="s">
        <v>42</v>
      </c>
      <c r="C465" s="8" t="s">
        <v>243</v>
      </c>
      <c r="D465" s="8" t="s">
        <v>40</v>
      </c>
      <c r="G465" s="8" t="n">
        <v>20</v>
      </c>
      <c r="H465" s="13" t="n">
        <f aca="false">M465*(G465/1000)*7850</f>
        <v>2155.61</v>
      </c>
      <c r="I465" s="8" t="n">
        <v>1</v>
      </c>
      <c r="J465" s="14" t="n">
        <f aca="false">H465*I465</f>
        <v>2155.61</v>
      </c>
      <c r="K465" s="8" t="s">
        <v>599</v>
      </c>
      <c r="M465" s="15" t="n">
        <v>13.73</v>
      </c>
    </row>
    <row r="466" customFormat="false" ht="13.8" hidden="false" customHeight="false" outlineLevel="0" collapsed="false">
      <c r="A466" s="8" t="s">
        <v>597</v>
      </c>
      <c r="B466" s="8" t="s">
        <v>45</v>
      </c>
      <c r="C466" s="8" t="s">
        <v>292</v>
      </c>
      <c r="D466" s="8" t="s">
        <v>40</v>
      </c>
      <c r="E466" s="8" t="n">
        <v>7900</v>
      </c>
      <c r="F466" s="8" t="n">
        <v>1200</v>
      </c>
      <c r="G466" s="8" t="n">
        <v>20</v>
      </c>
      <c r="H466" s="13" t="n">
        <f aca="false">(E466/1000)*(F466/1000)*(G466/1000)*7850</f>
        <v>1488.36</v>
      </c>
      <c r="I466" s="8" t="n">
        <v>1</v>
      </c>
      <c r="J466" s="14" t="n">
        <f aca="false">H466*I466</f>
        <v>1488.36</v>
      </c>
      <c r="K466" s="8" t="s">
        <v>600</v>
      </c>
    </row>
    <row r="467" customFormat="false" ht="13.8" hidden="false" customHeight="false" outlineLevel="0" collapsed="false">
      <c r="A467" s="8" t="s">
        <v>597</v>
      </c>
      <c r="B467" s="8" t="s">
        <v>42</v>
      </c>
      <c r="C467" s="8" t="s">
        <v>185</v>
      </c>
      <c r="D467" s="8" t="s">
        <v>40</v>
      </c>
      <c r="E467" s="8" t="n">
        <v>7100</v>
      </c>
      <c r="F467" s="8" t="n">
        <v>1200</v>
      </c>
      <c r="G467" s="8" t="n">
        <v>20</v>
      </c>
      <c r="H467" s="13" t="n">
        <f aca="false">(E467/1000)*(F467/1000)*(G467/1000)*7850</f>
        <v>1337.64</v>
      </c>
      <c r="I467" s="8" t="n">
        <v>1</v>
      </c>
      <c r="J467" s="14" t="n">
        <f aca="false">H467*I467</f>
        <v>1337.64</v>
      </c>
      <c r="K467" s="8" t="s">
        <v>601</v>
      </c>
    </row>
    <row r="468" customFormat="false" ht="13.8" hidden="false" customHeight="false" outlineLevel="0" collapsed="false">
      <c r="A468" s="8" t="s">
        <v>597</v>
      </c>
      <c r="B468" s="8" t="s">
        <v>187</v>
      </c>
      <c r="C468" s="8" t="s">
        <v>188</v>
      </c>
      <c r="D468" s="8" t="s">
        <v>40</v>
      </c>
      <c r="G468" s="8" t="n">
        <v>40</v>
      </c>
      <c r="H468" s="13" t="n">
        <f aca="false">M468*(G468/1000)*7850</f>
        <v>7369.58</v>
      </c>
      <c r="I468" s="8" t="n">
        <v>2</v>
      </c>
      <c r="J468" s="14" t="n">
        <f aca="false">H468*I468</f>
        <v>14739.16</v>
      </c>
      <c r="K468" s="8" t="s">
        <v>602</v>
      </c>
      <c r="M468" s="15" t="n">
        <v>23.47</v>
      </c>
    </row>
    <row r="469" customFormat="false" ht="13.8" hidden="false" customHeight="false" outlineLevel="0" collapsed="false">
      <c r="A469" s="8" t="s">
        <v>597</v>
      </c>
      <c r="B469" s="8" t="s">
        <v>190</v>
      </c>
      <c r="C469" s="8" t="s">
        <v>50</v>
      </c>
      <c r="D469" s="8" t="s">
        <v>40</v>
      </c>
      <c r="E469" s="8" t="n">
        <v>7300</v>
      </c>
      <c r="F469" s="8" t="n">
        <v>2048</v>
      </c>
      <c r="G469" s="8" t="n">
        <v>28</v>
      </c>
      <c r="H469" s="13" t="n">
        <f aca="false">(E469/1000)*(F469/1000)*(G469/1000)*7850</f>
        <v>3286.09792</v>
      </c>
      <c r="I469" s="8" t="n">
        <v>2</v>
      </c>
      <c r="J469" s="14" t="n">
        <f aca="false">H469*I469</f>
        <v>6572.19584</v>
      </c>
      <c r="K469" s="8" t="s">
        <v>603</v>
      </c>
    </row>
    <row r="470" customFormat="false" ht="13.8" hidden="false" customHeight="false" outlineLevel="0" collapsed="false">
      <c r="A470" s="8" t="s">
        <v>597</v>
      </c>
      <c r="B470" s="8" t="s">
        <v>195</v>
      </c>
      <c r="C470" s="8" t="s">
        <v>58</v>
      </c>
      <c r="D470" s="8" t="s">
        <v>40</v>
      </c>
      <c r="E470" s="8" t="n">
        <v>1980</v>
      </c>
      <c r="F470" s="8" t="n">
        <v>1200</v>
      </c>
      <c r="G470" s="8" t="n">
        <v>16</v>
      </c>
      <c r="H470" s="13" t="n">
        <f aca="false">(E470/1000)*(F470/1000)*(G470/1000)*7850</f>
        <v>298.4256</v>
      </c>
      <c r="I470" s="8" t="n">
        <v>3</v>
      </c>
      <c r="J470" s="14" t="n">
        <f aca="false">H470*I470</f>
        <v>895.2768</v>
      </c>
      <c r="K470" s="8" t="s">
        <v>604</v>
      </c>
    </row>
    <row r="471" customFormat="false" ht="13.8" hidden="false" customHeight="false" outlineLevel="0" collapsed="false">
      <c r="A471" s="8" t="s">
        <v>597</v>
      </c>
      <c r="B471" s="8" t="s">
        <v>42</v>
      </c>
      <c r="C471" s="8" t="s">
        <v>298</v>
      </c>
      <c r="D471" s="8" t="s">
        <v>40</v>
      </c>
      <c r="E471" s="8" t="n">
        <v>1980</v>
      </c>
      <c r="F471" s="8" t="n">
        <v>1200</v>
      </c>
      <c r="G471" s="8" t="n">
        <v>16</v>
      </c>
      <c r="H471" s="13" t="n">
        <f aca="false">(E471/1000)*(F471/1000)*(G471/1000)*7850</f>
        <v>298.4256</v>
      </c>
      <c r="I471" s="8" t="n">
        <v>2</v>
      </c>
      <c r="J471" s="14" t="n">
        <f aca="false">H471*I471</f>
        <v>596.8512</v>
      </c>
      <c r="K471" s="8" t="s">
        <v>604</v>
      </c>
    </row>
    <row r="472" customFormat="false" ht="13.8" hidden="false" customHeight="false" outlineLevel="0" collapsed="false">
      <c r="A472" s="8" t="s">
        <v>597</v>
      </c>
      <c r="B472" s="8" t="s">
        <v>42</v>
      </c>
      <c r="C472" s="8" t="s">
        <v>62</v>
      </c>
      <c r="D472" s="8" t="s">
        <v>40</v>
      </c>
      <c r="E472" s="8" t="n">
        <v>2057</v>
      </c>
      <c r="F472" s="8" t="n">
        <v>200</v>
      </c>
      <c r="G472" s="8" t="n">
        <v>16</v>
      </c>
      <c r="H472" s="13" t="n">
        <f aca="false">(E472/1000)*(F472/1000)*(G472/1000)*7850</f>
        <v>51.67184</v>
      </c>
      <c r="I472" s="8" t="n">
        <v>3</v>
      </c>
      <c r="J472" s="14" t="n">
        <f aca="false">H472*I472</f>
        <v>155.01552</v>
      </c>
      <c r="K472" s="8" t="s">
        <v>605</v>
      </c>
    </row>
    <row r="473" customFormat="false" ht="13.8" hidden="false" customHeight="false" outlineLevel="0" collapsed="false">
      <c r="A473" s="8" t="s">
        <v>597</v>
      </c>
      <c r="B473" s="8" t="s">
        <v>42</v>
      </c>
      <c r="C473" s="8" t="s">
        <v>68</v>
      </c>
      <c r="D473" s="8" t="s">
        <v>40</v>
      </c>
      <c r="E473" s="8" t="n">
        <v>800</v>
      </c>
      <c r="F473" s="8" t="n">
        <v>400</v>
      </c>
      <c r="G473" s="8" t="n">
        <v>16</v>
      </c>
      <c r="H473" s="13" t="n">
        <f aca="false">(E473/1000)*(F473/1000)*(G473/1000)*7850</f>
        <v>40.192</v>
      </c>
      <c r="I473" s="8" t="n">
        <v>4</v>
      </c>
      <c r="J473" s="14" t="n">
        <f aca="false">H473*I473</f>
        <v>160.768</v>
      </c>
      <c r="K473" s="8" t="s">
        <v>606</v>
      </c>
    </row>
    <row r="474" customFormat="false" ht="13.8" hidden="false" customHeight="false" outlineLevel="0" collapsed="false">
      <c r="A474" s="8" t="s">
        <v>597</v>
      </c>
      <c r="B474" s="8" t="s">
        <v>607</v>
      </c>
      <c r="C474" s="8" t="s">
        <v>72</v>
      </c>
      <c r="D474" s="8" t="s">
        <v>40</v>
      </c>
      <c r="E474" s="8" t="n">
        <v>7900</v>
      </c>
      <c r="F474" s="8" t="n">
        <v>280</v>
      </c>
      <c r="G474" s="8" t="n">
        <v>24</v>
      </c>
      <c r="H474" s="13" t="n">
        <f aca="false">(E474/1000)*(F474/1000)*(G474/1000)*7850</f>
        <v>416.7408</v>
      </c>
      <c r="I474" s="8" t="n">
        <v>6</v>
      </c>
      <c r="J474" s="14" t="n">
        <f aca="false">H474*I474</f>
        <v>2500.4448</v>
      </c>
      <c r="K474" s="8" t="s">
        <v>608</v>
      </c>
    </row>
    <row r="475" customFormat="false" ht="13.8" hidden="false" customHeight="false" outlineLevel="0" collapsed="false">
      <c r="A475" s="8" t="s">
        <v>597</v>
      </c>
      <c r="B475" s="8" t="s">
        <v>42</v>
      </c>
      <c r="C475" s="8" t="s">
        <v>76</v>
      </c>
      <c r="D475" s="8" t="s">
        <v>40</v>
      </c>
      <c r="E475" s="8" t="n">
        <v>7100</v>
      </c>
      <c r="F475" s="8" t="n">
        <v>280</v>
      </c>
      <c r="G475" s="8" t="n">
        <v>24</v>
      </c>
      <c r="H475" s="13" t="n">
        <f aca="false">(E475/1000)*(F475/1000)*(G475/1000)*7850</f>
        <v>374.5392</v>
      </c>
      <c r="I475" s="8" t="n">
        <v>6</v>
      </c>
      <c r="J475" s="14" t="n">
        <f aca="false">H475*I475</f>
        <v>2247.2352</v>
      </c>
      <c r="K475" s="8" t="s">
        <v>609</v>
      </c>
    </row>
    <row r="476" customFormat="false" ht="13.8" hidden="false" customHeight="false" outlineLevel="0" collapsed="false">
      <c r="A476" s="8" t="s">
        <v>597</v>
      </c>
      <c r="B476" s="8" t="s">
        <v>256</v>
      </c>
      <c r="C476" s="8" t="s">
        <v>96</v>
      </c>
      <c r="D476" s="8" t="s">
        <v>40</v>
      </c>
      <c r="E476" s="8" t="n">
        <v>7901</v>
      </c>
      <c r="F476" s="8" t="n">
        <v>2500</v>
      </c>
      <c r="G476" s="8" t="n">
        <v>24</v>
      </c>
      <c r="H476" s="13" t="n">
        <f aca="false">(E476/1000)*(F476/1000)*(G476/1000)*7850</f>
        <v>3721.371</v>
      </c>
      <c r="I476" s="8" t="n">
        <v>1</v>
      </c>
      <c r="J476" s="14" t="n">
        <f aca="false">H476*I476</f>
        <v>3721.371</v>
      </c>
      <c r="K476" s="8" t="s">
        <v>610</v>
      </c>
    </row>
    <row r="477" customFormat="false" ht="13.8" hidden="false" customHeight="false" outlineLevel="0" collapsed="false">
      <c r="A477" s="8" t="s">
        <v>597</v>
      </c>
      <c r="B477" s="8" t="s">
        <v>42</v>
      </c>
      <c r="C477" s="8" t="s">
        <v>203</v>
      </c>
      <c r="D477" s="8" t="s">
        <v>40</v>
      </c>
      <c r="E477" s="8" t="n">
        <v>7101</v>
      </c>
      <c r="F477" s="8" t="n">
        <v>2500</v>
      </c>
      <c r="G477" s="8" t="n">
        <v>24</v>
      </c>
      <c r="H477" s="13" t="n">
        <f aca="false">(E477/1000)*(F477/1000)*(G477/1000)*7850</f>
        <v>3344.571</v>
      </c>
      <c r="I477" s="8" t="n">
        <v>1</v>
      </c>
      <c r="J477" s="14" t="n">
        <f aca="false">H477*I477</f>
        <v>3344.571</v>
      </c>
      <c r="K477" s="8" t="s">
        <v>611</v>
      </c>
    </row>
    <row r="478" customFormat="false" ht="13.8" hidden="false" customHeight="false" outlineLevel="0" collapsed="false">
      <c r="A478" s="8" t="s">
        <v>597</v>
      </c>
      <c r="B478" s="8" t="s">
        <v>260</v>
      </c>
      <c r="C478" s="8" t="s">
        <v>307</v>
      </c>
      <c r="D478" s="8" t="s">
        <v>40</v>
      </c>
      <c r="G478" s="8" t="n">
        <v>24</v>
      </c>
      <c r="H478" s="13" t="n">
        <f aca="false">M478*(G478/1000)*7850</f>
        <v>2441.664</v>
      </c>
      <c r="I478" s="8" t="n">
        <v>1</v>
      </c>
      <c r="J478" s="14" t="n">
        <f aca="false">H478*I478</f>
        <v>2441.664</v>
      </c>
      <c r="K478" s="8" t="s">
        <v>612</v>
      </c>
      <c r="M478" s="15" t="n">
        <v>12.96</v>
      </c>
    </row>
    <row r="479" customFormat="false" ht="13.8" hidden="false" customHeight="false" outlineLevel="0" collapsed="false">
      <c r="A479" s="8" t="s">
        <v>597</v>
      </c>
      <c r="B479" s="8" t="s">
        <v>42</v>
      </c>
      <c r="C479" s="8" t="s">
        <v>103</v>
      </c>
      <c r="D479" s="8" t="s">
        <v>40</v>
      </c>
      <c r="G479" s="8" t="n">
        <v>44</v>
      </c>
      <c r="H479" s="13" t="n">
        <f aca="false">M479*(G479/1000)*7850</f>
        <v>7778.408</v>
      </c>
      <c r="I479" s="8" t="n">
        <v>2</v>
      </c>
      <c r="J479" s="14" t="n">
        <f aca="false">H479*I479</f>
        <v>15556.816</v>
      </c>
      <c r="K479" s="8" t="s">
        <v>613</v>
      </c>
      <c r="M479" s="15" t="n">
        <v>22.52</v>
      </c>
    </row>
    <row r="480" customFormat="false" ht="13.8" hidden="false" customHeight="false" outlineLevel="0" collapsed="false">
      <c r="A480" s="8" t="s">
        <v>597</v>
      </c>
      <c r="B480" s="8" t="s">
        <v>42</v>
      </c>
      <c r="C480" s="8" t="s">
        <v>106</v>
      </c>
      <c r="D480" s="8" t="s">
        <v>40</v>
      </c>
      <c r="E480" s="8" t="n">
        <v>7301</v>
      </c>
      <c r="F480" s="8" t="n">
        <v>1880</v>
      </c>
      <c r="G480" s="8" t="n">
        <v>32</v>
      </c>
      <c r="H480" s="13" t="n">
        <f aca="false">(E480/1000)*(F480/1000)*(G480/1000)*7850</f>
        <v>3447.941056</v>
      </c>
      <c r="I480" s="8" t="n">
        <v>2</v>
      </c>
      <c r="J480" s="14" t="n">
        <f aca="false">H480*I480</f>
        <v>6895.882112</v>
      </c>
      <c r="K480" s="8" t="s">
        <v>614</v>
      </c>
    </row>
    <row r="481" customFormat="false" ht="13.8" hidden="false" customHeight="false" outlineLevel="0" collapsed="false">
      <c r="A481" s="8" t="s">
        <v>597</v>
      </c>
      <c r="B481" s="8" t="s">
        <v>42</v>
      </c>
      <c r="C481" s="8" t="s">
        <v>112</v>
      </c>
      <c r="D481" s="8" t="s">
        <v>40</v>
      </c>
      <c r="E481" s="8" t="n">
        <v>1800</v>
      </c>
      <c r="F481" s="8" t="n">
        <v>1200</v>
      </c>
      <c r="G481" s="8" t="n">
        <v>16</v>
      </c>
      <c r="H481" s="13" t="n">
        <f aca="false">(E481/1000)*(F481/1000)*(G481/1000)*7850</f>
        <v>271.296</v>
      </c>
      <c r="I481" s="8" t="n">
        <v>2</v>
      </c>
      <c r="J481" s="14" t="n">
        <f aca="false">H481*I481</f>
        <v>542.592</v>
      </c>
      <c r="K481" s="8" t="s">
        <v>615</v>
      </c>
    </row>
    <row r="482" customFormat="false" ht="13.8" hidden="false" customHeight="false" outlineLevel="0" collapsed="false">
      <c r="A482" s="8" t="s">
        <v>597</v>
      </c>
      <c r="B482" s="8" t="s">
        <v>42</v>
      </c>
      <c r="C482" s="8" t="s">
        <v>114</v>
      </c>
      <c r="D482" s="8" t="s">
        <v>40</v>
      </c>
      <c r="E482" s="8" t="n">
        <v>7901</v>
      </c>
      <c r="F482" s="8" t="n">
        <v>280</v>
      </c>
      <c r="G482" s="8" t="n">
        <v>24</v>
      </c>
      <c r="H482" s="13" t="n">
        <f aca="false">(E482/1000)*(F482/1000)*(G482/1000)*7850</f>
        <v>416.793552</v>
      </c>
      <c r="I482" s="8" t="n">
        <v>4</v>
      </c>
      <c r="J482" s="14" t="n">
        <f aca="false">H482*I482</f>
        <v>1667.174208</v>
      </c>
      <c r="K482" s="8" t="s">
        <v>616</v>
      </c>
    </row>
    <row r="483" customFormat="false" ht="13.8" hidden="false" customHeight="false" outlineLevel="0" collapsed="false">
      <c r="A483" s="8" t="s">
        <v>597</v>
      </c>
      <c r="B483" s="8" t="s">
        <v>42</v>
      </c>
      <c r="C483" s="8" t="s">
        <v>116</v>
      </c>
      <c r="D483" s="8" t="s">
        <v>40</v>
      </c>
      <c r="E483" s="8" t="n">
        <v>7101</v>
      </c>
      <c r="F483" s="8" t="n">
        <v>280</v>
      </c>
      <c r="G483" s="8" t="n">
        <v>24</v>
      </c>
      <c r="H483" s="13" t="n">
        <f aca="false">(E483/1000)*(F483/1000)*(G483/1000)*7850</f>
        <v>374.591952</v>
      </c>
      <c r="I483" s="8" t="n">
        <v>4</v>
      </c>
      <c r="J483" s="14" t="n">
        <f aca="false">H483*I483</f>
        <v>1498.367808</v>
      </c>
      <c r="K483" s="8" t="s">
        <v>617</v>
      </c>
    </row>
    <row r="484" customFormat="false" ht="13.8" hidden="false" customHeight="false" outlineLevel="0" collapsed="false">
      <c r="A484" s="8" t="s">
        <v>597</v>
      </c>
      <c r="B484" s="8" t="s">
        <v>42</v>
      </c>
      <c r="C484" s="8" t="s">
        <v>118</v>
      </c>
      <c r="D484" s="8" t="s">
        <v>40</v>
      </c>
      <c r="E484" s="8" t="n">
        <v>15002</v>
      </c>
      <c r="F484" s="8" t="n">
        <v>170</v>
      </c>
      <c r="G484" s="8" t="n">
        <v>14</v>
      </c>
      <c r="H484" s="13" t="n">
        <f aca="false">(E484/1000)*(F484/1000)*(G484/1000)*7850</f>
        <v>280.282366</v>
      </c>
      <c r="I484" s="8" t="n">
        <v>2</v>
      </c>
      <c r="J484" s="14" t="n">
        <f aca="false">H484*I484</f>
        <v>560.564732</v>
      </c>
      <c r="K484" s="8" t="s">
        <v>618</v>
      </c>
    </row>
    <row r="485" customFormat="false" ht="13.8" hidden="false" customHeight="false" outlineLevel="0" collapsed="false">
      <c r="A485" s="8" t="s">
        <v>597</v>
      </c>
      <c r="B485" s="8" t="s">
        <v>42</v>
      </c>
      <c r="C485" s="8" t="s">
        <v>130</v>
      </c>
      <c r="D485" s="8" t="s">
        <v>40</v>
      </c>
      <c r="E485" s="8" t="n">
        <v>7770</v>
      </c>
      <c r="F485" s="8" t="n">
        <v>320</v>
      </c>
      <c r="G485" s="8" t="n">
        <v>32</v>
      </c>
      <c r="H485" s="13" t="n">
        <f aca="false">(E485/1000)*(F485/1000)*(G485/1000)*7850</f>
        <v>624.58368</v>
      </c>
      <c r="I485" s="8" t="n">
        <v>2</v>
      </c>
      <c r="J485" s="14" t="n">
        <f aca="false">H485*I485</f>
        <v>1249.16736</v>
      </c>
      <c r="K485" s="8" t="s">
        <v>619</v>
      </c>
    </row>
    <row r="486" customFormat="false" ht="13.8" hidden="false" customHeight="false" outlineLevel="0" collapsed="false">
      <c r="A486" s="8" t="s">
        <v>597</v>
      </c>
      <c r="B486" s="8" t="s">
        <v>42</v>
      </c>
      <c r="C486" s="8" t="s">
        <v>620</v>
      </c>
      <c r="D486" s="8" t="s">
        <v>40</v>
      </c>
      <c r="E486" s="8" t="n">
        <v>10370</v>
      </c>
      <c r="F486" s="8" t="n">
        <v>320</v>
      </c>
      <c r="G486" s="8" t="n">
        <v>32</v>
      </c>
      <c r="H486" s="13" t="n">
        <f aca="false">(E486/1000)*(F486/1000)*(G486/1000)*7850</f>
        <v>833.58208</v>
      </c>
      <c r="I486" s="8" t="n">
        <v>1</v>
      </c>
      <c r="J486" s="14" t="n">
        <f aca="false">H486*I486</f>
        <v>833.58208</v>
      </c>
      <c r="K486" s="8" t="s">
        <v>621</v>
      </c>
    </row>
    <row r="487" customFormat="false" ht="13.8" hidden="false" customHeight="false" outlineLevel="0" collapsed="false">
      <c r="A487" s="8" t="s">
        <v>597</v>
      </c>
      <c r="B487" s="8" t="s">
        <v>42</v>
      </c>
      <c r="C487" s="8" t="s">
        <v>134</v>
      </c>
      <c r="D487" s="8" t="s">
        <v>40</v>
      </c>
      <c r="E487" s="8" t="n">
        <v>10270</v>
      </c>
      <c r="F487" s="8" t="n">
        <v>320</v>
      </c>
      <c r="G487" s="8" t="n">
        <v>32</v>
      </c>
      <c r="H487" s="13" t="n">
        <f aca="false">(E487/1000)*(F487/1000)*(G487/1000)*7850</f>
        <v>825.54368</v>
      </c>
      <c r="I487" s="8" t="n">
        <v>1</v>
      </c>
      <c r="J487" s="14" t="n">
        <f aca="false">H487*I487</f>
        <v>825.54368</v>
      </c>
      <c r="K487" s="8" t="s">
        <v>622</v>
      </c>
    </row>
    <row r="488" customFormat="false" ht="13.8" hidden="false" customHeight="false" outlineLevel="0" collapsed="false">
      <c r="A488" s="8" t="s">
        <v>597</v>
      </c>
      <c r="B488" s="8" t="s">
        <v>42</v>
      </c>
      <c r="C488" s="8" t="s">
        <v>135</v>
      </c>
      <c r="D488" s="8" t="s">
        <v>40</v>
      </c>
      <c r="E488" s="8" t="n">
        <v>1200</v>
      </c>
      <c r="F488" s="8" t="n">
        <v>1200</v>
      </c>
      <c r="G488" s="8" t="n">
        <v>16</v>
      </c>
      <c r="H488" s="13" t="n">
        <f aca="false">(E488/1000)*(F488/1000)*(G488/1000)*7850</f>
        <v>180.864</v>
      </c>
      <c r="I488" s="8" t="n">
        <v>3</v>
      </c>
      <c r="J488" s="14" t="n">
        <f aca="false">H488*I488</f>
        <v>542.592</v>
      </c>
      <c r="K488" s="8" t="s">
        <v>623</v>
      </c>
    </row>
    <row r="489" customFormat="false" ht="13.8" hidden="false" customHeight="false" outlineLevel="0" collapsed="false">
      <c r="A489" s="8" t="s">
        <v>597</v>
      </c>
      <c r="B489" s="8" t="s">
        <v>42</v>
      </c>
      <c r="C489" s="8" t="s">
        <v>137</v>
      </c>
      <c r="D489" s="8" t="s">
        <v>40</v>
      </c>
      <c r="E489" s="8" t="n">
        <v>3798</v>
      </c>
      <c r="F489" s="8" t="n">
        <v>900</v>
      </c>
      <c r="G489" s="8" t="n">
        <v>36</v>
      </c>
      <c r="H489" s="13" t="n">
        <f aca="false">(E489/1000)*(F489/1000)*(G489/1000)*7850</f>
        <v>965.98332</v>
      </c>
      <c r="I489" s="8" t="n">
        <v>2</v>
      </c>
      <c r="J489" s="14" t="n">
        <f aca="false">H489*I489</f>
        <v>1931.96664</v>
      </c>
      <c r="K489" s="8" t="s">
        <v>624</v>
      </c>
    </row>
    <row r="490" customFormat="false" ht="13.8" hidden="false" customHeight="false" outlineLevel="0" collapsed="false">
      <c r="A490" s="8" t="s">
        <v>597</v>
      </c>
      <c r="B490" s="8" t="s">
        <v>42</v>
      </c>
      <c r="C490" s="8" t="s">
        <v>141</v>
      </c>
      <c r="D490" s="8" t="s">
        <v>40</v>
      </c>
      <c r="E490" s="8" t="n">
        <v>6098</v>
      </c>
      <c r="F490" s="8" t="n">
        <v>1200</v>
      </c>
      <c r="G490" s="8" t="n">
        <v>32</v>
      </c>
      <c r="H490" s="13" t="n">
        <f aca="false">(E490/1000)*(F490/1000)*(G490/1000)*7850</f>
        <v>1838.18112</v>
      </c>
      <c r="I490" s="8" t="n">
        <v>1</v>
      </c>
      <c r="J490" s="14" t="n">
        <f aca="false">H490*I490</f>
        <v>1838.18112</v>
      </c>
      <c r="K490" s="8" t="s">
        <v>625</v>
      </c>
    </row>
    <row r="491" customFormat="false" ht="13.8" hidden="false" customHeight="false" outlineLevel="0" collapsed="false">
      <c r="A491" s="8" t="s">
        <v>597</v>
      </c>
      <c r="B491" s="8" t="s">
        <v>42</v>
      </c>
      <c r="C491" s="8" t="s">
        <v>626</v>
      </c>
      <c r="D491" s="8" t="s">
        <v>40</v>
      </c>
      <c r="E491" s="8" t="n">
        <v>5398</v>
      </c>
      <c r="F491" s="8" t="n">
        <v>240</v>
      </c>
      <c r="G491" s="8" t="n">
        <v>24</v>
      </c>
      <c r="H491" s="13" t="n">
        <f aca="false">(E491/1000)*(F491/1000)*(G491/1000)*7850</f>
        <v>244.075968</v>
      </c>
      <c r="I491" s="8" t="n">
        <v>2</v>
      </c>
      <c r="J491" s="14" t="n">
        <f aca="false">H491*I491</f>
        <v>488.151936</v>
      </c>
      <c r="K491" s="8" t="s">
        <v>627</v>
      </c>
    </row>
    <row r="492" customFormat="false" ht="13.8" hidden="false" customHeight="false" outlineLevel="0" collapsed="false">
      <c r="A492" s="8" t="s">
        <v>597</v>
      </c>
      <c r="B492" s="8" t="s">
        <v>171</v>
      </c>
      <c r="C492" s="8" t="s">
        <v>150</v>
      </c>
      <c r="D492" s="8" t="s">
        <v>40</v>
      </c>
      <c r="E492" s="8" t="n">
        <v>6051</v>
      </c>
      <c r="F492" s="8" t="n">
        <v>1200</v>
      </c>
      <c r="G492" s="8" t="n">
        <v>36</v>
      </c>
      <c r="H492" s="13" t="n">
        <f aca="false">(E492/1000)*(F492/1000)*(G492/1000)*7850</f>
        <v>2052.01512</v>
      </c>
      <c r="I492" s="8" t="n">
        <v>1</v>
      </c>
      <c r="J492" s="14" t="n">
        <f aca="false">H492*I492</f>
        <v>2052.01512</v>
      </c>
      <c r="K492" s="8" t="s">
        <v>628</v>
      </c>
    </row>
    <row r="493" customFormat="false" ht="13.8" hidden="false" customHeight="false" outlineLevel="0" collapsed="false">
      <c r="A493" s="8" t="s">
        <v>597</v>
      </c>
      <c r="B493" s="8" t="s">
        <v>42</v>
      </c>
      <c r="C493" s="8" t="s">
        <v>629</v>
      </c>
      <c r="D493" s="8" t="s">
        <v>40</v>
      </c>
      <c r="E493" s="8" t="n">
        <v>4651</v>
      </c>
      <c r="F493" s="8" t="n">
        <v>1200</v>
      </c>
      <c r="G493" s="8" t="n">
        <v>36</v>
      </c>
      <c r="H493" s="13" t="n">
        <f aca="false">(E493/1000)*(F493/1000)*(G493/1000)*7850</f>
        <v>1577.24712</v>
      </c>
      <c r="I493" s="8" t="n">
        <v>1</v>
      </c>
      <c r="J493" s="14" t="n">
        <f aca="false">H493*I493</f>
        <v>1577.24712</v>
      </c>
      <c r="K493" s="8" t="s">
        <v>630</v>
      </c>
    </row>
    <row r="494" customFormat="false" ht="13.8" hidden="false" customHeight="false" outlineLevel="0" collapsed="false">
      <c r="A494" s="8" t="s">
        <v>597</v>
      </c>
      <c r="B494" s="8" t="s">
        <v>42</v>
      </c>
      <c r="C494" s="8" t="s">
        <v>155</v>
      </c>
      <c r="D494" s="8" t="s">
        <v>40</v>
      </c>
      <c r="E494" s="8" t="n">
        <v>3851</v>
      </c>
      <c r="F494" s="8" t="n">
        <v>1360</v>
      </c>
      <c r="G494" s="8" t="n">
        <v>36</v>
      </c>
      <c r="H494" s="13" t="n">
        <f aca="false">(E494/1000)*(F494/1000)*(G494/1000)*7850</f>
        <v>1480.077936</v>
      </c>
      <c r="I494" s="8" t="n">
        <v>2</v>
      </c>
      <c r="J494" s="14" t="n">
        <f aca="false">H494*I494</f>
        <v>2960.155872</v>
      </c>
      <c r="K494" s="8" t="s">
        <v>631</v>
      </c>
    </row>
    <row r="495" customFormat="false" ht="13.8" hidden="false" customHeight="false" outlineLevel="0" collapsed="false">
      <c r="A495" s="8" t="s">
        <v>597</v>
      </c>
      <c r="B495" s="8" t="s">
        <v>42</v>
      </c>
      <c r="C495" s="8" t="s">
        <v>632</v>
      </c>
      <c r="D495" s="8" t="s">
        <v>40</v>
      </c>
      <c r="E495" s="8" t="n">
        <v>3851</v>
      </c>
      <c r="F495" s="8" t="n">
        <v>320</v>
      </c>
      <c r="G495" s="8" t="n">
        <v>32</v>
      </c>
      <c r="H495" s="13" t="n">
        <f aca="false">(E495/1000)*(F495/1000)*(G495/1000)*7850</f>
        <v>309.558784</v>
      </c>
      <c r="I495" s="8" t="n">
        <v>2</v>
      </c>
      <c r="J495" s="14" t="n">
        <f aca="false">H495*I495</f>
        <v>619.117568</v>
      </c>
      <c r="K495" s="8" t="s">
        <v>633</v>
      </c>
    </row>
    <row r="496" customFormat="false" ht="13.8" hidden="false" customHeight="false" outlineLevel="0" collapsed="false">
      <c r="A496" s="8" t="s">
        <v>597</v>
      </c>
      <c r="B496" s="8" t="s">
        <v>42</v>
      </c>
      <c r="C496" s="8" t="s">
        <v>163</v>
      </c>
      <c r="D496" s="8" t="s">
        <v>40</v>
      </c>
      <c r="E496" s="8" t="n">
        <v>4651</v>
      </c>
      <c r="F496" s="8" t="n">
        <v>320</v>
      </c>
      <c r="G496" s="8" t="n">
        <v>32</v>
      </c>
      <c r="H496" s="13" t="n">
        <f aca="false">(E496/1000)*(F496/1000)*(G496/1000)*7850</f>
        <v>373.865984</v>
      </c>
      <c r="I496" s="8" t="n">
        <v>1</v>
      </c>
      <c r="J496" s="14" t="n">
        <f aca="false">H496*I496</f>
        <v>373.865984</v>
      </c>
      <c r="K496" s="8" t="s">
        <v>634</v>
      </c>
    </row>
    <row r="497" customFormat="false" ht="13.8" hidden="false" customHeight="false" outlineLevel="0" collapsed="false">
      <c r="A497" s="8" t="s">
        <v>597</v>
      </c>
      <c r="B497" s="8" t="s">
        <v>42</v>
      </c>
      <c r="C497" s="8" t="s">
        <v>165</v>
      </c>
      <c r="D497" s="8" t="s">
        <v>40</v>
      </c>
      <c r="E497" s="8" t="n">
        <v>3251</v>
      </c>
      <c r="F497" s="8" t="n">
        <v>320</v>
      </c>
      <c r="G497" s="8" t="n">
        <v>32</v>
      </c>
      <c r="H497" s="13" t="n">
        <f aca="false">(E497/1000)*(F497/1000)*(G497/1000)*7850</f>
        <v>261.328384</v>
      </c>
      <c r="I497" s="8" t="n">
        <v>1</v>
      </c>
      <c r="J497" s="14" t="n">
        <f aca="false">H497*I497</f>
        <v>261.328384</v>
      </c>
      <c r="K497" s="8" t="s">
        <v>635</v>
      </c>
    </row>
    <row r="498" customFormat="false" ht="13.8" hidden="false" customHeight="false" outlineLevel="0" collapsed="false">
      <c r="A498" s="8" t="s">
        <v>597</v>
      </c>
      <c r="B498" s="8" t="s">
        <v>42</v>
      </c>
      <c r="C498" s="8" t="s">
        <v>158</v>
      </c>
      <c r="D498" s="8" t="s">
        <v>40</v>
      </c>
      <c r="E498" s="8" t="n">
        <v>1200</v>
      </c>
      <c r="F498" s="8" t="n">
        <v>1200</v>
      </c>
      <c r="G498" s="8" t="n">
        <v>16</v>
      </c>
      <c r="H498" s="13" t="n">
        <f aca="false">(E498/1000)*(F498/1000)*(G498/1000)*7850</f>
        <v>180.864</v>
      </c>
      <c r="I498" s="8" t="n">
        <v>2</v>
      </c>
      <c r="J498" s="14" t="n">
        <f aca="false">H498*I498</f>
        <v>361.728</v>
      </c>
      <c r="K498" s="8" t="s">
        <v>623</v>
      </c>
    </row>
    <row r="499" customFormat="false" ht="13.8" hidden="false" customHeight="false" outlineLevel="0" collapsed="false">
      <c r="A499" s="8" t="s">
        <v>597</v>
      </c>
      <c r="B499" s="8" t="s">
        <v>42</v>
      </c>
      <c r="C499" s="8" t="s">
        <v>230</v>
      </c>
      <c r="D499" s="8" t="s">
        <v>40</v>
      </c>
      <c r="E499" s="8" t="n">
        <v>2300</v>
      </c>
      <c r="F499" s="8" t="n">
        <v>320</v>
      </c>
      <c r="G499" s="8" t="n">
        <v>32</v>
      </c>
      <c r="H499" s="13" t="n">
        <f aca="false">(E499/1000)*(F499/1000)*(G499/1000)*7850</f>
        <v>184.8832</v>
      </c>
      <c r="I499" s="8" t="n">
        <v>2</v>
      </c>
      <c r="J499" s="14" t="n">
        <f aca="false">H499*I499</f>
        <v>369.7664</v>
      </c>
      <c r="K499" s="8" t="s">
        <v>636</v>
      </c>
    </row>
    <row r="500" customFormat="false" ht="13.8" hidden="false" customHeight="false" outlineLevel="0" collapsed="false">
      <c r="A500" s="8" t="s">
        <v>597</v>
      </c>
      <c r="B500" s="8" t="s">
        <v>42</v>
      </c>
      <c r="C500" s="8" t="s">
        <v>637</v>
      </c>
      <c r="D500" s="8" t="s">
        <v>40</v>
      </c>
      <c r="E500" s="8" t="n">
        <v>2200</v>
      </c>
      <c r="F500" s="8" t="n">
        <v>320</v>
      </c>
      <c r="G500" s="8" t="n">
        <v>32</v>
      </c>
      <c r="H500" s="13" t="n">
        <f aca="false">(E500/1000)*(F500/1000)*(G500/1000)*7850</f>
        <v>176.8448</v>
      </c>
      <c r="I500" s="8" t="n">
        <v>4</v>
      </c>
      <c r="J500" s="14" t="n">
        <f aca="false">H500*I500</f>
        <v>707.3792</v>
      </c>
      <c r="K500" s="8" t="s">
        <v>638</v>
      </c>
    </row>
    <row r="501" customFormat="false" ht="13.8" hidden="false" customHeight="false" outlineLevel="0" collapsed="false">
      <c r="A501" s="8" t="s">
        <v>597</v>
      </c>
      <c r="B501" s="8" t="s">
        <v>64</v>
      </c>
      <c r="C501" s="8" t="s">
        <v>167</v>
      </c>
      <c r="D501" s="8" t="s">
        <v>40</v>
      </c>
      <c r="E501" s="8" t="n">
        <v>1980</v>
      </c>
      <c r="F501" s="8" t="n">
        <v>610</v>
      </c>
      <c r="G501" s="8" t="n">
        <v>14</v>
      </c>
      <c r="H501" s="13" t="n">
        <f aca="false">(E501/1000)*(F501/1000)*(G501/1000)*7850</f>
        <v>132.73722</v>
      </c>
      <c r="I501" s="8" t="n">
        <v>6</v>
      </c>
      <c r="J501" s="14" t="n">
        <f aca="false">H501*I501</f>
        <v>796.42332</v>
      </c>
      <c r="K501" s="8" t="s">
        <v>639</v>
      </c>
    </row>
    <row r="502" customFormat="false" ht="13.8" hidden="false" customHeight="false" outlineLevel="0" collapsed="false">
      <c r="A502" s="8" t="s">
        <v>597</v>
      </c>
      <c r="B502" s="8" t="s">
        <v>42</v>
      </c>
      <c r="C502" s="8" t="s">
        <v>334</v>
      </c>
      <c r="D502" s="8" t="s">
        <v>40</v>
      </c>
      <c r="E502" s="8" t="n">
        <v>1980</v>
      </c>
      <c r="F502" s="8" t="n">
        <v>622</v>
      </c>
      <c r="G502" s="8" t="n">
        <v>14</v>
      </c>
      <c r="H502" s="13" t="n">
        <f aca="false">(E502/1000)*(F502/1000)*(G502/1000)*7850</f>
        <v>135.348444</v>
      </c>
      <c r="I502" s="8" t="n">
        <v>4</v>
      </c>
      <c r="J502" s="14" t="n">
        <f aca="false">H502*I502</f>
        <v>541.393776</v>
      </c>
      <c r="K502" s="8" t="s">
        <v>640</v>
      </c>
    </row>
    <row r="503" customFormat="false" ht="13.8" hidden="false" customHeight="false" outlineLevel="0" collapsed="false">
      <c r="A503" s="8" t="s">
        <v>597</v>
      </c>
      <c r="B503" s="8" t="s">
        <v>42</v>
      </c>
      <c r="C503" s="8" t="s">
        <v>169</v>
      </c>
      <c r="D503" s="8" t="s">
        <v>40</v>
      </c>
      <c r="G503" s="8" t="n">
        <v>24</v>
      </c>
      <c r="H503" s="13" t="n">
        <f aca="false">M503*(G503/1000)*7850</f>
        <v>88.548</v>
      </c>
      <c r="I503" s="8" t="n">
        <v>6</v>
      </c>
      <c r="J503" s="14" t="n">
        <f aca="false">H503*I503</f>
        <v>531.288</v>
      </c>
      <c r="K503" s="8" t="s">
        <v>641</v>
      </c>
      <c r="M503" s="15" t="n">
        <v>0.47</v>
      </c>
    </row>
    <row r="504" customFormat="false" ht="13.8" hidden="false" customHeight="false" outlineLevel="0" collapsed="false">
      <c r="A504" s="8" t="s">
        <v>597</v>
      </c>
      <c r="B504" s="8" t="s">
        <v>42</v>
      </c>
      <c r="C504" s="8" t="s">
        <v>236</v>
      </c>
      <c r="D504" s="8" t="s">
        <v>40</v>
      </c>
      <c r="G504" s="8" t="n">
        <v>24</v>
      </c>
      <c r="H504" s="13" t="n">
        <f aca="false">M504*(G504/1000)*7850</f>
        <v>90.432</v>
      </c>
      <c r="I504" s="8" t="n">
        <v>4</v>
      </c>
      <c r="J504" s="14" t="n">
        <f aca="false">H504*I504</f>
        <v>361.728</v>
      </c>
      <c r="K504" s="8" t="s">
        <v>642</v>
      </c>
      <c r="M504" s="15" t="n">
        <v>0.48</v>
      </c>
    </row>
    <row r="505" customFormat="false" ht="13.8" hidden="false" customHeight="false" outlineLevel="0" collapsed="false">
      <c r="A505" s="8" t="s">
        <v>597</v>
      </c>
      <c r="B505" s="8" t="s">
        <v>42</v>
      </c>
      <c r="C505" s="8" t="s">
        <v>172</v>
      </c>
      <c r="D505" s="8" t="s">
        <v>40</v>
      </c>
      <c r="E505" s="8" t="n">
        <v>1800</v>
      </c>
      <c r="F505" s="8" t="n">
        <v>606</v>
      </c>
      <c r="G505" s="8" t="n">
        <v>14</v>
      </c>
      <c r="H505" s="13" t="n">
        <f aca="false">(E505/1000)*(F505/1000)*(G505/1000)*7850</f>
        <v>119.87892</v>
      </c>
      <c r="I505" s="8" t="n">
        <v>6</v>
      </c>
      <c r="J505" s="14" t="n">
        <f aca="false">H505*I505</f>
        <v>719.27352</v>
      </c>
      <c r="K505" s="8" t="s">
        <v>643</v>
      </c>
    </row>
    <row r="506" customFormat="false" ht="13.8" hidden="false" customHeight="false" outlineLevel="0" collapsed="false">
      <c r="A506" s="8" t="s">
        <v>597</v>
      </c>
      <c r="B506" s="8" t="s">
        <v>42</v>
      </c>
      <c r="C506" s="8" t="s">
        <v>239</v>
      </c>
      <c r="D506" s="8" t="s">
        <v>40</v>
      </c>
      <c r="E506" s="8" t="n">
        <v>1800</v>
      </c>
      <c r="F506" s="8" t="n">
        <v>618</v>
      </c>
      <c r="G506" s="8" t="n">
        <v>14</v>
      </c>
      <c r="H506" s="13" t="n">
        <f aca="false">(E506/1000)*(F506/1000)*(G506/1000)*7850</f>
        <v>122.25276</v>
      </c>
      <c r="I506" s="8" t="n">
        <v>4</v>
      </c>
      <c r="J506" s="14" t="n">
        <f aca="false">H506*I506</f>
        <v>489.01104</v>
      </c>
      <c r="K506" s="8" t="s">
        <v>644</v>
      </c>
    </row>
    <row r="507" customFormat="false" ht="13.8" hidden="false" customHeight="false" outlineLevel="0" collapsed="false">
      <c r="A507" s="8" t="s">
        <v>645</v>
      </c>
      <c r="B507" s="8" t="s">
        <v>38</v>
      </c>
      <c r="C507" s="8" t="s">
        <v>179</v>
      </c>
      <c r="D507" s="8" t="s">
        <v>40</v>
      </c>
      <c r="G507" s="8" t="n">
        <v>20</v>
      </c>
      <c r="H507" s="13" t="n">
        <f aca="false">M507*(G507/1000)*7850</f>
        <v>2398.96</v>
      </c>
      <c r="I507" s="8" t="n">
        <v>1</v>
      </c>
      <c r="J507" s="14" t="n">
        <f aca="false">H507*I507</f>
        <v>2398.96</v>
      </c>
      <c r="K507" s="8" t="s">
        <v>646</v>
      </c>
      <c r="M507" s="15" t="n">
        <v>15.28</v>
      </c>
    </row>
    <row r="508" customFormat="false" ht="13.8" hidden="false" customHeight="false" outlineLevel="0" collapsed="false">
      <c r="A508" s="8" t="s">
        <v>645</v>
      </c>
      <c r="B508" s="8" t="s">
        <v>42</v>
      </c>
      <c r="C508" s="8" t="s">
        <v>243</v>
      </c>
      <c r="D508" s="8" t="s">
        <v>40</v>
      </c>
      <c r="G508" s="8" t="n">
        <v>20</v>
      </c>
      <c r="H508" s="13" t="n">
        <f aca="false">M508*(G508/1000)*7850</f>
        <v>2155.61</v>
      </c>
      <c r="I508" s="8" t="n">
        <v>1</v>
      </c>
      <c r="J508" s="14" t="n">
        <f aca="false">H508*I508</f>
        <v>2155.61</v>
      </c>
      <c r="K508" s="8" t="s">
        <v>647</v>
      </c>
      <c r="M508" s="15" t="n">
        <v>13.73</v>
      </c>
    </row>
    <row r="509" customFormat="false" ht="13.8" hidden="false" customHeight="false" outlineLevel="0" collapsed="false">
      <c r="A509" s="8" t="s">
        <v>645</v>
      </c>
      <c r="B509" s="8" t="s">
        <v>45</v>
      </c>
      <c r="C509" s="8" t="s">
        <v>292</v>
      </c>
      <c r="D509" s="8" t="s">
        <v>40</v>
      </c>
      <c r="E509" s="8" t="n">
        <v>7900</v>
      </c>
      <c r="F509" s="8" t="n">
        <v>1200</v>
      </c>
      <c r="G509" s="8" t="n">
        <v>20</v>
      </c>
      <c r="H509" s="13" t="n">
        <f aca="false">(E509/1000)*(F509/1000)*(G509/1000)*7850</f>
        <v>1488.36</v>
      </c>
      <c r="I509" s="8" t="n">
        <v>1</v>
      </c>
      <c r="J509" s="14" t="n">
        <f aca="false">H509*I509</f>
        <v>1488.36</v>
      </c>
      <c r="K509" s="8" t="s">
        <v>648</v>
      </c>
    </row>
    <row r="510" customFormat="false" ht="13.8" hidden="false" customHeight="false" outlineLevel="0" collapsed="false">
      <c r="A510" s="8" t="s">
        <v>645</v>
      </c>
      <c r="B510" s="8" t="s">
        <v>42</v>
      </c>
      <c r="C510" s="8" t="s">
        <v>345</v>
      </c>
      <c r="D510" s="8" t="s">
        <v>40</v>
      </c>
      <c r="E510" s="8" t="n">
        <v>7100</v>
      </c>
      <c r="F510" s="8" t="n">
        <v>1200</v>
      </c>
      <c r="G510" s="8" t="n">
        <v>20</v>
      </c>
      <c r="H510" s="13" t="n">
        <f aca="false">(E510/1000)*(F510/1000)*(G510/1000)*7850</f>
        <v>1337.64</v>
      </c>
      <c r="I510" s="8" t="n">
        <v>1</v>
      </c>
      <c r="J510" s="14" t="n">
        <f aca="false">H510*I510</f>
        <v>1337.64</v>
      </c>
      <c r="K510" s="8" t="s">
        <v>649</v>
      </c>
    </row>
    <row r="511" customFormat="false" ht="13.8" hidden="false" customHeight="false" outlineLevel="0" collapsed="false">
      <c r="A511" s="8" t="s">
        <v>645</v>
      </c>
      <c r="B511" s="8" t="s">
        <v>187</v>
      </c>
      <c r="C511" s="8" t="s">
        <v>188</v>
      </c>
      <c r="D511" s="8" t="s">
        <v>40</v>
      </c>
      <c r="G511" s="8" t="n">
        <v>40</v>
      </c>
      <c r="H511" s="13" t="n">
        <f aca="false">M511*(G511/1000)*7850</f>
        <v>7102.68</v>
      </c>
      <c r="I511" s="8" t="n">
        <v>2</v>
      </c>
      <c r="J511" s="14" t="n">
        <f aca="false">H511*I511</f>
        <v>14205.36</v>
      </c>
      <c r="K511" s="8" t="s">
        <v>650</v>
      </c>
      <c r="M511" s="15" t="n">
        <v>22.62</v>
      </c>
    </row>
    <row r="512" customFormat="false" ht="13.8" hidden="false" customHeight="false" outlineLevel="0" collapsed="false">
      <c r="A512" s="8" t="s">
        <v>645</v>
      </c>
      <c r="B512" s="8" t="s">
        <v>190</v>
      </c>
      <c r="C512" s="8" t="s">
        <v>191</v>
      </c>
      <c r="D512" s="8" t="s">
        <v>40</v>
      </c>
      <c r="E512" s="8" t="n">
        <v>7300</v>
      </c>
      <c r="F512" s="8" t="n">
        <v>2048</v>
      </c>
      <c r="G512" s="8" t="n">
        <v>28</v>
      </c>
      <c r="H512" s="13" t="n">
        <f aca="false">(E512/1000)*(F512/1000)*(G512/1000)*7850</f>
        <v>3286.09792</v>
      </c>
      <c r="I512" s="8" t="n">
        <v>2</v>
      </c>
      <c r="J512" s="14" t="n">
        <f aca="false">H512*I512</f>
        <v>6572.19584</v>
      </c>
      <c r="K512" s="8" t="s">
        <v>651</v>
      </c>
    </row>
    <row r="513" customFormat="false" ht="13.8" hidden="false" customHeight="false" outlineLevel="0" collapsed="false">
      <c r="A513" s="8" t="s">
        <v>645</v>
      </c>
      <c r="B513" s="8" t="s">
        <v>195</v>
      </c>
      <c r="C513" s="8" t="s">
        <v>58</v>
      </c>
      <c r="D513" s="8" t="s">
        <v>40</v>
      </c>
      <c r="E513" s="8" t="n">
        <v>1980</v>
      </c>
      <c r="F513" s="8" t="n">
        <v>1200</v>
      </c>
      <c r="G513" s="8" t="n">
        <v>16</v>
      </c>
      <c r="H513" s="13" t="n">
        <f aca="false">(E513/1000)*(F513/1000)*(G513/1000)*7850</f>
        <v>298.4256</v>
      </c>
      <c r="I513" s="8" t="n">
        <v>3</v>
      </c>
      <c r="J513" s="14" t="n">
        <f aca="false">H513*I513</f>
        <v>895.2768</v>
      </c>
      <c r="K513" s="8" t="s">
        <v>652</v>
      </c>
    </row>
    <row r="514" customFormat="false" ht="13.8" hidden="false" customHeight="false" outlineLevel="0" collapsed="false">
      <c r="A514" s="8" t="s">
        <v>645</v>
      </c>
      <c r="B514" s="8" t="s">
        <v>42</v>
      </c>
      <c r="C514" s="8" t="s">
        <v>298</v>
      </c>
      <c r="D514" s="8" t="s">
        <v>40</v>
      </c>
      <c r="E514" s="8" t="n">
        <v>1980</v>
      </c>
      <c r="F514" s="8" t="n">
        <v>1200</v>
      </c>
      <c r="G514" s="8" t="n">
        <v>16</v>
      </c>
      <c r="H514" s="13" t="n">
        <f aca="false">(E514/1000)*(F514/1000)*(G514/1000)*7850</f>
        <v>298.4256</v>
      </c>
      <c r="I514" s="8" t="n">
        <v>2</v>
      </c>
      <c r="J514" s="14" t="n">
        <f aca="false">H514*I514</f>
        <v>596.8512</v>
      </c>
      <c r="K514" s="8" t="s">
        <v>652</v>
      </c>
    </row>
    <row r="515" customFormat="false" ht="13.8" hidden="false" customHeight="false" outlineLevel="0" collapsed="false">
      <c r="A515" s="8" t="s">
        <v>645</v>
      </c>
      <c r="B515" s="8" t="s">
        <v>42</v>
      </c>
      <c r="C515" s="8" t="s">
        <v>653</v>
      </c>
      <c r="D515" s="8" t="s">
        <v>40</v>
      </c>
      <c r="E515" s="8" t="n">
        <v>2057</v>
      </c>
      <c r="F515" s="8" t="n">
        <v>200</v>
      </c>
      <c r="G515" s="8" t="n">
        <v>16</v>
      </c>
      <c r="H515" s="13" t="n">
        <f aca="false">(E515/1000)*(F515/1000)*(G515/1000)*7850</f>
        <v>51.67184</v>
      </c>
      <c r="I515" s="8" t="n">
        <v>3</v>
      </c>
      <c r="J515" s="14" t="n">
        <f aca="false">H515*I515</f>
        <v>155.01552</v>
      </c>
      <c r="K515" s="8" t="s">
        <v>654</v>
      </c>
    </row>
    <row r="516" customFormat="false" ht="13.8" hidden="false" customHeight="false" outlineLevel="0" collapsed="false">
      <c r="A516" s="8" t="s">
        <v>645</v>
      </c>
      <c r="B516" s="8" t="s">
        <v>42</v>
      </c>
      <c r="C516" s="8" t="s">
        <v>68</v>
      </c>
      <c r="D516" s="8" t="s">
        <v>40</v>
      </c>
      <c r="E516" s="8" t="n">
        <v>800</v>
      </c>
      <c r="F516" s="8" t="n">
        <v>400</v>
      </c>
      <c r="G516" s="8" t="n">
        <v>16</v>
      </c>
      <c r="H516" s="13" t="n">
        <f aca="false">(E516/1000)*(F516/1000)*(G516/1000)*7850</f>
        <v>40.192</v>
      </c>
      <c r="I516" s="8" t="n">
        <v>4</v>
      </c>
      <c r="J516" s="14" t="n">
        <f aca="false">H516*I516</f>
        <v>160.768</v>
      </c>
      <c r="K516" s="8" t="s">
        <v>655</v>
      </c>
    </row>
    <row r="517" customFormat="false" ht="13.8" hidden="false" customHeight="false" outlineLevel="0" collapsed="false">
      <c r="A517" s="8" t="s">
        <v>645</v>
      </c>
      <c r="B517" s="8" t="s">
        <v>80</v>
      </c>
      <c r="C517" s="8" t="s">
        <v>72</v>
      </c>
      <c r="D517" s="8" t="s">
        <v>40</v>
      </c>
      <c r="E517" s="8" t="n">
        <v>7900</v>
      </c>
      <c r="F517" s="8" t="n">
        <v>280</v>
      </c>
      <c r="G517" s="8" t="n">
        <v>24</v>
      </c>
      <c r="H517" s="13" t="n">
        <f aca="false">(E517/1000)*(F517/1000)*(G517/1000)*7850</f>
        <v>416.7408</v>
      </c>
      <c r="I517" s="8" t="n">
        <v>6</v>
      </c>
      <c r="J517" s="14" t="n">
        <f aca="false">H517*I517</f>
        <v>2500.4448</v>
      </c>
      <c r="K517" s="8" t="s">
        <v>656</v>
      </c>
    </row>
    <row r="518" customFormat="false" ht="13.8" hidden="false" customHeight="false" outlineLevel="0" collapsed="false">
      <c r="A518" s="8" t="s">
        <v>645</v>
      </c>
      <c r="B518" s="8" t="s">
        <v>42</v>
      </c>
      <c r="C518" s="8" t="s">
        <v>76</v>
      </c>
      <c r="D518" s="8" t="s">
        <v>40</v>
      </c>
      <c r="E518" s="8" t="n">
        <v>7100</v>
      </c>
      <c r="F518" s="8" t="n">
        <v>280</v>
      </c>
      <c r="G518" s="8" t="n">
        <v>24</v>
      </c>
      <c r="H518" s="13" t="n">
        <f aca="false">(E518/1000)*(F518/1000)*(G518/1000)*7850</f>
        <v>374.5392</v>
      </c>
      <c r="I518" s="8" t="n">
        <v>6</v>
      </c>
      <c r="J518" s="14" t="n">
        <f aca="false">H518*I518</f>
        <v>2247.2352</v>
      </c>
      <c r="K518" s="8" t="s">
        <v>657</v>
      </c>
    </row>
    <row r="519" customFormat="false" ht="13.8" hidden="false" customHeight="false" outlineLevel="0" collapsed="false">
      <c r="A519" s="8" t="s">
        <v>645</v>
      </c>
      <c r="B519" s="8" t="s">
        <v>256</v>
      </c>
      <c r="C519" s="8" t="s">
        <v>96</v>
      </c>
      <c r="D519" s="8" t="s">
        <v>40</v>
      </c>
      <c r="E519" s="8" t="n">
        <v>7901</v>
      </c>
      <c r="F519" s="8" t="n">
        <v>2500</v>
      </c>
      <c r="G519" s="8" t="n">
        <v>24</v>
      </c>
      <c r="H519" s="13" t="n">
        <f aca="false">(E519/1000)*(F519/1000)*(G519/1000)*7850</f>
        <v>3721.371</v>
      </c>
      <c r="I519" s="8" t="n">
        <v>1</v>
      </c>
      <c r="J519" s="14" t="n">
        <f aca="false">H519*I519</f>
        <v>3721.371</v>
      </c>
      <c r="K519" s="8" t="s">
        <v>658</v>
      </c>
    </row>
    <row r="520" customFormat="false" ht="13.8" hidden="false" customHeight="false" outlineLevel="0" collapsed="false">
      <c r="A520" s="8" t="s">
        <v>645</v>
      </c>
      <c r="B520" s="8" t="s">
        <v>42</v>
      </c>
      <c r="C520" s="8" t="s">
        <v>203</v>
      </c>
      <c r="D520" s="8" t="s">
        <v>40</v>
      </c>
      <c r="E520" s="8" t="n">
        <v>7101</v>
      </c>
      <c r="F520" s="8" t="n">
        <v>2500</v>
      </c>
      <c r="G520" s="8" t="n">
        <v>24</v>
      </c>
      <c r="H520" s="13" t="n">
        <f aca="false">(E520/1000)*(F520/1000)*(G520/1000)*7850</f>
        <v>3344.571</v>
      </c>
      <c r="I520" s="8" t="n">
        <v>1</v>
      </c>
      <c r="J520" s="14" t="n">
        <f aca="false">H520*I520</f>
        <v>3344.571</v>
      </c>
      <c r="K520" s="8" t="s">
        <v>659</v>
      </c>
    </row>
    <row r="521" customFormat="false" ht="13.8" hidden="false" customHeight="false" outlineLevel="0" collapsed="false">
      <c r="A521" s="8" t="s">
        <v>645</v>
      </c>
      <c r="B521" s="8" t="s">
        <v>260</v>
      </c>
      <c r="C521" s="8" t="s">
        <v>307</v>
      </c>
      <c r="D521" s="8" t="s">
        <v>40</v>
      </c>
      <c r="G521" s="8" t="n">
        <v>24</v>
      </c>
      <c r="H521" s="13" t="n">
        <f aca="false">M521*(G521/1000)*7850</f>
        <v>2441.664</v>
      </c>
      <c r="I521" s="8" t="n">
        <v>1</v>
      </c>
      <c r="J521" s="14" t="n">
        <f aca="false">H521*I521</f>
        <v>2441.664</v>
      </c>
      <c r="K521" s="8" t="s">
        <v>660</v>
      </c>
      <c r="M521" s="15" t="n">
        <v>12.96</v>
      </c>
    </row>
    <row r="522" customFormat="false" ht="13.8" hidden="false" customHeight="false" outlineLevel="0" collapsed="false">
      <c r="A522" s="8" t="s">
        <v>645</v>
      </c>
      <c r="B522" s="8" t="s">
        <v>42</v>
      </c>
      <c r="C522" s="8" t="s">
        <v>206</v>
      </c>
      <c r="D522" s="8" t="s">
        <v>40</v>
      </c>
      <c r="G522" s="8" t="n">
        <v>24</v>
      </c>
      <c r="H522" s="13" t="n">
        <f aca="false">M522*(G522/1000)*7850</f>
        <v>2096.892</v>
      </c>
      <c r="I522" s="8" t="n">
        <v>1</v>
      </c>
      <c r="J522" s="14" t="n">
        <f aca="false">H522*I522</f>
        <v>2096.892</v>
      </c>
      <c r="K522" s="8" t="s">
        <v>661</v>
      </c>
      <c r="M522" s="15" t="n">
        <v>11.13</v>
      </c>
    </row>
    <row r="523" customFormat="false" ht="13.8" hidden="false" customHeight="false" outlineLevel="0" collapsed="false">
      <c r="A523" s="8" t="s">
        <v>645</v>
      </c>
      <c r="B523" s="8" t="s">
        <v>105</v>
      </c>
      <c r="C523" s="8" t="s">
        <v>103</v>
      </c>
      <c r="D523" s="8" t="s">
        <v>40</v>
      </c>
      <c r="G523" s="8" t="n">
        <v>44</v>
      </c>
      <c r="H523" s="13" t="n">
        <f aca="false">M523*(G523/1000)*7850</f>
        <v>7180.866</v>
      </c>
      <c r="I523" s="8" t="n">
        <v>2</v>
      </c>
      <c r="J523" s="14" t="n">
        <f aca="false">H523*I523</f>
        <v>14361.732</v>
      </c>
      <c r="K523" s="8" t="s">
        <v>662</v>
      </c>
      <c r="M523" s="15" t="n">
        <v>20.79</v>
      </c>
    </row>
    <row r="524" customFormat="false" ht="13.8" hidden="false" customHeight="false" outlineLevel="0" collapsed="false">
      <c r="A524" s="8" t="s">
        <v>645</v>
      </c>
      <c r="B524" s="8" t="s">
        <v>102</v>
      </c>
      <c r="C524" s="8" t="s">
        <v>264</v>
      </c>
      <c r="D524" s="8" t="s">
        <v>40</v>
      </c>
      <c r="E524" s="8" t="n">
        <v>7301</v>
      </c>
      <c r="F524" s="8" t="n">
        <v>1880</v>
      </c>
      <c r="G524" s="8" t="n">
        <v>32</v>
      </c>
      <c r="H524" s="13" t="n">
        <f aca="false">(E524/1000)*(F524/1000)*(G524/1000)*7850</f>
        <v>3447.941056</v>
      </c>
      <c r="I524" s="8" t="n">
        <v>2</v>
      </c>
      <c r="J524" s="14" t="n">
        <f aca="false">H524*I524</f>
        <v>6895.882112</v>
      </c>
      <c r="K524" s="8" t="s">
        <v>663</v>
      </c>
    </row>
    <row r="525" customFormat="false" ht="13.8" hidden="false" customHeight="false" outlineLevel="0" collapsed="false">
      <c r="A525" s="8" t="s">
        <v>645</v>
      </c>
      <c r="B525" s="8" t="s">
        <v>110</v>
      </c>
      <c r="C525" s="8" t="s">
        <v>108</v>
      </c>
      <c r="D525" s="8" t="s">
        <v>40</v>
      </c>
      <c r="E525" s="8" t="n">
        <v>1800</v>
      </c>
      <c r="F525" s="8" t="n">
        <v>1200</v>
      </c>
      <c r="G525" s="8" t="n">
        <v>16</v>
      </c>
      <c r="H525" s="13" t="n">
        <f aca="false">(E525/1000)*(F525/1000)*(G525/1000)*7850</f>
        <v>271.296</v>
      </c>
      <c r="I525" s="8" t="n">
        <v>3</v>
      </c>
      <c r="J525" s="14" t="n">
        <f aca="false">H525*I525</f>
        <v>813.888</v>
      </c>
      <c r="K525" s="8" t="s">
        <v>664</v>
      </c>
    </row>
    <row r="526" customFormat="false" ht="13.8" hidden="false" customHeight="false" outlineLevel="0" collapsed="false">
      <c r="A526" s="8" t="s">
        <v>645</v>
      </c>
      <c r="B526" s="8" t="s">
        <v>42</v>
      </c>
      <c r="C526" s="8" t="s">
        <v>112</v>
      </c>
      <c r="D526" s="8" t="s">
        <v>40</v>
      </c>
      <c r="E526" s="8" t="n">
        <v>1800</v>
      </c>
      <c r="F526" s="8" t="n">
        <v>1200</v>
      </c>
      <c r="G526" s="8" t="n">
        <v>16</v>
      </c>
      <c r="H526" s="13" t="n">
        <f aca="false">(E526/1000)*(F526/1000)*(G526/1000)*7850</f>
        <v>271.296</v>
      </c>
      <c r="I526" s="8" t="n">
        <v>2</v>
      </c>
      <c r="J526" s="14" t="n">
        <f aca="false">H526*I526</f>
        <v>542.592</v>
      </c>
      <c r="K526" s="8" t="s">
        <v>664</v>
      </c>
    </row>
    <row r="527" customFormat="false" ht="13.8" hidden="false" customHeight="false" outlineLevel="0" collapsed="false">
      <c r="A527" s="8" t="s">
        <v>645</v>
      </c>
      <c r="B527" s="8" t="s">
        <v>42</v>
      </c>
      <c r="C527" s="8" t="s">
        <v>313</v>
      </c>
      <c r="D527" s="8" t="s">
        <v>40</v>
      </c>
      <c r="E527" s="8" t="n">
        <v>2057</v>
      </c>
      <c r="F527" s="8" t="n">
        <v>200</v>
      </c>
      <c r="G527" s="8" t="n">
        <v>16</v>
      </c>
      <c r="H527" s="13" t="n">
        <f aca="false">(E527/1000)*(F527/1000)*(G527/1000)*7850</f>
        <v>51.67184</v>
      </c>
      <c r="I527" s="8" t="n">
        <v>3</v>
      </c>
      <c r="J527" s="14" t="n">
        <f aca="false">H527*I527</f>
        <v>155.01552</v>
      </c>
      <c r="K527" s="8" t="s">
        <v>654</v>
      </c>
    </row>
    <row r="528" customFormat="false" ht="13.8" hidden="false" customHeight="false" outlineLevel="0" collapsed="false">
      <c r="A528" s="8" t="s">
        <v>645</v>
      </c>
      <c r="B528" s="8" t="s">
        <v>665</v>
      </c>
      <c r="C528" s="8" t="s">
        <v>666</v>
      </c>
      <c r="D528" s="8" t="s">
        <v>40</v>
      </c>
      <c r="E528" s="8" t="n">
        <v>7901</v>
      </c>
      <c r="F528" s="8" t="n">
        <v>280</v>
      </c>
      <c r="G528" s="8" t="n">
        <v>24</v>
      </c>
      <c r="H528" s="13" t="n">
        <f aca="false">(E528/1000)*(F528/1000)*(G528/1000)*7850</f>
        <v>416.793552</v>
      </c>
      <c r="I528" s="8" t="n">
        <v>4</v>
      </c>
      <c r="J528" s="14" t="n">
        <f aca="false">H528*I528</f>
        <v>1667.174208</v>
      </c>
      <c r="K528" s="8" t="s">
        <v>667</v>
      </c>
    </row>
    <row r="529" customFormat="false" ht="13.8" hidden="false" customHeight="false" outlineLevel="0" collapsed="false">
      <c r="A529" s="8" t="s">
        <v>645</v>
      </c>
      <c r="B529" s="8" t="s">
        <v>42</v>
      </c>
      <c r="C529" s="8" t="s">
        <v>116</v>
      </c>
      <c r="D529" s="8" t="s">
        <v>40</v>
      </c>
      <c r="E529" s="8" t="n">
        <v>7101</v>
      </c>
      <c r="F529" s="8" t="n">
        <v>280</v>
      </c>
      <c r="G529" s="8" t="n">
        <v>24</v>
      </c>
      <c r="H529" s="13" t="n">
        <f aca="false">(E529/1000)*(F529/1000)*(G529/1000)*7850</f>
        <v>374.591952</v>
      </c>
      <c r="I529" s="8" t="n">
        <v>4</v>
      </c>
      <c r="J529" s="14" t="n">
        <f aca="false">H529*I529</f>
        <v>1498.367808</v>
      </c>
      <c r="K529" s="8" t="s">
        <v>668</v>
      </c>
    </row>
    <row r="530" customFormat="false" ht="13.8" hidden="false" customHeight="false" outlineLevel="0" collapsed="false">
      <c r="A530" s="8" t="s">
        <v>645</v>
      </c>
      <c r="B530" s="8" t="s">
        <v>42</v>
      </c>
      <c r="C530" s="8" t="s">
        <v>118</v>
      </c>
      <c r="D530" s="8" t="s">
        <v>40</v>
      </c>
      <c r="E530" s="8" t="n">
        <v>15002</v>
      </c>
      <c r="F530" s="8" t="n">
        <v>170</v>
      </c>
      <c r="G530" s="8" t="n">
        <v>14</v>
      </c>
      <c r="H530" s="13" t="n">
        <f aca="false">(E530/1000)*(F530/1000)*(G530/1000)*7850</f>
        <v>280.282366</v>
      </c>
      <c r="I530" s="8" t="n">
        <v>2</v>
      </c>
      <c r="J530" s="14" t="n">
        <f aca="false">H530*I530</f>
        <v>560.564732</v>
      </c>
      <c r="K530" s="8" t="s">
        <v>669</v>
      </c>
    </row>
    <row r="531" customFormat="false" ht="13.8" hidden="false" customHeight="false" outlineLevel="0" collapsed="false">
      <c r="A531" s="8" t="s">
        <v>645</v>
      </c>
      <c r="B531" s="8" t="s">
        <v>272</v>
      </c>
      <c r="C531" s="8" t="s">
        <v>125</v>
      </c>
      <c r="D531" s="8" t="s">
        <v>40</v>
      </c>
      <c r="E531" s="8" t="n">
        <v>7651</v>
      </c>
      <c r="F531" s="8" t="n">
        <v>900</v>
      </c>
      <c r="G531" s="8" t="n">
        <v>36</v>
      </c>
      <c r="H531" s="13" t="n">
        <f aca="false">(E531/1000)*(F531/1000)*(G531/1000)*7850</f>
        <v>1945.95534</v>
      </c>
      <c r="I531" s="8" t="n">
        <v>2</v>
      </c>
      <c r="J531" s="14" t="n">
        <f aca="false">H531*I531</f>
        <v>3891.91068</v>
      </c>
      <c r="K531" s="8" t="s">
        <v>670</v>
      </c>
    </row>
    <row r="532" customFormat="false" ht="13.8" hidden="false" customHeight="false" outlineLevel="0" collapsed="false">
      <c r="A532" s="8" t="s">
        <v>645</v>
      </c>
      <c r="B532" s="8" t="s">
        <v>42</v>
      </c>
      <c r="C532" s="8" t="s">
        <v>128</v>
      </c>
      <c r="D532" s="8" t="s">
        <v>40</v>
      </c>
      <c r="E532" s="8" t="n">
        <v>12151</v>
      </c>
      <c r="F532" s="8" t="n">
        <v>1200</v>
      </c>
      <c r="G532" s="8" t="n">
        <v>32</v>
      </c>
      <c r="H532" s="13" t="n">
        <f aca="false">(E532/1000)*(F532/1000)*(G532/1000)*7850</f>
        <v>3662.79744</v>
      </c>
      <c r="I532" s="8" t="n">
        <v>1</v>
      </c>
      <c r="J532" s="14" t="n">
        <f aca="false">H532*I532</f>
        <v>3662.79744</v>
      </c>
      <c r="K532" s="8" t="s">
        <v>671</v>
      </c>
    </row>
    <row r="533" customFormat="false" ht="13.8" hidden="false" customHeight="false" outlineLevel="0" collapsed="false">
      <c r="A533" s="8" t="s">
        <v>645</v>
      </c>
      <c r="B533" s="8" t="s">
        <v>42</v>
      </c>
      <c r="C533" s="8" t="s">
        <v>130</v>
      </c>
      <c r="D533" s="8" t="s">
        <v>40</v>
      </c>
      <c r="E533" s="8" t="n">
        <v>10751</v>
      </c>
      <c r="F533" s="8" t="n">
        <v>240</v>
      </c>
      <c r="G533" s="8" t="n">
        <v>24</v>
      </c>
      <c r="H533" s="13" t="n">
        <f aca="false">(E533/1000)*(F533/1000)*(G533/1000)*7850</f>
        <v>486.117216</v>
      </c>
      <c r="I533" s="8" t="n">
        <v>2</v>
      </c>
      <c r="J533" s="14" t="n">
        <f aca="false">H533*I533</f>
        <v>972.234432</v>
      </c>
      <c r="K533" s="8" t="s">
        <v>672</v>
      </c>
    </row>
    <row r="534" customFormat="false" ht="13.8" hidden="false" customHeight="false" outlineLevel="0" collapsed="false">
      <c r="A534" s="8" t="s">
        <v>645</v>
      </c>
      <c r="B534" s="8" t="s">
        <v>42</v>
      </c>
      <c r="C534" s="8" t="s">
        <v>137</v>
      </c>
      <c r="D534" s="8" t="s">
        <v>40</v>
      </c>
      <c r="E534" s="8" t="n">
        <v>3752</v>
      </c>
      <c r="F534" s="8" t="n">
        <v>900</v>
      </c>
      <c r="G534" s="8" t="n">
        <v>36</v>
      </c>
      <c r="H534" s="13" t="n">
        <f aca="false">(E534/1000)*(F534/1000)*(G534/1000)*7850</f>
        <v>954.28368</v>
      </c>
      <c r="I534" s="8" t="n">
        <v>2</v>
      </c>
      <c r="J534" s="14" t="n">
        <f aca="false">H534*I534</f>
        <v>1908.56736</v>
      </c>
      <c r="K534" s="8" t="s">
        <v>673</v>
      </c>
    </row>
    <row r="535" customFormat="false" ht="13.8" hidden="false" customHeight="false" outlineLevel="0" collapsed="false">
      <c r="A535" s="8" t="s">
        <v>645</v>
      </c>
      <c r="B535" s="8" t="s">
        <v>42</v>
      </c>
      <c r="C535" s="8" t="s">
        <v>141</v>
      </c>
      <c r="D535" s="8" t="s">
        <v>40</v>
      </c>
      <c r="E535" s="8" t="n">
        <v>6052</v>
      </c>
      <c r="F535" s="8" t="n">
        <v>1200</v>
      </c>
      <c r="G535" s="8" t="n">
        <v>32</v>
      </c>
      <c r="H535" s="13" t="n">
        <f aca="false">(E535/1000)*(F535/1000)*(G535/1000)*7850</f>
        <v>1824.31488</v>
      </c>
      <c r="I535" s="8" t="n">
        <v>1</v>
      </c>
      <c r="J535" s="14" t="n">
        <f aca="false">H535*I535</f>
        <v>1824.31488</v>
      </c>
      <c r="K535" s="8" t="s">
        <v>674</v>
      </c>
    </row>
    <row r="536" customFormat="false" ht="13.8" hidden="false" customHeight="false" outlineLevel="0" collapsed="false">
      <c r="A536" s="8" t="s">
        <v>645</v>
      </c>
      <c r="B536" s="8" t="s">
        <v>42</v>
      </c>
      <c r="C536" s="8" t="s">
        <v>143</v>
      </c>
      <c r="D536" s="8" t="s">
        <v>40</v>
      </c>
      <c r="E536" s="8" t="n">
        <v>5352</v>
      </c>
      <c r="F536" s="8" t="n">
        <v>240</v>
      </c>
      <c r="G536" s="8" t="n">
        <v>24</v>
      </c>
      <c r="H536" s="13" t="n">
        <f aca="false">(E536/1000)*(F536/1000)*(G536/1000)*7850</f>
        <v>241.996032</v>
      </c>
      <c r="I536" s="8" t="n">
        <v>2</v>
      </c>
      <c r="J536" s="14" t="n">
        <f aca="false">H536*I536</f>
        <v>483.992064</v>
      </c>
      <c r="K536" s="8" t="s">
        <v>675</v>
      </c>
    </row>
    <row r="537" customFormat="false" ht="13.8" hidden="false" customHeight="false" outlineLevel="0" collapsed="false">
      <c r="A537" s="8" t="s">
        <v>645</v>
      </c>
      <c r="B537" s="8" t="s">
        <v>42</v>
      </c>
      <c r="C537" s="8" t="s">
        <v>150</v>
      </c>
      <c r="D537" s="8" t="s">
        <v>40</v>
      </c>
      <c r="E537" s="8" t="n">
        <v>3789</v>
      </c>
      <c r="F537" s="8" t="n">
        <v>900</v>
      </c>
      <c r="G537" s="8" t="n">
        <v>36</v>
      </c>
      <c r="H537" s="13" t="n">
        <f aca="false">(E537/1000)*(F537/1000)*(G537/1000)*7850</f>
        <v>963.69426</v>
      </c>
      <c r="I537" s="8" t="n">
        <v>2</v>
      </c>
      <c r="J537" s="14" t="n">
        <f aca="false">H537*I537</f>
        <v>1927.38852</v>
      </c>
      <c r="K537" s="8" t="s">
        <v>676</v>
      </c>
    </row>
    <row r="538" customFormat="false" ht="13.8" hidden="false" customHeight="false" outlineLevel="0" collapsed="false">
      <c r="A538" s="8" t="s">
        <v>645</v>
      </c>
      <c r="B538" s="8" t="s">
        <v>42</v>
      </c>
      <c r="C538" s="8" t="s">
        <v>155</v>
      </c>
      <c r="D538" s="8" t="s">
        <v>40</v>
      </c>
      <c r="E538" s="8" t="n">
        <v>5989</v>
      </c>
      <c r="F538" s="8" t="n">
        <v>1200</v>
      </c>
      <c r="G538" s="8" t="n">
        <v>32</v>
      </c>
      <c r="H538" s="13" t="n">
        <f aca="false">(E538/1000)*(F538/1000)*(G538/1000)*7850</f>
        <v>1805.32416</v>
      </c>
      <c r="I538" s="8" t="n">
        <v>1</v>
      </c>
      <c r="J538" s="14" t="n">
        <f aca="false">H538*I538</f>
        <v>1805.32416</v>
      </c>
      <c r="K538" s="8" t="s">
        <v>677</v>
      </c>
    </row>
    <row r="539" customFormat="false" ht="13.8" hidden="false" customHeight="false" outlineLevel="0" collapsed="false">
      <c r="A539" s="8" t="s">
        <v>645</v>
      </c>
      <c r="B539" s="8" t="s">
        <v>42</v>
      </c>
      <c r="C539" s="8" t="s">
        <v>160</v>
      </c>
      <c r="D539" s="8" t="s">
        <v>40</v>
      </c>
      <c r="E539" s="8" t="n">
        <v>5289</v>
      </c>
      <c r="F539" s="8" t="n">
        <v>240</v>
      </c>
      <c r="G539" s="8" t="n">
        <v>24</v>
      </c>
      <c r="H539" s="13" t="n">
        <f aca="false">(E539/1000)*(F539/1000)*(G539/1000)*7850</f>
        <v>239.147424</v>
      </c>
      <c r="I539" s="8" t="n">
        <v>2</v>
      </c>
      <c r="J539" s="14" t="n">
        <f aca="false">H539*I539</f>
        <v>478.294848</v>
      </c>
      <c r="K539" s="8" t="s">
        <v>678</v>
      </c>
    </row>
    <row r="540" customFormat="false" ht="13.8" hidden="false" customHeight="false" outlineLevel="0" collapsed="false">
      <c r="A540" s="8" t="s">
        <v>645</v>
      </c>
      <c r="B540" s="8" t="s">
        <v>171</v>
      </c>
      <c r="C540" s="8" t="s">
        <v>158</v>
      </c>
      <c r="D540" s="8" t="s">
        <v>40</v>
      </c>
      <c r="E540" s="8" t="n">
        <v>1123</v>
      </c>
      <c r="F540" s="8" t="n">
        <v>1200</v>
      </c>
      <c r="G540" s="8" t="n">
        <v>20</v>
      </c>
      <c r="H540" s="13" t="n">
        <f aca="false">(E540/1000)*(F540/1000)*(G540/1000)*7850</f>
        <v>211.5732</v>
      </c>
      <c r="I540" s="8" t="n">
        <v>1</v>
      </c>
      <c r="J540" s="14" t="n">
        <f aca="false">H540*I540</f>
        <v>211.5732</v>
      </c>
      <c r="K540" s="8" t="s">
        <v>679</v>
      </c>
    </row>
    <row r="541" customFormat="false" ht="13.8" hidden="false" customHeight="false" outlineLevel="0" collapsed="false">
      <c r="A541" s="8" t="s">
        <v>645</v>
      </c>
      <c r="B541" s="8" t="s">
        <v>42</v>
      </c>
      <c r="C541" s="8" t="s">
        <v>386</v>
      </c>
      <c r="D541" s="8" t="s">
        <v>40</v>
      </c>
      <c r="E541" s="8" t="n">
        <v>1032</v>
      </c>
      <c r="F541" s="8" t="n">
        <v>1200</v>
      </c>
      <c r="G541" s="8" t="n">
        <v>20</v>
      </c>
      <c r="H541" s="13" t="n">
        <f aca="false">(E541/1000)*(F541/1000)*(G541/1000)*7850</f>
        <v>194.4288</v>
      </c>
      <c r="I541" s="8" t="n">
        <v>2</v>
      </c>
      <c r="J541" s="14" t="n">
        <f aca="false">H541*I541</f>
        <v>388.8576</v>
      </c>
      <c r="K541" s="8" t="s">
        <v>680</v>
      </c>
    </row>
    <row r="542" customFormat="false" ht="13.8" hidden="false" customHeight="false" outlineLevel="0" collapsed="false">
      <c r="A542" s="8" t="s">
        <v>645</v>
      </c>
      <c r="B542" s="8" t="s">
        <v>64</v>
      </c>
      <c r="C542" s="8" t="s">
        <v>167</v>
      </c>
      <c r="D542" s="8" t="s">
        <v>40</v>
      </c>
      <c r="E542" s="8" t="n">
        <v>1980</v>
      </c>
      <c r="F542" s="8" t="n">
        <v>610</v>
      </c>
      <c r="G542" s="8" t="n">
        <v>14</v>
      </c>
      <c r="H542" s="13" t="n">
        <f aca="false">(E542/1000)*(F542/1000)*(G542/1000)*7850</f>
        <v>132.73722</v>
      </c>
      <c r="I542" s="8" t="n">
        <v>6</v>
      </c>
      <c r="J542" s="14" t="n">
        <f aca="false">H542*I542</f>
        <v>796.42332</v>
      </c>
      <c r="K542" s="8" t="s">
        <v>681</v>
      </c>
    </row>
    <row r="543" customFormat="false" ht="13.8" hidden="false" customHeight="false" outlineLevel="0" collapsed="false">
      <c r="A543" s="8" t="s">
        <v>645</v>
      </c>
      <c r="B543" s="8" t="s">
        <v>42</v>
      </c>
      <c r="C543" s="8" t="s">
        <v>334</v>
      </c>
      <c r="D543" s="8" t="s">
        <v>40</v>
      </c>
      <c r="E543" s="8" t="n">
        <v>1980</v>
      </c>
      <c r="F543" s="8" t="n">
        <v>622</v>
      </c>
      <c r="G543" s="8" t="n">
        <v>14</v>
      </c>
      <c r="H543" s="13" t="n">
        <f aca="false">(E543/1000)*(F543/1000)*(G543/1000)*7850</f>
        <v>135.348444</v>
      </c>
      <c r="I543" s="8" t="n">
        <v>4</v>
      </c>
      <c r="J543" s="14" t="n">
        <f aca="false">H543*I543</f>
        <v>541.393776</v>
      </c>
      <c r="K543" s="8" t="s">
        <v>682</v>
      </c>
    </row>
    <row r="544" customFormat="false" ht="13.8" hidden="false" customHeight="false" outlineLevel="0" collapsed="false">
      <c r="A544" s="8" t="s">
        <v>645</v>
      </c>
      <c r="B544" s="8" t="s">
        <v>42</v>
      </c>
      <c r="C544" s="8" t="s">
        <v>169</v>
      </c>
      <c r="D544" s="8" t="s">
        <v>40</v>
      </c>
      <c r="G544" s="8" t="n">
        <v>24</v>
      </c>
      <c r="H544" s="13" t="n">
        <f aca="false">M544*(G544/1000)*7850</f>
        <v>88.548</v>
      </c>
      <c r="I544" s="8" t="n">
        <v>6</v>
      </c>
      <c r="J544" s="14" t="n">
        <f aca="false">H544*I544</f>
        <v>531.288</v>
      </c>
      <c r="K544" s="8" t="s">
        <v>683</v>
      </c>
      <c r="M544" s="15" t="n">
        <v>0.47</v>
      </c>
    </row>
    <row r="545" customFormat="false" ht="13.8" hidden="false" customHeight="false" outlineLevel="0" collapsed="false">
      <c r="A545" s="8" t="s">
        <v>645</v>
      </c>
      <c r="B545" s="8" t="s">
        <v>42</v>
      </c>
      <c r="C545" s="8" t="s">
        <v>684</v>
      </c>
      <c r="D545" s="8" t="s">
        <v>40</v>
      </c>
      <c r="G545" s="8" t="n">
        <v>24</v>
      </c>
      <c r="H545" s="13" t="n">
        <f aca="false">M545*(G545/1000)*7850</f>
        <v>90.432</v>
      </c>
      <c r="I545" s="8" t="n">
        <v>4</v>
      </c>
      <c r="J545" s="14" t="n">
        <f aca="false">H545*I545</f>
        <v>361.728</v>
      </c>
      <c r="K545" s="8" t="s">
        <v>685</v>
      </c>
      <c r="M545" s="15" t="n">
        <v>0.48</v>
      </c>
    </row>
    <row r="546" customFormat="false" ht="13.8" hidden="false" customHeight="false" outlineLevel="0" collapsed="false">
      <c r="A546" s="8" t="s">
        <v>645</v>
      </c>
      <c r="B546" s="8" t="s">
        <v>42</v>
      </c>
      <c r="C546" s="8" t="s">
        <v>172</v>
      </c>
      <c r="D546" s="8" t="s">
        <v>40</v>
      </c>
      <c r="E546" s="8" t="n">
        <v>1800</v>
      </c>
      <c r="F546" s="8" t="n">
        <v>606</v>
      </c>
      <c r="G546" s="8" t="n">
        <v>14</v>
      </c>
      <c r="H546" s="13" t="n">
        <f aca="false">(E546/1000)*(F546/1000)*(G546/1000)*7850</f>
        <v>119.87892</v>
      </c>
      <c r="I546" s="8" t="n">
        <v>6</v>
      </c>
      <c r="J546" s="14" t="n">
        <f aca="false">H546*I546</f>
        <v>719.27352</v>
      </c>
      <c r="K546" s="8" t="s">
        <v>686</v>
      </c>
    </row>
    <row r="547" customFormat="false" ht="13.8" hidden="false" customHeight="false" outlineLevel="0" collapsed="false">
      <c r="A547" s="8" t="s">
        <v>645</v>
      </c>
      <c r="B547" s="8" t="s">
        <v>42</v>
      </c>
      <c r="C547" s="8" t="s">
        <v>687</v>
      </c>
      <c r="D547" s="8" t="s">
        <v>40</v>
      </c>
      <c r="E547" s="8" t="n">
        <v>1800</v>
      </c>
      <c r="F547" s="8" t="n">
        <v>618</v>
      </c>
      <c r="G547" s="8" t="n">
        <v>14</v>
      </c>
      <c r="H547" s="13" t="n">
        <f aca="false">(E547/1000)*(F547/1000)*(G547/1000)*7850</f>
        <v>122.25276</v>
      </c>
      <c r="I547" s="8" t="n">
        <v>4</v>
      </c>
      <c r="J547" s="14" t="n">
        <f aca="false">H547*I547</f>
        <v>489.01104</v>
      </c>
      <c r="K547" s="8" t="s">
        <v>688</v>
      </c>
    </row>
    <row r="548" customFormat="false" ht="13.8" hidden="false" customHeight="false" outlineLevel="0" collapsed="false">
      <c r="A548" s="8" t="s">
        <v>689</v>
      </c>
      <c r="B548" s="8" t="s">
        <v>38</v>
      </c>
      <c r="C548" s="8" t="s">
        <v>179</v>
      </c>
      <c r="D548" s="8" t="s">
        <v>40</v>
      </c>
      <c r="G548" s="8" t="n">
        <v>20</v>
      </c>
      <c r="H548" s="13" t="n">
        <f aca="false">M548*(G548/1000)*7850</f>
        <v>2398.96</v>
      </c>
      <c r="I548" s="8" t="n">
        <v>1</v>
      </c>
      <c r="J548" s="14" t="n">
        <f aca="false">H548*I548</f>
        <v>2398.96</v>
      </c>
      <c r="K548" s="8" t="s">
        <v>690</v>
      </c>
      <c r="M548" s="15" t="n">
        <v>15.28</v>
      </c>
    </row>
    <row r="549" customFormat="false" ht="13.8" hidden="false" customHeight="false" outlineLevel="0" collapsed="false">
      <c r="A549" s="8" t="s">
        <v>689</v>
      </c>
      <c r="B549" s="8" t="s">
        <v>42</v>
      </c>
      <c r="C549" s="8" t="s">
        <v>243</v>
      </c>
      <c r="D549" s="8" t="s">
        <v>40</v>
      </c>
      <c r="G549" s="8" t="n">
        <v>20</v>
      </c>
      <c r="H549" s="13" t="n">
        <f aca="false">M549*(G549/1000)*7850</f>
        <v>2155.61</v>
      </c>
      <c r="I549" s="8" t="n">
        <v>1</v>
      </c>
      <c r="J549" s="14" t="n">
        <f aca="false">H549*I549</f>
        <v>2155.61</v>
      </c>
      <c r="K549" s="8" t="s">
        <v>691</v>
      </c>
      <c r="M549" s="15" t="n">
        <v>13.73</v>
      </c>
    </row>
    <row r="550" customFormat="false" ht="13.8" hidden="false" customHeight="false" outlineLevel="0" collapsed="false">
      <c r="A550" s="8" t="s">
        <v>689</v>
      </c>
      <c r="B550" s="8" t="s">
        <v>45</v>
      </c>
      <c r="C550" s="8" t="s">
        <v>292</v>
      </c>
      <c r="D550" s="8" t="s">
        <v>40</v>
      </c>
      <c r="E550" s="8" t="n">
        <v>7900</v>
      </c>
      <c r="F550" s="8" t="n">
        <v>1200</v>
      </c>
      <c r="G550" s="8" t="n">
        <v>20</v>
      </c>
      <c r="H550" s="13" t="n">
        <f aca="false">(E550/1000)*(F550/1000)*(G550/1000)*7850</f>
        <v>1488.36</v>
      </c>
      <c r="I550" s="8" t="n">
        <v>1</v>
      </c>
      <c r="J550" s="14" t="n">
        <f aca="false">H550*I550</f>
        <v>1488.36</v>
      </c>
      <c r="K550" s="8" t="s">
        <v>692</v>
      </c>
    </row>
    <row r="551" customFormat="false" ht="13.8" hidden="false" customHeight="false" outlineLevel="0" collapsed="false">
      <c r="A551" s="8" t="s">
        <v>689</v>
      </c>
      <c r="B551" s="8" t="s">
        <v>42</v>
      </c>
      <c r="C551" s="8" t="s">
        <v>185</v>
      </c>
      <c r="D551" s="8" t="s">
        <v>289</v>
      </c>
      <c r="E551" s="8" t="n">
        <v>7100</v>
      </c>
      <c r="F551" s="8" t="n">
        <v>1200</v>
      </c>
      <c r="G551" s="8" t="n">
        <v>20</v>
      </c>
      <c r="H551" s="13" t="n">
        <f aca="false">(E551/1000)*(F551/1000)*(G551/1000)*7850</f>
        <v>1337.64</v>
      </c>
      <c r="I551" s="8" t="n">
        <v>1</v>
      </c>
      <c r="J551" s="14" t="n">
        <f aca="false">H551*I551</f>
        <v>1337.64</v>
      </c>
      <c r="K551" s="8" t="s">
        <v>693</v>
      </c>
    </row>
    <row r="552" customFormat="false" ht="13.8" hidden="false" customHeight="false" outlineLevel="0" collapsed="false">
      <c r="A552" s="8" t="s">
        <v>689</v>
      </c>
      <c r="B552" s="8" t="s">
        <v>187</v>
      </c>
      <c r="C552" s="8" t="s">
        <v>188</v>
      </c>
      <c r="D552" s="8" t="s">
        <v>40</v>
      </c>
      <c r="G552" s="8" t="n">
        <v>40</v>
      </c>
      <c r="H552" s="13" t="n">
        <f aca="false">M552*(G552/1000)*7850</f>
        <v>7090.12</v>
      </c>
      <c r="I552" s="8" t="n">
        <v>2</v>
      </c>
      <c r="J552" s="14" t="n">
        <f aca="false">H552*I552</f>
        <v>14180.24</v>
      </c>
      <c r="K552" s="8" t="s">
        <v>694</v>
      </c>
      <c r="M552" s="15" t="n">
        <v>22.58</v>
      </c>
    </row>
    <row r="553" customFormat="false" ht="13.8" hidden="false" customHeight="false" outlineLevel="0" collapsed="false">
      <c r="A553" s="8" t="s">
        <v>689</v>
      </c>
      <c r="B553" s="8" t="s">
        <v>190</v>
      </c>
      <c r="C553" s="8" t="s">
        <v>50</v>
      </c>
      <c r="D553" s="8" t="s">
        <v>40</v>
      </c>
      <c r="E553" s="8" t="n">
        <v>7300</v>
      </c>
      <c r="F553" s="8" t="n">
        <v>2048</v>
      </c>
      <c r="G553" s="8" t="n">
        <v>28</v>
      </c>
      <c r="H553" s="13" t="n">
        <f aca="false">(E553/1000)*(F553/1000)*(G553/1000)*7850</f>
        <v>3286.09792</v>
      </c>
      <c r="I553" s="8" t="n">
        <v>2</v>
      </c>
      <c r="J553" s="14" t="n">
        <f aca="false">H553*I553</f>
        <v>6572.19584</v>
      </c>
      <c r="K553" s="8" t="s">
        <v>695</v>
      </c>
    </row>
    <row r="554" customFormat="false" ht="13.8" hidden="false" customHeight="false" outlineLevel="0" collapsed="false">
      <c r="A554" s="8" t="s">
        <v>689</v>
      </c>
      <c r="B554" s="8" t="s">
        <v>195</v>
      </c>
      <c r="C554" s="8" t="s">
        <v>58</v>
      </c>
      <c r="D554" s="8" t="s">
        <v>40</v>
      </c>
      <c r="E554" s="8" t="n">
        <v>1980</v>
      </c>
      <c r="F554" s="8" t="n">
        <v>1200</v>
      </c>
      <c r="G554" s="8" t="n">
        <v>16</v>
      </c>
      <c r="H554" s="13" t="n">
        <f aca="false">(E554/1000)*(F554/1000)*(G554/1000)*7850</f>
        <v>298.4256</v>
      </c>
      <c r="I554" s="8" t="n">
        <v>3</v>
      </c>
      <c r="J554" s="14" t="n">
        <f aca="false">H554*I554</f>
        <v>895.2768</v>
      </c>
      <c r="K554" s="8" t="s">
        <v>696</v>
      </c>
    </row>
    <row r="555" customFormat="false" ht="13.8" hidden="false" customHeight="false" outlineLevel="0" collapsed="false">
      <c r="A555" s="8" t="s">
        <v>689</v>
      </c>
      <c r="B555" s="8" t="s">
        <v>42</v>
      </c>
      <c r="C555" s="8" t="s">
        <v>298</v>
      </c>
      <c r="D555" s="8" t="s">
        <v>289</v>
      </c>
      <c r="E555" s="8" t="n">
        <v>1980</v>
      </c>
      <c r="F555" s="8" t="n">
        <v>1200</v>
      </c>
      <c r="G555" s="8" t="n">
        <v>16</v>
      </c>
      <c r="H555" s="13" t="n">
        <f aca="false">(E555/1000)*(F555/1000)*(G555/1000)*7850</f>
        <v>298.4256</v>
      </c>
      <c r="I555" s="8" t="n">
        <v>2</v>
      </c>
      <c r="J555" s="14" t="n">
        <f aca="false">H555*I555</f>
        <v>596.8512</v>
      </c>
      <c r="K555" s="8" t="s">
        <v>696</v>
      </c>
    </row>
    <row r="556" customFormat="false" ht="13.8" hidden="false" customHeight="false" outlineLevel="0" collapsed="false">
      <c r="A556" s="8" t="s">
        <v>689</v>
      </c>
      <c r="B556" s="8" t="s">
        <v>42</v>
      </c>
      <c r="C556" s="8" t="s">
        <v>196</v>
      </c>
      <c r="D556" s="8" t="s">
        <v>40</v>
      </c>
      <c r="E556" s="8" t="n">
        <v>2057</v>
      </c>
      <c r="F556" s="8" t="n">
        <v>200</v>
      </c>
      <c r="G556" s="8" t="n">
        <v>16</v>
      </c>
      <c r="H556" s="13" t="n">
        <f aca="false">(E556/1000)*(F556/1000)*(G556/1000)*7850</f>
        <v>51.67184</v>
      </c>
      <c r="I556" s="8" t="n">
        <v>3</v>
      </c>
      <c r="J556" s="14" t="n">
        <f aca="false">H556*I556</f>
        <v>155.01552</v>
      </c>
      <c r="K556" s="8" t="s">
        <v>697</v>
      </c>
    </row>
    <row r="557" customFormat="false" ht="13.8" hidden="false" customHeight="false" outlineLevel="0" collapsed="false">
      <c r="A557" s="8" t="s">
        <v>689</v>
      </c>
      <c r="B557" s="8" t="s">
        <v>42</v>
      </c>
      <c r="C557" s="8" t="s">
        <v>68</v>
      </c>
      <c r="D557" s="8" t="s">
        <v>40</v>
      </c>
      <c r="E557" s="8" t="n">
        <v>800</v>
      </c>
      <c r="F557" s="8" t="n">
        <v>400</v>
      </c>
      <c r="G557" s="8" t="n">
        <v>16</v>
      </c>
      <c r="H557" s="13" t="n">
        <f aca="false">(E557/1000)*(F557/1000)*(G557/1000)*7850</f>
        <v>40.192</v>
      </c>
      <c r="I557" s="8" t="n">
        <v>4</v>
      </c>
      <c r="J557" s="14" t="n">
        <f aca="false">H557*I557</f>
        <v>160.768</v>
      </c>
      <c r="K557" s="8" t="s">
        <v>698</v>
      </c>
    </row>
    <row r="558" customFormat="false" ht="13.8" hidden="false" customHeight="false" outlineLevel="0" collapsed="false">
      <c r="A558" s="8" t="s">
        <v>689</v>
      </c>
      <c r="B558" s="8" t="s">
        <v>699</v>
      </c>
      <c r="C558" s="8" t="s">
        <v>72</v>
      </c>
      <c r="D558" s="8" t="s">
        <v>289</v>
      </c>
      <c r="E558" s="8" t="n">
        <v>7900</v>
      </c>
      <c r="F558" s="8" t="n">
        <v>280</v>
      </c>
      <c r="G558" s="8" t="n">
        <v>24</v>
      </c>
      <c r="H558" s="13" t="n">
        <f aca="false">(E558/1000)*(F558/1000)*(G558/1000)*7850</f>
        <v>416.7408</v>
      </c>
      <c r="I558" s="8" t="n">
        <v>6</v>
      </c>
      <c r="J558" s="14" t="n">
        <f aca="false">H558*I558</f>
        <v>2500.4448</v>
      </c>
      <c r="K558" s="8" t="s">
        <v>700</v>
      </c>
    </row>
    <row r="559" customFormat="false" ht="13.8" hidden="false" customHeight="false" outlineLevel="0" collapsed="false">
      <c r="A559" s="8" t="s">
        <v>689</v>
      </c>
      <c r="B559" s="8" t="s">
        <v>42</v>
      </c>
      <c r="C559" s="8" t="s">
        <v>76</v>
      </c>
      <c r="D559" s="8" t="s">
        <v>40</v>
      </c>
      <c r="E559" s="8" t="n">
        <v>7100</v>
      </c>
      <c r="F559" s="8" t="n">
        <v>280</v>
      </c>
      <c r="G559" s="8" t="n">
        <v>24</v>
      </c>
      <c r="H559" s="13" t="n">
        <f aca="false">(E559/1000)*(F559/1000)*(G559/1000)*7850</f>
        <v>374.5392</v>
      </c>
      <c r="I559" s="8" t="n">
        <v>6</v>
      </c>
      <c r="J559" s="14" t="n">
        <f aca="false">H559*I559</f>
        <v>2247.2352</v>
      </c>
      <c r="K559" s="8" t="s">
        <v>701</v>
      </c>
    </row>
    <row r="560" customFormat="false" ht="13.8" hidden="false" customHeight="false" outlineLevel="0" collapsed="false">
      <c r="A560" s="8" t="s">
        <v>689</v>
      </c>
      <c r="B560" s="8" t="s">
        <v>256</v>
      </c>
      <c r="C560" s="8" t="s">
        <v>96</v>
      </c>
      <c r="D560" s="8" t="s">
        <v>40</v>
      </c>
      <c r="E560" s="8" t="n">
        <v>7901</v>
      </c>
      <c r="F560" s="8" t="n">
        <v>2500</v>
      </c>
      <c r="G560" s="8" t="n">
        <v>24</v>
      </c>
      <c r="H560" s="13" t="n">
        <f aca="false">(E560/1000)*(F560/1000)*(G560/1000)*7850</f>
        <v>3721.371</v>
      </c>
      <c r="I560" s="8" t="n">
        <v>1</v>
      </c>
      <c r="J560" s="14" t="n">
        <f aca="false">H560*I560</f>
        <v>3721.371</v>
      </c>
      <c r="K560" s="8" t="s">
        <v>702</v>
      </c>
    </row>
    <row r="561" customFormat="false" ht="13.8" hidden="false" customHeight="false" outlineLevel="0" collapsed="false">
      <c r="A561" s="8" t="s">
        <v>689</v>
      </c>
      <c r="B561" s="8" t="s">
        <v>42</v>
      </c>
      <c r="C561" s="8" t="s">
        <v>203</v>
      </c>
      <c r="D561" s="8" t="s">
        <v>40</v>
      </c>
      <c r="E561" s="8" t="n">
        <v>7101</v>
      </c>
      <c r="F561" s="8" t="n">
        <v>2500</v>
      </c>
      <c r="G561" s="8" t="n">
        <v>24</v>
      </c>
      <c r="H561" s="13" t="n">
        <f aca="false">(E561/1000)*(F561/1000)*(G561/1000)*7850</f>
        <v>3344.571</v>
      </c>
      <c r="I561" s="8" t="n">
        <v>1</v>
      </c>
      <c r="J561" s="14" t="n">
        <f aca="false">H561*I561</f>
        <v>3344.571</v>
      </c>
      <c r="K561" s="8" t="s">
        <v>703</v>
      </c>
    </row>
    <row r="562" customFormat="false" ht="13.8" hidden="false" customHeight="false" outlineLevel="0" collapsed="false">
      <c r="A562" s="8" t="s">
        <v>689</v>
      </c>
      <c r="B562" s="8" t="s">
        <v>260</v>
      </c>
      <c r="C562" s="8" t="s">
        <v>307</v>
      </c>
      <c r="D562" s="8" t="s">
        <v>289</v>
      </c>
      <c r="G562" s="8" t="n">
        <v>24</v>
      </c>
      <c r="H562" s="13" t="n">
        <f aca="false">M562*(G562/1000)*7850</f>
        <v>2441.664</v>
      </c>
      <c r="I562" s="8" t="n">
        <v>1</v>
      </c>
      <c r="J562" s="14" t="n">
        <f aca="false">H562*I562</f>
        <v>2441.664</v>
      </c>
      <c r="K562" s="8" t="s">
        <v>704</v>
      </c>
      <c r="M562" s="15" t="n">
        <v>12.96</v>
      </c>
    </row>
    <row r="563" customFormat="false" ht="13.8" hidden="false" customHeight="false" outlineLevel="0" collapsed="false">
      <c r="A563" s="8" t="s">
        <v>689</v>
      </c>
      <c r="B563" s="8" t="s">
        <v>42</v>
      </c>
      <c r="C563" s="8" t="s">
        <v>206</v>
      </c>
      <c r="D563" s="8" t="s">
        <v>40</v>
      </c>
      <c r="G563" s="8" t="n">
        <v>24</v>
      </c>
      <c r="H563" s="13" t="n">
        <f aca="false">M563*(G563/1000)*7850</f>
        <v>2096.892</v>
      </c>
      <c r="I563" s="8" t="n">
        <v>1</v>
      </c>
      <c r="J563" s="14" t="n">
        <f aca="false">H563*I563</f>
        <v>2096.892</v>
      </c>
      <c r="K563" s="8" t="s">
        <v>705</v>
      </c>
      <c r="M563" s="15" t="n">
        <v>11.13</v>
      </c>
    </row>
    <row r="564" customFormat="false" ht="13.8" hidden="false" customHeight="false" outlineLevel="0" collapsed="false">
      <c r="A564" s="8" t="s">
        <v>689</v>
      </c>
      <c r="B564" s="8" t="s">
        <v>105</v>
      </c>
      <c r="C564" s="8" t="s">
        <v>103</v>
      </c>
      <c r="D564" s="8" t="s">
        <v>289</v>
      </c>
      <c r="G564" s="8" t="n">
        <v>44</v>
      </c>
      <c r="H564" s="13" t="n">
        <f aca="false">M564*(G564/1000)*7850</f>
        <v>7187.774</v>
      </c>
      <c r="I564" s="8" t="n">
        <v>2</v>
      </c>
      <c r="J564" s="14" t="n">
        <f aca="false">H564*I564</f>
        <v>14375.548</v>
      </c>
      <c r="K564" s="8" t="s">
        <v>706</v>
      </c>
      <c r="M564" s="15" t="n">
        <v>20.81</v>
      </c>
    </row>
    <row r="565" customFormat="false" ht="13.8" hidden="false" customHeight="false" outlineLevel="0" collapsed="false">
      <c r="A565" s="8" t="s">
        <v>689</v>
      </c>
      <c r="B565" s="8" t="s">
        <v>102</v>
      </c>
      <c r="C565" s="8" t="s">
        <v>264</v>
      </c>
      <c r="D565" s="8" t="s">
        <v>40</v>
      </c>
      <c r="E565" s="8" t="n">
        <v>7301</v>
      </c>
      <c r="F565" s="8" t="n">
        <v>1880</v>
      </c>
      <c r="G565" s="8" t="n">
        <v>32</v>
      </c>
      <c r="H565" s="13" t="n">
        <f aca="false">(E565/1000)*(F565/1000)*(G565/1000)*7850</f>
        <v>3447.941056</v>
      </c>
      <c r="I565" s="8" t="n">
        <v>2</v>
      </c>
      <c r="J565" s="14" t="n">
        <f aca="false">H565*I565</f>
        <v>6895.882112</v>
      </c>
      <c r="K565" s="8" t="s">
        <v>707</v>
      </c>
    </row>
    <row r="566" customFormat="false" ht="13.8" hidden="false" customHeight="false" outlineLevel="0" collapsed="false">
      <c r="A566" s="8" t="s">
        <v>689</v>
      </c>
      <c r="B566" s="8" t="s">
        <v>110</v>
      </c>
      <c r="C566" s="8" t="s">
        <v>108</v>
      </c>
      <c r="D566" s="8" t="s">
        <v>40</v>
      </c>
      <c r="E566" s="8" t="n">
        <v>1800</v>
      </c>
      <c r="F566" s="8" t="n">
        <v>1200</v>
      </c>
      <c r="G566" s="8" t="n">
        <v>16</v>
      </c>
      <c r="H566" s="13" t="n">
        <f aca="false">(E566/1000)*(F566/1000)*(G566/1000)*7850</f>
        <v>271.296</v>
      </c>
      <c r="I566" s="8" t="n">
        <v>3</v>
      </c>
      <c r="J566" s="14" t="n">
        <f aca="false">H566*I566</f>
        <v>813.888</v>
      </c>
      <c r="K566" s="8" t="s">
        <v>708</v>
      </c>
    </row>
    <row r="567" customFormat="false" ht="13.8" hidden="false" customHeight="false" outlineLevel="0" collapsed="false">
      <c r="A567" s="8" t="s">
        <v>689</v>
      </c>
      <c r="B567" s="8" t="s">
        <v>42</v>
      </c>
      <c r="C567" s="8" t="s">
        <v>112</v>
      </c>
      <c r="D567" s="8" t="s">
        <v>40</v>
      </c>
      <c r="E567" s="8" t="n">
        <v>1800</v>
      </c>
      <c r="F567" s="8" t="n">
        <v>1200</v>
      </c>
      <c r="G567" s="8" t="n">
        <v>16</v>
      </c>
      <c r="H567" s="13" t="n">
        <f aca="false">(E567/1000)*(F567/1000)*(G567/1000)*7850</f>
        <v>271.296</v>
      </c>
      <c r="I567" s="8" t="n">
        <v>2</v>
      </c>
      <c r="J567" s="14" t="n">
        <f aca="false">H567*I567</f>
        <v>542.592</v>
      </c>
      <c r="K567" s="8" t="s">
        <v>708</v>
      </c>
    </row>
    <row r="568" customFormat="false" ht="13.8" hidden="false" customHeight="false" outlineLevel="0" collapsed="false">
      <c r="A568" s="8" t="s">
        <v>689</v>
      </c>
      <c r="B568" s="8" t="s">
        <v>42</v>
      </c>
      <c r="C568" s="8" t="s">
        <v>313</v>
      </c>
      <c r="D568" s="8" t="s">
        <v>289</v>
      </c>
      <c r="E568" s="8" t="n">
        <v>2057</v>
      </c>
      <c r="F568" s="8" t="n">
        <v>200</v>
      </c>
      <c r="G568" s="8" t="n">
        <v>16</v>
      </c>
      <c r="H568" s="13" t="n">
        <f aca="false">(E568/1000)*(F568/1000)*(G568/1000)*7850</f>
        <v>51.67184</v>
      </c>
      <c r="I568" s="8" t="n">
        <v>3</v>
      </c>
      <c r="J568" s="14" t="n">
        <f aca="false">H568*I568</f>
        <v>155.01552</v>
      </c>
      <c r="K568" s="8" t="s">
        <v>697</v>
      </c>
    </row>
    <row r="569" customFormat="false" ht="13.8" hidden="false" customHeight="false" outlineLevel="0" collapsed="false">
      <c r="A569" s="8" t="s">
        <v>689</v>
      </c>
      <c r="B569" s="8" t="s">
        <v>268</v>
      </c>
      <c r="C569" s="8" t="s">
        <v>114</v>
      </c>
      <c r="D569" s="8" t="s">
        <v>40</v>
      </c>
      <c r="E569" s="8" t="n">
        <v>7901</v>
      </c>
      <c r="F569" s="8" t="n">
        <v>280</v>
      </c>
      <c r="G569" s="8" t="n">
        <v>24</v>
      </c>
      <c r="H569" s="13" t="n">
        <f aca="false">(E569/1000)*(F569/1000)*(G569/1000)*7850</f>
        <v>416.793552</v>
      </c>
      <c r="I569" s="8" t="n">
        <v>4</v>
      </c>
      <c r="J569" s="14" t="n">
        <f aca="false">H569*I569</f>
        <v>1667.174208</v>
      </c>
      <c r="K569" s="8" t="s">
        <v>709</v>
      </c>
    </row>
    <row r="570" customFormat="false" ht="13.8" hidden="false" customHeight="false" outlineLevel="0" collapsed="false">
      <c r="A570" s="8" t="s">
        <v>689</v>
      </c>
      <c r="B570" s="8" t="s">
        <v>42</v>
      </c>
      <c r="C570" s="8" t="s">
        <v>116</v>
      </c>
      <c r="D570" s="8" t="s">
        <v>289</v>
      </c>
      <c r="E570" s="8" t="n">
        <v>7101</v>
      </c>
      <c r="F570" s="8" t="n">
        <v>280</v>
      </c>
      <c r="G570" s="8" t="n">
        <v>24</v>
      </c>
      <c r="H570" s="13" t="n">
        <f aca="false">(E570/1000)*(F570/1000)*(G570/1000)*7850</f>
        <v>374.591952</v>
      </c>
      <c r="I570" s="8" t="n">
        <v>4</v>
      </c>
      <c r="J570" s="14" t="n">
        <f aca="false">H570*I570</f>
        <v>1498.367808</v>
      </c>
      <c r="K570" s="8" t="s">
        <v>710</v>
      </c>
    </row>
    <row r="571" customFormat="false" ht="13.8" hidden="false" customHeight="false" outlineLevel="0" collapsed="false">
      <c r="A571" s="8" t="s">
        <v>689</v>
      </c>
      <c r="B571" s="8" t="s">
        <v>42</v>
      </c>
      <c r="C571" s="8" t="s">
        <v>118</v>
      </c>
      <c r="D571" s="8" t="s">
        <v>40</v>
      </c>
      <c r="E571" s="8" t="n">
        <v>15002</v>
      </c>
      <c r="F571" s="8" t="n">
        <v>170</v>
      </c>
      <c r="G571" s="8" t="n">
        <v>14</v>
      </c>
      <c r="H571" s="13" t="n">
        <f aca="false">(E571/1000)*(F571/1000)*(G571/1000)*7850</f>
        <v>280.282366</v>
      </c>
      <c r="I571" s="8" t="n">
        <v>2</v>
      </c>
      <c r="J571" s="14" t="n">
        <f aca="false">H571*I571</f>
        <v>560.564732</v>
      </c>
      <c r="K571" s="8" t="s">
        <v>711</v>
      </c>
    </row>
    <row r="572" customFormat="false" ht="13.8" hidden="false" customHeight="false" outlineLevel="0" collapsed="false">
      <c r="A572" s="8" t="s">
        <v>689</v>
      </c>
      <c r="B572" s="8" t="s">
        <v>272</v>
      </c>
      <c r="C572" s="8" t="s">
        <v>125</v>
      </c>
      <c r="D572" s="8" t="s">
        <v>40</v>
      </c>
      <c r="E572" s="8" t="n">
        <v>7548</v>
      </c>
      <c r="F572" s="8" t="n">
        <v>900</v>
      </c>
      <c r="G572" s="8" t="n">
        <v>36</v>
      </c>
      <c r="H572" s="13" t="n">
        <f aca="false">(E572/1000)*(F572/1000)*(G572/1000)*7850</f>
        <v>1919.75832</v>
      </c>
      <c r="I572" s="8" t="n">
        <v>2</v>
      </c>
      <c r="J572" s="14" t="n">
        <f aca="false">H572*I572</f>
        <v>3839.51664</v>
      </c>
      <c r="K572" s="8" t="s">
        <v>712</v>
      </c>
    </row>
    <row r="573" customFormat="false" ht="13.8" hidden="false" customHeight="false" outlineLevel="0" collapsed="false">
      <c r="A573" s="8" t="s">
        <v>689</v>
      </c>
      <c r="B573" s="8" t="s">
        <v>42</v>
      </c>
      <c r="C573" s="8" t="s">
        <v>128</v>
      </c>
      <c r="D573" s="8" t="s">
        <v>40</v>
      </c>
      <c r="E573" s="8" t="n">
        <v>12048</v>
      </c>
      <c r="F573" s="8" t="n">
        <v>1200</v>
      </c>
      <c r="G573" s="8" t="n">
        <v>32</v>
      </c>
      <c r="H573" s="13" t="n">
        <f aca="false">(E573/1000)*(F573/1000)*(G573/1000)*7850</f>
        <v>3631.74912</v>
      </c>
      <c r="I573" s="8" t="n">
        <v>1</v>
      </c>
      <c r="J573" s="14" t="n">
        <f aca="false">H573*I573</f>
        <v>3631.74912</v>
      </c>
      <c r="K573" s="8" t="s">
        <v>713</v>
      </c>
    </row>
    <row r="574" customFormat="false" ht="13.8" hidden="false" customHeight="false" outlineLevel="0" collapsed="false">
      <c r="A574" s="8" t="s">
        <v>689</v>
      </c>
      <c r="B574" s="8" t="s">
        <v>42</v>
      </c>
      <c r="C574" s="8" t="s">
        <v>130</v>
      </c>
      <c r="D574" s="8" t="s">
        <v>289</v>
      </c>
      <c r="E574" s="8" t="n">
        <v>10648</v>
      </c>
      <c r="F574" s="8" t="n">
        <v>240</v>
      </c>
      <c r="G574" s="8" t="n">
        <v>24</v>
      </c>
      <c r="H574" s="13" t="n">
        <f aca="false">(E574/1000)*(F574/1000)*(G574/1000)*7850</f>
        <v>481.459968</v>
      </c>
      <c r="I574" s="8" t="n">
        <v>2</v>
      </c>
      <c r="J574" s="14" t="n">
        <f aca="false">H574*I574</f>
        <v>962.919936</v>
      </c>
      <c r="K574" s="8" t="s">
        <v>714</v>
      </c>
    </row>
    <row r="575" customFormat="false" ht="13.8" hidden="false" customHeight="false" outlineLevel="0" collapsed="false">
      <c r="A575" s="8" t="s">
        <v>689</v>
      </c>
      <c r="B575" s="8" t="s">
        <v>42</v>
      </c>
      <c r="C575" s="8" t="s">
        <v>321</v>
      </c>
      <c r="D575" s="8" t="s">
        <v>40</v>
      </c>
      <c r="E575" s="8" t="n">
        <v>3714</v>
      </c>
      <c r="F575" s="8" t="n">
        <v>900</v>
      </c>
      <c r="G575" s="8" t="n">
        <v>36</v>
      </c>
      <c r="H575" s="13" t="n">
        <f aca="false">(E575/1000)*(F575/1000)*(G575/1000)*7850</f>
        <v>944.61876</v>
      </c>
      <c r="I575" s="8" t="n">
        <v>2</v>
      </c>
      <c r="J575" s="14" t="n">
        <f aca="false">H575*I575</f>
        <v>1889.23752</v>
      </c>
      <c r="K575" s="8" t="s">
        <v>715</v>
      </c>
    </row>
    <row r="576" customFormat="false" ht="13.8" hidden="false" customHeight="false" outlineLevel="0" collapsed="false">
      <c r="A576" s="8" t="s">
        <v>689</v>
      </c>
      <c r="B576" s="8" t="s">
        <v>42</v>
      </c>
      <c r="C576" s="8" t="s">
        <v>141</v>
      </c>
      <c r="D576" s="8" t="s">
        <v>40</v>
      </c>
      <c r="E576" s="8" t="n">
        <v>6014</v>
      </c>
      <c r="F576" s="8" t="n">
        <v>1200</v>
      </c>
      <c r="G576" s="8" t="n">
        <v>32</v>
      </c>
      <c r="H576" s="13" t="n">
        <f aca="false">(E576/1000)*(F576/1000)*(G576/1000)*7850</f>
        <v>1812.86016</v>
      </c>
      <c r="I576" s="8" t="n">
        <v>1</v>
      </c>
      <c r="J576" s="14" t="n">
        <f aca="false">H576*I576</f>
        <v>1812.86016</v>
      </c>
      <c r="K576" s="8" t="s">
        <v>716</v>
      </c>
    </row>
    <row r="577" customFormat="false" ht="13.8" hidden="false" customHeight="false" outlineLevel="0" collapsed="false">
      <c r="A577" s="8" t="s">
        <v>689</v>
      </c>
      <c r="B577" s="8" t="s">
        <v>42</v>
      </c>
      <c r="C577" s="8" t="s">
        <v>143</v>
      </c>
      <c r="D577" s="8" t="s">
        <v>40</v>
      </c>
      <c r="E577" s="8" t="n">
        <v>5314</v>
      </c>
      <c r="F577" s="8" t="n">
        <v>240</v>
      </c>
      <c r="G577" s="8" t="n">
        <v>24</v>
      </c>
      <c r="H577" s="13" t="n">
        <f aca="false">(E577/1000)*(F577/1000)*(G577/1000)*7850</f>
        <v>240.277824</v>
      </c>
      <c r="I577" s="8" t="n">
        <v>2</v>
      </c>
      <c r="J577" s="14" t="n">
        <f aca="false">H577*I577</f>
        <v>480.555648</v>
      </c>
      <c r="K577" s="8" t="s">
        <v>717</v>
      </c>
    </row>
    <row r="578" customFormat="false" ht="13.8" hidden="false" customHeight="false" outlineLevel="0" collapsed="false">
      <c r="A578" s="8" t="s">
        <v>689</v>
      </c>
      <c r="B578" s="8" t="s">
        <v>42</v>
      </c>
      <c r="C578" s="8" t="s">
        <v>221</v>
      </c>
      <c r="D578" s="8" t="s">
        <v>40</v>
      </c>
      <c r="E578" s="8" t="n">
        <v>3752</v>
      </c>
      <c r="F578" s="8" t="n">
        <v>900</v>
      </c>
      <c r="G578" s="8" t="n">
        <v>36</v>
      </c>
      <c r="H578" s="13" t="n">
        <f aca="false">(E578/1000)*(F578/1000)*(G578/1000)*7850</f>
        <v>954.28368</v>
      </c>
      <c r="I578" s="8" t="n">
        <v>2</v>
      </c>
      <c r="J578" s="14" t="n">
        <f aca="false">H578*I578</f>
        <v>1908.56736</v>
      </c>
      <c r="K578" s="8" t="s">
        <v>718</v>
      </c>
    </row>
    <row r="579" customFormat="false" ht="13.8" hidden="false" customHeight="false" outlineLevel="0" collapsed="false">
      <c r="A579" s="8" t="s">
        <v>689</v>
      </c>
      <c r="B579" s="8" t="s">
        <v>42</v>
      </c>
      <c r="C579" s="8" t="s">
        <v>155</v>
      </c>
      <c r="D579" s="8" t="s">
        <v>40</v>
      </c>
      <c r="E579" s="8" t="n">
        <v>5952</v>
      </c>
      <c r="F579" s="8" t="n">
        <v>1200</v>
      </c>
      <c r="G579" s="8" t="n">
        <v>32</v>
      </c>
      <c r="H579" s="13" t="n">
        <f aca="false">(E579/1000)*(F579/1000)*(G579/1000)*7850</f>
        <v>1794.17088</v>
      </c>
      <c r="I579" s="8" t="n">
        <v>1</v>
      </c>
      <c r="J579" s="14" t="n">
        <f aca="false">H579*I579</f>
        <v>1794.17088</v>
      </c>
      <c r="K579" s="8" t="s">
        <v>719</v>
      </c>
    </row>
    <row r="580" customFormat="false" ht="13.8" hidden="false" customHeight="false" outlineLevel="0" collapsed="false">
      <c r="A580" s="8" t="s">
        <v>689</v>
      </c>
      <c r="B580" s="8" t="s">
        <v>42</v>
      </c>
      <c r="C580" s="8" t="s">
        <v>160</v>
      </c>
      <c r="D580" s="8" t="s">
        <v>40</v>
      </c>
      <c r="E580" s="8" t="n">
        <v>5252</v>
      </c>
      <c r="F580" s="8" t="n">
        <v>240</v>
      </c>
      <c r="G580" s="8" t="n">
        <v>24</v>
      </c>
      <c r="H580" s="13" t="n">
        <f aca="false">(E580/1000)*(F580/1000)*(G580/1000)*7850</f>
        <v>237.474432</v>
      </c>
      <c r="I580" s="8" t="n">
        <v>2</v>
      </c>
      <c r="J580" s="14" t="n">
        <f aca="false">H580*I580</f>
        <v>474.948864</v>
      </c>
      <c r="K580" s="8" t="s">
        <v>720</v>
      </c>
    </row>
    <row r="581" customFormat="false" ht="13.8" hidden="false" customHeight="false" outlineLevel="0" collapsed="false">
      <c r="A581" s="8" t="s">
        <v>689</v>
      </c>
      <c r="B581" s="8" t="s">
        <v>171</v>
      </c>
      <c r="C581" s="8" t="s">
        <v>158</v>
      </c>
      <c r="D581" s="8" t="s">
        <v>40</v>
      </c>
      <c r="E581" s="8" t="n">
        <v>1100</v>
      </c>
      <c r="F581" s="8" t="n">
        <v>1200</v>
      </c>
      <c r="G581" s="8" t="n">
        <v>20</v>
      </c>
      <c r="H581" s="13" t="n">
        <f aca="false">(E581/1000)*(F581/1000)*(G581/1000)*7850</f>
        <v>207.24</v>
      </c>
      <c r="I581" s="8" t="n">
        <v>1</v>
      </c>
      <c r="J581" s="14" t="n">
        <f aca="false">H581*I581</f>
        <v>207.24</v>
      </c>
      <c r="K581" s="8" t="s">
        <v>721</v>
      </c>
    </row>
    <row r="582" customFormat="false" ht="13.8" hidden="false" customHeight="false" outlineLevel="0" collapsed="false">
      <c r="A582" s="8" t="s">
        <v>689</v>
      </c>
      <c r="B582" s="8" t="s">
        <v>42</v>
      </c>
      <c r="C582" s="8" t="s">
        <v>386</v>
      </c>
      <c r="D582" s="8" t="s">
        <v>40</v>
      </c>
      <c r="E582" s="8" t="n">
        <v>1010</v>
      </c>
      <c r="F582" s="8" t="n">
        <v>1200</v>
      </c>
      <c r="G582" s="8" t="n">
        <v>20</v>
      </c>
      <c r="H582" s="13" t="n">
        <f aca="false">(E582/1000)*(F582/1000)*(G582/1000)*7850</f>
        <v>190.284</v>
      </c>
      <c r="I582" s="8" t="n">
        <v>1</v>
      </c>
      <c r="J582" s="14" t="n">
        <f aca="false">H582*I582</f>
        <v>190.284</v>
      </c>
      <c r="K582" s="8" t="s">
        <v>722</v>
      </c>
    </row>
    <row r="583" customFormat="false" ht="13.8" hidden="false" customHeight="false" outlineLevel="0" collapsed="false">
      <c r="A583" s="8" t="s">
        <v>689</v>
      </c>
      <c r="B583" s="8" t="s">
        <v>64</v>
      </c>
      <c r="C583" s="8" t="s">
        <v>167</v>
      </c>
      <c r="D583" s="8" t="s">
        <v>40</v>
      </c>
      <c r="E583" s="8" t="n">
        <v>1980</v>
      </c>
      <c r="F583" s="8" t="n">
        <v>610</v>
      </c>
      <c r="G583" s="8" t="n">
        <v>14</v>
      </c>
      <c r="H583" s="13" t="n">
        <f aca="false">(E583/1000)*(F583/1000)*(G583/1000)*7850</f>
        <v>132.73722</v>
      </c>
      <c r="I583" s="8" t="n">
        <v>6</v>
      </c>
      <c r="J583" s="14" t="n">
        <f aca="false">H583*I583</f>
        <v>796.42332</v>
      </c>
      <c r="K583" s="8" t="s">
        <v>723</v>
      </c>
    </row>
    <row r="584" customFormat="false" ht="13.8" hidden="false" customHeight="false" outlineLevel="0" collapsed="false">
      <c r="A584" s="8" t="s">
        <v>689</v>
      </c>
      <c r="B584" s="8" t="s">
        <v>42</v>
      </c>
      <c r="C584" s="8" t="s">
        <v>334</v>
      </c>
      <c r="D584" s="8" t="s">
        <v>40</v>
      </c>
      <c r="E584" s="8" t="n">
        <v>1980</v>
      </c>
      <c r="F584" s="8" t="n">
        <v>622</v>
      </c>
      <c r="G584" s="8" t="n">
        <v>14</v>
      </c>
      <c r="H584" s="13" t="n">
        <f aca="false">(E584/1000)*(F584/1000)*(G584/1000)*7850</f>
        <v>135.348444</v>
      </c>
      <c r="I584" s="8" t="n">
        <v>4</v>
      </c>
      <c r="J584" s="14" t="n">
        <f aca="false">H584*I584</f>
        <v>541.393776</v>
      </c>
      <c r="K584" s="8" t="s">
        <v>724</v>
      </c>
    </row>
    <row r="585" customFormat="false" ht="13.8" hidden="false" customHeight="false" outlineLevel="0" collapsed="false">
      <c r="A585" s="8" t="s">
        <v>689</v>
      </c>
      <c r="B585" s="8" t="s">
        <v>42</v>
      </c>
      <c r="C585" s="8" t="s">
        <v>169</v>
      </c>
      <c r="D585" s="8" t="s">
        <v>289</v>
      </c>
      <c r="G585" s="8" t="n">
        <v>24</v>
      </c>
      <c r="H585" s="13" t="n">
        <f aca="false">M585*(G585/1000)*7850</f>
        <v>88.548</v>
      </c>
      <c r="I585" s="8" t="n">
        <v>6</v>
      </c>
      <c r="J585" s="14" t="n">
        <f aca="false">H585*I585</f>
        <v>531.288</v>
      </c>
      <c r="K585" s="8" t="s">
        <v>725</v>
      </c>
      <c r="M585" s="15" t="n">
        <v>0.47</v>
      </c>
    </row>
    <row r="586" customFormat="false" ht="13.8" hidden="false" customHeight="false" outlineLevel="0" collapsed="false">
      <c r="A586" s="8" t="s">
        <v>689</v>
      </c>
      <c r="B586" s="8" t="s">
        <v>42</v>
      </c>
      <c r="C586" s="8" t="s">
        <v>684</v>
      </c>
      <c r="D586" s="8" t="s">
        <v>40</v>
      </c>
      <c r="G586" s="8" t="n">
        <v>24</v>
      </c>
      <c r="H586" s="13" t="n">
        <f aca="false">M586*(G586/1000)*7850</f>
        <v>90.432</v>
      </c>
      <c r="I586" s="8" t="n">
        <v>4</v>
      </c>
      <c r="J586" s="14" t="n">
        <f aca="false">H586*I586</f>
        <v>361.728</v>
      </c>
      <c r="K586" s="8" t="s">
        <v>726</v>
      </c>
      <c r="M586" s="15" t="n">
        <v>0.48</v>
      </c>
    </row>
    <row r="587" customFormat="false" ht="13.8" hidden="false" customHeight="false" outlineLevel="0" collapsed="false">
      <c r="A587" s="8" t="s">
        <v>689</v>
      </c>
      <c r="B587" s="8" t="s">
        <v>42</v>
      </c>
      <c r="C587" s="8" t="s">
        <v>172</v>
      </c>
      <c r="D587" s="8" t="s">
        <v>289</v>
      </c>
      <c r="E587" s="8" t="n">
        <v>1800</v>
      </c>
      <c r="F587" s="8" t="n">
        <v>606</v>
      </c>
      <c r="G587" s="8" t="n">
        <v>14</v>
      </c>
      <c r="H587" s="13" t="n">
        <f aca="false">(E587/1000)*(F587/1000)*(G587/1000)*7850</f>
        <v>119.87892</v>
      </c>
      <c r="I587" s="8" t="n">
        <v>6</v>
      </c>
      <c r="J587" s="14" t="n">
        <f aca="false">H587*I587</f>
        <v>719.27352</v>
      </c>
      <c r="K587" s="8" t="s">
        <v>727</v>
      </c>
    </row>
    <row r="588" customFormat="false" ht="13.8" hidden="false" customHeight="false" outlineLevel="0" collapsed="false">
      <c r="A588" s="8" t="s">
        <v>689</v>
      </c>
      <c r="B588" s="8" t="s">
        <v>42</v>
      </c>
      <c r="C588" s="8" t="s">
        <v>239</v>
      </c>
      <c r="D588" s="8" t="s">
        <v>40</v>
      </c>
      <c r="E588" s="8" t="n">
        <v>1800</v>
      </c>
      <c r="F588" s="8" t="n">
        <v>618</v>
      </c>
      <c r="G588" s="8" t="n">
        <v>14</v>
      </c>
      <c r="H588" s="13" t="n">
        <f aca="false">(E588/1000)*(F588/1000)*(G588/1000)*7850</f>
        <v>122.25276</v>
      </c>
      <c r="I588" s="8" t="n">
        <v>4</v>
      </c>
      <c r="J588" s="14" t="n">
        <f aca="false">H588*I588</f>
        <v>489.01104</v>
      </c>
      <c r="K588" s="8" t="s">
        <v>728</v>
      </c>
    </row>
    <row r="589" customFormat="false" ht="13.8" hidden="false" customHeight="false" outlineLevel="0" collapsed="false">
      <c r="A589" s="8" t="s">
        <v>729</v>
      </c>
      <c r="B589" s="8" t="s">
        <v>38</v>
      </c>
      <c r="C589" s="8" t="s">
        <v>179</v>
      </c>
      <c r="D589" s="8" t="s">
        <v>40</v>
      </c>
      <c r="G589" s="8" t="n">
        <v>20</v>
      </c>
      <c r="H589" s="13" t="n">
        <f aca="false">M589*(G589/1000)*7850</f>
        <v>2398.96</v>
      </c>
      <c r="I589" s="8" t="n">
        <v>1</v>
      </c>
      <c r="J589" s="14" t="n">
        <f aca="false">H589*I589</f>
        <v>2398.96</v>
      </c>
      <c r="K589" s="8" t="s">
        <v>730</v>
      </c>
      <c r="M589" s="15" t="n">
        <v>15.28</v>
      </c>
    </row>
    <row r="590" customFormat="false" ht="13.8" hidden="false" customHeight="false" outlineLevel="0" collapsed="false">
      <c r="A590" s="8" t="s">
        <v>729</v>
      </c>
      <c r="B590" s="8" t="s">
        <v>42</v>
      </c>
      <c r="C590" s="8" t="s">
        <v>243</v>
      </c>
      <c r="D590" s="8" t="s">
        <v>40</v>
      </c>
      <c r="G590" s="8" t="n">
        <v>20</v>
      </c>
      <c r="H590" s="13" t="n">
        <f aca="false">M590*(G590/1000)*7850</f>
        <v>2155.61</v>
      </c>
      <c r="I590" s="8" t="n">
        <v>1</v>
      </c>
      <c r="J590" s="14" t="n">
        <f aca="false">H590*I590</f>
        <v>2155.61</v>
      </c>
      <c r="K590" s="8" t="s">
        <v>731</v>
      </c>
      <c r="M590" s="15" t="n">
        <v>13.73</v>
      </c>
    </row>
    <row r="591" customFormat="false" ht="13.8" hidden="false" customHeight="false" outlineLevel="0" collapsed="false">
      <c r="A591" s="8" t="s">
        <v>729</v>
      </c>
      <c r="B591" s="8" t="s">
        <v>45</v>
      </c>
      <c r="C591" s="8" t="s">
        <v>292</v>
      </c>
      <c r="D591" s="8" t="s">
        <v>40</v>
      </c>
      <c r="E591" s="8" t="n">
        <v>7900</v>
      </c>
      <c r="F591" s="8" t="n">
        <v>1200</v>
      </c>
      <c r="G591" s="8" t="n">
        <v>20</v>
      </c>
      <c r="H591" s="13" t="n">
        <f aca="false">(E591/1000)*(F591/1000)*(G591/1000)*7850</f>
        <v>1488.36</v>
      </c>
      <c r="I591" s="8" t="n">
        <v>1</v>
      </c>
      <c r="J591" s="14" t="n">
        <f aca="false">H591*I591</f>
        <v>1488.36</v>
      </c>
      <c r="K591" s="8" t="s">
        <v>732</v>
      </c>
    </row>
    <row r="592" customFormat="false" ht="13.8" hidden="false" customHeight="false" outlineLevel="0" collapsed="false">
      <c r="A592" s="8" t="s">
        <v>729</v>
      </c>
      <c r="B592" s="8" t="s">
        <v>42</v>
      </c>
      <c r="C592" s="8" t="s">
        <v>185</v>
      </c>
      <c r="D592" s="8" t="s">
        <v>40</v>
      </c>
      <c r="E592" s="8" t="n">
        <v>7100</v>
      </c>
      <c r="F592" s="8" t="n">
        <v>1200</v>
      </c>
      <c r="G592" s="8" t="n">
        <v>20</v>
      </c>
      <c r="H592" s="13" t="n">
        <f aca="false">(E592/1000)*(F592/1000)*(G592/1000)*7850</f>
        <v>1337.64</v>
      </c>
      <c r="I592" s="8" t="n">
        <v>1</v>
      </c>
      <c r="J592" s="14" t="n">
        <f aca="false">H592*I592</f>
        <v>1337.64</v>
      </c>
      <c r="K592" s="8" t="s">
        <v>733</v>
      </c>
    </row>
    <row r="593" customFormat="false" ht="13.8" hidden="false" customHeight="false" outlineLevel="0" collapsed="false">
      <c r="A593" s="8" t="s">
        <v>729</v>
      </c>
      <c r="B593" s="8" t="s">
        <v>187</v>
      </c>
      <c r="C593" s="8" t="s">
        <v>188</v>
      </c>
      <c r="D593" s="8" t="s">
        <v>40</v>
      </c>
      <c r="G593" s="8" t="n">
        <v>40</v>
      </c>
      <c r="H593" s="13" t="n">
        <f aca="false">M593*(G593/1000)*7850</f>
        <v>7366.44</v>
      </c>
      <c r="I593" s="8" t="n">
        <v>2</v>
      </c>
      <c r="J593" s="14" t="n">
        <f aca="false">H593*I593</f>
        <v>14732.88</v>
      </c>
      <c r="K593" s="8" t="s">
        <v>734</v>
      </c>
      <c r="M593" s="15" t="n">
        <v>23.46</v>
      </c>
    </row>
    <row r="594" customFormat="false" ht="13.8" hidden="false" customHeight="false" outlineLevel="0" collapsed="false">
      <c r="A594" s="8" t="s">
        <v>729</v>
      </c>
      <c r="B594" s="8" t="s">
        <v>190</v>
      </c>
      <c r="C594" s="8" t="s">
        <v>191</v>
      </c>
      <c r="D594" s="8" t="s">
        <v>40</v>
      </c>
      <c r="E594" s="8" t="n">
        <v>7300</v>
      </c>
      <c r="F594" s="8" t="n">
        <v>2048</v>
      </c>
      <c r="G594" s="8" t="n">
        <v>28</v>
      </c>
      <c r="H594" s="13" t="n">
        <f aca="false">(E594/1000)*(F594/1000)*(G594/1000)*7850</f>
        <v>3286.09792</v>
      </c>
      <c r="I594" s="8" t="n">
        <v>2</v>
      </c>
      <c r="J594" s="14" t="n">
        <f aca="false">H594*I594</f>
        <v>6572.19584</v>
      </c>
      <c r="K594" s="8" t="s">
        <v>735</v>
      </c>
    </row>
    <row r="595" customFormat="false" ht="13.8" hidden="false" customHeight="false" outlineLevel="0" collapsed="false">
      <c r="A595" s="8" t="s">
        <v>729</v>
      </c>
      <c r="B595" s="8" t="s">
        <v>195</v>
      </c>
      <c r="C595" s="8" t="s">
        <v>58</v>
      </c>
      <c r="D595" s="8" t="s">
        <v>40</v>
      </c>
      <c r="E595" s="8" t="n">
        <v>1980</v>
      </c>
      <c r="F595" s="8" t="n">
        <v>1200</v>
      </c>
      <c r="G595" s="8" t="n">
        <v>16</v>
      </c>
      <c r="H595" s="13" t="n">
        <f aca="false">(E595/1000)*(F595/1000)*(G595/1000)*7850</f>
        <v>298.4256</v>
      </c>
      <c r="I595" s="8" t="n">
        <v>3</v>
      </c>
      <c r="J595" s="14" t="n">
        <f aca="false">H595*I595</f>
        <v>895.2768</v>
      </c>
      <c r="K595" s="8" t="s">
        <v>736</v>
      </c>
    </row>
    <row r="596" customFormat="false" ht="13.8" hidden="false" customHeight="false" outlineLevel="0" collapsed="false">
      <c r="A596" s="8" t="s">
        <v>729</v>
      </c>
      <c r="B596" s="8" t="s">
        <v>42</v>
      </c>
      <c r="C596" s="8" t="s">
        <v>298</v>
      </c>
      <c r="D596" s="8" t="s">
        <v>40</v>
      </c>
      <c r="E596" s="8" t="n">
        <v>1980</v>
      </c>
      <c r="F596" s="8" t="n">
        <v>1200</v>
      </c>
      <c r="G596" s="8" t="n">
        <v>16</v>
      </c>
      <c r="H596" s="13" t="n">
        <f aca="false">(E596/1000)*(F596/1000)*(G596/1000)*7850</f>
        <v>298.4256</v>
      </c>
      <c r="I596" s="8" t="n">
        <v>2</v>
      </c>
      <c r="J596" s="14" t="n">
        <f aca="false">H596*I596</f>
        <v>596.8512</v>
      </c>
      <c r="K596" s="8" t="s">
        <v>736</v>
      </c>
    </row>
    <row r="597" customFormat="false" ht="13.8" hidden="false" customHeight="false" outlineLevel="0" collapsed="false">
      <c r="A597" s="8" t="s">
        <v>729</v>
      </c>
      <c r="B597" s="8" t="s">
        <v>42</v>
      </c>
      <c r="C597" s="8" t="s">
        <v>737</v>
      </c>
      <c r="D597" s="8" t="s">
        <v>40</v>
      </c>
      <c r="E597" s="8" t="n">
        <v>2057</v>
      </c>
      <c r="F597" s="8" t="n">
        <v>200</v>
      </c>
      <c r="G597" s="8" t="n">
        <v>16</v>
      </c>
      <c r="H597" s="13" t="n">
        <f aca="false">(E597/1000)*(F597/1000)*(G597/1000)*7850</f>
        <v>51.67184</v>
      </c>
      <c r="I597" s="8" t="n">
        <v>3</v>
      </c>
      <c r="J597" s="14" t="n">
        <f aca="false">H597*I597</f>
        <v>155.01552</v>
      </c>
      <c r="K597" s="8" t="s">
        <v>738</v>
      </c>
    </row>
    <row r="598" customFormat="false" ht="13.8" hidden="false" customHeight="false" outlineLevel="0" collapsed="false">
      <c r="A598" s="8" t="s">
        <v>729</v>
      </c>
      <c r="B598" s="8" t="s">
        <v>42</v>
      </c>
      <c r="C598" s="8" t="s">
        <v>68</v>
      </c>
      <c r="D598" s="8" t="s">
        <v>40</v>
      </c>
      <c r="E598" s="8" t="n">
        <v>800</v>
      </c>
      <c r="F598" s="8" t="n">
        <v>400</v>
      </c>
      <c r="G598" s="8" t="n">
        <v>16</v>
      </c>
      <c r="H598" s="13" t="n">
        <f aca="false">(E598/1000)*(F598/1000)*(G598/1000)*7850</f>
        <v>40.192</v>
      </c>
      <c r="I598" s="8" t="n">
        <v>4</v>
      </c>
      <c r="J598" s="14" t="n">
        <f aca="false">H598*I598</f>
        <v>160.768</v>
      </c>
      <c r="K598" s="8" t="s">
        <v>739</v>
      </c>
    </row>
    <row r="599" customFormat="false" ht="13.8" hidden="false" customHeight="false" outlineLevel="0" collapsed="false">
      <c r="A599" s="8" t="s">
        <v>729</v>
      </c>
      <c r="B599" s="8" t="s">
        <v>253</v>
      </c>
      <c r="C599" s="8" t="s">
        <v>199</v>
      </c>
      <c r="D599" s="8" t="s">
        <v>40</v>
      </c>
      <c r="E599" s="8" t="n">
        <v>7900</v>
      </c>
      <c r="F599" s="8" t="n">
        <v>280</v>
      </c>
      <c r="G599" s="8" t="n">
        <v>24</v>
      </c>
      <c r="H599" s="13" t="n">
        <f aca="false">(E599/1000)*(F599/1000)*(G599/1000)*7850</f>
        <v>416.7408</v>
      </c>
      <c r="I599" s="8" t="n">
        <v>6</v>
      </c>
      <c r="J599" s="14" t="n">
        <f aca="false">H599*I599</f>
        <v>2500.4448</v>
      </c>
      <c r="K599" s="8" t="s">
        <v>740</v>
      </c>
    </row>
    <row r="600" customFormat="false" ht="13.8" hidden="false" customHeight="false" outlineLevel="0" collapsed="false">
      <c r="A600" s="8" t="s">
        <v>729</v>
      </c>
      <c r="B600" s="8" t="s">
        <v>42</v>
      </c>
      <c r="C600" s="8" t="s">
        <v>76</v>
      </c>
      <c r="D600" s="8" t="s">
        <v>40</v>
      </c>
      <c r="E600" s="8" t="n">
        <v>7100</v>
      </c>
      <c r="F600" s="8" t="n">
        <v>280</v>
      </c>
      <c r="G600" s="8" t="n">
        <v>24</v>
      </c>
      <c r="H600" s="13" t="n">
        <f aca="false">(E600/1000)*(F600/1000)*(G600/1000)*7850</f>
        <v>374.5392</v>
      </c>
      <c r="I600" s="8" t="n">
        <v>6</v>
      </c>
      <c r="J600" s="14" t="n">
        <f aca="false">H600*I600</f>
        <v>2247.2352</v>
      </c>
      <c r="K600" s="8" t="s">
        <v>741</v>
      </c>
    </row>
    <row r="601" customFormat="false" ht="13.8" hidden="false" customHeight="false" outlineLevel="0" collapsed="false">
      <c r="A601" s="8" t="s">
        <v>729</v>
      </c>
      <c r="B601" s="8" t="s">
        <v>256</v>
      </c>
      <c r="C601" s="8" t="s">
        <v>96</v>
      </c>
      <c r="D601" s="8" t="s">
        <v>40</v>
      </c>
      <c r="E601" s="8" t="n">
        <v>7901</v>
      </c>
      <c r="F601" s="8" t="n">
        <v>2500</v>
      </c>
      <c r="G601" s="8" t="n">
        <v>24</v>
      </c>
      <c r="H601" s="13" t="n">
        <f aca="false">(E601/1000)*(F601/1000)*(G601/1000)*7850</f>
        <v>3721.371</v>
      </c>
      <c r="I601" s="8" t="n">
        <v>1</v>
      </c>
      <c r="J601" s="14" t="n">
        <f aca="false">H601*I601</f>
        <v>3721.371</v>
      </c>
      <c r="K601" s="8" t="s">
        <v>742</v>
      </c>
    </row>
    <row r="602" customFormat="false" ht="13.8" hidden="false" customHeight="false" outlineLevel="0" collapsed="false">
      <c r="A602" s="8" t="s">
        <v>729</v>
      </c>
      <c r="B602" s="8" t="s">
        <v>42</v>
      </c>
      <c r="C602" s="8" t="s">
        <v>305</v>
      </c>
      <c r="D602" s="8" t="s">
        <v>40</v>
      </c>
      <c r="E602" s="8" t="n">
        <v>7101</v>
      </c>
      <c r="F602" s="8" t="n">
        <v>2500</v>
      </c>
      <c r="G602" s="8" t="n">
        <v>24</v>
      </c>
      <c r="H602" s="13" t="n">
        <f aca="false">(E602/1000)*(F602/1000)*(G602/1000)*7850</f>
        <v>3344.571</v>
      </c>
      <c r="I602" s="8" t="n">
        <v>1</v>
      </c>
      <c r="J602" s="14" t="n">
        <f aca="false">H602*I602</f>
        <v>3344.571</v>
      </c>
      <c r="K602" s="8" t="s">
        <v>743</v>
      </c>
    </row>
    <row r="603" customFormat="false" ht="13.8" hidden="false" customHeight="false" outlineLevel="0" collapsed="false">
      <c r="A603" s="8" t="s">
        <v>729</v>
      </c>
      <c r="B603" s="8" t="s">
        <v>260</v>
      </c>
      <c r="C603" s="8" t="s">
        <v>307</v>
      </c>
      <c r="D603" s="8" t="s">
        <v>40</v>
      </c>
      <c r="G603" s="8" t="n">
        <v>24</v>
      </c>
      <c r="H603" s="13" t="n">
        <f aca="false">M603*(G603/1000)*7850</f>
        <v>2441.664</v>
      </c>
      <c r="I603" s="8" t="n">
        <v>1</v>
      </c>
      <c r="J603" s="14" t="n">
        <f aca="false">H603*I603</f>
        <v>2441.664</v>
      </c>
      <c r="K603" s="8" t="s">
        <v>744</v>
      </c>
      <c r="M603" s="15" t="n">
        <v>12.96</v>
      </c>
    </row>
    <row r="604" customFormat="false" ht="13.8" hidden="false" customHeight="false" outlineLevel="0" collapsed="false">
      <c r="A604" s="8" t="s">
        <v>729</v>
      </c>
      <c r="B604" s="8" t="s">
        <v>42</v>
      </c>
      <c r="C604" s="8" t="s">
        <v>206</v>
      </c>
      <c r="D604" s="8" t="s">
        <v>40</v>
      </c>
      <c r="G604" s="8" t="n">
        <v>24</v>
      </c>
      <c r="H604" s="13" t="n">
        <f aca="false">M604*(G604/1000)*7850</f>
        <v>2096.892</v>
      </c>
      <c r="I604" s="8" t="n">
        <v>1</v>
      </c>
      <c r="J604" s="14" t="n">
        <f aca="false">H604*I604</f>
        <v>2096.892</v>
      </c>
      <c r="K604" s="8" t="s">
        <v>745</v>
      </c>
      <c r="M604" s="15" t="n">
        <v>11.13</v>
      </c>
    </row>
    <row r="605" customFormat="false" ht="13.8" hidden="false" customHeight="false" outlineLevel="0" collapsed="false">
      <c r="A605" s="8" t="s">
        <v>729</v>
      </c>
      <c r="B605" s="8" t="s">
        <v>105</v>
      </c>
      <c r="C605" s="8" t="s">
        <v>103</v>
      </c>
      <c r="D605" s="8" t="s">
        <v>40</v>
      </c>
      <c r="G605" s="8" t="n">
        <v>44</v>
      </c>
      <c r="H605" s="13" t="n">
        <f aca="false">M605*(G605/1000)*7850</f>
        <v>7032.344</v>
      </c>
      <c r="I605" s="8" t="n">
        <v>2</v>
      </c>
      <c r="J605" s="14" t="n">
        <f aca="false">H605*I605</f>
        <v>14064.688</v>
      </c>
      <c r="K605" s="8" t="s">
        <v>746</v>
      </c>
      <c r="M605" s="15" t="n">
        <v>20.36</v>
      </c>
    </row>
    <row r="606" customFormat="false" ht="13.8" hidden="false" customHeight="false" outlineLevel="0" collapsed="false">
      <c r="A606" s="8" t="s">
        <v>729</v>
      </c>
      <c r="B606" s="8" t="s">
        <v>102</v>
      </c>
      <c r="C606" s="8" t="s">
        <v>106</v>
      </c>
      <c r="D606" s="8" t="s">
        <v>40</v>
      </c>
      <c r="E606" s="8" t="n">
        <v>7301</v>
      </c>
      <c r="F606" s="8" t="n">
        <v>1880</v>
      </c>
      <c r="G606" s="8" t="n">
        <v>32</v>
      </c>
      <c r="H606" s="13" t="n">
        <f aca="false">(E606/1000)*(F606/1000)*(G606/1000)*7850</f>
        <v>3447.941056</v>
      </c>
      <c r="I606" s="8" t="n">
        <v>2</v>
      </c>
      <c r="J606" s="14" t="n">
        <f aca="false">H606*I606</f>
        <v>6895.882112</v>
      </c>
      <c r="K606" s="8" t="s">
        <v>747</v>
      </c>
    </row>
    <row r="607" customFormat="false" ht="13.8" hidden="false" customHeight="false" outlineLevel="0" collapsed="false">
      <c r="A607" s="8" t="s">
        <v>729</v>
      </c>
      <c r="B607" s="8" t="s">
        <v>110</v>
      </c>
      <c r="C607" s="8" t="s">
        <v>108</v>
      </c>
      <c r="D607" s="8" t="s">
        <v>40</v>
      </c>
      <c r="E607" s="8" t="n">
        <v>1800</v>
      </c>
      <c r="F607" s="8" t="n">
        <v>1200</v>
      </c>
      <c r="G607" s="8" t="n">
        <v>16</v>
      </c>
      <c r="H607" s="13" t="n">
        <f aca="false">(E607/1000)*(F607/1000)*(G607/1000)*7850</f>
        <v>271.296</v>
      </c>
      <c r="I607" s="8" t="n">
        <v>3</v>
      </c>
      <c r="J607" s="14" t="n">
        <f aca="false">H607*I607</f>
        <v>813.888</v>
      </c>
      <c r="K607" s="8" t="s">
        <v>748</v>
      </c>
    </row>
    <row r="608" customFormat="false" ht="13.8" hidden="false" customHeight="false" outlineLevel="0" collapsed="false">
      <c r="A608" s="8" t="s">
        <v>729</v>
      </c>
      <c r="B608" s="8" t="s">
        <v>42</v>
      </c>
      <c r="C608" s="8" t="s">
        <v>267</v>
      </c>
      <c r="D608" s="8" t="s">
        <v>40</v>
      </c>
      <c r="E608" s="8" t="n">
        <v>1800</v>
      </c>
      <c r="F608" s="8" t="n">
        <v>1200</v>
      </c>
      <c r="G608" s="8" t="n">
        <v>16</v>
      </c>
      <c r="H608" s="13" t="n">
        <f aca="false">(E608/1000)*(F608/1000)*(G608/1000)*7850</f>
        <v>271.296</v>
      </c>
      <c r="I608" s="8" t="n">
        <v>2</v>
      </c>
      <c r="J608" s="14" t="n">
        <f aca="false">H608*I608</f>
        <v>542.592</v>
      </c>
      <c r="K608" s="8" t="s">
        <v>748</v>
      </c>
    </row>
    <row r="609" customFormat="false" ht="13.8" hidden="false" customHeight="false" outlineLevel="0" collapsed="false">
      <c r="A609" s="8" t="s">
        <v>729</v>
      </c>
      <c r="B609" s="8" t="s">
        <v>42</v>
      </c>
      <c r="C609" s="8" t="s">
        <v>749</v>
      </c>
      <c r="D609" s="8" t="s">
        <v>40</v>
      </c>
      <c r="E609" s="8" t="n">
        <v>2057</v>
      </c>
      <c r="F609" s="8" t="n">
        <v>200</v>
      </c>
      <c r="G609" s="8" t="n">
        <v>16</v>
      </c>
      <c r="H609" s="13" t="n">
        <f aca="false">(E609/1000)*(F609/1000)*(G609/1000)*7850</f>
        <v>51.67184</v>
      </c>
      <c r="I609" s="8" t="n">
        <v>3</v>
      </c>
      <c r="J609" s="14" t="n">
        <f aca="false">H609*I609</f>
        <v>155.01552</v>
      </c>
      <c r="K609" s="8" t="s">
        <v>738</v>
      </c>
    </row>
    <row r="610" customFormat="false" ht="13.8" hidden="false" customHeight="false" outlineLevel="0" collapsed="false">
      <c r="A610" s="8" t="s">
        <v>729</v>
      </c>
      <c r="B610" s="8" t="s">
        <v>314</v>
      </c>
      <c r="C610" s="8" t="s">
        <v>114</v>
      </c>
      <c r="D610" s="8" t="s">
        <v>40</v>
      </c>
      <c r="E610" s="8" t="n">
        <v>7901</v>
      </c>
      <c r="F610" s="8" t="n">
        <v>280</v>
      </c>
      <c r="G610" s="8" t="n">
        <v>24</v>
      </c>
      <c r="H610" s="13" t="n">
        <f aca="false">(E610/1000)*(F610/1000)*(G610/1000)*7850</f>
        <v>416.793552</v>
      </c>
      <c r="I610" s="8" t="n">
        <v>4</v>
      </c>
      <c r="J610" s="14" t="n">
        <f aca="false">H610*I610</f>
        <v>1667.174208</v>
      </c>
      <c r="K610" s="8" t="s">
        <v>750</v>
      </c>
    </row>
    <row r="611" customFormat="false" ht="13.8" hidden="false" customHeight="false" outlineLevel="0" collapsed="false">
      <c r="A611" s="8" t="s">
        <v>729</v>
      </c>
      <c r="B611" s="8" t="s">
        <v>42</v>
      </c>
      <c r="C611" s="8" t="s">
        <v>116</v>
      </c>
      <c r="D611" s="8" t="s">
        <v>40</v>
      </c>
      <c r="E611" s="8" t="n">
        <v>7101</v>
      </c>
      <c r="F611" s="8" t="n">
        <v>280</v>
      </c>
      <c r="G611" s="8" t="n">
        <v>24</v>
      </c>
      <c r="H611" s="13" t="n">
        <f aca="false">(E611/1000)*(F611/1000)*(G611/1000)*7850</f>
        <v>374.591952</v>
      </c>
      <c r="I611" s="8" t="n">
        <v>4</v>
      </c>
      <c r="J611" s="14" t="n">
        <f aca="false">H611*I611</f>
        <v>1498.367808</v>
      </c>
      <c r="K611" s="8" t="s">
        <v>751</v>
      </c>
    </row>
    <row r="612" customFormat="false" ht="13.8" hidden="false" customHeight="false" outlineLevel="0" collapsed="false">
      <c r="A612" s="8" t="s">
        <v>729</v>
      </c>
      <c r="B612" s="8" t="s">
        <v>42</v>
      </c>
      <c r="C612" s="8" t="s">
        <v>118</v>
      </c>
      <c r="D612" s="8" t="s">
        <v>40</v>
      </c>
      <c r="E612" s="8" t="n">
        <v>15002</v>
      </c>
      <c r="F612" s="8" t="n">
        <v>170</v>
      </c>
      <c r="G612" s="8" t="n">
        <v>14</v>
      </c>
      <c r="H612" s="13" t="n">
        <f aca="false">(E612/1000)*(F612/1000)*(G612/1000)*7850</f>
        <v>280.282366</v>
      </c>
      <c r="I612" s="8" t="n">
        <v>2</v>
      </c>
      <c r="J612" s="14" t="n">
        <f aca="false">H612*I612</f>
        <v>560.564732</v>
      </c>
      <c r="K612" s="8" t="s">
        <v>752</v>
      </c>
    </row>
    <row r="613" customFormat="false" ht="13.8" hidden="false" customHeight="false" outlineLevel="0" collapsed="false">
      <c r="A613" s="8" t="s">
        <v>729</v>
      </c>
      <c r="B613" s="8" t="s">
        <v>272</v>
      </c>
      <c r="C613" s="8" t="s">
        <v>125</v>
      </c>
      <c r="D613" s="8" t="s">
        <v>40</v>
      </c>
      <c r="E613" s="8" t="n">
        <v>7458</v>
      </c>
      <c r="F613" s="8" t="n">
        <v>900</v>
      </c>
      <c r="G613" s="8" t="n">
        <v>36</v>
      </c>
      <c r="H613" s="13" t="n">
        <f aca="false">(E613/1000)*(F613/1000)*(G613/1000)*7850</f>
        <v>1896.86772</v>
      </c>
      <c r="I613" s="8" t="n">
        <v>2</v>
      </c>
      <c r="J613" s="14" t="n">
        <f aca="false">H613*I613</f>
        <v>3793.73544</v>
      </c>
      <c r="K613" s="8" t="s">
        <v>753</v>
      </c>
    </row>
    <row r="614" customFormat="false" ht="13.8" hidden="false" customHeight="false" outlineLevel="0" collapsed="false">
      <c r="A614" s="8" t="s">
        <v>729</v>
      </c>
      <c r="B614" s="8" t="s">
        <v>42</v>
      </c>
      <c r="C614" s="8" t="s">
        <v>128</v>
      </c>
      <c r="D614" s="8" t="s">
        <v>40</v>
      </c>
      <c r="E614" s="8" t="n">
        <v>11958</v>
      </c>
      <c r="F614" s="8" t="n">
        <v>1200</v>
      </c>
      <c r="G614" s="8" t="n">
        <v>32</v>
      </c>
      <c r="H614" s="13" t="n">
        <f aca="false">(E614/1000)*(F614/1000)*(G614/1000)*7850</f>
        <v>3604.61952</v>
      </c>
      <c r="I614" s="8" t="n">
        <v>1</v>
      </c>
      <c r="J614" s="14" t="n">
        <f aca="false">H614*I614</f>
        <v>3604.61952</v>
      </c>
      <c r="K614" s="8" t="s">
        <v>754</v>
      </c>
    </row>
    <row r="615" customFormat="false" ht="13.8" hidden="false" customHeight="false" outlineLevel="0" collapsed="false">
      <c r="A615" s="8" t="s">
        <v>729</v>
      </c>
      <c r="B615" s="8" t="s">
        <v>42</v>
      </c>
      <c r="C615" s="8" t="s">
        <v>130</v>
      </c>
      <c r="D615" s="8" t="s">
        <v>40</v>
      </c>
      <c r="E615" s="8" t="n">
        <v>10558</v>
      </c>
      <c r="F615" s="8" t="n">
        <v>240</v>
      </c>
      <c r="G615" s="8" t="n">
        <v>24</v>
      </c>
      <c r="H615" s="13" t="n">
        <f aca="false">(E615/1000)*(F615/1000)*(G615/1000)*7850</f>
        <v>477.390528</v>
      </c>
      <c r="I615" s="8" t="n">
        <v>2</v>
      </c>
      <c r="J615" s="14" t="n">
        <f aca="false">H615*I615</f>
        <v>954.781056</v>
      </c>
      <c r="K615" s="8" t="s">
        <v>755</v>
      </c>
    </row>
    <row r="616" customFormat="false" ht="13.8" hidden="false" customHeight="false" outlineLevel="0" collapsed="false">
      <c r="A616" s="8" t="s">
        <v>729</v>
      </c>
      <c r="B616" s="8" t="s">
        <v>42</v>
      </c>
      <c r="C616" s="8" t="s">
        <v>137</v>
      </c>
      <c r="D616" s="8" t="s">
        <v>40</v>
      </c>
      <c r="E616" s="8" t="n">
        <v>5482</v>
      </c>
      <c r="F616" s="8" t="n">
        <v>1200</v>
      </c>
      <c r="G616" s="8" t="n">
        <v>36</v>
      </c>
      <c r="H616" s="13" t="n">
        <f aca="false">(E616/1000)*(F616/1000)*(G616/1000)*7850</f>
        <v>1859.05584</v>
      </c>
      <c r="I616" s="8" t="n">
        <v>1</v>
      </c>
      <c r="J616" s="14" t="n">
        <f aca="false">H616*I616</f>
        <v>1859.05584</v>
      </c>
      <c r="K616" s="8" t="s">
        <v>756</v>
      </c>
    </row>
    <row r="617" customFormat="false" ht="13.8" hidden="false" customHeight="false" outlineLevel="0" collapsed="false">
      <c r="A617" s="8" t="s">
        <v>729</v>
      </c>
      <c r="B617" s="8" t="s">
        <v>42</v>
      </c>
      <c r="C617" s="8" t="s">
        <v>139</v>
      </c>
      <c r="D617" s="8" t="s">
        <v>40</v>
      </c>
      <c r="E617" s="8" t="n">
        <v>5782</v>
      </c>
      <c r="F617" s="8" t="n">
        <v>1200</v>
      </c>
      <c r="G617" s="8" t="n">
        <v>36</v>
      </c>
      <c r="H617" s="13" t="n">
        <f aca="false">(E617/1000)*(F617/1000)*(G617/1000)*7850</f>
        <v>1960.79184</v>
      </c>
      <c r="I617" s="8" t="n">
        <v>1</v>
      </c>
      <c r="J617" s="14" t="n">
        <f aca="false">H617*I617</f>
        <v>1960.79184</v>
      </c>
      <c r="K617" s="8" t="s">
        <v>757</v>
      </c>
    </row>
    <row r="618" customFormat="false" ht="13.8" hidden="false" customHeight="false" outlineLevel="0" collapsed="false">
      <c r="A618" s="8" t="s">
        <v>729</v>
      </c>
      <c r="B618" s="8" t="s">
        <v>42</v>
      </c>
      <c r="C618" s="8" t="s">
        <v>141</v>
      </c>
      <c r="D618" s="8" t="s">
        <v>40</v>
      </c>
      <c r="E618" s="8" t="n">
        <v>3682</v>
      </c>
      <c r="F618" s="8" t="n">
        <v>1360</v>
      </c>
      <c r="G618" s="8" t="n">
        <v>36</v>
      </c>
      <c r="H618" s="13" t="n">
        <f aca="false">(E618/1000)*(F618/1000)*(G618/1000)*7850</f>
        <v>1415.125152</v>
      </c>
      <c r="I618" s="8" t="n">
        <v>2</v>
      </c>
      <c r="J618" s="14" t="n">
        <f aca="false">H618*I618</f>
        <v>2830.250304</v>
      </c>
      <c r="K618" s="8" t="s">
        <v>758</v>
      </c>
    </row>
    <row r="619" customFormat="false" ht="13.8" hidden="false" customHeight="false" outlineLevel="0" collapsed="false">
      <c r="A619" s="8" t="s">
        <v>729</v>
      </c>
      <c r="B619" s="8" t="s">
        <v>42</v>
      </c>
      <c r="C619" s="8" t="s">
        <v>143</v>
      </c>
      <c r="D619" s="8" t="s">
        <v>40</v>
      </c>
      <c r="E619" s="8" t="n">
        <v>3682</v>
      </c>
      <c r="F619" s="8" t="n">
        <v>320</v>
      </c>
      <c r="G619" s="8" t="n">
        <v>32</v>
      </c>
      <c r="H619" s="13" t="n">
        <f aca="false">(E619/1000)*(F619/1000)*(G619/1000)*7850</f>
        <v>295.973888</v>
      </c>
      <c r="I619" s="8" t="n">
        <v>2</v>
      </c>
      <c r="J619" s="14" t="n">
        <f aca="false">H619*I619</f>
        <v>591.947776</v>
      </c>
      <c r="K619" s="8" t="s">
        <v>759</v>
      </c>
    </row>
    <row r="620" customFormat="false" ht="13.8" hidden="false" customHeight="false" outlineLevel="0" collapsed="false">
      <c r="A620" s="8" t="s">
        <v>729</v>
      </c>
      <c r="B620" s="8" t="s">
        <v>42</v>
      </c>
      <c r="C620" s="8" t="s">
        <v>326</v>
      </c>
      <c r="D620" s="8" t="s">
        <v>40</v>
      </c>
      <c r="E620" s="8" t="n">
        <v>4782</v>
      </c>
      <c r="F620" s="8" t="n">
        <v>320</v>
      </c>
      <c r="G620" s="8" t="n">
        <v>32</v>
      </c>
      <c r="H620" s="13" t="n">
        <f aca="false">(E620/1000)*(F620/1000)*(G620/1000)*7850</f>
        <v>384.396288</v>
      </c>
      <c r="I620" s="8" t="n">
        <v>1</v>
      </c>
      <c r="J620" s="14" t="n">
        <f aca="false">H620*I620</f>
        <v>384.396288</v>
      </c>
      <c r="K620" s="8" t="s">
        <v>760</v>
      </c>
    </row>
    <row r="621" customFormat="false" ht="13.8" hidden="false" customHeight="false" outlineLevel="0" collapsed="false">
      <c r="A621" s="8" t="s">
        <v>729</v>
      </c>
      <c r="B621" s="8" t="s">
        <v>42</v>
      </c>
      <c r="C621" s="8" t="s">
        <v>147</v>
      </c>
      <c r="D621" s="8" t="s">
        <v>40</v>
      </c>
      <c r="E621" s="8" t="n">
        <v>5082</v>
      </c>
      <c r="F621" s="8" t="n">
        <v>320</v>
      </c>
      <c r="G621" s="8" t="n">
        <v>32</v>
      </c>
      <c r="H621" s="13" t="n">
        <f aca="false">(E621/1000)*(F621/1000)*(G621/1000)*7850</f>
        <v>408.511488</v>
      </c>
      <c r="I621" s="8" t="n">
        <v>1</v>
      </c>
      <c r="J621" s="14" t="n">
        <f aca="false">H621*I621</f>
        <v>408.511488</v>
      </c>
      <c r="K621" s="8" t="s">
        <v>761</v>
      </c>
    </row>
    <row r="622" customFormat="false" ht="13.8" hidden="false" customHeight="false" outlineLevel="0" collapsed="false">
      <c r="A622" s="8" t="s">
        <v>729</v>
      </c>
      <c r="B622" s="8" t="s">
        <v>42</v>
      </c>
      <c r="C622" s="8" t="s">
        <v>149</v>
      </c>
      <c r="D622" s="8" t="s">
        <v>40</v>
      </c>
      <c r="E622" s="8" t="n">
        <v>1200</v>
      </c>
      <c r="F622" s="8" t="n">
        <v>1200</v>
      </c>
      <c r="G622" s="8" t="n">
        <v>16</v>
      </c>
      <c r="H622" s="13" t="n">
        <f aca="false">(E622/1000)*(F622/1000)*(G622/1000)*7850</f>
        <v>180.864</v>
      </c>
      <c r="I622" s="8" t="n">
        <v>3</v>
      </c>
      <c r="J622" s="14" t="n">
        <f aca="false">H622*I622</f>
        <v>542.592</v>
      </c>
      <c r="K622" s="8" t="s">
        <v>762</v>
      </c>
    </row>
    <row r="623" customFormat="false" ht="13.8" hidden="false" customHeight="false" outlineLevel="0" collapsed="false">
      <c r="A623" s="8" t="s">
        <v>729</v>
      </c>
      <c r="B623" s="8" t="s">
        <v>42</v>
      </c>
      <c r="C623" s="8" t="s">
        <v>378</v>
      </c>
      <c r="D623" s="8" t="s">
        <v>40</v>
      </c>
      <c r="E623" s="8" t="n">
        <v>3714</v>
      </c>
      <c r="F623" s="8" t="n">
        <v>900</v>
      </c>
      <c r="G623" s="8" t="n">
        <v>36</v>
      </c>
      <c r="H623" s="13" t="n">
        <f aca="false">(E623/1000)*(F623/1000)*(G623/1000)*7850</f>
        <v>944.61876</v>
      </c>
      <c r="I623" s="8" t="n">
        <v>2</v>
      </c>
      <c r="J623" s="14" t="n">
        <f aca="false">H623*I623</f>
        <v>1889.23752</v>
      </c>
      <c r="K623" s="8" t="s">
        <v>763</v>
      </c>
    </row>
    <row r="624" customFormat="false" ht="13.8" hidden="false" customHeight="false" outlineLevel="0" collapsed="false">
      <c r="A624" s="8" t="s">
        <v>729</v>
      </c>
      <c r="B624" s="8" t="s">
        <v>42</v>
      </c>
      <c r="C624" s="8" t="s">
        <v>155</v>
      </c>
      <c r="D624" s="8" t="s">
        <v>40</v>
      </c>
      <c r="E624" s="8" t="n">
        <v>5914</v>
      </c>
      <c r="F624" s="8" t="n">
        <v>1200</v>
      </c>
      <c r="G624" s="8" t="n">
        <v>32</v>
      </c>
      <c r="H624" s="13" t="n">
        <f aca="false">(E624/1000)*(F624/1000)*(G624/1000)*7850</f>
        <v>1782.71616</v>
      </c>
      <c r="I624" s="8" t="n">
        <v>1</v>
      </c>
      <c r="J624" s="14" t="n">
        <f aca="false">H624*I624</f>
        <v>1782.71616</v>
      </c>
      <c r="K624" s="8" t="s">
        <v>764</v>
      </c>
    </row>
    <row r="625" customFormat="false" ht="13.8" hidden="false" customHeight="false" outlineLevel="0" collapsed="false">
      <c r="A625" s="8" t="s">
        <v>729</v>
      </c>
      <c r="B625" s="8" t="s">
        <v>42</v>
      </c>
      <c r="C625" s="8" t="s">
        <v>160</v>
      </c>
      <c r="D625" s="8" t="s">
        <v>40</v>
      </c>
      <c r="E625" s="8" t="n">
        <v>4514</v>
      </c>
      <c r="F625" s="8" t="n">
        <v>240</v>
      </c>
      <c r="G625" s="8" t="n">
        <v>24</v>
      </c>
      <c r="H625" s="13" t="n">
        <f aca="false">(E625/1000)*(F625/1000)*(G625/1000)*7850</f>
        <v>204.105024</v>
      </c>
      <c r="I625" s="8" t="n">
        <v>2</v>
      </c>
      <c r="J625" s="14" t="n">
        <f aca="false">H625*I625</f>
        <v>408.210048</v>
      </c>
      <c r="K625" s="8" t="s">
        <v>765</v>
      </c>
    </row>
    <row r="626" customFormat="false" ht="13.8" hidden="false" customHeight="false" outlineLevel="0" collapsed="false">
      <c r="A626" s="8" t="s">
        <v>729</v>
      </c>
      <c r="B626" s="8" t="s">
        <v>171</v>
      </c>
      <c r="C626" s="8" t="s">
        <v>158</v>
      </c>
      <c r="D626" s="8" t="s">
        <v>40</v>
      </c>
      <c r="E626" s="8" t="n">
        <v>2300</v>
      </c>
      <c r="F626" s="8" t="n">
        <v>320</v>
      </c>
      <c r="G626" s="8" t="n">
        <v>32</v>
      </c>
      <c r="H626" s="13" t="n">
        <f aca="false">(E626/1000)*(F626/1000)*(G626/1000)*7850</f>
        <v>184.8832</v>
      </c>
      <c r="I626" s="8" t="n">
        <v>2</v>
      </c>
      <c r="J626" s="14" t="n">
        <f aca="false">H626*I626</f>
        <v>369.7664</v>
      </c>
      <c r="K626" s="8" t="s">
        <v>766</v>
      </c>
    </row>
    <row r="627" customFormat="false" ht="13.8" hidden="false" customHeight="false" outlineLevel="0" collapsed="false">
      <c r="A627" s="8" t="s">
        <v>729</v>
      </c>
      <c r="B627" s="8" t="s">
        <v>42</v>
      </c>
      <c r="C627" s="8" t="s">
        <v>386</v>
      </c>
      <c r="D627" s="8" t="s">
        <v>40</v>
      </c>
      <c r="E627" s="8" t="n">
        <v>980</v>
      </c>
      <c r="F627" s="8" t="n">
        <v>1200</v>
      </c>
      <c r="G627" s="8" t="n">
        <v>20</v>
      </c>
      <c r="H627" s="13" t="n">
        <f aca="false">(E627/1000)*(F627/1000)*(G627/1000)*7850</f>
        <v>184.632</v>
      </c>
      <c r="I627" s="8" t="n">
        <v>1</v>
      </c>
      <c r="J627" s="14" t="n">
        <f aca="false">H627*I627</f>
        <v>184.632</v>
      </c>
      <c r="K627" s="8" t="s">
        <v>767</v>
      </c>
    </row>
    <row r="628" customFormat="false" ht="13.8" hidden="false" customHeight="false" outlineLevel="0" collapsed="false">
      <c r="A628" s="8" t="s">
        <v>729</v>
      </c>
      <c r="B628" s="8" t="s">
        <v>64</v>
      </c>
      <c r="C628" s="8" t="s">
        <v>167</v>
      </c>
      <c r="D628" s="8" t="s">
        <v>40</v>
      </c>
      <c r="E628" s="8" t="n">
        <v>1980</v>
      </c>
      <c r="F628" s="8" t="n">
        <v>610</v>
      </c>
      <c r="G628" s="8" t="n">
        <v>14</v>
      </c>
      <c r="H628" s="13" t="n">
        <f aca="false">(E628/1000)*(F628/1000)*(G628/1000)*7850</f>
        <v>132.73722</v>
      </c>
      <c r="I628" s="8" t="n">
        <v>6</v>
      </c>
      <c r="J628" s="14" t="n">
        <f aca="false">H628*I628</f>
        <v>796.42332</v>
      </c>
      <c r="K628" s="8" t="s">
        <v>768</v>
      </c>
    </row>
    <row r="629" customFormat="false" ht="13.8" hidden="false" customHeight="false" outlineLevel="0" collapsed="false">
      <c r="A629" s="8" t="s">
        <v>729</v>
      </c>
      <c r="B629" s="8" t="s">
        <v>42</v>
      </c>
      <c r="C629" s="8" t="s">
        <v>334</v>
      </c>
      <c r="D629" s="8" t="s">
        <v>40</v>
      </c>
      <c r="E629" s="8" t="n">
        <v>1980</v>
      </c>
      <c r="F629" s="8" t="n">
        <v>622</v>
      </c>
      <c r="G629" s="8" t="n">
        <v>14</v>
      </c>
      <c r="H629" s="13" t="n">
        <f aca="false">(E629/1000)*(F629/1000)*(G629/1000)*7850</f>
        <v>135.348444</v>
      </c>
      <c r="I629" s="8" t="n">
        <v>4</v>
      </c>
      <c r="J629" s="14" t="n">
        <f aca="false">H629*I629</f>
        <v>541.393776</v>
      </c>
      <c r="K629" s="8" t="s">
        <v>769</v>
      </c>
    </row>
    <row r="630" customFormat="false" ht="13.8" hidden="false" customHeight="false" outlineLevel="0" collapsed="false">
      <c r="A630" s="8" t="s">
        <v>729</v>
      </c>
      <c r="B630" s="8" t="s">
        <v>42</v>
      </c>
      <c r="C630" s="8" t="s">
        <v>169</v>
      </c>
      <c r="D630" s="8" t="s">
        <v>40</v>
      </c>
      <c r="G630" s="8" t="n">
        <v>24</v>
      </c>
      <c r="H630" s="13" t="n">
        <f aca="false">M630*(G630/1000)*7850</f>
        <v>88.548</v>
      </c>
      <c r="I630" s="8" t="n">
        <v>6</v>
      </c>
      <c r="J630" s="14" t="n">
        <f aca="false">H630*I630</f>
        <v>531.288</v>
      </c>
      <c r="K630" s="8" t="s">
        <v>770</v>
      </c>
      <c r="M630" s="15" t="n">
        <v>0.47</v>
      </c>
    </row>
    <row r="631" customFormat="false" ht="13.8" hidden="false" customHeight="false" outlineLevel="0" collapsed="false">
      <c r="A631" s="8" t="s">
        <v>729</v>
      </c>
      <c r="B631" s="8" t="s">
        <v>42</v>
      </c>
      <c r="C631" s="8" t="s">
        <v>236</v>
      </c>
      <c r="D631" s="8" t="s">
        <v>40</v>
      </c>
      <c r="G631" s="8" t="n">
        <v>24</v>
      </c>
      <c r="H631" s="13" t="n">
        <f aca="false">M631*(G631/1000)*7850</f>
        <v>90.432</v>
      </c>
      <c r="I631" s="8" t="n">
        <v>4</v>
      </c>
      <c r="J631" s="14" t="n">
        <f aca="false">H631*I631</f>
        <v>361.728</v>
      </c>
      <c r="K631" s="8" t="s">
        <v>771</v>
      </c>
      <c r="M631" s="15" t="n">
        <v>0.48</v>
      </c>
    </row>
    <row r="632" customFormat="false" ht="13.8" hidden="false" customHeight="false" outlineLevel="0" collapsed="false">
      <c r="A632" s="8" t="s">
        <v>729</v>
      </c>
      <c r="B632" s="8" t="s">
        <v>42</v>
      </c>
      <c r="C632" s="8" t="s">
        <v>172</v>
      </c>
      <c r="D632" s="8" t="s">
        <v>40</v>
      </c>
      <c r="E632" s="8" t="n">
        <v>1800</v>
      </c>
      <c r="F632" s="8" t="n">
        <v>606</v>
      </c>
      <c r="G632" s="8" t="n">
        <v>14</v>
      </c>
      <c r="H632" s="13" t="n">
        <f aca="false">(E632/1000)*(F632/1000)*(G632/1000)*7850</f>
        <v>119.87892</v>
      </c>
      <c r="I632" s="8" t="n">
        <v>6</v>
      </c>
      <c r="J632" s="14" t="n">
        <f aca="false">H632*I632</f>
        <v>719.27352</v>
      </c>
      <c r="K632" s="8" t="s">
        <v>772</v>
      </c>
    </row>
    <row r="633" customFormat="false" ht="13.8" hidden="false" customHeight="false" outlineLevel="0" collapsed="false">
      <c r="A633" s="8" t="s">
        <v>729</v>
      </c>
      <c r="B633" s="8" t="s">
        <v>42</v>
      </c>
      <c r="C633" s="8" t="s">
        <v>239</v>
      </c>
      <c r="D633" s="8" t="s">
        <v>40</v>
      </c>
      <c r="E633" s="8" t="n">
        <v>1800</v>
      </c>
      <c r="F633" s="8" t="n">
        <v>618</v>
      </c>
      <c r="G633" s="8" t="n">
        <v>14</v>
      </c>
      <c r="H633" s="13" t="n">
        <f aca="false">(E633/1000)*(F633/1000)*(G633/1000)*7850</f>
        <v>122.25276</v>
      </c>
      <c r="I633" s="8" t="n">
        <v>4</v>
      </c>
      <c r="J633" s="14" t="n">
        <f aca="false">H633*I633</f>
        <v>489.01104</v>
      </c>
      <c r="K633" s="8" t="s">
        <v>773</v>
      </c>
    </row>
    <row r="634" customFormat="false" ht="13.8" hidden="false" customHeight="false" outlineLevel="0" collapsed="false">
      <c r="A634" s="8" t="s">
        <v>774</v>
      </c>
      <c r="B634" s="8" t="s">
        <v>38</v>
      </c>
      <c r="C634" s="8" t="s">
        <v>179</v>
      </c>
      <c r="D634" s="8" t="s">
        <v>40</v>
      </c>
      <c r="G634" s="8" t="n">
        <v>20</v>
      </c>
      <c r="H634" s="13" t="n">
        <f aca="false">M634*(G634/1000)*7850</f>
        <v>2398.96</v>
      </c>
      <c r="I634" s="8" t="n">
        <v>1</v>
      </c>
      <c r="J634" s="14" t="n">
        <f aca="false">H634*I634</f>
        <v>2398.96</v>
      </c>
      <c r="K634" s="8" t="s">
        <v>775</v>
      </c>
      <c r="M634" s="15" t="n">
        <v>15.28</v>
      </c>
    </row>
    <row r="635" customFormat="false" ht="13.8" hidden="false" customHeight="false" outlineLevel="0" collapsed="false">
      <c r="A635" s="8" t="s">
        <v>774</v>
      </c>
      <c r="B635" s="8" t="s">
        <v>42</v>
      </c>
      <c r="C635" s="8" t="s">
        <v>243</v>
      </c>
      <c r="D635" s="8" t="s">
        <v>40</v>
      </c>
      <c r="G635" s="8" t="n">
        <v>20</v>
      </c>
      <c r="H635" s="13" t="n">
        <f aca="false">M635*(G635/1000)*7850</f>
        <v>2155.61</v>
      </c>
      <c r="I635" s="8" t="n">
        <v>1</v>
      </c>
      <c r="J635" s="14" t="n">
        <f aca="false">H635*I635</f>
        <v>2155.61</v>
      </c>
      <c r="K635" s="8" t="s">
        <v>776</v>
      </c>
      <c r="M635" s="15" t="n">
        <v>13.73</v>
      </c>
    </row>
    <row r="636" customFormat="false" ht="13.8" hidden="false" customHeight="false" outlineLevel="0" collapsed="false">
      <c r="A636" s="8" t="s">
        <v>774</v>
      </c>
      <c r="B636" s="8" t="s">
        <v>45</v>
      </c>
      <c r="C636" s="8" t="s">
        <v>292</v>
      </c>
      <c r="D636" s="8" t="s">
        <v>40</v>
      </c>
      <c r="E636" s="8" t="n">
        <v>7900</v>
      </c>
      <c r="F636" s="8" t="n">
        <v>1200</v>
      </c>
      <c r="G636" s="8" t="n">
        <v>20</v>
      </c>
      <c r="H636" s="13" t="n">
        <f aca="false">(E636/1000)*(F636/1000)*(G636/1000)*7850</f>
        <v>1488.36</v>
      </c>
      <c r="I636" s="8" t="n">
        <v>1</v>
      </c>
      <c r="J636" s="14" t="n">
        <f aca="false">H636*I636</f>
        <v>1488.36</v>
      </c>
      <c r="K636" s="8" t="s">
        <v>777</v>
      </c>
    </row>
    <row r="637" customFormat="false" ht="13.8" hidden="false" customHeight="false" outlineLevel="0" collapsed="false">
      <c r="A637" s="8" t="s">
        <v>774</v>
      </c>
      <c r="B637" s="8" t="s">
        <v>42</v>
      </c>
      <c r="C637" s="8" t="s">
        <v>185</v>
      </c>
      <c r="D637" s="8" t="s">
        <v>40</v>
      </c>
      <c r="E637" s="8" t="n">
        <v>7100</v>
      </c>
      <c r="F637" s="8" t="n">
        <v>1200</v>
      </c>
      <c r="G637" s="8" t="n">
        <v>20</v>
      </c>
      <c r="H637" s="13" t="n">
        <f aca="false">(E637/1000)*(F637/1000)*(G637/1000)*7850</f>
        <v>1337.64</v>
      </c>
      <c r="I637" s="8" t="n">
        <v>1</v>
      </c>
      <c r="J637" s="14" t="n">
        <f aca="false">H637*I637</f>
        <v>1337.64</v>
      </c>
      <c r="K637" s="8" t="s">
        <v>778</v>
      </c>
    </row>
    <row r="638" customFormat="false" ht="13.8" hidden="false" customHeight="false" outlineLevel="0" collapsed="false">
      <c r="A638" s="8" t="s">
        <v>774</v>
      </c>
      <c r="B638" s="8" t="s">
        <v>187</v>
      </c>
      <c r="C638" s="8" t="s">
        <v>188</v>
      </c>
      <c r="D638" s="8" t="s">
        <v>40</v>
      </c>
      <c r="G638" s="8" t="n">
        <v>40</v>
      </c>
      <c r="H638" s="13" t="n">
        <f aca="false">M638*(G638/1000)*7850</f>
        <v>7699.28</v>
      </c>
      <c r="I638" s="8" t="n">
        <v>2</v>
      </c>
      <c r="J638" s="14" t="n">
        <f aca="false">H638*I638</f>
        <v>15398.56</v>
      </c>
      <c r="K638" s="8" t="s">
        <v>779</v>
      </c>
      <c r="M638" s="15" t="n">
        <v>24.52</v>
      </c>
    </row>
    <row r="639" customFormat="false" ht="13.8" hidden="false" customHeight="false" outlineLevel="0" collapsed="false">
      <c r="A639" s="8" t="s">
        <v>774</v>
      </c>
      <c r="B639" s="8" t="s">
        <v>190</v>
      </c>
      <c r="C639" s="8" t="s">
        <v>50</v>
      </c>
      <c r="D639" s="8" t="s">
        <v>40</v>
      </c>
      <c r="E639" s="8" t="n">
        <v>7300</v>
      </c>
      <c r="F639" s="8" t="n">
        <v>2048</v>
      </c>
      <c r="G639" s="8" t="n">
        <v>28</v>
      </c>
      <c r="H639" s="13" t="n">
        <f aca="false">(E639/1000)*(F639/1000)*(G639/1000)*7850</f>
        <v>3286.09792</v>
      </c>
      <c r="I639" s="8" t="n">
        <v>2</v>
      </c>
      <c r="J639" s="14" t="n">
        <f aca="false">H639*I639</f>
        <v>6572.19584</v>
      </c>
      <c r="K639" s="8" t="s">
        <v>780</v>
      </c>
    </row>
    <row r="640" customFormat="false" ht="13.8" hidden="false" customHeight="false" outlineLevel="0" collapsed="false">
      <c r="A640" s="8" t="s">
        <v>774</v>
      </c>
      <c r="B640" s="8" t="s">
        <v>195</v>
      </c>
      <c r="C640" s="8" t="s">
        <v>58</v>
      </c>
      <c r="D640" s="8" t="s">
        <v>40</v>
      </c>
      <c r="E640" s="8" t="n">
        <v>1980</v>
      </c>
      <c r="F640" s="8" t="n">
        <v>1200</v>
      </c>
      <c r="G640" s="8" t="n">
        <v>16</v>
      </c>
      <c r="H640" s="13" t="n">
        <f aca="false">(E640/1000)*(F640/1000)*(G640/1000)*7850</f>
        <v>298.4256</v>
      </c>
      <c r="I640" s="8" t="n">
        <v>3</v>
      </c>
      <c r="J640" s="14" t="n">
        <f aca="false">H640*I640</f>
        <v>895.2768</v>
      </c>
      <c r="K640" s="8" t="s">
        <v>781</v>
      </c>
    </row>
    <row r="641" customFormat="false" ht="13.8" hidden="false" customHeight="false" outlineLevel="0" collapsed="false">
      <c r="A641" s="8" t="s">
        <v>774</v>
      </c>
      <c r="B641" s="8" t="s">
        <v>42</v>
      </c>
      <c r="C641" s="8" t="s">
        <v>298</v>
      </c>
      <c r="D641" s="8" t="s">
        <v>40</v>
      </c>
      <c r="E641" s="8" t="n">
        <v>1980</v>
      </c>
      <c r="F641" s="8" t="n">
        <v>1200</v>
      </c>
      <c r="G641" s="8" t="n">
        <v>16</v>
      </c>
      <c r="H641" s="13" t="n">
        <f aca="false">(E641/1000)*(F641/1000)*(G641/1000)*7850</f>
        <v>298.4256</v>
      </c>
      <c r="I641" s="8" t="n">
        <v>2</v>
      </c>
      <c r="J641" s="14" t="n">
        <f aca="false">H641*I641</f>
        <v>596.8512</v>
      </c>
      <c r="K641" s="8" t="s">
        <v>781</v>
      </c>
    </row>
    <row r="642" customFormat="false" ht="13.8" hidden="false" customHeight="false" outlineLevel="0" collapsed="false">
      <c r="A642" s="8" t="s">
        <v>774</v>
      </c>
      <c r="B642" s="8" t="s">
        <v>42</v>
      </c>
      <c r="C642" s="8" t="s">
        <v>196</v>
      </c>
      <c r="D642" s="8" t="s">
        <v>40</v>
      </c>
      <c r="E642" s="8" t="n">
        <v>2057</v>
      </c>
      <c r="F642" s="8" t="n">
        <v>200</v>
      </c>
      <c r="G642" s="8" t="n">
        <v>16</v>
      </c>
      <c r="H642" s="13" t="n">
        <f aca="false">(E642/1000)*(F642/1000)*(G642/1000)*7850</f>
        <v>51.67184</v>
      </c>
      <c r="I642" s="8" t="n">
        <v>3</v>
      </c>
      <c r="J642" s="14" t="n">
        <f aca="false">H642*I642</f>
        <v>155.01552</v>
      </c>
      <c r="K642" s="8" t="s">
        <v>782</v>
      </c>
    </row>
    <row r="643" customFormat="false" ht="13.8" hidden="false" customHeight="false" outlineLevel="0" collapsed="false">
      <c r="A643" s="8" t="s">
        <v>774</v>
      </c>
      <c r="B643" s="8" t="s">
        <v>42</v>
      </c>
      <c r="C643" s="8" t="s">
        <v>68</v>
      </c>
      <c r="D643" s="8" t="s">
        <v>40</v>
      </c>
      <c r="E643" s="8" t="n">
        <v>800</v>
      </c>
      <c r="F643" s="8" t="n">
        <v>400</v>
      </c>
      <c r="G643" s="8" t="n">
        <v>16</v>
      </c>
      <c r="H643" s="13" t="n">
        <f aca="false">(E643/1000)*(F643/1000)*(G643/1000)*7850</f>
        <v>40.192</v>
      </c>
      <c r="I643" s="8" t="n">
        <v>4</v>
      </c>
      <c r="J643" s="14" t="n">
        <f aca="false">H643*I643</f>
        <v>160.768</v>
      </c>
      <c r="K643" s="8" t="s">
        <v>783</v>
      </c>
    </row>
    <row r="644" customFormat="false" ht="13.8" hidden="false" customHeight="false" outlineLevel="0" collapsed="false">
      <c r="A644" s="8" t="s">
        <v>774</v>
      </c>
      <c r="B644" s="8" t="s">
        <v>607</v>
      </c>
      <c r="C644" s="8" t="s">
        <v>199</v>
      </c>
      <c r="D644" s="8" t="s">
        <v>40</v>
      </c>
      <c r="E644" s="8" t="n">
        <v>7900</v>
      </c>
      <c r="F644" s="8" t="n">
        <v>280</v>
      </c>
      <c r="G644" s="8" t="n">
        <v>24</v>
      </c>
      <c r="H644" s="13" t="n">
        <f aca="false">(E644/1000)*(F644/1000)*(G644/1000)*7850</f>
        <v>416.7408</v>
      </c>
      <c r="I644" s="8" t="n">
        <v>6</v>
      </c>
      <c r="J644" s="14" t="n">
        <f aca="false">H644*I644</f>
        <v>2500.4448</v>
      </c>
      <c r="K644" s="8" t="s">
        <v>784</v>
      </c>
    </row>
    <row r="645" customFormat="false" ht="13.8" hidden="false" customHeight="false" outlineLevel="0" collapsed="false">
      <c r="A645" s="8" t="s">
        <v>774</v>
      </c>
      <c r="B645" s="8" t="s">
        <v>42</v>
      </c>
      <c r="C645" s="8" t="s">
        <v>76</v>
      </c>
      <c r="D645" s="8" t="s">
        <v>40</v>
      </c>
      <c r="E645" s="8" t="n">
        <v>7100</v>
      </c>
      <c r="F645" s="8" t="n">
        <v>280</v>
      </c>
      <c r="G645" s="8" t="n">
        <v>24</v>
      </c>
      <c r="H645" s="13" t="n">
        <f aca="false">(E645/1000)*(F645/1000)*(G645/1000)*7850</f>
        <v>374.5392</v>
      </c>
      <c r="I645" s="8" t="n">
        <v>6</v>
      </c>
      <c r="J645" s="14" t="n">
        <f aca="false">H645*I645</f>
        <v>2247.2352</v>
      </c>
      <c r="K645" s="8" t="s">
        <v>785</v>
      </c>
    </row>
    <row r="646" customFormat="false" ht="13.8" hidden="false" customHeight="false" outlineLevel="0" collapsed="false">
      <c r="A646" s="8" t="s">
        <v>774</v>
      </c>
      <c r="B646" s="8" t="s">
        <v>256</v>
      </c>
      <c r="C646" s="8" t="s">
        <v>96</v>
      </c>
      <c r="D646" s="8" t="s">
        <v>40</v>
      </c>
      <c r="E646" s="8" t="n">
        <v>7901</v>
      </c>
      <c r="F646" s="8" t="n">
        <v>2500</v>
      </c>
      <c r="G646" s="8" t="n">
        <v>24</v>
      </c>
      <c r="H646" s="13" t="n">
        <f aca="false">(E646/1000)*(F646/1000)*(G646/1000)*7850</f>
        <v>3721.371</v>
      </c>
      <c r="I646" s="8" t="n">
        <v>1</v>
      </c>
      <c r="J646" s="14" t="n">
        <f aca="false">H646*I646</f>
        <v>3721.371</v>
      </c>
      <c r="K646" s="8" t="s">
        <v>786</v>
      </c>
    </row>
    <row r="647" customFormat="false" ht="13.8" hidden="false" customHeight="false" outlineLevel="0" collapsed="false">
      <c r="A647" s="8" t="s">
        <v>774</v>
      </c>
      <c r="B647" s="8" t="s">
        <v>42</v>
      </c>
      <c r="C647" s="8" t="s">
        <v>305</v>
      </c>
      <c r="D647" s="8" t="s">
        <v>40</v>
      </c>
      <c r="E647" s="8" t="n">
        <v>7101</v>
      </c>
      <c r="F647" s="8" t="n">
        <v>2500</v>
      </c>
      <c r="G647" s="8" t="n">
        <v>24</v>
      </c>
      <c r="H647" s="13" t="n">
        <f aca="false">(E647/1000)*(F647/1000)*(G647/1000)*7850</f>
        <v>3344.571</v>
      </c>
      <c r="I647" s="8" t="n">
        <v>1</v>
      </c>
      <c r="J647" s="14" t="n">
        <f aca="false">H647*I647</f>
        <v>3344.571</v>
      </c>
      <c r="K647" s="8" t="s">
        <v>787</v>
      </c>
    </row>
    <row r="648" customFormat="false" ht="13.8" hidden="false" customHeight="false" outlineLevel="0" collapsed="false">
      <c r="A648" s="8" t="s">
        <v>774</v>
      </c>
      <c r="B648" s="8" t="s">
        <v>260</v>
      </c>
      <c r="C648" s="8" t="s">
        <v>100</v>
      </c>
      <c r="D648" s="8" t="s">
        <v>40</v>
      </c>
      <c r="G648" s="8" t="n">
        <v>24</v>
      </c>
      <c r="H648" s="13" t="n">
        <f aca="false">M648*(G648/1000)*7850</f>
        <v>2441.664</v>
      </c>
      <c r="I648" s="8" t="n">
        <v>1</v>
      </c>
      <c r="J648" s="14" t="n">
        <f aca="false">H648*I648</f>
        <v>2441.664</v>
      </c>
      <c r="K648" s="8" t="s">
        <v>788</v>
      </c>
      <c r="M648" s="15" t="n">
        <v>12.96</v>
      </c>
    </row>
    <row r="649" customFormat="false" ht="13.8" hidden="false" customHeight="false" outlineLevel="0" collapsed="false">
      <c r="A649" s="8" t="s">
        <v>774</v>
      </c>
      <c r="B649" s="8" t="s">
        <v>42</v>
      </c>
      <c r="C649" s="8" t="s">
        <v>206</v>
      </c>
      <c r="D649" s="8" t="s">
        <v>40</v>
      </c>
      <c r="G649" s="8" t="n">
        <v>24</v>
      </c>
      <c r="H649" s="13" t="n">
        <f aca="false">M649*(G649/1000)*7850</f>
        <v>2096.892</v>
      </c>
      <c r="I649" s="8" t="n">
        <v>1</v>
      </c>
      <c r="J649" s="14" t="n">
        <f aca="false">H649*I649</f>
        <v>2096.892</v>
      </c>
      <c r="K649" s="8" t="s">
        <v>789</v>
      </c>
      <c r="M649" s="15" t="n">
        <v>11.13</v>
      </c>
    </row>
    <row r="650" customFormat="false" ht="13.8" hidden="false" customHeight="false" outlineLevel="0" collapsed="false">
      <c r="A650" s="8" t="s">
        <v>774</v>
      </c>
      <c r="B650" s="8" t="s">
        <v>105</v>
      </c>
      <c r="C650" s="8" t="s">
        <v>103</v>
      </c>
      <c r="D650" s="8" t="s">
        <v>40</v>
      </c>
      <c r="G650" s="8" t="n">
        <v>44</v>
      </c>
      <c r="H650" s="13" t="n">
        <f aca="false">M650*(G650/1000)*7850</f>
        <v>7771.5</v>
      </c>
      <c r="I650" s="8" t="n">
        <v>2</v>
      </c>
      <c r="J650" s="14" t="n">
        <f aca="false">H650*I650</f>
        <v>15543</v>
      </c>
      <c r="K650" s="8" t="s">
        <v>790</v>
      </c>
      <c r="M650" s="15" t="n">
        <v>22.5</v>
      </c>
    </row>
    <row r="651" customFormat="false" ht="13.8" hidden="false" customHeight="false" outlineLevel="0" collapsed="false">
      <c r="A651" s="8" t="s">
        <v>774</v>
      </c>
      <c r="B651" s="8" t="s">
        <v>102</v>
      </c>
      <c r="C651" s="8" t="s">
        <v>106</v>
      </c>
      <c r="D651" s="8" t="s">
        <v>40</v>
      </c>
      <c r="E651" s="8" t="n">
        <v>7301</v>
      </c>
      <c r="F651" s="8" t="n">
        <v>1880</v>
      </c>
      <c r="G651" s="8" t="n">
        <v>32</v>
      </c>
      <c r="H651" s="13" t="n">
        <f aca="false">(E651/1000)*(F651/1000)*(G651/1000)*7850</f>
        <v>3447.941056</v>
      </c>
      <c r="I651" s="8" t="n">
        <v>2</v>
      </c>
      <c r="J651" s="14" t="n">
        <f aca="false">H651*I651</f>
        <v>6895.882112</v>
      </c>
      <c r="K651" s="8" t="s">
        <v>791</v>
      </c>
    </row>
    <row r="652" customFormat="false" ht="13.8" hidden="false" customHeight="false" outlineLevel="0" collapsed="false">
      <c r="A652" s="8" t="s">
        <v>774</v>
      </c>
      <c r="B652" s="8" t="s">
        <v>110</v>
      </c>
      <c r="C652" s="8" t="s">
        <v>108</v>
      </c>
      <c r="D652" s="8" t="s">
        <v>40</v>
      </c>
      <c r="E652" s="8" t="n">
        <v>1800</v>
      </c>
      <c r="F652" s="8" t="n">
        <v>1200</v>
      </c>
      <c r="G652" s="8" t="n">
        <v>16</v>
      </c>
      <c r="H652" s="13" t="n">
        <f aca="false">(E652/1000)*(F652/1000)*(G652/1000)*7850</f>
        <v>271.296</v>
      </c>
      <c r="I652" s="8" t="n">
        <v>3</v>
      </c>
      <c r="J652" s="14" t="n">
        <f aca="false">H652*I652</f>
        <v>813.888</v>
      </c>
      <c r="K652" s="8" t="s">
        <v>792</v>
      </c>
    </row>
    <row r="653" customFormat="false" ht="13.8" hidden="false" customHeight="false" outlineLevel="0" collapsed="false">
      <c r="A653" s="8" t="s">
        <v>774</v>
      </c>
      <c r="B653" s="8" t="s">
        <v>42</v>
      </c>
      <c r="C653" s="8" t="s">
        <v>112</v>
      </c>
      <c r="D653" s="8" t="s">
        <v>40</v>
      </c>
      <c r="E653" s="8" t="n">
        <v>1800</v>
      </c>
      <c r="F653" s="8" t="n">
        <v>1200</v>
      </c>
      <c r="G653" s="8" t="n">
        <v>16</v>
      </c>
      <c r="H653" s="13" t="n">
        <f aca="false">(E653/1000)*(F653/1000)*(G653/1000)*7850</f>
        <v>271.296</v>
      </c>
      <c r="I653" s="8" t="n">
        <v>2</v>
      </c>
      <c r="J653" s="14" t="n">
        <f aca="false">H653*I653</f>
        <v>542.592</v>
      </c>
      <c r="K653" s="8" t="s">
        <v>792</v>
      </c>
    </row>
    <row r="654" customFormat="false" ht="13.8" hidden="false" customHeight="false" outlineLevel="0" collapsed="false">
      <c r="A654" s="8" t="s">
        <v>774</v>
      </c>
      <c r="B654" s="8" t="s">
        <v>42</v>
      </c>
      <c r="C654" s="8" t="s">
        <v>108</v>
      </c>
      <c r="D654" s="8" t="s">
        <v>40</v>
      </c>
      <c r="E654" s="8" t="n">
        <v>2057</v>
      </c>
      <c r="F654" s="8" t="n">
        <v>200</v>
      </c>
      <c r="G654" s="8" t="n">
        <v>16</v>
      </c>
      <c r="H654" s="13" t="n">
        <f aca="false">(E654/1000)*(F654/1000)*(G654/1000)*7850</f>
        <v>51.67184</v>
      </c>
      <c r="I654" s="8" t="n">
        <v>3</v>
      </c>
      <c r="J654" s="14" t="n">
        <f aca="false">H654*I654</f>
        <v>155.01552</v>
      </c>
      <c r="K654" s="8" t="s">
        <v>782</v>
      </c>
    </row>
    <row r="655" customFormat="false" ht="13.8" hidden="false" customHeight="false" outlineLevel="0" collapsed="false">
      <c r="A655" s="8" t="s">
        <v>774</v>
      </c>
      <c r="B655" s="8" t="s">
        <v>314</v>
      </c>
      <c r="C655" s="8" t="s">
        <v>114</v>
      </c>
      <c r="D655" s="8" t="s">
        <v>40</v>
      </c>
      <c r="E655" s="8" t="n">
        <v>7901</v>
      </c>
      <c r="F655" s="8" t="n">
        <v>280</v>
      </c>
      <c r="G655" s="8" t="n">
        <v>24</v>
      </c>
      <c r="H655" s="13" t="n">
        <f aca="false">(E655/1000)*(F655/1000)*(G655/1000)*7850</f>
        <v>416.793552</v>
      </c>
      <c r="I655" s="8" t="n">
        <v>4</v>
      </c>
      <c r="J655" s="14" t="n">
        <f aca="false">H655*I655</f>
        <v>1667.174208</v>
      </c>
      <c r="K655" s="8" t="s">
        <v>793</v>
      </c>
    </row>
    <row r="656" customFormat="false" ht="13.8" hidden="false" customHeight="false" outlineLevel="0" collapsed="false">
      <c r="A656" s="8" t="s">
        <v>774</v>
      </c>
      <c r="B656" s="8" t="s">
        <v>42</v>
      </c>
      <c r="C656" s="8" t="s">
        <v>116</v>
      </c>
      <c r="D656" s="8" t="s">
        <v>40</v>
      </c>
      <c r="E656" s="8" t="n">
        <v>7101</v>
      </c>
      <c r="F656" s="8" t="n">
        <v>280</v>
      </c>
      <c r="G656" s="8" t="n">
        <v>24</v>
      </c>
      <c r="H656" s="13" t="n">
        <f aca="false">(E656/1000)*(F656/1000)*(G656/1000)*7850</f>
        <v>374.591952</v>
      </c>
      <c r="I656" s="8" t="n">
        <v>4</v>
      </c>
      <c r="J656" s="14" t="n">
        <f aca="false">H656*I656</f>
        <v>1498.367808</v>
      </c>
      <c r="K656" s="8" t="s">
        <v>794</v>
      </c>
    </row>
    <row r="657" customFormat="false" ht="13.8" hidden="false" customHeight="false" outlineLevel="0" collapsed="false">
      <c r="A657" s="8" t="s">
        <v>774</v>
      </c>
      <c r="B657" s="8" t="s">
        <v>42</v>
      </c>
      <c r="C657" s="8" t="s">
        <v>118</v>
      </c>
      <c r="D657" s="8" t="s">
        <v>40</v>
      </c>
      <c r="E657" s="8" t="n">
        <v>15002</v>
      </c>
      <c r="F657" s="8" t="n">
        <v>170</v>
      </c>
      <c r="G657" s="8" t="n">
        <v>14</v>
      </c>
      <c r="H657" s="13" t="n">
        <f aca="false">(E657/1000)*(F657/1000)*(G657/1000)*7850</f>
        <v>280.282366</v>
      </c>
      <c r="I657" s="8" t="n">
        <v>2</v>
      </c>
      <c r="J657" s="14" t="n">
        <f aca="false">H657*I657</f>
        <v>560.564732</v>
      </c>
      <c r="K657" s="8" t="s">
        <v>795</v>
      </c>
    </row>
    <row r="658" customFormat="false" ht="13.8" hidden="false" customHeight="false" outlineLevel="0" collapsed="false">
      <c r="A658" s="8" t="s">
        <v>774</v>
      </c>
      <c r="B658" s="8" t="s">
        <v>272</v>
      </c>
      <c r="C658" s="8" t="s">
        <v>125</v>
      </c>
      <c r="D658" s="8" t="s">
        <v>40</v>
      </c>
      <c r="E658" s="8" t="n">
        <v>11383</v>
      </c>
      <c r="F658" s="8" t="n">
        <v>1200</v>
      </c>
      <c r="G658" s="8" t="n">
        <v>36</v>
      </c>
      <c r="H658" s="13" t="n">
        <f aca="false">(E658/1000)*(F658/1000)*(G658/1000)*7850</f>
        <v>3860.20296</v>
      </c>
      <c r="I658" s="8" t="n">
        <v>1</v>
      </c>
      <c r="J658" s="14" t="n">
        <f aca="false">H658*I658</f>
        <v>3860.20296</v>
      </c>
      <c r="K658" s="8" t="s">
        <v>796</v>
      </c>
    </row>
    <row r="659" customFormat="false" ht="13.8" hidden="false" customHeight="false" outlineLevel="0" collapsed="false">
      <c r="A659" s="8" t="s">
        <v>774</v>
      </c>
      <c r="B659" s="8" t="s">
        <v>42</v>
      </c>
      <c r="C659" s="8" t="s">
        <v>127</v>
      </c>
      <c r="D659" s="8" t="s">
        <v>40</v>
      </c>
      <c r="E659" s="8" t="n">
        <v>11283</v>
      </c>
      <c r="F659" s="8" t="n">
        <v>1200</v>
      </c>
      <c r="G659" s="8" t="n">
        <v>36</v>
      </c>
      <c r="H659" s="13" t="n">
        <f aca="false">(E659/1000)*(F659/1000)*(G659/1000)*7850</f>
        <v>3826.29096</v>
      </c>
      <c r="I659" s="8" t="n">
        <v>1</v>
      </c>
      <c r="J659" s="14" t="n">
        <f aca="false">H659*I659</f>
        <v>3826.29096</v>
      </c>
      <c r="K659" s="8" t="s">
        <v>797</v>
      </c>
    </row>
    <row r="660" customFormat="false" ht="13.8" hidden="false" customHeight="false" outlineLevel="0" collapsed="false">
      <c r="A660" s="8" t="s">
        <v>774</v>
      </c>
      <c r="B660" s="8" t="s">
        <v>42</v>
      </c>
      <c r="C660" s="8" t="s">
        <v>128</v>
      </c>
      <c r="D660" s="8" t="s">
        <v>40</v>
      </c>
      <c r="E660" s="8" t="n">
        <v>7383</v>
      </c>
      <c r="F660" s="8" t="n">
        <v>1360</v>
      </c>
      <c r="G660" s="8" t="n">
        <v>36</v>
      </c>
      <c r="H660" s="13" t="n">
        <f aca="false">(E660/1000)*(F660/1000)*(G660/1000)*7850</f>
        <v>2837.552688</v>
      </c>
      <c r="I660" s="8" t="n">
        <v>2</v>
      </c>
      <c r="J660" s="14" t="n">
        <f aca="false">H660*I660</f>
        <v>5675.105376</v>
      </c>
      <c r="K660" s="8" t="s">
        <v>798</v>
      </c>
    </row>
    <row r="661" customFormat="false" ht="13.8" hidden="false" customHeight="false" outlineLevel="0" collapsed="false">
      <c r="A661" s="8" t="s">
        <v>774</v>
      </c>
      <c r="B661" s="8" t="s">
        <v>42</v>
      </c>
      <c r="C661" s="8" t="s">
        <v>130</v>
      </c>
      <c r="D661" s="8" t="s">
        <v>40</v>
      </c>
      <c r="E661" s="8" t="n">
        <v>7383</v>
      </c>
      <c r="F661" s="8" t="n">
        <v>320</v>
      </c>
      <c r="G661" s="8" t="n">
        <v>32</v>
      </c>
      <c r="H661" s="13" t="n">
        <f aca="false">(E661/1000)*(F661/1000)*(G661/1000)*7850</f>
        <v>593.475072</v>
      </c>
      <c r="I661" s="8" t="n">
        <v>2</v>
      </c>
      <c r="J661" s="14" t="n">
        <f aca="false">H661*I661</f>
        <v>1186.950144</v>
      </c>
      <c r="K661" s="8" t="s">
        <v>799</v>
      </c>
    </row>
    <row r="662" customFormat="false" ht="13.8" hidden="false" customHeight="false" outlineLevel="0" collapsed="false">
      <c r="A662" s="8" t="s">
        <v>774</v>
      </c>
      <c r="B662" s="8" t="s">
        <v>42</v>
      </c>
      <c r="C662" s="8" t="s">
        <v>132</v>
      </c>
      <c r="D662" s="8" t="s">
        <v>40</v>
      </c>
      <c r="E662" s="8" t="n">
        <v>9983</v>
      </c>
      <c r="F662" s="8" t="n">
        <v>320</v>
      </c>
      <c r="G662" s="8" t="n">
        <v>32</v>
      </c>
      <c r="H662" s="13" t="n">
        <f aca="false">(E662/1000)*(F662/1000)*(G662/1000)*7850</f>
        <v>802.473472</v>
      </c>
      <c r="I662" s="8" t="n">
        <v>1</v>
      </c>
      <c r="J662" s="14" t="n">
        <f aca="false">H662*I662</f>
        <v>802.473472</v>
      </c>
      <c r="K662" s="8" t="s">
        <v>800</v>
      </c>
    </row>
    <row r="663" customFormat="false" ht="13.8" hidden="false" customHeight="false" outlineLevel="0" collapsed="false">
      <c r="A663" s="8" t="s">
        <v>774</v>
      </c>
      <c r="B663" s="8" t="s">
        <v>42</v>
      </c>
      <c r="C663" s="8" t="s">
        <v>134</v>
      </c>
      <c r="D663" s="8" t="s">
        <v>40</v>
      </c>
      <c r="E663" s="8" t="n">
        <v>9883</v>
      </c>
      <c r="F663" s="8" t="n">
        <v>320</v>
      </c>
      <c r="G663" s="8" t="n">
        <v>32</v>
      </c>
      <c r="H663" s="13" t="n">
        <f aca="false">(E663/1000)*(F663/1000)*(G663/1000)*7850</f>
        <v>794.435072</v>
      </c>
      <c r="I663" s="8" t="n">
        <v>1</v>
      </c>
      <c r="J663" s="14" t="n">
        <f aca="false">H663*I663</f>
        <v>794.435072</v>
      </c>
      <c r="K663" s="8" t="s">
        <v>801</v>
      </c>
    </row>
    <row r="664" customFormat="false" ht="13.8" hidden="false" customHeight="false" outlineLevel="0" collapsed="false">
      <c r="A664" s="8" t="s">
        <v>774</v>
      </c>
      <c r="B664" s="8" t="s">
        <v>42</v>
      </c>
      <c r="C664" s="8" t="s">
        <v>135</v>
      </c>
      <c r="D664" s="8" t="s">
        <v>40</v>
      </c>
      <c r="E664" s="8" t="n">
        <v>1200</v>
      </c>
      <c r="F664" s="8" t="n">
        <v>1200</v>
      </c>
      <c r="G664" s="8" t="n">
        <v>16</v>
      </c>
      <c r="H664" s="13" t="n">
        <f aca="false">(E664/1000)*(F664/1000)*(G664/1000)*7850</f>
        <v>180.864</v>
      </c>
      <c r="I664" s="8" t="n">
        <v>3</v>
      </c>
      <c r="J664" s="14" t="n">
        <f aca="false">H664*I664</f>
        <v>542.592</v>
      </c>
      <c r="K664" s="8" t="s">
        <v>802</v>
      </c>
    </row>
    <row r="665" customFormat="false" ht="13.8" hidden="false" customHeight="false" outlineLevel="0" collapsed="false">
      <c r="A665" s="8" t="s">
        <v>774</v>
      </c>
      <c r="B665" s="8" t="s">
        <v>42</v>
      </c>
      <c r="C665" s="8" t="s">
        <v>137</v>
      </c>
      <c r="D665" s="8" t="s">
        <v>40</v>
      </c>
      <c r="E665" s="8" t="n">
        <v>5458</v>
      </c>
      <c r="F665" s="8" t="n">
        <v>1200</v>
      </c>
      <c r="G665" s="8" t="n">
        <v>36</v>
      </c>
      <c r="H665" s="13" t="n">
        <f aca="false">(E665/1000)*(F665/1000)*(G665/1000)*7850</f>
        <v>1850.91696</v>
      </c>
      <c r="I665" s="8" t="n">
        <v>1</v>
      </c>
      <c r="J665" s="14" t="n">
        <f aca="false">H665*I665</f>
        <v>1850.91696</v>
      </c>
      <c r="K665" s="8" t="s">
        <v>803</v>
      </c>
    </row>
    <row r="666" customFormat="false" ht="13.8" hidden="false" customHeight="false" outlineLevel="0" collapsed="false">
      <c r="A666" s="8" t="s">
        <v>774</v>
      </c>
      <c r="B666" s="8" t="s">
        <v>42</v>
      </c>
      <c r="C666" s="8" t="s">
        <v>374</v>
      </c>
      <c r="D666" s="8" t="s">
        <v>40</v>
      </c>
      <c r="E666" s="8" t="n">
        <v>5758</v>
      </c>
      <c r="F666" s="8" t="n">
        <v>1200</v>
      </c>
      <c r="G666" s="8" t="n">
        <v>36</v>
      </c>
      <c r="H666" s="13" t="n">
        <f aca="false">(E666/1000)*(F666/1000)*(G666/1000)*7850</f>
        <v>1952.65296</v>
      </c>
      <c r="I666" s="8" t="n">
        <v>1</v>
      </c>
      <c r="J666" s="14" t="n">
        <f aca="false">H666*I666</f>
        <v>1952.65296</v>
      </c>
      <c r="K666" s="8" t="s">
        <v>804</v>
      </c>
    </row>
    <row r="667" customFormat="false" ht="13.8" hidden="false" customHeight="false" outlineLevel="0" collapsed="false">
      <c r="A667" s="8" t="s">
        <v>774</v>
      </c>
      <c r="B667" s="8" t="s">
        <v>42</v>
      </c>
      <c r="C667" s="8" t="s">
        <v>141</v>
      </c>
      <c r="D667" s="8" t="s">
        <v>40</v>
      </c>
      <c r="E667" s="8" t="n">
        <v>3658</v>
      </c>
      <c r="F667" s="8" t="n">
        <v>1360</v>
      </c>
      <c r="G667" s="8" t="n">
        <v>36</v>
      </c>
      <c r="H667" s="13" t="n">
        <f aca="false">(E667/1000)*(F667/1000)*(G667/1000)*7850</f>
        <v>1405.901088</v>
      </c>
      <c r="I667" s="8" t="n">
        <v>2</v>
      </c>
      <c r="J667" s="14" t="n">
        <f aca="false">H667*I667</f>
        <v>2811.802176</v>
      </c>
      <c r="K667" s="8" t="s">
        <v>805</v>
      </c>
    </row>
    <row r="668" customFormat="false" ht="13.8" hidden="false" customHeight="false" outlineLevel="0" collapsed="false">
      <c r="A668" s="8" t="s">
        <v>774</v>
      </c>
      <c r="B668" s="8" t="s">
        <v>42</v>
      </c>
      <c r="C668" s="8" t="s">
        <v>143</v>
      </c>
      <c r="D668" s="8" t="s">
        <v>40</v>
      </c>
      <c r="E668" s="8" t="n">
        <v>3658</v>
      </c>
      <c r="F668" s="8" t="n">
        <v>320</v>
      </c>
      <c r="G668" s="8" t="n">
        <v>32</v>
      </c>
      <c r="H668" s="13" t="n">
        <f aca="false">(E668/1000)*(F668/1000)*(G668/1000)*7850</f>
        <v>294.044672</v>
      </c>
      <c r="I668" s="8" t="n">
        <v>2</v>
      </c>
      <c r="J668" s="14" t="n">
        <f aca="false">H668*I668</f>
        <v>588.089344</v>
      </c>
      <c r="K668" s="8" t="s">
        <v>806</v>
      </c>
    </row>
    <row r="669" customFormat="false" ht="13.8" hidden="false" customHeight="false" outlineLevel="0" collapsed="false">
      <c r="A669" s="8" t="s">
        <v>774</v>
      </c>
      <c r="B669" s="8" t="s">
        <v>42</v>
      </c>
      <c r="C669" s="8" t="s">
        <v>145</v>
      </c>
      <c r="D669" s="8" t="s">
        <v>289</v>
      </c>
      <c r="E669" s="8" t="n">
        <v>4758</v>
      </c>
      <c r="F669" s="8" t="n">
        <v>320</v>
      </c>
      <c r="G669" s="8" t="n">
        <v>32</v>
      </c>
      <c r="H669" s="13" t="n">
        <f aca="false">(E669/1000)*(F669/1000)*(G669/1000)*7850</f>
        <v>382.467072</v>
      </c>
      <c r="I669" s="8" t="n">
        <v>1</v>
      </c>
      <c r="J669" s="14" t="n">
        <f aca="false">H669*I669</f>
        <v>382.467072</v>
      </c>
      <c r="K669" s="8" t="s">
        <v>807</v>
      </c>
    </row>
    <row r="670" customFormat="false" ht="13.8" hidden="false" customHeight="false" outlineLevel="0" collapsed="false">
      <c r="A670" s="8" t="s">
        <v>774</v>
      </c>
      <c r="B670" s="8" t="s">
        <v>42</v>
      </c>
      <c r="C670" s="8" t="s">
        <v>147</v>
      </c>
      <c r="D670" s="8" t="s">
        <v>40</v>
      </c>
      <c r="E670" s="8" t="n">
        <v>5058</v>
      </c>
      <c r="F670" s="8" t="n">
        <v>320</v>
      </c>
      <c r="G670" s="8" t="n">
        <v>32</v>
      </c>
      <c r="H670" s="13" t="n">
        <f aca="false">(E670/1000)*(F670/1000)*(G670/1000)*7850</f>
        <v>406.582272</v>
      </c>
      <c r="I670" s="8" t="n">
        <v>1</v>
      </c>
      <c r="J670" s="14" t="n">
        <f aca="false">H670*I670</f>
        <v>406.582272</v>
      </c>
      <c r="K670" s="8" t="s">
        <v>808</v>
      </c>
    </row>
    <row r="671" customFormat="false" ht="13.8" hidden="false" customHeight="false" outlineLevel="0" collapsed="false">
      <c r="A671" s="8" t="s">
        <v>774</v>
      </c>
      <c r="B671" s="8" t="s">
        <v>42</v>
      </c>
      <c r="C671" s="8" t="s">
        <v>149</v>
      </c>
      <c r="D671" s="8" t="s">
        <v>40</v>
      </c>
      <c r="E671" s="8" t="n">
        <v>1200</v>
      </c>
      <c r="F671" s="8" t="n">
        <v>1200</v>
      </c>
      <c r="G671" s="8" t="n">
        <v>16</v>
      </c>
      <c r="H671" s="13" t="n">
        <f aca="false">(E671/1000)*(F671/1000)*(G671/1000)*7850</f>
        <v>180.864</v>
      </c>
      <c r="I671" s="8" t="n">
        <v>2</v>
      </c>
      <c r="J671" s="14" t="n">
        <f aca="false">H671*I671</f>
        <v>361.728</v>
      </c>
      <c r="K671" s="8" t="s">
        <v>802</v>
      </c>
    </row>
    <row r="672" customFormat="false" ht="13.8" hidden="false" customHeight="false" outlineLevel="0" collapsed="false">
      <c r="A672" s="8" t="s">
        <v>774</v>
      </c>
      <c r="B672" s="8" t="s">
        <v>171</v>
      </c>
      <c r="C672" s="8" t="s">
        <v>150</v>
      </c>
      <c r="D672" s="8" t="s">
        <v>40</v>
      </c>
      <c r="E672" s="8" t="n">
        <v>5883</v>
      </c>
      <c r="F672" s="8" t="n">
        <v>1200</v>
      </c>
      <c r="G672" s="8" t="n">
        <v>36</v>
      </c>
      <c r="H672" s="13" t="n">
        <f aca="false">(E672/1000)*(F672/1000)*(G672/1000)*7850</f>
        <v>1995.04296</v>
      </c>
      <c r="I672" s="8" t="n">
        <v>1</v>
      </c>
      <c r="J672" s="14" t="n">
        <f aca="false">H672*I672</f>
        <v>1995.04296</v>
      </c>
      <c r="K672" s="8" t="s">
        <v>809</v>
      </c>
    </row>
    <row r="673" customFormat="false" ht="13.8" hidden="false" customHeight="false" outlineLevel="0" collapsed="false">
      <c r="A673" s="8" t="s">
        <v>774</v>
      </c>
      <c r="B673" s="8" t="s">
        <v>42</v>
      </c>
      <c r="C673" s="8" t="s">
        <v>380</v>
      </c>
      <c r="D673" s="8" t="s">
        <v>40</v>
      </c>
      <c r="E673" s="8" t="n">
        <v>5483</v>
      </c>
      <c r="F673" s="8" t="n">
        <v>1200</v>
      </c>
      <c r="G673" s="8" t="n">
        <v>36</v>
      </c>
      <c r="H673" s="13" t="n">
        <f aca="false">(E673/1000)*(F673/1000)*(G673/1000)*7850</f>
        <v>1859.39496</v>
      </c>
      <c r="I673" s="8" t="n">
        <v>1</v>
      </c>
      <c r="J673" s="14" t="n">
        <f aca="false">H673*I673</f>
        <v>1859.39496</v>
      </c>
      <c r="K673" s="8" t="s">
        <v>810</v>
      </c>
    </row>
    <row r="674" customFormat="false" ht="13.8" hidden="false" customHeight="false" outlineLevel="0" collapsed="false">
      <c r="A674" s="8" t="s">
        <v>774</v>
      </c>
      <c r="B674" s="8" t="s">
        <v>42</v>
      </c>
      <c r="C674" s="8" t="s">
        <v>155</v>
      </c>
      <c r="D674" s="8" t="s">
        <v>40</v>
      </c>
      <c r="E674" s="8" t="n">
        <v>3683</v>
      </c>
      <c r="F674" s="8" t="n">
        <v>1360</v>
      </c>
      <c r="G674" s="8" t="n">
        <v>36</v>
      </c>
      <c r="H674" s="13" t="n">
        <f aca="false">(E674/1000)*(F674/1000)*(G674/1000)*7850</f>
        <v>1415.509488</v>
      </c>
      <c r="I674" s="8" t="n">
        <v>2</v>
      </c>
      <c r="J674" s="14" t="n">
        <f aca="false">H674*I674</f>
        <v>2831.018976</v>
      </c>
      <c r="K674" s="8" t="s">
        <v>811</v>
      </c>
    </row>
    <row r="675" customFormat="false" ht="13.8" hidden="false" customHeight="false" outlineLevel="0" collapsed="false">
      <c r="A675" s="8" t="s">
        <v>774</v>
      </c>
      <c r="B675" s="8" t="s">
        <v>42</v>
      </c>
      <c r="C675" s="8" t="s">
        <v>160</v>
      </c>
      <c r="D675" s="8" t="s">
        <v>40</v>
      </c>
      <c r="E675" s="8" t="n">
        <v>3683</v>
      </c>
      <c r="F675" s="8" t="n">
        <v>320</v>
      </c>
      <c r="G675" s="8" t="n">
        <v>32</v>
      </c>
      <c r="H675" s="13" t="n">
        <f aca="false">(E675/1000)*(F675/1000)*(G675/1000)*7850</f>
        <v>296.054272</v>
      </c>
      <c r="I675" s="8" t="n">
        <v>2</v>
      </c>
      <c r="J675" s="14" t="n">
        <f aca="false">H675*I675</f>
        <v>592.108544</v>
      </c>
      <c r="K675" s="8" t="s">
        <v>812</v>
      </c>
    </row>
    <row r="676" customFormat="false" ht="13.8" hidden="false" customHeight="false" outlineLevel="0" collapsed="false">
      <c r="A676" s="8" t="s">
        <v>774</v>
      </c>
      <c r="B676" s="8" t="s">
        <v>42</v>
      </c>
      <c r="C676" s="8" t="s">
        <v>226</v>
      </c>
      <c r="D676" s="8" t="s">
        <v>40</v>
      </c>
      <c r="E676" s="8" t="n">
        <v>5183</v>
      </c>
      <c r="F676" s="8" t="n">
        <v>320</v>
      </c>
      <c r="G676" s="8" t="n">
        <v>32</v>
      </c>
      <c r="H676" s="13" t="n">
        <f aca="false">(E676/1000)*(F676/1000)*(G676/1000)*7850</f>
        <v>416.630272</v>
      </c>
      <c r="I676" s="8" t="n">
        <v>1</v>
      </c>
      <c r="J676" s="14" t="n">
        <f aca="false">H676*I676</f>
        <v>416.630272</v>
      </c>
      <c r="K676" s="8" t="s">
        <v>813</v>
      </c>
    </row>
    <row r="677" customFormat="false" ht="13.8" hidden="false" customHeight="false" outlineLevel="0" collapsed="false">
      <c r="A677" s="8" t="s">
        <v>774</v>
      </c>
      <c r="B677" s="8" t="s">
        <v>42</v>
      </c>
      <c r="C677" s="8" t="s">
        <v>165</v>
      </c>
      <c r="D677" s="8" t="s">
        <v>40</v>
      </c>
      <c r="E677" s="8" t="n">
        <v>4783</v>
      </c>
      <c r="F677" s="8" t="n">
        <v>320</v>
      </c>
      <c r="G677" s="8" t="n">
        <v>32</v>
      </c>
      <c r="H677" s="13" t="n">
        <f aca="false">(E677/1000)*(F677/1000)*(G677/1000)*7850</f>
        <v>384.476672</v>
      </c>
      <c r="I677" s="8" t="n">
        <v>1</v>
      </c>
      <c r="J677" s="14" t="n">
        <f aca="false">H677*I677</f>
        <v>384.476672</v>
      </c>
      <c r="K677" s="8" t="s">
        <v>814</v>
      </c>
    </row>
    <row r="678" customFormat="false" ht="13.8" hidden="false" customHeight="false" outlineLevel="0" collapsed="false">
      <c r="A678" s="8" t="s">
        <v>774</v>
      </c>
      <c r="B678" s="8" t="s">
        <v>42</v>
      </c>
      <c r="C678" s="8" t="s">
        <v>158</v>
      </c>
      <c r="D678" s="8" t="s">
        <v>40</v>
      </c>
      <c r="E678" s="8" t="n">
        <v>1200</v>
      </c>
      <c r="F678" s="8" t="n">
        <v>1200</v>
      </c>
      <c r="G678" s="8" t="n">
        <v>16</v>
      </c>
      <c r="H678" s="13" t="n">
        <f aca="false">(E678/1000)*(F678/1000)*(G678/1000)*7850</f>
        <v>180.864</v>
      </c>
      <c r="I678" s="8" t="n">
        <v>2</v>
      </c>
      <c r="J678" s="14" t="n">
        <f aca="false">H678*I678</f>
        <v>361.728</v>
      </c>
      <c r="K678" s="8" t="s">
        <v>802</v>
      </c>
    </row>
    <row r="679" customFormat="false" ht="13.8" hidden="false" customHeight="false" outlineLevel="0" collapsed="false">
      <c r="A679" s="8" t="s">
        <v>774</v>
      </c>
      <c r="B679" s="8" t="s">
        <v>42</v>
      </c>
      <c r="C679" s="8" t="s">
        <v>386</v>
      </c>
      <c r="D679" s="8" t="s">
        <v>40</v>
      </c>
      <c r="E679" s="8" t="n">
        <v>2300</v>
      </c>
      <c r="F679" s="8" t="n">
        <v>320</v>
      </c>
      <c r="G679" s="8" t="n">
        <v>32</v>
      </c>
      <c r="H679" s="13" t="n">
        <f aca="false">(E679/1000)*(F679/1000)*(G679/1000)*7850</f>
        <v>184.8832</v>
      </c>
      <c r="I679" s="8" t="n">
        <v>4</v>
      </c>
      <c r="J679" s="14" t="n">
        <f aca="false">H679*I679</f>
        <v>739.5328</v>
      </c>
      <c r="K679" s="8" t="s">
        <v>815</v>
      </c>
    </row>
    <row r="680" customFormat="false" ht="13.8" hidden="false" customHeight="false" outlineLevel="0" collapsed="false">
      <c r="A680" s="8" t="s">
        <v>774</v>
      </c>
      <c r="B680" s="8" t="s">
        <v>42</v>
      </c>
      <c r="C680" s="8" t="s">
        <v>388</v>
      </c>
      <c r="D680" s="8" t="s">
        <v>40</v>
      </c>
      <c r="E680" s="8" t="n">
        <v>2200</v>
      </c>
      <c r="F680" s="8" t="n">
        <v>320</v>
      </c>
      <c r="G680" s="8" t="n">
        <v>32</v>
      </c>
      <c r="H680" s="13" t="n">
        <f aca="false">(E680/1000)*(F680/1000)*(G680/1000)*7850</f>
        <v>176.8448</v>
      </c>
      <c r="I680" s="8" t="n">
        <v>4</v>
      </c>
      <c r="J680" s="14" t="n">
        <f aca="false">H680*I680</f>
        <v>707.3792</v>
      </c>
      <c r="K680" s="8" t="s">
        <v>816</v>
      </c>
    </row>
    <row r="681" customFormat="false" ht="13.8" hidden="false" customHeight="false" outlineLevel="0" collapsed="false">
      <c r="A681" s="8" t="s">
        <v>774</v>
      </c>
      <c r="B681" s="8" t="s">
        <v>64</v>
      </c>
      <c r="C681" s="8" t="s">
        <v>167</v>
      </c>
      <c r="D681" s="8" t="s">
        <v>40</v>
      </c>
      <c r="E681" s="8" t="n">
        <v>1980</v>
      </c>
      <c r="F681" s="8" t="n">
        <v>610</v>
      </c>
      <c r="G681" s="8" t="n">
        <v>14</v>
      </c>
      <c r="H681" s="13" t="n">
        <f aca="false">(E681/1000)*(F681/1000)*(G681/1000)*7850</f>
        <v>132.73722</v>
      </c>
      <c r="I681" s="8" t="n">
        <v>6</v>
      </c>
      <c r="J681" s="14" t="n">
        <f aca="false">H681*I681</f>
        <v>796.42332</v>
      </c>
      <c r="K681" s="8" t="s">
        <v>817</v>
      </c>
    </row>
    <row r="682" customFormat="false" ht="13.8" hidden="false" customHeight="false" outlineLevel="0" collapsed="false">
      <c r="A682" s="8" t="s">
        <v>774</v>
      </c>
      <c r="B682" s="8" t="s">
        <v>42</v>
      </c>
      <c r="C682" s="8" t="s">
        <v>334</v>
      </c>
      <c r="D682" s="8" t="s">
        <v>40</v>
      </c>
      <c r="E682" s="8" t="n">
        <v>1980</v>
      </c>
      <c r="F682" s="8" t="n">
        <v>622</v>
      </c>
      <c r="G682" s="8" t="n">
        <v>14</v>
      </c>
      <c r="H682" s="13" t="n">
        <f aca="false">(E682/1000)*(F682/1000)*(G682/1000)*7850</f>
        <v>135.348444</v>
      </c>
      <c r="I682" s="8" t="n">
        <v>4</v>
      </c>
      <c r="J682" s="14" t="n">
        <f aca="false">H682*I682</f>
        <v>541.393776</v>
      </c>
      <c r="K682" s="8" t="s">
        <v>818</v>
      </c>
    </row>
    <row r="683" customFormat="false" ht="13.8" hidden="false" customHeight="false" outlineLevel="0" collapsed="false">
      <c r="A683" s="8" t="s">
        <v>774</v>
      </c>
      <c r="B683" s="8" t="s">
        <v>42</v>
      </c>
      <c r="C683" s="8" t="s">
        <v>169</v>
      </c>
      <c r="D683" s="8" t="s">
        <v>40</v>
      </c>
      <c r="G683" s="8" t="n">
        <v>24</v>
      </c>
      <c r="H683" s="13" t="n">
        <f aca="false">M683*(G683/1000)*7850</f>
        <v>88.548</v>
      </c>
      <c r="I683" s="8" t="n">
        <v>6</v>
      </c>
      <c r="J683" s="14" t="n">
        <f aca="false">H683*I683</f>
        <v>531.288</v>
      </c>
      <c r="K683" s="8" t="s">
        <v>819</v>
      </c>
      <c r="M683" s="15" t="n">
        <v>0.47</v>
      </c>
    </row>
    <row r="684" customFormat="false" ht="13.8" hidden="false" customHeight="false" outlineLevel="0" collapsed="false">
      <c r="A684" s="8" t="s">
        <v>774</v>
      </c>
      <c r="B684" s="8" t="s">
        <v>42</v>
      </c>
      <c r="C684" s="8" t="s">
        <v>236</v>
      </c>
      <c r="D684" s="8" t="s">
        <v>40</v>
      </c>
      <c r="G684" s="8" t="n">
        <v>24</v>
      </c>
      <c r="H684" s="13" t="n">
        <f aca="false">M684*(G684/1000)*7850</f>
        <v>90.432</v>
      </c>
      <c r="I684" s="8" t="n">
        <v>4</v>
      </c>
      <c r="J684" s="14" t="n">
        <f aca="false">H684*I684</f>
        <v>361.728</v>
      </c>
      <c r="K684" s="8" t="s">
        <v>820</v>
      </c>
      <c r="M684" s="15" t="n">
        <v>0.48</v>
      </c>
    </row>
    <row r="685" customFormat="false" ht="13.8" hidden="false" customHeight="false" outlineLevel="0" collapsed="false">
      <c r="A685" s="8" t="s">
        <v>774</v>
      </c>
      <c r="B685" s="8" t="s">
        <v>42</v>
      </c>
      <c r="C685" s="8" t="s">
        <v>172</v>
      </c>
      <c r="D685" s="8" t="s">
        <v>40</v>
      </c>
      <c r="E685" s="8" t="n">
        <v>1800</v>
      </c>
      <c r="F685" s="8" t="n">
        <v>606</v>
      </c>
      <c r="G685" s="8" t="n">
        <v>14</v>
      </c>
      <c r="H685" s="13" t="n">
        <f aca="false">(E685/1000)*(F685/1000)*(G685/1000)*7850</f>
        <v>119.87892</v>
      </c>
      <c r="I685" s="8" t="n">
        <v>6</v>
      </c>
      <c r="J685" s="14" t="n">
        <f aca="false">H685*I685</f>
        <v>719.27352</v>
      </c>
      <c r="K685" s="8" t="s">
        <v>821</v>
      </c>
    </row>
    <row r="686" customFormat="false" ht="13.8" hidden="false" customHeight="false" outlineLevel="0" collapsed="false">
      <c r="A686" s="8" t="s">
        <v>774</v>
      </c>
      <c r="B686" s="8" t="s">
        <v>42</v>
      </c>
      <c r="C686" s="8" t="s">
        <v>239</v>
      </c>
      <c r="D686" s="8" t="s">
        <v>40</v>
      </c>
      <c r="E686" s="8" t="n">
        <v>1800</v>
      </c>
      <c r="F686" s="8" t="n">
        <v>618</v>
      </c>
      <c r="G686" s="8" t="n">
        <v>14</v>
      </c>
      <c r="H686" s="13" t="n">
        <f aca="false">(E686/1000)*(F686/1000)*(G686/1000)*7850</f>
        <v>122.25276</v>
      </c>
      <c r="I686" s="8" t="n">
        <v>4</v>
      </c>
      <c r="J686" s="14" t="n">
        <f aca="false">H686*I686</f>
        <v>489.01104</v>
      </c>
      <c r="K686" s="8" t="s">
        <v>822</v>
      </c>
    </row>
    <row r="687" customFormat="false" ht="13.8" hidden="false" customHeight="false" outlineLevel="0" collapsed="false">
      <c r="A687" s="8" t="s">
        <v>823</v>
      </c>
      <c r="B687" s="8" t="s">
        <v>38</v>
      </c>
      <c r="C687" s="8" t="s">
        <v>179</v>
      </c>
      <c r="D687" s="8" t="s">
        <v>341</v>
      </c>
      <c r="G687" s="8" t="n">
        <v>40</v>
      </c>
      <c r="H687" s="13" t="n">
        <f aca="false">M687*(G687/1000)*7850</f>
        <v>4797.92</v>
      </c>
      <c r="I687" s="8" t="n">
        <v>1</v>
      </c>
      <c r="J687" s="14" t="n">
        <f aca="false">H687*I687</f>
        <v>4797.92</v>
      </c>
      <c r="K687" s="8" t="s">
        <v>824</v>
      </c>
      <c r="M687" s="15" t="n">
        <v>15.28</v>
      </c>
    </row>
    <row r="688" customFormat="false" ht="13.8" hidden="false" customHeight="false" outlineLevel="0" collapsed="false">
      <c r="A688" s="8" t="s">
        <v>823</v>
      </c>
      <c r="B688" s="8" t="s">
        <v>42</v>
      </c>
      <c r="C688" s="8" t="s">
        <v>243</v>
      </c>
      <c r="D688" s="8" t="s">
        <v>40</v>
      </c>
      <c r="G688" s="8" t="n">
        <v>24</v>
      </c>
      <c r="H688" s="13" t="n">
        <f aca="false">M688*(G688/1000)*7850</f>
        <v>2586.732</v>
      </c>
      <c r="I688" s="8" t="n">
        <v>1</v>
      </c>
      <c r="J688" s="14" t="n">
        <f aca="false">H688*I688</f>
        <v>2586.732</v>
      </c>
      <c r="K688" s="8" t="s">
        <v>825</v>
      </c>
      <c r="M688" s="15" t="n">
        <v>13.73</v>
      </c>
    </row>
    <row r="689" customFormat="false" ht="13.8" hidden="false" customHeight="false" outlineLevel="0" collapsed="false">
      <c r="A689" s="8" t="s">
        <v>823</v>
      </c>
      <c r="B689" s="8" t="s">
        <v>45</v>
      </c>
      <c r="C689" s="8" t="s">
        <v>292</v>
      </c>
      <c r="D689" s="8" t="s">
        <v>341</v>
      </c>
      <c r="E689" s="8" t="n">
        <v>7900</v>
      </c>
      <c r="F689" s="8" t="n">
        <v>1200</v>
      </c>
      <c r="G689" s="8" t="n">
        <v>40</v>
      </c>
      <c r="H689" s="13" t="n">
        <f aca="false">(E689/1000)*(F689/1000)*(G689/1000)*7850</f>
        <v>2976.72</v>
      </c>
      <c r="I689" s="8" t="n">
        <v>1</v>
      </c>
      <c r="J689" s="14" t="n">
        <f aca="false">H689*I689</f>
        <v>2976.72</v>
      </c>
      <c r="K689" s="8" t="s">
        <v>826</v>
      </c>
    </row>
    <row r="690" customFormat="false" ht="13.8" hidden="false" customHeight="false" outlineLevel="0" collapsed="false">
      <c r="A690" s="8" t="s">
        <v>823</v>
      </c>
      <c r="B690" s="8" t="s">
        <v>42</v>
      </c>
      <c r="C690" s="8" t="s">
        <v>185</v>
      </c>
      <c r="D690" s="8" t="s">
        <v>40</v>
      </c>
      <c r="E690" s="8" t="n">
        <v>7100</v>
      </c>
      <c r="F690" s="8" t="n">
        <v>1200</v>
      </c>
      <c r="G690" s="8" t="n">
        <v>24</v>
      </c>
      <c r="H690" s="13" t="n">
        <f aca="false">(E690/1000)*(F690/1000)*(G690/1000)*7850</f>
        <v>1605.168</v>
      </c>
      <c r="I690" s="8" t="n">
        <v>1</v>
      </c>
      <c r="J690" s="14" t="n">
        <f aca="false">H690*I690</f>
        <v>1605.168</v>
      </c>
      <c r="K690" s="8" t="s">
        <v>827</v>
      </c>
    </row>
    <row r="691" customFormat="false" ht="13.8" hidden="false" customHeight="false" outlineLevel="0" collapsed="false">
      <c r="A691" s="8" t="s">
        <v>823</v>
      </c>
      <c r="B691" s="8" t="s">
        <v>187</v>
      </c>
      <c r="C691" s="8" t="s">
        <v>188</v>
      </c>
      <c r="D691" s="8" t="s">
        <v>341</v>
      </c>
      <c r="G691" s="8" t="n">
        <v>48</v>
      </c>
      <c r="H691" s="13" t="n">
        <f aca="false">M691*(G691/1000)*7850</f>
        <v>9687.528</v>
      </c>
      <c r="I691" s="8" t="n">
        <v>2</v>
      </c>
      <c r="J691" s="14" t="n">
        <f aca="false">H691*I691</f>
        <v>19375.056</v>
      </c>
      <c r="K691" s="8" t="s">
        <v>828</v>
      </c>
      <c r="M691" s="15" t="n">
        <v>25.71</v>
      </c>
    </row>
    <row r="692" customFormat="false" ht="13.8" hidden="false" customHeight="false" outlineLevel="0" collapsed="false">
      <c r="A692" s="8" t="s">
        <v>823</v>
      </c>
      <c r="B692" s="8" t="s">
        <v>190</v>
      </c>
      <c r="C692" s="8" t="s">
        <v>191</v>
      </c>
      <c r="D692" s="8" t="s">
        <v>40</v>
      </c>
      <c r="E692" s="8" t="n">
        <v>7300</v>
      </c>
      <c r="F692" s="8" t="n">
        <v>2048</v>
      </c>
      <c r="G692" s="8" t="n">
        <v>32</v>
      </c>
      <c r="H692" s="13" t="n">
        <f aca="false">(E692/1000)*(F692/1000)*(G692/1000)*7850</f>
        <v>3755.54048</v>
      </c>
      <c r="I692" s="8" t="n">
        <v>2</v>
      </c>
      <c r="J692" s="14" t="n">
        <f aca="false">H692*I692</f>
        <v>7511.08096</v>
      </c>
      <c r="K692" s="8" t="s">
        <v>829</v>
      </c>
    </row>
    <row r="693" customFormat="false" ht="13.8" hidden="false" customHeight="false" outlineLevel="0" collapsed="false">
      <c r="A693" s="8" t="s">
        <v>823</v>
      </c>
      <c r="B693" s="8" t="s">
        <v>195</v>
      </c>
      <c r="C693" s="8" t="s">
        <v>58</v>
      </c>
      <c r="D693" s="8" t="s">
        <v>289</v>
      </c>
      <c r="E693" s="8" t="n">
        <v>1960</v>
      </c>
      <c r="F693" s="8" t="n">
        <v>1200</v>
      </c>
      <c r="G693" s="8" t="n">
        <v>16</v>
      </c>
      <c r="H693" s="13" t="n">
        <f aca="false">(E693/1000)*(F693/1000)*(G693/1000)*7850</f>
        <v>295.4112</v>
      </c>
      <c r="I693" s="8" t="n">
        <v>3</v>
      </c>
      <c r="J693" s="14" t="n">
        <f aca="false">H693*I693</f>
        <v>886.2336</v>
      </c>
      <c r="K693" s="8" t="s">
        <v>830</v>
      </c>
    </row>
    <row r="694" customFormat="false" ht="13.8" hidden="false" customHeight="false" outlineLevel="0" collapsed="false">
      <c r="A694" s="8" t="s">
        <v>823</v>
      </c>
      <c r="B694" s="8" t="s">
        <v>42</v>
      </c>
      <c r="C694" s="8" t="s">
        <v>194</v>
      </c>
      <c r="D694" s="8" t="s">
        <v>40</v>
      </c>
      <c r="E694" s="8" t="n">
        <v>1976</v>
      </c>
      <c r="F694" s="8" t="n">
        <v>1200</v>
      </c>
      <c r="G694" s="8" t="n">
        <v>16</v>
      </c>
      <c r="H694" s="13" t="n">
        <f aca="false">(E694/1000)*(F694/1000)*(G694/1000)*7850</f>
        <v>297.82272</v>
      </c>
      <c r="I694" s="8" t="n">
        <v>2</v>
      </c>
      <c r="J694" s="14" t="n">
        <f aca="false">H694*I694</f>
        <v>595.64544</v>
      </c>
      <c r="K694" s="8" t="s">
        <v>831</v>
      </c>
    </row>
    <row r="695" customFormat="false" ht="13.8" hidden="false" customHeight="false" outlineLevel="0" collapsed="false">
      <c r="A695" s="8" t="s">
        <v>823</v>
      </c>
      <c r="B695" s="8" t="s">
        <v>42</v>
      </c>
      <c r="C695" s="8" t="s">
        <v>62</v>
      </c>
      <c r="D695" s="8" t="s">
        <v>40</v>
      </c>
      <c r="E695" s="8" t="n">
        <v>2057</v>
      </c>
      <c r="F695" s="8" t="n">
        <v>200</v>
      </c>
      <c r="G695" s="8" t="n">
        <v>16</v>
      </c>
      <c r="H695" s="13" t="n">
        <f aca="false">(E695/1000)*(F695/1000)*(G695/1000)*7850</f>
        <v>51.67184</v>
      </c>
      <c r="I695" s="8" t="n">
        <v>3</v>
      </c>
      <c r="J695" s="14" t="n">
        <f aca="false">H695*I695</f>
        <v>155.01552</v>
      </c>
      <c r="K695" s="8" t="s">
        <v>832</v>
      </c>
    </row>
    <row r="696" customFormat="false" ht="13.8" hidden="false" customHeight="false" outlineLevel="0" collapsed="false">
      <c r="A696" s="8" t="s">
        <v>823</v>
      </c>
      <c r="B696" s="8" t="s">
        <v>42</v>
      </c>
      <c r="C696" s="8" t="s">
        <v>68</v>
      </c>
      <c r="D696" s="8" t="s">
        <v>40</v>
      </c>
      <c r="E696" s="8" t="n">
        <v>800</v>
      </c>
      <c r="F696" s="8" t="n">
        <v>400</v>
      </c>
      <c r="G696" s="8" t="n">
        <v>16</v>
      </c>
      <c r="H696" s="13" t="n">
        <f aca="false">(E696/1000)*(F696/1000)*(G696/1000)*7850</f>
        <v>40.192</v>
      </c>
      <c r="I696" s="8" t="n">
        <v>4</v>
      </c>
      <c r="J696" s="14" t="n">
        <f aca="false">H696*I696</f>
        <v>160.768</v>
      </c>
      <c r="K696" s="8" t="s">
        <v>833</v>
      </c>
    </row>
    <row r="697" customFormat="false" ht="13.8" hidden="false" customHeight="false" outlineLevel="0" collapsed="false">
      <c r="A697" s="8" t="s">
        <v>823</v>
      </c>
      <c r="B697" s="8" t="s">
        <v>508</v>
      </c>
      <c r="C697" s="8" t="s">
        <v>199</v>
      </c>
      <c r="D697" s="8" t="s">
        <v>341</v>
      </c>
      <c r="E697" s="8" t="n">
        <v>7900</v>
      </c>
      <c r="F697" s="8" t="n">
        <v>320</v>
      </c>
      <c r="G697" s="8" t="n">
        <v>32</v>
      </c>
      <c r="H697" s="13" t="n">
        <f aca="false">(E697/1000)*(F697/1000)*(G697/1000)*7850</f>
        <v>635.0336</v>
      </c>
      <c r="I697" s="8" t="n">
        <v>6</v>
      </c>
      <c r="J697" s="14" t="n">
        <f aca="false">H697*I697</f>
        <v>3810.2016</v>
      </c>
      <c r="K697" s="8" t="s">
        <v>834</v>
      </c>
    </row>
    <row r="698" customFormat="false" ht="13.8" hidden="false" customHeight="false" outlineLevel="0" collapsed="false">
      <c r="A698" s="8" t="s">
        <v>823</v>
      </c>
      <c r="B698" s="8" t="s">
        <v>42</v>
      </c>
      <c r="C698" s="8" t="s">
        <v>76</v>
      </c>
      <c r="D698" s="8" t="s">
        <v>40</v>
      </c>
      <c r="E698" s="8" t="n">
        <v>7100</v>
      </c>
      <c r="F698" s="8" t="n">
        <v>280</v>
      </c>
      <c r="G698" s="8" t="n">
        <v>24</v>
      </c>
      <c r="H698" s="13" t="n">
        <f aca="false">(E698/1000)*(F698/1000)*(G698/1000)*7850</f>
        <v>374.5392</v>
      </c>
      <c r="I698" s="8" t="n">
        <v>6</v>
      </c>
      <c r="J698" s="14" t="n">
        <f aca="false">H698*I698</f>
        <v>2247.2352</v>
      </c>
      <c r="K698" s="8" t="s">
        <v>835</v>
      </c>
    </row>
    <row r="699" customFormat="false" ht="13.8" hidden="false" customHeight="false" outlineLevel="0" collapsed="false">
      <c r="A699" s="8" t="s">
        <v>823</v>
      </c>
      <c r="B699" s="8" t="s">
        <v>256</v>
      </c>
      <c r="C699" s="8" t="s">
        <v>96</v>
      </c>
      <c r="D699" s="8" t="s">
        <v>40</v>
      </c>
      <c r="E699" s="8" t="n">
        <v>7900</v>
      </c>
      <c r="F699" s="8" t="n">
        <v>2500</v>
      </c>
      <c r="G699" s="8" t="n">
        <v>24</v>
      </c>
      <c r="H699" s="13" t="n">
        <f aca="false">(E699/1000)*(F699/1000)*(G699/1000)*7850</f>
        <v>3720.9</v>
      </c>
      <c r="I699" s="8" t="n">
        <v>1</v>
      </c>
      <c r="J699" s="14" t="n">
        <f aca="false">H699*I699</f>
        <v>3720.9</v>
      </c>
      <c r="K699" s="8" t="s">
        <v>836</v>
      </c>
    </row>
    <row r="700" customFormat="false" ht="13.8" hidden="false" customHeight="false" outlineLevel="0" collapsed="false">
      <c r="A700" s="8" t="s">
        <v>823</v>
      </c>
      <c r="B700" s="8" t="s">
        <v>42</v>
      </c>
      <c r="C700" s="8" t="s">
        <v>203</v>
      </c>
      <c r="D700" s="8" t="s">
        <v>40</v>
      </c>
      <c r="E700" s="8" t="n">
        <v>7100</v>
      </c>
      <c r="F700" s="8" t="n">
        <v>2500</v>
      </c>
      <c r="G700" s="8" t="n">
        <v>24</v>
      </c>
      <c r="H700" s="13" t="n">
        <f aca="false">(E700/1000)*(F700/1000)*(G700/1000)*7850</f>
        <v>3344.1</v>
      </c>
      <c r="I700" s="8" t="n">
        <v>1</v>
      </c>
      <c r="J700" s="14" t="n">
        <f aca="false">H700*I700</f>
        <v>3344.1</v>
      </c>
      <c r="K700" s="8" t="s">
        <v>837</v>
      </c>
    </row>
    <row r="701" customFormat="false" ht="13.8" hidden="false" customHeight="false" outlineLevel="0" collapsed="false">
      <c r="A701" s="8" t="s">
        <v>823</v>
      </c>
      <c r="B701" s="8" t="s">
        <v>260</v>
      </c>
      <c r="C701" s="8" t="s">
        <v>307</v>
      </c>
      <c r="D701" s="8" t="s">
        <v>40</v>
      </c>
      <c r="G701" s="8" t="n">
        <v>24</v>
      </c>
      <c r="H701" s="13" t="n">
        <f aca="false">M701*(G701/1000)*7850</f>
        <v>2441.664</v>
      </c>
      <c r="I701" s="8" t="n">
        <v>1</v>
      </c>
      <c r="J701" s="14" t="n">
        <f aca="false">H701*I701</f>
        <v>2441.664</v>
      </c>
      <c r="K701" s="8" t="s">
        <v>838</v>
      </c>
      <c r="M701" s="15" t="n">
        <v>12.96</v>
      </c>
    </row>
    <row r="702" customFormat="false" ht="13.8" hidden="false" customHeight="false" outlineLevel="0" collapsed="false">
      <c r="A702" s="8" t="s">
        <v>823</v>
      </c>
      <c r="B702" s="8" t="s">
        <v>42</v>
      </c>
      <c r="C702" s="8" t="s">
        <v>206</v>
      </c>
      <c r="D702" s="8" t="s">
        <v>40</v>
      </c>
      <c r="G702" s="8" t="n">
        <v>24</v>
      </c>
      <c r="H702" s="13" t="n">
        <f aca="false">M702*(G702/1000)*7850</f>
        <v>2096.892</v>
      </c>
      <c r="I702" s="8" t="n">
        <v>1</v>
      </c>
      <c r="J702" s="14" t="n">
        <f aca="false">H702*I702</f>
        <v>2096.892</v>
      </c>
      <c r="K702" s="8" t="s">
        <v>839</v>
      </c>
      <c r="M702" s="15" t="n">
        <v>11.13</v>
      </c>
    </row>
    <row r="703" customFormat="false" ht="13.8" hidden="false" customHeight="false" outlineLevel="0" collapsed="false">
      <c r="A703" s="8" t="s">
        <v>823</v>
      </c>
      <c r="B703" s="8" t="s">
        <v>105</v>
      </c>
      <c r="C703" s="8" t="s">
        <v>103</v>
      </c>
      <c r="D703" s="8" t="s">
        <v>40</v>
      </c>
      <c r="G703" s="8" t="n">
        <v>44</v>
      </c>
      <c r="H703" s="13" t="n">
        <f aca="false">M703*(G703/1000)*7850</f>
        <v>7771.5</v>
      </c>
      <c r="I703" s="8" t="n">
        <v>2</v>
      </c>
      <c r="J703" s="14" t="n">
        <f aca="false">H703*I703</f>
        <v>15543</v>
      </c>
      <c r="K703" s="8" t="s">
        <v>840</v>
      </c>
      <c r="M703" s="15" t="n">
        <v>22.5</v>
      </c>
    </row>
    <row r="704" customFormat="false" ht="13.8" hidden="false" customHeight="false" outlineLevel="0" collapsed="false">
      <c r="A704" s="8" t="s">
        <v>823</v>
      </c>
      <c r="B704" s="8" t="s">
        <v>102</v>
      </c>
      <c r="C704" s="8" t="s">
        <v>264</v>
      </c>
      <c r="D704" s="8" t="s">
        <v>40</v>
      </c>
      <c r="E704" s="8" t="n">
        <v>7300</v>
      </c>
      <c r="F704" s="8" t="n">
        <v>1880</v>
      </c>
      <c r="G704" s="8" t="n">
        <v>32</v>
      </c>
      <c r="H704" s="13" t="n">
        <f aca="false">(E704/1000)*(F704/1000)*(G704/1000)*7850</f>
        <v>3447.4688</v>
      </c>
      <c r="I704" s="8" t="n">
        <v>2</v>
      </c>
      <c r="J704" s="14" t="n">
        <f aca="false">H704*I704</f>
        <v>6894.9376</v>
      </c>
      <c r="K704" s="8" t="s">
        <v>841</v>
      </c>
    </row>
    <row r="705" customFormat="false" ht="13.8" hidden="false" customHeight="false" outlineLevel="0" collapsed="false">
      <c r="A705" s="8" t="s">
        <v>823</v>
      </c>
      <c r="B705" s="8" t="s">
        <v>110</v>
      </c>
      <c r="C705" s="8" t="s">
        <v>108</v>
      </c>
      <c r="D705" s="8" t="s">
        <v>40</v>
      </c>
      <c r="E705" s="8" t="n">
        <v>1800</v>
      </c>
      <c r="F705" s="8" t="n">
        <v>1200</v>
      </c>
      <c r="G705" s="8" t="n">
        <v>16</v>
      </c>
      <c r="H705" s="13" t="n">
        <f aca="false">(E705/1000)*(F705/1000)*(G705/1000)*7850</f>
        <v>271.296</v>
      </c>
      <c r="I705" s="8" t="n">
        <v>3</v>
      </c>
      <c r="J705" s="14" t="n">
        <f aca="false">H705*I705</f>
        <v>813.888</v>
      </c>
      <c r="K705" s="8" t="s">
        <v>842</v>
      </c>
    </row>
    <row r="706" customFormat="false" ht="13.8" hidden="false" customHeight="false" outlineLevel="0" collapsed="false">
      <c r="A706" s="8" t="s">
        <v>823</v>
      </c>
      <c r="B706" s="8" t="s">
        <v>42</v>
      </c>
      <c r="C706" s="8" t="s">
        <v>112</v>
      </c>
      <c r="D706" s="8" t="s">
        <v>40</v>
      </c>
      <c r="E706" s="8" t="n">
        <v>1800</v>
      </c>
      <c r="F706" s="8" t="n">
        <v>1200</v>
      </c>
      <c r="G706" s="8" t="n">
        <v>16</v>
      </c>
      <c r="H706" s="13" t="n">
        <f aca="false">(E706/1000)*(F706/1000)*(G706/1000)*7850</f>
        <v>271.296</v>
      </c>
      <c r="I706" s="8" t="n">
        <v>2</v>
      </c>
      <c r="J706" s="14" t="n">
        <f aca="false">H706*I706</f>
        <v>542.592</v>
      </c>
      <c r="K706" s="8" t="s">
        <v>842</v>
      </c>
    </row>
    <row r="707" customFormat="false" ht="13.8" hidden="false" customHeight="false" outlineLevel="0" collapsed="false">
      <c r="A707" s="8" t="s">
        <v>823</v>
      </c>
      <c r="B707" s="8" t="s">
        <v>42</v>
      </c>
      <c r="C707" s="8" t="s">
        <v>108</v>
      </c>
      <c r="D707" s="8" t="s">
        <v>40</v>
      </c>
      <c r="E707" s="8" t="n">
        <v>2057</v>
      </c>
      <c r="F707" s="8" t="n">
        <v>200</v>
      </c>
      <c r="G707" s="8" t="n">
        <v>16</v>
      </c>
      <c r="H707" s="13" t="n">
        <f aca="false">(E707/1000)*(F707/1000)*(G707/1000)*7850</f>
        <v>51.67184</v>
      </c>
      <c r="I707" s="8" t="n">
        <v>5</v>
      </c>
      <c r="J707" s="14" t="n">
        <f aca="false">H707*I707</f>
        <v>258.3592</v>
      </c>
      <c r="K707" s="8" t="s">
        <v>843</v>
      </c>
    </row>
    <row r="708" customFormat="false" ht="13.8" hidden="false" customHeight="false" outlineLevel="0" collapsed="false">
      <c r="A708" s="8" t="s">
        <v>823</v>
      </c>
      <c r="B708" s="8" t="s">
        <v>518</v>
      </c>
      <c r="C708" s="8" t="s">
        <v>114</v>
      </c>
      <c r="D708" s="8" t="s">
        <v>40</v>
      </c>
      <c r="E708" s="8" t="n">
        <v>7900</v>
      </c>
      <c r="F708" s="8" t="n">
        <v>280</v>
      </c>
      <c r="G708" s="8" t="n">
        <v>24</v>
      </c>
      <c r="H708" s="13" t="n">
        <f aca="false">(E708/1000)*(F708/1000)*(G708/1000)*7850</f>
        <v>416.7408</v>
      </c>
      <c r="I708" s="8" t="n">
        <v>4</v>
      </c>
      <c r="J708" s="14" t="n">
        <f aca="false">H708*I708</f>
        <v>1666.9632</v>
      </c>
      <c r="K708" s="8" t="s">
        <v>844</v>
      </c>
    </row>
    <row r="709" customFormat="false" ht="13.8" hidden="false" customHeight="false" outlineLevel="0" collapsed="false">
      <c r="A709" s="8" t="s">
        <v>823</v>
      </c>
      <c r="B709" s="8" t="s">
        <v>42</v>
      </c>
      <c r="C709" s="8" t="s">
        <v>116</v>
      </c>
      <c r="D709" s="8" t="s">
        <v>40</v>
      </c>
      <c r="E709" s="8" t="n">
        <v>7100</v>
      </c>
      <c r="F709" s="8" t="n">
        <v>320</v>
      </c>
      <c r="G709" s="8" t="n">
        <v>32</v>
      </c>
      <c r="H709" s="13" t="n">
        <f aca="false">(E709/1000)*(F709/1000)*(G709/1000)*7850</f>
        <v>570.7264</v>
      </c>
      <c r="I709" s="8" t="n">
        <v>4</v>
      </c>
      <c r="J709" s="14" t="n">
        <f aca="false">H709*I709</f>
        <v>2282.9056</v>
      </c>
      <c r="K709" s="8" t="s">
        <v>845</v>
      </c>
    </row>
    <row r="710" customFormat="false" ht="13.8" hidden="false" customHeight="false" outlineLevel="0" collapsed="false">
      <c r="A710" s="8" t="s">
        <v>823</v>
      </c>
      <c r="B710" s="8" t="s">
        <v>42</v>
      </c>
      <c r="C710" s="8" t="s">
        <v>118</v>
      </c>
      <c r="D710" s="8" t="s">
        <v>40</v>
      </c>
      <c r="E710" s="8" t="n">
        <v>15000</v>
      </c>
      <c r="F710" s="8" t="n">
        <v>170</v>
      </c>
      <c r="G710" s="8" t="n">
        <v>14</v>
      </c>
      <c r="H710" s="13" t="n">
        <f aca="false">(E710/1000)*(F710/1000)*(G710/1000)*7850</f>
        <v>280.245</v>
      </c>
      <c r="I710" s="8" t="n">
        <v>2</v>
      </c>
      <c r="J710" s="14" t="n">
        <f aca="false">H710*I710</f>
        <v>560.49</v>
      </c>
      <c r="K710" s="8" t="s">
        <v>846</v>
      </c>
    </row>
    <row r="711" customFormat="false" ht="13.8" hidden="false" customHeight="false" outlineLevel="0" collapsed="false">
      <c r="A711" s="8" t="s">
        <v>823</v>
      </c>
      <c r="B711" s="8" t="s">
        <v>272</v>
      </c>
      <c r="C711" s="8" t="s">
        <v>125</v>
      </c>
      <c r="D711" s="8" t="s">
        <v>40</v>
      </c>
      <c r="E711" s="8" t="n">
        <v>11322</v>
      </c>
      <c r="F711" s="8" t="n">
        <v>1200</v>
      </c>
      <c r="G711" s="8" t="n">
        <v>36</v>
      </c>
      <c r="H711" s="13" t="n">
        <f aca="false">(E711/1000)*(F711/1000)*(G711/1000)*7850</f>
        <v>3839.51664</v>
      </c>
      <c r="I711" s="8" t="n">
        <v>1</v>
      </c>
      <c r="J711" s="14" t="n">
        <f aca="false">H711*I711</f>
        <v>3839.51664</v>
      </c>
      <c r="K711" s="8" t="s">
        <v>847</v>
      </c>
    </row>
    <row r="712" customFormat="false" ht="13.8" hidden="false" customHeight="false" outlineLevel="0" collapsed="false">
      <c r="A712" s="8" t="s">
        <v>823</v>
      </c>
      <c r="B712" s="8" t="s">
        <v>42</v>
      </c>
      <c r="C712" s="8" t="s">
        <v>467</v>
      </c>
      <c r="D712" s="8" t="s">
        <v>40</v>
      </c>
      <c r="E712" s="8" t="n">
        <v>11222</v>
      </c>
      <c r="F712" s="8" t="n">
        <v>1200</v>
      </c>
      <c r="G712" s="8" t="n">
        <v>36</v>
      </c>
      <c r="H712" s="13" t="n">
        <f aca="false">(E712/1000)*(F712/1000)*(G712/1000)*7850</f>
        <v>3805.60464</v>
      </c>
      <c r="I712" s="8" t="n">
        <v>1</v>
      </c>
      <c r="J712" s="14" t="n">
        <f aca="false">H712*I712</f>
        <v>3805.60464</v>
      </c>
      <c r="K712" s="8" t="s">
        <v>848</v>
      </c>
    </row>
    <row r="713" customFormat="false" ht="13.8" hidden="false" customHeight="false" outlineLevel="0" collapsed="false">
      <c r="A713" s="8" t="s">
        <v>823</v>
      </c>
      <c r="B713" s="8" t="s">
        <v>42</v>
      </c>
      <c r="C713" s="8" t="s">
        <v>128</v>
      </c>
      <c r="D713" s="8" t="s">
        <v>40</v>
      </c>
      <c r="E713" s="8" t="n">
        <v>7322</v>
      </c>
      <c r="F713" s="8" t="n">
        <v>1360</v>
      </c>
      <c r="G713" s="8" t="n">
        <v>36</v>
      </c>
      <c r="H713" s="13" t="n">
        <f aca="false">(E713/1000)*(F713/1000)*(G713/1000)*7850</f>
        <v>2814.108192</v>
      </c>
      <c r="I713" s="8" t="n">
        <v>2</v>
      </c>
      <c r="J713" s="14" t="n">
        <f aca="false">H713*I713</f>
        <v>5628.216384</v>
      </c>
      <c r="K713" s="8" t="s">
        <v>849</v>
      </c>
    </row>
    <row r="714" customFormat="false" ht="13.8" hidden="false" customHeight="false" outlineLevel="0" collapsed="false">
      <c r="A714" s="8" t="s">
        <v>823</v>
      </c>
      <c r="B714" s="8" t="s">
        <v>42</v>
      </c>
      <c r="C714" s="8" t="s">
        <v>130</v>
      </c>
      <c r="D714" s="8" t="s">
        <v>40</v>
      </c>
      <c r="E714" s="8" t="n">
        <v>7322</v>
      </c>
      <c r="F714" s="8" t="n">
        <v>320</v>
      </c>
      <c r="G714" s="8" t="n">
        <v>32</v>
      </c>
      <c r="H714" s="13" t="n">
        <f aca="false">(E714/1000)*(F714/1000)*(G714/1000)*7850</f>
        <v>588.571648</v>
      </c>
      <c r="I714" s="8" t="n">
        <v>2</v>
      </c>
      <c r="J714" s="14" t="n">
        <f aca="false">H714*I714</f>
        <v>1177.143296</v>
      </c>
      <c r="K714" s="8" t="s">
        <v>850</v>
      </c>
    </row>
    <row r="715" customFormat="false" ht="13.8" hidden="false" customHeight="false" outlineLevel="0" collapsed="false">
      <c r="A715" s="8" t="s">
        <v>823</v>
      </c>
      <c r="B715" s="8" t="s">
        <v>42</v>
      </c>
      <c r="C715" s="8" t="s">
        <v>135</v>
      </c>
      <c r="D715" s="8" t="s">
        <v>40</v>
      </c>
      <c r="E715" s="8" t="n">
        <v>1200</v>
      </c>
      <c r="F715" s="8" t="n">
        <v>1200</v>
      </c>
      <c r="G715" s="8" t="n">
        <v>16</v>
      </c>
      <c r="H715" s="13" t="n">
        <f aca="false">(E715/1000)*(F715/1000)*(G715/1000)*7850</f>
        <v>180.864</v>
      </c>
      <c r="I715" s="8" t="n">
        <v>3</v>
      </c>
      <c r="J715" s="14" t="n">
        <f aca="false">H715*I715</f>
        <v>542.592</v>
      </c>
      <c r="K715" s="8" t="s">
        <v>851</v>
      </c>
    </row>
    <row r="716" customFormat="false" ht="13.8" hidden="false" customHeight="false" outlineLevel="0" collapsed="false">
      <c r="A716" s="8" t="s">
        <v>823</v>
      </c>
      <c r="B716" s="8" t="s">
        <v>42</v>
      </c>
      <c r="C716" s="8" t="s">
        <v>137</v>
      </c>
      <c r="D716" s="8" t="s">
        <v>40</v>
      </c>
      <c r="E716" s="8" t="n">
        <v>5440</v>
      </c>
      <c r="F716" s="8" t="n">
        <v>1200</v>
      </c>
      <c r="G716" s="8" t="n">
        <v>48</v>
      </c>
      <c r="H716" s="13" t="n">
        <f aca="false">(E716/1000)*(F716/1000)*(G716/1000)*7850</f>
        <v>2459.7504</v>
      </c>
      <c r="I716" s="8" t="n">
        <v>1</v>
      </c>
      <c r="J716" s="14" t="n">
        <f aca="false">H716*I716</f>
        <v>2459.7504</v>
      </c>
      <c r="K716" s="8" t="s">
        <v>852</v>
      </c>
    </row>
    <row r="717" customFormat="false" ht="13.8" hidden="false" customHeight="false" outlineLevel="0" collapsed="false">
      <c r="A717" s="8" t="s">
        <v>823</v>
      </c>
      <c r="B717" s="8" t="s">
        <v>42</v>
      </c>
      <c r="C717" s="8" t="s">
        <v>139</v>
      </c>
      <c r="D717" s="8" t="s">
        <v>289</v>
      </c>
      <c r="E717" s="8" t="n">
        <v>5740</v>
      </c>
      <c r="F717" s="8" t="n">
        <v>1200</v>
      </c>
      <c r="G717" s="8" t="n">
        <v>48</v>
      </c>
      <c r="H717" s="13" t="n">
        <f aca="false">(E717/1000)*(F717/1000)*(G717/1000)*7850</f>
        <v>2595.3984</v>
      </c>
      <c r="I717" s="8" t="n">
        <v>1</v>
      </c>
      <c r="J717" s="14" t="n">
        <f aca="false">H717*I717</f>
        <v>2595.3984</v>
      </c>
      <c r="K717" s="8" t="s">
        <v>853</v>
      </c>
    </row>
    <row r="718" customFormat="false" ht="13.8" hidden="false" customHeight="false" outlineLevel="0" collapsed="false">
      <c r="A718" s="8" t="s">
        <v>823</v>
      </c>
      <c r="B718" s="8" t="s">
        <v>42</v>
      </c>
      <c r="C718" s="8" t="s">
        <v>141</v>
      </c>
      <c r="D718" s="8" t="s">
        <v>289</v>
      </c>
      <c r="E718" s="8" t="n">
        <v>3640</v>
      </c>
      <c r="F718" s="8" t="n">
        <v>1760</v>
      </c>
      <c r="G718" s="8" t="n">
        <v>48</v>
      </c>
      <c r="H718" s="13" t="n">
        <f aca="false">(E718/1000)*(F718/1000)*(G718/1000)*7850</f>
        <v>2413.93152</v>
      </c>
      <c r="I718" s="8" t="n">
        <v>2</v>
      </c>
      <c r="J718" s="14" t="n">
        <f aca="false">H718*I718</f>
        <v>4827.86304</v>
      </c>
      <c r="K718" s="8" t="s">
        <v>854</v>
      </c>
    </row>
    <row r="719" customFormat="false" ht="13.8" hidden="false" customHeight="false" outlineLevel="0" collapsed="false">
      <c r="A719" s="8" t="s">
        <v>823</v>
      </c>
      <c r="B719" s="8" t="s">
        <v>42</v>
      </c>
      <c r="C719" s="8" t="s">
        <v>143</v>
      </c>
      <c r="D719" s="8" t="s">
        <v>40</v>
      </c>
      <c r="E719" s="8" t="n">
        <v>3640</v>
      </c>
      <c r="F719" s="8" t="n">
        <v>320</v>
      </c>
      <c r="G719" s="8" t="n">
        <v>32</v>
      </c>
      <c r="H719" s="13" t="n">
        <f aca="false">(E719/1000)*(F719/1000)*(G719/1000)*7850</f>
        <v>292.59776</v>
      </c>
      <c r="I719" s="8" t="n">
        <v>4</v>
      </c>
      <c r="J719" s="14" t="n">
        <f aca="false">H719*I719</f>
        <v>1170.39104</v>
      </c>
      <c r="K719" s="8" t="s">
        <v>855</v>
      </c>
    </row>
    <row r="720" customFormat="false" ht="13.8" hidden="false" customHeight="false" outlineLevel="0" collapsed="false">
      <c r="A720" s="8" t="s">
        <v>823</v>
      </c>
      <c r="B720" s="8" t="s">
        <v>42</v>
      </c>
      <c r="C720" s="8" t="s">
        <v>326</v>
      </c>
      <c r="D720" s="8" t="s">
        <v>40</v>
      </c>
      <c r="E720" s="8" t="n">
        <v>4740</v>
      </c>
      <c r="F720" s="8" t="n">
        <v>320</v>
      </c>
      <c r="G720" s="8" t="n">
        <v>32</v>
      </c>
      <c r="H720" s="13" t="n">
        <f aca="false">(E720/1000)*(F720/1000)*(G720/1000)*7850</f>
        <v>381.02016</v>
      </c>
      <c r="I720" s="8" t="n">
        <v>1</v>
      </c>
      <c r="J720" s="14" t="n">
        <f aca="false">H720*I720</f>
        <v>381.02016</v>
      </c>
      <c r="K720" s="8" t="s">
        <v>856</v>
      </c>
    </row>
    <row r="721" customFormat="false" ht="13.8" hidden="false" customHeight="false" outlineLevel="0" collapsed="false">
      <c r="A721" s="8" t="s">
        <v>823</v>
      </c>
      <c r="B721" s="8" t="s">
        <v>42</v>
      </c>
      <c r="C721" s="8" t="s">
        <v>147</v>
      </c>
      <c r="D721" s="8" t="s">
        <v>40</v>
      </c>
      <c r="E721" s="8" t="n">
        <v>5040</v>
      </c>
      <c r="F721" s="8" t="n">
        <v>320</v>
      </c>
      <c r="G721" s="8" t="n">
        <v>32</v>
      </c>
      <c r="H721" s="13" t="n">
        <f aca="false">(E721/1000)*(F721/1000)*(G721/1000)*7850</f>
        <v>405.13536</v>
      </c>
      <c r="I721" s="8" t="n">
        <v>1</v>
      </c>
      <c r="J721" s="14" t="n">
        <f aca="false">H721*I721</f>
        <v>405.13536</v>
      </c>
      <c r="K721" s="8" t="s">
        <v>857</v>
      </c>
    </row>
    <row r="722" customFormat="false" ht="13.8" hidden="false" customHeight="false" outlineLevel="0" collapsed="false">
      <c r="A722" s="8" t="s">
        <v>823</v>
      </c>
      <c r="B722" s="8" t="s">
        <v>42</v>
      </c>
      <c r="C722" s="8" t="s">
        <v>149</v>
      </c>
      <c r="D722" s="8" t="s">
        <v>40</v>
      </c>
      <c r="E722" s="8" t="n">
        <v>1200</v>
      </c>
      <c r="F722" s="8" t="n">
        <v>1600</v>
      </c>
      <c r="G722" s="8" t="n">
        <v>16</v>
      </c>
      <c r="H722" s="13" t="n">
        <f aca="false">(E722/1000)*(F722/1000)*(G722/1000)*7850</f>
        <v>241.152</v>
      </c>
      <c r="I722" s="8" t="n">
        <v>2</v>
      </c>
      <c r="J722" s="14" t="n">
        <f aca="false">H722*I722</f>
        <v>482.304</v>
      </c>
      <c r="K722" s="8" t="s">
        <v>858</v>
      </c>
    </row>
    <row r="723" customFormat="false" ht="13.8" hidden="false" customHeight="false" outlineLevel="0" collapsed="false">
      <c r="A723" s="8" t="s">
        <v>823</v>
      </c>
      <c r="B723" s="8" t="s">
        <v>171</v>
      </c>
      <c r="C723" s="8" t="s">
        <v>150</v>
      </c>
      <c r="D723" s="8" t="s">
        <v>40</v>
      </c>
      <c r="E723" s="8" t="n">
        <v>5858</v>
      </c>
      <c r="F723" s="8" t="n">
        <v>1200</v>
      </c>
      <c r="G723" s="8" t="n">
        <v>48</v>
      </c>
      <c r="H723" s="13" t="n">
        <f aca="false">(E723/1000)*(F723/1000)*(G723/1000)*7850</f>
        <v>2648.75328</v>
      </c>
      <c r="I723" s="8" t="n">
        <v>1</v>
      </c>
      <c r="J723" s="14" t="n">
        <f aca="false">H723*I723</f>
        <v>2648.75328</v>
      </c>
      <c r="K723" s="8" t="s">
        <v>859</v>
      </c>
    </row>
    <row r="724" customFormat="false" ht="13.8" hidden="false" customHeight="false" outlineLevel="0" collapsed="false">
      <c r="A724" s="8" t="s">
        <v>823</v>
      </c>
      <c r="B724" s="8" t="s">
        <v>42</v>
      </c>
      <c r="C724" s="8" t="s">
        <v>152</v>
      </c>
      <c r="D724" s="8" t="s">
        <v>40</v>
      </c>
      <c r="E724" s="8" t="n">
        <v>5458</v>
      </c>
      <c r="F724" s="8" t="n">
        <v>1200</v>
      </c>
      <c r="G724" s="8" t="n">
        <v>48</v>
      </c>
      <c r="H724" s="13" t="n">
        <f aca="false">(E724/1000)*(F724/1000)*(G724/1000)*7850</f>
        <v>2467.88928</v>
      </c>
      <c r="I724" s="8" t="n">
        <v>1</v>
      </c>
      <c r="J724" s="14" t="n">
        <f aca="false">H724*I724</f>
        <v>2467.88928</v>
      </c>
      <c r="K724" s="8" t="s">
        <v>860</v>
      </c>
    </row>
    <row r="725" customFormat="false" ht="13.8" hidden="false" customHeight="false" outlineLevel="0" collapsed="false">
      <c r="A725" s="8" t="s">
        <v>823</v>
      </c>
      <c r="B725" s="8" t="s">
        <v>42</v>
      </c>
      <c r="C725" s="8" t="s">
        <v>155</v>
      </c>
      <c r="D725" s="8" t="s">
        <v>40</v>
      </c>
      <c r="E725" s="8" t="n">
        <v>3658</v>
      </c>
      <c r="F725" s="8" t="n">
        <v>1360</v>
      </c>
      <c r="G725" s="8" t="n">
        <v>48</v>
      </c>
      <c r="H725" s="13" t="n">
        <f aca="false">(E725/1000)*(F725/1000)*(G725/1000)*7850</f>
        <v>1874.534784</v>
      </c>
      <c r="I725" s="8" t="n">
        <v>2</v>
      </c>
      <c r="J725" s="14" t="n">
        <f aca="false">H725*I725</f>
        <v>3749.069568</v>
      </c>
      <c r="K725" s="8" t="s">
        <v>861</v>
      </c>
    </row>
    <row r="726" customFormat="false" ht="13.8" hidden="false" customHeight="false" outlineLevel="0" collapsed="false">
      <c r="A726" s="8" t="s">
        <v>823</v>
      </c>
      <c r="B726" s="8" t="s">
        <v>42</v>
      </c>
      <c r="C726" s="8" t="s">
        <v>160</v>
      </c>
      <c r="D726" s="8" t="s">
        <v>40</v>
      </c>
      <c r="E726" s="8" t="n">
        <v>3658</v>
      </c>
      <c r="F726" s="8" t="n">
        <v>320</v>
      </c>
      <c r="G726" s="8" t="n">
        <v>32</v>
      </c>
      <c r="H726" s="13" t="n">
        <f aca="false">(E726/1000)*(F726/1000)*(G726/1000)*7850</f>
        <v>294.044672</v>
      </c>
      <c r="I726" s="8" t="n">
        <v>2</v>
      </c>
      <c r="J726" s="14" t="n">
        <f aca="false">H726*I726</f>
        <v>588.089344</v>
      </c>
      <c r="K726" s="8" t="s">
        <v>862</v>
      </c>
    </row>
    <row r="727" customFormat="false" ht="13.8" hidden="false" customHeight="false" outlineLevel="0" collapsed="false">
      <c r="A727" s="8" t="s">
        <v>823</v>
      </c>
      <c r="B727" s="8" t="s">
        <v>42</v>
      </c>
      <c r="C727" s="8" t="s">
        <v>863</v>
      </c>
      <c r="D727" s="8" t="s">
        <v>40</v>
      </c>
      <c r="E727" s="8" t="n">
        <v>5158</v>
      </c>
      <c r="F727" s="8" t="n">
        <v>320</v>
      </c>
      <c r="G727" s="8" t="n">
        <v>32</v>
      </c>
      <c r="H727" s="13" t="n">
        <f aca="false">(E727/1000)*(F727/1000)*(G727/1000)*7850</f>
        <v>414.620672</v>
      </c>
      <c r="I727" s="8" t="n">
        <v>1</v>
      </c>
      <c r="J727" s="14" t="n">
        <f aca="false">H727*I727</f>
        <v>414.620672</v>
      </c>
      <c r="K727" s="8" t="s">
        <v>864</v>
      </c>
    </row>
    <row r="728" customFormat="false" ht="13.8" hidden="false" customHeight="false" outlineLevel="0" collapsed="false">
      <c r="A728" s="8" t="s">
        <v>823</v>
      </c>
      <c r="B728" s="8" t="s">
        <v>42</v>
      </c>
      <c r="C728" s="8" t="s">
        <v>165</v>
      </c>
      <c r="D728" s="8" t="s">
        <v>40</v>
      </c>
      <c r="E728" s="8" t="n">
        <v>4758</v>
      </c>
      <c r="F728" s="8" t="n">
        <v>320</v>
      </c>
      <c r="G728" s="8" t="n">
        <v>32</v>
      </c>
      <c r="H728" s="13" t="n">
        <f aca="false">(E728/1000)*(F728/1000)*(G728/1000)*7850</f>
        <v>382.467072</v>
      </c>
      <c r="I728" s="8" t="n">
        <v>1</v>
      </c>
      <c r="J728" s="14" t="n">
        <f aca="false">H728*I728</f>
        <v>382.467072</v>
      </c>
      <c r="K728" s="8" t="s">
        <v>865</v>
      </c>
    </row>
    <row r="729" customFormat="false" ht="13.8" hidden="false" customHeight="false" outlineLevel="0" collapsed="false">
      <c r="A729" s="8" t="s">
        <v>823</v>
      </c>
      <c r="B729" s="8" t="s">
        <v>42</v>
      </c>
      <c r="C729" s="8" t="s">
        <v>158</v>
      </c>
      <c r="D729" s="8" t="s">
        <v>40</v>
      </c>
      <c r="E729" s="8" t="n">
        <v>1200</v>
      </c>
      <c r="F729" s="8" t="n">
        <v>1200</v>
      </c>
      <c r="G729" s="8" t="n">
        <v>16</v>
      </c>
      <c r="H729" s="13" t="n">
        <f aca="false">(E729/1000)*(F729/1000)*(G729/1000)*7850</f>
        <v>180.864</v>
      </c>
      <c r="I729" s="8" t="n">
        <v>2</v>
      </c>
      <c r="J729" s="14" t="n">
        <f aca="false">H729*I729</f>
        <v>361.728</v>
      </c>
      <c r="K729" s="8" t="s">
        <v>851</v>
      </c>
    </row>
    <row r="730" customFormat="false" ht="13.8" hidden="false" customHeight="false" outlineLevel="0" collapsed="false">
      <c r="A730" s="8" t="s">
        <v>823</v>
      </c>
      <c r="B730" s="8" t="s">
        <v>42</v>
      </c>
      <c r="C730" s="8" t="s">
        <v>230</v>
      </c>
      <c r="D730" s="8" t="s">
        <v>40</v>
      </c>
      <c r="E730" s="8" t="n">
        <v>2100</v>
      </c>
      <c r="F730" s="8" t="n">
        <v>320</v>
      </c>
      <c r="G730" s="8" t="n">
        <v>32</v>
      </c>
      <c r="H730" s="13" t="n">
        <f aca="false">(E730/1000)*(F730/1000)*(G730/1000)*7850</f>
        <v>168.8064</v>
      </c>
      <c r="I730" s="8" t="n">
        <v>6</v>
      </c>
      <c r="J730" s="14" t="n">
        <f aca="false">H730*I730</f>
        <v>1012.8384</v>
      </c>
      <c r="K730" s="8" t="s">
        <v>866</v>
      </c>
    </row>
    <row r="731" customFormat="false" ht="13.8" hidden="false" customHeight="false" outlineLevel="0" collapsed="false">
      <c r="A731" s="8" t="s">
        <v>823</v>
      </c>
      <c r="B731" s="8" t="s">
        <v>42</v>
      </c>
      <c r="C731" s="8" t="s">
        <v>388</v>
      </c>
      <c r="D731" s="8" t="s">
        <v>40</v>
      </c>
      <c r="E731" s="8" t="n">
        <v>2200</v>
      </c>
      <c r="F731" s="8" t="n">
        <v>320</v>
      </c>
      <c r="G731" s="8" t="n">
        <v>32</v>
      </c>
      <c r="H731" s="13" t="n">
        <f aca="false">(E731/1000)*(F731/1000)*(G731/1000)*7850</f>
        <v>176.8448</v>
      </c>
      <c r="I731" s="8" t="n">
        <v>4</v>
      </c>
      <c r="J731" s="14" t="n">
        <f aca="false">H731*I731</f>
        <v>707.3792</v>
      </c>
      <c r="K731" s="8" t="s">
        <v>867</v>
      </c>
    </row>
    <row r="732" customFormat="false" ht="13.8" hidden="false" customHeight="false" outlineLevel="0" collapsed="false">
      <c r="A732" s="8" t="s">
        <v>823</v>
      </c>
      <c r="B732" s="8" t="s">
        <v>64</v>
      </c>
      <c r="C732" s="8" t="s">
        <v>167</v>
      </c>
      <c r="D732" s="8" t="s">
        <v>40</v>
      </c>
      <c r="E732" s="8" t="n">
        <v>1960</v>
      </c>
      <c r="F732" s="8" t="n">
        <v>602</v>
      </c>
      <c r="G732" s="8" t="n">
        <v>14</v>
      </c>
      <c r="H732" s="13" t="n">
        <f aca="false">(E732/1000)*(F732/1000)*(G732/1000)*7850</f>
        <v>129.673208</v>
      </c>
      <c r="I732" s="8" t="n">
        <v>6</v>
      </c>
      <c r="J732" s="14" t="n">
        <f aca="false">H732*I732</f>
        <v>778.039248</v>
      </c>
      <c r="K732" s="8" t="s">
        <v>868</v>
      </c>
    </row>
    <row r="733" customFormat="false" ht="13.8" hidden="false" customHeight="false" outlineLevel="0" collapsed="false">
      <c r="A733" s="8" t="s">
        <v>823</v>
      </c>
      <c r="B733" s="8" t="s">
        <v>42</v>
      </c>
      <c r="C733" s="8" t="s">
        <v>233</v>
      </c>
      <c r="D733" s="8" t="s">
        <v>40</v>
      </c>
      <c r="E733" s="8" t="n">
        <v>1976</v>
      </c>
      <c r="F733" s="8" t="n">
        <v>618</v>
      </c>
      <c r="G733" s="8" t="n">
        <v>14</v>
      </c>
      <c r="H733" s="13" t="n">
        <f aca="false">(E733/1000)*(F733/1000)*(G733/1000)*7850</f>
        <v>134.2063632</v>
      </c>
      <c r="I733" s="8" t="n">
        <v>4</v>
      </c>
      <c r="J733" s="14" t="n">
        <f aca="false">H733*I733</f>
        <v>536.8254528</v>
      </c>
      <c r="K733" s="8" t="s">
        <v>869</v>
      </c>
    </row>
    <row r="734" customFormat="false" ht="13.8" hidden="false" customHeight="false" outlineLevel="0" collapsed="false">
      <c r="A734" s="8" t="s">
        <v>823</v>
      </c>
      <c r="B734" s="8" t="s">
        <v>42</v>
      </c>
      <c r="C734" s="8" t="s">
        <v>169</v>
      </c>
      <c r="D734" s="8" t="s">
        <v>40</v>
      </c>
      <c r="G734" s="8" t="n">
        <v>24</v>
      </c>
      <c r="H734" s="13" t="n">
        <f aca="false">M734*(G734/1000)*7850</f>
        <v>88.548</v>
      </c>
      <c r="I734" s="8" t="n">
        <v>6</v>
      </c>
      <c r="J734" s="14" t="n">
        <f aca="false">H734*I734</f>
        <v>531.288</v>
      </c>
      <c r="K734" s="8" t="s">
        <v>870</v>
      </c>
      <c r="M734" s="15" t="n">
        <v>0.47</v>
      </c>
    </row>
    <row r="735" customFormat="false" ht="13.8" hidden="false" customHeight="false" outlineLevel="0" collapsed="false">
      <c r="A735" s="8" t="s">
        <v>823</v>
      </c>
      <c r="B735" s="8" t="s">
        <v>42</v>
      </c>
      <c r="C735" s="8" t="s">
        <v>236</v>
      </c>
      <c r="D735" s="8" t="s">
        <v>40</v>
      </c>
      <c r="G735" s="8" t="n">
        <v>24</v>
      </c>
      <c r="H735" s="13" t="n">
        <f aca="false">M735*(G735/1000)*7850</f>
        <v>90.432</v>
      </c>
      <c r="I735" s="8" t="n">
        <v>4</v>
      </c>
      <c r="J735" s="14" t="n">
        <f aca="false">H735*I735</f>
        <v>361.728</v>
      </c>
      <c r="K735" s="8" t="s">
        <v>871</v>
      </c>
      <c r="M735" s="15" t="n">
        <v>0.48</v>
      </c>
    </row>
    <row r="736" customFormat="false" ht="13.8" hidden="false" customHeight="false" outlineLevel="0" collapsed="false">
      <c r="A736" s="8" t="s">
        <v>823</v>
      </c>
      <c r="B736" s="8" t="s">
        <v>42</v>
      </c>
      <c r="C736" s="8" t="s">
        <v>172</v>
      </c>
      <c r="D736" s="8" t="s">
        <v>40</v>
      </c>
      <c r="E736" s="8" t="n">
        <v>1800</v>
      </c>
      <c r="F736" s="8" t="n">
        <v>606</v>
      </c>
      <c r="G736" s="8" t="n">
        <v>14</v>
      </c>
      <c r="H736" s="13" t="n">
        <f aca="false">(E736/1000)*(F736/1000)*(G736/1000)*7850</f>
        <v>119.87892</v>
      </c>
      <c r="I736" s="8" t="n">
        <v>6</v>
      </c>
      <c r="J736" s="14" t="n">
        <f aca="false">H736*I736</f>
        <v>719.27352</v>
      </c>
      <c r="K736" s="8" t="s">
        <v>872</v>
      </c>
    </row>
    <row r="737" customFormat="false" ht="13.8" hidden="false" customHeight="false" outlineLevel="0" collapsed="false">
      <c r="A737" s="8" t="s">
        <v>823</v>
      </c>
      <c r="B737" s="8" t="s">
        <v>42</v>
      </c>
      <c r="C737" s="8" t="s">
        <v>546</v>
      </c>
      <c r="D737" s="8" t="s">
        <v>40</v>
      </c>
      <c r="E737" s="8" t="n">
        <v>1800</v>
      </c>
      <c r="F737" s="8" t="n">
        <v>618</v>
      </c>
      <c r="G737" s="8" t="n">
        <v>14</v>
      </c>
      <c r="H737" s="13" t="n">
        <f aca="false">(E737/1000)*(F737/1000)*(G737/1000)*7850</f>
        <v>122.25276</v>
      </c>
      <c r="I737" s="8" t="n">
        <v>4</v>
      </c>
      <c r="J737" s="14" t="n">
        <f aca="false">H737*I737</f>
        <v>489.01104</v>
      </c>
      <c r="K737" s="8" t="s">
        <v>873</v>
      </c>
    </row>
    <row r="738" customFormat="false" ht="13.8" hidden="false" customHeight="false" outlineLevel="0" collapsed="false">
      <c r="A738" s="8" t="s">
        <v>874</v>
      </c>
      <c r="B738" s="8" t="s">
        <v>38</v>
      </c>
      <c r="C738" s="8" t="s">
        <v>179</v>
      </c>
      <c r="D738" s="8" t="s">
        <v>341</v>
      </c>
      <c r="G738" s="8" t="n">
        <v>40</v>
      </c>
      <c r="H738" s="13" t="n">
        <f aca="false">M738*(G738/1000)*7850</f>
        <v>4797.92</v>
      </c>
      <c r="I738" s="8" t="n">
        <v>1</v>
      </c>
      <c r="J738" s="14" t="n">
        <f aca="false">H738*I738</f>
        <v>4797.92</v>
      </c>
      <c r="K738" s="8" t="s">
        <v>875</v>
      </c>
      <c r="M738" s="15" t="n">
        <v>15.28</v>
      </c>
    </row>
    <row r="739" customFormat="false" ht="13.8" hidden="false" customHeight="false" outlineLevel="0" collapsed="false">
      <c r="A739" s="8" t="s">
        <v>874</v>
      </c>
      <c r="B739" s="8" t="s">
        <v>42</v>
      </c>
      <c r="C739" s="8" t="s">
        <v>243</v>
      </c>
      <c r="D739" s="8" t="s">
        <v>341</v>
      </c>
      <c r="G739" s="8" t="n">
        <v>40</v>
      </c>
      <c r="H739" s="13" t="n">
        <f aca="false">M739*(G739/1000)*7850</f>
        <v>4226.44</v>
      </c>
      <c r="I739" s="8" t="n">
        <v>1</v>
      </c>
      <c r="J739" s="14" t="n">
        <f aca="false">H739*I739</f>
        <v>4226.44</v>
      </c>
      <c r="K739" s="8" t="s">
        <v>876</v>
      </c>
      <c r="M739" s="15" t="n">
        <v>13.46</v>
      </c>
    </row>
    <row r="740" customFormat="false" ht="13.8" hidden="false" customHeight="false" outlineLevel="0" collapsed="false">
      <c r="A740" s="8" t="s">
        <v>874</v>
      </c>
      <c r="B740" s="8" t="s">
        <v>45</v>
      </c>
      <c r="C740" s="8" t="s">
        <v>292</v>
      </c>
      <c r="D740" s="8" t="s">
        <v>341</v>
      </c>
      <c r="E740" s="8" t="n">
        <v>7900</v>
      </c>
      <c r="F740" s="8" t="n">
        <v>1200</v>
      </c>
      <c r="G740" s="8" t="n">
        <v>40</v>
      </c>
      <c r="H740" s="13" t="n">
        <f aca="false">(E740/1000)*(F740/1000)*(G740/1000)*7850</f>
        <v>2976.72</v>
      </c>
      <c r="I740" s="8" t="n">
        <v>1</v>
      </c>
      <c r="J740" s="14" t="n">
        <f aca="false">H740*I740</f>
        <v>2976.72</v>
      </c>
      <c r="K740" s="8" t="s">
        <v>877</v>
      </c>
    </row>
    <row r="741" customFormat="false" ht="13.8" hidden="false" customHeight="false" outlineLevel="0" collapsed="false">
      <c r="A741" s="8" t="s">
        <v>874</v>
      </c>
      <c r="B741" s="8" t="s">
        <v>42</v>
      </c>
      <c r="C741" s="8" t="s">
        <v>345</v>
      </c>
      <c r="D741" s="8" t="s">
        <v>341</v>
      </c>
      <c r="E741" s="8" t="n">
        <v>6950</v>
      </c>
      <c r="F741" s="8" t="n">
        <v>1200</v>
      </c>
      <c r="G741" s="8" t="n">
        <v>40</v>
      </c>
      <c r="H741" s="13" t="n">
        <f aca="false">(E741/1000)*(F741/1000)*(G741/1000)*7850</f>
        <v>2618.76</v>
      </c>
      <c r="I741" s="8" t="n">
        <v>1</v>
      </c>
      <c r="J741" s="14" t="n">
        <f aca="false">H741*I741</f>
        <v>2618.76</v>
      </c>
      <c r="K741" s="8" t="s">
        <v>878</v>
      </c>
    </row>
    <row r="742" customFormat="false" ht="13.8" hidden="false" customHeight="false" outlineLevel="0" collapsed="false">
      <c r="A742" s="8" t="s">
        <v>874</v>
      </c>
      <c r="B742" s="8" t="s">
        <v>187</v>
      </c>
      <c r="C742" s="8" t="s">
        <v>188</v>
      </c>
      <c r="D742" s="8" t="s">
        <v>341</v>
      </c>
      <c r="G742" s="8" t="n">
        <v>44</v>
      </c>
      <c r="H742" s="13" t="n">
        <f aca="false">M742*(G742/1000)*7850</f>
        <v>9170.37</v>
      </c>
      <c r="I742" s="8" t="n">
        <v>2</v>
      </c>
      <c r="J742" s="14" t="n">
        <f aca="false">H742*I742</f>
        <v>18340.74</v>
      </c>
      <c r="K742" s="8" t="s">
        <v>879</v>
      </c>
      <c r="M742" s="15" t="n">
        <v>26.55</v>
      </c>
    </row>
    <row r="743" customFormat="false" ht="13.8" hidden="false" customHeight="false" outlineLevel="0" collapsed="false">
      <c r="A743" s="8" t="s">
        <v>874</v>
      </c>
      <c r="B743" s="8" t="s">
        <v>190</v>
      </c>
      <c r="C743" s="8" t="s">
        <v>50</v>
      </c>
      <c r="D743" s="8" t="s">
        <v>341</v>
      </c>
      <c r="E743" s="8" t="n">
        <v>7150</v>
      </c>
      <c r="F743" s="8" t="n">
        <v>2048</v>
      </c>
      <c r="G743" s="8" t="n">
        <v>48</v>
      </c>
      <c r="H743" s="13" t="n">
        <f aca="false">(E743/1000)*(F743/1000)*(G743/1000)*7850</f>
        <v>5517.55776</v>
      </c>
      <c r="I743" s="8" t="n">
        <v>2</v>
      </c>
      <c r="J743" s="14" t="n">
        <f aca="false">H743*I743</f>
        <v>11035.11552</v>
      </c>
      <c r="K743" s="8" t="s">
        <v>880</v>
      </c>
    </row>
    <row r="744" customFormat="false" ht="13.8" hidden="false" customHeight="false" outlineLevel="0" collapsed="false">
      <c r="A744" s="8" t="s">
        <v>874</v>
      </c>
      <c r="B744" s="8" t="s">
        <v>195</v>
      </c>
      <c r="C744" s="8" t="s">
        <v>58</v>
      </c>
      <c r="D744" s="8" t="s">
        <v>341</v>
      </c>
      <c r="E744" s="8" t="n">
        <v>1960</v>
      </c>
      <c r="F744" s="8" t="n">
        <v>1200</v>
      </c>
      <c r="G744" s="8" t="n">
        <v>16</v>
      </c>
      <c r="H744" s="13" t="n">
        <f aca="false">(E744/1000)*(F744/1000)*(G744/1000)*7850</f>
        <v>295.4112</v>
      </c>
      <c r="I744" s="8" t="n">
        <v>3</v>
      </c>
      <c r="J744" s="14" t="n">
        <f aca="false">H744*I744</f>
        <v>886.2336</v>
      </c>
      <c r="K744" s="8" t="s">
        <v>881</v>
      </c>
    </row>
    <row r="745" customFormat="false" ht="13.8" hidden="false" customHeight="false" outlineLevel="0" collapsed="false">
      <c r="A745" s="8" t="s">
        <v>874</v>
      </c>
      <c r="B745" s="8" t="s">
        <v>42</v>
      </c>
      <c r="C745" s="8" t="s">
        <v>298</v>
      </c>
      <c r="D745" s="8" t="s">
        <v>341</v>
      </c>
      <c r="E745" s="8" t="n">
        <v>1960</v>
      </c>
      <c r="F745" s="8" t="n">
        <v>1200</v>
      </c>
      <c r="G745" s="8" t="n">
        <v>16</v>
      </c>
      <c r="H745" s="13" t="n">
        <f aca="false">(E745/1000)*(F745/1000)*(G745/1000)*7850</f>
        <v>295.4112</v>
      </c>
      <c r="I745" s="8" t="n">
        <v>2</v>
      </c>
      <c r="J745" s="14" t="n">
        <f aca="false">H745*I745</f>
        <v>590.8224</v>
      </c>
      <c r="K745" s="8" t="s">
        <v>881</v>
      </c>
    </row>
    <row r="746" customFormat="false" ht="13.8" hidden="false" customHeight="false" outlineLevel="0" collapsed="false">
      <c r="A746" s="8" t="s">
        <v>874</v>
      </c>
      <c r="B746" s="8" t="s">
        <v>42</v>
      </c>
      <c r="C746" s="8" t="s">
        <v>196</v>
      </c>
      <c r="D746" s="8" t="s">
        <v>341</v>
      </c>
      <c r="E746" s="8" t="n">
        <v>2057</v>
      </c>
      <c r="F746" s="8" t="n">
        <v>200</v>
      </c>
      <c r="G746" s="8" t="n">
        <v>16</v>
      </c>
      <c r="H746" s="13" t="n">
        <f aca="false">(E746/1000)*(F746/1000)*(G746/1000)*7850</f>
        <v>51.67184</v>
      </c>
      <c r="I746" s="8" t="n">
        <v>3</v>
      </c>
      <c r="J746" s="14" t="n">
        <f aca="false">H746*I746</f>
        <v>155.01552</v>
      </c>
      <c r="K746" s="8" t="s">
        <v>882</v>
      </c>
    </row>
    <row r="747" customFormat="false" ht="13.8" hidden="false" customHeight="false" outlineLevel="0" collapsed="false">
      <c r="A747" s="8" t="s">
        <v>874</v>
      </c>
      <c r="B747" s="8" t="s">
        <v>42</v>
      </c>
      <c r="C747" s="8" t="s">
        <v>68</v>
      </c>
      <c r="D747" s="8" t="s">
        <v>341</v>
      </c>
      <c r="E747" s="8" t="n">
        <v>800</v>
      </c>
      <c r="F747" s="8" t="n">
        <v>400</v>
      </c>
      <c r="G747" s="8" t="n">
        <v>16</v>
      </c>
      <c r="H747" s="13" t="n">
        <f aca="false">(E747/1000)*(F747/1000)*(G747/1000)*7850</f>
        <v>40.192</v>
      </c>
      <c r="I747" s="8" t="n">
        <v>4</v>
      </c>
      <c r="J747" s="14" t="n">
        <f aca="false">H747*I747</f>
        <v>160.768</v>
      </c>
      <c r="K747" s="8" t="s">
        <v>883</v>
      </c>
    </row>
    <row r="748" customFormat="false" ht="13.8" hidden="false" customHeight="false" outlineLevel="0" collapsed="false">
      <c r="A748" s="8" t="s">
        <v>874</v>
      </c>
      <c r="B748" s="8" t="s">
        <v>253</v>
      </c>
      <c r="C748" s="8" t="s">
        <v>199</v>
      </c>
      <c r="D748" s="8" t="s">
        <v>341</v>
      </c>
      <c r="E748" s="8" t="n">
        <v>7900</v>
      </c>
      <c r="F748" s="8" t="n">
        <v>320</v>
      </c>
      <c r="G748" s="8" t="n">
        <v>32</v>
      </c>
      <c r="H748" s="13" t="n">
        <f aca="false">(E748/1000)*(F748/1000)*(G748/1000)*7850</f>
        <v>635.0336</v>
      </c>
      <c r="I748" s="8" t="n">
        <v>6</v>
      </c>
      <c r="J748" s="14" t="n">
        <f aca="false">H748*I748</f>
        <v>3810.2016</v>
      </c>
      <c r="K748" s="8" t="s">
        <v>884</v>
      </c>
    </row>
    <row r="749" customFormat="false" ht="13.8" hidden="false" customHeight="false" outlineLevel="0" collapsed="false">
      <c r="A749" s="8" t="s">
        <v>874</v>
      </c>
      <c r="B749" s="8" t="s">
        <v>42</v>
      </c>
      <c r="C749" s="8" t="s">
        <v>76</v>
      </c>
      <c r="D749" s="8" t="s">
        <v>341</v>
      </c>
      <c r="E749" s="8" t="n">
        <v>6950</v>
      </c>
      <c r="F749" s="8" t="n">
        <v>320</v>
      </c>
      <c r="G749" s="8" t="n">
        <v>32</v>
      </c>
      <c r="H749" s="13" t="n">
        <f aca="false">(E749/1000)*(F749/1000)*(G749/1000)*7850</f>
        <v>558.6688</v>
      </c>
      <c r="I749" s="8" t="n">
        <v>6</v>
      </c>
      <c r="J749" s="14" t="n">
        <f aca="false">H749*I749</f>
        <v>3352.0128</v>
      </c>
      <c r="K749" s="8" t="s">
        <v>885</v>
      </c>
    </row>
    <row r="750" customFormat="false" ht="13.8" hidden="false" customHeight="false" outlineLevel="0" collapsed="false">
      <c r="A750" s="8" t="s">
        <v>874</v>
      </c>
      <c r="B750" s="8" t="s">
        <v>256</v>
      </c>
      <c r="C750" s="8" t="s">
        <v>257</v>
      </c>
      <c r="D750" s="8" t="s">
        <v>341</v>
      </c>
      <c r="E750" s="8" t="n">
        <v>7900</v>
      </c>
      <c r="F750" s="8" t="n">
        <v>2500</v>
      </c>
      <c r="G750" s="8" t="n">
        <v>32</v>
      </c>
      <c r="H750" s="13" t="n">
        <f aca="false">(E750/1000)*(F750/1000)*(G750/1000)*7850</f>
        <v>4961.2</v>
      </c>
      <c r="I750" s="8" t="n">
        <v>1</v>
      </c>
      <c r="J750" s="14" t="n">
        <f aca="false">H750*I750</f>
        <v>4961.2</v>
      </c>
      <c r="K750" s="8" t="s">
        <v>886</v>
      </c>
    </row>
    <row r="751" customFormat="false" ht="13.8" hidden="false" customHeight="false" outlineLevel="0" collapsed="false">
      <c r="A751" s="8" t="s">
        <v>874</v>
      </c>
      <c r="B751" s="8" t="s">
        <v>42</v>
      </c>
      <c r="C751" s="8" t="s">
        <v>305</v>
      </c>
      <c r="D751" s="8" t="s">
        <v>341</v>
      </c>
      <c r="E751" s="8" t="n">
        <v>7100</v>
      </c>
      <c r="F751" s="8" t="n">
        <v>2500</v>
      </c>
      <c r="G751" s="8" t="n">
        <v>32</v>
      </c>
      <c r="H751" s="13" t="n">
        <f aca="false">(E751/1000)*(F751/1000)*(G751/1000)*7850</f>
        <v>4458.8</v>
      </c>
      <c r="I751" s="8" t="n">
        <v>1</v>
      </c>
      <c r="J751" s="14" t="n">
        <f aca="false">H751*I751</f>
        <v>4458.8</v>
      </c>
      <c r="K751" s="8" t="s">
        <v>887</v>
      </c>
    </row>
    <row r="752" customFormat="false" ht="13.8" hidden="false" customHeight="false" outlineLevel="0" collapsed="false">
      <c r="A752" s="8" t="s">
        <v>874</v>
      </c>
      <c r="B752" s="8" t="s">
        <v>260</v>
      </c>
      <c r="C752" s="8" t="s">
        <v>307</v>
      </c>
      <c r="D752" s="8" t="s">
        <v>341</v>
      </c>
      <c r="G752" s="8" t="n">
        <v>32</v>
      </c>
      <c r="H752" s="13" t="n">
        <f aca="false">M752*(G752/1000)*7850</f>
        <v>3255.552</v>
      </c>
      <c r="I752" s="8" t="n">
        <v>1</v>
      </c>
      <c r="J752" s="14" t="n">
        <f aca="false">H752*I752</f>
        <v>3255.552</v>
      </c>
      <c r="K752" s="8" t="s">
        <v>888</v>
      </c>
      <c r="M752" s="15" t="n">
        <v>12.96</v>
      </c>
    </row>
    <row r="753" customFormat="false" ht="13.8" hidden="false" customHeight="false" outlineLevel="0" collapsed="false">
      <c r="A753" s="8" t="s">
        <v>874</v>
      </c>
      <c r="B753" s="8" t="s">
        <v>42</v>
      </c>
      <c r="C753" s="8" t="s">
        <v>206</v>
      </c>
      <c r="D753" s="8" t="s">
        <v>341</v>
      </c>
      <c r="G753" s="8" t="n">
        <v>32</v>
      </c>
      <c r="H753" s="13" t="n">
        <f aca="false">M753*(G753/1000)*7850</f>
        <v>2795.856</v>
      </c>
      <c r="I753" s="8" t="n">
        <v>1</v>
      </c>
      <c r="J753" s="14" t="n">
        <f aca="false">H753*I753</f>
        <v>2795.856</v>
      </c>
      <c r="K753" s="8" t="s">
        <v>889</v>
      </c>
      <c r="M753" s="15" t="n">
        <v>11.13</v>
      </c>
    </row>
    <row r="754" customFormat="false" ht="13.8" hidden="false" customHeight="false" outlineLevel="0" collapsed="false">
      <c r="A754" s="8" t="s">
        <v>874</v>
      </c>
      <c r="B754" s="8" t="s">
        <v>105</v>
      </c>
      <c r="C754" s="8" t="s">
        <v>103</v>
      </c>
      <c r="D754" s="8" t="s">
        <v>341</v>
      </c>
      <c r="G754" s="8" t="n">
        <v>44</v>
      </c>
      <c r="H754" s="13" t="n">
        <f aca="false">M754*(G754/1000)*7850</f>
        <v>8348.318</v>
      </c>
      <c r="I754" s="8" t="n">
        <v>2</v>
      </c>
      <c r="J754" s="14" t="n">
        <f aca="false">H754*I754</f>
        <v>16696.636</v>
      </c>
      <c r="K754" s="8" t="s">
        <v>890</v>
      </c>
      <c r="M754" s="15" t="n">
        <v>24.17</v>
      </c>
    </row>
    <row r="755" customFormat="false" ht="13.8" hidden="false" customHeight="false" outlineLevel="0" collapsed="false">
      <c r="A755" s="8" t="s">
        <v>874</v>
      </c>
      <c r="B755" s="8" t="s">
        <v>102</v>
      </c>
      <c r="C755" s="8" t="s">
        <v>106</v>
      </c>
      <c r="D755" s="8" t="s">
        <v>341</v>
      </c>
      <c r="E755" s="8" t="n">
        <v>7300</v>
      </c>
      <c r="F755" s="8" t="n">
        <v>1880</v>
      </c>
      <c r="G755" s="8" t="n">
        <v>44</v>
      </c>
      <c r="H755" s="13" t="n">
        <f aca="false">(E755/1000)*(F755/1000)*(G755/1000)*7850</f>
        <v>4740.2696</v>
      </c>
      <c r="I755" s="8" t="n">
        <v>2</v>
      </c>
      <c r="J755" s="14" t="n">
        <f aca="false">H755*I755</f>
        <v>9480.5392</v>
      </c>
      <c r="K755" s="8" t="s">
        <v>891</v>
      </c>
    </row>
    <row r="756" customFormat="false" ht="13.8" hidden="false" customHeight="false" outlineLevel="0" collapsed="false">
      <c r="A756" s="8" t="s">
        <v>874</v>
      </c>
      <c r="B756" s="8" t="s">
        <v>110</v>
      </c>
      <c r="C756" s="8" t="s">
        <v>108</v>
      </c>
      <c r="D756" s="8" t="s">
        <v>341</v>
      </c>
      <c r="E756" s="8" t="n">
        <v>1800</v>
      </c>
      <c r="F756" s="8" t="n">
        <v>1200</v>
      </c>
      <c r="G756" s="8" t="n">
        <v>16</v>
      </c>
      <c r="H756" s="13" t="n">
        <f aca="false">(E756/1000)*(F756/1000)*(G756/1000)*7850</f>
        <v>271.296</v>
      </c>
      <c r="I756" s="8" t="n">
        <v>3</v>
      </c>
      <c r="J756" s="14" t="n">
        <f aca="false">H756*I756</f>
        <v>813.888</v>
      </c>
      <c r="K756" s="8" t="s">
        <v>892</v>
      </c>
    </row>
    <row r="757" customFormat="false" ht="13.8" hidden="false" customHeight="false" outlineLevel="0" collapsed="false">
      <c r="A757" s="8" t="s">
        <v>874</v>
      </c>
      <c r="B757" s="8" t="s">
        <v>42</v>
      </c>
      <c r="C757" s="8" t="s">
        <v>112</v>
      </c>
      <c r="D757" s="8" t="s">
        <v>341</v>
      </c>
      <c r="E757" s="8" t="n">
        <v>1800</v>
      </c>
      <c r="F757" s="8" t="n">
        <v>1200</v>
      </c>
      <c r="G757" s="8" t="n">
        <v>16</v>
      </c>
      <c r="H757" s="13" t="n">
        <f aca="false">(E757/1000)*(F757/1000)*(G757/1000)*7850</f>
        <v>271.296</v>
      </c>
      <c r="I757" s="8" t="n">
        <v>2</v>
      </c>
      <c r="J757" s="14" t="n">
        <f aca="false">H757*I757</f>
        <v>542.592</v>
      </c>
      <c r="K757" s="8" t="s">
        <v>892</v>
      </c>
    </row>
    <row r="758" customFormat="false" ht="13.8" hidden="false" customHeight="false" outlineLevel="0" collapsed="false">
      <c r="A758" s="8" t="s">
        <v>874</v>
      </c>
      <c r="B758" s="8" t="s">
        <v>42</v>
      </c>
      <c r="C758" s="8" t="s">
        <v>313</v>
      </c>
      <c r="D758" s="8" t="s">
        <v>341</v>
      </c>
      <c r="E758" s="8" t="n">
        <v>2057</v>
      </c>
      <c r="F758" s="8" t="n">
        <v>200</v>
      </c>
      <c r="G758" s="8" t="n">
        <v>16</v>
      </c>
      <c r="H758" s="13" t="n">
        <f aca="false">(E758/1000)*(F758/1000)*(G758/1000)*7850</f>
        <v>51.67184</v>
      </c>
      <c r="I758" s="8" t="n">
        <v>3</v>
      </c>
      <c r="J758" s="14" t="n">
        <f aca="false">H758*I758</f>
        <v>155.01552</v>
      </c>
      <c r="K758" s="8" t="s">
        <v>882</v>
      </c>
    </row>
    <row r="759" customFormat="false" ht="13.8" hidden="false" customHeight="false" outlineLevel="0" collapsed="false">
      <c r="A759" s="8" t="s">
        <v>874</v>
      </c>
      <c r="B759" s="8" t="s">
        <v>314</v>
      </c>
      <c r="C759" s="8" t="s">
        <v>114</v>
      </c>
      <c r="D759" s="8" t="s">
        <v>341</v>
      </c>
      <c r="E759" s="8" t="n">
        <v>7900</v>
      </c>
      <c r="F759" s="8" t="n">
        <v>320</v>
      </c>
      <c r="G759" s="8" t="n">
        <v>32</v>
      </c>
      <c r="H759" s="13" t="n">
        <f aca="false">(E759/1000)*(F759/1000)*(G759/1000)*7850</f>
        <v>635.0336</v>
      </c>
      <c r="I759" s="8" t="n">
        <v>4</v>
      </c>
      <c r="J759" s="14" t="n">
        <f aca="false">H759*I759</f>
        <v>2540.1344</v>
      </c>
      <c r="K759" s="8" t="s">
        <v>884</v>
      </c>
    </row>
    <row r="760" customFormat="false" ht="13.8" hidden="false" customHeight="false" outlineLevel="0" collapsed="false">
      <c r="A760" s="8" t="s">
        <v>874</v>
      </c>
      <c r="B760" s="8" t="s">
        <v>42</v>
      </c>
      <c r="C760" s="8" t="s">
        <v>116</v>
      </c>
      <c r="D760" s="8" t="s">
        <v>341</v>
      </c>
      <c r="E760" s="8" t="n">
        <v>7100</v>
      </c>
      <c r="F760" s="8" t="n">
        <v>320</v>
      </c>
      <c r="G760" s="8" t="n">
        <v>32</v>
      </c>
      <c r="H760" s="13" t="n">
        <f aca="false">(E760/1000)*(F760/1000)*(G760/1000)*7850</f>
        <v>570.7264</v>
      </c>
      <c r="I760" s="8" t="n">
        <v>4</v>
      </c>
      <c r="J760" s="14" t="n">
        <f aca="false">H760*I760</f>
        <v>2282.9056</v>
      </c>
      <c r="K760" s="8" t="s">
        <v>893</v>
      </c>
    </row>
    <row r="761" customFormat="false" ht="13.8" hidden="false" customHeight="false" outlineLevel="0" collapsed="false">
      <c r="A761" s="8" t="s">
        <v>874</v>
      </c>
      <c r="B761" s="8" t="s">
        <v>42</v>
      </c>
      <c r="C761" s="8" t="s">
        <v>118</v>
      </c>
      <c r="D761" s="8" t="s">
        <v>341</v>
      </c>
      <c r="E761" s="8" t="n">
        <v>15000</v>
      </c>
      <c r="F761" s="8" t="n">
        <v>170</v>
      </c>
      <c r="G761" s="8" t="n">
        <v>14</v>
      </c>
      <c r="H761" s="13" t="n">
        <f aca="false">(E761/1000)*(F761/1000)*(G761/1000)*7850</f>
        <v>280.245</v>
      </c>
      <c r="I761" s="8" t="n">
        <v>2</v>
      </c>
      <c r="J761" s="14" t="n">
        <f aca="false">H761*I761</f>
        <v>560.49</v>
      </c>
      <c r="K761" s="8" t="s">
        <v>894</v>
      </c>
    </row>
    <row r="762" customFormat="false" ht="13.8" hidden="false" customHeight="false" outlineLevel="0" collapsed="false">
      <c r="A762" s="8" t="s">
        <v>874</v>
      </c>
      <c r="B762" s="8" t="s">
        <v>272</v>
      </c>
      <c r="C762" s="8" t="s">
        <v>125</v>
      </c>
      <c r="D762" s="8" t="s">
        <v>341</v>
      </c>
      <c r="E762" s="8" t="n">
        <v>10875</v>
      </c>
      <c r="F762" s="8" t="n">
        <v>1200</v>
      </c>
      <c r="G762" s="8" t="n">
        <v>40</v>
      </c>
      <c r="H762" s="13" t="n">
        <f aca="false">(E762/1000)*(F762/1000)*(G762/1000)*7850</f>
        <v>4097.7</v>
      </c>
      <c r="I762" s="8" t="n">
        <v>1</v>
      </c>
      <c r="J762" s="14" t="n">
        <f aca="false">H762*I762</f>
        <v>4097.7</v>
      </c>
      <c r="K762" s="8" t="s">
        <v>895</v>
      </c>
    </row>
    <row r="763" customFormat="false" ht="13.8" hidden="false" customHeight="false" outlineLevel="0" collapsed="false">
      <c r="A763" s="8" t="s">
        <v>874</v>
      </c>
      <c r="B763" s="8" t="s">
        <v>42</v>
      </c>
      <c r="C763" s="8" t="s">
        <v>127</v>
      </c>
      <c r="D763" s="8" t="s">
        <v>341</v>
      </c>
      <c r="E763" s="8" t="n">
        <v>11075</v>
      </c>
      <c r="F763" s="8" t="n">
        <v>1200</v>
      </c>
      <c r="G763" s="8" t="n">
        <v>40</v>
      </c>
      <c r="H763" s="13" t="n">
        <f aca="false">(E763/1000)*(F763/1000)*(G763/1000)*7850</f>
        <v>4173.06</v>
      </c>
      <c r="I763" s="8" t="n">
        <v>1</v>
      </c>
      <c r="J763" s="14" t="n">
        <f aca="false">H763*I763</f>
        <v>4173.06</v>
      </c>
      <c r="K763" s="8" t="s">
        <v>896</v>
      </c>
    </row>
    <row r="764" customFormat="false" ht="13.8" hidden="false" customHeight="false" outlineLevel="0" collapsed="false">
      <c r="A764" s="8" t="s">
        <v>874</v>
      </c>
      <c r="B764" s="8" t="s">
        <v>42</v>
      </c>
      <c r="C764" s="8" t="s">
        <v>128</v>
      </c>
      <c r="D764" s="8" t="s">
        <v>341</v>
      </c>
      <c r="E764" s="8" t="n">
        <v>7275</v>
      </c>
      <c r="F764" s="8" t="n">
        <v>1760</v>
      </c>
      <c r="G764" s="8" t="n">
        <v>40</v>
      </c>
      <c r="H764" s="13" t="n">
        <f aca="false">(E764/1000)*(F764/1000)*(G764/1000)*7850</f>
        <v>4020.456</v>
      </c>
      <c r="I764" s="8" t="n">
        <v>2</v>
      </c>
      <c r="J764" s="14" t="n">
        <f aca="false">H764*I764</f>
        <v>8040.912</v>
      </c>
      <c r="K764" s="8" t="s">
        <v>897</v>
      </c>
    </row>
    <row r="765" customFormat="false" ht="13.8" hidden="false" customHeight="false" outlineLevel="0" collapsed="false">
      <c r="A765" s="8" t="s">
        <v>874</v>
      </c>
      <c r="B765" s="8" t="s">
        <v>42</v>
      </c>
      <c r="C765" s="8" t="s">
        <v>130</v>
      </c>
      <c r="D765" s="8" t="s">
        <v>341</v>
      </c>
      <c r="E765" s="8" t="n">
        <v>7275</v>
      </c>
      <c r="F765" s="8" t="n">
        <v>320</v>
      </c>
      <c r="G765" s="8" t="n">
        <v>32</v>
      </c>
      <c r="H765" s="13" t="n">
        <f aca="false">(E765/1000)*(F765/1000)*(G765/1000)*7850</f>
        <v>584.7936</v>
      </c>
      <c r="I765" s="8" t="n">
        <v>4</v>
      </c>
      <c r="J765" s="14" t="n">
        <f aca="false">H765*I765</f>
        <v>2339.1744</v>
      </c>
      <c r="K765" s="8" t="s">
        <v>898</v>
      </c>
    </row>
    <row r="766" customFormat="false" ht="13.8" hidden="false" customHeight="false" outlineLevel="0" collapsed="false">
      <c r="A766" s="8" t="s">
        <v>874</v>
      </c>
      <c r="B766" s="8" t="s">
        <v>42</v>
      </c>
      <c r="C766" s="8" t="s">
        <v>132</v>
      </c>
      <c r="D766" s="8" t="s">
        <v>341</v>
      </c>
      <c r="E766" s="8" t="n">
        <v>9475</v>
      </c>
      <c r="F766" s="8" t="n">
        <v>320</v>
      </c>
      <c r="G766" s="8" t="n">
        <v>32</v>
      </c>
      <c r="H766" s="13" t="n">
        <f aca="false">(E766/1000)*(F766/1000)*(G766/1000)*7850</f>
        <v>761.6384</v>
      </c>
      <c r="I766" s="8" t="n">
        <v>1</v>
      </c>
      <c r="J766" s="14" t="n">
        <f aca="false">H766*I766</f>
        <v>761.6384</v>
      </c>
      <c r="K766" s="8" t="s">
        <v>899</v>
      </c>
    </row>
    <row r="767" customFormat="false" ht="13.8" hidden="false" customHeight="false" outlineLevel="0" collapsed="false">
      <c r="A767" s="8" t="s">
        <v>874</v>
      </c>
      <c r="B767" s="8" t="s">
        <v>42</v>
      </c>
      <c r="C767" s="8" t="s">
        <v>134</v>
      </c>
      <c r="D767" s="8" t="s">
        <v>341</v>
      </c>
      <c r="E767" s="8" t="n">
        <v>9675</v>
      </c>
      <c r="F767" s="8" t="n">
        <v>320</v>
      </c>
      <c r="G767" s="8" t="n">
        <v>32</v>
      </c>
      <c r="H767" s="13" t="n">
        <f aca="false">(E767/1000)*(F767/1000)*(G767/1000)*7850</f>
        <v>777.7152</v>
      </c>
      <c r="I767" s="8" t="n">
        <v>1</v>
      </c>
      <c r="J767" s="14" t="n">
        <f aca="false">H767*I767</f>
        <v>777.7152</v>
      </c>
      <c r="K767" s="8" t="s">
        <v>900</v>
      </c>
    </row>
    <row r="768" customFormat="false" ht="13.8" hidden="false" customHeight="false" outlineLevel="0" collapsed="false">
      <c r="A768" s="8" t="s">
        <v>874</v>
      </c>
      <c r="B768" s="8" t="s">
        <v>42</v>
      </c>
      <c r="C768" s="8" t="s">
        <v>135</v>
      </c>
      <c r="D768" s="8" t="s">
        <v>341</v>
      </c>
      <c r="E768" s="8" t="n">
        <v>1200</v>
      </c>
      <c r="F768" s="8" t="n">
        <v>1600</v>
      </c>
      <c r="G768" s="8" t="n">
        <v>16</v>
      </c>
      <c r="H768" s="13" t="n">
        <f aca="false">(E768/1000)*(F768/1000)*(G768/1000)*7850</f>
        <v>241.152</v>
      </c>
      <c r="I768" s="8" t="n">
        <v>3</v>
      </c>
      <c r="J768" s="14" t="n">
        <f aca="false">H768*I768</f>
        <v>723.456</v>
      </c>
      <c r="K768" s="8" t="s">
        <v>901</v>
      </c>
    </row>
    <row r="769" customFormat="false" ht="13.8" hidden="false" customHeight="false" outlineLevel="0" collapsed="false">
      <c r="A769" s="8" t="s">
        <v>874</v>
      </c>
      <c r="B769" s="8" t="s">
        <v>42</v>
      </c>
      <c r="C769" s="8" t="s">
        <v>321</v>
      </c>
      <c r="D769" s="8" t="s">
        <v>341</v>
      </c>
      <c r="E769" s="8" t="n">
        <v>5429</v>
      </c>
      <c r="F769" s="8" t="n">
        <v>1200</v>
      </c>
      <c r="G769" s="8" t="n">
        <v>40</v>
      </c>
      <c r="H769" s="13" t="n">
        <f aca="false">(E769/1000)*(F769/1000)*(G769/1000)*7850</f>
        <v>2045.6472</v>
      </c>
      <c r="I769" s="8" t="n">
        <v>1</v>
      </c>
      <c r="J769" s="14" t="n">
        <f aca="false">H769*I769</f>
        <v>2045.6472</v>
      </c>
      <c r="K769" s="8" t="s">
        <v>902</v>
      </c>
    </row>
    <row r="770" customFormat="false" ht="13.8" hidden="false" customHeight="false" outlineLevel="0" collapsed="false">
      <c r="A770" s="8" t="s">
        <v>874</v>
      </c>
      <c r="B770" s="8" t="s">
        <v>42</v>
      </c>
      <c r="C770" s="8" t="s">
        <v>323</v>
      </c>
      <c r="D770" s="8" t="s">
        <v>341</v>
      </c>
      <c r="E770" s="8" t="n">
        <v>5629</v>
      </c>
      <c r="F770" s="8" t="n">
        <v>1200</v>
      </c>
      <c r="G770" s="8" t="n">
        <v>40</v>
      </c>
      <c r="H770" s="13" t="n">
        <f aca="false">(E770/1000)*(F770/1000)*(G770/1000)*7850</f>
        <v>2121.0072</v>
      </c>
      <c r="I770" s="8" t="n">
        <v>1</v>
      </c>
      <c r="J770" s="14" t="n">
        <f aca="false">H770*I770</f>
        <v>2121.0072</v>
      </c>
      <c r="K770" s="8" t="s">
        <v>903</v>
      </c>
    </row>
    <row r="771" customFormat="false" ht="13.8" hidden="false" customHeight="false" outlineLevel="0" collapsed="false">
      <c r="A771" s="8" t="s">
        <v>874</v>
      </c>
      <c r="B771" s="8" t="s">
        <v>42</v>
      </c>
      <c r="C771" s="8" t="s">
        <v>141</v>
      </c>
      <c r="D771" s="8" t="s">
        <v>341</v>
      </c>
      <c r="E771" s="8" t="n">
        <v>3629</v>
      </c>
      <c r="F771" s="8" t="n">
        <v>1760</v>
      </c>
      <c r="G771" s="8" t="n">
        <v>40</v>
      </c>
      <c r="H771" s="13" t="n">
        <f aca="false">(E771/1000)*(F771/1000)*(G771/1000)*7850</f>
        <v>2005.53056</v>
      </c>
      <c r="I771" s="8" t="n">
        <v>2</v>
      </c>
      <c r="J771" s="14" t="n">
        <f aca="false">H771*I771</f>
        <v>4011.06112</v>
      </c>
      <c r="K771" s="8" t="s">
        <v>904</v>
      </c>
    </row>
    <row r="772" customFormat="false" ht="13.8" hidden="false" customHeight="false" outlineLevel="0" collapsed="false">
      <c r="A772" s="8" t="s">
        <v>874</v>
      </c>
      <c r="B772" s="8" t="s">
        <v>42</v>
      </c>
      <c r="C772" s="8" t="s">
        <v>143</v>
      </c>
      <c r="D772" s="8" t="s">
        <v>341</v>
      </c>
      <c r="E772" s="8" t="n">
        <v>3629</v>
      </c>
      <c r="F772" s="8" t="n">
        <v>320</v>
      </c>
      <c r="G772" s="8" t="n">
        <v>32</v>
      </c>
      <c r="H772" s="13" t="n">
        <f aca="false">(E772/1000)*(F772/1000)*(G772/1000)*7850</f>
        <v>291.713536</v>
      </c>
      <c r="I772" s="8" t="n">
        <v>4</v>
      </c>
      <c r="J772" s="14" t="n">
        <f aca="false">H772*I772</f>
        <v>1166.854144</v>
      </c>
      <c r="K772" s="8" t="s">
        <v>905</v>
      </c>
    </row>
    <row r="773" customFormat="false" ht="13.8" hidden="false" customHeight="false" outlineLevel="0" collapsed="false">
      <c r="A773" s="8" t="s">
        <v>874</v>
      </c>
      <c r="B773" s="8" t="s">
        <v>42</v>
      </c>
      <c r="C773" s="8" t="s">
        <v>326</v>
      </c>
      <c r="D773" s="8" t="s">
        <v>341</v>
      </c>
      <c r="E773" s="8" t="n">
        <v>4729</v>
      </c>
      <c r="F773" s="8" t="n">
        <v>320</v>
      </c>
      <c r="G773" s="8" t="n">
        <v>32</v>
      </c>
      <c r="H773" s="13" t="n">
        <f aca="false">(E773/1000)*(F773/1000)*(G773/1000)*7850</f>
        <v>380.135936</v>
      </c>
      <c r="I773" s="8" t="n">
        <v>1</v>
      </c>
      <c r="J773" s="14" t="n">
        <f aca="false">H773*I773</f>
        <v>380.135936</v>
      </c>
      <c r="K773" s="8" t="s">
        <v>906</v>
      </c>
    </row>
    <row r="774" customFormat="false" ht="13.8" hidden="false" customHeight="false" outlineLevel="0" collapsed="false">
      <c r="A774" s="8" t="s">
        <v>874</v>
      </c>
      <c r="B774" s="8" t="s">
        <v>42</v>
      </c>
      <c r="C774" s="8" t="s">
        <v>147</v>
      </c>
      <c r="D774" s="8" t="s">
        <v>341</v>
      </c>
      <c r="E774" s="8" t="n">
        <v>4929</v>
      </c>
      <c r="F774" s="8" t="n">
        <v>320</v>
      </c>
      <c r="G774" s="8" t="n">
        <v>32</v>
      </c>
      <c r="H774" s="13" t="n">
        <f aca="false">(E774/1000)*(F774/1000)*(G774/1000)*7850</f>
        <v>396.212736</v>
      </c>
      <c r="I774" s="8" t="n">
        <v>1</v>
      </c>
      <c r="J774" s="14" t="n">
        <f aca="false">H774*I774</f>
        <v>396.212736</v>
      </c>
      <c r="K774" s="8" t="s">
        <v>907</v>
      </c>
    </row>
    <row r="775" customFormat="false" ht="13.8" hidden="false" customHeight="false" outlineLevel="0" collapsed="false">
      <c r="A775" s="8" t="s">
        <v>874</v>
      </c>
      <c r="B775" s="8" t="s">
        <v>171</v>
      </c>
      <c r="C775" s="8" t="s">
        <v>221</v>
      </c>
      <c r="D775" s="8" t="s">
        <v>341</v>
      </c>
      <c r="E775" s="8" t="n">
        <v>5440</v>
      </c>
      <c r="F775" s="8" t="n">
        <v>1200</v>
      </c>
      <c r="G775" s="8" t="n">
        <v>40</v>
      </c>
      <c r="H775" s="13" t="n">
        <f aca="false">(E775/1000)*(F775/1000)*(G775/1000)*7850</f>
        <v>2049.792</v>
      </c>
      <c r="I775" s="8" t="n">
        <v>1</v>
      </c>
      <c r="J775" s="14" t="n">
        <f aca="false">H775*I775</f>
        <v>2049.792</v>
      </c>
      <c r="K775" s="8" t="s">
        <v>908</v>
      </c>
    </row>
    <row r="776" customFormat="false" ht="13.8" hidden="false" customHeight="false" outlineLevel="0" collapsed="false">
      <c r="A776" s="8" t="s">
        <v>874</v>
      </c>
      <c r="B776" s="8" t="s">
        <v>42</v>
      </c>
      <c r="C776" s="8" t="s">
        <v>909</v>
      </c>
      <c r="D776" s="8" t="s">
        <v>341</v>
      </c>
      <c r="E776" s="8" t="n">
        <v>5640</v>
      </c>
      <c r="F776" s="8" t="n">
        <v>1200</v>
      </c>
      <c r="G776" s="8" t="n">
        <v>40</v>
      </c>
      <c r="H776" s="13" t="n">
        <f aca="false">(E776/1000)*(F776/1000)*(G776/1000)*7850</f>
        <v>2125.152</v>
      </c>
      <c r="I776" s="8" t="n">
        <v>1</v>
      </c>
      <c r="J776" s="14" t="n">
        <f aca="false">H776*I776</f>
        <v>2125.152</v>
      </c>
      <c r="K776" s="8" t="s">
        <v>910</v>
      </c>
    </row>
    <row r="777" customFormat="false" ht="13.8" hidden="false" customHeight="false" outlineLevel="0" collapsed="false">
      <c r="A777" s="8" t="s">
        <v>874</v>
      </c>
      <c r="B777" s="8" t="s">
        <v>42</v>
      </c>
      <c r="C777" s="8" t="s">
        <v>155</v>
      </c>
      <c r="D777" s="8" t="s">
        <v>341</v>
      </c>
      <c r="E777" s="8" t="n">
        <v>3640</v>
      </c>
      <c r="F777" s="8" t="n">
        <v>1760</v>
      </c>
      <c r="G777" s="8" t="n">
        <v>40</v>
      </c>
      <c r="H777" s="13" t="n">
        <f aca="false">(E777/1000)*(F777/1000)*(G777/1000)*7850</f>
        <v>2011.6096</v>
      </c>
      <c r="I777" s="8" t="n">
        <v>2</v>
      </c>
      <c r="J777" s="14" t="n">
        <f aca="false">H777*I777</f>
        <v>4023.2192</v>
      </c>
      <c r="K777" s="8" t="s">
        <v>911</v>
      </c>
    </row>
    <row r="778" customFormat="false" ht="13.8" hidden="false" customHeight="false" outlineLevel="0" collapsed="false">
      <c r="A778" s="8" t="s">
        <v>874</v>
      </c>
      <c r="B778" s="8" t="s">
        <v>42</v>
      </c>
      <c r="C778" s="8" t="s">
        <v>160</v>
      </c>
      <c r="D778" s="8" t="s">
        <v>341</v>
      </c>
      <c r="E778" s="8" t="n">
        <v>3640</v>
      </c>
      <c r="F778" s="8" t="n">
        <v>320</v>
      </c>
      <c r="G778" s="8" t="n">
        <v>32</v>
      </c>
      <c r="H778" s="13" t="n">
        <f aca="false">(E778/1000)*(F778/1000)*(G778/1000)*7850</f>
        <v>292.59776</v>
      </c>
      <c r="I778" s="8" t="n">
        <v>4</v>
      </c>
      <c r="J778" s="14" t="n">
        <f aca="false">H778*I778</f>
        <v>1170.39104</v>
      </c>
      <c r="K778" s="8" t="s">
        <v>912</v>
      </c>
    </row>
    <row r="779" customFormat="false" ht="13.8" hidden="false" customHeight="false" outlineLevel="0" collapsed="false">
      <c r="A779" s="8" t="s">
        <v>874</v>
      </c>
      <c r="B779" s="8" t="s">
        <v>42</v>
      </c>
      <c r="C779" s="8" t="s">
        <v>226</v>
      </c>
      <c r="D779" s="8" t="s">
        <v>341</v>
      </c>
      <c r="E779" s="8" t="n">
        <v>4740</v>
      </c>
      <c r="F779" s="8" t="n">
        <v>320</v>
      </c>
      <c r="G779" s="8" t="n">
        <v>32</v>
      </c>
      <c r="H779" s="13" t="n">
        <f aca="false">(E779/1000)*(F779/1000)*(G779/1000)*7850</f>
        <v>381.02016</v>
      </c>
      <c r="I779" s="8" t="n">
        <v>1</v>
      </c>
      <c r="J779" s="14" t="n">
        <f aca="false">H779*I779</f>
        <v>381.02016</v>
      </c>
      <c r="K779" s="8" t="s">
        <v>913</v>
      </c>
    </row>
    <row r="780" customFormat="false" ht="13.8" hidden="false" customHeight="false" outlineLevel="0" collapsed="false">
      <c r="A780" s="8" t="s">
        <v>874</v>
      </c>
      <c r="B780" s="8" t="s">
        <v>42</v>
      </c>
      <c r="C780" s="8" t="s">
        <v>165</v>
      </c>
      <c r="D780" s="8" t="s">
        <v>341</v>
      </c>
      <c r="E780" s="8" t="n">
        <v>4940</v>
      </c>
      <c r="F780" s="8" t="n">
        <v>320</v>
      </c>
      <c r="G780" s="8" t="n">
        <v>32</v>
      </c>
      <c r="H780" s="13" t="n">
        <f aca="false">(E780/1000)*(F780/1000)*(G780/1000)*7850</f>
        <v>397.09696</v>
      </c>
      <c r="I780" s="8" t="n">
        <v>1</v>
      </c>
      <c r="J780" s="14" t="n">
        <f aca="false">H780*I780</f>
        <v>397.09696</v>
      </c>
      <c r="K780" s="8" t="s">
        <v>914</v>
      </c>
    </row>
    <row r="781" customFormat="false" ht="13.8" hidden="false" customHeight="false" outlineLevel="0" collapsed="false">
      <c r="A781" s="8" t="s">
        <v>874</v>
      </c>
      <c r="B781" s="8" t="s">
        <v>42</v>
      </c>
      <c r="C781" s="8" t="s">
        <v>158</v>
      </c>
      <c r="D781" s="8" t="s">
        <v>341</v>
      </c>
      <c r="E781" s="8" t="n">
        <v>1200</v>
      </c>
      <c r="F781" s="8" t="n">
        <v>1600</v>
      </c>
      <c r="G781" s="8" t="n">
        <v>16</v>
      </c>
      <c r="H781" s="13" t="n">
        <f aca="false">(E781/1000)*(F781/1000)*(G781/1000)*7850</f>
        <v>241.152</v>
      </c>
      <c r="I781" s="8" t="n">
        <v>3</v>
      </c>
      <c r="J781" s="14" t="n">
        <f aca="false">H781*I781</f>
        <v>723.456</v>
      </c>
      <c r="K781" s="8" t="s">
        <v>901</v>
      </c>
    </row>
    <row r="782" customFormat="false" ht="13.8" hidden="false" customHeight="false" outlineLevel="0" collapsed="false">
      <c r="A782" s="8" t="s">
        <v>874</v>
      </c>
      <c r="B782" s="8" t="s">
        <v>42</v>
      </c>
      <c r="C782" s="8" t="s">
        <v>386</v>
      </c>
      <c r="D782" s="8" t="s">
        <v>341</v>
      </c>
      <c r="E782" s="8" t="n">
        <v>2100</v>
      </c>
      <c r="F782" s="8" t="n">
        <v>320</v>
      </c>
      <c r="G782" s="8" t="n">
        <v>32</v>
      </c>
      <c r="H782" s="13" t="n">
        <f aca="false">(E782/1000)*(F782/1000)*(G782/1000)*7850</f>
        <v>168.8064</v>
      </c>
      <c r="I782" s="8" t="n">
        <v>8</v>
      </c>
      <c r="J782" s="14" t="n">
        <f aca="false">H782*I782</f>
        <v>1350.4512</v>
      </c>
      <c r="K782" s="8" t="s">
        <v>915</v>
      </c>
    </row>
    <row r="783" customFormat="false" ht="13.8" hidden="false" customHeight="false" outlineLevel="0" collapsed="false">
      <c r="A783" s="8" t="s">
        <v>874</v>
      </c>
      <c r="B783" s="8" t="s">
        <v>42</v>
      </c>
      <c r="C783" s="8" t="s">
        <v>388</v>
      </c>
      <c r="D783" s="8" t="s">
        <v>341</v>
      </c>
      <c r="E783" s="8" t="n">
        <v>2000</v>
      </c>
      <c r="F783" s="8" t="n">
        <v>320</v>
      </c>
      <c r="G783" s="8" t="n">
        <v>32</v>
      </c>
      <c r="H783" s="13" t="n">
        <f aca="false">(E783/1000)*(F783/1000)*(G783/1000)*7850</f>
        <v>160.768</v>
      </c>
      <c r="I783" s="8" t="n">
        <v>8</v>
      </c>
      <c r="J783" s="14" t="n">
        <f aca="false">H783*I783</f>
        <v>1286.144</v>
      </c>
      <c r="K783" s="8" t="s">
        <v>916</v>
      </c>
    </row>
    <row r="784" customFormat="false" ht="13.8" hidden="false" customHeight="false" outlineLevel="0" collapsed="false">
      <c r="A784" s="8" t="s">
        <v>874</v>
      </c>
      <c r="B784" s="8" t="s">
        <v>64</v>
      </c>
      <c r="C784" s="8" t="s">
        <v>167</v>
      </c>
      <c r="D784" s="8" t="s">
        <v>40</v>
      </c>
      <c r="E784" s="8" t="n">
        <v>1960</v>
      </c>
      <c r="F784" s="8" t="n">
        <v>606</v>
      </c>
      <c r="G784" s="8" t="n">
        <v>14</v>
      </c>
      <c r="H784" s="13" t="n">
        <f aca="false">(E784/1000)*(F784/1000)*(G784/1000)*7850</f>
        <v>130.534824</v>
      </c>
      <c r="I784" s="8" t="n">
        <v>6</v>
      </c>
      <c r="J784" s="14" t="n">
        <f aca="false">H784*I784</f>
        <v>783.208944</v>
      </c>
      <c r="K784" s="8" t="s">
        <v>917</v>
      </c>
    </row>
    <row r="785" customFormat="false" ht="13.8" hidden="false" customHeight="false" outlineLevel="0" collapsed="false">
      <c r="A785" s="8" t="s">
        <v>874</v>
      </c>
      <c r="B785" s="8" t="s">
        <v>42</v>
      </c>
      <c r="C785" s="8" t="s">
        <v>334</v>
      </c>
      <c r="D785" s="8" t="s">
        <v>40</v>
      </c>
      <c r="E785" s="8" t="n">
        <v>1960</v>
      </c>
      <c r="F785" s="8" t="n">
        <v>602</v>
      </c>
      <c r="G785" s="8" t="n">
        <v>14</v>
      </c>
      <c r="H785" s="13" t="n">
        <f aca="false">(E785/1000)*(F785/1000)*(G785/1000)*7850</f>
        <v>129.673208</v>
      </c>
      <c r="I785" s="8" t="n">
        <v>4</v>
      </c>
      <c r="J785" s="14" t="n">
        <f aca="false">H785*I785</f>
        <v>518.692832</v>
      </c>
      <c r="K785" s="8" t="s">
        <v>918</v>
      </c>
    </row>
    <row r="786" customFormat="false" ht="13.8" hidden="false" customHeight="false" outlineLevel="0" collapsed="false">
      <c r="A786" s="8" t="s">
        <v>874</v>
      </c>
      <c r="B786" s="8" t="s">
        <v>42</v>
      </c>
      <c r="C786" s="8" t="s">
        <v>169</v>
      </c>
      <c r="D786" s="8" t="s">
        <v>40</v>
      </c>
      <c r="G786" s="8" t="n">
        <v>24</v>
      </c>
      <c r="H786" s="13" t="n">
        <f aca="false">M786*(G786/1000)*7850</f>
        <v>88.548</v>
      </c>
      <c r="I786" s="8" t="n">
        <v>6</v>
      </c>
      <c r="J786" s="14" t="n">
        <f aca="false">H786*I786</f>
        <v>531.288</v>
      </c>
      <c r="K786" s="8" t="s">
        <v>919</v>
      </c>
      <c r="M786" s="15" t="n">
        <v>0.47</v>
      </c>
    </row>
    <row r="787" customFormat="false" ht="13.8" hidden="false" customHeight="false" outlineLevel="0" collapsed="false">
      <c r="A787" s="8" t="s">
        <v>874</v>
      </c>
      <c r="B787" s="8" t="s">
        <v>42</v>
      </c>
      <c r="C787" s="8" t="s">
        <v>236</v>
      </c>
      <c r="D787" s="8" t="s">
        <v>40</v>
      </c>
      <c r="G787" s="8" t="n">
        <v>24</v>
      </c>
      <c r="H787" s="13" t="n">
        <f aca="false">M787*(G787/1000)*7850</f>
        <v>90.432</v>
      </c>
      <c r="I787" s="8" t="n">
        <v>4</v>
      </c>
      <c r="J787" s="14" t="n">
        <f aca="false">H787*I787</f>
        <v>361.728</v>
      </c>
      <c r="K787" s="8" t="s">
        <v>920</v>
      </c>
      <c r="M787" s="15" t="n">
        <v>0.48</v>
      </c>
    </row>
    <row r="788" customFormat="false" ht="13.8" hidden="false" customHeight="false" outlineLevel="0" collapsed="false">
      <c r="A788" s="8" t="s">
        <v>874</v>
      </c>
      <c r="B788" s="8" t="s">
        <v>42</v>
      </c>
      <c r="C788" s="8" t="s">
        <v>172</v>
      </c>
      <c r="D788" s="8" t="s">
        <v>40</v>
      </c>
      <c r="E788" s="8" t="n">
        <v>1800</v>
      </c>
      <c r="F788" s="8" t="n">
        <v>606</v>
      </c>
      <c r="G788" s="8" t="n">
        <v>14</v>
      </c>
      <c r="H788" s="13" t="n">
        <f aca="false">(E788/1000)*(F788/1000)*(G788/1000)*7850</f>
        <v>119.87892</v>
      </c>
      <c r="I788" s="8" t="n">
        <v>6</v>
      </c>
      <c r="J788" s="14" t="n">
        <f aca="false">H788*I788</f>
        <v>719.27352</v>
      </c>
      <c r="K788" s="8" t="s">
        <v>921</v>
      </c>
    </row>
    <row r="789" customFormat="false" ht="13.8" hidden="false" customHeight="false" outlineLevel="0" collapsed="false">
      <c r="A789" s="8" t="s">
        <v>874</v>
      </c>
      <c r="B789" s="8" t="s">
        <v>42</v>
      </c>
      <c r="C789" s="8" t="s">
        <v>239</v>
      </c>
      <c r="D789" s="8" t="s">
        <v>40</v>
      </c>
      <c r="E789" s="8" t="n">
        <v>1800</v>
      </c>
      <c r="F789" s="8" t="n">
        <v>606</v>
      </c>
      <c r="G789" s="8" t="n">
        <v>14</v>
      </c>
      <c r="H789" s="13" t="n">
        <f aca="false">(E789/1000)*(F789/1000)*(G789/1000)*7850</f>
        <v>119.87892</v>
      </c>
      <c r="I789" s="8" t="n">
        <v>4</v>
      </c>
      <c r="J789" s="14" t="n">
        <f aca="false">H789*I789</f>
        <v>479.51568</v>
      </c>
      <c r="K789" s="8" t="s">
        <v>921</v>
      </c>
    </row>
    <row r="790" customFormat="false" ht="13.8" hidden="false" customHeight="false" outlineLevel="0" collapsed="false">
      <c r="A790" s="8" t="s">
        <v>922</v>
      </c>
      <c r="B790" s="8" t="s">
        <v>38</v>
      </c>
      <c r="C790" s="8" t="s">
        <v>179</v>
      </c>
      <c r="D790" s="8" t="s">
        <v>341</v>
      </c>
      <c r="G790" s="8" t="n">
        <v>40</v>
      </c>
      <c r="H790" s="13" t="n">
        <f aca="false">M790*(G790/1000)*7850</f>
        <v>4797.92</v>
      </c>
      <c r="I790" s="8" t="n">
        <v>1</v>
      </c>
      <c r="J790" s="14" t="n">
        <f aca="false">H790*I790</f>
        <v>4797.92</v>
      </c>
      <c r="K790" s="8" t="s">
        <v>923</v>
      </c>
      <c r="M790" s="15" t="n">
        <v>15.28</v>
      </c>
    </row>
    <row r="791" customFormat="false" ht="13.8" hidden="false" customHeight="false" outlineLevel="0" collapsed="false">
      <c r="A791" s="8" t="s">
        <v>922</v>
      </c>
      <c r="B791" s="8" t="s">
        <v>42</v>
      </c>
      <c r="C791" s="8" t="s">
        <v>181</v>
      </c>
      <c r="D791" s="8" t="s">
        <v>341</v>
      </c>
      <c r="G791" s="8" t="n">
        <v>40</v>
      </c>
      <c r="H791" s="13" t="n">
        <f aca="false">M791*(G791/1000)*7850</f>
        <v>4311.22</v>
      </c>
      <c r="I791" s="8" t="n">
        <v>1</v>
      </c>
      <c r="J791" s="14" t="n">
        <f aca="false">H791*I791</f>
        <v>4311.22</v>
      </c>
      <c r="K791" s="8" t="s">
        <v>924</v>
      </c>
      <c r="M791" s="15" t="n">
        <v>13.73</v>
      </c>
    </row>
    <row r="792" customFormat="false" ht="13.8" hidden="false" customHeight="false" outlineLevel="0" collapsed="false">
      <c r="A792" s="8" t="s">
        <v>922</v>
      </c>
      <c r="B792" s="8" t="s">
        <v>45</v>
      </c>
      <c r="C792" s="8" t="s">
        <v>183</v>
      </c>
      <c r="D792" s="8" t="s">
        <v>341</v>
      </c>
      <c r="E792" s="8" t="n">
        <v>7900</v>
      </c>
      <c r="F792" s="8" t="n">
        <v>1200</v>
      </c>
      <c r="G792" s="8" t="n">
        <v>40</v>
      </c>
      <c r="H792" s="13" t="n">
        <f aca="false">(E792/1000)*(F792/1000)*(G792/1000)*7850</f>
        <v>2976.72</v>
      </c>
      <c r="I792" s="8" t="n">
        <v>1</v>
      </c>
      <c r="J792" s="14" t="n">
        <f aca="false">H792*I792</f>
        <v>2976.72</v>
      </c>
      <c r="K792" s="8" t="s">
        <v>925</v>
      </c>
    </row>
    <row r="793" customFormat="false" ht="13.8" hidden="false" customHeight="false" outlineLevel="0" collapsed="false">
      <c r="A793" s="8" t="s">
        <v>922</v>
      </c>
      <c r="B793" s="8" t="s">
        <v>42</v>
      </c>
      <c r="C793" s="8" t="s">
        <v>185</v>
      </c>
      <c r="D793" s="8" t="s">
        <v>341</v>
      </c>
      <c r="E793" s="8" t="n">
        <v>7100</v>
      </c>
      <c r="F793" s="8" t="n">
        <v>1200</v>
      </c>
      <c r="G793" s="8" t="n">
        <v>40</v>
      </c>
      <c r="H793" s="13" t="n">
        <f aca="false">(E793/1000)*(F793/1000)*(G793/1000)*7850</f>
        <v>2675.28</v>
      </c>
      <c r="I793" s="8" t="n">
        <v>1</v>
      </c>
      <c r="J793" s="14" t="n">
        <f aca="false">H793*I793</f>
        <v>2675.28</v>
      </c>
      <c r="K793" s="8" t="s">
        <v>926</v>
      </c>
    </row>
    <row r="794" customFormat="false" ht="13.8" hidden="false" customHeight="false" outlineLevel="0" collapsed="false">
      <c r="A794" s="8" t="s">
        <v>922</v>
      </c>
      <c r="B794" s="8" t="s">
        <v>187</v>
      </c>
      <c r="C794" s="8" t="s">
        <v>188</v>
      </c>
      <c r="D794" s="8" t="s">
        <v>341</v>
      </c>
      <c r="G794" s="8" t="n">
        <v>44</v>
      </c>
      <c r="H794" s="13" t="n">
        <f aca="false">M794*(G794/1000)*7850</f>
        <v>9011.486</v>
      </c>
      <c r="I794" s="8" t="n">
        <v>2</v>
      </c>
      <c r="J794" s="14" t="n">
        <f aca="false">H794*I794</f>
        <v>18022.972</v>
      </c>
      <c r="K794" s="8" t="s">
        <v>927</v>
      </c>
      <c r="M794" s="15" t="n">
        <v>26.09</v>
      </c>
    </row>
    <row r="795" customFormat="false" ht="13.8" hidden="false" customHeight="false" outlineLevel="0" collapsed="false">
      <c r="A795" s="8" t="s">
        <v>922</v>
      </c>
      <c r="B795" s="8" t="s">
        <v>190</v>
      </c>
      <c r="C795" s="8" t="s">
        <v>50</v>
      </c>
      <c r="D795" s="8" t="s">
        <v>341</v>
      </c>
      <c r="E795" s="8" t="n">
        <v>7300</v>
      </c>
      <c r="F795" s="8" t="n">
        <v>2048</v>
      </c>
      <c r="G795" s="8" t="n">
        <v>48</v>
      </c>
      <c r="H795" s="13" t="n">
        <f aca="false">(E795/1000)*(F795/1000)*(G795/1000)*7850</f>
        <v>5633.31072</v>
      </c>
      <c r="I795" s="8" t="n">
        <v>2</v>
      </c>
      <c r="J795" s="14" t="n">
        <f aca="false">H795*I795</f>
        <v>11266.62144</v>
      </c>
      <c r="K795" s="8" t="s">
        <v>928</v>
      </c>
    </row>
    <row r="796" customFormat="false" ht="13.8" hidden="false" customHeight="false" outlineLevel="0" collapsed="false">
      <c r="A796" s="8" t="s">
        <v>922</v>
      </c>
      <c r="B796" s="8" t="s">
        <v>195</v>
      </c>
      <c r="C796" s="8" t="s">
        <v>58</v>
      </c>
      <c r="D796" s="8" t="s">
        <v>341</v>
      </c>
      <c r="E796" s="8" t="n">
        <v>1960</v>
      </c>
      <c r="F796" s="8" t="n">
        <v>1200</v>
      </c>
      <c r="G796" s="8" t="n">
        <v>16</v>
      </c>
      <c r="H796" s="13" t="n">
        <f aca="false">(E796/1000)*(F796/1000)*(G796/1000)*7850</f>
        <v>295.4112</v>
      </c>
      <c r="I796" s="8" t="n">
        <v>3</v>
      </c>
      <c r="J796" s="14" t="n">
        <f aca="false">H796*I796</f>
        <v>886.2336</v>
      </c>
      <c r="K796" s="8" t="s">
        <v>929</v>
      </c>
    </row>
    <row r="797" customFormat="false" ht="13.8" hidden="false" customHeight="false" outlineLevel="0" collapsed="false">
      <c r="A797" s="8" t="s">
        <v>922</v>
      </c>
      <c r="B797" s="8" t="s">
        <v>42</v>
      </c>
      <c r="C797" s="8" t="s">
        <v>194</v>
      </c>
      <c r="D797" s="8" t="s">
        <v>341</v>
      </c>
      <c r="E797" s="8" t="n">
        <v>1960</v>
      </c>
      <c r="F797" s="8" t="n">
        <v>1200</v>
      </c>
      <c r="G797" s="8" t="n">
        <v>16</v>
      </c>
      <c r="H797" s="13" t="n">
        <f aca="false">(E797/1000)*(F797/1000)*(G797/1000)*7850</f>
        <v>295.4112</v>
      </c>
      <c r="I797" s="8" t="n">
        <v>2</v>
      </c>
      <c r="J797" s="14" t="n">
        <f aca="false">H797*I797</f>
        <v>590.8224</v>
      </c>
      <c r="K797" s="8" t="s">
        <v>929</v>
      </c>
    </row>
    <row r="798" customFormat="false" ht="13.8" hidden="false" customHeight="false" outlineLevel="0" collapsed="false">
      <c r="A798" s="8" t="s">
        <v>922</v>
      </c>
      <c r="B798" s="8" t="s">
        <v>42</v>
      </c>
      <c r="C798" s="8" t="s">
        <v>196</v>
      </c>
      <c r="D798" s="8" t="s">
        <v>341</v>
      </c>
      <c r="E798" s="8" t="n">
        <v>2057</v>
      </c>
      <c r="F798" s="8" t="n">
        <v>200</v>
      </c>
      <c r="G798" s="8" t="n">
        <v>16</v>
      </c>
      <c r="H798" s="13" t="n">
        <f aca="false">(E798/1000)*(F798/1000)*(G798/1000)*7850</f>
        <v>51.67184</v>
      </c>
      <c r="I798" s="8" t="n">
        <v>3</v>
      </c>
      <c r="J798" s="14" t="n">
        <f aca="false">H798*I798</f>
        <v>155.01552</v>
      </c>
      <c r="K798" s="8" t="s">
        <v>930</v>
      </c>
    </row>
    <row r="799" customFormat="false" ht="13.8" hidden="false" customHeight="false" outlineLevel="0" collapsed="false">
      <c r="A799" s="8" t="s">
        <v>922</v>
      </c>
      <c r="B799" s="8" t="s">
        <v>42</v>
      </c>
      <c r="C799" s="8" t="s">
        <v>68</v>
      </c>
      <c r="D799" s="8" t="s">
        <v>341</v>
      </c>
      <c r="E799" s="8" t="n">
        <v>800</v>
      </c>
      <c r="F799" s="8" t="n">
        <v>400</v>
      </c>
      <c r="G799" s="8" t="n">
        <v>16</v>
      </c>
      <c r="H799" s="13" t="n">
        <f aca="false">(E799/1000)*(F799/1000)*(G799/1000)*7850</f>
        <v>40.192</v>
      </c>
      <c r="I799" s="8" t="n">
        <v>4</v>
      </c>
      <c r="J799" s="14" t="n">
        <f aca="false">H799*I799</f>
        <v>160.768</v>
      </c>
      <c r="K799" s="8" t="s">
        <v>931</v>
      </c>
    </row>
    <row r="800" customFormat="false" ht="13.8" hidden="false" customHeight="false" outlineLevel="0" collapsed="false">
      <c r="A800" s="8" t="s">
        <v>922</v>
      </c>
      <c r="B800" s="8" t="s">
        <v>932</v>
      </c>
      <c r="C800" s="8" t="s">
        <v>199</v>
      </c>
      <c r="D800" s="8" t="s">
        <v>341</v>
      </c>
      <c r="E800" s="8" t="n">
        <v>7900</v>
      </c>
      <c r="F800" s="8" t="n">
        <v>320</v>
      </c>
      <c r="G800" s="8" t="n">
        <v>32</v>
      </c>
      <c r="H800" s="13" t="n">
        <f aca="false">(E800/1000)*(F800/1000)*(G800/1000)*7850</f>
        <v>635.0336</v>
      </c>
      <c r="I800" s="8" t="n">
        <v>6</v>
      </c>
      <c r="J800" s="14" t="n">
        <f aca="false">H800*I800</f>
        <v>3810.2016</v>
      </c>
      <c r="K800" s="8" t="s">
        <v>933</v>
      </c>
    </row>
    <row r="801" customFormat="false" ht="13.8" hidden="false" customHeight="false" outlineLevel="0" collapsed="false">
      <c r="A801" s="8" t="s">
        <v>922</v>
      </c>
      <c r="B801" s="8" t="s">
        <v>42</v>
      </c>
      <c r="C801" s="8" t="s">
        <v>76</v>
      </c>
      <c r="D801" s="8" t="s">
        <v>341</v>
      </c>
      <c r="E801" s="8" t="n">
        <v>7100</v>
      </c>
      <c r="F801" s="8" t="n">
        <v>320</v>
      </c>
      <c r="G801" s="8" t="n">
        <v>32</v>
      </c>
      <c r="H801" s="13" t="n">
        <f aca="false">(E801/1000)*(F801/1000)*(G801/1000)*7850</f>
        <v>570.7264</v>
      </c>
      <c r="I801" s="8" t="n">
        <v>6</v>
      </c>
      <c r="J801" s="14" t="n">
        <f aca="false">H801*I801</f>
        <v>3424.3584</v>
      </c>
      <c r="K801" s="8" t="s">
        <v>934</v>
      </c>
    </row>
    <row r="802" customFormat="false" ht="13.8" hidden="false" customHeight="false" outlineLevel="0" collapsed="false">
      <c r="A802" s="8" t="s">
        <v>922</v>
      </c>
      <c r="B802" s="8" t="s">
        <v>256</v>
      </c>
      <c r="C802" s="8" t="s">
        <v>257</v>
      </c>
      <c r="D802" s="8" t="s">
        <v>341</v>
      </c>
      <c r="E802" s="8" t="n">
        <v>7901</v>
      </c>
      <c r="F802" s="8" t="n">
        <v>2500</v>
      </c>
      <c r="G802" s="8" t="n">
        <v>32</v>
      </c>
      <c r="H802" s="13" t="n">
        <f aca="false">(E802/1000)*(F802/1000)*(G802/1000)*7850</f>
        <v>4961.828</v>
      </c>
      <c r="I802" s="8" t="n">
        <v>1</v>
      </c>
      <c r="J802" s="14" t="n">
        <f aca="false">H802*I802</f>
        <v>4961.828</v>
      </c>
      <c r="K802" s="8" t="s">
        <v>935</v>
      </c>
    </row>
    <row r="803" customFormat="false" ht="13.8" hidden="false" customHeight="false" outlineLevel="0" collapsed="false">
      <c r="A803" s="8" t="s">
        <v>922</v>
      </c>
      <c r="B803" s="8" t="s">
        <v>42</v>
      </c>
      <c r="C803" s="8" t="s">
        <v>305</v>
      </c>
      <c r="D803" s="8" t="s">
        <v>341</v>
      </c>
      <c r="E803" s="8" t="n">
        <v>6950</v>
      </c>
      <c r="F803" s="8" t="n">
        <v>2500</v>
      </c>
      <c r="G803" s="8" t="n">
        <v>32</v>
      </c>
      <c r="H803" s="13" t="n">
        <f aca="false">(E803/1000)*(F803/1000)*(G803/1000)*7850</f>
        <v>4364.6</v>
      </c>
      <c r="I803" s="8" t="n">
        <v>1</v>
      </c>
      <c r="J803" s="14" t="n">
        <f aca="false">H803*I803</f>
        <v>4364.6</v>
      </c>
      <c r="K803" s="8" t="s">
        <v>936</v>
      </c>
    </row>
    <row r="804" customFormat="false" ht="13.8" hidden="false" customHeight="false" outlineLevel="0" collapsed="false">
      <c r="A804" s="8" t="s">
        <v>922</v>
      </c>
      <c r="B804" s="8" t="s">
        <v>260</v>
      </c>
      <c r="C804" s="8" t="s">
        <v>100</v>
      </c>
      <c r="D804" s="8" t="s">
        <v>341</v>
      </c>
      <c r="G804" s="8" t="n">
        <v>40</v>
      </c>
      <c r="H804" s="13" t="n">
        <f aca="false">M804*(G804/1000)*7850</f>
        <v>5413.36</v>
      </c>
      <c r="I804" s="8" t="n">
        <v>1</v>
      </c>
      <c r="J804" s="14" t="n">
        <f aca="false">H804*I804</f>
        <v>5413.36</v>
      </c>
      <c r="K804" s="8" t="s">
        <v>937</v>
      </c>
      <c r="M804" s="15" t="n">
        <v>17.24</v>
      </c>
    </row>
    <row r="805" customFormat="false" ht="13.8" hidden="false" customHeight="false" outlineLevel="0" collapsed="false">
      <c r="A805" s="8" t="s">
        <v>922</v>
      </c>
      <c r="B805" s="8" t="s">
        <v>42</v>
      </c>
      <c r="C805" s="8" t="s">
        <v>206</v>
      </c>
      <c r="D805" s="8" t="s">
        <v>341</v>
      </c>
      <c r="G805" s="8" t="n">
        <v>32</v>
      </c>
      <c r="H805" s="13" t="n">
        <f aca="false">M805*(G805/1000)*7850</f>
        <v>2745.616</v>
      </c>
      <c r="I805" s="8" t="n">
        <v>1</v>
      </c>
      <c r="J805" s="14" t="n">
        <f aca="false">H805*I805</f>
        <v>2745.616</v>
      </c>
      <c r="K805" s="8" t="s">
        <v>938</v>
      </c>
      <c r="M805" s="15" t="n">
        <v>10.93</v>
      </c>
    </row>
    <row r="806" customFormat="false" ht="13.8" hidden="false" customHeight="false" outlineLevel="0" collapsed="false">
      <c r="A806" s="8" t="s">
        <v>922</v>
      </c>
      <c r="B806" s="8" t="s">
        <v>105</v>
      </c>
      <c r="C806" s="8" t="s">
        <v>103</v>
      </c>
      <c r="D806" s="8" t="s">
        <v>341</v>
      </c>
      <c r="G806" s="8" t="n">
        <v>44</v>
      </c>
      <c r="H806" s="13" t="n">
        <f aca="false">M806*(G806/1000)*7850</f>
        <v>8807.7</v>
      </c>
      <c r="I806" s="8" t="n">
        <v>2</v>
      </c>
      <c r="J806" s="14" t="n">
        <f aca="false">H806*I806</f>
        <v>17615.4</v>
      </c>
      <c r="K806" s="8" t="s">
        <v>939</v>
      </c>
      <c r="M806" s="15" t="n">
        <v>25.5</v>
      </c>
    </row>
    <row r="807" customFormat="false" ht="13.8" hidden="false" customHeight="false" outlineLevel="0" collapsed="false">
      <c r="A807" s="8" t="s">
        <v>922</v>
      </c>
      <c r="B807" s="8" t="s">
        <v>102</v>
      </c>
      <c r="C807" s="8" t="s">
        <v>106</v>
      </c>
      <c r="D807" s="8" t="s">
        <v>341</v>
      </c>
      <c r="E807" s="8" t="n">
        <v>7150</v>
      </c>
      <c r="F807" s="8" t="n">
        <v>1880</v>
      </c>
      <c r="G807" s="8" t="n">
        <v>44</v>
      </c>
      <c r="H807" s="13" t="n">
        <f aca="false">(E807/1000)*(F807/1000)*(G807/1000)*7850</f>
        <v>4642.8668</v>
      </c>
      <c r="I807" s="8" t="n">
        <v>2</v>
      </c>
      <c r="J807" s="14" t="n">
        <f aca="false">H807*I807</f>
        <v>9285.7336</v>
      </c>
      <c r="K807" s="8" t="s">
        <v>940</v>
      </c>
    </row>
    <row r="808" customFormat="false" ht="13.8" hidden="false" customHeight="false" outlineLevel="0" collapsed="false">
      <c r="A808" s="8" t="s">
        <v>922</v>
      </c>
      <c r="B808" s="8" t="s">
        <v>110</v>
      </c>
      <c r="C808" s="8" t="s">
        <v>108</v>
      </c>
      <c r="D808" s="8" t="s">
        <v>341</v>
      </c>
      <c r="E808" s="8" t="n">
        <v>1800</v>
      </c>
      <c r="F808" s="8" t="n">
        <v>1200</v>
      </c>
      <c r="G808" s="8" t="n">
        <v>16</v>
      </c>
      <c r="H808" s="13" t="n">
        <f aca="false">(E808/1000)*(F808/1000)*(G808/1000)*7850</f>
        <v>271.296</v>
      </c>
      <c r="I808" s="8" t="n">
        <v>3</v>
      </c>
      <c r="J808" s="14" t="n">
        <f aca="false">H808*I808</f>
        <v>813.888</v>
      </c>
      <c r="K808" s="8" t="s">
        <v>941</v>
      </c>
    </row>
    <row r="809" customFormat="false" ht="13.8" hidden="false" customHeight="false" outlineLevel="0" collapsed="false">
      <c r="A809" s="8" t="s">
        <v>922</v>
      </c>
      <c r="B809" s="8" t="s">
        <v>42</v>
      </c>
      <c r="C809" s="8" t="s">
        <v>267</v>
      </c>
      <c r="D809" s="8" t="s">
        <v>341</v>
      </c>
      <c r="E809" s="8" t="n">
        <v>1800</v>
      </c>
      <c r="F809" s="8" t="n">
        <v>1200</v>
      </c>
      <c r="G809" s="8" t="n">
        <v>16</v>
      </c>
      <c r="H809" s="13" t="n">
        <f aca="false">(E809/1000)*(F809/1000)*(G809/1000)*7850</f>
        <v>271.296</v>
      </c>
      <c r="I809" s="8" t="n">
        <v>2</v>
      </c>
      <c r="J809" s="14" t="n">
        <f aca="false">H809*I809</f>
        <v>542.592</v>
      </c>
      <c r="K809" s="8" t="s">
        <v>941</v>
      </c>
    </row>
    <row r="810" customFormat="false" ht="13.8" hidden="false" customHeight="false" outlineLevel="0" collapsed="false">
      <c r="A810" s="8" t="s">
        <v>922</v>
      </c>
      <c r="B810" s="8" t="s">
        <v>42</v>
      </c>
      <c r="C810" s="8" t="s">
        <v>211</v>
      </c>
      <c r="D810" s="8" t="s">
        <v>341</v>
      </c>
      <c r="E810" s="8" t="n">
        <v>2057</v>
      </c>
      <c r="F810" s="8" t="n">
        <v>200</v>
      </c>
      <c r="G810" s="8" t="n">
        <v>16</v>
      </c>
      <c r="H810" s="13" t="n">
        <f aca="false">(E810/1000)*(F810/1000)*(G810/1000)*7850</f>
        <v>51.67184</v>
      </c>
      <c r="I810" s="8" t="n">
        <v>3</v>
      </c>
      <c r="J810" s="14" t="n">
        <f aca="false">H810*I810</f>
        <v>155.01552</v>
      </c>
      <c r="K810" s="8" t="s">
        <v>930</v>
      </c>
    </row>
    <row r="811" customFormat="false" ht="13.8" hidden="false" customHeight="false" outlineLevel="0" collapsed="false">
      <c r="A811" s="8" t="s">
        <v>922</v>
      </c>
      <c r="B811" s="8" t="s">
        <v>314</v>
      </c>
      <c r="C811" s="8" t="s">
        <v>114</v>
      </c>
      <c r="D811" s="8" t="s">
        <v>341</v>
      </c>
      <c r="E811" s="8" t="n">
        <v>7901</v>
      </c>
      <c r="F811" s="8" t="n">
        <v>320</v>
      </c>
      <c r="G811" s="8" t="n">
        <v>32</v>
      </c>
      <c r="H811" s="13" t="n">
        <f aca="false">(E811/1000)*(F811/1000)*(G811/1000)*7850</f>
        <v>635.113984</v>
      </c>
      <c r="I811" s="8" t="n">
        <v>4</v>
      </c>
      <c r="J811" s="14" t="n">
        <f aca="false">H811*I811</f>
        <v>2540.455936</v>
      </c>
      <c r="K811" s="8" t="s">
        <v>942</v>
      </c>
    </row>
    <row r="812" customFormat="false" ht="13.8" hidden="false" customHeight="false" outlineLevel="0" collapsed="false">
      <c r="A812" s="8" t="s">
        <v>922</v>
      </c>
      <c r="B812" s="8" t="s">
        <v>42</v>
      </c>
      <c r="C812" s="8" t="s">
        <v>116</v>
      </c>
      <c r="D812" s="8" t="s">
        <v>341</v>
      </c>
      <c r="E812" s="8" t="n">
        <v>6950</v>
      </c>
      <c r="F812" s="8" t="n">
        <v>320</v>
      </c>
      <c r="G812" s="8" t="n">
        <v>32</v>
      </c>
      <c r="H812" s="13" t="n">
        <f aca="false">(E812/1000)*(F812/1000)*(G812/1000)*7850</f>
        <v>558.6688</v>
      </c>
      <c r="I812" s="8" t="n">
        <v>4</v>
      </c>
      <c r="J812" s="14" t="n">
        <f aca="false">H812*I812</f>
        <v>2234.6752</v>
      </c>
      <c r="K812" s="8" t="s">
        <v>943</v>
      </c>
    </row>
    <row r="813" customFormat="false" ht="13.8" hidden="false" customHeight="false" outlineLevel="0" collapsed="false">
      <c r="A813" s="8" t="s">
        <v>922</v>
      </c>
      <c r="B813" s="8" t="s">
        <v>42</v>
      </c>
      <c r="C813" s="8" t="s">
        <v>118</v>
      </c>
      <c r="D813" s="8" t="s">
        <v>341</v>
      </c>
      <c r="E813" s="8" t="n">
        <v>14851</v>
      </c>
      <c r="F813" s="8" t="n">
        <v>170</v>
      </c>
      <c r="G813" s="8" t="n">
        <v>14</v>
      </c>
      <c r="H813" s="13" t="n">
        <f aca="false">(E813/1000)*(F813/1000)*(G813/1000)*7850</f>
        <v>277.461233</v>
      </c>
      <c r="I813" s="8" t="n">
        <v>2</v>
      </c>
      <c r="J813" s="14" t="n">
        <f aca="false">H813*I813</f>
        <v>554.922466</v>
      </c>
      <c r="K813" s="8" t="s">
        <v>944</v>
      </c>
    </row>
    <row r="814" customFormat="false" ht="13.8" hidden="false" customHeight="false" outlineLevel="0" collapsed="false">
      <c r="A814" s="8" t="s">
        <v>922</v>
      </c>
      <c r="B814" s="8" t="s">
        <v>272</v>
      </c>
      <c r="C814" s="8" t="s">
        <v>125</v>
      </c>
      <c r="D814" s="8" t="s">
        <v>341</v>
      </c>
      <c r="E814" s="8" t="n">
        <v>10842</v>
      </c>
      <c r="F814" s="8" t="n">
        <v>1200</v>
      </c>
      <c r="G814" s="8" t="n">
        <v>40</v>
      </c>
      <c r="H814" s="13" t="n">
        <f aca="false">(E814/1000)*(F814/1000)*(G814/1000)*7850</f>
        <v>4085.2656</v>
      </c>
      <c r="I814" s="8" t="n">
        <v>1</v>
      </c>
      <c r="J814" s="14" t="n">
        <f aca="false">H814*I814</f>
        <v>4085.2656</v>
      </c>
      <c r="K814" s="8" t="s">
        <v>945</v>
      </c>
    </row>
    <row r="815" customFormat="false" ht="13.8" hidden="false" customHeight="false" outlineLevel="0" collapsed="false">
      <c r="A815" s="8" t="s">
        <v>922</v>
      </c>
      <c r="B815" s="8" t="s">
        <v>42</v>
      </c>
      <c r="C815" s="8" t="s">
        <v>467</v>
      </c>
      <c r="D815" s="8" t="s">
        <v>341</v>
      </c>
      <c r="E815" s="8" t="n">
        <v>11042</v>
      </c>
      <c r="F815" s="8" t="n">
        <v>1200</v>
      </c>
      <c r="G815" s="8" t="n">
        <v>40</v>
      </c>
      <c r="H815" s="13" t="n">
        <f aca="false">(E815/1000)*(F815/1000)*(G815/1000)*7850</f>
        <v>4160.6256</v>
      </c>
      <c r="I815" s="8" t="n">
        <v>1</v>
      </c>
      <c r="J815" s="14" t="n">
        <f aca="false">H815*I815</f>
        <v>4160.6256</v>
      </c>
      <c r="K815" s="8" t="s">
        <v>946</v>
      </c>
    </row>
    <row r="816" customFormat="false" ht="13.8" hidden="false" customHeight="false" outlineLevel="0" collapsed="false">
      <c r="A816" s="8" t="s">
        <v>922</v>
      </c>
      <c r="B816" s="8" t="s">
        <v>42</v>
      </c>
      <c r="C816" s="8" t="s">
        <v>128</v>
      </c>
      <c r="D816" s="8" t="s">
        <v>341</v>
      </c>
      <c r="E816" s="8" t="n">
        <v>7242</v>
      </c>
      <c r="F816" s="8" t="n">
        <v>1760</v>
      </c>
      <c r="G816" s="8" t="n">
        <v>40</v>
      </c>
      <c r="H816" s="13" t="n">
        <f aca="false">(E816/1000)*(F816/1000)*(G816/1000)*7850</f>
        <v>4002.21888</v>
      </c>
      <c r="I816" s="8" t="n">
        <v>2</v>
      </c>
      <c r="J816" s="14" t="n">
        <f aca="false">H816*I816</f>
        <v>8004.43776</v>
      </c>
      <c r="K816" s="8" t="s">
        <v>947</v>
      </c>
    </row>
    <row r="817" customFormat="false" ht="13.8" hidden="false" customHeight="false" outlineLevel="0" collapsed="false">
      <c r="A817" s="8" t="s">
        <v>922</v>
      </c>
      <c r="B817" s="8" t="s">
        <v>42</v>
      </c>
      <c r="C817" s="8" t="s">
        <v>130</v>
      </c>
      <c r="D817" s="8" t="s">
        <v>341</v>
      </c>
      <c r="E817" s="8" t="n">
        <v>7242</v>
      </c>
      <c r="F817" s="8" t="n">
        <v>320</v>
      </c>
      <c r="G817" s="8" t="n">
        <v>32</v>
      </c>
      <c r="H817" s="13" t="n">
        <f aca="false">(E817/1000)*(F817/1000)*(G817/1000)*7850</f>
        <v>582.140928</v>
      </c>
      <c r="I817" s="8" t="n">
        <v>4</v>
      </c>
      <c r="J817" s="14" t="n">
        <f aca="false">H817*I817</f>
        <v>2328.563712</v>
      </c>
      <c r="K817" s="8" t="s">
        <v>948</v>
      </c>
    </row>
    <row r="818" customFormat="false" ht="13.8" hidden="false" customHeight="false" outlineLevel="0" collapsed="false">
      <c r="A818" s="8" t="s">
        <v>922</v>
      </c>
      <c r="B818" s="8" t="s">
        <v>42</v>
      </c>
      <c r="C818" s="8" t="s">
        <v>132</v>
      </c>
      <c r="D818" s="8" t="s">
        <v>341</v>
      </c>
      <c r="E818" s="8" t="n">
        <v>9442</v>
      </c>
      <c r="F818" s="8" t="n">
        <v>320</v>
      </c>
      <c r="G818" s="8" t="n">
        <v>32</v>
      </c>
      <c r="H818" s="13" t="n">
        <f aca="false">(E818/1000)*(F818/1000)*(G818/1000)*7850</f>
        <v>758.985728</v>
      </c>
      <c r="I818" s="8" t="n">
        <v>1</v>
      </c>
      <c r="J818" s="14" t="n">
        <f aca="false">H818*I818</f>
        <v>758.985728</v>
      </c>
      <c r="K818" s="8" t="s">
        <v>949</v>
      </c>
    </row>
    <row r="819" customFormat="false" ht="13.8" hidden="false" customHeight="false" outlineLevel="0" collapsed="false">
      <c r="A819" s="8" t="s">
        <v>922</v>
      </c>
      <c r="B819" s="8" t="s">
        <v>42</v>
      </c>
      <c r="C819" s="8" t="s">
        <v>134</v>
      </c>
      <c r="D819" s="8" t="s">
        <v>341</v>
      </c>
      <c r="E819" s="8" t="n">
        <v>9642</v>
      </c>
      <c r="F819" s="8" t="n">
        <v>320</v>
      </c>
      <c r="G819" s="8" t="n">
        <v>32</v>
      </c>
      <c r="H819" s="13" t="n">
        <f aca="false">(E819/1000)*(F819/1000)*(G819/1000)*7850</f>
        <v>775.062528</v>
      </c>
      <c r="I819" s="8" t="n">
        <v>1</v>
      </c>
      <c r="J819" s="14" t="n">
        <f aca="false">H819*I819</f>
        <v>775.062528</v>
      </c>
      <c r="K819" s="8" t="s">
        <v>950</v>
      </c>
    </row>
    <row r="820" customFormat="false" ht="13.8" hidden="false" customHeight="false" outlineLevel="0" collapsed="false">
      <c r="A820" s="8" t="s">
        <v>922</v>
      </c>
      <c r="B820" s="8" t="s">
        <v>42</v>
      </c>
      <c r="C820" s="8" t="s">
        <v>135</v>
      </c>
      <c r="D820" s="8" t="s">
        <v>341</v>
      </c>
      <c r="E820" s="8" t="n">
        <v>1200</v>
      </c>
      <c r="F820" s="8" t="n">
        <v>1600</v>
      </c>
      <c r="G820" s="8" t="n">
        <v>16</v>
      </c>
      <c r="H820" s="13" t="n">
        <f aca="false">(E820/1000)*(F820/1000)*(G820/1000)*7850</f>
        <v>241.152</v>
      </c>
      <c r="I820" s="8" t="n">
        <v>3</v>
      </c>
      <c r="J820" s="14" t="n">
        <f aca="false">H820*I820</f>
        <v>723.456</v>
      </c>
      <c r="K820" s="8" t="s">
        <v>951</v>
      </c>
    </row>
    <row r="821" customFormat="false" ht="13.8" hidden="false" customHeight="false" outlineLevel="0" collapsed="false">
      <c r="A821" s="8" t="s">
        <v>922</v>
      </c>
      <c r="B821" s="8" t="s">
        <v>42</v>
      </c>
      <c r="C821" s="8" t="s">
        <v>137</v>
      </c>
      <c r="D821" s="8" t="s">
        <v>341</v>
      </c>
      <c r="E821" s="8" t="n">
        <v>5426</v>
      </c>
      <c r="F821" s="8" t="n">
        <v>1200</v>
      </c>
      <c r="G821" s="8" t="n">
        <v>36</v>
      </c>
      <c r="H821" s="13" t="n">
        <f aca="false">(E821/1000)*(F821/1000)*(G821/1000)*7850</f>
        <v>1840.06512</v>
      </c>
      <c r="I821" s="8" t="n">
        <v>1</v>
      </c>
      <c r="J821" s="14" t="n">
        <f aca="false">H821*I821</f>
        <v>1840.06512</v>
      </c>
      <c r="K821" s="8" t="s">
        <v>952</v>
      </c>
    </row>
    <row r="822" customFormat="false" ht="13.8" hidden="false" customHeight="false" outlineLevel="0" collapsed="false">
      <c r="A822" s="8" t="s">
        <v>922</v>
      </c>
      <c r="B822" s="8" t="s">
        <v>42</v>
      </c>
      <c r="C822" s="8" t="s">
        <v>141</v>
      </c>
      <c r="D822" s="8" t="s">
        <v>341</v>
      </c>
      <c r="E822" s="8" t="n">
        <v>3626</v>
      </c>
      <c r="F822" s="8" t="n">
        <v>1360</v>
      </c>
      <c r="G822" s="8" t="n">
        <v>36</v>
      </c>
      <c r="H822" s="13" t="n">
        <f aca="false">(E822/1000)*(F822/1000)*(G822/1000)*7850</f>
        <v>1393.602336</v>
      </c>
      <c r="I822" s="8" t="n">
        <v>2</v>
      </c>
      <c r="J822" s="14" t="n">
        <f aca="false">H822*I822</f>
        <v>2787.204672</v>
      </c>
      <c r="K822" s="8" t="s">
        <v>953</v>
      </c>
    </row>
    <row r="823" customFormat="false" ht="13.8" hidden="false" customHeight="false" outlineLevel="0" collapsed="false">
      <c r="A823" s="8" t="s">
        <v>922</v>
      </c>
      <c r="B823" s="8" t="s">
        <v>42</v>
      </c>
      <c r="C823" s="8" t="s">
        <v>143</v>
      </c>
      <c r="D823" s="8" t="s">
        <v>341</v>
      </c>
      <c r="E823" s="8" t="n">
        <v>3626</v>
      </c>
      <c r="F823" s="8" t="n">
        <v>320</v>
      </c>
      <c r="G823" s="8" t="n">
        <v>32</v>
      </c>
      <c r="H823" s="13" t="n">
        <f aca="false">(E823/1000)*(F823/1000)*(G823/1000)*7850</f>
        <v>291.472384</v>
      </c>
      <c r="I823" s="8" t="n">
        <v>2</v>
      </c>
      <c r="J823" s="14" t="n">
        <f aca="false">H823*I823</f>
        <v>582.944768</v>
      </c>
      <c r="K823" s="8" t="s">
        <v>954</v>
      </c>
    </row>
    <row r="824" customFormat="false" ht="13.8" hidden="false" customHeight="false" outlineLevel="0" collapsed="false">
      <c r="A824" s="8" t="s">
        <v>922</v>
      </c>
      <c r="B824" s="8" t="s">
        <v>42</v>
      </c>
      <c r="C824" s="8" t="s">
        <v>326</v>
      </c>
      <c r="D824" s="8" t="s">
        <v>341</v>
      </c>
      <c r="E824" s="8" t="n">
        <v>4726</v>
      </c>
      <c r="F824" s="8" t="n">
        <v>320</v>
      </c>
      <c r="G824" s="8" t="n">
        <v>32</v>
      </c>
      <c r="H824" s="13" t="n">
        <f aca="false">(E824/1000)*(F824/1000)*(G824/1000)*7850</f>
        <v>379.894784</v>
      </c>
      <c r="I824" s="8" t="n">
        <v>1</v>
      </c>
      <c r="J824" s="14" t="n">
        <f aca="false">H824*I824</f>
        <v>379.894784</v>
      </c>
      <c r="K824" s="8" t="s">
        <v>955</v>
      </c>
    </row>
    <row r="825" customFormat="false" ht="13.8" hidden="false" customHeight="false" outlineLevel="0" collapsed="false">
      <c r="A825" s="8" t="s">
        <v>922</v>
      </c>
      <c r="B825" s="8" t="s">
        <v>42</v>
      </c>
      <c r="C825" s="8" t="s">
        <v>147</v>
      </c>
      <c r="D825" s="8" t="s">
        <v>341</v>
      </c>
      <c r="E825" s="8" t="n">
        <v>5026</v>
      </c>
      <c r="F825" s="8" t="n">
        <v>320</v>
      </c>
      <c r="G825" s="8" t="n">
        <v>32</v>
      </c>
      <c r="H825" s="13" t="n">
        <f aca="false">(E825/1000)*(F825/1000)*(G825/1000)*7850</f>
        <v>404.009984</v>
      </c>
      <c r="I825" s="8" t="n">
        <v>1</v>
      </c>
      <c r="J825" s="14" t="n">
        <f aca="false">H825*I825</f>
        <v>404.009984</v>
      </c>
      <c r="K825" s="8" t="s">
        <v>956</v>
      </c>
    </row>
    <row r="826" customFormat="false" ht="13.8" hidden="false" customHeight="false" outlineLevel="0" collapsed="false">
      <c r="A826" s="8" t="s">
        <v>922</v>
      </c>
      <c r="B826" s="8" t="s">
        <v>42</v>
      </c>
      <c r="C826" s="8" t="s">
        <v>149</v>
      </c>
      <c r="D826" s="8" t="s">
        <v>341</v>
      </c>
      <c r="E826" s="8" t="n">
        <v>1200</v>
      </c>
      <c r="F826" s="8" t="n">
        <v>1200</v>
      </c>
      <c r="G826" s="8" t="n">
        <v>16</v>
      </c>
      <c r="H826" s="13" t="n">
        <f aca="false">(E826/1000)*(F826/1000)*(G826/1000)*7850</f>
        <v>180.864</v>
      </c>
      <c r="I826" s="8" t="n">
        <v>2</v>
      </c>
      <c r="J826" s="14" t="n">
        <f aca="false">H826*I826</f>
        <v>361.728</v>
      </c>
      <c r="K826" s="8" t="s">
        <v>957</v>
      </c>
    </row>
    <row r="827" customFormat="false" ht="13.8" hidden="false" customHeight="false" outlineLevel="0" collapsed="false">
      <c r="A827" s="8" t="s">
        <v>922</v>
      </c>
      <c r="B827" s="8" t="s">
        <v>171</v>
      </c>
      <c r="C827" s="8" t="s">
        <v>150</v>
      </c>
      <c r="D827" s="8" t="s">
        <v>341</v>
      </c>
      <c r="E827" s="8" t="n">
        <v>5629</v>
      </c>
      <c r="F827" s="8" t="n">
        <v>1200</v>
      </c>
      <c r="G827" s="8" t="n">
        <v>40</v>
      </c>
      <c r="H827" s="13" t="n">
        <f aca="false">(E827/1000)*(F827/1000)*(G827/1000)*7850</f>
        <v>2121.0072</v>
      </c>
      <c r="I827" s="8" t="n">
        <v>1</v>
      </c>
      <c r="J827" s="14" t="n">
        <f aca="false">H827*I827</f>
        <v>2121.0072</v>
      </c>
      <c r="K827" s="8" t="s">
        <v>958</v>
      </c>
    </row>
    <row r="828" customFormat="false" ht="13.8" hidden="false" customHeight="false" outlineLevel="0" collapsed="false">
      <c r="A828" s="8" t="s">
        <v>922</v>
      </c>
      <c r="B828" s="8" t="s">
        <v>42</v>
      </c>
      <c r="C828" s="8" t="s">
        <v>152</v>
      </c>
      <c r="D828" s="8" t="s">
        <v>341</v>
      </c>
      <c r="E828" s="8" t="n">
        <v>5229</v>
      </c>
      <c r="F828" s="8" t="n">
        <v>1200</v>
      </c>
      <c r="G828" s="8" t="n">
        <v>40</v>
      </c>
      <c r="H828" s="13" t="n">
        <f aca="false">(E828/1000)*(F828/1000)*(G828/1000)*7850</f>
        <v>1970.2872</v>
      </c>
      <c r="I828" s="8" t="n">
        <v>1</v>
      </c>
      <c r="J828" s="14" t="n">
        <f aca="false">H828*I828</f>
        <v>1970.2872</v>
      </c>
      <c r="K828" s="8" t="s">
        <v>959</v>
      </c>
    </row>
    <row r="829" customFormat="false" ht="13.8" hidden="false" customHeight="false" outlineLevel="0" collapsed="false">
      <c r="A829" s="8" t="s">
        <v>922</v>
      </c>
      <c r="B829" s="8" t="s">
        <v>42</v>
      </c>
      <c r="C829" s="8" t="s">
        <v>155</v>
      </c>
      <c r="D829" s="8" t="s">
        <v>341</v>
      </c>
      <c r="E829" s="8" t="n">
        <v>3629</v>
      </c>
      <c r="F829" s="8" t="n">
        <v>1760</v>
      </c>
      <c r="G829" s="8" t="n">
        <v>40</v>
      </c>
      <c r="H829" s="13" t="n">
        <f aca="false">(E829/1000)*(F829/1000)*(G829/1000)*7850</f>
        <v>2005.53056</v>
      </c>
      <c r="I829" s="8" t="n">
        <v>2</v>
      </c>
      <c r="J829" s="14" t="n">
        <f aca="false">H829*I829</f>
        <v>4011.06112</v>
      </c>
      <c r="K829" s="8" t="s">
        <v>960</v>
      </c>
    </row>
    <row r="830" customFormat="false" ht="13.8" hidden="false" customHeight="false" outlineLevel="0" collapsed="false">
      <c r="A830" s="8" t="s">
        <v>922</v>
      </c>
      <c r="B830" s="8" t="s">
        <v>42</v>
      </c>
      <c r="C830" s="8" t="s">
        <v>160</v>
      </c>
      <c r="D830" s="8" t="s">
        <v>341</v>
      </c>
      <c r="E830" s="8" t="n">
        <v>3629</v>
      </c>
      <c r="F830" s="8" t="n">
        <v>320</v>
      </c>
      <c r="G830" s="8" t="n">
        <v>32</v>
      </c>
      <c r="H830" s="13" t="n">
        <f aca="false">(E830/1000)*(F830/1000)*(G830/1000)*7850</f>
        <v>291.713536</v>
      </c>
      <c r="I830" s="8" t="n">
        <v>4</v>
      </c>
      <c r="J830" s="14" t="n">
        <f aca="false">H830*I830</f>
        <v>1166.854144</v>
      </c>
      <c r="K830" s="8" t="s">
        <v>961</v>
      </c>
    </row>
    <row r="831" customFormat="false" ht="13.8" hidden="false" customHeight="false" outlineLevel="0" collapsed="false">
      <c r="A831" s="8" t="s">
        <v>922</v>
      </c>
      <c r="B831" s="8" t="s">
        <v>42</v>
      </c>
      <c r="C831" s="8" t="s">
        <v>226</v>
      </c>
      <c r="D831" s="8" t="s">
        <v>341</v>
      </c>
      <c r="E831" s="8" t="n">
        <v>4229</v>
      </c>
      <c r="F831" s="8" t="n">
        <v>320</v>
      </c>
      <c r="G831" s="8" t="n">
        <v>32</v>
      </c>
      <c r="H831" s="13" t="n">
        <f aca="false">(E831/1000)*(F831/1000)*(G831/1000)*7850</f>
        <v>339.943936</v>
      </c>
      <c r="I831" s="8" t="n">
        <v>1</v>
      </c>
      <c r="J831" s="14" t="n">
        <f aca="false">H831*I831</f>
        <v>339.943936</v>
      </c>
      <c r="K831" s="8" t="s">
        <v>962</v>
      </c>
    </row>
    <row r="832" customFormat="false" ht="13.8" hidden="false" customHeight="false" outlineLevel="0" collapsed="false">
      <c r="A832" s="8" t="s">
        <v>922</v>
      </c>
      <c r="B832" s="8" t="s">
        <v>42</v>
      </c>
      <c r="C832" s="8" t="s">
        <v>165</v>
      </c>
      <c r="D832" s="8" t="s">
        <v>341</v>
      </c>
      <c r="E832" s="8" t="n">
        <v>3829</v>
      </c>
      <c r="F832" s="8" t="n">
        <v>320</v>
      </c>
      <c r="G832" s="8" t="n">
        <v>32</v>
      </c>
      <c r="H832" s="13" t="n">
        <f aca="false">(E832/1000)*(F832/1000)*(G832/1000)*7850</f>
        <v>307.790336</v>
      </c>
      <c r="I832" s="8" t="n">
        <v>1</v>
      </c>
      <c r="J832" s="14" t="n">
        <f aca="false">H832*I832</f>
        <v>307.790336</v>
      </c>
      <c r="K832" s="8" t="s">
        <v>963</v>
      </c>
    </row>
    <row r="833" customFormat="false" ht="13.8" hidden="false" customHeight="false" outlineLevel="0" collapsed="false">
      <c r="A833" s="8" t="s">
        <v>922</v>
      </c>
      <c r="B833" s="8" t="s">
        <v>42</v>
      </c>
      <c r="C833" s="8" t="s">
        <v>158</v>
      </c>
      <c r="D833" s="8" t="s">
        <v>341</v>
      </c>
      <c r="E833" s="8" t="n">
        <v>1200</v>
      </c>
      <c r="F833" s="8" t="n">
        <v>1600</v>
      </c>
      <c r="G833" s="8" t="n">
        <v>16</v>
      </c>
      <c r="H833" s="13" t="n">
        <f aca="false">(E833/1000)*(F833/1000)*(G833/1000)*7850</f>
        <v>241.152</v>
      </c>
      <c r="I833" s="8" t="n">
        <v>2</v>
      </c>
      <c r="J833" s="14" t="n">
        <f aca="false">H833*I833</f>
        <v>482.304</v>
      </c>
      <c r="K833" s="8" t="s">
        <v>951</v>
      </c>
    </row>
    <row r="834" customFormat="false" ht="13.8" hidden="false" customHeight="false" outlineLevel="0" collapsed="false">
      <c r="A834" s="8" t="s">
        <v>922</v>
      </c>
      <c r="B834" s="8" t="s">
        <v>42</v>
      </c>
      <c r="C834" s="8" t="s">
        <v>386</v>
      </c>
      <c r="D834" s="8" t="s">
        <v>341</v>
      </c>
      <c r="E834" s="8" t="n">
        <v>2100</v>
      </c>
      <c r="F834" s="8" t="n">
        <v>320</v>
      </c>
      <c r="G834" s="8" t="n">
        <v>32</v>
      </c>
      <c r="H834" s="13" t="n">
        <f aca="false">(E834/1000)*(F834/1000)*(G834/1000)*7850</f>
        <v>168.8064</v>
      </c>
      <c r="I834" s="8" t="n">
        <v>6</v>
      </c>
      <c r="J834" s="14" t="n">
        <f aca="false">H834*I834</f>
        <v>1012.8384</v>
      </c>
      <c r="K834" s="8" t="s">
        <v>964</v>
      </c>
    </row>
    <row r="835" customFormat="false" ht="13.8" hidden="false" customHeight="false" outlineLevel="0" collapsed="false">
      <c r="A835" s="8" t="s">
        <v>922</v>
      </c>
      <c r="B835" s="8" t="s">
        <v>42</v>
      </c>
      <c r="C835" s="8" t="s">
        <v>388</v>
      </c>
      <c r="D835" s="8" t="s">
        <v>341</v>
      </c>
      <c r="E835" s="8" t="n">
        <v>2000</v>
      </c>
      <c r="F835" s="8" t="n">
        <v>320</v>
      </c>
      <c r="G835" s="8" t="n">
        <v>32</v>
      </c>
      <c r="H835" s="13" t="n">
        <f aca="false">(E835/1000)*(F835/1000)*(G835/1000)*7850</f>
        <v>160.768</v>
      </c>
      <c r="I835" s="8" t="n">
        <v>8</v>
      </c>
      <c r="J835" s="14" t="n">
        <f aca="false">H835*I835</f>
        <v>1286.144</v>
      </c>
      <c r="K835" s="8" t="s">
        <v>965</v>
      </c>
    </row>
    <row r="836" customFormat="false" ht="13.8" hidden="false" customHeight="false" outlineLevel="0" collapsed="false">
      <c r="A836" s="8" t="s">
        <v>922</v>
      </c>
      <c r="B836" s="8" t="s">
        <v>64</v>
      </c>
      <c r="C836" s="8" t="s">
        <v>167</v>
      </c>
      <c r="D836" s="8" t="s">
        <v>40</v>
      </c>
      <c r="E836" s="8" t="n">
        <v>1960</v>
      </c>
      <c r="F836" s="8" t="n">
        <v>606</v>
      </c>
      <c r="G836" s="8" t="n">
        <v>14</v>
      </c>
      <c r="H836" s="13" t="n">
        <f aca="false">(E836/1000)*(F836/1000)*(G836/1000)*7850</f>
        <v>130.534824</v>
      </c>
      <c r="I836" s="8" t="n">
        <v>6</v>
      </c>
      <c r="J836" s="14" t="n">
        <f aca="false">H836*I836</f>
        <v>783.208944</v>
      </c>
      <c r="K836" s="8" t="s">
        <v>966</v>
      </c>
    </row>
    <row r="837" customFormat="false" ht="13.8" hidden="false" customHeight="false" outlineLevel="0" collapsed="false">
      <c r="A837" s="8" t="s">
        <v>922</v>
      </c>
      <c r="B837" s="8" t="s">
        <v>42</v>
      </c>
      <c r="C837" s="8" t="s">
        <v>233</v>
      </c>
      <c r="D837" s="8" t="s">
        <v>40</v>
      </c>
      <c r="E837" s="8" t="n">
        <v>1960</v>
      </c>
      <c r="F837" s="8" t="n">
        <v>602</v>
      </c>
      <c r="G837" s="8" t="n">
        <v>14</v>
      </c>
      <c r="H837" s="13" t="n">
        <f aca="false">(E837/1000)*(F837/1000)*(G837/1000)*7850</f>
        <v>129.673208</v>
      </c>
      <c r="I837" s="8" t="n">
        <v>4</v>
      </c>
      <c r="J837" s="14" t="n">
        <f aca="false">H837*I837</f>
        <v>518.692832</v>
      </c>
      <c r="K837" s="8" t="s">
        <v>967</v>
      </c>
    </row>
    <row r="838" customFormat="false" ht="13.8" hidden="false" customHeight="false" outlineLevel="0" collapsed="false">
      <c r="A838" s="8" t="s">
        <v>922</v>
      </c>
      <c r="B838" s="8" t="s">
        <v>42</v>
      </c>
      <c r="C838" s="8" t="s">
        <v>169</v>
      </c>
      <c r="D838" s="8" t="s">
        <v>40</v>
      </c>
      <c r="G838" s="8" t="n">
        <v>24</v>
      </c>
      <c r="H838" s="13" t="n">
        <f aca="false">M838*(G838/1000)*7850</f>
        <v>88.548</v>
      </c>
      <c r="I838" s="8" t="n">
        <v>6</v>
      </c>
      <c r="J838" s="14" t="n">
        <f aca="false">H838*I838</f>
        <v>531.288</v>
      </c>
      <c r="K838" s="8" t="s">
        <v>968</v>
      </c>
      <c r="M838" s="15" t="n">
        <v>0.47</v>
      </c>
    </row>
    <row r="839" customFormat="false" ht="13.8" hidden="false" customHeight="false" outlineLevel="0" collapsed="false">
      <c r="A839" s="8" t="s">
        <v>922</v>
      </c>
      <c r="B839" s="8" t="s">
        <v>42</v>
      </c>
      <c r="C839" s="8" t="s">
        <v>236</v>
      </c>
      <c r="D839" s="8" t="s">
        <v>40</v>
      </c>
      <c r="G839" s="8" t="n">
        <v>24</v>
      </c>
      <c r="H839" s="13" t="n">
        <f aca="false">M839*(G839/1000)*7850</f>
        <v>90.432</v>
      </c>
      <c r="I839" s="8" t="n">
        <v>4</v>
      </c>
      <c r="J839" s="14" t="n">
        <f aca="false">H839*I839</f>
        <v>361.728</v>
      </c>
      <c r="K839" s="8" t="s">
        <v>969</v>
      </c>
      <c r="M839" s="15" t="n">
        <v>0.48</v>
      </c>
    </row>
    <row r="840" customFormat="false" ht="13.8" hidden="false" customHeight="false" outlineLevel="0" collapsed="false">
      <c r="A840" s="8" t="s">
        <v>922</v>
      </c>
      <c r="B840" s="8" t="s">
        <v>42</v>
      </c>
      <c r="C840" s="8" t="s">
        <v>172</v>
      </c>
      <c r="D840" s="8" t="s">
        <v>40</v>
      </c>
      <c r="E840" s="8" t="n">
        <v>1800</v>
      </c>
      <c r="F840" s="8" t="n">
        <v>606</v>
      </c>
      <c r="G840" s="8" t="n">
        <v>14</v>
      </c>
      <c r="H840" s="13" t="n">
        <f aca="false">(E840/1000)*(F840/1000)*(G840/1000)*7850</f>
        <v>119.87892</v>
      </c>
      <c r="I840" s="8" t="n">
        <v>4</v>
      </c>
      <c r="J840" s="14" t="n">
        <f aca="false">H840*I840</f>
        <v>479.51568</v>
      </c>
      <c r="K840" s="8" t="s">
        <v>970</v>
      </c>
    </row>
    <row r="841" customFormat="false" ht="13.8" hidden="false" customHeight="false" outlineLevel="0" collapsed="false">
      <c r="A841" s="8" t="s">
        <v>922</v>
      </c>
      <c r="B841" s="8" t="s">
        <v>42</v>
      </c>
      <c r="C841" s="8" t="s">
        <v>239</v>
      </c>
      <c r="D841" s="8" t="s">
        <v>40</v>
      </c>
      <c r="E841" s="8" t="n">
        <v>1800</v>
      </c>
      <c r="F841" s="8" t="n">
        <v>606</v>
      </c>
      <c r="G841" s="8" t="n">
        <v>14</v>
      </c>
      <c r="H841" s="13" t="n">
        <f aca="false">(E841/1000)*(F841/1000)*(G841/1000)*7850</f>
        <v>119.87892</v>
      </c>
      <c r="I841" s="8" t="n">
        <v>4</v>
      </c>
      <c r="J841" s="14" t="n">
        <f aca="false">H841*I841</f>
        <v>479.51568</v>
      </c>
      <c r="K841" s="8" t="s">
        <v>970</v>
      </c>
    </row>
    <row r="842" customFormat="false" ht="13.8" hidden="false" customHeight="false" outlineLevel="0" collapsed="false">
      <c r="A842" s="8" t="s">
        <v>922</v>
      </c>
      <c r="B842" s="8" t="s">
        <v>492</v>
      </c>
      <c r="C842" s="8" t="s">
        <v>78</v>
      </c>
      <c r="D842" s="8" t="s">
        <v>341</v>
      </c>
      <c r="E842" s="8" t="n">
        <v>1800</v>
      </c>
      <c r="F842" s="8" t="n">
        <v>1200</v>
      </c>
      <c r="G842" s="8" t="n">
        <v>32</v>
      </c>
      <c r="H842" s="13" t="n">
        <f aca="false">(E842/1000)*(F842/1000)*(G842/1000)*7850</f>
        <v>542.592</v>
      </c>
      <c r="I842" s="8" t="n">
        <v>5</v>
      </c>
      <c r="J842" s="14" t="n">
        <f aca="false">H842*I842</f>
        <v>2712.96</v>
      </c>
      <c r="K842" s="8" t="s">
        <v>971</v>
      </c>
    </row>
    <row r="843" customFormat="false" ht="13.8" hidden="false" customHeight="false" outlineLevel="0" collapsed="false">
      <c r="A843" s="8" t="s">
        <v>922</v>
      </c>
      <c r="B843" s="8" t="s">
        <v>42</v>
      </c>
      <c r="C843" s="8" t="s">
        <v>82</v>
      </c>
      <c r="D843" s="8" t="s">
        <v>341</v>
      </c>
      <c r="E843" s="8" t="n">
        <v>1800</v>
      </c>
      <c r="F843" s="8" t="n">
        <v>602</v>
      </c>
      <c r="G843" s="8" t="n">
        <v>44</v>
      </c>
      <c r="H843" s="13" t="n">
        <f aca="false">(E843/1000)*(F843/1000)*(G843/1000)*7850</f>
        <v>374.27544</v>
      </c>
      <c r="I843" s="8" t="n">
        <v>6</v>
      </c>
      <c r="J843" s="14" t="n">
        <f aca="false">H843*I843</f>
        <v>2245.65264</v>
      </c>
      <c r="K843" s="8" t="s">
        <v>972</v>
      </c>
    </row>
    <row r="844" customFormat="false" ht="13.8" hidden="false" customHeight="false" outlineLevel="0" collapsed="false">
      <c r="A844" s="8" t="s">
        <v>922</v>
      </c>
      <c r="B844" s="8" t="s">
        <v>42</v>
      </c>
      <c r="C844" s="8" t="s">
        <v>87</v>
      </c>
      <c r="D844" s="8" t="s">
        <v>341</v>
      </c>
      <c r="E844" s="8" t="n">
        <v>2800</v>
      </c>
      <c r="F844" s="8" t="n">
        <v>2650</v>
      </c>
      <c r="G844" s="8" t="n">
        <v>80</v>
      </c>
      <c r="H844" s="13" t="n">
        <f aca="false">(E844/1000)*(F844/1000)*(G844/1000)*7850</f>
        <v>4659.76</v>
      </c>
      <c r="I844" s="8" t="n">
        <v>1</v>
      </c>
      <c r="J844" s="14" t="n">
        <f aca="false">H844*I844</f>
        <v>4659.76</v>
      </c>
      <c r="K844" s="8" t="s">
        <v>973</v>
      </c>
    </row>
    <row r="845" customFormat="false" ht="13.8" hidden="false" customHeight="false" outlineLevel="0" collapsed="false">
      <c r="A845" s="8" t="s">
        <v>922</v>
      </c>
      <c r="B845" s="8" t="s">
        <v>42</v>
      </c>
      <c r="C845" s="8" t="s">
        <v>90</v>
      </c>
      <c r="D845" s="8" t="s">
        <v>341</v>
      </c>
      <c r="E845" s="8" t="n">
        <v>1000</v>
      </c>
      <c r="F845" s="8" t="n">
        <v>568</v>
      </c>
      <c r="G845" s="8" t="n">
        <v>32</v>
      </c>
      <c r="H845" s="13" t="n">
        <f aca="false">(E845/1000)*(F845/1000)*(G845/1000)*7850</f>
        <v>142.6816</v>
      </c>
      <c r="I845" s="8" t="n">
        <v>4</v>
      </c>
      <c r="J845" s="14" t="n">
        <f aca="false">H845*I845</f>
        <v>570.7264</v>
      </c>
      <c r="K845" s="8" t="s">
        <v>974</v>
      </c>
    </row>
    <row r="846" customFormat="false" ht="13.8" hidden="false" customHeight="false" outlineLevel="0" collapsed="false">
      <c r="A846" s="8" t="s">
        <v>922</v>
      </c>
      <c r="B846" s="8" t="s">
        <v>42</v>
      </c>
      <c r="C846" s="8" t="s">
        <v>94</v>
      </c>
      <c r="D846" s="8" t="s">
        <v>341</v>
      </c>
      <c r="E846" s="8" t="n">
        <v>1350</v>
      </c>
      <c r="F846" s="8" t="n">
        <v>570</v>
      </c>
      <c r="G846" s="8" t="n">
        <v>32</v>
      </c>
      <c r="H846" s="13" t="n">
        <f aca="false">(E846/1000)*(F846/1000)*(G846/1000)*7850</f>
        <v>193.2984</v>
      </c>
      <c r="I846" s="8" t="n">
        <v>4</v>
      </c>
      <c r="J846" s="14" t="n">
        <f aca="false">H846*I846</f>
        <v>773.1936</v>
      </c>
      <c r="K846" s="8" t="s">
        <v>975</v>
      </c>
    </row>
    <row r="847" customFormat="false" ht="13.8" hidden="false" customHeight="false" outlineLevel="0" collapsed="false">
      <c r="A847" s="8" t="s">
        <v>976</v>
      </c>
      <c r="B847" s="8" t="s">
        <v>38</v>
      </c>
      <c r="C847" s="8" t="s">
        <v>179</v>
      </c>
      <c r="D847" s="8" t="s">
        <v>341</v>
      </c>
      <c r="G847" s="8" t="n">
        <v>40</v>
      </c>
      <c r="H847" s="13" t="n">
        <f aca="false">M847*(G847/1000)*7850</f>
        <v>4797.92</v>
      </c>
      <c r="I847" s="8" t="n">
        <v>1</v>
      </c>
      <c r="J847" s="14" t="n">
        <f aca="false">H847*I847</f>
        <v>4797.92</v>
      </c>
      <c r="K847" s="8" t="s">
        <v>977</v>
      </c>
      <c r="M847" s="15" t="n">
        <v>15.28</v>
      </c>
    </row>
    <row r="848" customFormat="false" ht="13.8" hidden="false" customHeight="false" outlineLevel="0" collapsed="false">
      <c r="A848" s="8" t="s">
        <v>976</v>
      </c>
      <c r="B848" s="8" t="s">
        <v>42</v>
      </c>
      <c r="C848" s="8" t="s">
        <v>243</v>
      </c>
      <c r="D848" s="8" t="s">
        <v>341</v>
      </c>
      <c r="G848" s="8" t="n">
        <v>40</v>
      </c>
      <c r="H848" s="13" t="n">
        <f aca="false">M848*(G848/1000)*7850</f>
        <v>4311.22</v>
      </c>
      <c r="I848" s="8" t="n">
        <v>1</v>
      </c>
      <c r="J848" s="14" t="n">
        <f aca="false">H848*I848</f>
        <v>4311.22</v>
      </c>
      <c r="K848" s="8" t="s">
        <v>978</v>
      </c>
      <c r="M848" s="15" t="n">
        <v>13.73</v>
      </c>
    </row>
    <row r="849" customFormat="false" ht="13.8" hidden="false" customHeight="false" outlineLevel="0" collapsed="false">
      <c r="A849" s="8" t="s">
        <v>976</v>
      </c>
      <c r="B849" s="8" t="s">
        <v>45</v>
      </c>
      <c r="C849" s="8" t="s">
        <v>292</v>
      </c>
      <c r="D849" s="8" t="s">
        <v>341</v>
      </c>
      <c r="E849" s="8" t="n">
        <v>7900</v>
      </c>
      <c r="F849" s="8" t="n">
        <v>1200</v>
      </c>
      <c r="G849" s="8" t="n">
        <v>40</v>
      </c>
      <c r="H849" s="13" t="n">
        <f aca="false">(E849/1000)*(F849/1000)*(G849/1000)*7850</f>
        <v>2976.72</v>
      </c>
      <c r="I849" s="8" t="n">
        <v>1</v>
      </c>
      <c r="J849" s="14" t="n">
        <f aca="false">H849*I849</f>
        <v>2976.72</v>
      </c>
      <c r="K849" s="8" t="s">
        <v>979</v>
      </c>
    </row>
    <row r="850" customFormat="false" ht="13.8" hidden="false" customHeight="false" outlineLevel="0" collapsed="false">
      <c r="A850" s="8" t="s">
        <v>976</v>
      </c>
      <c r="B850" s="8" t="s">
        <v>42</v>
      </c>
      <c r="C850" s="8" t="s">
        <v>345</v>
      </c>
      <c r="D850" s="8" t="s">
        <v>341</v>
      </c>
      <c r="E850" s="8" t="n">
        <v>7100</v>
      </c>
      <c r="F850" s="8" t="n">
        <v>1200</v>
      </c>
      <c r="G850" s="8" t="n">
        <v>40</v>
      </c>
      <c r="H850" s="13" t="n">
        <f aca="false">(E850/1000)*(F850/1000)*(G850/1000)*7850</f>
        <v>2675.28</v>
      </c>
      <c r="I850" s="8" t="n">
        <v>1</v>
      </c>
      <c r="J850" s="14" t="n">
        <f aca="false">H850*I850</f>
        <v>2675.28</v>
      </c>
      <c r="K850" s="8" t="s">
        <v>980</v>
      </c>
    </row>
    <row r="851" customFormat="false" ht="13.8" hidden="false" customHeight="false" outlineLevel="0" collapsed="false">
      <c r="A851" s="8" t="s">
        <v>976</v>
      </c>
      <c r="B851" s="8" t="s">
        <v>187</v>
      </c>
      <c r="C851" s="8" t="s">
        <v>188</v>
      </c>
      <c r="D851" s="8" t="s">
        <v>341</v>
      </c>
      <c r="G851" s="8" t="n">
        <v>48</v>
      </c>
      <c r="H851" s="13" t="n">
        <f aca="false">M851*(G851/1000)*7850</f>
        <v>9239.136</v>
      </c>
      <c r="I851" s="8" t="n">
        <v>2</v>
      </c>
      <c r="J851" s="14" t="n">
        <f aca="false">H851*I851</f>
        <v>18478.272</v>
      </c>
      <c r="K851" s="8" t="s">
        <v>981</v>
      </c>
      <c r="M851" s="15" t="n">
        <v>24.52</v>
      </c>
    </row>
    <row r="852" customFormat="false" ht="13.8" hidden="false" customHeight="false" outlineLevel="0" collapsed="false">
      <c r="A852" s="8" t="s">
        <v>976</v>
      </c>
      <c r="B852" s="8" t="s">
        <v>190</v>
      </c>
      <c r="C852" s="8" t="s">
        <v>50</v>
      </c>
      <c r="D852" s="8" t="s">
        <v>341</v>
      </c>
      <c r="E852" s="8" t="n">
        <v>7300</v>
      </c>
      <c r="F852" s="8" t="n">
        <v>2048</v>
      </c>
      <c r="G852" s="8" t="n">
        <v>48</v>
      </c>
      <c r="H852" s="13" t="n">
        <f aca="false">(E852/1000)*(F852/1000)*(G852/1000)*7850</f>
        <v>5633.31072</v>
      </c>
      <c r="I852" s="8" t="n">
        <v>2</v>
      </c>
      <c r="J852" s="14" t="n">
        <f aca="false">H852*I852</f>
        <v>11266.62144</v>
      </c>
      <c r="K852" s="8" t="s">
        <v>982</v>
      </c>
    </row>
    <row r="853" customFormat="false" ht="13.8" hidden="false" customHeight="false" outlineLevel="0" collapsed="false">
      <c r="A853" s="8" t="s">
        <v>976</v>
      </c>
      <c r="B853" s="8" t="s">
        <v>195</v>
      </c>
      <c r="C853" s="8" t="s">
        <v>58</v>
      </c>
      <c r="D853" s="8" t="s">
        <v>341</v>
      </c>
      <c r="E853" s="8" t="n">
        <v>1960</v>
      </c>
      <c r="F853" s="8" t="n">
        <v>1200</v>
      </c>
      <c r="G853" s="8" t="n">
        <v>16</v>
      </c>
      <c r="H853" s="13" t="n">
        <f aca="false">(E853/1000)*(F853/1000)*(G853/1000)*7850</f>
        <v>295.4112</v>
      </c>
      <c r="I853" s="8" t="n">
        <v>3</v>
      </c>
      <c r="J853" s="14" t="n">
        <f aca="false">H853*I853</f>
        <v>886.2336</v>
      </c>
      <c r="K853" s="8" t="s">
        <v>983</v>
      </c>
    </row>
    <row r="854" customFormat="false" ht="13.8" hidden="false" customHeight="false" outlineLevel="0" collapsed="false">
      <c r="A854" s="8" t="s">
        <v>976</v>
      </c>
      <c r="B854" s="8" t="s">
        <v>42</v>
      </c>
      <c r="C854" s="8" t="s">
        <v>298</v>
      </c>
      <c r="D854" s="8" t="s">
        <v>341</v>
      </c>
      <c r="E854" s="8" t="n">
        <v>1960</v>
      </c>
      <c r="F854" s="8" t="n">
        <v>1200</v>
      </c>
      <c r="G854" s="8" t="n">
        <v>16</v>
      </c>
      <c r="H854" s="13" t="n">
        <f aca="false">(E854/1000)*(F854/1000)*(G854/1000)*7850</f>
        <v>295.4112</v>
      </c>
      <c r="I854" s="8" t="n">
        <v>2</v>
      </c>
      <c r="J854" s="14" t="n">
        <f aca="false">H854*I854</f>
        <v>590.8224</v>
      </c>
      <c r="K854" s="8" t="s">
        <v>983</v>
      </c>
    </row>
    <row r="855" customFormat="false" ht="13.8" hidden="false" customHeight="false" outlineLevel="0" collapsed="false">
      <c r="A855" s="8" t="s">
        <v>976</v>
      </c>
      <c r="B855" s="8" t="s">
        <v>42</v>
      </c>
      <c r="C855" s="8" t="s">
        <v>196</v>
      </c>
      <c r="D855" s="8" t="s">
        <v>341</v>
      </c>
      <c r="E855" s="8" t="n">
        <v>2057</v>
      </c>
      <c r="F855" s="8" t="n">
        <v>200</v>
      </c>
      <c r="G855" s="8" t="n">
        <v>16</v>
      </c>
      <c r="H855" s="13" t="n">
        <f aca="false">(E855/1000)*(F855/1000)*(G855/1000)*7850</f>
        <v>51.67184</v>
      </c>
      <c r="I855" s="8" t="n">
        <v>3</v>
      </c>
      <c r="J855" s="14" t="n">
        <f aca="false">H855*I855</f>
        <v>155.01552</v>
      </c>
      <c r="K855" s="8" t="s">
        <v>984</v>
      </c>
    </row>
    <row r="856" customFormat="false" ht="13.8" hidden="false" customHeight="false" outlineLevel="0" collapsed="false">
      <c r="A856" s="8" t="s">
        <v>976</v>
      </c>
      <c r="B856" s="8" t="s">
        <v>42</v>
      </c>
      <c r="C856" s="8" t="s">
        <v>68</v>
      </c>
      <c r="D856" s="8" t="s">
        <v>341</v>
      </c>
      <c r="E856" s="8" t="n">
        <v>800</v>
      </c>
      <c r="F856" s="8" t="n">
        <v>400</v>
      </c>
      <c r="G856" s="8" t="n">
        <v>16</v>
      </c>
      <c r="H856" s="13" t="n">
        <f aca="false">(E856/1000)*(F856/1000)*(G856/1000)*7850</f>
        <v>40.192</v>
      </c>
      <c r="I856" s="8" t="n">
        <v>4</v>
      </c>
      <c r="J856" s="14" t="n">
        <f aca="false">H856*I856</f>
        <v>160.768</v>
      </c>
      <c r="K856" s="8" t="s">
        <v>985</v>
      </c>
    </row>
    <row r="857" customFormat="false" ht="13.8" hidden="false" customHeight="false" outlineLevel="0" collapsed="false">
      <c r="A857" s="8" t="s">
        <v>976</v>
      </c>
      <c r="B857" s="8" t="s">
        <v>253</v>
      </c>
      <c r="C857" s="8" t="s">
        <v>199</v>
      </c>
      <c r="D857" s="8" t="s">
        <v>341</v>
      </c>
      <c r="E857" s="8" t="n">
        <v>7900</v>
      </c>
      <c r="F857" s="8" t="n">
        <v>320</v>
      </c>
      <c r="G857" s="8" t="n">
        <v>32</v>
      </c>
      <c r="H857" s="13" t="n">
        <f aca="false">(E857/1000)*(F857/1000)*(G857/1000)*7850</f>
        <v>635.0336</v>
      </c>
      <c r="I857" s="8" t="n">
        <v>6</v>
      </c>
      <c r="J857" s="14" t="n">
        <f aca="false">H857*I857</f>
        <v>3810.2016</v>
      </c>
      <c r="K857" s="8" t="s">
        <v>986</v>
      </c>
    </row>
    <row r="858" customFormat="false" ht="13.8" hidden="false" customHeight="false" outlineLevel="0" collapsed="false">
      <c r="A858" s="8" t="s">
        <v>976</v>
      </c>
      <c r="B858" s="8" t="s">
        <v>42</v>
      </c>
      <c r="C858" s="8" t="s">
        <v>987</v>
      </c>
      <c r="D858" s="8" t="s">
        <v>341</v>
      </c>
      <c r="E858" s="8" t="n">
        <v>7100</v>
      </c>
      <c r="F858" s="8" t="n">
        <v>320</v>
      </c>
      <c r="G858" s="8" t="n">
        <v>32</v>
      </c>
      <c r="H858" s="13" t="n">
        <f aca="false">(E858/1000)*(F858/1000)*(G858/1000)*7850</f>
        <v>570.7264</v>
      </c>
      <c r="I858" s="8" t="n">
        <v>6</v>
      </c>
      <c r="J858" s="14" t="n">
        <f aca="false">H858*I858</f>
        <v>3424.3584</v>
      </c>
      <c r="K858" s="8" t="s">
        <v>988</v>
      </c>
    </row>
    <row r="859" customFormat="false" ht="13.8" hidden="false" customHeight="false" outlineLevel="0" collapsed="false">
      <c r="A859" s="8" t="s">
        <v>976</v>
      </c>
      <c r="B859" s="8" t="s">
        <v>256</v>
      </c>
      <c r="C859" s="8" t="s">
        <v>96</v>
      </c>
      <c r="D859" s="8" t="s">
        <v>341</v>
      </c>
      <c r="E859" s="8" t="n">
        <v>7900</v>
      </c>
      <c r="F859" s="8" t="n">
        <v>2500</v>
      </c>
      <c r="G859" s="8" t="n">
        <v>32</v>
      </c>
      <c r="H859" s="13" t="n">
        <f aca="false">(E859/1000)*(F859/1000)*(G859/1000)*7850</f>
        <v>4961.2</v>
      </c>
      <c r="I859" s="8" t="n">
        <v>1</v>
      </c>
      <c r="J859" s="14" t="n">
        <f aca="false">H859*I859</f>
        <v>4961.2</v>
      </c>
      <c r="K859" s="8" t="s">
        <v>989</v>
      </c>
    </row>
    <row r="860" customFormat="false" ht="13.8" hidden="false" customHeight="false" outlineLevel="0" collapsed="false">
      <c r="A860" s="8" t="s">
        <v>976</v>
      </c>
      <c r="B860" s="8" t="s">
        <v>42</v>
      </c>
      <c r="C860" s="8" t="s">
        <v>203</v>
      </c>
      <c r="D860" s="8" t="s">
        <v>40</v>
      </c>
      <c r="E860" s="8" t="n">
        <v>7100</v>
      </c>
      <c r="F860" s="8" t="n">
        <v>2500</v>
      </c>
      <c r="G860" s="8" t="n">
        <v>24</v>
      </c>
      <c r="H860" s="13" t="n">
        <f aca="false">(E860/1000)*(F860/1000)*(G860/1000)*7850</f>
        <v>3344.1</v>
      </c>
      <c r="I860" s="8" t="n">
        <v>1</v>
      </c>
      <c r="J860" s="14" t="n">
        <f aca="false">H860*I860</f>
        <v>3344.1</v>
      </c>
      <c r="K860" s="8" t="s">
        <v>990</v>
      </c>
    </row>
    <row r="861" customFormat="false" ht="13.8" hidden="false" customHeight="false" outlineLevel="0" collapsed="false">
      <c r="A861" s="8" t="s">
        <v>976</v>
      </c>
      <c r="B861" s="8" t="s">
        <v>260</v>
      </c>
      <c r="C861" s="8" t="s">
        <v>307</v>
      </c>
      <c r="D861" s="8" t="s">
        <v>341</v>
      </c>
      <c r="G861" s="8" t="n">
        <v>32</v>
      </c>
      <c r="H861" s="13" t="n">
        <f aca="false">M861*(G861/1000)*7850</f>
        <v>3255.552</v>
      </c>
      <c r="I861" s="8" t="n">
        <v>1</v>
      </c>
      <c r="J861" s="14" t="n">
        <f aca="false">H861*I861</f>
        <v>3255.552</v>
      </c>
      <c r="K861" s="8" t="s">
        <v>991</v>
      </c>
      <c r="M861" s="15" t="n">
        <v>12.96</v>
      </c>
    </row>
    <row r="862" customFormat="false" ht="13.8" hidden="false" customHeight="false" outlineLevel="0" collapsed="false">
      <c r="A862" s="8" t="s">
        <v>976</v>
      </c>
      <c r="B862" s="8" t="s">
        <v>42</v>
      </c>
      <c r="C862" s="8" t="s">
        <v>206</v>
      </c>
      <c r="D862" s="8" t="s">
        <v>40</v>
      </c>
      <c r="G862" s="8" t="n">
        <v>24</v>
      </c>
      <c r="H862" s="13" t="n">
        <f aca="false">M862*(G862/1000)*7850</f>
        <v>2096.892</v>
      </c>
      <c r="I862" s="8" t="n">
        <v>1</v>
      </c>
      <c r="J862" s="14" t="n">
        <f aca="false">H862*I862</f>
        <v>2096.892</v>
      </c>
      <c r="K862" s="8" t="s">
        <v>992</v>
      </c>
      <c r="M862" s="15" t="n">
        <v>11.13</v>
      </c>
    </row>
    <row r="863" customFormat="false" ht="13.8" hidden="false" customHeight="false" outlineLevel="0" collapsed="false">
      <c r="A863" s="8" t="s">
        <v>976</v>
      </c>
      <c r="B863" s="8" t="s">
        <v>102</v>
      </c>
      <c r="C863" s="8" t="s">
        <v>264</v>
      </c>
      <c r="D863" s="8" t="s">
        <v>40</v>
      </c>
      <c r="E863" s="8" t="n">
        <v>7300</v>
      </c>
      <c r="F863" s="8" t="n">
        <v>1880</v>
      </c>
      <c r="G863" s="8" t="n">
        <v>32</v>
      </c>
      <c r="H863" s="13" t="n">
        <f aca="false">(E863/1000)*(F863/1000)*(G863/1000)*7850</f>
        <v>3447.4688</v>
      </c>
      <c r="I863" s="8" t="n">
        <v>2</v>
      </c>
      <c r="J863" s="14" t="n">
        <f aca="false">H863*I863</f>
        <v>6894.9376</v>
      </c>
      <c r="K863" s="8" t="s">
        <v>993</v>
      </c>
    </row>
    <row r="864" customFormat="false" ht="13.8" hidden="false" customHeight="false" outlineLevel="0" collapsed="false">
      <c r="A864" s="8" t="s">
        <v>976</v>
      </c>
      <c r="B864" s="8" t="s">
        <v>42</v>
      </c>
      <c r="C864" s="8" t="s">
        <v>112</v>
      </c>
      <c r="D864" s="8" t="s">
        <v>40</v>
      </c>
      <c r="E864" s="8" t="n">
        <v>1800</v>
      </c>
      <c r="F864" s="8" t="n">
        <v>1200</v>
      </c>
      <c r="G864" s="8" t="n">
        <v>16</v>
      </c>
      <c r="H864" s="13" t="n">
        <f aca="false">(E864/1000)*(F864/1000)*(G864/1000)*7850</f>
        <v>271.296</v>
      </c>
      <c r="I864" s="8" t="n">
        <v>2</v>
      </c>
      <c r="J864" s="14" t="n">
        <f aca="false">H864*I864</f>
        <v>542.592</v>
      </c>
      <c r="K864" s="8" t="s">
        <v>994</v>
      </c>
    </row>
    <row r="865" customFormat="false" ht="13.8" hidden="false" customHeight="false" outlineLevel="0" collapsed="false">
      <c r="A865" s="8" t="s">
        <v>976</v>
      </c>
      <c r="B865" s="8" t="s">
        <v>42</v>
      </c>
      <c r="C865" s="8" t="s">
        <v>108</v>
      </c>
      <c r="D865" s="8" t="s">
        <v>40</v>
      </c>
      <c r="E865" s="8" t="n">
        <v>2057</v>
      </c>
      <c r="F865" s="8" t="n">
        <v>200</v>
      </c>
      <c r="G865" s="8" t="n">
        <v>16</v>
      </c>
      <c r="H865" s="13" t="n">
        <f aca="false">(E865/1000)*(F865/1000)*(G865/1000)*7850</f>
        <v>51.67184</v>
      </c>
      <c r="I865" s="8" t="n">
        <v>3</v>
      </c>
      <c r="J865" s="14" t="n">
        <f aca="false">H865*I865</f>
        <v>155.01552</v>
      </c>
      <c r="K865" s="8" t="s">
        <v>984</v>
      </c>
    </row>
    <row r="866" customFormat="false" ht="13.8" hidden="false" customHeight="false" outlineLevel="0" collapsed="false">
      <c r="A866" s="8" t="s">
        <v>976</v>
      </c>
      <c r="B866" s="8" t="s">
        <v>314</v>
      </c>
      <c r="C866" s="8" t="s">
        <v>114</v>
      </c>
      <c r="D866" s="8" t="s">
        <v>341</v>
      </c>
      <c r="E866" s="8" t="n">
        <v>7900</v>
      </c>
      <c r="F866" s="8" t="n">
        <v>320</v>
      </c>
      <c r="G866" s="8" t="n">
        <v>32</v>
      </c>
      <c r="H866" s="13" t="n">
        <f aca="false">(E866/1000)*(F866/1000)*(G866/1000)*7850</f>
        <v>635.0336</v>
      </c>
      <c r="I866" s="8" t="n">
        <v>4</v>
      </c>
      <c r="J866" s="14" t="n">
        <f aca="false">H866*I866</f>
        <v>2540.1344</v>
      </c>
      <c r="K866" s="8" t="s">
        <v>986</v>
      </c>
    </row>
    <row r="867" customFormat="false" ht="13.8" hidden="false" customHeight="false" outlineLevel="0" collapsed="false">
      <c r="A867" s="8" t="s">
        <v>976</v>
      </c>
      <c r="B867" s="8" t="s">
        <v>42</v>
      </c>
      <c r="C867" s="8" t="s">
        <v>116</v>
      </c>
      <c r="D867" s="8" t="s">
        <v>40</v>
      </c>
      <c r="E867" s="8" t="n">
        <v>7100</v>
      </c>
      <c r="F867" s="8" t="n">
        <v>320</v>
      </c>
      <c r="G867" s="8" t="n">
        <v>32</v>
      </c>
      <c r="H867" s="13" t="n">
        <f aca="false">(E867/1000)*(F867/1000)*(G867/1000)*7850</f>
        <v>570.7264</v>
      </c>
      <c r="I867" s="8" t="n">
        <v>4</v>
      </c>
      <c r="J867" s="14" t="n">
        <f aca="false">H867*I867</f>
        <v>2282.9056</v>
      </c>
      <c r="K867" s="8" t="s">
        <v>988</v>
      </c>
    </row>
    <row r="868" customFormat="false" ht="13.8" hidden="false" customHeight="false" outlineLevel="0" collapsed="false">
      <c r="A868" s="8" t="s">
        <v>976</v>
      </c>
      <c r="B868" s="8" t="s">
        <v>42</v>
      </c>
      <c r="C868" s="8" t="s">
        <v>118</v>
      </c>
      <c r="D868" s="8" t="s">
        <v>40</v>
      </c>
      <c r="E868" s="8" t="n">
        <v>15000</v>
      </c>
      <c r="F868" s="8" t="n">
        <v>170</v>
      </c>
      <c r="G868" s="8" t="n">
        <v>14</v>
      </c>
      <c r="H868" s="13" t="n">
        <f aca="false">(E868/1000)*(F868/1000)*(G868/1000)*7850</f>
        <v>280.245</v>
      </c>
      <c r="I868" s="8" t="n">
        <v>2</v>
      </c>
      <c r="J868" s="14" t="n">
        <f aca="false">H868*I868</f>
        <v>560.49</v>
      </c>
      <c r="K868" s="8" t="s">
        <v>995</v>
      </c>
    </row>
    <row r="869" customFormat="false" ht="13.8" hidden="false" customHeight="false" outlineLevel="0" collapsed="false">
      <c r="A869" s="8" t="s">
        <v>976</v>
      </c>
      <c r="B869" s="8" t="s">
        <v>272</v>
      </c>
      <c r="C869" s="8" t="s">
        <v>125</v>
      </c>
      <c r="D869" s="8" t="s">
        <v>40</v>
      </c>
      <c r="E869" s="8" t="n">
        <v>10823</v>
      </c>
      <c r="F869" s="8" t="n">
        <v>1200</v>
      </c>
      <c r="G869" s="8" t="n">
        <v>36</v>
      </c>
      <c r="H869" s="13" t="n">
        <f aca="false">(E869/1000)*(F869/1000)*(G869/1000)*7850</f>
        <v>3670.29576</v>
      </c>
      <c r="I869" s="8" t="n">
        <v>1</v>
      </c>
      <c r="J869" s="14" t="n">
        <f aca="false">H869*I869</f>
        <v>3670.29576</v>
      </c>
      <c r="K869" s="8" t="s">
        <v>996</v>
      </c>
    </row>
    <row r="870" customFormat="false" ht="13.8" hidden="false" customHeight="false" outlineLevel="0" collapsed="false">
      <c r="A870" s="8" t="s">
        <v>976</v>
      </c>
      <c r="B870" s="8" t="s">
        <v>42</v>
      </c>
      <c r="C870" s="8" t="s">
        <v>127</v>
      </c>
      <c r="D870" s="8" t="s">
        <v>40</v>
      </c>
      <c r="E870" s="8" t="n">
        <v>11023</v>
      </c>
      <c r="F870" s="8" t="n">
        <v>1200</v>
      </c>
      <c r="G870" s="8" t="n">
        <v>36</v>
      </c>
      <c r="H870" s="13" t="n">
        <f aca="false">(E870/1000)*(F870/1000)*(G870/1000)*7850</f>
        <v>3738.11976</v>
      </c>
      <c r="I870" s="8" t="n">
        <v>1</v>
      </c>
      <c r="J870" s="14" t="n">
        <f aca="false">H870*I870</f>
        <v>3738.11976</v>
      </c>
      <c r="K870" s="8" t="s">
        <v>997</v>
      </c>
    </row>
    <row r="871" customFormat="false" ht="13.8" hidden="false" customHeight="false" outlineLevel="0" collapsed="false">
      <c r="A871" s="8" t="s">
        <v>976</v>
      </c>
      <c r="B871" s="8" t="s">
        <v>42</v>
      </c>
      <c r="C871" s="8" t="s">
        <v>128</v>
      </c>
      <c r="D871" s="8" t="s">
        <v>40</v>
      </c>
      <c r="E871" s="8" t="n">
        <v>7223</v>
      </c>
      <c r="F871" s="8" t="n">
        <v>1360</v>
      </c>
      <c r="G871" s="8" t="n">
        <v>36</v>
      </c>
      <c r="H871" s="13" t="n">
        <f aca="false">(E871/1000)*(F871/1000)*(G871/1000)*7850</f>
        <v>2776.058928</v>
      </c>
      <c r="I871" s="8" t="n">
        <v>2</v>
      </c>
      <c r="J871" s="14" t="n">
        <f aca="false">H871*I871</f>
        <v>5552.117856</v>
      </c>
      <c r="K871" s="8" t="s">
        <v>998</v>
      </c>
    </row>
    <row r="872" customFormat="false" ht="13.8" hidden="false" customHeight="false" outlineLevel="0" collapsed="false">
      <c r="A872" s="8" t="s">
        <v>976</v>
      </c>
      <c r="B872" s="8" t="s">
        <v>42</v>
      </c>
      <c r="C872" s="8" t="s">
        <v>130</v>
      </c>
      <c r="D872" s="8" t="s">
        <v>40</v>
      </c>
      <c r="E872" s="8" t="n">
        <v>7223</v>
      </c>
      <c r="F872" s="8" t="n">
        <v>320</v>
      </c>
      <c r="G872" s="8" t="n">
        <v>32</v>
      </c>
      <c r="H872" s="13" t="n">
        <f aca="false">(E872/1000)*(F872/1000)*(G872/1000)*7850</f>
        <v>580.613632</v>
      </c>
      <c r="I872" s="8" t="n">
        <v>2</v>
      </c>
      <c r="J872" s="14" t="n">
        <f aca="false">H872*I872</f>
        <v>1161.227264</v>
      </c>
      <c r="K872" s="8" t="s">
        <v>999</v>
      </c>
    </row>
    <row r="873" customFormat="false" ht="13.8" hidden="false" customHeight="false" outlineLevel="0" collapsed="false">
      <c r="A873" s="8" t="s">
        <v>976</v>
      </c>
      <c r="B873" s="8" t="s">
        <v>42</v>
      </c>
      <c r="C873" s="8" t="s">
        <v>620</v>
      </c>
      <c r="D873" s="8" t="s">
        <v>40</v>
      </c>
      <c r="E873" s="8" t="n">
        <v>9423</v>
      </c>
      <c r="F873" s="8" t="n">
        <v>320</v>
      </c>
      <c r="G873" s="8" t="n">
        <v>32</v>
      </c>
      <c r="H873" s="13" t="n">
        <f aca="false">(E873/1000)*(F873/1000)*(G873/1000)*7850</f>
        <v>757.458432</v>
      </c>
      <c r="I873" s="8" t="n">
        <v>1</v>
      </c>
      <c r="J873" s="14" t="n">
        <f aca="false">H873*I873</f>
        <v>757.458432</v>
      </c>
      <c r="K873" s="8" t="s">
        <v>1000</v>
      </c>
    </row>
    <row r="874" customFormat="false" ht="13.8" hidden="false" customHeight="false" outlineLevel="0" collapsed="false">
      <c r="A874" s="8" t="s">
        <v>976</v>
      </c>
      <c r="B874" s="8" t="s">
        <v>42</v>
      </c>
      <c r="C874" s="8" t="s">
        <v>134</v>
      </c>
      <c r="D874" s="8" t="s">
        <v>40</v>
      </c>
      <c r="E874" s="8" t="n">
        <v>9623</v>
      </c>
      <c r="F874" s="8" t="n">
        <v>320</v>
      </c>
      <c r="G874" s="8" t="n">
        <v>32</v>
      </c>
      <c r="H874" s="13" t="n">
        <f aca="false">(E874/1000)*(F874/1000)*(G874/1000)*7850</f>
        <v>773.535232</v>
      </c>
      <c r="I874" s="8" t="n">
        <v>1</v>
      </c>
      <c r="J874" s="14" t="n">
        <f aca="false">H874*I874</f>
        <v>773.535232</v>
      </c>
      <c r="K874" s="8" t="s">
        <v>1001</v>
      </c>
    </row>
    <row r="875" customFormat="false" ht="13.8" hidden="false" customHeight="false" outlineLevel="0" collapsed="false">
      <c r="A875" s="8" t="s">
        <v>976</v>
      </c>
      <c r="B875" s="8" t="s">
        <v>42</v>
      </c>
      <c r="C875" s="8" t="s">
        <v>135</v>
      </c>
      <c r="D875" s="8" t="s">
        <v>40</v>
      </c>
      <c r="E875" s="8" t="n">
        <v>1200</v>
      </c>
      <c r="F875" s="8" t="n">
        <v>1200</v>
      </c>
      <c r="G875" s="8" t="n">
        <v>16</v>
      </c>
      <c r="H875" s="13" t="n">
        <f aca="false">(E875/1000)*(F875/1000)*(G875/1000)*7850</f>
        <v>180.864</v>
      </c>
      <c r="I875" s="8" t="n">
        <v>3</v>
      </c>
      <c r="J875" s="14" t="n">
        <f aca="false">H875*I875</f>
        <v>542.592</v>
      </c>
      <c r="K875" s="8" t="s">
        <v>1002</v>
      </c>
    </row>
    <row r="876" customFormat="false" ht="13.8" hidden="false" customHeight="false" outlineLevel="0" collapsed="false">
      <c r="A876" s="8" t="s">
        <v>976</v>
      </c>
      <c r="B876" s="8" t="s">
        <v>42</v>
      </c>
      <c r="C876" s="8" t="s">
        <v>139</v>
      </c>
      <c r="D876" s="8" t="s">
        <v>40</v>
      </c>
      <c r="E876" s="8" t="n">
        <v>5629</v>
      </c>
      <c r="F876" s="8" t="n">
        <v>1200</v>
      </c>
      <c r="G876" s="8" t="n">
        <v>36</v>
      </c>
      <c r="H876" s="13" t="n">
        <f aca="false">(E876/1000)*(F876/1000)*(G876/1000)*7850</f>
        <v>1908.90648</v>
      </c>
      <c r="I876" s="8" t="n">
        <v>1</v>
      </c>
      <c r="J876" s="14" t="n">
        <f aca="false">H876*I876</f>
        <v>1908.90648</v>
      </c>
      <c r="K876" s="8" t="s">
        <v>1003</v>
      </c>
    </row>
    <row r="877" customFormat="false" ht="13.8" hidden="false" customHeight="false" outlineLevel="0" collapsed="false">
      <c r="A877" s="8" t="s">
        <v>976</v>
      </c>
      <c r="B877" s="8" t="s">
        <v>42</v>
      </c>
      <c r="C877" s="8" t="s">
        <v>141</v>
      </c>
      <c r="D877" s="8" t="s">
        <v>40</v>
      </c>
      <c r="E877" s="8" t="n">
        <v>3629</v>
      </c>
      <c r="F877" s="8" t="n">
        <v>1360</v>
      </c>
      <c r="G877" s="8" t="n">
        <v>36</v>
      </c>
      <c r="H877" s="13" t="n">
        <f aca="false">(E877/1000)*(F877/1000)*(G877/1000)*7850</f>
        <v>1394.755344</v>
      </c>
      <c r="I877" s="8" t="n">
        <v>2</v>
      </c>
      <c r="J877" s="14" t="n">
        <f aca="false">H877*I877</f>
        <v>2789.510688</v>
      </c>
      <c r="K877" s="8" t="s">
        <v>1004</v>
      </c>
    </row>
    <row r="878" customFormat="false" ht="13.8" hidden="false" customHeight="false" outlineLevel="0" collapsed="false">
      <c r="A878" s="8" t="s">
        <v>976</v>
      </c>
      <c r="B878" s="8" t="s">
        <v>42</v>
      </c>
      <c r="C878" s="8" t="s">
        <v>143</v>
      </c>
      <c r="D878" s="8" t="s">
        <v>40</v>
      </c>
      <c r="E878" s="8" t="n">
        <v>3629</v>
      </c>
      <c r="F878" s="8" t="n">
        <v>320</v>
      </c>
      <c r="G878" s="8" t="n">
        <v>32</v>
      </c>
      <c r="H878" s="13" t="n">
        <f aca="false">(E878/1000)*(F878/1000)*(G878/1000)*7850</f>
        <v>291.713536</v>
      </c>
      <c r="I878" s="8" t="n">
        <v>4</v>
      </c>
      <c r="J878" s="14" t="n">
        <f aca="false">H878*I878</f>
        <v>1166.854144</v>
      </c>
      <c r="K878" s="8" t="s">
        <v>1005</v>
      </c>
    </row>
    <row r="879" customFormat="false" ht="13.8" hidden="false" customHeight="false" outlineLevel="0" collapsed="false">
      <c r="A879" s="8" t="s">
        <v>976</v>
      </c>
      <c r="B879" s="8" t="s">
        <v>42</v>
      </c>
      <c r="C879" s="8" t="s">
        <v>145</v>
      </c>
      <c r="D879" s="8" t="s">
        <v>40</v>
      </c>
      <c r="E879" s="8" t="n">
        <v>4729</v>
      </c>
      <c r="F879" s="8" t="n">
        <v>320</v>
      </c>
      <c r="G879" s="8" t="n">
        <v>32</v>
      </c>
      <c r="H879" s="13" t="n">
        <f aca="false">(E879/1000)*(F879/1000)*(G879/1000)*7850</f>
        <v>380.135936</v>
      </c>
      <c r="I879" s="8" t="n">
        <v>1</v>
      </c>
      <c r="J879" s="14" t="n">
        <f aca="false">H879*I879</f>
        <v>380.135936</v>
      </c>
      <c r="K879" s="8" t="s">
        <v>1006</v>
      </c>
    </row>
    <row r="880" customFormat="false" ht="13.8" hidden="false" customHeight="false" outlineLevel="0" collapsed="false">
      <c r="A880" s="8" t="s">
        <v>976</v>
      </c>
      <c r="B880" s="8" t="s">
        <v>42</v>
      </c>
      <c r="C880" s="8" t="s">
        <v>147</v>
      </c>
      <c r="D880" s="8" t="s">
        <v>40</v>
      </c>
      <c r="E880" s="8" t="n">
        <v>4929</v>
      </c>
      <c r="F880" s="8" t="n">
        <v>320</v>
      </c>
      <c r="G880" s="8" t="n">
        <v>32</v>
      </c>
      <c r="H880" s="13" t="n">
        <f aca="false">(E880/1000)*(F880/1000)*(G880/1000)*7850</f>
        <v>396.212736</v>
      </c>
      <c r="I880" s="8" t="n">
        <v>1</v>
      </c>
      <c r="J880" s="14" t="n">
        <f aca="false">H880*I880</f>
        <v>396.212736</v>
      </c>
      <c r="K880" s="8" t="s">
        <v>1007</v>
      </c>
    </row>
    <row r="881" customFormat="false" ht="13.8" hidden="false" customHeight="false" outlineLevel="0" collapsed="false">
      <c r="A881" s="8" t="s">
        <v>976</v>
      </c>
      <c r="B881" s="8" t="s">
        <v>42</v>
      </c>
      <c r="C881" s="8" t="s">
        <v>149</v>
      </c>
      <c r="D881" s="8" t="s">
        <v>40</v>
      </c>
      <c r="E881" s="8" t="n">
        <v>1200</v>
      </c>
      <c r="F881" s="8" t="n">
        <v>1200</v>
      </c>
      <c r="G881" s="8" t="n">
        <v>16</v>
      </c>
      <c r="H881" s="13" t="n">
        <f aca="false">(E881/1000)*(F881/1000)*(G881/1000)*7850</f>
        <v>180.864</v>
      </c>
      <c r="I881" s="8" t="n">
        <v>3</v>
      </c>
      <c r="J881" s="14" t="n">
        <f aca="false">H881*I881</f>
        <v>542.592</v>
      </c>
      <c r="K881" s="8" t="s">
        <v>1002</v>
      </c>
    </row>
    <row r="882" customFormat="false" ht="13.8" hidden="false" customHeight="false" outlineLevel="0" collapsed="false">
      <c r="A882" s="8" t="s">
        <v>976</v>
      </c>
      <c r="B882" s="8" t="s">
        <v>171</v>
      </c>
      <c r="C882" s="8" t="s">
        <v>150</v>
      </c>
      <c r="D882" s="8" t="s">
        <v>40</v>
      </c>
      <c r="E882" s="8" t="n">
        <v>5426</v>
      </c>
      <c r="F882" s="8" t="n">
        <v>1200</v>
      </c>
      <c r="G882" s="8" t="n">
        <v>36</v>
      </c>
      <c r="H882" s="13" t="n">
        <f aca="false">(E882/1000)*(F882/1000)*(G882/1000)*7850</f>
        <v>1840.06512</v>
      </c>
      <c r="I882" s="8" t="n">
        <v>1</v>
      </c>
      <c r="J882" s="14" t="n">
        <f aca="false">H882*I882</f>
        <v>1840.06512</v>
      </c>
      <c r="K882" s="8" t="s">
        <v>1008</v>
      </c>
    </row>
    <row r="883" customFormat="false" ht="13.8" hidden="false" customHeight="false" outlineLevel="0" collapsed="false">
      <c r="A883" s="8" t="s">
        <v>976</v>
      </c>
      <c r="B883" s="8" t="s">
        <v>42</v>
      </c>
      <c r="C883" s="8" t="s">
        <v>380</v>
      </c>
      <c r="D883" s="8" t="s">
        <v>40</v>
      </c>
      <c r="E883" s="8" t="n">
        <v>5626</v>
      </c>
      <c r="F883" s="8" t="n">
        <v>1200</v>
      </c>
      <c r="G883" s="8" t="n">
        <v>36</v>
      </c>
      <c r="H883" s="13" t="n">
        <f aca="false">(E883/1000)*(F883/1000)*(G883/1000)*7850</f>
        <v>1907.88912</v>
      </c>
      <c r="I883" s="8" t="n">
        <v>1</v>
      </c>
      <c r="J883" s="14" t="n">
        <f aca="false">H883*I883</f>
        <v>1907.88912</v>
      </c>
      <c r="K883" s="8" t="s">
        <v>1009</v>
      </c>
    </row>
    <row r="884" customFormat="false" ht="13.8" hidden="false" customHeight="false" outlineLevel="0" collapsed="false">
      <c r="A884" s="8" t="s">
        <v>976</v>
      </c>
      <c r="B884" s="8" t="s">
        <v>42</v>
      </c>
      <c r="C884" s="8" t="s">
        <v>155</v>
      </c>
      <c r="D884" s="8" t="s">
        <v>40</v>
      </c>
      <c r="E884" s="8" t="n">
        <v>3626</v>
      </c>
      <c r="F884" s="8" t="n">
        <v>1360</v>
      </c>
      <c r="G884" s="8" t="n">
        <v>36</v>
      </c>
      <c r="H884" s="13" t="n">
        <f aca="false">(E884/1000)*(F884/1000)*(G884/1000)*7850</f>
        <v>1393.602336</v>
      </c>
      <c r="I884" s="8" t="n">
        <v>2</v>
      </c>
      <c r="J884" s="14" t="n">
        <f aca="false">H884*I884</f>
        <v>2787.204672</v>
      </c>
      <c r="K884" s="8" t="s">
        <v>1010</v>
      </c>
    </row>
    <row r="885" customFormat="false" ht="13.8" hidden="false" customHeight="false" outlineLevel="0" collapsed="false">
      <c r="A885" s="8" t="s">
        <v>976</v>
      </c>
      <c r="B885" s="8" t="s">
        <v>42</v>
      </c>
      <c r="C885" s="8" t="s">
        <v>160</v>
      </c>
      <c r="D885" s="8" t="s">
        <v>40</v>
      </c>
      <c r="E885" s="8" t="n">
        <v>3626</v>
      </c>
      <c r="F885" s="8" t="n">
        <v>320</v>
      </c>
      <c r="G885" s="8" t="n">
        <v>32</v>
      </c>
      <c r="H885" s="13" t="n">
        <f aca="false">(E885/1000)*(F885/1000)*(G885/1000)*7850</f>
        <v>291.472384</v>
      </c>
      <c r="I885" s="8" t="n">
        <v>4</v>
      </c>
      <c r="J885" s="14" t="n">
        <f aca="false">H885*I885</f>
        <v>1165.889536</v>
      </c>
      <c r="K885" s="8" t="s">
        <v>1011</v>
      </c>
    </row>
    <row r="886" customFormat="false" ht="13.8" hidden="false" customHeight="false" outlineLevel="0" collapsed="false">
      <c r="A886" s="8" t="s">
        <v>976</v>
      </c>
      <c r="B886" s="8" t="s">
        <v>42</v>
      </c>
      <c r="C886" s="8" t="s">
        <v>163</v>
      </c>
      <c r="D886" s="8" t="s">
        <v>40</v>
      </c>
      <c r="E886" s="8" t="n">
        <v>4726</v>
      </c>
      <c r="F886" s="8" t="n">
        <v>320</v>
      </c>
      <c r="G886" s="8" t="n">
        <v>32</v>
      </c>
      <c r="H886" s="13" t="n">
        <f aca="false">(E886/1000)*(F886/1000)*(G886/1000)*7850</f>
        <v>379.894784</v>
      </c>
      <c r="I886" s="8" t="n">
        <v>1</v>
      </c>
      <c r="J886" s="14" t="n">
        <f aca="false">H886*I886</f>
        <v>379.894784</v>
      </c>
      <c r="K886" s="8" t="s">
        <v>1012</v>
      </c>
    </row>
    <row r="887" customFormat="false" ht="13.8" hidden="false" customHeight="false" outlineLevel="0" collapsed="false">
      <c r="A887" s="8" t="s">
        <v>976</v>
      </c>
      <c r="B887" s="8" t="s">
        <v>42</v>
      </c>
      <c r="C887" s="8" t="s">
        <v>165</v>
      </c>
      <c r="D887" s="8" t="s">
        <v>40</v>
      </c>
      <c r="E887" s="8" t="n">
        <v>4926</v>
      </c>
      <c r="F887" s="8" t="n">
        <v>320</v>
      </c>
      <c r="G887" s="8" t="n">
        <v>32</v>
      </c>
      <c r="H887" s="13" t="n">
        <f aca="false">(E887/1000)*(F887/1000)*(G887/1000)*7850</f>
        <v>395.971584</v>
      </c>
      <c r="I887" s="8" t="n">
        <v>1</v>
      </c>
      <c r="J887" s="14" t="n">
        <f aca="false">H887*I887</f>
        <v>395.971584</v>
      </c>
      <c r="K887" s="8" t="s">
        <v>1013</v>
      </c>
    </row>
    <row r="888" customFormat="false" ht="13.8" hidden="false" customHeight="false" outlineLevel="0" collapsed="false">
      <c r="A888" s="8" t="s">
        <v>976</v>
      </c>
      <c r="B888" s="8" t="s">
        <v>42</v>
      </c>
      <c r="C888" s="8" t="s">
        <v>158</v>
      </c>
      <c r="D888" s="8" t="s">
        <v>40</v>
      </c>
      <c r="E888" s="8" t="n">
        <v>1200</v>
      </c>
      <c r="F888" s="8" t="n">
        <v>1200</v>
      </c>
      <c r="G888" s="8" t="n">
        <v>16</v>
      </c>
      <c r="H888" s="13" t="n">
        <f aca="false">(E888/1000)*(F888/1000)*(G888/1000)*7850</f>
        <v>180.864</v>
      </c>
      <c r="I888" s="8" t="n">
        <v>3</v>
      </c>
      <c r="J888" s="14" t="n">
        <f aca="false">H888*I888</f>
        <v>542.592</v>
      </c>
      <c r="K888" s="8" t="s">
        <v>1002</v>
      </c>
    </row>
    <row r="889" customFormat="false" ht="13.8" hidden="false" customHeight="false" outlineLevel="0" collapsed="false">
      <c r="A889" s="8" t="s">
        <v>976</v>
      </c>
      <c r="B889" s="8" t="s">
        <v>42</v>
      </c>
      <c r="C889" s="8" t="s">
        <v>386</v>
      </c>
      <c r="D889" s="8" t="s">
        <v>40</v>
      </c>
      <c r="E889" s="8" t="n">
        <v>2300</v>
      </c>
      <c r="F889" s="8" t="n">
        <v>320</v>
      </c>
      <c r="G889" s="8" t="n">
        <v>32</v>
      </c>
      <c r="H889" s="13" t="n">
        <f aca="false">(E889/1000)*(F889/1000)*(G889/1000)*7850</f>
        <v>184.8832</v>
      </c>
      <c r="I889" s="8" t="n">
        <v>4</v>
      </c>
      <c r="J889" s="14" t="n">
        <f aca="false">H889*I889</f>
        <v>739.5328</v>
      </c>
      <c r="K889" s="8" t="s">
        <v>1014</v>
      </c>
    </row>
    <row r="890" customFormat="false" ht="13.8" hidden="false" customHeight="false" outlineLevel="0" collapsed="false">
      <c r="A890" s="8" t="s">
        <v>976</v>
      </c>
      <c r="B890" s="8" t="s">
        <v>42</v>
      </c>
      <c r="C890" s="8" t="s">
        <v>388</v>
      </c>
      <c r="D890" s="8" t="s">
        <v>40</v>
      </c>
      <c r="E890" s="8" t="n">
        <v>2200</v>
      </c>
      <c r="F890" s="8" t="n">
        <v>320</v>
      </c>
      <c r="G890" s="8" t="n">
        <v>32</v>
      </c>
      <c r="H890" s="13" t="n">
        <f aca="false">(E890/1000)*(F890/1000)*(G890/1000)*7850</f>
        <v>176.8448</v>
      </c>
      <c r="I890" s="8" t="n">
        <v>4</v>
      </c>
      <c r="J890" s="14" t="n">
        <f aca="false">H890*I890</f>
        <v>707.3792</v>
      </c>
      <c r="K890" s="8" t="s">
        <v>1015</v>
      </c>
    </row>
    <row r="891" customFormat="false" ht="13.8" hidden="false" customHeight="false" outlineLevel="0" collapsed="false">
      <c r="A891" s="8" t="s">
        <v>976</v>
      </c>
      <c r="B891" s="8" t="s">
        <v>64</v>
      </c>
      <c r="C891" s="8" t="s">
        <v>167</v>
      </c>
      <c r="D891" s="8" t="s">
        <v>40</v>
      </c>
      <c r="E891" s="8" t="n">
        <v>1960</v>
      </c>
      <c r="F891" s="8" t="n">
        <v>602</v>
      </c>
      <c r="G891" s="8" t="n">
        <v>14</v>
      </c>
      <c r="H891" s="13" t="n">
        <f aca="false">(E891/1000)*(F891/1000)*(G891/1000)*7850</f>
        <v>129.673208</v>
      </c>
      <c r="I891" s="8" t="n">
        <v>6</v>
      </c>
      <c r="J891" s="14" t="n">
        <f aca="false">H891*I891</f>
        <v>778.039248</v>
      </c>
      <c r="K891" s="8" t="s">
        <v>1016</v>
      </c>
    </row>
    <row r="892" customFormat="false" ht="13.8" hidden="false" customHeight="false" outlineLevel="0" collapsed="false">
      <c r="A892" s="8" t="s">
        <v>976</v>
      </c>
      <c r="B892" s="8" t="s">
        <v>42</v>
      </c>
      <c r="C892" s="8" t="s">
        <v>334</v>
      </c>
      <c r="D892" s="8" t="s">
        <v>40</v>
      </c>
      <c r="E892" s="8" t="n">
        <v>1960</v>
      </c>
      <c r="F892" s="8" t="n">
        <v>602</v>
      </c>
      <c r="G892" s="8" t="n">
        <v>14</v>
      </c>
      <c r="H892" s="13" t="n">
        <f aca="false">(E892/1000)*(F892/1000)*(G892/1000)*7850</f>
        <v>129.673208</v>
      </c>
      <c r="I892" s="8" t="n">
        <v>4</v>
      </c>
      <c r="J892" s="14" t="n">
        <f aca="false">H892*I892</f>
        <v>518.692832</v>
      </c>
      <c r="K892" s="8" t="s">
        <v>1016</v>
      </c>
    </row>
    <row r="893" customFormat="false" ht="13.8" hidden="false" customHeight="false" outlineLevel="0" collapsed="false">
      <c r="A893" s="8" t="s">
        <v>976</v>
      </c>
      <c r="B893" s="8" t="s">
        <v>42</v>
      </c>
      <c r="C893" s="8" t="s">
        <v>169</v>
      </c>
      <c r="D893" s="8" t="s">
        <v>40</v>
      </c>
      <c r="G893" s="8" t="n">
        <v>24</v>
      </c>
      <c r="H893" s="13" t="n">
        <f aca="false">M893*(G893/1000)*7850</f>
        <v>88.548</v>
      </c>
      <c r="I893" s="8" t="n">
        <v>6</v>
      </c>
      <c r="J893" s="14" t="n">
        <f aca="false">H893*I893</f>
        <v>531.288</v>
      </c>
      <c r="K893" s="8" t="s">
        <v>1017</v>
      </c>
      <c r="M893" s="15" t="n">
        <v>0.47</v>
      </c>
    </row>
    <row r="894" customFormat="false" ht="13.8" hidden="false" customHeight="false" outlineLevel="0" collapsed="false">
      <c r="A894" s="8" t="s">
        <v>976</v>
      </c>
      <c r="B894" s="8" t="s">
        <v>42</v>
      </c>
      <c r="C894" s="8" t="s">
        <v>236</v>
      </c>
      <c r="D894" s="8" t="s">
        <v>40</v>
      </c>
      <c r="G894" s="8" t="n">
        <v>24</v>
      </c>
      <c r="H894" s="13" t="n">
        <f aca="false">M894*(G894/1000)*7850</f>
        <v>90.432</v>
      </c>
      <c r="I894" s="8" t="n">
        <v>4</v>
      </c>
      <c r="J894" s="14" t="n">
        <f aca="false">H894*I894</f>
        <v>361.728</v>
      </c>
      <c r="K894" s="8" t="s">
        <v>1018</v>
      </c>
      <c r="M894" s="15" t="n">
        <v>0.48</v>
      </c>
    </row>
    <row r="895" customFormat="false" ht="13.8" hidden="false" customHeight="false" outlineLevel="0" collapsed="false">
      <c r="A895" s="8" t="s">
        <v>976</v>
      </c>
      <c r="B895" s="8" t="s">
        <v>42</v>
      </c>
      <c r="C895" s="8" t="s">
        <v>172</v>
      </c>
      <c r="D895" s="8" t="s">
        <v>40</v>
      </c>
      <c r="E895" s="8" t="n">
        <v>1800</v>
      </c>
      <c r="F895" s="8" t="n">
        <v>602</v>
      </c>
      <c r="G895" s="8" t="n">
        <v>14</v>
      </c>
      <c r="H895" s="13" t="n">
        <f aca="false">(E895/1000)*(F895/1000)*(G895/1000)*7850</f>
        <v>119.08764</v>
      </c>
      <c r="I895" s="8" t="n">
        <v>6</v>
      </c>
      <c r="J895" s="14" t="n">
        <f aca="false">H895*I895</f>
        <v>714.52584</v>
      </c>
      <c r="K895" s="8" t="s">
        <v>1019</v>
      </c>
    </row>
    <row r="896" customFormat="false" ht="13.8" hidden="false" customHeight="false" outlineLevel="0" collapsed="false">
      <c r="A896" s="8" t="s">
        <v>976</v>
      </c>
      <c r="B896" s="8" t="s">
        <v>42</v>
      </c>
      <c r="C896" s="8" t="s">
        <v>239</v>
      </c>
      <c r="D896" s="8" t="s">
        <v>40</v>
      </c>
      <c r="E896" s="8" t="n">
        <v>1800</v>
      </c>
      <c r="F896" s="8" t="n">
        <v>618</v>
      </c>
      <c r="G896" s="8" t="n">
        <v>14</v>
      </c>
      <c r="H896" s="13" t="n">
        <f aca="false">(E896/1000)*(F896/1000)*(G896/1000)*7850</f>
        <v>122.25276</v>
      </c>
      <c r="I896" s="8" t="n">
        <v>4</v>
      </c>
      <c r="J896" s="14" t="n">
        <f aca="false">H896*I896</f>
        <v>489.01104</v>
      </c>
      <c r="K896" s="8" t="s">
        <v>1020</v>
      </c>
    </row>
    <row r="897" customFormat="false" ht="13.8" hidden="false" customHeight="false" outlineLevel="0" collapsed="false">
      <c r="A897" s="8" t="s">
        <v>1021</v>
      </c>
      <c r="B897" s="8" t="s">
        <v>38</v>
      </c>
      <c r="C897" s="8" t="s">
        <v>179</v>
      </c>
      <c r="D897" s="8" t="s">
        <v>40</v>
      </c>
      <c r="G897" s="8" t="n">
        <v>20</v>
      </c>
      <c r="H897" s="13" t="n">
        <f aca="false">M897*(G897/1000)*7850</f>
        <v>2398.96</v>
      </c>
      <c r="I897" s="8" t="n">
        <v>1</v>
      </c>
      <c r="J897" s="14" t="n">
        <f aca="false">H897*I897</f>
        <v>2398.96</v>
      </c>
      <c r="K897" s="8" t="s">
        <v>1022</v>
      </c>
      <c r="M897" s="15" t="n">
        <v>15.28</v>
      </c>
    </row>
    <row r="898" customFormat="false" ht="13.8" hidden="false" customHeight="false" outlineLevel="0" collapsed="false">
      <c r="A898" s="8" t="s">
        <v>1021</v>
      </c>
      <c r="B898" s="8" t="s">
        <v>42</v>
      </c>
      <c r="C898" s="8" t="s">
        <v>181</v>
      </c>
      <c r="D898" s="8" t="s">
        <v>40</v>
      </c>
      <c r="G898" s="8" t="n">
        <v>24</v>
      </c>
      <c r="H898" s="13" t="n">
        <f aca="false">M898*(G898/1000)*7850</f>
        <v>2586.732</v>
      </c>
      <c r="I898" s="8" t="n">
        <v>1</v>
      </c>
      <c r="J898" s="14" t="n">
        <f aca="false">H898*I898</f>
        <v>2586.732</v>
      </c>
      <c r="K898" s="8" t="s">
        <v>1023</v>
      </c>
      <c r="M898" s="15" t="n">
        <v>13.73</v>
      </c>
    </row>
    <row r="899" customFormat="false" ht="13.8" hidden="false" customHeight="false" outlineLevel="0" collapsed="false">
      <c r="A899" s="8" t="s">
        <v>1021</v>
      </c>
      <c r="B899" s="8" t="s">
        <v>45</v>
      </c>
      <c r="C899" s="8" t="s">
        <v>292</v>
      </c>
      <c r="D899" s="8" t="s">
        <v>40</v>
      </c>
      <c r="E899" s="8" t="n">
        <v>7900</v>
      </c>
      <c r="F899" s="8" t="n">
        <v>1200</v>
      </c>
      <c r="G899" s="8" t="n">
        <v>20</v>
      </c>
      <c r="H899" s="13" t="n">
        <f aca="false">(E899/1000)*(F899/1000)*(G899/1000)*7850</f>
        <v>1488.36</v>
      </c>
      <c r="I899" s="8" t="n">
        <v>1</v>
      </c>
      <c r="J899" s="14" t="n">
        <f aca="false">H899*I899</f>
        <v>1488.36</v>
      </c>
      <c r="K899" s="8" t="s">
        <v>1024</v>
      </c>
    </row>
    <row r="900" customFormat="false" ht="13.8" hidden="false" customHeight="false" outlineLevel="0" collapsed="false">
      <c r="A900" s="8" t="s">
        <v>1021</v>
      </c>
      <c r="B900" s="8" t="s">
        <v>42</v>
      </c>
      <c r="C900" s="8" t="s">
        <v>185</v>
      </c>
      <c r="D900" s="8" t="s">
        <v>40</v>
      </c>
      <c r="E900" s="8" t="n">
        <v>7100</v>
      </c>
      <c r="F900" s="8" t="n">
        <v>1200</v>
      </c>
      <c r="G900" s="8" t="n">
        <v>24</v>
      </c>
      <c r="H900" s="13" t="n">
        <f aca="false">(E900/1000)*(F900/1000)*(G900/1000)*7850</f>
        <v>1605.168</v>
      </c>
      <c r="I900" s="8" t="n">
        <v>1</v>
      </c>
      <c r="J900" s="14" t="n">
        <f aca="false">H900*I900</f>
        <v>1605.168</v>
      </c>
      <c r="K900" s="8" t="s">
        <v>1025</v>
      </c>
    </row>
    <row r="901" customFormat="false" ht="13.8" hidden="false" customHeight="false" outlineLevel="0" collapsed="false">
      <c r="A901" s="8" t="s">
        <v>1021</v>
      </c>
      <c r="B901" s="8" t="s">
        <v>187</v>
      </c>
      <c r="C901" s="8" t="s">
        <v>188</v>
      </c>
      <c r="D901" s="8" t="s">
        <v>40</v>
      </c>
      <c r="G901" s="8" t="n">
        <v>40</v>
      </c>
      <c r="H901" s="13" t="n">
        <f aca="false">M901*(G901/1000)*7850</f>
        <v>7363.3</v>
      </c>
      <c r="I901" s="8" t="n">
        <v>2</v>
      </c>
      <c r="J901" s="14" t="n">
        <f aca="false">H901*I901</f>
        <v>14726.6</v>
      </c>
      <c r="K901" s="8" t="s">
        <v>1026</v>
      </c>
      <c r="M901" s="15" t="n">
        <v>23.45</v>
      </c>
    </row>
    <row r="902" customFormat="false" ht="13.8" hidden="false" customHeight="false" outlineLevel="0" collapsed="false">
      <c r="A902" s="8" t="s">
        <v>1021</v>
      </c>
      <c r="B902" s="8" t="s">
        <v>190</v>
      </c>
      <c r="C902" s="8" t="s">
        <v>50</v>
      </c>
      <c r="D902" s="8" t="s">
        <v>40</v>
      </c>
      <c r="E902" s="8" t="n">
        <v>7300</v>
      </c>
      <c r="F902" s="8" t="n">
        <v>2048</v>
      </c>
      <c r="G902" s="8" t="n">
        <v>32</v>
      </c>
      <c r="H902" s="13" t="n">
        <f aca="false">(E902/1000)*(F902/1000)*(G902/1000)*7850</f>
        <v>3755.54048</v>
      </c>
      <c r="I902" s="8" t="n">
        <v>2</v>
      </c>
      <c r="J902" s="14" t="n">
        <f aca="false">H902*I902</f>
        <v>7511.08096</v>
      </c>
      <c r="K902" s="8" t="s">
        <v>1027</v>
      </c>
    </row>
    <row r="903" customFormat="false" ht="13.8" hidden="false" customHeight="false" outlineLevel="0" collapsed="false">
      <c r="A903" s="8" t="s">
        <v>1021</v>
      </c>
      <c r="B903" s="8" t="s">
        <v>195</v>
      </c>
      <c r="C903" s="8" t="s">
        <v>58</v>
      </c>
      <c r="D903" s="8" t="s">
        <v>40</v>
      </c>
      <c r="E903" s="8" t="n">
        <v>1980</v>
      </c>
      <c r="F903" s="8" t="n">
        <v>1200</v>
      </c>
      <c r="G903" s="8" t="n">
        <v>16</v>
      </c>
      <c r="H903" s="13" t="n">
        <f aca="false">(E903/1000)*(F903/1000)*(G903/1000)*7850</f>
        <v>298.4256</v>
      </c>
      <c r="I903" s="8" t="n">
        <v>3</v>
      </c>
      <c r="J903" s="14" t="n">
        <f aca="false">H903*I903</f>
        <v>895.2768</v>
      </c>
      <c r="K903" s="8" t="s">
        <v>1028</v>
      </c>
    </row>
    <row r="904" customFormat="false" ht="13.8" hidden="false" customHeight="false" outlineLevel="0" collapsed="false">
      <c r="A904" s="8" t="s">
        <v>1021</v>
      </c>
      <c r="B904" s="8" t="s">
        <v>42</v>
      </c>
      <c r="C904" s="8" t="s">
        <v>1029</v>
      </c>
      <c r="D904" s="8" t="s">
        <v>40</v>
      </c>
      <c r="E904" s="8" t="n">
        <v>1976</v>
      </c>
      <c r="F904" s="8" t="n">
        <v>1200</v>
      </c>
      <c r="G904" s="8" t="n">
        <v>16</v>
      </c>
      <c r="H904" s="13" t="n">
        <f aca="false">(E904/1000)*(F904/1000)*(G904/1000)*7850</f>
        <v>297.82272</v>
      </c>
      <c r="I904" s="8" t="n">
        <v>2</v>
      </c>
      <c r="J904" s="14" t="n">
        <f aca="false">H904*I904</f>
        <v>595.64544</v>
      </c>
      <c r="K904" s="8" t="s">
        <v>1030</v>
      </c>
    </row>
    <row r="905" customFormat="false" ht="13.8" hidden="false" customHeight="false" outlineLevel="0" collapsed="false">
      <c r="A905" s="8" t="s">
        <v>1021</v>
      </c>
      <c r="B905" s="8" t="s">
        <v>42</v>
      </c>
      <c r="C905" s="8" t="s">
        <v>299</v>
      </c>
      <c r="D905" s="8" t="s">
        <v>40</v>
      </c>
      <c r="E905" s="8" t="n">
        <v>2057</v>
      </c>
      <c r="F905" s="8" t="n">
        <v>200</v>
      </c>
      <c r="G905" s="8" t="n">
        <v>16</v>
      </c>
      <c r="H905" s="13" t="n">
        <f aca="false">(E905/1000)*(F905/1000)*(G905/1000)*7850</f>
        <v>51.67184</v>
      </c>
      <c r="I905" s="8" t="n">
        <v>3</v>
      </c>
      <c r="J905" s="14" t="n">
        <f aca="false">H905*I905</f>
        <v>155.01552</v>
      </c>
      <c r="K905" s="8" t="s">
        <v>1031</v>
      </c>
    </row>
    <row r="906" customFormat="false" ht="13.8" hidden="false" customHeight="false" outlineLevel="0" collapsed="false">
      <c r="A906" s="8" t="s">
        <v>1021</v>
      </c>
      <c r="B906" s="8" t="s">
        <v>42</v>
      </c>
      <c r="C906" s="8" t="s">
        <v>68</v>
      </c>
      <c r="D906" s="8" t="s">
        <v>40</v>
      </c>
      <c r="E906" s="8" t="n">
        <v>800</v>
      </c>
      <c r="F906" s="8" t="n">
        <v>400</v>
      </c>
      <c r="G906" s="8" t="n">
        <v>16</v>
      </c>
      <c r="H906" s="13" t="n">
        <f aca="false">(E906/1000)*(F906/1000)*(G906/1000)*7850</f>
        <v>40.192</v>
      </c>
      <c r="I906" s="8" t="n">
        <v>4</v>
      </c>
      <c r="J906" s="14" t="n">
        <f aca="false">H906*I906</f>
        <v>160.768</v>
      </c>
      <c r="K906" s="8" t="s">
        <v>1032</v>
      </c>
    </row>
    <row r="907" customFormat="false" ht="13.8" hidden="false" customHeight="false" outlineLevel="0" collapsed="false">
      <c r="A907" s="8" t="s">
        <v>1021</v>
      </c>
      <c r="B907" s="8" t="s">
        <v>253</v>
      </c>
      <c r="C907" s="8" t="s">
        <v>72</v>
      </c>
      <c r="D907" s="8" t="s">
        <v>40</v>
      </c>
      <c r="E907" s="8" t="n">
        <v>7900</v>
      </c>
      <c r="F907" s="8" t="n">
        <v>240</v>
      </c>
      <c r="G907" s="8" t="n">
        <v>20</v>
      </c>
      <c r="H907" s="13" t="n">
        <f aca="false">(E907/1000)*(F907/1000)*(G907/1000)*7850</f>
        <v>297.672</v>
      </c>
      <c r="I907" s="8" t="n">
        <v>6</v>
      </c>
      <c r="J907" s="14" t="n">
        <f aca="false">H907*I907</f>
        <v>1786.032</v>
      </c>
      <c r="K907" s="8" t="s">
        <v>1033</v>
      </c>
    </row>
    <row r="908" customFormat="false" ht="13.8" hidden="false" customHeight="false" outlineLevel="0" collapsed="false">
      <c r="A908" s="8" t="s">
        <v>1021</v>
      </c>
      <c r="B908" s="8" t="s">
        <v>42</v>
      </c>
      <c r="C908" s="8" t="s">
        <v>76</v>
      </c>
      <c r="D908" s="8" t="s">
        <v>40</v>
      </c>
      <c r="E908" s="8" t="n">
        <v>7100</v>
      </c>
      <c r="F908" s="8" t="n">
        <v>320</v>
      </c>
      <c r="G908" s="8" t="n">
        <v>32</v>
      </c>
      <c r="H908" s="13" t="n">
        <f aca="false">(E908/1000)*(F908/1000)*(G908/1000)*7850</f>
        <v>570.7264</v>
      </c>
      <c r="I908" s="8" t="n">
        <v>6</v>
      </c>
      <c r="J908" s="14" t="n">
        <f aca="false">H908*I908</f>
        <v>3424.3584</v>
      </c>
      <c r="K908" s="8" t="s">
        <v>1034</v>
      </c>
    </row>
    <row r="909" customFormat="false" ht="13.8" hidden="false" customHeight="false" outlineLevel="0" collapsed="false">
      <c r="A909" s="8" t="s">
        <v>1021</v>
      </c>
      <c r="B909" s="8" t="s">
        <v>256</v>
      </c>
      <c r="C909" s="8" t="s">
        <v>96</v>
      </c>
      <c r="D909" s="8" t="s">
        <v>40</v>
      </c>
      <c r="E909" s="8" t="n">
        <v>7900</v>
      </c>
      <c r="F909" s="8" t="n">
        <v>2500</v>
      </c>
      <c r="G909" s="8" t="n">
        <v>20</v>
      </c>
      <c r="H909" s="13" t="n">
        <f aca="false">(E909/1000)*(F909/1000)*(G909/1000)*7850</f>
        <v>3100.75</v>
      </c>
      <c r="I909" s="8" t="n">
        <v>1</v>
      </c>
      <c r="J909" s="14" t="n">
        <f aca="false">H909*I909</f>
        <v>3100.75</v>
      </c>
      <c r="K909" s="8" t="s">
        <v>1035</v>
      </c>
    </row>
    <row r="910" customFormat="false" ht="13.8" hidden="false" customHeight="false" outlineLevel="0" collapsed="false">
      <c r="A910" s="8" t="s">
        <v>1021</v>
      </c>
      <c r="B910" s="8" t="s">
        <v>42</v>
      </c>
      <c r="C910" s="8" t="s">
        <v>203</v>
      </c>
      <c r="D910" s="8" t="s">
        <v>40</v>
      </c>
      <c r="E910" s="8" t="n">
        <v>7100</v>
      </c>
      <c r="F910" s="8" t="n">
        <v>2500</v>
      </c>
      <c r="G910" s="8" t="n">
        <v>20</v>
      </c>
      <c r="H910" s="13" t="n">
        <f aca="false">(E910/1000)*(F910/1000)*(G910/1000)*7850</f>
        <v>2786.75</v>
      </c>
      <c r="I910" s="8" t="n">
        <v>1</v>
      </c>
      <c r="J910" s="14" t="n">
        <f aca="false">H910*I910</f>
        <v>2786.75</v>
      </c>
      <c r="K910" s="8" t="s">
        <v>1036</v>
      </c>
    </row>
    <row r="911" customFormat="false" ht="13.8" hidden="false" customHeight="false" outlineLevel="0" collapsed="false">
      <c r="A911" s="8" t="s">
        <v>1021</v>
      </c>
      <c r="B911" s="8" t="s">
        <v>260</v>
      </c>
      <c r="C911" s="8" t="s">
        <v>307</v>
      </c>
      <c r="D911" s="8" t="s">
        <v>40</v>
      </c>
      <c r="G911" s="8" t="n">
        <v>20</v>
      </c>
      <c r="H911" s="13" t="n">
        <f aca="false">M911*(G911/1000)*7850</f>
        <v>2034.72</v>
      </c>
      <c r="I911" s="8" t="n">
        <v>1</v>
      </c>
      <c r="J911" s="14" t="n">
        <f aca="false">H911*I911</f>
        <v>2034.72</v>
      </c>
      <c r="K911" s="8" t="s">
        <v>1037</v>
      </c>
      <c r="M911" s="15" t="n">
        <v>12.96</v>
      </c>
    </row>
    <row r="912" customFormat="false" ht="13.8" hidden="false" customHeight="false" outlineLevel="0" collapsed="false">
      <c r="A912" s="8" t="s">
        <v>1021</v>
      </c>
      <c r="B912" s="8" t="s">
        <v>42</v>
      </c>
      <c r="C912" s="8" t="s">
        <v>206</v>
      </c>
      <c r="D912" s="8" t="s">
        <v>40</v>
      </c>
      <c r="G912" s="8" t="n">
        <v>20</v>
      </c>
      <c r="H912" s="13" t="n">
        <f aca="false">M912*(G912/1000)*7850</f>
        <v>1747.41</v>
      </c>
      <c r="I912" s="8" t="n">
        <v>1</v>
      </c>
      <c r="J912" s="14" t="n">
        <f aca="false">H912*I912</f>
        <v>1747.41</v>
      </c>
      <c r="K912" s="8" t="s">
        <v>1038</v>
      </c>
      <c r="M912" s="15" t="n">
        <v>11.13</v>
      </c>
    </row>
    <row r="913" customFormat="false" ht="13.8" hidden="false" customHeight="false" outlineLevel="0" collapsed="false">
      <c r="A913" s="8" t="s">
        <v>1021</v>
      </c>
      <c r="B913" s="8" t="s">
        <v>105</v>
      </c>
      <c r="C913" s="8" t="s">
        <v>103</v>
      </c>
      <c r="D913" s="8" t="s">
        <v>40</v>
      </c>
      <c r="G913" s="8" t="n">
        <v>40</v>
      </c>
      <c r="H913" s="13" t="n">
        <f aca="false">M913*(G913/1000)*7850</f>
        <v>7061.86</v>
      </c>
      <c r="I913" s="8" t="n">
        <v>2</v>
      </c>
      <c r="J913" s="14" t="n">
        <f aca="false">H913*I913</f>
        <v>14123.72</v>
      </c>
      <c r="K913" s="8" t="s">
        <v>1039</v>
      </c>
      <c r="M913" s="15" t="n">
        <v>22.49</v>
      </c>
    </row>
    <row r="914" customFormat="false" ht="13.8" hidden="false" customHeight="false" outlineLevel="0" collapsed="false">
      <c r="A914" s="8" t="s">
        <v>1021</v>
      </c>
      <c r="B914" s="8" t="s">
        <v>102</v>
      </c>
      <c r="C914" s="8" t="s">
        <v>106</v>
      </c>
      <c r="D914" s="8" t="s">
        <v>40</v>
      </c>
      <c r="E914" s="8" t="n">
        <v>7300</v>
      </c>
      <c r="F914" s="8" t="n">
        <v>1880</v>
      </c>
      <c r="G914" s="8" t="n">
        <v>24</v>
      </c>
      <c r="H914" s="13" t="n">
        <f aca="false">(E914/1000)*(F914/1000)*(G914/1000)*7850</f>
        <v>2585.6016</v>
      </c>
      <c r="I914" s="8" t="n">
        <v>2</v>
      </c>
      <c r="J914" s="14" t="n">
        <f aca="false">H914*I914</f>
        <v>5171.2032</v>
      </c>
      <c r="K914" s="8" t="s">
        <v>1040</v>
      </c>
    </row>
    <row r="915" customFormat="false" ht="13.8" hidden="false" customHeight="false" outlineLevel="0" collapsed="false">
      <c r="A915" s="8" t="s">
        <v>1021</v>
      </c>
      <c r="B915" s="8" t="s">
        <v>110</v>
      </c>
      <c r="C915" s="8" t="s">
        <v>108</v>
      </c>
      <c r="D915" s="8" t="s">
        <v>40</v>
      </c>
      <c r="E915" s="8" t="n">
        <v>1800</v>
      </c>
      <c r="F915" s="8" t="n">
        <v>1200</v>
      </c>
      <c r="G915" s="8" t="n">
        <v>16</v>
      </c>
      <c r="H915" s="13" t="n">
        <f aca="false">(E915/1000)*(F915/1000)*(G915/1000)*7850</f>
        <v>271.296</v>
      </c>
      <c r="I915" s="8" t="n">
        <v>3</v>
      </c>
      <c r="J915" s="14" t="n">
        <f aca="false">H915*I915</f>
        <v>813.888</v>
      </c>
      <c r="K915" s="8" t="s">
        <v>1041</v>
      </c>
    </row>
    <row r="916" customFormat="false" ht="13.8" hidden="false" customHeight="false" outlineLevel="0" collapsed="false">
      <c r="A916" s="8" t="s">
        <v>1021</v>
      </c>
      <c r="B916" s="8" t="s">
        <v>42</v>
      </c>
      <c r="C916" s="8" t="s">
        <v>112</v>
      </c>
      <c r="D916" s="8" t="s">
        <v>40</v>
      </c>
      <c r="E916" s="8" t="n">
        <v>1800</v>
      </c>
      <c r="F916" s="8" t="n">
        <v>1200</v>
      </c>
      <c r="G916" s="8" t="n">
        <v>16</v>
      </c>
      <c r="H916" s="13" t="n">
        <f aca="false">(E916/1000)*(F916/1000)*(G916/1000)*7850</f>
        <v>271.296</v>
      </c>
      <c r="I916" s="8" t="n">
        <v>2</v>
      </c>
      <c r="J916" s="14" t="n">
        <f aca="false">H916*I916</f>
        <v>542.592</v>
      </c>
      <c r="K916" s="8" t="s">
        <v>1041</v>
      </c>
    </row>
    <row r="917" customFormat="false" ht="13.8" hidden="false" customHeight="false" outlineLevel="0" collapsed="false">
      <c r="A917" s="8" t="s">
        <v>1021</v>
      </c>
      <c r="B917" s="8" t="s">
        <v>42</v>
      </c>
      <c r="C917" s="8" t="s">
        <v>313</v>
      </c>
      <c r="D917" s="8" t="s">
        <v>40</v>
      </c>
      <c r="E917" s="8" t="n">
        <v>2057</v>
      </c>
      <c r="F917" s="8" t="n">
        <v>200</v>
      </c>
      <c r="G917" s="8" t="n">
        <v>16</v>
      </c>
      <c r="H917" s="13" t="n">
        <f aca="false">(E917/1000)*(F917/1000)*(G917/1000)*7850</f>
        <v>51.67184</v>
      </c>
      <c r="I917" s="8" t="n">
        <v>5</v>
      </c>
      <c r="J917" s="14" t="n">
        <f aca="false">H917*I917</f>
        <v>258.3592</v>
      </c>
      <c r="K917" s="8" t="s">
        <v>1042</v>
      </c>
    </row>
    <row r="918" customFormat="false" ht="13.8" hidden="false" customHeight="false" outlineLevel="0" collapsed="false">
      <c r="A918" s="8" t="s">
        <v>1021</v>
      </c>
      <c r="B918" s="8" t="s">
        <v>268</v>
      </c>
      <c r="C918" s="8" t="s">
        <v>114</v>
      </c>
      <c r="D918" s="8" t="s">
        <v>40</v>
      </c>
      <c r="E918" s="8" t="n">
        <v>7900</v>
      </c>
      <c r="F918" s="8" t="n">
        <v>320</v>
      </c>
      <c r="G918" s="8" t="n">
        <v>32</v>
      </c>
      <c r="H918" s="13" t="n">
        <f aca="false">(E918/1000)*(F918/1000)*(G918/1000)*7850</f>
        <v>635.0336</v>
      </c>
      <c r="I918" s="8" t="n">
        <v>4</v>
      </c>
      <c r="J918" s="14" t="n">
        <f aca="false">H918*I918</f>
        <v>2540.1344</v>
      </c>
      <c r="K918" s="8" t="s">
        <v>1043</v>
      </c>
    </row>
    <row r="919" customFormat="false" ht="13.8" hidden="false" customHeight="false" outlineLevel="0" collapsed="false">
      <c r="A919" s="8" t="s">
        <v>1021</v>
      </c>
      <c r="B919" s="8" t="s">
        <v>42</v>
      </c>
      <c r="C919" s="8" t="s">
        <v>116</v>
      </c>
      <c r="D919" s="8" t="s">
        <v>40</v>
      </c>
      <c r="E919" s="8" t="n">
        <v>7100</v>
      </c>
      <c r="F919" s="8" t="n">
        <v>240</v>
      </c>
      <c r="G919" s="8" t="n">
        <v>20</v>
      </c>
      <c r="H919" s="13" t="n">
        <f aca="false">(E919/1000)*(F919/1000)*(G919/1000)*7850</f>
        <v>267.528</v>
      </c>
      <c r="I919" s="8" t="n">
        <v>4</v>
      </c>
      <c r="J919" s="14" t="n">
        <f aca="false">H919*I919</f>
        <v>1070.112</v>
      </c>
      <c r="K919" s="8" t="s">
        <v>1044</v>
      </c>
    </row>
    <row r="920" customFormat="false" ht="13.8" hidden="false" customHeight="false" outlineLevel="0" collapsed="false">
      <c r="A920" s="8" t="s">
        <v>1021</v>
      </c>
      <c r="B920" s="8" t="s">
        <v>42</v>
      </c>
      <c r="C920" s="8" t="s">
        <v>118</v>
      </c>
      <c r="D920" s="8" t="s">
        <v>40</v>
      </c>
      <c r="E920" s="8" t="n">
        <v>15000</v>
      </c>
      <c r="F920" s="8" t="n">
        <v>170</v>
      </c>
      <c r="G920" s="8" t="n">
        <v>14</v>
      </c>
      <c r="H920" s="13" t="n">
        <f aca="false">(E920/1000)*(F920/1000)*(G920/1000)*7850</f>
        <v>280.245</v>
      </c>
      <c r="I920" s="8" t="n">
        <v>2</v>
      </c>
      <c r="J920" s="14" t="n">
        <f aca="false">H920*I920</f>
        <v>560.49</v>
      </c>
      <c r="K920" s="8" t="s">
        <v>1045</v>
      </c>
    </row>
    <row r="921" customFormat="false" ht="13.8" hidden="false" customHeight="false" outlineLevel="0" collapsed="false">
      <c r="A921" s="8" t="s">
        <v>1021</v>
      </c>
      <c r="B921" s="8" t="s">
        <v>272</v>
      </c>
      <c r="C921" s="8" t="s">
        <v>125</v>
      </c>
      <c r="D921" s="8" t="s">
        <v>40</v>
      </c>
      <c r="E921" s="8" t="n">
        <v>10818</v>
      </c>
      <c r="F921" s="8" t="n">
        <v>1200</v>
      </c>
      <c r="G921" s="8" t="n">
        <v>36</v>
      </c>
      <c r="H921" s="13" t="n">
        <f aca="false">(E921/1000)*(F921/1000)*(G921/1000)*7850</f>
        <v>3668.60016</v>
      </c>
      <c r="I921" s="8" t="n">
        <v>1</v>
      </c>
      <c r="J921" s="14" t="n">
        <f aca="false">H921*I921</f>
        <v>3668.60016</v>
      </c>
      <c r="K921" s="8" t="s">
        <v>1046</v>
      </c>
    </row>
    <row r="922" customFormat="false" ht="13.8" hidden="false" customHeight="false" outlineLevel="0" collapsed="false">
      <c r="A922" s="8" t="s">
        <v>1021</v>
      </c>
      <c r="B922" s="8" t="s">
        <v>42</v>
      </c>
      <c r="C922" s="8" t="s">
        <v>127</v>
      </c>
      <c r="D922" s="8" t="s">
        <v>40</v>
      </c>
      <c r="E922" s="8" t="n">
        <v>11018</v>
      </c>
      <c r="F922" s="8" t="n">
        <v>1200</v>
      </c>
      <c r="G922" s="8" t="n">
        <v>36</v>
      </c>
      <c r="H922" s="13" t="n">
        <f aca="false">(E922/1000)*(F922/1000)*(G922/1000)*7850</f>
        <v>3736.42416</v>
      </c>
      <c r="I922" s="8" t="n">
        <v>1</v>
      </c>
      <c r="J922" s="14" t="n">
        <f aca="false">H922*I922</f>
        <v>3736.42416</v>
      </c>
      <c r="K922" s="8" t="s">
        <v>1047</v>
      </c>
    </row>
    <row r="923" customFormat="false" ht="13.8" hidden="false" customHeight="false" outlineLevel="0" collapsed="false">
      <c r="A923" s="8" t="s">
        <v>1021</v>
      </c>
      <c r="B923" s="8" t="s">
        <v>42</v>
      </c>
      <c r="C923" s="8" t="s">
        <v>128</v>
      </c>
      <c r="D923" s="8" t="s">
        <v>40</v>
      </c>
      <c r="E923" s="8" t="n">
        <v>7218</v>
      </c>
      <c r="F923" s="8" t="n">
        <v>1360</v>
      </c>
      <c r="G923" s="8" t="n">
        <v>36</v>
      </c>
      <c r="H923" s="13" t="n">
        <f aca="false">(E923/1000)*(F923/1000)*(G923/1000)*7850</f>
        <v>2774.137248</v>
      </c>
      <c r="I923" s="8" t="n">
        <v>2</v>
      </c>
      <c r="J923" s="14" t="n">
        <f aca="false">H923*I923</f>
        <v>5548.274496</v>
      </c>
      <c r="K923" s="8" t="s">
        <v>1048</v>
      </c>
    </row>
    <row r="924" customFormat="false" ht="13.8" hidden="false" customHeight="false" outlineLevel="0" collapsed="false">
      <c r="A924" s="8" t="s">
        <v>1021</v>
      </c>
      <c r="B924" s="8" t="s">
        <v>42</v>
      </c>
      <c r="C924" s="8" t="s">
        <v>130</v>
      </c>
      <c r="D924" s="8" t="s">
        <v>40</v>
      </c>
      <c r="E924" s="8" t="n">
        <v>7218</v>
      </c>
      <c r="F924" s="8" t="n">
        <v>320</v>
      </c>
      <c r="G924" s="8" t="n">
        <v>32</v>
      </c>
      <c r="H924" s="13" t="n">
        <f aca="false">(E924/1000)*(F924/1000)*(G924/1000)*7850</f>
        <v>580.211712</v>
      </c>
      <c r="I924" s="8" t="n">
        <v>2</v>
      </c>
      <c r="J924" s="14" t="n">
        <f aca="false">H924*I924</f>
        <v>1160.423424</v>
      </c>
      <c r="K924" s="8" t="s">
        <v>1049</v>
      </c>
    </row>
    <row r="925" customFormat="false" ht="13.8" hidden="false" customHeight="false" outlineLevel="0" collapsed="false">
      <c r="A925" s="8" t="s">
        <v>1021</v>
      </c>
      <c r="B925" s="8" t="s">
        <v>42</v>
      </c>
      <c r="C925" s="8" t="s">
        <v>620</v>
      </c>
      <c r="D925" s="8" t="s">
        <v>40</v>
      </c>
      <c r="E925" s="8" t="n">
        <v>9418</v>
      </c>
      <c r="F925" s="8" t="n">
        <v>320</v>
      </c>
      <c r="G925" s="8" t="n">
        <v>32</v>
      </c>
      <c r="H925" s="13" t="n">
        <f aca="false">(E925/1000)*(F925/1000)*(G925/1000)*7850</f>
        <v>757.056512</v>
      </c>
      <c r="I925" s="8" t="n">
        <v>1</v>
      </c>
      <c r="J925" s="14" t="n">
        <f aca="false">H925*I925</f>
        <v>757.056512</v>
      </c>
      <c r="K925" s="8" t="s">
        <v>1050</v>
      </c>
    </row>
    <row r="926" customFormat="false" ht="13.8" hidden="false" customHeight="false" outlineLevel="0" collapsed="false">
      <c r="A926" s="8" t="s">
        <v>1021</v>
      </c>
      <c r="B926" s="8" t="s">
        <v>42</v>
      </c>
      <c r="C926" s="8" t="s">
        <v>134</v>
      </c>
      <c r="D926" s="8" t="s">
        <v>40</v>
      </c>
      <c r="E926" s="8" t="n">
        <v>9618</v>
      </c>
      <c r="F926" s="8" t="n">
        <v>320</v>
      </c>
      <c r="G926" s="8" t="n">
        <v>32</v>
      </c>
      <c r="H926" s="13" t="n">
        <f aca="false">(E926/1000)*(F926/1000)*(G926/1000)*7850</f>
        <v>773.133312</v>
      </c>
      <c r="I926" s="8" t="n">
        <v>1</v>
      </c>
      <c r="J926" s="14" t="n">
        <f aca="false">H926*I926</f>
        <v>773.133312</v>
      </c>
      <c r="K926" s="8" t="s">
        <v>1051</v>
      </c>
    </row>
    <row r="927" customFormat="false" ht="13.8" hidden="false" customHeight="false" outlineLevel="0" collapsed="false">
      <c r="A927" s="8" t="s">
        <v>1021</v>
      </c>
      <c r="B927" s="8" t="s">
        <v>42</v>
      </c>
      <c r="C927" s="8" t="s">
        <v>135</v>
      </c>
      <c r="D927" s="8" t="s">
        <v>40</v>
      </c>
      <c r="E927" s="8" t="n">
        <v>1200</v>
      </c>
      <c r="F927" s="8" t="n">
        <v>1200</v>
      </c>
      <c r="G927" s="8" t="n">
        <v>16</v>
      </c>
      <c r="H927" s="13" t="n">
        <f aca="false">(E927/1000)*(F927/1000)*(G927/1000)*7850</f>
        <v>180.864</v>
      </c>
      <c r="I927" s="8" t="n">
        <v>3</v>
      </c>
      <c r="J927" s="14" t="n">
        <f aca="false">H927*I927</f>
        <v>542.592</v>
      </c>
      <c r="K927" s="8" t="s">
        <v>1052</v>
      </c>
    </row>
    <row r="928" customFormat="false" ht="13.8" hidden="false" customHeight="false" outlineLevel="0" collapsed="false">
      <c r="A928" s="8" t="s">
        <v>1021</v>
      </c>
      <c r="B928" s="8" t="s">
        <v>42</v>
      </c>
      <c r="C928" s="8" t="s">
        <v>137</v>
      </c>
      <c r="D928" s="8" t="s">
        <v>40</v>
      </c>
      <c r="E928" s="8" t="n">
        <v>3640</v>
      </c>
      <c r="F928" s="8" t="n">
        <v>900</v>
      </c>
      <c r="G928" s="8" t="n">
        <v>36</v>
      </c>
      <c r="H928" s="13" t="n">
        <f aca="false">(E928/1000)*(F928/1000)*(G928/1000)*7850</f>
        <v>925.7976</v>
      </c>
      <c r="I928" s="8" t="n">
        <v>2</v>
      </c>
      <c r="J928" s="14" t="n">
        <f aca="false">H928*I928</f>
        <v>1851.5952</v>
      </c>
      <c r="K928" s="8" t="s">
        <v>1053</v>
      </c>
    </row>
    <row r="929" customFormat="false" ht="13.8" hidden="false" customHeight="false" outlineLevel="0" collapsed="false">
      <c r="A929" s="8" t="s">
        <v>1021</v>
      </c>
      <c r="B929" s="8" t="s">
        <v>42</v>
      </c>
      <c r="C929" s="8" t="s">
        <v>141</v>
      </c>
      <c r="D929" s="8" t="s">
        <v>40</v>
      </c>
      <c r="E929" s="8" t="n">
        <v>5940</v>
      </c>
      <c r="F929" s="8" t="n">
        <v>1200</v>
      </c>
      <c r="G929" s="8" t="n">
        <v>32</v>
      </c>
      <c r="H929" s="13" t="n">
        <f aca="false">(E929/1000)*(F929/1000)*(G929/1000)*7850</f>
        <v>1790.5536</v>
      </c>
      <c r="I929" s="8" t="n">
        <v>1</v>
      </c>
      <c r="J929" s="14" t="n">
        <f aca="false">H929*I929</f>
        <v>1790.5536</v>
      </c>
      <c r="K929" s="8" t="s">
        <v>1054</v>
      </c>
    </row>
    <row r="930" customFormat="false" ht="13.8" hidden="false" customHeight="false" outlineLevel="0" collapsed="false">
      <c r="A930" s="8" t="s">
        <v>1021</v>
      </c>
      <c r="B930" s="8" t="s">
        <v>42</v>
      </c>
      <c r="C930" s="8" t="s">
        <v>626</v>
      </c>
      <c r="D930" s="8" t="s">
        <v>40</v>
      </c>
      <c r="E930" s="8" t="n">
        <v>5240</v>
      </c>
      <c r="F930" s="8" t="n">
        <v>240</v>
      </c>
      <c r="G930" s="8" t="n">
        <v>24</v>
      </c>
      <c r="H930" s="13" t="n">
        <f aca="false">(E930/1000)*(F930/1000)*(G930/1000)*7850</f>
        <v>236.93184</v>
      </c>
      <c r="I930" s="8" t="n">
        <v>2</v>
      </c>
      <c r="J930" s="14" t="n">
        <f aca="false">H930*I930</f>
        <v>473.86368</v>
      </c>
      <c r="K930" s="8" t="s">
        <v>1055</v>
      </c>
    </row>
    <row r="931" customFormat="false" ht="13.8" hidden="false" customHeight="false" outlineLevel="0" collapsed="false">
      <c r="A931" s="8" t="s">
        <v>1021</v>
      </c>
      <c r="B931" s="8" t="s">
        <v>171</v>
      </c>
      <c r="C931" s="8" t="s">
        <v>150</v>
      </c>
      <c r="D931" s="8" t="s">
        <v>40</v>
      </c>
      <c r="E931" s="8" t="n">
        <v>5829</v>
      </c>
      <c r="F931" s="8" t="n">
        <v>1200</v>
      </c>
      <c r="G931" s="8" t="n">
        <v>36</v>
      </c>
      <c r="H931" s="13" t="n">
        <f aca="false">(E931/1000)*(F931/1000)*(G931/1000)*7850</f>
        <v>1976.73048</v>
      </c>
      <c r="I931" s="8" t="n">
        <v>1</v>
      </c>
      <c r="J931" s="14" t="n">
        <f aca="false">H931*I931</f>
        <v>1976.73048</v>
      </c>
      <c r="K931" s="8" t="s">
        <v>1056</v>
      </c>
    </row>
    <row r="932" customFormat="false" ht="13.8" hidden="false" customHeight="false" outlineLevel="0" collapsed="false">
      <c r="A932" s="8" t="s">
        <v>1021</v>
      </c>
      <c r="B932" s="8" t="s">
        <v>42</v>
      </c>
      <c r="C932" s="8" t="s">
        <v>380</v>
      </c>
      <c r="D932" s="8" t="s">
        <v>40</v>
      </c>
      <c r="E932" s="8" t="n">
        <v>5429</v>
      </c>
      <c r="F932" s="8" t="n">
        <v>1200</v>
      </c>
      <c r="G932" s="8" t="n">
        <v>36</v>
      </c>
      <c r="H932" s="13" t="n">
        <f aca="false">(E932/1000)*(F932/1000)*(G932/1000)*7850</f>
        <v>1841.08248</v>
      </c>
      <c r="I932" s="8" t="n">
        <v>1</v>
      </c>
      <c r="J932" s="14" t="n">
        <f aca="false">H932*I932</f>
        <v>1841.08248</v>
      </c>
      <c r="K932" s="8" t="s">
        <v>1057</v>
      </c>
    </row>
    <row r="933" customFormat="false" ht="13.8" hidden="false" customHeight="false" outlineLevel="0" collapsed="false">
      <c r="A933" s="8" t="s">
        <v>1021</v>
      </c>
      <c r="B933" s="8" t="s">
        <v>42</v>
      </c>
      <c r="C933" s="8" t="s">
        <v>155</v>
      </c>
      <c r="D933" s="8" t="s">
        <v>40</v>
      </c>
      <c r="E933" s="8" t="n">
        <v>3629</v>
      </c>
      <c r="F933" s="8" t="n">
        <v>1360</v>
      </c>
      <c r="G933" s="8" t="n">
        <v>36</v>
      </c>
      <c r="H933" s="13" t="n">
        <f aca="false">(E933/1000)*(F933/1000)*(G933/1000)*7850</f>
        <v>1394.755344</v>
      </c>
      <c r="I933" s="8" t="n">
        <v>2</v>
      </c>
      <c r="J933" s="14" t="n">
        <f aca="false">H933*I933</f>
        <v>2789.510688</v>
      </c>
      <c r="K933" s="8" t="s">
        <v>1058</v>
      </c>
    </row>
    <row r="934" customFormat="false" ht="13.8" hidden="false" customHeight="false" outlineLevel="0" collapsed="false">
      <c r="A934" s="8" t="s">
        <v>1021</v>
      </c>
      <c r="B934" s="8" t="s">
        <v>42</v>
      </c>
      <c r="C934" s="8" t="s">
        <v>160</v>
      </c>
      <c r="D934" s="8" t="s">
        <v>40</v>
      </c>
      <c r="E934" s="8" t="n">
        <v>3629</v>
      </c>
      <c r="F934" s="8" t="n">
        <v>320</v>
      </c>
      <c r="G934" s="8" t="n">
        <v>32</v>
      </c>
      <c r="H934" s="13" t="n">
        <f aca="false">(E934/1000)*(F934/1000)*(G934/1000)*7850</f>
        <v>291.713536</v>
      </c>
      <c r="I934" s="8" t="n">
        <v>2</v>
      </c>
      <c r="J934" s="14" t="n">
        <f aca="false">H934*I934</f>
        <v>583.427072</v>
      </c>
      <c r="K934" s="8" t="s">
        <v>1059</v>
      </c>
    </row>
    <row r="935" customFormat="false" ht="13.8" hidden="false" customHeight="false" outlineLevel="0" collapsed="false">
      <c r="A935" s="8" t="s">
        <v>1021</v>
      </c>
      <c r="B935" s="8" t="s">
        <v>42</v>
      </c>
      <c r="C935" s="8" t="s">
        <v>163</v>
      </c>
      <c r="D935" s="8" t="s">
        <v>40</v>
      </c>
      <c r="E935" s="8" t="n">
        <v>5129</v>
      </c>
      <c r="F935" s="8" t="n">
        <v>320</v>
      </c>
      <c r="G935" s="8" t="n">
        <v>32</v>
      </c>
      <c r="H935" s="13" t="n">
        <f aca="false">(E935/1000)*(F935/1000)*(G935/1000)*7850</f>
        <v>412.289536</v>
      </c>
      <c r="I935" s="8" t="n">
        <v>1</v>
      </c>
      <c r="J935" s="14" t="n">
        <f aca="false">H935*I935</f>
        <v>412.289536</v>
      </c>
      <c r="K935" s="8" t="s">
        <v>1060</v>
      </c>
    </row>
    <row r="936" customFormat="false" ht="13.8" hidden="false" customHeight="false" outlineLevel="0" collapsed="false">
      <c r="A936" s="8" t="s">
        <v>1021</v>
      </c>
      <c r="B936" s="8" t="s">
        <v>42</v>
      </c>
      <c r="C936" s="8" t="s">
        <v>165</v>
      </c>
      <c r="D936" s="8" t="s">
        <v>40</v>
      </c>
      <c r="E936" s="8" t="n">
        <v>4729</v>
      </c>
      <c r="F936" s="8" t="n">
        <v>320</v>
      </c>
      <c r="G936" s="8" t="n">
        <v>32</v>
      </c>
      <c r="H936" s="13" t="n">
        <f aca="false">(E936/1000)*(F936/1000)*(G936/1000)*7850</f>
        <v>380.135936</v>
      </c>
      <c r="I936" s="8" t="n">
        <v>1</v>
      </c>
      <c r="J936" s="14" t="n">
        <f aca="false">H936*I936</f>
        <v>380.135936</v>
      </c>
      <c r="K936" s="8" t="s">
        <v>1061</v>
      </c>
    </row>
    <row r="937" customFormat="false" ht="13.8" hidden="false" customHeight="false" outlineLevel="0" collapsed="false">
      <c r="A937" s="8" t="s">
        <v>1021</v>
      </c>
      <c r="B937" s="8" t="s">
        <v>42</v>
      </c>
      <c r="C937" s="8" t="s">
        <v>158</v>
      </c>
      <c r="D937" s="8" t="s">
        <v>40</v>
      </c>
      <c r="E937" s="8" t="n">
        <v>1200</v>
      </c>
      <c r="F937" s="8" t="n">
        <v>1200</v>
      </c>
      <c r="G937" s="8" t="n">
        <v>16</v>
      </c>
      <c r="H937" s="13" t="n">
        <f aca="false">(E937/1000)*(F937/1000)*(G937/1000)*7850</f>
        <v>180.864</v>
      </c>
      <c r="I937" s="8" t="n">
        <v>3</v>
      </c>
      <c r="J937" s="14" t="n">
        <f aca="false">H937*I937</f>
        <v>542.592</v>
      </c>
      <c r="K937" s="8" t="s">
        <v>1052</v>
      </c>
    </row>
    <row r="938" customFormat="false" ht="13.8" hidden="false" customHeight="false" outlineLevel="0" collapsed="false">
      <c r="A938" s="8" t="s">
        <v>1021</v>
      </c>
      <c r="B938" s="8" t="s">
        <v>42</v>
      </c>
      <c r="C938" s="8" t="s">
        <v>386</v>
      </c>
      <c r="D938" s="8" t="s">
        <v>40</v>
      </c>
      <c r="E938" s="8" t="n">
        <v>2300</v>
      </c>
      <c r="F938" s="8" t="n">
        <v>320</v>
      </c>
      <c r="G938" s="8" t="n">
        <v>32</v>
      </c>
      <c r="H938" s="13" t="n">
        <f aca="false">(E938/1000)*(F938/1000)*(G938/1000)*7850</f>
        <v>184.8832</v>
      </c>
      <c r="I938" s="8" t="n">
        <v>2</v>
      </c>
      <c r="J938" s="14" t="n">
        <f aca="false">H938*I938</f>
        <v>369.7664</v>
      </c>
      <c r="K938" s="8" t="s">
        <v>1062</v>
      </c>
    </row>
    <row r="939" customFormat="false" ht="13.8" hidden="false" customHeight="false" outlineLevel="0" collapsed="false">
      <c r="A939" s="8" t="s">
        <v>1021</v>
      </c>
      <c r="B939" s="8" t="s">
        <v>42</v>
      </c>
      <c r="C939" s="8" t="s">
        <v>637</v>
      </c>
      <c r="D939" s="8" t="s">
        <v>40</v>
      </c>
      <c r="E939" s="8" t="n">
        <v>2200</v>
      </c>
      <c r="F939" s="8" t="n">
        <v>320</v>
      </c>
      <c r="G939" s="8" t="n">
        <v>32</v>
      </c>
      <c r="H939" s="13" t="n">
        <f aca="false">(E939/1000)*(F939/1000)*(G939/1000)*7850</f>
        <v>176.8448</v>
      </c>
      <c r="I939" s="8" t="n">
        <v>4</v>
      </c>
      <c r="J939" s="14" t="n">
        <f aca="false">H939*I939</f>
        <v>707.3792</v>
      </c>
      <c r="K939" s="8" t="s">
        <v>1063</v>
      </c>
    </row>
    <row r="940" customFormat="false" ht="13.8" hidden="false" customHeight="false" outlineLevel="0" collapsed="false">
      <c r="A940" s="8" t="s">
        <v>1021</v>
      </c>
      <c r="B940" s="8" t="s">
        <v>64</v>
      </c>
      <c r="C940" s="8" t="s">
        <v>167</v>
      </c>
      <c r="D940" s="8" t="s">
        <v>40</v>
      </c>
      <c r="E940" s="8" t="n">
        <v>1980</v>
      </c>
      <c r="F940" s="8" t="n">
        <v>610</v>
      </c>
      <c r="G940" s="8" t="n">
        <v>14</v>
      </c>
      <c r="H940" s="13" t="n">
        <f aca="false">(E940/1000)*(F940/1000)*(G940/1000)*7850</f>
        <v>132.73722</v>
      </c>
      <c r="I940" s="8" t="n">
        <v>6</v>
      </c>
      <c r="J940" s="14" t="n">
        <f aca="false">H940*I940</f>
        <v>796.42332</v>
      </c>
      <c r="K940" s="8" t="s">
        <v>1064</v>
      </c>
    </row>
    <row r="941" customFormat="false" ht="13.8" hidden="false" customHeight="false" outlineLevel="0" collapsed="false">
      <c r="A941" s="8" t="s">
        <v>1021</v>
      </c>
      <c r="B941" s="8" t="s">
        <v>42</v>
      </c>
      <c r="C941" s="8" t="s">
        <v>233</v>
      </c>
      <c r="D941" s="8" t="s">
        <v>40</v>
      </c>
      <c r="E941" s="8" t="n">
        <v>1976</v>
      </c>
      <c r="F941" s="8" t="n">
        <v>618</v>
      </c>
      <c r="G941" s="8" t="n">
        <v>14</v>
      </c>
      <c r="H941" s="13" t="n">
        <f aca="false">(E941/1000)*(F941/1000)*(G941/1000)*7850</f>
        <v>134.2063632</v>
      </c>
      <c r="I941" s="8" t="n">
        <v>4</v>
      </c>
      <c r="J941" s="14" t="n">
        <f aca="false">H941*I941</f>
        <v>536.8254528</v>
      </c>
      <c r="K941" s="8" t="s">
        <v>1065</v>
      </c>
    </row>
    <row r="942" customFormat="false" ht="13.8" hidden="false" customHeight="false" outlineLevel="0" collapsed="false">
      <c r="A942" s="8" t="s">
        <v>1021</v>
      </c>
      <c r="B942" s="8" t="s">
        <v>42</v>
      </c>
      <c r="C942" s="8" t="s">
        <v>169</v>
      </c>
      <c r="D942" s="8" t="s">
        <v>40</v>
      </c>
      <c r="G942" s="8" t="n">
        <v>24</v>
      </c>
      <c r="H942" s="13" t="n">
        <f aca="false">M942*(G942/1000)*7850</f>
        <v>88.548</v>
      </c>
      <c r="I942" s="8" t="n">
        <v>6</v>
      </c>
      <c r="J942" s="14" t="n">
        <f aca="false">H942*I942</f>
        <v>531.288</v>
      </c>
      <c r="K942" s="8" t="s">
        <v>1066</v>
      </c>
      <c r="M942" s="15" t="n">
        <v>0.47</v>
      </c>
    </row>
    <row r="943" customFormat="false" ht="13.8" hidden="false" customHeight="false" outlineLevel="0" collapsed="false">
      <c r="A943" s="8" t="s">
        <v>1021</v>
      </c>
      <c r="B943" s="8" t="s">
        <v>42</v>
      </c>
      <c r="C943" s="8" t="s">
        <v>236</v>
      </c>
      <c r="D943" s="8" t="s">
        <v>40</v>
      </c>
      <c r="G943" s="8" t="n">
        <v>24</v>
      </c>
      <c r="H943" s="13" t="n">
        <f aca="false">M943*(G943/1000)*7850</f>
        <v>90.432</v>
      </c>
      <c r="I943" s="8" t="n">
        <v>4</v>
      </c>
      <c r="J943" s="14" t="n">
        <f aca="false">H943*I943</f>
        <v>361.728</v>
      </c>
      <c r="K943" s="8" t="s">
        <v>1067</v>
      </c>
      <c r="M943" s="15" t="n">
        <v>0.48</v>
      </c>
    </row>
    <row r="944" customFormat="false" ht="13.8" hidden="false" customHeight="false" outlineLevel="0" collapsed="false">
      <c r="A944" s="8" t="s">
        <v>1021</v>
      </c>
      <c r="B944" s="8" t="s">
        <v>42</v>
      </c>
      <c r="C944" s="8" t="s">
        <v>172</v>
      </c>
      <c r="D944" s="8" t="s">
        <v>40</v>
      </c>
      <c r="E944" s="8" t="n">
        <v>1800</v>
      </c>
      <c r="F944" s="8" t="n">
        <v>610</v>
      </c>
      <c r="G944" s="8" t="n">
        <v>14</v>
      </c>
      <c r="H944" s="13" t="n">
        <f aca="false">(E944/1000)*(F944/1000)*(G944/1000)*7850</f>
        <v>120.6702</v>
      </c>
      <c r="I944" s="8" t="n">
        <v>6</v>
      </c>
      <c r="J944" s="14" t="n">
        <f aca="false">H944*I944</f>
        <v>724.0212</v>
      </c>
      <c r="K944" s="8" t="s">
        <v>1068</v>
      </c>
    </row>
    <row r="945" customFormat="false" ht="13.8" hidden="false" customHeight="false" outlineLevel="0" collapsed="false">
      <c r="A945" s="8" t="s">
        <v>1021</v>
      </c>
      <c r="B945" s="8" t="s">
        <v>42</v>
      </c>
      <c r="C945" s="8" t="s">
        <v>239</v>
      </c>
      <c r="D945" s="8" t="s">
        <v>40</v>
      </c>
      <c r="E945" s="8" t="n">
        <v>1800</v>
      </c>
      <c r="F945" s="8" t="n">
        <v>626</v>
      </c>
      <c r="G945" s="8" t="n">
        <v>14</v>
      </c>
      <c r="H945" s="13" t="n">
        <f aca="false">(E945/1000)*(F945/1000)*(G945/1000)*7850</f>
        <v>123.83532</v>
      </c>
      <c r="I945" s="8" t="n">
        <v>4</v>
      </c>
      <c r="J945" s="14" t="n">
        <f aca="false">H945*I945</f>
        <v>495.34128</v>
      </c>
      <c r="K945" s="8" t="s">
        <v>1069</v>
      </c>
    </row>
    <row r="946" customFormat="false" ht="13.8" hidden="false" customHeight="false" outlineLevel="0" collapsed="false">
      <c r="A946" s="8" t="s">
        <v>1070</v>
      </c>
      <c r="B946" s="8" t="s">
        <v>38</v>
      </c>
      <c r="C946" s="8" t="s">
        <v>179</v>
      </c>
      <c r="D946" s="8" t="s">
        <v>40</v>
      </c>
      <c r="G946" s="8" t="n">
        <v>20</v>
      </c>
      <c r="H946" s="13" t="n">
        <f aca="false">M946*(G946/1000)*7850</f>
        <v>2398.96</v>
      </c>
      <c r="I946" s="8" t="n">
        <v>1</v>
      </c>
      <c r="J946" s="14" t="n">
        <f aca="false">H946*I946</f>
        <v>2398.96</v>
      </c>
      <c r="K946" s="8" t="s">
        <v>1071</v>
      </c>
      <c r="M946" s="15" t="n">
        <v>15.28</v>
      </c>
    </row>
    <row r="947" customFormat="false" ht="13.8" hidden="false" customHeight="false" outlineLevel="0" collapsed="false">
      <c r="A947" s="8" t="s">
        <v>1070</v>
      </c>
      <c r="B947" s="8" t="s">
        <v>42</v>
      </c>
      <c r="C947" s="8" t="s">
        <v>243</v>
      </c>
      <c r="D947" s="8" t="s">
        <v>40</v>
      </c>
      <c r="G947" s="8" t="n">
        <v>20</v>
      </c>
      <c r="H947" s="13" t="n">
        <f aca="false">M947*(G947/1000)*7850</f>
        <v>2155.61</v>
      </c>
      <c r="I947" s="8" t="n">
        <v>1</v>
      </c>
      <c r="J947" s="14" t="n">
        <f aca="false">H947*I947</f>
        <v>2155.61</v>
      </c>
      <c r="K947" s="8" t="s">
        <v>1072</v>
      </c>
      <c r="M947" s="15" t="n">
        <v>13.73</v>
      </c>
    </row>
    <row r="948" customFormat="false" ht="13.8" hidden="false" customHeight="false" outlineLevel="0" collapsed="false">
      <c r="A948" s="8" t="s">
        <v>1070</v>
      </c>
      <c r="B948" s="8" t="s">
        <v>45</v>
      </c>
      <c r="C948" s="8" t="s">
        <v>292</v>
      </c>
      <c r="D948" s="8" t="s">
        <v>40</v>
      </c>
      <c r="E948" s="8" t="n">
        <v>7900</v>
      </c>
      <c r="F948" s="8" t="n">
        <v>1200</v>
      </c>
      <c r="G948" s="8" t="n">
        <v>20</v>
      </c>
      <c r="H948" s="13" t="n">
        <f aca="false">(E948/1000)*(F948/1000)*(G948/1000)*7850</f>
        <v>1488.36</v>
      </c>
      <c r="I948" s="8" t="n">
        <v>1</v>
      </c>
      <c r="J948" s="14" t="n">
        <f aca="false">H948*I948</f>
        <v>1488.36</v>
      </c>
      <c r="K948" s="8" t="s">
        <v>1073</v>
      </c>
    </row>
    <row r="949" customFormat="false" ht="13.8" hidden="false" customHeight="false" outlineLevel="0" collapsed="false">
      <c r="A949" s="8" t="s">
        <v>1070</v>
      </c>
      <c r="B949" s="8" t="s">
        <v>42</v>
      </c>
      <c r="C949" s="8" t="s">
        <v>345</v>
      </c>
      <c r="D949" s="8" t="s">
        <v>40</v>
      </c>
      <c r="E949" s="8" t="n">
        <v>7100</v>
      </c>
      <c r="F949" s="8" t="n">
        <v>1200</v>
      </c>
      <c r="G949" s="8" t="n">
        <v>20</v>
      </c>
      <c r="H949" s="13" t="n">
        <f aca="false">(E949/1000)*(F949/1000)*(G949/1000)*7850</f>
        <v>1337.64</v>
      </c>
      <c r="I949" s="8" t="n">
        <v>1</v>
      </c>
      <c r="J949" s="14" t="n">
        <f aca="false">H949*I949</f>
        <v>1337.64</v>
      </c>
      <c r="K949" s="8" t="s">
        <v>1074</v>
      </c>
    </row>
    <row r="950" customFormat="false" ht="13.8" hidden="false" customHeight="false" outlineLevel="0" collapsed="false">
      <c r="A950" s="8" t="s">
        <v>1070</v>
      </c>
      <c r="B950" s="8" t="s">
        <v>187</v>
      </c>
      <c r="C950" s="8" t="s">
        <v>188</v>
      </c>
      <c r="D950" s="8" t="s">
        <v>40</v>
      </c>
      <c r="G950" s="8" t="n">
        <v>40</v>
      </c>
      <c r="H950" s="13" t="n">
        <f aca="false">M950*(G950/1000)*7850</f>
        <v>7002.2</v>
      </c>
      <c r="I950" s="8" t="n">
        <v>2</v>
      </c>
      <c r="J950" s="14" t="n">
        <f aca="false">H950*I950</f>
        <v>14004.4</v>
      </c>
      <c r="K950" s="8" t="s">
        <v>1075</v>
      </c>
      <c r="M950" s="15" t="n">
        <v>22.3</v>
      </c>
    </row>
    <row r="951" customFormat="false" ht="13.8" hidden="false" customHeight="false" outlineLevel="0" collapsed="false">
      <c r="A951" s="8" t="s">
        <v>1070</v>
      </c>
      <c r="B951" s="8" t="s">
        <v>190</v>
      </c>
      <c r="C951" s="8" t="s">
        <v>50</v>
      </c>
      <c r="D951" s="8" t="s">
        <v>40</v>
      </c>
      <c r="E951" s="8" t="n">
        <v>7300</v>
      </c>
      <c r="F951" s="8" t="n">
        <v>2048</v>
      </c>
      <c r="G951" s="8" t="n">
        <v>20</v>
      </c>
      <c r="H951" s="13" t="n">
        <f aca="false">(E951/1000)*(F951/1000)*(G951/1000)*7850</f>
        <v>2347.2128</v>
      </c>
      <c r="I951" s="8" t="n">
        <v>2</v>
      </c>
      <c r="J951" s="14" t="n">
        <f aca="false">H951*I951</f>
        <v>4694.4256</v>
      </c>
      <c r="K951" s="8" t="s">
        <v>1076</v>
      </c>
    </row>
    <row r="952" customFormat="false" ht="13.8" hidden="false" customHeight="false" outlineLevel="0" collapsed="false">
      <c r="A952" s="8" t="s">
        <v>1070</v>
      </c>
      <c r="B952" s="8" t="s">
        <v>195</v>
      </c>
      <c r="C952" s="8" t="s">
        <v>58</v>
      </c>
      <c r="D952" s="8" t="s">
        <v>40</v>
      </c>
      <c r="E952" s="8" t="n">
        <v>1980</v>
      </c>
      <c r="F952" s="8" t="n">
        <v>1200</v>
      </c>
      <c r="G952" s="8" t="n">
        <v>16</v>
      </c>
      <c r="H952" s="13" t="n">
        <f aca="false">(E952/1000)*(F952/1000)*(G952/1000)*7850</f>
        <v>298.4256</v>
      </c>
      <c r="I952" s="8" t="n">
        <v>3</v>
      </c>
      <c r="J952" s="14" t="n">
        <f aca="false">H952*I952</f>
        <v>895.2768</v>
      </c>
      <c r="K952" s="8" t="s">
        <v>1077</v>
      </c>
    </row>
    <row r="953" customFormat="false" ht="13.8" hidden="false" customHeight="false" outlineLevel="0" collapsed="false">
      <c r="A953" s="8" t="s">
        <v>1070</v>
      </c>
      <c r="B953" s="8" t="s">
        <v>42</v>
      </c>
      <c r="C953" s="8" t="s">
        <v>298</v>
      </c>
      <c r="D953" s="8" t="s">
        <v>40</v>
      </c>
      <c r="E953" s="8" t="n">
        <v>1980</v>
      </c>
      <c r="F953" s="8" t="n">
        <v>1200</v>
      </c>
      <c r="G953" s="8" t="n">
        <v>16</v>
      </c>
      <c r="H953" s="13" t="n">
        <f aca="false">(E953/1000)*(F953/1000)*(G953/1000)*7850</f>
        <v>298.4256</v>
      </c>
      <c r="I953" s="8" t="n">
        <v>2</v>
      </c>
      <c r="J953" s="14" t="n">
        <f aca="false">H953*I953</f>
        <v>596.8512</v>
      </c>
      <c r="K953" s="8" t="s">
        <v>1077</v>
      </c>
    </row>
    <row r="954" customFormat="false" ht="13.8" hidden="false" customHeight="false" outlineLevel="0" collapsed="false">
      <c r="A954" s="8" t="s">
        <v>1070</v>
      </c>
      <c r="B954" s="8" t="s">
        <v>42</v>
      </c>
      <c r="C954" s="8" t="s">
        <v>196</v>
      </c>
      <c r="D954" s="8" t="s">
        <v>40</v>
      </c>
      <c r="E954" s="8" t="n">
        <v>2057</v>
      </c>
      <c r="F954" s="8" t="n">
        <v>200</v>
      </c>
      <c r="G954" s="8" t="n">
        <v>16</v>
      </c>
      <c r="H954" s="13" t="n">
        <f aca="false">(E954/1000)*(F954/1000)*(G954/1000)*7850</f>
        <v>51.67184</v>
      </c>
      <c r="I954" s="8" t="n">
        <v>3</v>
      </c>
      <c r="J954" s="14" t="n">
        <f aca="false">H954*I954</f>
        <v>155.01552</v>
      </c>
      <c r="K954" s="8" t="s">
        <v>1078</v>
      </c>
    </row>
    <row r="955" customFormat="false" ht="13.8" hidden="false" customHeight="false" outlineLevel="0" collapsed="false">
      <c r="A955" s="8" t="s">
        <v>1070</v>
      </c>
      <c r="B955" s="8" t="s">
        <v>42</v>
      </c>
      <c r="C955" s="8" t="s">
        <v>68</v>
      </c>
      <c r="D955" s="8" t="s">
        <v>40</v>
      </c>
      <c r="E955" s="8" t="n">
        <v>800</v>
      </c>
      <c r="F955" s="8" t="n">
        <v>400</v>
      </c>
      <c r="G955" s="8" t="n">
        <v>16</v>
      </c>
      <c r="H955" s="13" t="n">
        <f aca="false">(E955/1000)*(F955/1000)*(G955/1000)*7850</f>
        <v>40.192</v>
      </c>
      <c r="I955" s="8" t="n">
        <v>4</v>
      </c>
      <c r="J955" s="14" t="n">
        <f aca="false">H955*I955</f>
        <v>160.768</v>
      </c>
      <c r="K955" s="8" t="s">
        <v>1079</v>
      </c>
    </row>
    <row r="956" customFormat="false" ht="13.8" hidden="false" customHeight="false" outlineLevel="0" collapsed="false">
      <c r="A956" s="8" t="s">
        <v>1070</v>
      </c>
      <c r="B956" s="8" t="s">
        <v>253</v>
      </c>
      <c r="C956" s="8" t="s">
        <v>199</v>
      </c>
      <c r="D956" s="8" t="s">
        <v>40</v>
      </c>
      <c r="E956" s="8" t="n">
        <v>7900</v>
      </c>
      <c r="F956" s="8" t="n">
        <v>240</v>
      </c>
      <c r="G956" s="8" t="n">
        <v>20</v>
      </c>
      <c r="H956" s="13" t="n">
        <f aca="false">(E956/1000)*(F956/1000)*(G956/1000)*7850</f>
        <v>297.672</v>
      </c>
      <c r="I956" s="8" t="n">
        <v>6</v>
      </c>
      <c r="J956" s="14" t="n">
        <f aca="false">H956*I956</f>
        <v>1786.032</v>
      </c>
      <c r="K956" s="8" t="s">
        <v>1080</v>
      </c>
    </row>
    <row r="957" customFormat="false" ht="13.8" hidden="false" customHeight="false" outlineLevel="0" collapsed="false">
      <c r="A957" s="8" t="s">
        <v>1070</v>
      </c>
      <c r="B957" s="8" t="s">
        <v>42</v>
      </c>
      <c r="C957" s="8" t="s">
        <v>76</v>
      </c>
      <c r="D957" s="8" t="s">
        <v>40</v>
      </c>
      <c r="E957" s="8" t="n">
        <v>7100</v>
      </c>
      <c r="F957" s="8" t="n">
        <v>240</v>
      </c>
      <c r="G957" s="8" t="n">
        <v>20</v>
      </c>
      <c r="H957" s="13" t="n">
        <f aca="false">(E957/1000)*(F957/1000)*(G957/1000)*7850</f>
        <v>267.528</v>
      </c>
      <c r="I957" s="8" t="n">
        <v>6</v>
      </c>
      <c r="J957" s="14" t="n">
        <f aca="false">H957*I957</f>
        <v>1605.168</v>
      </c>
      <c r="K957" s="8" t="s">
        <v>1081</v>
      </c>
    </row>
    <row r="958" customFormat="false" ht="13.8" hidden="false" customHeight="false" outlineLevel="0" collapsed="false">
      <c r="A958" s="8" t="s">
        <v>1070</v>
      </c>
      <c r="B958" s="8" t="s">
        <v>256</v>
      </c>
      <c r="C958" s="8" t="s">
        <v>96</v>
      </c>
      <c r="D958" s="8" t="s">
        <v>40</v>
      </c>
      <c r="E958" s="8" t="n">
        <v>7900</v>
      </c>
      <c r="F958" s="8" t="n">
        <v>2500</v>
      </c>
      <c r="G958" s="8" t="n">
        <v>20</v>
      </c>
      <c r="H958" s="13" t="n">
        <f aca="false">(E958/1000)*(F958/1000)*(G958/1000)*7850</f>
        <v>3100.75</v>
      </c>
      <c r="I958" s="8" t="n">
        <v>1</v>
      </c>
      <c r="J958" s="14" t="n">
        <f aca="false">H958*I958</f>
        <v>3100.75</v>
      </c>
      <c r="K958" s="8" t="s">
        <v>1082</v>
      </c>
    </row>
    <row r="959" customFormat="false" ht="13.8" hidden="false" customHeight="false" outlineLevel="0" collapsed="false">
      <c r="A959" s="8" t="s">
        <v>1070</v>
      </c>
      <c r="B959" s="8" t="s">
        <v>42</v>
      </c>
      <c r="C959" s="8" t="s">
        <v>203</v>
      </c>
      <c r="D959" s="8" t="s">
        <v>40</v>
      </c>
      <c r="E959" s="8" t="n">
        <v>7100</v>
      </c>
      <c r="F959" s="8" t="n">
        <v>2500</v>
      </c>
      <c r="G959" s="8" t="n">
        <v>20</v>
      </c>
      <c r="H959" s="13" t="n">
        <f aca="false">(E959/1000)*(F959/1000)*(G959/1000)*7850</f>
        <v>2786.75</v>
      </c>
      <c r="I959" s="8" t="n">
        <v>1</v>
      </c>
      <c r="J959" s="14" t="n">
        <f aca="false">H959*I959</f>
        <v>2786.75</v>
      </c>
      <c r="K959" s="8" t="s">
        <v>1083</v>
      </c>
    </row>
    <row r="960" customFormat="false" ht="13.8" hidden="false" customHeight="false" outlineLevel="0" collapsed="false">
      <c r="A960" s="8" t="s">
        <v>1070</v>
      </c>
      <c r="B960" s="8" t="s">
        <v>42</v>
      </c>
      <c r="C960" s="8" t="s">
        <v>206</v>
      </c>
      <c r="D960" s="8" t="s">
        <v>40</v>
      </c>
      <c r="G960" s="8" t="n">
        <v>20</v>
      </c>
      <c r="H960" s="13" t="n">
        <f aca="false">M960*(G960/1000)*7850</f>
        <v>1747.41</v>
      </c>
      <c r="I960" s="8" t="n">
        <v>1</v>
      </c>
      <c r="J960" s="14" t="n">
        <f aca="false">H960*I960</f>
        <v>1747.41</v>
      </c>
      <c r="K960" s="8" t="s">
        <v>1084</v>
      </c>
      <c r="M960" s="15" t="n">
        <v>11.13</v>
      </c>
    </row>
    <row r="961" customFormat="false" ht="13.8" hidden="false" customHeight="false" outlineLevel="0" collapsed="false">
      <c r="A961" s="8" t="s">
        <v>1070</v>
      </c>
      <c r="B961" s="8" t="s">
        <v>105</v>
      </c>
      <c r="C961" s="8" t="s">
        <v>103</v>
      </c>
      <c r="D961" s="8" t="s">
        <v>40</v>
      </c>
      <c r="G961" s="8" t="n">
        <v>40</v>
      </c>
      <c r="H961" s="13" t="n">
        <f aca="false">M961*(G961/1000)*7850</f>
        <v>6393.04</v>
      </c>
      <c r="I961" s="8" t="n">
        <v>2</v>
      </c>
      <c r="J961" s="14" t="n">
        <f aca="false">H961*I961</f>
        <v>12786.08</v>
      </c>
      <c r="K961" s="8" t="s">
        <v>1085</v>
      </c>
      <c r="M961" s="15" t="n">
        <v>20.36</v>
      </c>
    </row>
    <row r="962" customFormat="false" ht="13.8" hidden="false" customHeight="false" outlineLevel="0" collapsed="false">
      <c r="A962" s="8" t="s">
        <v>1070</v>
      </c>
      <c r="B962" s="8" t="s">
        <v>102</v>
      </c>
      <c r="C962" s="8" t="s">
        <v>264</v>
      </c>
      <c r="D962" s="8" t="s">
        <v>40</v>
      </c>
      <c r="E962" s="8" t="n">
        <v>7300</v>
      </c>
      <c r="F962" s="8" t="n">
        <v>1880</v>
      </c>
      <c r="G962" s="8" t="n">
        <v>24</v>
      </c>
      <c r="H962" s="13" t="n">
        <f aca="false">(E962/1000)*(F962/1000)*(G962/1000)*7850</f>
        <v>2585.6016</v>
      </c>
      <c r="I962" s="8" t="n">
        <v>2</v>
      </c>
      <c r="J962" s="14" t="n">
        <f aca="false">H962*I962</f>
        <v>5171.2032</v>
      </c>
      <c r="K962" s="8" t="s">
        <v>1086</v>
      </c>
    </row>
    <row r="963" customFormat="false" ht="13.8" hidden="false" customHeight="false" outlineLevel="0" collapsed="false">
      <c r="A963" s="8" t="s">
        <v>1070</v>
      </c>
      <c r="B963" s="8" t="s">
        <v>42</v>
      </c>
      <c r="C963" s="8" t="s">
        <v>112</v>
      </c>
      <c r="D963" s="8" t="s">
        <v>40</v>
      </c>
      <c r="E963" s="8" t="n">
        <v>1800</v>
      </c>
      <c r="F963" s="8" t="n">
        <v>1200</v>
      </c>
      <c r="G963" s="8" t="n">
        <v>16</v>
      </c>
      <c r="H963" s="13" t="n">
        <f aca="false">(E963/1000)*(F963/1000)*(G963/1000)*7850</f>
        <v>271.296</v>
      </c>
      <c r="I963" s="8" t="n">
        <v>2</v>
      </c>
      <c r="J963" s="14" t="n">
        <f aca="false">H963*I963</f>
        <v>542.592</v>
      </c>
      <c r="K963" s="8" t="s">
        <v>1087</v>
      </c>
    </row>
    <row r="964" customFormat="false" ht="13.8" hidden="false" customHeight="false" outlineLevel="0" collapsed="false">
      <c r="A964" s="8" t="s">
        <v>1070</v>
      </c>
      <c r="B964" s="8" t="s">
        <v>42</v>
      </c>
      <c r="C964" s="8" t="s">
        <v>116</v>
      </c>
      <c r="D964" s="8" t="s">
        <v>40</v>
      </c>
      <c r="E964" s="8" t="n">
        <v>7100</v>
      </c>
      <c r="F964" s="8" t="n">
        <v>240</v>
      </c>
      <c r="G964" s="8" t="n">
        <v>20</v>
      </c>
      <c r="H964" s="13" t="n">
        <f aca="false">(E964/1000)*(F964/1000)*(G964/1000)*7850</f>
        <v>267.528</v>
      </c>
      <c r="I964" s="8" t="n">
        <v>4</v>
      </c>
      <c r="J964" s="14" t="n">
        <f aca="false">H964*I964</f>
        <v>1070.112</v>
      </c>
      <c r="K964" s="8" t="s">
        <v>1081</v>
      </c>
    </row>
    <row r="965" customFormat="false" ht="13.8" hidden="false" customHeight="false" outlineLevel="0" collapsed="false">
      <c r="A965" s="8" t="s">
        <v>1070</v>
      </c>
      <c r="B965" s="8" t="s">
        <v>42</v>
      </c>
      <c r="C965" s="8" t="s">
        <v>118</v>
      </c>
      <c r="D965" s="8" t="s">
        <v>40</v>
      </c>
      <c r="E965" s="8" t="n">
        <v>15000</v>
      </c>
      <c r="F965" s="8" t="n">
        <v>170</v>
      </c>
      <c r="G965" s="8" t="n">
        <v>14</v>
      </c>
      <c r="H965" s="13" t="n">
        <f aca="false">(E965/1000)*(F965/1000)*(G965/1000)*7850</f>
        <v>280.245</v>
      </c>
      <c r="I965" s="8" t="n">
        <v>2</v>
      </c>
      <c r="J965" s="14" t="n">
        <f aca="false">H965*I965</f>
        <v>560.49</v>
      </c>
      <c r="K965" s="8" t="s">
        <v>1088</v>
      </c>
    </row>
    <row r="966" customFormat="false" ht="13.8" hidden="false" customHeight="false" outlineLevel="0" collapsed="false">
      <c r="A966" s="8" t="s">
        <v>1070</v>
      </c>
      <c r="B966" s="8" t="s">
        <v>272</v>
      </c>
      <c r="C966" s="8" t="s">
        <v>125</v>
      </c>
      <c r="D966" s="8" t="s">
        <v>40</v>
      </c>
      <c r="E966" s="8" t="n">
        <v>7227</v>
      </c>
      <c r="F966" s="8" t="n">
        <v>900</v>
      </c>
      <c r="G966" s="8" t="n">
        <v>36</v>
      </c>
      <c r="H966" s="13" t="n">
        <f aca="false">(E966/1000)*(F966/1000)*(G966/1000)*7850</f>
        <v>1838.11518</v>
      </c>
      <c r="I966" s="8" t="n">
        <v>2</v>
      </c>
      <c r="J966" s="14" t="n">
        <f aca="false">H966*I966</f>
        <v>3676.23036</v>
      </c>
      <c r="K966" s="8" t="s">
        <v>1089</v>
      </c>
    </row>
    <row r="967" customFormat="false" ht="13.8" hidden="false" customHeight="false" outlineLevel="0" collapsed="false">
      <c r="A967" s="8" t="s">
        <v>1070</v>
      </c>
      <c r="B967" s="8" t="s">
        <v>42</v>
      </c>
      <c r="C967" s="8" t="s">
        <v>128</v>
      </c>
      <c r="D967" s="8" t="s">
        <v>40</v>
      </c>
      <c r="E967" s="8" t="n">
        <v>11727</v>
      </c>
      <c r="F967" s="8" t="n">
        <v>1200</v>
      </c>
      <c r="G967" s="8" t="n">
        <v>32</v>
      </c>
      <c r="H967" s="13" t="n">
        <f aca="false">(E967/1000)*(F967/1000)*(G967/1000)*7850</f>
        <v>3534.98688</v>
      </c>
      <c r="I967" s="8" t="n">
        <v>1</v>
      </c>
      <c r="J967" s="14" t="n">
        <f aca="false">H967*I967</f>
        <v>3534.98688</v>
      </c>
      <c r="K967" s="8" t="s">
        <v>1090</v>
      </c>
    </row>
    <row r="968" customFormat="false" ht="13.8" hidden="false" customHeight="false" outlineLevel="0" collapsed="false">
      <c r="A968" s="8" t="s">
        <v>1070</v>
      </c>
      <c r="B968" s="8" t="s">
        <v>42</v>
      </c>
      <c r="C968" s="8" t="s">
        <v>130</v>
      </c>
      <c r="D968" s="8" t="s">
        <v>40</v>
      </c>
      <c r="E968" s="8" t="n">
        <v>10327</v>
      </c>
      <c r="F968" s="8" t="n">
        <v>240</v>
      </c>
      <c r="G968" s="8" t="n">
        <v>24</v>
      </c>
      <c r="H968" s="13" t="n">
        <f aca="false">(E968/1000)*(F968/1000)*(G968/1000)*7850</f>
        <v>466.945632</v>
      </c>
      <c r="I968" s="8" t="n">
        <v>2</v>
      </c>
      <c r="J968" s="14" t="n">
        <f aca="false">H968*I968</f>
        <v>933.891264</v>
      </c>
      <c r="K968" s="8" t="s">
        <v>1091</v>
      </c>
    </row>
    <row r="969" customFormat="false" ht="13.8" hidden="false" customHeight="false" outlineLevel="0" collapsed="false">
      <c r="A969" s="8" t="s">
        <v>1070</v>
      </c>
      <c r="B969" s="8" t="s">
        <v>42</v>
      </c>
      <c r="C969" s="8" t="s">
        <v>137</v>
      </c>
      <c r="D969" s="8" t="s">
        <v>40</v>
      </c>
      <c r="E969" s="8" t="n">
        <v>3657</v>
      </c>
      <c r="F969" s="8" t="n">
        <v>900</v>
      </c>
      <c r="G969" s="8" t="n">
        <v>36</v>
      </c>
      <c r="H969" s="13" t="n">
        <f aca="false">(E969/1000)*(F969/1000)*(G969/1000)*7850</f>
        <v>930.12138</v>
      </c>
      <c r="I969" s="8" t="n">
        <v>2</v>
      </c>
      <c r="J969" s="14" t="n">
        <f aca="false">H969*I969</f>
        <v>1860.24276</v>
      </c>
      <c r="K969" s="8" t="s">
        <v>1092</v>
      </c>
    </row>
    <row r="970" customFormat="false" ht="13.8" hidden="false" customHeight="false" outlineLevel="0" collapsed="false">
      <c r="A970" s="8" t="s">
        <v>1070</v>
      </c>
      <c r="B970" s="8" t="s">
        <v>42</v>
      </c>
      <c r="C970" s="8" t="s">
        <v>141</v>
      </c>
      <c r="D970" s="8" t="s">
        <v>40</v>
      </c>
      <c r="E970" s="8" t="n">
        <v>5957</v>
      </c>
      <c r="F970" s="8" t="n">
        <v>1200</v>
      </c>
      <c r="G970" s="8" t="n">
        <v>32</v>
      </c>
      <c r="H970" s="13" t="n">
        <f aca="false">(E970/1000)*(F970/1000)*(G970/1000)*7850</f>
        <v>1795.67808</v>
      </c>
      <c r="I970" s="8" t="n">
        <v>1</v>
      </c>
      <c r="J970" s="14" t="n">
        <f aca="false">H970*I970</f>
        <v>1795.67808</v>
      </c>
      <c r="K970" s="8" t="s">
        <v>1093</v>
      </c>
    </row>
    <row r="971" customFormat="false" ht="13.8" hidden="false" customHeight="false" outlineLevel="0" collapsed="false">
      <c r="A971" s="8" t="s">
        <v>1070</v>
      </c>
      <c r="B971" s="8" t="s">
        <v>42</v>
      </c>
      <c r="C971" s="8" t="s">
        <v>143</v>
      </c>
      <c r="D971" s="8" t="s">
        <v>40</v>
      </c>
      <c r="E971" s="8" t="n">
        <v>5257</v>
      </c>
      <c r="F971" s="8" t="n">
        <v>240</v>
      </c>
      <c r="G971" s="8" t="n">
        <v>24</v>
      </c>
      <c r="H971" s="13" t="n">
        <f aca="false">(E971/1000)*(F971/1000)*(G971/1000)*7850</f>
        <v>237.700512</v>
      </c>
      <c r="I971" s="8" t="n">
        <v>2</v>
      </c>
      <c r="J971" s="14" t="n">
        <f aca="false">H971*I971</f>
        <v>475.401024</v>
      </c>
      <c r="K971" s="8" t="s">
        <v>1094</v>
      </c>
    </row>
    <row r="972" customFormat="false" ht="13.8" hidden="false" customHeight="false" outlineLevel="0" collapsed="false">
      <c r="A972" s="8" t="s">
        <v>1070</v>
      </c>
      <c r="B972" s="8" t="s">
        <v>42</v>
      </c>
      <c r="C972" s="8" t="s">
        <v>150</v>
      </c>
      <c r="D972" s="8" t="s">
        <v>40</v>
      </c>
      <c r="E972" s="8" t="n">
        <v>3640</v>
      </c>
      <c r="F972" s="8" t="n">
        <v>900</v>
      </c>
      <c r="G972" s="8" t="n">
        <v>36</v>
      </c>
      <c r="H972" s="13" t="n">
        <f aca="false">(E972/1000)*(F972/1000)*(G972/1000)*7850</f>
        <v>925.7976</v>
      </c>
      <c r="I972" s="8" t="n">
        <v>2</v>
      </c>
      <c r="J972" s="14" t="n">
        <f aca="false">H972*I972</f>
        <v>1851.5952</v>
      </c>
      <c r="K972" s="8" t="s">
        <v>1095</v>
      </c>
    </row>
    <row r="973" customFormat="false" ht="13.8" hidden="false" customHeight="false" outlineLevel="0" collapsed="false">
      <c r="A973" s="8" t="s">
        <v>1070</v>
      </c>
      <c r="B973" s="8" t="s">
        <v>42</v>
      </c>
      <c r="C973" s="8" t="s">
        <v>155</v>
      </c>
      <c r="D973" s="8" t="s">
        <v>40</v>
      </c>
      <c r="E973" s="8" t="n">
        <v>5940</v>
      </c>
      <c r="F973" s="8" t="n">
        <v>1200</v>
      </c>
      <c r="G973" s="8" t="n">
        <v>32</v>
      </c>
      <c r="H973" s="13" t="n">
        <f aca="false">(E973/1000)*(F973/1000)*(G973/1000)*7850</f>
        <v>1790.5536</v>
      </c>
      <c r="I973" s="8" t="n">
        <v>1</v>
      </c>
      <c r="J973" s="14" t="n">
        <f aca="false">H973*I973</f>
        <v>1790.5536</v>
      </c>
      <c r="K973" s="8" t="s">
        <v>1096</v>
      </c>
    </row>
    <row r="974" customFormat="false" ht="13.8" hidden="false" customHeight="false" outlineLevel="0" collapsed="false">
      <c r="A974" s="8" t="s">
        <v>1070</v>
      </c>
      <c r="B974" s="8" t="s">
        <v>42</v>
      </c>
      <c r="C974" s="8" t="s">
        <v>160</v>
      </c>
      <c r="D974" s="8" t="s">
        <v>40</v>
      </c>
      <c r="E974" s="8" t="n">
        <v>5240</v>
      </c>
      <c r="F974" s="8" t="n">
        <v>240</v>
      </c>
      <c r="G974" s="8" t="n">
        <v>24</v>
      </c>
      <c r="H974" s="13" t="n">
        <f aca="false">(E974/1000)*(F974/1000)*(G974/1000)*7850</f>
        <v>236.93184</v>
      </c>
      <c r="I974" s="8" t="n">
        <v>2</v>
      </c>
      <c r="J974" s="14" t="n">
        <f aca="false">H974*I974</f>
        <v>473.86368</v>
      </c>
      <c r="K974" s="8" t="s">
        <v>1097</v>
      </c>
    </row>
    <row r="975" customFormat="false" ht="13.8" hidden="false" customHeight="false" outlineLevel="0" collapsed="false">
      <c r="A975" s="8" t="s">
        <v>1070</v>
      </c>
      <c r="B975" s="8" t="s">
        <v>64</v>
      </c>
      <c r="C975" s="8" t="s">
        <v>167</v>
      </c>
      <c r="D975" s="8" t="s">
        <v>40</v>
      </c>
      <c r="E975" s="8" t="n">
        <v>1980</v>
      </c>
      <c r="F975" s="8" t="n">
        <v>610</v>
      </c>
      <c r="G975" s="8" t="n">
        <v>14</v>
      </c>
      <c r="H975" s="13" t="n">
        <f aca="false">(E975/1000)*(F975/1000)*(G975/1000)*7850</f>
        <v>132.73722</v>
      </c>
      <c r="I975" s="8" t="n">
        <v>6</v>
      </c>
      <c r="J975" s="14" t="n">
        <f aca="false">H975*I975</f>
        <v>796.42332</v>
      </c>
      <c r="K975" s="8" t="s">
        <v>1098</v>
      </c>
    </row>
    <row r="976" customFormat="false" ht="13.8" hidden="false" customHeight="false" outlineLevel="0" collapsed="false">
      <c r="A976" s="8" t="s">
        <v>1070</v>
      </c>
      <c r="B976" s="8" t="s">
        <v>42</v>
      </c>
      <c r="C976" s="8" t="s">
        <v>334</v>
      </c>
      <c r="D976" s="8" t="s">
        <v>40</v>
      </c>
      <c r="E976" s="8" t="n">
        <v>1980</v>
      </c>
      <c r="F976" s="8" t="n">
        <v>630</v>
      </c>
      <c r="G976" s="8" t="n">
        <v>14</v>
      </c>
      <c r="H976" s="13" t="n">
        <f aca="false">(E976/1000)*(F976/1000)*(G976/1000)*7850</f>
        <v>137.08926</v>
      </c>
      <c r="I976" s="8" t="n">
        <v>4</v>
      </c>
      <c r="J976" s="14" t="n">
        <f aca="false">H976*I976</f>
        <v>548.35704</v>
      </c>
      <c r="K976" s="8" t="s">
        <v>1099</v>
      </c>
    </row>
    <row r="977" customFormat="false" ht="13.8" hidden="false" customHeight="false" outlineLevel="0" collapsed="false">
      <c r="A977" s="8" t="s">
        <v>1070</v>
      </c>
      <c r="B977" s="8" t="s">
        <v>42</v>
      </c>
      <c r="C977" s="8" t="s">
        <v>169</v>
      </c>
      <c r="D977" s="8" t="s">
        <v>40</v>
      </c>
      <c r="G977" s="8" t="n">
        <v>24</v>
      </c>
      <c r="H977" s="13" t="n">
        <f aca="false">M977*(G977/1000)*7850</f>
        <v>88.548</v>
      </c>
      <c r="I977" s="8" t="n">
        <v>6</v>
      </c>
      <c r="J977" s="14" t="n">
        <f aca="false">H977*I977</f>
        <v>531.288</v>
      </c>
      <c r="K977" s="8" t="s">
        <v>1100</v>
      </c>
      <c r="M977" s="15" t="n">
        <v>0.47</v>
      </c>
    </row>
    <row r="978" customFormat="false" ht="13.8" hidden="false" customHeight="false" outlineLevel="0" collapsed="false">
      <c r="A978" s="8" t="s">
        <v>1070</v>
      </c>
      <c r="B978" s="8" t="s">
        <v>42</v>
      </c>
      <c r="C978" s="8" t="s">
        <v>236</v>
      </c>
      <c r="D978" s="8" t="s">
        <v>40</v>
      </c>
      <c r="G978" s="8" t="n">
        <v>24</v>
      </c>
      <c r="H978" s="13" t="n">
        <f aca="false">M978*(G978/1000)*7850</f>
        <v>90.432</v>
      </c>
      <c r="I978" s="8" t="n">
        <v>4</v>
      </c>
      <c r="J978" s="14" t="n">
        <f aca="false">H978*I978</f>
        <v>361.728</v>
      </c>
      <c r="K978" s="8" t="s">
        <v>1101</v>
      </c>
      <c r="M978" s="15" t="n">
        <v>0.48</v>
      </c>
    </row>
    <row r="979" customFormat="false" ht="13.8" hidden="false" customHeight="false" outlineLevel="0" collapsed="false">
      <c r="A979" s="8" t="s">
        <v>1070</v>
      </c>
      <c r="B979" s="8" t="s">
        <v>42</v>
      </c>
      <c r="C979" s="8" t="s">
        <v>172</v>
      </c>
      <c r="D979" s="8" t="s">
        <v>40</v>
      </c>
      <c r="E979" s="8" t="n">
        <v>1800</v>
      </c>
      <c r="F979" s="8" t="n">
        <v>610</v>
      </c>
      <c r="G979" s="8" t="n">
        <v>14</v>
      </c>
      <c r="H979" s="13" t="n">
        <f aca="false">(E979/1000)*(F979/1000)*(G979/1000)*7850</f>
        <v>120.6702</v>
      </c>
      <c r="I979" s="8" t="n">
        <v>6</v>
      </c>
      <c r="J979" s="14" t="n">
        <f aca="false">H979*I979</f>
        <v>724.0212</v>
      </c>
      <c r="K979" s="8" t="s">
        <v>1102</v>
      </c>
    </row>
    <row r="980" customFormat="false" ht="13.8" hidden="false" customHeight="false" outlineLevel="0" collapsed="false">
      <c r="A980" s="8" t="s">
        <v>1070</v>
      </c>
      <c r="B980" s="8" t="s">
        <v>42</v>
      </c>
      <c r="C980" s="8" t="s">
        <v>1103</v>
      </c>
      <c r="D980" s="8" t="s">
        <v>40</v>
      </c>
      <c r="E980" s="8" t="n">
        <v>1800</v>
      </c>
      <c r="F980" s="8" t="n">
        <v>626</v>
      </c>
      <c r="G980" s="8" t="n">
        <v>14</v>
      </c>
      <c r="H980" s="13" t="n">
        <f aca="false">(E980/1000)*(F980/1000)*(G980/1000)*7850</f>
        <v>123.83532</v>
      </c>
      <c r="I980" s="8" t="n">
        <v>4</v>
      </c>
      <c r="J980" s="14" t="n">
        <f aca="false">H980*I980</f>
        <v>495.34128</v>
      </c>
      <c r="K980" s="8" t="s">
        <v>1104</v>
      </c>
    </row>
    <row r="981" customFormat="false" ht="13.8" hidden="false" customHeight="false" outlineLevel="0" collapsed="false">
      <c r="A981" s="8" t="s">
        <v>1105</v>
      </c>
      <c r="B981" s="8" t="s">
        <v>38</v>
      </c>
      <c r="C981" s="8" t="s">
        <v>179</v>
      </c>
      <c r="D981" s="8" t="s">
        <v>40</v>
      </c>
      <c r="G981" s="8" t="n">
        <v>20</v>
      </c>
      <c r="H981" s="13" t="n">
        <f aca="false">M981*(G981/1000)*7850</f>
        <v>2398.96</v>
      </c>
      <c r="I981" s="8" t="n">
        <v>1</v>
      </c>
      <c r="J981" s="14" t="n">
        <f aca="false">H981*I981</f>
        <v>2398.96</v>
      </c>
      <c r="K981" s="8" t="s">
        <v>1106</v>
      </c>
      <c r="M981" s="15" t="n">
        <v>15.28</v>
      </c>
    </row>
    <row r="982" customFormat="false" ht="13.8" hidden="false" customHeight="false" outlineLevel="0" collapsed="false">
      <c r="A982" s="8" t="s">
        <v>1105</v>
      </c>
      <c r="B982" s="8" t="s">
        <v>42</v>
      </c>
      <c r="C982" s="8" t="s">
        <v>243</v>
      </c>
      <c r="D982" s="8" t="s">
        <v>40</v>
      </c>
      <c r="G982" s="8" t="n">
        <v>20</v>
      </c>
      <c r="H982" s="13" t="n">
        <f aca="false">M982*(G982/1000)*7850</f>
        <v>2579.51</v>
      </c>
      <c r="I982" s="8" t="n">
        <v>1</v>
      </c>
      <c r="J982" s="14" t="n">
        <f aca="false">H982*I982</f>
        <v>2579.51</v>
      </c>
      <c r="K982" s="8" t="s">
        <v>1107</v>
      </c>
      <c r="M982" s="15" t="n">
        <v>16.43</v>
      </c>
    </row>
    <row r="983" customFormat="false" ht="13.8" hidden="false" customHeight="false" outlineLevel="0" collapsed="false">
      <c r="A983" s="8" t="s">
        <v>1105</v>
      </c>
      <c r="B983" s="8" t="s">
        <v>45</v>
      </c>
      <c r="C983" s="8" t="s">
        <v>292</v>
      </c>
      <c r="D983" s="8" t="s">
        <v>40</v>
      </c>
      <c r="E983" s="8" t="n">
        <v>7900</v>
      </c>
      <c r="F983" s="8" t="n">
        <v>1200</v>
      </c>
      <c r="G983" s="8" t="n">
        <v>20</v>
      </c>
      <c r="H983" s="13" t="n">
        <f aca="false">(E983/1000)*(F983/1000)*(G983/1000)*7850</f>
        <v>1488.36</v>
      </c>
      <c r="I983" s="8" t="n">
        <v>1</v>
      </c>
      <c r="J983" s="14" t="n">
        <f aca="false">H983*I983</f>
        <v>1488.36</v>
      </c>
      <c r="K983" s="8" t="s">
        <v>1108</v>
      </c>
    </row>
    <row r="984" customFormat="false" ht="13.8" hidden="false" customHeight="false" outlineLevel="0" collapsed="false">
      <c r="A984" s="8" t="s">
        <v>1105</v>
      </c>
      <c r="B984" s="8" t="s">
        <v>42</v>
      </c>
      <c r="C984" s="8" t="s">
        <v>345</v>
      </c>
      <c r="D984" s="8" t="s">
        <v>40</v>
      </c>
      <c r="E984" s="8" t="n">
        <v>8600</v>
      </c>
      <c r="F984" s="8" t="n">
        <v>1200</v>
      </c>
      <c r="G984" s="8" t="n">
        <v>20</v>
      </c>
      <c r="H984" s="13" t="n">
        <f aca="false">(E984/1000)*(F984/1000)*(G984/1000)*7850</f>
        <v>1620.24</v>
      </c>
      <c r="I984" s="8" t="n">
        <v>1</v>
      </c>
      <c r="J984" s="14" t="n">
        <f aca="false">H984*I984</f>
        <v>1620.24</v>
      </c>
      <c r="K984" s="8" t="s">
        <v>1109</v>
      </c>
    </row>
    <row r="985" customFormat="false" ht="13.8" hidden="false" customHeight="false" outlineLevel="0" collapsed="false">
      <c r="A985" s="8" t="s">
        <v>1105</v>
      </c>
      <c r="B985" s="8" t="s">
        <v>187</v>
      </c>
      <c r="C985" s="8" t="s">
        <v>188</v>
      </c>
      <c r="D985" s="8" t="s">
        <v>40</v>
      </c>
      <c r="G985" s="8" t="n">
        <v>40</v>
      </c>
      <c r="H985" s="13" t="n">
        <f aca="false">M985*(G985/1000)*7850</f>
        <v>6995.92</v>
      </c>
      <c r="I985" s="8" t="n">
        <v>2</v>
      </c>
      <c r="J985" s="14" t="n">
        <f aca="false">H985*I985</f>
        <v>13991.84</v>
      </c>
      <c r="K985" s="8" t="s">
        <v>1110</v>
      </c>
      <c r="M985" s="15" t="n">
        <v>22.28</v>
      </c>
    </row>
    <row r="986" customFormat="false" ht="13.8" hidden="false" customHeight="false" outlineLevel="0" collapsed="false">
      <c r="A986" s="8" t="s">
        <v>1105</v>
      </c>
      <c r="B986" s="8" t="s">
        <v>190</v>
      </c>
      <c r="C986" s="8" t="s">
        <v>50</v>
      </c>
      <c r="D986" s="8" t="s">
        <v>40</v>
      </c>
      <c r="E986" s="8" t="n">
        <v>8800</v>
      </c>
      <c r="F986" s="8" t="n">
        <v>2048</v>
      </c>
      <c r="G986" s="8" t="n">
        <v>20</v>
      </c>
      <c r="H986" s="13" t="n">
        <f aca="false">(E986/1000)*(F986/1000)*(G986/1000)*7850</f>
        <v>2829.5168</v>
      </c>
      <c r="I986" s="8" t="n">
        <v>2</v>
      </c>
      <c r="J986" s="14" t="n">
        <f aca="false">H986*I986</f>
        <v>5659.0336</v>
      </c>
      <c r="K986" s="8" t="s">
        <v>1111</v>
      </c>
    </row>
    <row r="987" customFormat="false" ht="13.8" hidden="false" customHeight="false" outlineLevel="0" collapsed="false">
      <c r="A987" s="8" t="s">
        <v>1105</v>
      </c>
      <c r="B987" s="8" t="s">
        <v>195</v>
      </c>
      <c r="C987" s="8" t="s">
        <v>58</v>
      </c>
      <c r="D987" s="8" t="s">
        <v>40</v>
      </c>
      <c r="E987" s="8" t="n">
        <v>1980</v>
      </c>
      <c r="F987" s="8" t="n">
        <v>1200</v>
      </c>
      <c r="G987" s="8" t="n">
        <v>16</v>
      </c>
      <c r="H987" s="13" t="n">
        <f aca="false">(E987/1000)*(F987/1000)*(G987/1000)*7850</f>
        <v>298.4256</v>
      </c>
      <c r="I987" s="8" t="n">
        <v>3</v>
      </c>
      <c r="J987" s="14" t="n">
        <f aca="false">H987*I987</f>
        <v>895.2768</v>
      </c>
      <c r="K987" s="8" t="s">
        <v>1112</v>
      </c>
    </row>
    <row r="988" customFormat="false" ht="13.8" hidden="false" customHeight="false" outlineLevel="0" collapsed="false">
      <c r="A988" s="8" t="s">
        <v>1105</v>
      </c>
      <c r="B988" s="8" t="s">
        <v>42</v>
      </c>
      <c r="C988" s="8" t="s">
        <v>298</v>
      </c>
      <c r="D988" s="8" t="s">
        <v>40</v>
      </c>
      <c r="E988" s="8" t="n">
        <v>1980</v>
      </c>
      <c r="F988" s="8" t="n">
        <v>1200</v>
      </c>
      <c r="G988" s="8" t="n">
        <v>16</v>
      </c>
      <c r="H988" s="13" t="n">
        <f aca="false">(E988/1000)*(F988/1000)*(G988/1000)*7850</f>
        <v>298.4256</v>
      </c>
      <c r="I988" s="8" t="n">
        <v>3</v>
      </c>
      <c r="J988" s="14" t="n">
        <f aca="false">H988*I988</f>
        <v>895.2768</v>
      </c>
      <c r="K988" s="8" t="s">
        <v>1112</v>
      </c>
    </row>
    <row r="989" customFormat="false" ht="13.8" hidden="false" customHeight="false" outlineLevel="0" collapsed="false">
      <c r="A989" s="8" t="s">
        <v>1105</v>
      </c>
      <c r="B989" s="8" t="s">
        <v>42</v>
      </c>
      <c r="C989" s="8" t="s">
        <v>196</v>
      </c>
      <c r="D989" s="8" t="s">
        <v>40</v>
      </c>
      <c r="E989" s="8" t="n">
        <v>2057</v>
      </c>
      <c r="F989" s="8" t="n">
        <v>200</v>
      </c>
      <c r="G989" s="8" t="n">
        <v>16</v>
      </c>
      <c r="H989" s="13" t="n">
        <f aca="false">(E989/1000)*(F989/1000)*(G989/1000)*7850</f>
        <v>51.67184</v>
      </c>
      <c r="I989" s="8" t="n">
        <v>4</v>
      </c>
      <c r="J989" s="14" t="n">
        <f aca="false">H989*I989</f>
        <v>206.68736</v>
      </c>
      <c r="K989" s="8" t="s">
        <v>1113</v>
      </c>
    </row>
    <row r="990" customFormat="false" ht="13.8" hidden="false" customHeight="false" outlineLevel="0" collapsed="false">
      <c r="A990" s="8" t="s">
        <v>1105</v>
      </c>
      <c r="B990" s="8" t="s">
        <v>42</v>
      </c>
      <c r="C990" s="8" t="s">
        <v>68</v>
      </c>
      <c r="D990" s="8" t="s">
        <v>40</v>
      </c>
      <c r="E990" s="8" t="n">
        <v>800</v>
      </c>
      <c r="F990" s="8" t="n">
        <v>400</v>
      </c>
      <c r="G990" s="8" t="n">
        <v>16</v>
      </c>
      <c r="H990" s="13" t="n">
        <f aca="false">(E990/1000)*(F990/1000)*(G990/1000)*7850</f>
        <v>40.192</v>
      </c>
      <c r="I990" s="8" t="n">
        <v>4</v>
      </c>
      <c r="J990" s="14" t="n">
        <f aca="false">H990*I990</f>
        <v>160.768</v>
      </c>
      <c r="K990" s="8" t="s">
        <v>1114</v>
      </c>
    </row>
    <row r="991" customFormat="false" ht="13.8" hidden="false" customHeight="false" outlineLevel="0" collapsed="false">
      <c r="A991" s="8" t="s">
        <v>1105</v>
      </c>
      <c r="B991" s="8" t="s">
        <v>253</v>
      </c>
      <c r="C991" s="8" t="s">
        <v>199</v>
      </c>
      <c r="D991" s="8" t="s">
        <v>40</v>
      </c>
      <c r="E991" s="8" t="n">
        <v>7900</v>
      </c>
      <c r="F991" s="8" t="n">
        <v>240</v>
      </c>
      <c r="G991" s="8" t="n">
        <v>20</v>
      </c>
      <c r="H991" s="13" t="n">
        <f aca="false">(E991/1000)*(F991/1000)*(G991/1000)*7850</f>
        <v>297.672</v>
      </c>
      <c r="I991" s="8" t="n">
        <v>6</v>
      </c>
      <c r="J991" s="14" t="n">
        <f aca="false">H991*I991</f>
        <v>1786.032</v>
      </c>
      <c r="K991" s="8" t="s">
        <v>1115</v>
      </c>
    </row>
    <row r="992" customFormat="false" ht="13.8" hidden="false" customHeight="false" outlineLevel="0" collapsed="false">
      <c r="A992" s="8" t="s">
        <v>1105</v>
      </c>
      <c r="B992" s="8" t="s">
        <v>42</v>
      </c>
      <c r="C992" s="8" t="s">
        <v>76</v>
      </c>
      <c r="D992" s="8" t="s">
        <v>40</v>
      </c>
      <c r="E992" s="8" t="n">
        <v>8600</v>
      </c>
      <c r="F992" s="8" t="n">
        <v>240</v>
      </c>
      <c r="G992" s="8" t="n">
        <v>20</v>
      </c>
      <c r="H992" s="13" t="n">
        <f aca="false">(E992/1000)*(F992/1000)*(G992/1000)*7850</f>
        <v>324.048</v>
      </c>
      <c r="I992" s="8" t="n">
        <v>6</v>
      </c>
      <c r="J992" s="14" t="n">
        <f aca="false">H992*I992</f>
        <v>1944.288</v>
      </c>
      <c r="K992" s="8" t="s">
        <v>1116</v>
      </c>
    </row>
    <row r="993" customFormat="false" ht="13.8" hidden="false" customHeight="false" outlineLevel="0" collapsed="false">
      <c r="A993" s="8" t="s">
        <v>1105</v>
      </c>
      <c r="B993" s="8" t="s">
        <v>256</v>
      </c>
      <c r="C993" s="8" t="s">
        <v>96</v>
      </c>
      <c r="D993" s="8" t="s">
        <v>40</v>
      </c>
      <c r="E993" s="8" t="n">
        <v>7900</v>
      </c>
      <c r="F993" s="8" t="n">
        <v>2500</v>
      </c>
      <c r="G993" s="8" t="n">
        <v>20</v>
      </c>
      <c r="H993" s="13" t="n">
        <f aca="false">(E993/1000)*(F993/1000)*(G993/1000)*7850</f>
        <v>3100.75</v>
      </c>
      <c r="I993" s="8" t="n">
        <v>1</v>
      </c>
      <c r="J993" s="14" t="n">
        <f aca="false">H993*I993</f>
        <v>3100.75</v>
      </c>
      <c r="K993" s="8" t="s">
        <v>1117</v>
      </c>
    </row>
    <row r="994" customFormat="false" ht="13.8" hidden="false" customHeight="false" outlineLevel="0" collapsed="false">
      <c r="A994" s="8" t="s">
        <v>1105</v>
      </c>
      <c r="B994" s="8" t="s">
        <v>42</v>
      </c>
      <c r="C994" s="8" t="s">
        <v>203</v>
      </c>
      <c r="D994" s="8" t="s">
        <v>40</v>
      </c>
      <c r="E994" s="8" t="n">
        <v>10100</v>
      </c>
      <c r="F994" s="8" t="n">
        <v>2500</v>
      </c>
      <c r="G994" s="8" t="n">
        <v>20</v>
      </c>
      <c r="H994" s="13" t="n">
        <f aca="false">(E994/1000)*(F994/1000)*(G994/1000)*7850</f>
        <v>3964.25</v>
      </c>
      <c r="I994" s="8" t="n">
        <v>1</v>
      </c>
      <c r="J994" s="14" t="n">
        <f aca="false">H994*I994</f>
        <v>3964.25</v>
      </c>
      <c r="K994" s="8" t="s">
        <v>1118</v>
      </c>
    </row>
    <row r="995" customFormat="false" ht="13.8" hidden="false" customHeight="false" outlineLevel="0" collapsed="false">
      <c r="A995" s="8" t="s">
        <v>1105</v>
      </c>
      <c r="B995" s="8" t="s">
        <v>260</v>
      </c>
      <c r="C995" s="8" t="s">
        <v>100</v>
      </c>
      <c r="D995" s="8" t="s">
        <v>40</v>
      </c>
      <c r="G995" s="8" t="n">
        <v>20</v>
      </c>
      <c r="H995" s="13" t="n">
        <f aca="false">M995*(G995/1000)*7850</f>
        <v>2034.72</v>
      </c>
      <c r="I995" s="8" t="n">
        <v>1</v>
      </c>
      <c r="J995" s="14" t="n">
        <f aca="false">H995*I995</f>
        <v>2034.72</v>
      </c>
      <c r="K995" s="8" t="s">
        <v>1119</v>
      </c>
      <c r="M995" s="15" t="n">
        <v>12.96</v>
      </c>
    </row>
    <row r="996" customFormat="false" ht="13.8" hidden="false" customHeight="false" outlineLevel="0" collapsed="false">
      <c r="A996" s="8" t="s">
        <v>1105</v>
      </c>
      <c r="B996" s="8" t="s">
        <v>42</v>
      </c>
      <c r="C996" s="8" t="s">
        <v>206</v>
      </c>
      <c r="D996" s="8" t="s">
        <v>40</v>
      </c>
      <c r="G996" s="8" t="n">
        <v>20</v>
      </c>
      <c r="H996" s="13" t="n">
        <f aca="false">M996*(G996/1000)*7850</f>
        <v>2387.97</v>
      </c>
      <c r="I996" s="8" t="n">
        <v>1</v>
      </c>
      <c r="J996" s="14" t="n">
        <f aca="false">H996*I996</f>
        <v>2387.97</v>
      </c>
      <c r="K996" s="8" t="s">
        <v>1120</v>
      </c>
      <c r="M996" s="15" t="n">
        <v>15.21</v>
      </c>
    </row>
    <row r="997" customFormat="false" ht="13.8" hidden="false" customHeight="false" outlineLevel="0" collapsed="false">
      <c r="A997" s="8" t="s">
        <v>1105</v>
      </c>
      <c r="B997" s="8" t="s">
        <v>105</v>
      </c>
      <c r="C997" s="8" t="s">
        <v>103</v>
      </c>
      <c r="D997" s="8" t="s">
        <v>40</v>
      </c>
      <c r="G997" s="8" t="n">
        <v>40</v>
      </c>
      <c r="H997" s="13" t="n">
        <f aca="false">M997*(G997/1000)*7850</f>
        <v>6377.34</v>
      </c>
      <c r="I997" s="8" t="n">
        <v>2</v>
      </c>
      <c r="J997" s="14" t="n">
        <f aca="false">H997*I997</f>
        <v>12754.68</v>
      </c>
      <c r="K997" s="8" t="s">
        <v>1121</v>
      </c>
      <c r="M997" s="15" t="n">
        <v>20.31</v>
      </c>
    </row>
    <row r="998" customFormat="false" ht="13.8" hidden="false" customHeight="false" outlineLevel="0" collapsed="false">
      <c r="A998" s="8" t="s">
        <v>1105</v>
      </c>
      <c r="B998" s="8" t="s">
        <v>102</v>
      </c>
      <c r="C998" s="8" t="s">
        <v>106</v>
      </c>
      <c r="D998" s="8" t="s">
        <v>40</v>
      </c>
      <c r="E998" s="8" t="n">
        <v>10300</v>
      </c>
      <c r="F998" s="8" t="n">
        <v>1880</v>
      </c>
      <c r="G998" s="8" t="n">
        <v>24</v>
      </c>
      <c r="H998" s="13" t="n">
        <f aca="false">(E998/1000)*(F998/1000)*(G998/1000)*7850</f>
        <v>3648.1776</v>
      </c>
      <c r="I998" s="8" t="n">
        <v>2</v>
      </c>
      <c r="J998" s="14" t="n">
        <f aca="false">H998*I998</f>
        <v>7296.3552</v>
      </c>
      <c r="K998" s="8" t="s">
        <v>1122</v>
      </c>
    </row>
    <row r="999" customFormat="false" ht="13.8" hidden="false" customHeight="false" outlineLevel="0" collapsed="false">
      <c r="A999" s="8" t="s">
        <v>1105</v>
      </c>
      <c r="B999" s="8" t="s">
        <v>110</v>
      </c>
      <c r="C999" s="8" t="s">
        <v>108</v>
      </c>
      <c r="D999" s="8" t="s">
        <v>40</v>
      </c>
      <c r="E999" s="8" t="n">
        <v>1800</v>
      </c>
      <c r="F999" s="8" t="n">
        <v>1200</v>
      </c>
      <c r="G999" s="8" t="n">
        <v>16</v>
      </c>
      <c r="H999" s="13" t="n">
        <f aca="false">(E999/1000)*(F999/1000)*(G999/1000)*7850</f>
        <v>271.296</v>
      </c>
      <c r="I999" s="8" t="n">
        <v>3</v>
      </c>
      <c r="J999" s="14" t="n">
        <f aca="false">H999*I999</f>
        <v>813.888</v>
      </c>
      <c r="K999" s="8" t="s">
        <v>1123</v>
      </c>
    </row>
    <row r="1000" customFormat="false" ht="13.8" hidden="false" customHeight="false" outlineLevel="0" collapsed="false">
      <c r="A1000" s="8" t="s">
        <v>1105</v>
      </c>
      <c r="B1000" s="8" t="s">
        <v>42</v>
      </c>
      <c r="C1000" s="8" t="s">
        <v>112</v>
      </c>
      <c r="D1000" s="8" t="s">
        <v>40</v>
      </c>
      <c r="E1000" s="8" t="n">
        <v>1800</v>
      </c>
      <c r="F1000" s="8" t="n">
        <v>1200</v>
      </c>
      <c r="G1000" s="8" t="n">
        <v>16</v>
      </c>
      <c r="H1000" s="13" t="n">
        <f aca="false">(E1000/1000)*(F1000/1000)*(G1000/1000)*7850</f>
        <v>271.296</v>
      </c>
      <c r="I1000" s="8" t="n">
        <v>2</v>
      </c>
      <c r="J1000" s="14" t="n">
        <f aca="false">H1000*I1000</f>
        <v>542.592</v>
      </c>
      <c r="K1000" s="8" t="s">
        <v>1123</v>
      </c>
    </row>
    <row r="1001" customFormat="false" ht="13.8" hidden="false" customHeight="false" outlineLevel="0" collapsed="false">
      <c r="A1001" s="8" t="s">
        <v>1105</v>
      </c>
      <c r="B1001" s="8" t="s">
        <v>42</v>
      </c>
      <c r="C1001" s="8" t="s">
        <v>108</v>
      </c>
      <c r="D1001" s="8" t="s">
        <v>40</v>
      </c>
      <c r="E1001" s="8" t="n">
        <v>2057</v>
      </c>
      <c r="F1001" s="8" t="n">
        <v>200</v>
      </c>
      <c r="G1001" s="8" t="n">
        <v>16</v>
      </c>
      <c r="H1001" s="13" t="n">
        <f aca="false">(E1001/1000)*(F1001/1000)*(G1001/1000)*7850</f>
        <v>51.67184</v>
      </c>
      <c r="I1001" s="8" t="n">
        <v>3</v>
      </c>
      <c r="J1001" s="14" t="n">
        <f aca="false">H1001*I1001</f>
        <v>155.01552</v>
      </c>
      <c r="K1001" s="8" t="s">
        <v>1113</v>
      </c>
    </row>
    <row r="1002" customFormat="false" ht="13.8" hidden="false" customHeight="false" outlineLevel="0" collapsed="false">
      <c r="A1002" s="8" t="s">
        <v>1105</v>
      </c>
      <c r="B1002" s="8" t="s">
        <v>268</v>
      </c>
      <c r="C1002" s="8" t="s">
        <v>114</v>
      </c>
      <c r="D1002" s="8" t="s">
        <v>40</v>
      </c>
      <c r="E1002" s="8" t="n">
        <v>7900</v>
      </c>
      <c r="F1002" s="8" t="n">
        <v>240</v>
      </c>
      <c r="G1002" s="8" t="n">
        <v>20</v>
      </c>
      <c r="H1002" s="13" t="n">
        <f aca="false">(E1002/1000)*(F1002/1000)*(G1002/1000)*7850</f>
        <v>297.672</v>
      </c>
      <c r="I1002" s="8" t="n">
        <v>4</v>
      </c>
      <c r="J1002" s="14" t="n">
        <f aca="false">H1002*I1002</f>
        <v>1190.688</v>
      </c>
      <c r="K1002" s="8" t="s">
        <v>1124</v>
      </c>
    </row>
    <row r="1003" customFormat="false" ht="13.8" hidden="false" customHeight="false" outlineLevel="0" collapsed="false">
      <c r="A1003" s="8" t="s">
        <v>1105</v>
      </c>
      <c r="B1003" s="8" t="s">
        <v>42</v>
      </c>
      <c r="C1003" s="8" t="s">
        <v>116</v>
      </c>
      <c r="D1003" s="8" t="s">
        <v>40</v>
      </c>
      <c r="E1003" s="8" t="n">
        <v>10100</v>
      </c>
      <c r="F1003" s="8" t="n">
        <v>240</v>
      </c>
      <c r="G1003" s="8" t="n">
        <v>20</v>
      </c>
      <c r="H1003" s="13" t="n">
        <f aca="false">(E1003/1000)*(F1003/1000)*(G1003/1000)*7850</f>
        <v>380.568</v>
      </c>
      <c r="I1003" s="8" t="n">
        <v>4</v>
      </c>
      <c r="J1003" s="14" t="n">
        <f aca="false">H1003*I1003</f>
        <v>1522.272</v>
      </c>
      <c r="K1003" s="8" t="s">
        <v>1125</v>
      </c>
    </row>
    <row r="1004" customFormat="false" ht="13.8" hidden="false" customHeight="false" outlineLevel="0" collapsed="false">
      <c r="A1004" s="8" t="s">
        <v>1105</v>
      </c>
      <c r="B1004" s="8" t="s">
        <v>42</v>
      </c>
      <c r="C1004" s="8" t="s">
        <v>118</v>
      </c>
      <c r="D1004" s="8" t="s">
        <v>40</v>
      </c>
      <c r="E1004" s="8" t="n">
        <v>18000</v>
      </c>
      <c r="F1004" s="8" t="n">
        <v>170</v>
      </c>
      <c r="G1004" s="8" t="n">
        <v>14</v>
      </c>
      <c r="H1004" s="13" t="n">
        <f aca="false">(E1004/1000)*(F1004/1000)*(G1004/1000)*7850</f>
        <v>336.294</v>
      </c>
      <c r="I1004" s="8" t="n">
        <v>2</v>
      </c>
      <c r="J1004" s="14" t="n">
        <f aca="false">H1004*I1004</f>
        <v>672.588</v>
      </c>
      <c r="K1004" s="8" t="s">
        <v>1126</v>
      </c>
    </row>
    <row r="1005" customFormat="false" ht="13.8" hidden="false" customHeight="false" outlineLevel="0" collapsed="false">
      <c r="A1005" s="8" t="s">
        <v>1105</v>
      </c>
      <c r="B1005" s="8" t="s">
        <v>272</v>
      </c>
      <c r="C1005" s="8" t="s">
        <v>125</v>
      </c>
      <c r="D1005" s="8" t="s">
        <v>40</v>
      </c>
      <c r="E1005" s="8" t="n">
        <v>8075</v>
      </c>
      <c r="F1005" s="8" t="n">
        <v>900</v>
      </c>
      <c r="G1005" s="8" t="n">
        <v>36</v>
      </c>
      <c r="H1005" s="13" t="n">
        <f aca="false">(E1005/1000)*(F1005/1000)*(G1005/1000)*7850</f>
        <v>2053.7955</v>
      </c>
      <c r="I1005" s="8" t="n">
        <v>2</v>
      </c>
      <c r="J1005" s="14" t="n">
        <f aca="false">H1005*I1005</f>
        <v>4107.591</v>
      </c>
      <c r="K1005" s="8" t="s">
        <v>1127</v>
      </c>
    </row>
    <row r="1006" customFormat="false" ht="13.8" hidden="false" customHeight="false" outlineLevel="0" collapsed="false">
      <c r="A1006" s="8" t="s">
        <v>1105</v>
      </c>
      <c r="B1006" s="8" t="s">
        <v>42</v>
      </c>
      <c r="C1006" s="8" t="s">
        <v>128</v>
      </c>
      <c r="D1006" s="8" t="s">
        <v>40</v>
      </c>
      <c r="E1006" s="8" t="n">
        <v>12575</v>
      </c>
      <c r="F1006" s="8" t="n">
        <v>1200</v>
      </c>
      <c r="G1006" s="8" t="n">
        <v>32</v>
      </c>
      <c r="H1006" s="13" t="n">
        <f aca="false">(E1006/1000)*(F1006/1000)*(G1006/1000)*7850</f>
        <v>3790.608</v>
      </c>
      <c r="I1006" s="8" t="n">
        <v>1</v>
      </c>
      <c r="J1006" s="14" t="n">
        <f aca="false">H1006*I1006</f>
        <v>3790.608</v>
      </c>
      <c r="K1006" s="8" t="s">
        <v>1128</v>
      </c>
    </row>
    <row r="1007" customFormat="false" ht="13.8" hidden="false" customHeight="false" outlineLevel="0" collapsed="false">
      <c r="A1007" s="8" t="s">
        <v>1105</v>
      </c>
      <c r="B1007" s="8" t="s">
        <v>42</v>
      </c>
      <c r="C1007" s="8" t="s">
        <v>130</v>
      </c>
      <c r="D1007" s="8" t="s">
        <v>40</v>
      </c>
      <c r="E1007" s="8" t="n">
        <v>11175</v>
      </c>
      <c r="F1007" s="8" t="n">
        <v>240</v>
      </c>
      <c r="G1007" s="8" t="n">
        <v>24</v>
      </c>
      <c r="H1007" s="13" t="n">
        <f aca="false">(E1007/1000)*(F1007/1000)*(G1007/1000)*7850</f>
        <v>505.2888</v>
      </c>
      <c r="I1007" s="8" t="n">
        <v>2</v>
      </c>
      <c r="J1007" s="14" t="n">
        <f aca="false">H1007*I1007</f>
        <v>1010.5776</v>
      </c>
      <c r="K1007" s="8" t="s">
        <v>1129</v>
      </c>
    </row>
    <row r="1008" customFormat="false" ht="13.8" hidden="false" customHeight="false" outlineLevel="0" collapsed="false">
      <c r="A1008" s="8" t="s">
        <v>1105</v>
      </c>
      <c r="B1008" s="8" t="s">
        <v>42</v>
      </c>
      <c r="C1008" s="8" t="s">
        <v>137</v>
      </c>
      <c r="D1008" s="8" t="s">
        <v>40</v>
      </c>
      <c r="E1008" s="8" t="n">
        <v>4104</v>
      </c>
      <c r="F1008" s="8" t="n">
        <v>900</v>
      </c>
      <c r="G1008" s="8" t="n">
        <v>36</v>
      </c>
      <c r="H1008" s="13" t="n">
        <f aca="false">(E1008/1000)*(F1008/1000)*(G1008/1000)*7850</f>
        <v>1043.81136</v>
      </c>
      <c r="I1008" s="8" t="n">
        <v>2</v>
      </c>
      <c r="J1008" s="14" t="n">
        <f aca="false">H1008*I1008</f>
        <v>2087.62272</v>
      </c>
      <c r="K1008" s="8" t="s">
        <v>1130</v>
      </c>
    </row>
    <row r="1009" customFormat="false" ht="13.8" hidden="false" customHeight="false" outlineLevel="0" collapsed="false">
      <c r="A1009" s="8" t="s">
        <v>1105</v>
      </c>
      <c r="B1009" s="8" t="s">
        <v>42</v>
      </c>
      <c r="C1009" s="8" t="s">
        <v>141</v>
      </c>
      <c r="D1009" s="8" t="s">
        <v>40</v>
      </c>
      <c r="E1009" s="8" t="n">
        <v>6404</v>
      </c>
      <c r="F1009" s="8" t="n">
        <v>1200</v>
      </c>
      <c r="G1009" s="8" t="n">
        <v>32</v>
      </c>
      <c r="H1009" s="13" t="n">
        <f aca="false">(E1009/1000)*(F1009/1000)*(G1009/1000)*7850</f>
        <v>1930.42176</v>
      </c>
      <c r="I1009" s="8" t="n">
        <v>1</v>
      </c>
      <c r="J1009" s="14" t="n">
        <f aca="false">H1009*I1009</f>
        <v>1930.42176</v>
      </c>
      <c r="K1009" s="8" t="s">
        <v>1131</v>
      </c>
    </row>
    <row r="1010" customFormat="false" ht="13.8" hidden="false" customHeight="false" outlineLevel="0" collapsed="false">
      <c r="A1010" s="8" t="s">
        <v>1105</v>
      </c>
      <c r="B1010" s="8" t="s">
        <v>42</v>
      </c>
      <c r="C1010" s="8" t="s">
        <v>143</v>
      </c>
      <c r="D1010" s="8" t="s">
        <v>40</v>
      </c>
      <c r="E1010" s="8" t="n">
        <v>5704</v>
      </c>
      <c r="F1010" s="8" t="n">
        <v>240</v>
      </c>
      <c r="G1010" s="8" t="n">
        <v>24</v>
      </c>
      <c r="H1010" s="13" t="n">
        <f aca="false">(E1010/1000)*(F1010/1000)*(G1010/1000)*7850</f>
        <v>257.912064</v>
      </c>
      <c r="I1010" s="8" t="n">
        <v>2</v>
      </c>
      <c r="J1010" s="14" t="n">
        <f aca="false">H1010*I1010</f>
        <v>515.824128</v>
      </c>
      <c r="K1010" s="8" t="s">
        <v>1132</v>
      </c>
    </row>
    <row r="1011" customFormat="false" ht="13.8" hidden="false" customHeight="false" outlineLevel="0" collapsed="false">
      <c r="A1011" s="8" t="s">
        <v>1105</v>
      </c>
      <c r="B1011" s="8" t="s">
        <v>42</v>
      </c>
      <c r="C1011" s="8" t="s">
        <v>150</v>
      </c>
      <c r="D1011" s="8" t="s">
        <v>40</v>
      </c>
      <c r="E1011" s="8" t="n">
        <v>3657</v>
      </c>
      <c r="F1011" s="8" t="n">
        <v>900</v>
      </c>
      <c r="G1011" s="8" t="n">
        <v>36</v>
      </c>
      <c r="H1011" s="13" t="n">
        <f aca="false">(E1011/1000)*(F1011/1000)*(G1011/1000)*7850</f>
        <v>930.12138</v>
      </c>
      <c r="I1011" s="8" t="n">
        <v>2</v>
      </c>
      <c r="J1011" s="14" t="n">
        <f aca="false">H1011*I1011</f>
        <v>1860.24276</v>
      </c>
      <c r="K1011" s="8" t="s">
        <v>1133</v>
      </c>
    </row>
    <row r="1012" customFormat="false" ht="13.8" hidden="false" customHeight="false" outlineLevel="0" collapsed="false">
      <c r="A1012" s="8" t="s">
        <v>1105</v>
      </c>
      <c r="B1012" s="8" t="s">
        <v>42</v>
      </c>
      <c r="C1012" s="8" t="s">
        <v>155</v>
      </c>
      <c r="D1012" s="8" t="s">
        <v>40</v>
      </c>
      <c r="E1012" s="8" t="n">
        <v>5857</v>
      </c>
      <c r="F1012" s="8" t="n">
        <v>1200</v>
      </c>
      <c r="G1012" s="8" t="n">
        <v>32</v>
      </c>
      <c r="H1012" s="13" t="n">
        <f aca="false">(E1012/1000)*(F1012/1000)*(G1012/1000)*7850</f>
        <v>1765.53408</v>
      </c>
      <c r="I1012" s="8" t="n">
        <v>1</v>
      </c>
      <c r="J1012" s="14" t="n">
        <f aca="false">H1012*I1012</f>
        <v>1765.53408</v>
      </c>
      <c r="K1012" s="8" t="s">
        <v>1134</v>
      </c>
    </row>
    <row r="1013" customFormat="false" ht="13.8" hidden="false" customHeight="false" outlineLevel="0" collapsed="false">
      <c r="A1013" s="8" t="s">
        <v>1105</v>
      </c>
      <c r="B1013" s="8" t="s">
        <v>42</v>
      </c>
      <c r="C1013" s="8" t="s">
        <v>632</v>
      </c>
      <c r="D1013" s="8" t="s">
        <v>40</v>
      </c>
      <c r="E1013" s="8" t="n">
        <v>5157</v>
      </c>
      <c r="F1013" s="8" t="n">
        <v>240</v>
      </c>
      <c r="G1013" s="8" t="n">
        <v>24</v>
      </c>
      <c r="H1013" s="13" t="n">
        <f aca="false">(E1013/1000)*(F1013/1000)*(G1013/1000)*7850</f>
        <v>233.178912</v>
      </c>
      <c r="I1013" s="8" t="n">
        <v>2</v>
      </c>
      <c r="J1013" s="14" t="n">
        <f aca="false">H1013*I1013</f>
        <v>466.357824</v>
      </c>
      <c r="K1013" s="8" t="s">
        <v>1135</v>
      </c>
    </row>
    <row r="1014" customFormat="false" ht="13.8" hidden="false" customHeight="false" outlineLevel="0" collapsed="false">
      <c r="A1014" s="8" t="s">
        <v>1105</v>
      </c>
      <c r="B1014" s="8" t="s">
        <v>64</v>
      </c>
      <c r="C1014" s="8" t="s">
        <v>167</v>
      </c>
      <c r="D1014" s="8" t="s">
        <v>40</v>
      </c>
      <c r="E1014" s="8" t="n">
        <v>1980</v>
      </c>
      <c r="F1014" s="8" t="n">
        <v>610</v>
      </c>
      <c r="G1014" s="8" t="n">
        <v>14</v>
      </c>
      <c r="H1014" s="13" t="n">
        <f aca="false">(E1014/1000)*(F1014/1000)*(G1014/1000)*7850</f>
        <v>132.73722</v>
      </c>
      <c r="I1014" s="8" t="n">
        <v>6</v>
      </c>
      <c r="J1014" s="14" t="n">
        <f aca="false">H1014*I1014</f>
        <v>796.42332</v>
      </c>
      <c r="K1014" s="8" t="s">
        <v>1136</v>
      </c>
    </row>
    <row r="1015" customFormat="false" ht="13.8" hidden="false" customHeight="false" outlineLevel="0" collapsed="false">
      <c r="A1015" s="8" t="s">
        <v>1105</v>
      </c>
      <c r="B1015" s="8" t="s">
        <v>42</v>
      </c>
      <c r="C1015" s="8" t="s">
        <v>334</v>
      </c>
      <c r="D1015" s="8" t="s">
        <v>40</v>
      </c>
      <c r="E1015" s="8" t="n">
        <v>1980</v>
      </c>
      <c r="F1015" s="8" t="n">
        <v>630</v>
      </c>
      <c r="G1015" s="8" t="n">
        <v>14</v>
      </c>
      <c r="H1015" s="13" t="n">
        <f aca="false">(E1015/1000)*(F1015/1000)*(G1015/1000)*7850</f>
        <v>137.08926</v>
      </c>
      <c r="I1015" s="8" t="n">
        <v>6</v>
      </c>
      <c r="J1015" s="14" t="n">
        <f aca="false">H1015*I1015</f>
        <v>822.53556</v>
      </c>
      <c r="K1015" s="8" t="s">
        <v>1137</v>
      </c>
    </row>
    <row r="1016" customFormat="false" ht="13.8" hidden="false" customHeight="false" outlineLevel="0" collapsed="false">
      <c r="A1016" s="8" t="s">
        <v>1105</v>
      </c>
      <c r="B1016" s="8" t="s">
        <v>42</v>
      </c>
      <c r="C1016" s="8" t="s">
        <v>169</v>
      </c>
      <c r="D1016" s="8" t="s">
        <v>40</v>
      </c>
      <c r="G1016" s="8" t="n">
        <v>24</v>
      </c>
      <c r="H1016" s="13" t="n">
        <f aca="false">M1016*(G1016/1000)*7850</f>
        <v>88.548</v>
      </c>
      <c r="I1016" s="8" t="n">
        <v>6</v>
      </c>
      <c r="J1016" s="14" t="n">
        <f aca="false">H1016*I1016</f>
        <v>531.288</v>
      </c>
      <c r="K1016" s="8" t="s">
        <v>1138</v>
      </c>
      <c r="M1016" s="15" t="n">
        <v>0.47</v>
      </c>
    </row>
    <row r="1017" customFormat="false" ht="13.8" hidden="false" customHeight="false" outlineLevel="0" collapsed="false">
      <c r="A1017" s="8" t="s">
        <v>1105</v>
      </c>
      <c r="B1017" s="8" t="s">
        <v>42</v>
      </c>
      <c r="C1017" s="8" t="s">
        <v>236</v>
      </c>
      <c r="D1017" s="8" t="s">
        <v>40</v>
      </c>
      <c r="G1017" s="8" t="n">
        <v>24</v>
      </c>
      <c r="H1017" s="13" t="n">
        <f aca="false">M1017*(G1017/1000)*7850</f>
        <v>90.432</v>
      </c>
      <c r="I1017" s="8" t="n">
        <v>6</v>
      </c>
      <c r="J1017" s="14" t="n">
        <f aca="false">H1017*I1017</f>
        <v>542.592</v>
      </c>
      <c r="K1017" s="8" t="s">
        <v>1139</v>
      </c>
      <c r="M1017" s="15" t="n">
        <v>0.48</v>
      </c>
    </row>
    <row r="1018" customFormat="false" ht="13.8" hidden="false" customHeight="false" outlineLevel="0" collapsed="false">
      <c r="A1018" s="8" t="s">
        <v>1105</v>
      </c>
      <c r="B1018" s="8" t="s">
        <v>42</v>
      </c>
      <c r="C1018" s="8" t="s">
        <v>172</v>
      </c>
      <c r="D1018" s="8" t="s">
        <v>40</v>
      </c>
      <c r="E1018" s="8" t="n">
        <v>1800</v>
      </c>
      <c r="F1018" s="8" t="n">
        <v>610</v>
      </c>
      <c r="G1018" s="8" t="n">
        <v>14</v>
      </c>
      <c r="H1018" s="13" t="n">
        <f aca="false">(E1018/1000)*(F1018/1000)*(G1018/1000)*7850</f>
        <v>120.6702</v>
      </c>
      <c r="I1018" s="8" t="n">
        <v>6</v>
      </c>
      <c r="J1018" s="14" t="n">
        <f aca="false">H1018*I1018</f>
        <v>724.0212</v>
      </c>
      <c r="K1018" s="8" t="s">
        <v>1140</v>
      </c>
    </row>
    <row r="1019" customFormat="false" ht="13.8" hidden="false" customHeight="false" outlineLevel="0" collapsed="false">
      <c r="A1019" s="8" t="s">
        <v>1105</v>
      </c>
      <c r="B1019" s="8" t="s">
        <v>42</v>
      </c>
      <c r="C1019" s="8" t="s">
        <v>239</v>
      </c>
      <c r="D1019" s="8" t="s">
        <v>40</v>
      </c>
      <c r="E1019" s="8" t="n">
        <v>1800</v>
      </c>
      <c r="F1019" s="8" t="n">
        <v>626</v>
      </c>
      <c r="G1019" s="8" t="n">
        <v>14</v>
      </c>
      <c r="H1019" s="13" t="n">
        <f aca="false">(E1019/1000)*(F1019/1000)*(G1019/1000)*7850</f>
        <v>123.83532</v>
      </c>
      <c r="I1019" s="8" t="n">
        <v>4</v>
      </c>
      <c r="J1019" s="14" t="n">
        <f aca="false">H1019*I1019</f>
        <v>495.34128</v>
      </c>
      <c r="K1019" s="8" t="s">
        <v>1141</v>
      </c>
    </row>
    <row r="1020" customFormat="false" ht="13.8" hidden="false" customHeight="false" outlineLevel="0" collapsed="false">
      <c r="A1020" s="8" t="s">
        <v>1142</v>
      </c>
      <c r="B1020" s="8" t="s">
        <v>38</v>
      </c>
      <c r="C1020" s="8" t="s">
        <v>39</v>
      </c>
      <c r="D1020" s="8" t="s">
        <v>40</v>
      </c>
      <c r="G1020" s="8" t="n">
        <v>20</v>
      </c>
      <c r="H1020" s="13" t="n">
        <f aca="false">M1020*(G1020/1000)*7850</f>
        <v>7350.74</v>
      </c>
      <c r="I1020" s="8" t="n">
        <v>1</v>
      </c>
      <c r="J1020" s="14" t="n">
        <f aca="false">H1020*I1020</f>
        <v>7350.74</v>
      </c>
      <c r="K1020" s="8" t="s">
        <v>1143</v>
      </c>
      <c r="M1020" s="15" t="n">
        <v>46.82</v>
      </c>
    </row>
    <row r="1021" customFormat="false" ht="13.8" hidden="false" customHeight="false" outlineLevel="0" collapsed="false">
      <c r="A1021" s="8" t="s">
        <v>1142</v>
      </c>
      <c r="B1021" s="8" t="s">
        <v>1144</v>
      </c>
      <c r="C1021" s="8" t="s">
        <v>167</v>
      </c>
      <c r="D1021" s="8" t="s">
        <v>40</v>
      </c>
      <c r="E1021" s="8" t="n">
        <v>2800</v>
      </c>
      <c r="F1021" s="8" t="n">
        <v>320</v>
      </c>
      <c r="G1021" s="8" t="n">
        <v>32</v>
      </c>
      <c r="H1021" s="13" t="n">
        <f aca="false">(E1021/1000)*(F1021/1000)*(G1021/1000)*7850</f>
        <v>225.0752</v>
      </c>
      <c r="I1021" s="8" t="n">
        <v>2</v>
      </c>
      <c r="J1021" s="14" t="n">
        <f aca="false">H1021*I1021</f>
        <v>450.1504</v>
      </c>
      <c r="K1021" s="8" t="s">
        <v>1145</v>
      </c>
    </row>
    <row r="1022" customFormat="false" ht="13.8" hidden="false" customHeight="false" outlineLevel="0" collapsed="false">
      <c r="A1022" s="8" t="s">
        <v>1142</v>
      </c>
      <c r="B1022" s="8" t="s">
        <v>45</v>
      </c>
      <c r="C1022" s="8" t="s">
        <v>46</v>
      </c>
      <c r="D1022" s="8" t="s">
        <v>40</v>
      </c>
      <c r="E1022" s="8" t="n">
        <v>23690</v>
      </c>
      <c r="F1022" s="8" t="n">
        <v>1200</v>
      </c>
      <c r="G1022" s="8" t="n">
        <v>20</v>
      </c>
      <c r="H1022" s="13" t="n">
        <f aca="false">(E1022/1000)*(F1022/1000)*(G1022/1000)*7850</f>
        <v>4463.196</v>
      </c>
      <c r="I1022" s="8" t="n">
        <v>1</v>
      </c>
      <c r="J1022" s="14" t="n">
        <f aca="false">H1022*I1022</f>
        <v>4463.196</v>
      </c>
      <c r="K1022" s="8" t="s">
        <v>1146</v>
      </c>
    </row>
    <row r="1023" customFormat="false" ht="13.8" hidden="false" customHeight="false" outlineLevel="0" collapsed="false">
      <c r="A1023" s="8" t="s">
        <v>1142</v>
      </c>
      <c r="B1023" s="8" t="s">
        <v>42</v>
      </c>
      <c r="C1023" s="8" t="s">
        <v>169</v>
      </c>
      <c r="D1023" s="8" t="s">
        <v>40</v>
      </c>
      <c r="E1023" s="8" t="n">
        <v>2400</v>
      </c>
      <c r="F1023" s="8" t="n">
        <v>320</v>
      </c>
      <c r="G1023" s="8" t="n">
        <v>32</v>
      </c>
      <c r="H1023" s="13" t="n">
        <f aca="false">(E1023/1000)*(F1023/1000)*(G1023/1000)*7850</f>
        <v>192.9216</v>
      </c>
      <c r="I1023" s="8" t="n">
        <v>2</v>
      </c>
      <c r="J1023" s="14" t="n">
        <f aca="false">H1023*I1023</f>
        <v>385.8432</v>
      </c>
      <c r="K1023" s="8" t="s">
        <v>1147</v>
      </c>
    </row>
    <row r="1024" customFormat="false" ht="13.8" hidden="false" customHeight="false" outlineLevel="0" collapsed="false">
      <c r="A1024" s="8" t="s">
        <v>1142</v>
      </c>
      <c r="B1024" s="8" t="s">
        <v>190</v>
      </c>
      <c r="C1024" s="8" t="s">
        <v>188</v>
      </c>
      <c r="D1024" s="8" t="s">
        <v>40</v>
      </c>
      <c r="E1024" s="8" t="n">
        <v>10300</v>
      </c>
      <c r="F1024" s="8" t="n">
        <v>1200</v>
      </c>
      <c r="G1024" s="8" t="n">
        <v>20</v>
      </c>
      <c r="H1024" s="13" t="n">
        <f aca="false">(E1024/1000)*(F1024/1000)*(G1024/1000)*7850</f>
        <v>1940.52</v>
      </c>
      <c r="I1024" s="8" t="n">
        <v>2</v>
      </c>
      <c r="J1024" s="14" t="n">
        <f aca="false">H1024*I1024</f>
        <v>3881.04</v>
      </c>
      <c r="K1024" s="8" t="s">
        <v>1148</v>
      </c>
    </row>
    <row r="1025" customFormat="false" ht="13.8" hidden="false" customHeight="false" outlineLevel="0" collapsed="false">
      <c r="A1025" s="8" t="s">
        <v>1142</v>
      </c>
      <c r="B1025" s="8" t="s">
        <v>42</v>
      </c>
      <c r="C1025" s="8" t="s">
        <v>172</v>
      </c>
      <c r="D1025" s="8" t="s">
        <v>40</v>
      </c>
      <c r="E1025" s="8" t="n">
        <v>750</v>
      </c>
      <c r="F1025" s="8" t="n">
        <v>320</v>
      </c>
      <c r="G1025" s="8" t="n">
        <v>28</v>
      </c>
      <c r="H1025" s="13" t="n">
        <f aca="false">(E1025/1000)*(F1025/1000)*(G1025/1000)*7850</f>
        <v>52.752</v>
      </c>
      <c r="I1025" s="8" t="n">
        <v>2</v>
      </c>
      <c r="J1025" s="14" t="n">
        <f aca="false">H1025*I1025</f>
        <v>105.504</v>
      </c>
      <c r="K1025" s="8" t="s">
        <v>1149</v>
      </c>
    </row>
    <row r="1026" customFormat="false" ht="13.8" hidden="false" customHeight="false" outlineLevel="0" collapsed="false">
      <c r="A1026" s="8" t="s">
        <v>1142</v>
      </c>
      <c r="B1026" s="8" t="s">
        <v>187</v>
      </c>
      <c r="C1026" s="8" t="s">
        <v>191</v>
      </c>
      <c r="D1026" s="8" t="s">
        <v>40</v>
      </c>
      <c r="G1026" s="8" t="n">
        <v>28</v>
      </c>
      <c r="H1026" s="13" t="n">
        <f aca="false">M1026*(G1026/1000)*7850</f>
        <v>2868.39</v>
      </c>
      <c r="I1026" s="8" t="n">
        <v>2</v>
      </c>
      <c r="J1026" s="14" t="n">
        <f aca="false">H1026*I1026</f>
        <v>5736.78</v>
      </c>
      <c r="K1026" s="8" t="s">
        <v>1150</v>
      </c>
      <c r="M1026" s="15" t="n">
        <v>13.05</v>
      </c>
    </row>
    <row r="1027" customFormat="false" ht="13.8" hidden="false" customHeight="false" outlineLevel="0" collapsed="false">
      <c r="A1027" s="8" t="s">
        <v>1142</v>
      </c>
      <c r="B1027" s="8" t="s">
        <v>42</v>
      </c>
      <c r="C1027" s="8" t="s">
        <v>174</v>
      </c>
      <c r="D1027" s="8" t="s">
        <v>40</v>
      </c>
      <c r="E1027" s="8" t="n">
        <v>2300</v>
      </c>
      <c r="F1027" s="8" t="n">
        <v>320</v>
      </c>
      <c r="G1027" s="8" t="n">
        <v>32</v>
      </c>
      <c r="H1027" s="13" t="n">
        <f aca="false">(E1027/1000)*(F1027/1000)*(G1027/1000)*7850</f>
        <v>184.8832</v>
      </c>
      <c r="I1027" s="8" t="n">
        <v>2</v>
      </c>
      <c r="J1027" s="14" t="n">
        <f aca="false">H1027*I1027</f>
        <v>369.7664</v>
      </c>
      <c r="K1027" s="8" t="s">
        <v>1151</v>
      </c>
    </row>
    <row r="1028" customFormat="false" ht="13.8" hidden="false" customHeight="false" outlineLevel="0" collapsed="false">
      <c r="A1028" s="8" t="s">
        <v>1142</v>
      </c>
      <c r="B1028" s="8" t="s">
        <v>42</v>
      </c>
      <c r="C1028" s="8" t="s">
        <v>1152</v>
      </c>
      <c r="D1028" s="8" t="s">
        <v>40</v>
      </c>
      <c r="G1028" s="8" t="n">
        <v>40</v>
      </c>
      <c r="H1028" s="13" t="n">
        <f aca="false">M1028*(G1028/1000)*7850</f>
        <v>7821.74</v>
      </c>
      <c r="I1028" s="8" t="n">
        <v>2</v>
      </c>
      <c r="J1028" s="14" t="n">
        <f aca="false">H1028*I1028</f>
        <v>15643.48</v>
      </c>
      <c r="K1028" s="8" t="s">
        <v>1153</v>
      </c>
      <c r="M1028" s="15" t="n">
        <v>24.91</v>
      </c>
    </row>
    <row r="1029" customFormat="false" ht="13.8" hidden="false" customHeight="false" outlineLevel="0" collapsed="false">
      <c r="A1029" s="8" t="s">
        <v>1142</v>
      </c>
      <c r="B1029" s="8" t="s">
        <v>42</v>
      </c>
      <c r="C1029" s="8" t="s">
        <v>176</v>
      </c>
      <c r="D1029" s="8" t="s">
        <v>40</v>
      </c>
      <c r="E1029" s="8" t="n">
        <v>2300</v>
      </c>
      <c r="F1029" s="8" t="n">
        <v>320</v>
      </c>
      <c r="G1029" s="8" t="n">
        <v>32</v>
      </c>
      <c r="H1029" s="13" t="n">
        <f aca="false">(E1029/1000)*(F1029/1000)*(G1029/1000)*7850</f>
        <v>184.8832</v>
      </c>
      <c r="I1029" s="8" t="n">
        <v>2</v>
      </c>
      <c r="J1029" s="14" t="n">
        <f aca="false">H1029*I1029</f>
        <v>369.7664</v>
      </c>
      <c r="K1029" s="8" t="s">
        <v>1151</v>
      </c>
    </row>
    <row r="1030" customFormat="false" ht="13.8" hidden="false" customHeight="false" outlineLevel="0" collapsed="false">
      <c r="A1030" s="8" t="s">
        <v>1142</v>
      </c>
      <c r="B1030" s="8" t="s">
        <v>195</v>
      </c>
      <c r="C1030" s="8" t="s">
        <v>58</v>
      </c>
      <c r="D1030" s="8" t="s">
        <v>40</v>
      </c>
      <c r="E1030" s="8" t="n">
        <v>1980</v>
      </c>
      <c r="F1030" s="8" t="n">
        <v>1200</v>
      </c>
      <c r="G1030" s="8" t="n">
        <v>16</v>
      </c>
      <c r="H1030" s="13" t="n">
        <f aca="false">(E1030/1000)*(F1030/1000)*(G1030/1000)*7850</f>
        <v>298.4256</v>
      </c>
      <c r="I1030" s="8" t="n">
        <v>9</v>
      </c>
      <c r="J1030" s="14" t="n">
        <f aca="false">H1030*I1030</f>
        <v>2685.8304</v>
      </c>
      <c r="K1030" s="8" t="s">
        <v>1154</v>
      </c>
    </row>
    <row r="1031" customFormat="false" ht="13.8" hidden="false" customHeight="false" outlineLevel="0" collapsed="false">
      <c r="A1031" s="8" t="s">
        <v>1142</v>
      </c>
      <c r="B1031" s="8" t="s">
        <v>42</v>
      </c>
      <c r="C1031" s="8" t="s">
        <v>1155</v>
      </c>
      <c r="D1031" s="8" t="s">
        <v>40</v>
      </c>
      <c r="E1031" s="8" t="n">
        <v>2400</v>
      </c>
      <c r="F1031" s="8" t="n">
        <v>320</v>
      </c>
      <c r="G1031" s="8" t="n">
        <v>32</v>
      </c>
      <c r="H1031" s="13" t="n">
        <f aca="false">(E1031/1000)*(F1031/1000)*(G1031/1000)*7850</f>
        <v>192.9216</v>
      </c>
      <c r="I1031" s="8" t="n">
        <v>3</v>
      </c>
      <c r="J1031" s="14" t="n">
        <f aca="false">H1031*I1031</f>
        <v>578.7648</v>
      </c>
      <c r="K1031" s="8" t="s">
        <v>1147</v>
      </c>
    </row>
    <row r="1032" customFormat="false" ht="13.8" hidden="false" customHeight="false" outlineLevel="0" collapsed="false">
      <c r="A1032" s="8" t="s">
        <v>1142</v>
      </c>
      <c r="B1032" s="8" t="s">
        <v>42</v>
      </c>
      <c r="C1032" s="8" t="s">
        <v>62</v>
      </c>
      <c r="D1032" s="8" t="s">
        <v>40</v>
      </c>
      <c r="E1032" s="8" t="n">
        <v>2057</v>
      </c>
      <c r="F1032" s="8" t="n">
        <v>200</v>
      </c>
      <c r="G1032" s="8" t="n">
        <v>16</v>
      </c>
      <c r="H1032" s="13" t="n">
        <f aca="false">(E1032/1000)*(F1032/1000)*(G1032/1000)*7850</f>
        <v>51.67184</v>
      </c>
      <c r="I1032" s="8" t="n">
        <v>10</v>
      </c>
      <c r="J1032" s="14" t="n">
        <f aca="false">H1032*I1032</f>
        <v>516.7184</v>
      </c>
      <c r="K1032" s="8" t="s">
        <v>1156</v>
      </c>
    </row>
    <row r="1033" customFormat="false" ht="13.8" hidden="false" customHeight="false" outlineLevel="0" collapsed="false">
      <c r="A1033" s="8" t="s">
        <v>1142</v>
      </c>
      <c r="B1033" s="8" t="s">
        <v>272</v>
      </c>
      <c r="C1033" s="8" t="s">
        <v>1157</v>
      </c>
      <c r="D1033" s="8" t="s">
        <v>40</v>
      </c>
      <c r="E1033" s="8" t="n">
        <v>4322</v>
      </c>
      <c r="F1033" s="8" t="n">
        <v>900</v>
      </c>
      <c r="G1033" s="8" t="n">
        <v>36</v>
      </c>
      <c r="H1033" s="13" t="n">
        <f aca="false">(E1033/1000)*(F1033/1000)*(G1033/1000)*7850</f>
        <v>1099.25748</v>
      </c>
      <c r="I1033" s="8" t="n">
        <v>2</v>
      </c>
      <c r="J1033" s="14" t="n">
        <f aca="false">H1033*I1033</f>
        <v>2198.51496</v>
      </c>
      <c r="K1033" s="8" t="s">
        <v>1158</v>
      </c>
    </row>
    <row r="1034" customFormat="false" ht="13.8" hidden="false" customHeight="false" outlineLevel="0" collapsed="false">
      <c r="A1034" s="8" t="s">
        <v>1142</v>
      </c>
      <c r="B1034" s="8" t="s">
        <v>42</v>
      </c>
      <c r="C1034" s="8" t="s">
        <v>1159</v>
      </c>
      <c r="D1034" s="8" t="s">
        <v>40</v>
      </c>
      <c r="E1034" s="8" t="n">
        <v>6522</v>
      </c>
      <c r="F1034" s="8" t="n">
        <v>1200</v>
      </c>
      <c r="G1034" s="8" t="n">
        <v>32</v>
      </c>
      <c r="H1034" s="13" t="n">
        <f aca="false">(E1034/1000)*(F1034/1000)*(G1034/1000)*7850</f>
        <v>1965.99168</v>
      </c>
      <c r="I1034" s="8" t="n">
        <v>1</v>
      </c>
      <c r="J1034" s="14" t="n">
        <f aca="false">H1034*I1034</f>
        <v>1965.99168</v>
      </c>
      <c r="K1034" s="8" t="s">
        <v>1160</v>
      </c>
    </row>
    <row r="1035" customFormat="false" ht="13.8" hidden="false" customHeight="false" outlineLevel="0" collapsed="false">
      <c r="A1035" s="8" t="s">
        <v>1142</v>
      </c>
      <c r="B1035" s="8" t="s">
        <v>42</v>
      </c>
      <c r="C1035" s="8" t="s">
        <v>68</v>
      </c>
      <c r="D1035" s="8" t="s">
        <v>40</v>
      </c>
      <c r="E1035" s="8" t="n">
        <v>800</v>
      </c>
      <c r="F1035" s="8" t="n">
        <v>400</v>
      </c>
      <c r="G1035" s="8" t="n">
        <v>16</v>
      </c>
      <c r="H1035" s="13" t="n">
        <f aca="false">(E1035/1000)*(F1035/1000)*(G1035/1000)*7850</f>
        <v>40.192</v>
      </c>
      <c r="I1035" s="8" t="n">
        <v>4</v>
      </c>
      <c r="J1035" s="14" t="n">
        <f aca="false">H1035*I1035</f>
        <v>160.768</v>
      </c>
      <c r="K1035" s="8" t="s">
        <v>1161</v>
      </c>
    </row>
    <row r="1036" customFormat="false" ht="13.8" hidden="false" customHeight="false" outlineLevel="0" collapsed="false">
      <c r="A1036" s="8" t="s">
        <v>1142</v>
      </c>
      <c r="B1036" s="8" t="s">
        <v>42</v>
      </c>
      <c r="C1036" s="8" t="s">
        <v>1162</v>
      </c>
      <c r="D1036" s="8" t="s">
        <v>40</v>
      </c>
      <c r="E1036" s="8" t="n">
        <v>5822</v>
      </c>
      <c r="F1036" s="8" t="n">
        <v>240</v>
      </c>
      <c r="G1036" s="8" t="n">
        <v>24</v>
      </c>
      <c r="H1036" s="13" t="n">
        <f aca="false">(E1036/1000)*(F1036/1000)*(G1036/1000)*7850</f>
        <v>263.247552</v>
      </c>
      <c r="I1036" s="8" t="n">
        <v>2</v>
      </c>
      <c r="J1036" s="14" t="n">
        <f aca="false">H1036*I1036</f>
        <v>526.495104</v>
      </c>
      <c r="K1036" s="8" t="s">
        <v>1163</v>
      </c>
    </row>
    <row r="1037" customFormat="false" ht="13.8" hidden="false" customHeight="false" outlineLevel="0" collapsed="false">
      <c r="A1037" s="8" t="s">
        <v>1142</v>
      </c>
      <c r="B1037" s="8" t="s">
        <v>253</v>
      </c>
      <c r="C1037" s="8" t="s">
        <v>199</v>
      </c>
      <c r="D1037" s="8" t="s">
        <v>40</v>
      </c>
      <c r="E1037" s="8" t="n">
        <v>5651</v>
      </c>
      <c r="F1037" s="8" t="n">
        <v>320</v>
      </c>
      <c r="G1037" s="8" t="n">
        <v>32</v>
      </c>
      <c r="H1037" s="13" t="n">
        <f aca="false">(E1037/1000)*(F1037/1000)*(G1037/1000)*7850</f>
        <v>454.249984</v>
      </c>
      <c r="I1037" s="8" t="n">
        <v>4</v>
      </c>
      <c r="J1037" s="14" t="n">
        <f aca="false">H1037*I1037</f>
        <v>1816.999936</v>
      </c>
      <c r="K1037" s="8" t="s">
        <v>1164</v>
      </c>
    </row>
    <row r="1038" customFormat="false" ht="13.8" hidden="false" customHeight="false" outlineLevel="0" collapsed="false">
      <c r="A1038" s="8" t="s">
        <v>1142</v>
      </c>
      <c r="B1038" s="8" t="s">
        <v>64</v>
      </c>
      <c r="C1038" s="8" t="s">
        <v>43</v>
      </c>
      <c r="D1038" s="8" t="s">
        <v>40</v>
      </c>
      <c r="E1038" s="8" t="n">
        <v>1980</v>
      </c>
      <c r="F1038" s="8" t="n">
        <v>610</v>
      </c>
      <c r="G1038" s="8" t="n">
        <v>16</v>
      </c>
      <c r="H1038" s="13" t="n">
        <f aca="false">(E1038/1000)*(F1038/1000)*(G1038/1000)*7850</f>
        <v>151.69968</v>
      </c>
      <c r="I1038" s="8" t="n">
        <v>6</v>
      </c>
      <c r="J1038" s="14" t="n">
        <f aca="false">H1038*I1038</f>
        <v>910.19808</v>
      </c>
      <c r="K1038" s="8" t="s">
        <v>1165</v>
      </c>
    </row>
    <row r="1039" customFormat="false" ht="13.8" hidden="false" customHeight="false" outlineLevel="0" collapsed="false">
      <c r="A1039" s="8" t="s">
        <v>1142</v>
      </c>
      <c r="B1039" s="8" t="s">
        <v>42</v>
      </c>
      <c r="C1039" s="8" t="s">
        <v>76</v>
      </c>
      <c r="D1039" s="8" t="s">
        <v>40</v>
      </c>
      <c r="E1039" s="8" t="n">
        <v>10300</v>
      </c>
      <c r="F1039" s="8" t="n">
        <v>240</v>
      </c>
      <c r="G1039" s="8" t="n">
        <v>20</v>
      </c>
      <c r="H1039" s="13" t="n">
        <f aca="false">(E1039/1000)*(F1039/1000)*(G1039/1000)*7850</f>
        <v>388.104</v>
      </c>
      <c r="I1039" s="8" t="n">
        <v>4</v>
      </c>
      <c r="J1039" s="14" t="n">
        <f aca="false">H1039*I1039</f>
        <v>1552.416</v>
      </c>
      <c r="K1039" s="8" t="s">
        <v>1166</v>
      </c>
    </row>
    <row r="1040" customFormat="false" ht="13.8" hidden="false" customHeight="false" outlineLevel="0" collapsed="false">
      <c r="A1040" s="8" t="s">
        <v>1142</v>
      </c>
      <c r="B1040" s="8" t="s">
        <v>42</v>
      </c>
      <c r="C1040" s="8" t="s">
        <v>1167</v>
      </c>
      <c r="D1040" s="8" t="s">
        <v>40</v>
      </c>
      <c r="E1040" s="8" t="n">
        <v>1980</v>
      </c>
      <c r="F1040" s="8" t="n">
        <v>622</v>
      </c>
      <c r="G1040" s="8" t="n">
        <v>16</v>
      </c>
      <c r="H1040" s="13" t="n">
        <f aca="false">(E1040/1000)*(F1040/1000)*(G1040/1000)*7850</f>
        <v>154.683936</v>
      </c>
      <c r="I1040" s="8" t="n">
        <v>6</v>
      </c>
      <c r="J1040" s="14" t="n">
        <f aca="false">H1040*I1040</f>
        <v>928.103616</v>
      </c>
      <c r="K1040" s="8" t="s">
        <v>1168</v>
      </c>
    </row>
    <row r="1041" customFormat="false" ht="13.8" hidden="false" customHeight="false" outlineLevel="0" collapsed="false">
      <c r="A1041" s="8" t="s">
        <v>1142</v>
      </c>
      <c r="B1041" s="8" t="s">
        <v>42</v>
      </c>
      <c r="C1041" s="8" t="s">
        <v>81</v>
      </c>
      <c r="D1041" s="8" t="s">
        <v>40</v>
      </c>
      <c r="E1041" s="8" t="n">
        <v>7700</v>
      </c>
      <c r="F1041" s="8" t="n">
        <v>320</v>
      </c>
      <c r="G1041" s="8" t="n">
        <v>32</v>
      </c>
      <c r="H1041" s="13" t="n">
        <f aca="false">(E1041/1000)*(F1041/1000)*(G1041/1000)*7850</f>
        <v>618.9568</v>
      </c>
      <c r="I1041" s="8" t="n">
        <v>4</v>
      </c>
      <c r="J1041" s="14" t="n">
        <f aca="false">H1041*I1041</f>
        <v>2475.8272</v>
      </c>
      <c r="K1041" s="8" t="s">
        <v>1169</v>
      </c>
    </row>
    <row r="1042" customFormat="false" ht="13.8" hidden="false" customHeight="false" outlineLevel="0" collapsed="false">
      <c r="A1042" s="8" t="s">
        <v>1142</v>
      </c>
      <c r="B1042" s="8" t="s">
        <v>42</v>
      </c>
      <c r="C1042" s="8" t="s">
        <v>1170</v>
      </c>
      <c r="D1042" s="8" t="s">
        <v>40</v>
      </c>
      <c r="E1042" s="8" t="n">
        <v>1980</v>
      </c>
      <c r="F1042" s="8" t="n">
        <v>626</v>
      </c>
      <c r="G1042" s="8" t="n">
        <v>16</v>
      </c>
      <c r="H1042" s="13" t="n">
        <f aca="false">(E1042/1000)*(F1042/1000)*(G1042/1000)*7850</f>
        <v>155.678688</v>
      </c>
      <c r="I1042" s="8" t="n">
        <v>6</v>
      </c>
      <c r="J1042" s="14" t="n">
        <f aca="false">H1042*I1042</f>
        <v>934.072128</v>
      </c>
      <c r="K1042" s="8" t="s">
        <v>1171</v>
      </c>
    </row>
    <row r="1043" customFormat="false" ht="13.8" hidden="false" customHeight="false" outlineLevel="0" collapsed="false">
      <c r="A1043" s="8" t="s">
        <v>1142</v>
      </c>
      <c r="B1043" s="8" t="s">
        <v>42</v>
      </c>
      <c r="C1043" s="8" t="s">
        <v>1172</v>
      </c>
      <c r="D1043" s="8" t="s">
        <v>40</v>
      </c>
      <c r="E1043" s="8" t="n">
        <v>23640</v>
      </c>
      <c r="F1043" s="8" t="n">
        <v>240</v>
      </c>
      <c r="G1043" s="8" t="n">
        <v>20</v>
      </c>
      <c r="H1043" s="13" t="n">
        <f aca="false">(E1043/1000)*(F1043/1000)*(G1043/1000)*7850</f>
        <v>890.7552</v>
      </c>
      <c r="I1043" s="8" t="n">
        <v>1</v>
      </c>
      <c r="J1043" s="14" t="n">
        <f aca="false">H1043*I1043</f>
        <v>890.7552</v>
      </c>
      <c r="K1043" s="8" t="s">
        <v>1173</v>
      </c>
    </row>
    <row r="1044" customFormat="false" ht="13.8" hidden="false" customHeight="false" outlineLevel="0" collapsed="false">
      <c r="A1044" s="8" t="s">
        <v>1142</v>
      </c>
      <c r="B1044" s="8" t="s">
        <v>42</v>
      </c>
      <c r="C1044" s="8" t="s">
        <v>56</v>
      </c>
      <c r="D1044" s="8" t="s">
        <v>40</v>
      </c>
      <c r="G1044" s="8" t="n">
        <v>24</v>
      </c>
      <c r="H1044" s="13" t="n">
        <f aca="false">M1044*(G1044/1000)*7850</f>
        <v>88.548</v>
      </c>
      <c r="I1044" s="8" t="n">
        <v>12</v>
      </c>
      <c r="J1044" s="14" t="n">
        <f aca="false">H1044*I1044</f>
        <v>1062.576</v>
      </c>
      <c r="K1044" s="8" t="s">
        <v>1174</v>
      </c>
      <c r="M1044" s="15" t="n">
        <v>0.47</v>
      </c>
    </row>
    <row r="1045" customFormat="false" ht="13.8" hidden="false" customHeight="false" outlineLevel="0" collapsed="false">
      <c r="A1045" s="8" t="s">
        <v>1142</v>
      </c>
      <c r="B1045" s="8" t="s">
        <v>42</v>
      </c>
      <c r="C1045" s="8" t="s">
        <v>89</v>
      </c>
      <c r="D1045" s="8" t="s">
        <v>40</v>
      </c>
      <c r="E1045" s="8" t="n">
        <v>23640</v>
      </c>
      <c r="F1045" s="8" t="n">
        <v>240</v>
      </c>
      <c r="G1045" s="8" t="n">
        <v>20</v>
      </c>
      <c r="H1045" s="13" t="n">
        <f aca="false">(E1045/1000)*(F1045/1000)*(G1045/1000)*7850</f>
        <v>890.7552</v>
      </c>
      <c r="I1045" s="8" t="n">
        <v>1</v>
      </c>
      <c r="J1045" s="14" t="n">
        <f aca="false">H1045*I1045</f>
        <v>890.7552</v>
      </c>
      <c r="K1045" s="8" t="s">
        <v>1173</v>
      </c>
    </row>
    <row r="1046" customFormat="false" ht="13.8" hidden="false" customHeight="false" outlineLevel="0" collapsed="false">
      <c r="A1046" s="8" t="s">
        <v>1142</v>
      </c>
      <c r="B1046" s="8" t="s">
        <v>42</v>
      </c>
      <c r="C1046" s="8" t="s">
        <v>60</v>
      </c>
      <c r="D1046" s="8" t="s">
        <v>40</v>
      </c>
      <c r="G1046" s="8" t="n">
        <v>24</v>
      </c>
      <c r="H1046" s="13" t="n">
        <f aca="false">M1046*(G1046/1000)*7850</f>
        <v>90.432</v>
      </c>
      <c r="I1046" s="8" t="n">
        <v>2</v>
      </c>
      <c r="J1046" s="14" t="n">
        <f aca="false">H1046*I1046</f>
        <v>180.864</v>
      </c>
      <c r="K1046" s="8" t="s">
        <v>1175</v>
      </c>
      <c r="M1046" s="15" t="n">
        <v>0.48</v>
      </c>
    </row>
    <row r="1047" customFormat="false" ht="13.8" hidden="false" customHeight="false" outlineLevel="0" collapsed="false">
      <c r="A1047" s="8" t="s">
        <v>1142</v>
      </c>
      <c r="B1047" s="8" t="s">
        <v>256</v>
      </c>
      <c r="C1047" s="8" t="s">
        <v>92</v>
      </c>
      <c r="D1047" s="8" t="s">
        <v>40</v>
      </c>
      <c r="E1047" s="8" t="n">
        <v>4809</v>
      </c>
      <c r="F1047" s="8" t="n">
        <v>2500</v>
      </c>
      <c r="G1047" s="8" t="n">
        <v>20</v>
      </c>
      <c r="H1047" s="13" t="n">
        <f aca="false">(E1047/1000)*(F1047/1000)*(G1047/1000)*7850</f>
        <v>1887.5325</v>
      </c>
      <c r="I1047" s="8" t="n">
        <v>1</v>
      </c>
      <c r="J1047" s="14" t="n">
        <f aca="false">H1047*I1047</f>
        <v>1887.5325</v>
      </c>
      <c r="K1047" s="8" t="s">
        <v>1176</v>
      </c>
    </row>
    <row r="1048" customFormat="false" ht="13.8" hidden="false" customHeight="false" outlineLevel="0" collapsed="false">
      <c r="A1048" s="8" t="s">
        <v>1142</v>
      </c>
      <c r="B1048" s="8" t="s">
        <v>42</v>
      </c>
      <c r="C1048" s="8" t="s">
        <v>65</v>
      </c>
      <c r="D1048" s="8" t="s">
        <v>40</v>
      </c>
      <c r="G1048" s="8" t="n">
        <v>24</v>
      </c>
      <c r="H1048" s="13" t="n">
        <f aca="false">M1048*(G1048/1000)*7850</f>
        <v>182.748</v>
      </c>
      <c r="I1048" s="8" t="n">
        <v>2</v>
      </c>
      <c r="J1048" s="14" t="n">
        <f aca="false">H1048*I1048</f>
        <v>365.496</v>
      </c>
      <c r="K1048" s="8" t="s">
        <v>1177</v>
      </c>
      <c r="M1048" s="15" t="n">
        <v>0.97</v>
      </c>
    </row>
    <row r="1049" customFormat="false" ht="13.8" hidden="false" customHeight="false" outlineLevel="0" collapsed="false">
      <c r="A1049" s="8" t="s">
        <v>1142</v>
      </c>
      <c r="B1049" s="8" t="s">
        <v>42</v>
      </c>
      <c r="C1049" s="8" t="s">
        <v>257</v>
      </c>
      <c r="D1049" s="8" t="s">
        <v>40</v>
      </c>
      <c r="E1049" s="8" t="n">
        <v>17804</v>
      </c>
      <c r="F1049" s="8" t="n">
        <v>2500</v>
      </c>
      <c r="G1049" s="8" t="n">
        <v>20</v>
      </c>
      <c r="H1049" s="13" t="n">
        <f aca="false">(E1049/1000)*(F1049/1000)*(G1049/1000)*7850</f>
        <v>6988.07</v>
      </c>
      <c r="I1049" s="8" t="n">
        <v>1</v>
      </c>
      <c r="J1049" s="14" t="n">
        <f aca="false">H1049*I1049</f>
        <v>6988.07</v>
      </c>
      <c r="K1049" s="8" t="s">
        <v>1178</v>
      </c>
    </row>
    <row r="1050" customFormat="false" ht="13.8" hidden="false" customHeight="false" outlineLevel="0" collapsed="false">
      <c r="A1050" s="8" t="s">
        <v>1142</v>
      </c>
      <c r="B1050" s="8" t="s">
        <v>42</v>
      </c>
      <c r="C1050" s="8" t="s">
        <v>70</v>
      </c>
      <c r="D1050" s="8" t="s">
        <v>40</v>
      </c>
      <c r="E1050" s="8" t="n">
        <v>1800</v>
      </c>
      <c r="F1050" s="8" t="n">
        <v>626</v>
      </c>
      <c r="G1050" s="8" t="n">
        <v>16</v>
      </c>
      <c r="H1050" s="13" t="n">
        <f aca="false">(E1050/1000)*(F1050/1000)*(G1050/1000)*7850</f>
        <v>141.52608</v>
      </c>
      <c r="I1050" s="8" t="n">
        <v>6</v>
      </c>
      <c r="J1050" s="14" t="n">
        <f aca="false">H1050*I1050</f>
        <v>849.15648</v>
      </c>
      <c r="K1050" s="8" t="s">
        <v>1179</v>
      </c>
    </row>
    <row r="1051" customFormat="false" ht="13.8" hidden="false" customHeight="false" outlineLevel="0" collapsed="false">
      <c r="A1051" s="8" t="s">
        <v>1142</v>
      </c>
      <c r="B1051" s="8" t="s">
        <v>260</v>
      </c>
      <c r="C1051" s="8" t="s">
        <v>98</v>
      </c>
      <c r="D1051" s="8" t="s">
        <v>40</v>
      </c>
      <c r="G1051" s="8" t="n">
        <v>36</v>
      </c>
      <c r="H1051" s="13" t="n">
        <f aca="false">M1051*(G1051/1000)*7850</f>
        <v>2645.136</v>
      </c>
      <c r="I1051" s="8" t="n">
        <v>1</v>
      </c>
      <c r="J1051" s="14" t="n">
        <f aca="false">H1051*I1051</f>
        <v>2645.136</v>
      </c>
      <c r="K1051" s="8" t="s">
        <v>1180</v>
      </c>
      <c r="M1051" s="15" t="n">
        <v>9.36</v>
      </c>
    </row>
    <row r="1052" customFormat="false" ht="13.8" hidden="false" customHeight="false" outlineLevel="0" collapsed="false">
      <c r="A1052" s="8" t="s">
        <v>1142</v>
      </c>
      <c r="B1052" s="8" t="s">
        <v>42</v>
      </c>
      <c r="C1052" s="8" t="s">
        <v>1181</v>
      </c>
      <c r="D1052" s="8" t="s">
        <v>40</v>
      </c>
      <c r="E1052" s="8" t="n">
        <v>1800</v>
      </c>
      <c r="F1052" s="8" t="n">
        <v>610</v>
      </c>
      <c r="G1052" s="8" t="n">
        <v>16</v>
      </c>
      <c r="H1052" s="13" t="n">
        <f aca="false">(E1052/1000)*(F1052/1000)*(G1052/1000)*7850</f>
        <v>137.9088</v>
      </c>
      <c r="I1052" s="8" t="n">
        <v>8</v>
      </c>
      <c r="J1052" s="14" t="n">
        <f aca="false">H1052*I1052</f>
        <v>1103.2704</v>
      </c>
      <c r="K1052" s="8" t="s">
        <v>1182</v>
      </c>
    </row>
    <row r="1053" customFormat="false" ht="13.8" hidden="false" customHeight="false" outlineLevel="0" collapsed="false">
      <c r="A1053" s="8" t="s">
        <v>1142</v>
      </c>
      <c r="B1053" s="8" t="s">
        <v>42</v>
      </c>
      <c r="C1053" s="8" t="s">
        <v>100</v>
      </c>
      <c r="D1053" s="8" t="s">
        <v>40</v>
      </c>
      <c r="G1053" s="8" t="n">
        <v>20</v>
      </c>
      <c r="H1053" s="13" t="n">
        <f aca="false">M1053*(G1053/1000)*7850</f>
        <v>4452.52</v>
      </c>
      <c r="I1053" s="8" t="n">
        <v>1</v>
      </c>
      <c r="J1053" s="14" t="n">
        <f aca="false">H1053*I1053</f>
        <v>4452.52</v>
      </c>
      <c r="K1053" s="8" t="s">
        <v>1183</v>
      </c>
      <c r="M1053" s="15" t="n">
        <v>28.36</v>
      </c>
    </row>
    <row r="1054" customFormat="false" ht="13.8" hidden="false" customHeight="false" outlineLevel="0" collapsed="false">
      <c r="A1054" s="8" t="s">
        <v>1142</v>
      </c>
      <c r="B1054" s="8" t="s">
        <v>42</v>
      </c>
      <c r="C1054" s="8" t="s">
        <v>1184</v>
      </c>
      <c r="D1054" s="8" t="s">
        <v>40</v>
      </c>
      <c r="E1054" s="8" t="n">
        <v>1800</v>
      </c>
      <c r="F1054" s="8" t="n">
        <v>610</v>
      </c>
      <c r="G1054" s="8" t="n">
        <v>28</v>
      </c>
      <c r="H1054" s="13" t="n">
        <f aca="false">(E1054/1000)*(F1054/1000)*(G1054/1000)*7850</f>
        <v>241.3404</v>
      </c>
      <c r="I1054" s="8" t="n">
        <v>4</v>
      </c>
      <c r="J1054" s="14" t="n">
        <f aca="false">H1054*I1054</f>
        <v>965.3616</v>
      </c>
      <c r="K1054" s="8" t="s">
        <v>1185</v>
      </c>
    </row>
    <row r="1055" customFormat="false" ht="13.8" hidden="false" customHeight="false" outlineLevel="0" collapsed="false">
      <c r="A1055" s="8" t="s">
        <v>1142</v>
      </c>
      <c r="B1055" s="8" t="s">
        <v>102</v>
      </c>
      <c r="C1055" s="8" t="s">
        <v>103</v>
      </c>
      <c r="D1055" s="8" t="s">
        <v>40</v>
      </c>
      <c r="E1055" s="8" t="n">
        <v>10103</v>
      </c>
      <c r="F1055" s="8" t="n">
        <v>1880</v>
      </c>
      <c r="G1055" s="8" t="n">
        <v>24</v>
      </c>
      <c r="H1055" s="13" t="n">
        <f aca="false">(E1055/1000)*(F1055/1000)*(G1055/1000)*7850</f>
        <v>3578.401776</v>
      </c>
      <c r="I1055" s="8" t="n">
        <v>2</v>
      </c>
      <c r="J1055" s="14" t="n">
        <f aca="false">H1055*I1055</f>
        <v>7156.803552</v>
      </c>
      <c r="K1055" s="8" t="s">
        <v>1186</v>
      </c>
    </row>
    <row r="1056" customFormat="false" ht="13.8" hidden="false" customHeight="false" outlineLevel="0" collapsed="false">
      <c r="A1056" s="8" t="s">
        <v>1142</v>
      </c>
      <c r="B1056" s="8" t="s">
        <v>86</v>
      </c>
      <c r="C1056" s="8" t="s">
        <v>78</v>
      </c>
      <c r="D1056" s="8" t="s">
        <v>40</v>
      </c>
      <c r="E1056" s="8" t="n">
        <v>1800</v>
      </c>
      <c r="F1056" s="8" t="n">
        <v>1200</v>
      </c>
      <c r="G1056" s="8" t="n">
        <v>32</v>
      </c>
      <c r="H1056" s="13" t="n">
        <f aca="false">(E1056/1000)*(F1056/1000)*(G1056/1000)*7850</f>
        <v>542.592</v>
      </c>
      <c r="I1056" s="8" t="n">
        <v>4</v>
      </c>
      <c r="J1056" s="14" t="n">
        <f aca="false">H1056*I1056</f>
        <v>2170.368</v>
      </c>
      <c r="K1056" s="8" t="s">
        <v>1187</v>
      </c>
    </row>
    <row r="1057" customFormat="false" ht="13.8" hidden="false" customHeight="false" outlineLevel="0" collapsed="false">
      <c r="A1057" s="8" t="s">
        <v>1142</v>
      </c>
      <c r="B1057" s="8" t="s">
        <v>105</v>
      </c>
      <c r="C1057" s="8" t="s">
        <v>106</v>
      </c>
      <c r="D1057" s="8" t="s">
        <v>40</v>
      </c>
      <c r="G1057" s="8" t="n">
        <v>40</v>
      </c>
      <c r="H1057" s="13" t="n">
        <f aca="false">M1057*(G1057/1000)*7850</f>
        <v>5507.56</v>
      </c>
      <c r="I1057" s="8" t="n">
        <v>2</v>
      </c>
      <c r="J1057" s="14" t="n">
        <f aca="false">H1057*I1057</f>
        <v>11015.12</v>
      </c>
      <c r="K1057" s="8" t="s">
        <v>1188</v>
      </c>
      <c r="M1057" s="15" t="n">
        <v>17.54</v>
      </c>
    </row>
    <row r="1058" customFormat="false" ht="13.8" hidden="false" customHeight="false" outlineLevel="0" collapsed="false">
      <c r="A1058" s="8" t="s">
        <v>1142</v>
      </c>
      <c r="B1058" s="8" t="s">
        <v>42</v>
      </c>
      <c r="C1058" s="8" t="s">
        <v>82</v>
      </c>
      <c r="D1058" s="8" t="s">
        <v>40</v>
      </c>
      <c r="E1058" s="8" t="n">
        <v>502</v>
      </c>
      <c r="F1058" s="8" t="n">
        <v>240</v>
      </c>
      <c r="G1058" s="8" t="n">
        <v>20</v>
      </c>
      <c r="H1058" s="13" t="n">
        <f aca="false">(E1058/1000)*(F1058/1000)*(G1058/1000)*7850</f>
        <v>18.91536</v>
      </c>
      <c r="I1058" s="8" t="n">
        <v>2</v>
      </c>
      <c r="J1058" s="14" t="n">
        <f aca="false">H1058*I1058</f>
        <v>37.83072</v>
      </c>
      <c r="K1058" s="8" t="s">
        <v>1189</v>
      </c>
    </row>
    <row r="1059" customFormat="false" ht="13.8" hidden="false" customHeight="false" outlineLevel="0" collapsed="false">
      <c r="A1059" s="8" t="s">
        <v>1142</v>
      </c>
      <c r="B1059" s="8" t="s">
        <v>42</v>
      </c>
      <c r="C1059" s="8" t="s">
        <v>1190</v>
      </c>
      <c r="D1059" s="8" t="s">
        <v>40</v>
      </c>
      <c r="G1059" s="8" t="n">
        <v>40</v>
      </c>
      <c r="H1059" s="13" t="n">
        <f aca="false">M1059*(G1059/1000)*7850</f>
        <v>6301.98</v>
      </c>
      <c r="I1059" s="8" t="n">
        <v>2</v>
      </c>
      <c r="J1059" s="14" t="n">
        <f aca="false">H1059*I1059</f>
        <v>12603.96</v>
      </c>
      <c r="K1059" s="8" t="s">
        <v>1191</v>
      </c>
      <c r="M1059" s="15" t="n">
        <v>20.07</v>
      </c>
    </row>
    <row r="1060" customFormat="false" ht="13.8" hidden="false" customHeight="false" outlineLevel="0" collapsed="false">
      <c r="A1060" s="8" t="s">
        <v>1142</v>
      </c>
      <c r="B1060" s="8" t="s">
        <v>42</v>
      </c>
      <c r="C1060" s="8" t="s">
        <v>87</v>
      </c>
      <c r="D1060" s="8" t="s">
        <v>40</v>
      </c>
      <c r="E1060" s="8" t="n">
        <v>1800</v>
      </c>
      <c r="F1060" s="8" t="n">
        <v>1800</v>
      </c>
      <c r="G1060" s="8" t="n">
        <v>80</v>
      </c>
      <c r="H1060" s="13" t="n">
        <f aca="false">(E1060/1000)*(F1060/1000)*(G1060/1000)*7850</f>
        <v>2034.72</v>
      </c>
      <c r="I1060" s="8" t="n">
        <v>1</v>
      </c>
      <c r="J1060" s="14" t="n">
        <f aca="false">H1060*I1060</f>
        <v>2034.72</v>
      </c>
      <c r="K1060" s="8" t="s">
        <v>1192</v>
      </c>
    </row>
    <row r="1061" customFormat="false" ht="13.8" hidden="false" customHeight="false" outlineLevel="0" collapsed="false">
      <c r="A1061" s="8" t="s">
        <v>1142</v>
      </c>
      <c r="B1061" s="8" t="s">
        <v>110</v>
      </c>
      <c r="C1061" s="8" t="s">
        <v>108</v>
      </c>
      <c r="D1061" s="8" t="s">
        <v>40</v>
      </c>
      <c r="E1061" s="8" t="n">
        <v>1800</v>
      </c>
      <c r="F1061" s="8" t="n">
        <v>1200</v>
      </c>
      <c r="G1061" s="8" t="n">
        <v>16</v>
      </c>
      <c r="H1061" s="13" t="n">
        <f aca="false">(E1061/1000)*(F1061/1000)*(G1061/1000)*7850</f>
        <v>271.296</v>
      </c>
      <c r="I1061" s="8" t="n">
        <v>7</v>
      </c>
      <c r="J1061" s="14" t="n">
        <f aca="false">H1061*I1061</f>
        <v>1899.072</v>
      </c>
      <c r="K1061" s="8" t="s">
        <v>1193</v>
      </c>
    </row>
    <row r="1062" customFormat="false" ht="13.8" hidden="false" customHeight="false" outlineLevel="0" collapsed="false">
      <c r="A1062" s="8" t="s">
        <v>1142</v>
      </c>
      <c r="B1062" s="8" t="s">
        <v>42</v>
      </c>
      <c r="C1062" s="8" t="s">
        <v>90</v>
      </c>
      <c r="D1062" s="8" t="s">
        <v>40</v>
      </c>
      <c r="E1062" s="8" t="n">
        <v>1000</v>
      </c>
      <c r="F1062" s="8" t="n">
        <v>568</v>
      </c>
      <c r="G1062" s="8" t="n">
        <v>32</v>
      </c>
      <c r="H1062" s="13" t="n">
        <f aca="false">(E1062/1000)*(F1062/1000)*(G1062/1000)*7850</f>
        <v>142.6816</v>
      </c>
      <c r="I1062" s="8" t="n">
        <v>3</v>
      </c>
      <c r="J1062" s="14" t="n">
        <f aca="false">H1062*I1062</f>
        <v>428.0448</v>
      </c>
      <c r="K1062" s="8" t="s">
        <v>1194</v>
      </c>
    </row>
    <row r="1063" customFormat="false" ht="13.8" hidden="false" customHeight="false" outlineLevel="0" collapsed="false">
      <c r="A1063" s="8" t="s">
        <v>1142</v>
      </c>
      <c r="B1063" s="8" t="s">
        <v>42</v>
      </c>
      <c r="C1063" s="8" t="s">
        <v>211</v>
      </c>
      <c r="D1063" s="8" t="s">
        <v>40</v>
      </c>
      <c r="E1063" s="8" t="n">
        <v>2057</v>
      </c>
      <c r="F1063" s="8" t="n">
        <v>200</v>
      </c>
      <c r="G1063" s="8" t="n">
        <v>16</v>
      </c>
      <c r="H1063" s="13" t="n">
        <f aca="false">(E1063/1000)*(F1063/1000)*(G1063/1000)*7850</f>
        <v>51.67184</v>
      </c>
      <c r="I1063" s="8" t="n">
        <v>6</v>
      </c>
      <c r="J1063" s="14" t="n">
        <f aca="false">H1063*I1063</f>
        <v>310.03104</v>
      </c>
      <c r="K1063" s="8" t="s">
        <v>1156</v>
      </c>
    </row>
    <row r="1064" customFormat="false" ht="13.8" hidden="false" customHeight="false" outlineLevel="0" collapsed="false">
      <c r="A1064" s="8" t="s">
        <v>1142</v>
      </c>
      <c r="B1064" s="8" t="s">
        <v>42</v>
      </c>
      <c r="C1064" s="8" t="s">
        <v>94</v>
      </c>
      <c r="D1064" s="8" t="s">
        <v>40</v>
      </c>
      <c r="E1064" s="8" t="n">
        <v>1350</v>
      </c>
      <c r="F1064" s="8" t="n">
        <v>570</v>
      </c>
      <c r="G1064" s="8" t="n">
        <v>32</v>
      </c>
      <c r="H1064" s="13" t="n">
        <f aca="false">(E1064/1000)*(F1064/1000)*(G1064/1000)*7850</f>
        <v>193.2984</v>
      </c>
      <c r="I1064" s="8" t="n">
        <v>4</v>
      </c>
      <c r="J1064" s="14" t="n">
        <f aca="false">H1064*I1064</f>
        <v>773.1936</v>
      </c>
      <c r="K1064" s="8" t="s">
        <v>1195</v>
      </c>
    </row>
    <row r="1065" customFormat="false" ht="13.8" hidden="false" customHeight="false" outlineLevel="0" collapsed="false">
      <c r="A1065" s="8" t="s">
        <v>1142</v>
      </c>
      <c r="B1065" s="8" t="s">
        <v>314</v>
      </c>
      <c r="C1065" s="8" t="s">
        <v>114</v>
      </c>
      <c r="D1065" s="8" t="s">
        <v>40</v>
      </c>
      <c r="E1065" s="8" t="n">
        <v>2792</v>
      </c>
      <c r="F1065" s="8" t="n">
        <v>320</v>
      </c>
      <c r="G1065" s="8" t="n">
        <v>32</v>
      </c>
      <c r="H1065" s="13" t="n">
        <f aca="false">(E1065/1000)*(F1065/1000)*(G1065/1000)*7850</f>
        <v>224.432128</v>
      </c>
      <c r="I1065" s="8" t="n">
        <v>2</v>
      </c>
      <c r="J1065" s="14" t="n">
        <f aca="false">H1065*I1065</f>
        <v>448.864256</v>
      </c>
      <c r="K1065" s="8" t="s">
        <v>1196</v>
      </c>
    </row>
    <row r="1066" customFormat="false" ht="13.8" hidden="false" customHeight="false" outlineLevel="0" collapsed="false">
      <c r="A1066" s="8" t="s">
        <v>1142</v>
      </c>
      <c r="B1066" s="8" t="s">
        <v>42</v>
      </c>
      <c r="C1066" s="8" t="s">
        <v>116</v>
      </c>
      <c r="D1066" s="8" t="s">
        <v>40</v>
      </c>
      <c r="E1066" s="8" t="n">
        <v>10103</v>
      </c>
      <c r="F1066" s="8" t="n">
        <v>240</v>
      </c>
      <c r="G1066" s="8" t="n">
        <v>20</v>
      </c>
      <c r="H1066" s="13" t="n">
        <f aca="false">(E1066/1000)*(F1066/1000)*(G1066/1000)*7850</f>
        <v>380.68104</v>
      </c>
      <c r="I1066" s="8" t="n">
        <v>2</v>
      </c>
      <c r="J1066" s="14" t="n">
        <f aca="false">H1066*I1066</f>
        <v>761.36208</v>
      </c>
      <c r="K1066" s="8" t="s">
        <v>1197</v>
      </c>
    </row>
    <row r="1067" customFormat="false" ht="13.8" hidden="false" customHeight="false" outlineLevel="0" collapsed="false">
      <c r="A1067" s="8" t="s">
        <v>1142</v>
      </c>
      <c r="B1067" s="8" t="s">
        <v>42</v>
      </c>
      <c r="C1067" s="8" t="s">
        <v>118</v>
      </c>
      <c r="D1067" s="8" t="s">
        <v>40</v>
      </c>
      <c r="E1067" s="8" t="n">
        <v>7700</v>
      </c>
      <c r="F1067" s="8" t="n">
        <v>240</v>
      </c>
      <c r="G1067" s="8" t="n">
        <v>20</v>
      </c>
      <c r="H1067" s="13" t="n">
        <f aca="false">(E1067/1000)*(F1067/1000)*(G1067/1000)*7850</f>
        <v>290.136</v>
      </c>
      <c r="I1067" s="8" t="n">
        <v>2</v>
      </c>
      <c r="J1067" s="14" t="n">
        <f aca="false">H1067*I1067</f>
        <v>580.272</v>
      </c>
      <c r="K1067" s="8" t="s">
        <v>1198</v>
      </c>
    </row>
    <row r="1068" customFormat="false" ht="13.8" hidden="false" customHeight="false" outlineLevel="0" collapsed="false">
      <c r="A1068" s="8" t="s">
        <v>1142</v>
      </c>
      <c r="B1068" s="8" t="s">
        <v>42</v>
      </c>
      <c r="C1068" s="8" t="s">
        <v>1199</v>
      </c>
      <c r="D1068" s="8" t="s">
        <v>40</v>
      </c>
      <c r="E1068" s="8" t="n">
        <v>20592</v>
      </c>
      <c r="F1068" s="8" t="n">
        <v>240</v>
      </c>
      <c r="G1068" s="8" t="n">
        <v>20</v>
      </c>
      <c r="H1068" s="13" t="n">
        <f aca="false">(E1068/1000)*(F1068/1000)*(G1068/1000)*7850</f>
        <v>775.90656</v>
      </c>
      <c r="I1068" s="8" t="n">
        <v>2</v>
      </c>
      <c r="J1068" s="14" t="n">
        <f aca="false">H1068*I1068</f>
        <v>1551.81312</v>
      </c>
      <c r="K1068" s="8" t="s">
        <v>1200</v>
      </c>
    </row>
    <row r="1069" customFormat="false" ht="13.8" hidden="false" customHeight="false" outlineLevel="0" collapsed="false">
      <c r="A1069" s="8" t="s">
        <v>1142</v>
      </c>
      <c r="B1069" s="8" t="s">
        <v>42</v>
      </c>
      <c r="C1069" s="8" t="s">
        <v>123</v>
      </c>
      <c r="D1069" s="8" t="s">
        <v>40</v>
      </c>
      <c r="E1069" s="8" t="n">
        <v>20592</v>
      </c>
      <c r="F1069" s="8" t="n">
        <v>170</v>
      </c>
      <c r="G1069" s="8" t="n">
        <v>14</v>
      </c>
      <c r="H1069" s="13" t="n">
        <f aca="false">(E1069/1000)*(F1069/1000)*(G1069/1000)*7850</f>
        <v>384.720336</v>
      </c>
      <c r="I1069" s="8" t="n">
        <v>2</v>
      </c>
      <c r="J1069" s="14" t="n">
        <f aca="false">H1069*I1069</f>
        <v>769.440672</v>
      </c>
      <c r="K1069" s="8" t="s">
        <v>1201</v>
      </c>
    </row>
    <row r="1070" customFormat="false" ht="13.8" hidden="false" customHeight="false" outlineLevel="0" collapsed="false">
      <c r="A1070" s="8" t="s">
        <v>1142</v>
      </c>
      <c r="B1070" s="8" t="s">
        <v>272</v>
      </c>
      <c r="C1070" s="8" t="s">
        <v>125</v>
      </c>
      <c r="D1070" s="8" t="s">
        <v>40</v>
      </c>
      <c r="E1070" s="8" t="n">
        <v>11768</v>
      </c>
      <c r="F1070" s="8" t="n">
        <v>1200</v>
      </c>
      <c r="G1070" s="8" t="n">
        <v>36</v>
      </c>
      <c r="H1070" s="13" t="n">
        <f aca="false">(E1070/1000)*(F1070/1000)*(G1070/1000)*7850</f>
        <v>3990.76416</v>
      </c>
      <c r="I1070" s="8" t="n">
        <v>1</v>
      </c>
      <c r="J1070" s="14" t="n">
        <f aca="false">H1070*I1070</f>
        <v>3990.76416</v>
      </c>
      <c r="K1070" s="8" t="s">
        <v>1202</v>
      </c>
    </row>
    <row r="1071" customFormat="false" ht="13.8" hidden="false" customHeight="false" outlineLevel="0" collapsed="false">
      <c r="A1071" s="8" t="s">
        <v>1142</v>
      </c>
      <c r="B1071" s="8" t="s">
        <v>42</v>
      </c>
      <c r="C1071" s="8" t="s">
        <v>467</v>
      </c>
      <c r="D1071" s="8" t="s">
        <v>40</v>
      </c>
      <c r="E1071" s="8" t="n">
        <v>11968</v>
      </c>
      <c r="F1071" s="8" t="n">
        <v>1200</v>
      </c>
      <c r="G1071" s="8" t="n">
        <v>36</v>
      </c>
      <c r="H1071" s="13" t="n">
        <f aca="false">(E1071/1000)*(F1071/1000)*(G1071/1000)*7850</f>
        <v>4058.58816</v>
      </c>
      <c r="I1071" s="8" t="n">
        <v>1</v>
      </c>
      <c r="J1071" s="14" t="n">
        <f aca="false">H1071*I1071</f>
        <v>4058.58816</v>
      </c>
      <c r="K1071" s="8" t="s">
        <v>1203</v>
      </c>
    </row>
    <row r="1072" customFormat="false" ht="13.8" hidden="false" customHeight="false" outlineLevel="0" collapsed="false">
      <c r="A1072" s="8" t="s">
        <v>1142</v>
      </c>
      <c r="B1072" s="8" t="s">
        <v>42</v>
      </c>
      <c r="C1072" s="8" t="s">
        <v>128</v>
      </c>
      <c r="D1072" s="8" t="s">
        <v>40</v>
      </c>
      <c r="E1072" s="8" t="n">
        <v>7568</v>
      </c>
      <c r="F1072" s="8" t="n">
        <v>1360</v>
      </c>
      <c r="G1072" s="8" t="n">
        <v>36</v>
      </c>
      <c r="H1072" s="13" t="n">
        <f aca="false">(E1072/1000)*(F1072/1000)*(G1072/1000)*7850</f>
        <v>2908.654848</v>
      </c>
      <c r="I1072" s="8" t="n">
        <v>2</v>
      </c>
      <c r="J1072" s="14" t="n">
        <f aca="false">H1072*I1072</f>
        <v>5817.309696</v>
      </c>
      <c r="K1072" s="8" t="s">
        <v>1204</v>
      </c>
    </row>
    <row r="1073" customFormat="false" ht="13.8" hidden="false" customHeight="false" outlineLevel="0" collapsed="false">
      <c r="A1073" s="8" t="s">
        <v>1142</v>
      </c>
      <c r="B1073" s="8" t="s">
        <v>42</v>
      </c>
      <c r="C1073" s="8" t="s">
        <v>130</v>
      </c>
      <c r="D1073" s="8" t="s">
        <v>40</v>
      </c>
      <c r="E1073" s="8" t="n">
        <v>7568</v>
      </c>
      <c r="F1073" s="8" t="n">
        <v>320</v>
      </c>
      <c r="G1073" s="8" t="n">
        <v>32</v>
      </c>
      <c r="H1073" s="13" t="n">
        <f aca="false">(E1073/1000)*(F1073/1000)*(G1073/1000)*7850</f>
        <v>608.346112</v>
      </c>
      <c r="I1073" s="8" t="n">
        <v>2</v>
      </c>
      <c r="J1073" s="14" t="n">
        <f aca="false">H1073*I1073</f>
        <v>1216.692224</v>
      </c>
      <c r="K1073" s="8" t="s">
        <v>1205</v>
      </c>
    </row>
    <row r="1074" customFormat="false" ht="13.8" hidden="false" customHeight="false" outlineLevel="0" collapsed="false">
      <c r="A1074" s="8" t="s">
        <v>1142</v>
      </c>
      <c r="B1074" s="8" t="s">
        <v>42</v>
      </c>
      <c r="C1074" s="8" t="s">
        <v>134</v>
      </c>
      <c r="D1074" s="8" t="s">
        <v>40</v>
      </c>
      <c r="E1074" s="8" t="n">
        <v>10568</v>
      </c>
      <c r="F1074" s="8" t="n">
        <v>320</v>
      </c>
      <c r="G1074" s="8" t="n">
        <v>32</v>
      </c>
      <c r="H1074" s="13" t="n">
        <f aca="false">(E1074/1000)*(F1074/1000)*(G1074/1000)*7850</f>
        <v>849.498112</v>
      </c>
      <c r="I1074" s="8" t="n">
        <v>1</v>
      </c>
      <c r="J1074" s="14" t="n">
        <f aca="false">H1074*I1074</f>
        <v>849.498112</v>
      </c>
      <c r="K1074" s="8" t="s">
        <v>1206</v>
      </c>
    </row>
    <row r="1075" customFormat="false" ht="13.8" hidden="false" customHeight="false" outlineLevel="0" collapsed="false">
      <c r="A1075" s="8" t="s">
        <v>1142</v>
      </c>
      <c r="B1075" s="8" t="s">
        <v>42</v>
      </c>
      <c r="C1075" s="8" t="s">
        <v>137</v>
      </c>
      <c r="D1075" s="8" t="s">
        <v>40</v>
      </c>
      <c r="E1075" s="8" t="n">
        <v>11917</v>
      </c>
      <c r="F1075" s="8" t="n">
        <v>1200</v>
      </c>
      <c r="G1075" s="8" t="n">
        <v>36</v>
      </c>
      <c r="H1075" s="13" t="n">
        <f aca="false">(E1075/1000)*(F1075/1000)*(G1075/1000)*7850</f>
        <v>4041.29304</v>
      </c>
      <c r="I1075" s="8" t="n">
        <v>1</v>
      </c>
      <c r="J1075" s="14" t="n">
        <f aca="false">H1075*I1075</f>
        <v>4041.29304</v>
      </c>
      <c r="K1075" s="8" t="s">
        <v>1207</v>
      </c>
    </row>
    <row r="1076" customFormat="false" ht="13.8" hidden="false" customHeight="false" outlineLevel="0" collapsed="false">
      <c r="A1076" s="8" t="s">
        <v>1142</v>
      </c>
      <c r="B1076" s="8" t="s">
        <v>42</v>
      </c>
      <c r="C1076" s="8" t="s">
        <v>374</v>
      </c>
      <c r="D1076" s="8" t="s">
        <v>40</v>
      </c>
      <c r="E1076" s="8" t="n">
        <v>11917</v>
      </c>
      <c r="F1076" s="8" t="n">
        <v>1200</v>
      </c>
      <c r="G1076" s="8" t="n">
        <v>36</v>
      </c>
      <c r="H1076" s="13" t="n">
        <f aca="false">(E1076/1000)*(F1076/1000)*(G1076/1000)*7850</f>
        <v>4041.29304</v>
      </c>
      <c r="I1076" s="8" t="n">
        <v>1</v>
      </c>
      <c r="J1076" s="14" t="n">
        <f aca="false">H1076*I1076</f>
        <v>4041.29304</v>
      </c>
      <c r="K1076" s="8" t="s">
        <v>1207</v>
      </c>
    </row>
    <row r="1077" customFormat="false" ht="13.8" hidden="false" customHeight="false" outlineLevel="0" collapsed="false">
      <c r="A1077" s="8" t="s">
        <v>1142</v>
      </c>
      <c r="B1077" s="8" t="s">
        <v>42</v>
      </c>
      <c r="C1077" s="8" t="s">
        <v>141</v>
      </c>
      <c r="D1077" s="8" t="s">
        <v>40</v>
      </c>
      <c r="E1077" s="8" t="n">
        <v>7717</v>
      </c>
      <c r="F1077" s="8" t="n">
        <v>1360</v>
      </c>
      <c r="G1077" s="8" t="n">
        <v>36</v>
      </c>
      <c r="H1077" s="13" t="n">
        <f aca="false">(E1077/1000)*(F1077/1000)*(G1077/1000)*7850</f>
        <v>2965.920912</v>
      </c>
      <c r="I1077" s="8" t="n">
        <v>2</v>
      </c>
      <c r="J1077" s="14" t="n">
        <f aca="false">H1077*I1077</f>
        <v>5931.841824</v>
      </c>
      <c r="K1077" s="8" t="s">
        <v>1208</v>
      </c>
    </row>
    <row r="1078" customFormat="false" ht="13.8" hidden="false" customHeight="false" outlineLevel="0" collapsed="false">
      <c r="A1078" s="8" t="s">
        <v>1142</v>
      </c>
      <c r="B1078" s="8" t="s">
        <v>42</v>
      </c>
      <c r="C1078" s="8" t="s">
        <v>143</v>
      </c>
      <c r="D1078" s="8" t="s">
        <v>40</v>
      </c>
      <c r="E1078" s="8" t="n">
        <v>7717</v>
      </c>
      <c r="F1078" s="8" t="n">
        <v>320</v>
      </c>
      <c r="G1078" s="8" t="n">
        <v>32</v>
      </c>
      <c r="H1078" s="13" t="n">
        <f aca="false">(E1078/1000)*(F1078/1000)*(G1078/1000)*7850</f>
        <v>620.323328</v>
      </c>
      <c r="I1078" s="8" t="n">
        <v>2</v>
      </c>
      <c r="J1078" s="14" t="n">
        <f aca="false">H1078*I1078</f>
        <v>1240.646656</v>
      </c>
      <c r="K1078" s="8" t="s">
        <v>1209</v>
      </c>
    </row>
    <row r="1079" customFormat="false" ht="13.8" hidden="false" customHeight="false" outlineLevel="0" collapsed="false">
      <c r="A1079" s="8" t="s">
        <v>1142</v>
      </c>
      <c r="B1079" s="8" t="s">
        <v>42</v>
      </c>
      <c r="C1079" s="8" t="s">
        <v>326</v>
      </c>
      <c r="D1079" s="8" t="s">
        <v>40</v>
      </c>
      <c r="E1079" s="8" t="n">
        <v>11217</v>
      </c>
      <c r="F1079" s="8" t="n">
        <v>320</v>
      </c>
      <c r="G1079" s="8" t="n">
        <v>32</v>
      </c>
      <c r="H1079" s="13" t="n">
        <f aca="false">(E1079/1000)*(F1079/1000)*(G1079/1000)*7850</f>
        <v>901.667328</v>
      </c>
      <c r="I1079" s="8" t="n">
        <v>1</v>
      </c>
      <c r="J1079" s="14" t="n">
        <f aca="false">H1079*I1079</f>
        <v>901.667328</v>
      </c>
      <c r="K1079" s="8" t="s">
        <v>1210</v>
      </c>
    </row>
    <row r="1080" customFormat="false" ht="13.8" hidden="false" customHeight="false" outlineLevel="0" collapsed="false">
      <c r="A1080" s="8" t="s">
        <v>1142</v>
      </c>
      <c r="B1080" s="8" t="s">
        <v>42</v>
      </c>
      <c r="C1080" s="8" t="s">
        <v>147</v>
      </c>
      <c r="D1080" s="8" t="s">
        <v>40</v>
      </c>
      <c r="E1080" s="8" t="n">
        <v>11217</v>
      </c>
      <c r="F1080" s="8" t="n">
        <v>320</v>
      </c>
      <c r="G1080" s="8" t="n">
        <v>32</v>
      </c>
      <c r="H1080" s="13" t="n">
        <f aca="false">(E1080/1000)*(F1080/1000)*(G1080/1000)*7850</f>
        <v>901.667328</v>
      </c>
      <c r="I1080" s="8" t="n">
        <v>1</v>
      </c>
      <c r="J1080" s="14" t="n">
        <f aca="false">H1080*I1080</f>
        <v>901.667328</v>
      </c>
      <c r="K1080" s="8" t="s">
        <v>1210</v>
      </c>
    </row>
    <row r="1081" customFormat="false" ht="13.8" hidden="false" customHeight="false" outlineLevel="0" collapsed="false">
      <c r="A1081" s="8" t="s">
        <v>1142</v>
      </c>
      <c r="B1081" s="8" t="s">
        <v>42</v>
      </c>
      <c r="C1081" s="8" t="s">
        <v>149</v>
      </c>
      <c r="D1081" s="8" t="s">
        <v>40</v>
      </c>
      <c r="E1081" s="8" t="n">
        <v>1200</v>
      </c>
      <c r="F1081" s="8" t="n">
        <v>1200</v>
      </c>
      <c r="G1081" s="8" t="n">
        <v>16</v>
      </c>
      <c r="H1081" s="13" t="n">
        <f aca="false">(E1081/1000)*(F1081/1000)*(G1081/1000)*7850</f>
        <v>180.864</v>
      </c>
      <c r="I1081" s="8" t="n">
        <v>3</v>
      </c>
      <c r="J1081" s="14" t="n">
        <f aca="false">H1081*I1081</f>
        <v>542.592</v>
      </c>
      <c r="K1081" s="8" t="s">
        <v>1211</v>
      </c>
    </row>
    <row r="1082" customFormat="false" ht="13.8" hidden="false" customHeight="false" outlineLevel="0" collapsed="false">
      <c r="A1082" s="8" t="s">
        <v>1142</v>
      </c>
      <c r="B1082" s="8" t="s">
        <v>1212</v>
      </c>
      <c r="C1082" s="8" t="s">
        <v>150</v>
      </c>
      <c r="D1082" s="8" t="s">
        <v>40</v>
      </c>
      <c r="E1082" s="8" t="n">
        <v>11022</v>
      </c>
      <c r="F1082" s="8" t="n">
        <v>1200</v>
      </c>
      <c r="G1082" s="8" t="n">
        <v>20</v>
      </c>
      <c r="H1082" s="13" t="n">
        <f aca="false">(E1082/1000)*(F1082/1000)*(G1082/1000)*7850</f>
        <v>2076.5448</v>
      </c>
      <c r="I1082" s="8" t="n">
        <v>1</v>
      </c>
      <c r="J1082" s="14" t="n">
        <f aca="false">H1082*I1082</f>
        <v>2076.5448</v>
      </c>
      <c r="K1082" s="8" t="s">
        <v>1213</v>
      </c>
    </row>
    <row r="1083" customFormat="false" ht="13.8" hidden="false" customHeight="false" outlineLevel="0" collapsed="false">
      <c r="A1083" s="8" t="s">
        <v>1142</v>
      </c>
      <c r="B1083" s="8" t="s">
        <v>42</v>
      </c>
      <c r="C1083" s="8" t="s">
        <v>152</v>
      </c>
      <c r="D1083" s="8" t="s">
        <v>40</v>
      </c>
      <c r="E1083" s="8" t="n">
        <v>9422</v>
      </c>
      <c r="F1083" s="8" t="n">
        <v>1200</v>
      </c>
      <c r="G1083" s="8" t="n">
        <v>20</v>
      </c>
      <c r="H1083" s="13" t="n">
        <f aca="false">(E1083/1000)*(F1083/1000)*(G1083/1000)*7850</f>
        <v>1775.1048</v>
      </c>
      <c r="I1083" s="8" t="n">
        <v>1</v>
      </c>
      <c r="J1083" s="14" t="n">
        <f aca="false">H1083*I1083</f>
        <v>1775.1048</v>
      </c>
      <c r="K1083" s="8" t="s">
        <v>1214</v>
      </c>
    </row>
    <row r="1084" customFormat="false" ht="13.8" hidden="false" customHeight="false" outlineLevel="0" collapsed="false">
      <c r="A1084" s="8" t="s">
        <v>1142</v>
      </c>
      <c r="B1084" s="8" t="s">
        <v>154</v>
      </c>
      <c r="C1084" s="8" t="s">
        <v>155</v>
      </c>
      <c r="D1084" s="8" t="s">
        <v>40</v>
      </c>
      <c r="E1084" s="8" t="n">
        <v>6737</v>
      </c>
      <c r="F1084" s="8" t="n">
        <v>1500</v>
      </c>
      <c r="G1084" s="8" t="n">
        <v>20</v>
      </c>
      <c r="H1084" s="13" t="n">
        <f aca="false">(E1084/1000)*(F1084/1000)*(G1084/1000)*7850</f>
        <v>1586.5635</v>
      </c>
      <c r="I1084" s="8" t="n">
        <v>2</v>
      </c>
      <c r="J1084" s="14" t="n">
        <f aca="false">H1084*I1084</f>
        <v>3173.127</v>
      </c>
      <c r="K1084" s="8" t="s">
        <v>1215</v>
      </c>
    </row>
    <row r="1085" customFormat="false" ht="13.8" hidden="false" customHeight="false" outlineLevel="0" collapsed="false">
      <c r="A1085" s="8" t="s">
        <v>1142</v>
      </c>
      <c r="B1085" s="8" t="s">
        <v>157</v>
      </c>
      <c r="C1085" s="8" t="s">
        <v>158</v>
      </c>
      <c r="D1085" s="8" t="s">
        <v>40</v>
      </c>
      <c r="E1085" s="8" t="n">
        <v>1400</v>
      </c>
      <c r="F1085" s="8" t="n">
        <v>1200</v>
      </c>
      <c r="G1085" s="8" t="n">
        <v>16</v>
      </c>
      <c r="H1085" s="13" t="n">
        <f aca="false">(E1085/1000)*(F1085/1000)*(G1085/1000)*7850</f>
        <v>211.008</v>
      </c>
      <c r="I1085" s="8" t="n">
        <v>3</v>
      </c>
      <c r="J1085" s="14" t="n">
        <f aca="false">H1085*I1085</f>
        <v>633.024</v>
      </c>
      <c r="K1085" s="8" t="s">
        <v>1216</v>
      </c>
    </row>
    <row r="1086" customFormat="false" ht="13.8" hidden="false" customHeight="false" outlineLevel="0" collapsed="false">
      <c r="A1086" s="8" t="s">
        <v>1142</v>
      </c>
      <c r="B1086" s="8" t="s">
        <v>1217</v>
      </c>
      <c r="C1086" s="8" t="s">
        <v>160</v>
      </c>
      <c r="D1086" s="8" t="s">
        <v>40</v>
      </c>
      <c r="E1086" s="8" t="n">
        <v>6737</v>
      </c>
      <c r="F1086" s="8" t="n">
        <v>190</v>
      </c>
      <c r="G1086" s="8" t="n">
        <v>16</v>
      </c>
      <c r="H1086" s="13" t="n">
        <f aca="false">(E1086/1000)*(F1086/1000)*(G1086/1000)*7850</f>
        <v>160.771768</v>
      </c>
      <c r="I1086" s="8" t="n">
        <v>2</v>
      </c>
      <c r="J1086" s="14" t="n">
        <f aca="false">H1086*I1086</f>
        <v>321.543536</v>
      </c>
      <c r="K1086" s="8" t="s">
        <v>1218</v>
      </c>
    </row>
    <row r="1087" customFormat="false" ht="13.8" hidden="false" customHeight="false" outlineLevel="0" collapsed="false">
      <c r="A1087" s="8" t="s">
        <v>1142</v>
      </c>
      <c r="B1087" s="8" t="s">
        <v>42</v>
      </c>
      <c r="C1087" s="8" t="s">
        <v>226</v>
      </c>
      <c r="D1087" s="8" t="s">
        <v>40</v>
      </c>
      <c r="E1087" s="8" t="n">
        <v>9622</v>
      </c>
      <c r="F1087" s="8" t="n">
        <v>190</v>
      </c>
      <c r="G1087" s="8" t="n">
        <v>16</v>
      </c>
      <c r="H1087" s="13" t="n">
        <f aca="false">(E1087/1000)*(F1087/1000)*(G1087/1000)*7850</f>
        <v>229.619408</v>
      </c>
      <c r="I1087" s="8" t="n">
        <v>1</v>
      </c>
      <c r="J1087" s="14" t="n">
        <f aca="false">H1087*I1087</f>
        <v>229.619408</v>
      </c>
      <c r="K1087" s="8" t="s">
        <v>1219</v>
      </c>
    </row>
    <row r="1088" customFormat="false" ht="13.8" hidden="false" customHeight="false" outlineLevel="0" collapsed="false">
      <c r="A1088" s="8" t="s">
        <v>1142</v>
      </c>
      <c r="B1088" s="8" t="s">
        <v>42</v>
      </c>
      <c r="C1088" s="8" t="s">
        <v>1220</v>
      </c>
      <c r="D1088" s="8" t="s">
        <v>40</v>
      </c>
      <c r="E1088" s="8" t="n">
        <v>8022</v>
      </c>
      <c r="F1088" s="8" t="n">
        <v>190</v>
      </c>
      <c r="G1088" s="8" t="n">
        <v>16</v>
      </c>
      <c r="H1088" s="13" t="n">
        <f aca="false">(E1088/1000)*(F1088/1000)*(G1088/1000)*7850</f>
        <v>191.437008</v>
      </c>
      <c r="I1088" s="8" t="n">
        <v>1</v>
      </c>
      <c r="J1088" s="14" t="n">
        <f aca="false">H1088*I1088</f>
        <v>191.437008</v>
      </c>
      <c r="K1088" s="8" t="s">
        <v>1221</v>
      </c>
    </row>
    <row r="1089" customFormat="false" ht="13.8" hidden="false" customHeight="false" outlineLevel="0" collapsed="false">
      <c r="A1089" s="8" t="s">
        <v>1222</v>
      </c>
      <c r="B1089" s="8" t="s">
        <v>38</v>
      </c>
      <c r="C1089" s="8" t="s">
        <v>39</v>
      </c>
      <c r="D1089" s="8" t="s">
        <v>40</v>
      </c>
      <c r="G1089" s="8" t="n">
        <v>20</v>
      </c>
      <c r="H1089" s="13" t="n">
        <f aca="false">M1089*(G1089/1000)*7850</f>
        <v>3218.5</v>
      </c>
      <c r="I1089" s="8" t="n">
        <v>2</v>
      </c>
      <c r="J1089" s="14" t="n">
        <f aca="false">H1089*I1089</f>
        <v>6437</v>
      </c>
      <c r="K1089" s="8" t="s">
        <v>1223</v>
      </c>
      <c r="M1089" s="15" t="n">
        <v>20.5</v>
      </c>
    </row>
    <row r="1090" customFormat="false" ht="13.8" hidden="false" customHeight="false" outlineLevel="0" collapsed="false">
      <c r="A1090" s="8" t="s">
        <v>1222</v>
      </c>
      <c r="B1090" s="8" t="s">
        <v>171</v>
      </c>
      <c r="C1090" s="8" t="s">
        <v>167</v>
      </c>
      <c r="D1090" s="8" t="s">
        <v>40</v>
      </c>
      <c r="E1090" s="8" t="n">
        <v>3100</v>
      </c>
      <c r="F1090" s="8" t="n">
        <v>320</v>
      </c>
      <c r="G1090" s="8" t="n">
        <v>32</v>
      </c>
      <c r="H1090" s="13" t="n">
        <f aca="false">(E1090/1000)*(F1090/1000)*(G1090/1000)*7850</f>
        <v>249.1904</v>
      </c>
      <c r="I1090" s="8" t="n">
        <v>4</v>
      </c>
      <c r="J1090" s="14" t="n">
        <f aca="false">H1090*I1090</f>
        <v>996.7616</v>
      </c>
      <c r="K1090" s="8" t="s">
        <v>1224</v>
      </c>
    </row>
    <row r="1091" customFormat="false" ht="13.8" hidden="false" customHeight="false" outlineLevel="0" collapsed="false">
      <c r="A1091" s="8" t="s">
        <v>1222</v>
      </c>
      <c r="B1091" s="8" t="s">
        <v>45</v>
      </c>
      <c r="C1091" s="8" t="s">
        <v>46</v>
      </c>
      <c r="D1091" s="8" t="s">
        <v>40</v>
      </c>
      <c r="E1091" s="8" t="n">
        <v>13350</v>
      </c>
      <c r="F1091" s="8" t="n">
        <v>1200</v>
      </c>
      <c r="G1091" s="8" t="n">
        <v>20</v>
      </c>
      <c r="H1091" s="13" t="n">
        <f aca="false">(E1091/1000)*(F1091/1000)*(G1091/1000)*7850</f>
        <v>2515.14</v>
      </c>
      <c r="I1091" s="8" t="n">
        <v>2</v>
      </c>
      <c r="J1091" s="14" t="n">
        <f aca="false">H1091*I1091</f>
        <v>5030.28</v>
      </c>
      <c r="K1091" s="8" t="s">
        <v>1225</v>
      </c>
    </row>
    <row r="1092" customFormat="false" ht="13.8" hidden="false" customHeight="false" outlineLevel="0" collapsed="false">
      <c r="A1092" s="8" t="s">
        <v>1222</v>
      </c>
      <c r="B1092" s="8" t="s">
        <v>42</v>
      </c>
      <c r="C1092" s="8" t="s">
        <v>169</v>
      </c>
      <c r="D1092" s="8" t="s">
        <v>40</v>
      </c>
      <c r="E1092" s="8" t="n">
        <v>2900</v>
      </c>
      <c r="F1092" s="8" t="n">
        <v>320</v>
      </c>
      <c r="G1092" s="8" t="n">
        <v>32</v>
      </c>
      <c r="H1092" s="13" t="n">
        <f aca="false">(E1092/1000)*(F1092/1000)*(G1092/1000)*7850</f>
        <v>233.1136</v>
      </c>
      <c r="I1092" s="8" t="n">
        <v>4</v>
      </c>
      <c r="J1092" s="14" t="n">
        <f aca="false">H1092*I1092</f>
        <v>932.4544</v>
      </c>
      <c r="K1092" s="8" t="s">
        <v>1226</v>
      </c>
    </row>
    <row r="1093" customFormat="false" ht="13.8" hidden="false" customHeight="false" outlineLevel="0" collapsed="false">
      <c r="A1093" s="8" t="s">
        <v>1222</v>
      </c>
      <c r="B1093" s="8" t="s">
        <v>190</v>
      </c>
      <c r="C1093" s="8" t="s">
        <v>188</v>
      </c>
      <c r="D1093" s="8" t="s">
        <v>40</v>
      </c>
      <c r="E1093" s="8" t="n">
        <v>10350</v>
      </c>
      <c r="F1093" s="8" t="n">
        <v>1648</v>
      </c>
      <c r="G1093" s="8" t="n">
        <v>20</v>
      </c>
      <c r="H1093" s="13" t="n">
        <f aca="false">(E1093/1000)*(F1093/1000)*(G1093/1000)*7850</f>
        <v>2677.9176</v>
      </c>
      <c r="I1093" s="8" t="n">
        <v>0</v>
      </c>
      <c r="J1093" s="14" t="n">
        <f aca="false">H1093*I1093</f>
        <v>0</v>
      </c>
      <c r="K1093" s="8" t="s">
        <v>1227</v>
      </c>
    </row>
    <row r="1094" customFormat="false" ht="13.8" hidden="false" customHeight="false" outlineLevel="0" collapsed="false">
      <c r="A1094" s="8" t="s">
        <v>1222</v>
      </c>
      <c r="B1094" s="8" t="s">
        <v>42</v>
      </c>
      <c r="C1094" s="8" t="s">
        <v>172</v>
      </c>
      <c r="D1094" s="8" t="s">
        <v>40</v>
      </c>
      <c r="E1094" s="8" t="n">
        <v>750</v>
      </c>
      <c r="F1094" s="8" t="n">
        <v>320</v>
      </c>
      <c r="G1094" s="8" t="n">
        <v>28</v>
      </c>
      <c r="H1094" s="13" t="n">
        <f aca="false">(E1094/1000)*(F1094/1000)*(G1094/1000)*7850</f>
        <v>52.752</v>
      </c>
      <c r="I1094" s="8" t="n">
        <v>4</v>
      </c>
      <c r="J1094" s="14" t="n">
        <f aca="false">H1094*I1094</f>
        <v>211.008</v>
      </c>
      <c r="K1094" s="8" t="s">
        <v>1228</v>
      </c>
    </row>
    <row r="1095" customFormat="false" ht="13.8" hidden="false" customHeight="false" outlineLevel="0" collapsed="false">
      <c r="A1095" s="8" t="s">
        <v>1222</v>
      </c>
      <c r="B1095" s="8" t="s">
        <v>187</v>
      </c>
      <c r="C1095" s="8" t="s">
        <v>50</v>
      </c>
      <c r="D1095" s="8" t="s">
        <v>40</v>
      </c>
      <c r="G1095" s="8" t="n">
        <v>28</v>
      </c>
      <c r="H1095" s="13" t="n">
        <f aca="false">M1095*(G1095/1000)*7850</f>
        <v>2367.246</v>
      </c>
      <c r="I1095" s="8" t="n">
        <v>4</v>
      </c>
      <c r="J1095" s="14" t="n">
        <f aca="false">H1095*I1095</f>
        <v>9468.984</v>
      </c>
      <c r="K1095" s="8" t="s">
        <v>1229</v>
      </c>
      <c r="M1095" s="15" t="n">
        <v>10.77</v>
      </c>
    </row>
    <row r="1096" customFormat="false" ht="13.8" hidden="false" customHeight="false" outlineLevel="0" collapsed="false">
      <c r="A1096" s="8" t="s">
        <v>1222</v>
      </c>
      <c r="B1096" s="8" t="s">
        <v>42</v>
      </c>
      <c r="C1096" s="8" t="s">
        <v>174</v>
      </c>
      <c r="D1096" s="8" t="s">
        <v>40</v>
      </c>
      <c r="E1096" s="8" t="n">
        <v>2100</v>
      </c>
      <c r="F1096" s="8" t="n">
        <v>320</v>
      </c>
      <c r="G1096" s="8" t="n">
        <v>32</v>
      </c>
      <c r="H1096" s="13" t="n">
        <f aca="false">(E1096/1000)*(F1096/1000)*(G1096/1000)*7850</f>
        <v>168.8064</v>
      </c>
      <c r="I1096" s="8" t="n">
        <v>4</v>
      </c>
      <c r="J1096" s="14" t="n">
        <f aca="false">H1096*I1096</f>
        <v>675.2256</v>
      </c>
      <c r="K1096" s="8" t="s">
        <v>1230</v>
      </c>
    </row>
    <row r="1097" customFormat="false" ht="13.8" hidden="false" customHeight="false" outlineLevel="0" collapsed="false">
      <c r="A1097" s="8" t="s">
        <v>1222</v>
      </c>
      <c r="B1097" s="8" t="s">
        <v>42</v>
      </c>
      <c r="C1097" s="8" t="s">
        <v>1152</v>
      </c>
      <c r="D1097" s="8" t="s">
        <v>40</v>
      </c>
      <c r="G1097" s="8" t="n">
        <v>40</v>
      </c>
      <c r="H1097" s="13" t="n">
        <f aca="false">M1097*(G1097/1000)*7850</f>
        <v>6710.18</v>
      </c>
      <c r="I1097" s="8" t="n">
        <v>4</v>
      </c>
      <c r="J1097" s="14" t="n">
        <f aca="false">H1097*I1097</f>
        <v>26840.72</v>
      </c>
      <c r="K1097" s="8" t="s">
        <v>1231</v>
      </c>
      <c r="M1097" s="15" t="n">
        <v>21.37</v>
      </c>
    </row>
    <row r="1098" customFormat="false" ht="13.8" hidden="false" customHeight="false" outlineLevel="0" collapsed="false">
      <c r="A1098" s="8" t="s">
        <v>1222</v>
      </c>
      <c r="B1098" s="8" t="s">
        <v>42</v>
      </c>
      <c r="C1098" s="8" t="s">
        <v>176</v>
      </c>
      <c r="D1098" s="8" t="s">
        <v>40</v>
      </c>
      <c r="E1098" s="8" t="n">
        <v>2100</v>
      </c>
      <c r="F1098" s="8" t="n">
        <v>320</v>
      </c>
      <c r="G1098" s="8" t="n">
        <v>32</v>
      </c>
      <c r="H1098" s="13" t="n">
        <f aca="false">(E1098/1000)*(F1098/1000)*(G1098/1000)*7850</f>
        <v>168.8064</v>
      </c>
      <c r="I1098" s="8" t="n">
        <v>4</v>
      </c>
      <c r="J1098" s="14" t="n">
        <f aca="false">H1098*I1098</f>
        <v>675.2256</v>
      </c>
      <c r="K1098" s="8" t="s">
        <v>1230</v>
      </c>
    </row>
    <row r="1099" customFormat="false" ht="13.8" hidden="false" customHeight="false" outlineLevel="0" collapsed="false">
      <c r="A1099" s="8" t="s">
        <v>1222</v>
      </c>
      <c r="B1099" s="8" t="s">
        <v>195</v>
      </c>
      <c r="C1099" s="8" t="s">
        <v>58</v>
      </c>
      <c r="D1099" s="8" t="s">
        <v>40</v>
      </c>
      <c r="E1099" s="8" t="n">
        <v>1580</v>
      </c>
      <c r="F1099" s="8" t="n">
        <v>1200</v>
      </c>
      <c r="G1099" s="8" t="n">
        <v>16</v>
      </c>
      <c r="H1099" s="13" t="n">
        <f aca="false">(E1099/1000)*(F1099/1000)*(G1099/1000)*7850</f>
        <v>238.1376</v>
      </c>
      <c r="I1099" s="8" t="n">
        <v>6</v>
      </c>
      <c r="J1099" s="14" t="n">
        <f aca="false">H1099*I1099</f>
        <v>1428.8256</v>
      </c>
      <c r="K1099" s="8" t="s">
        <v>1232</v>
      </c>
    </row>
    <row r="1100" customFormat="false" ht="13.8" hidden="false" customHeight="false" outlineLevel="0" collapsed="false">
      <c r="A1100" s="8" t="s">
        <v>1222</v>
      </c>
      <c r="B1100" s="8" t="s">
        <v>64</v>
      </c>
      <c r="C1100" s="8" t="s">
        <v>43</v>
      </c>
      <c r="D1100" s="8" t="s">
        <v>40</v>
      </c>
      <c r="E1100" s="8" t="n">
        <v>1580</v>
      </c>
      <c r="F1100" s="8" t="n">
        <v>610</v>
      </c>
      <c r="G1100" s="8" t="n">
        <v>16</v>
      </c>
      <c r="H1100" s="13" t="n">
        <f aca="false">(E1100/1000)*(F1100/1000)*(G1100/1000)*7850</f>
        <v>121.05328</v>
      </c>
      <c r="I1100" s="8" t="n">
        <v>6</v>
      </c>
      <c r="J1100" s="14" t="n">
        <f aca="false">H1100*I1100</f>
        <v>726.31968</v>
      </c>
      <c r="K1100" s="8" t="s">
        <v>1233</v>
      </c>
    </row>
    <row r="1101" customFormat="false" ht="13.8" hidden="false" customHeight="false" outlineLevel="0" collapsed="false">
      <c r="A1101" s="8" t="s">
        <v>1222</v>
      </c>
      <c r="B1101" s="8" t="s">
        <v>42</v>
      </c>
      <c r="C1101" s="8" t="s">
        <v>298</v>
      </c>
      <c r="D1101" s="8" t="s">
        <v>40</v>
      </c>
      <c r="E1101" s="8" t="n">
        <v>1580</v>
      </c>
      <c r="F1101" s="8" t="n">
        <v>1200</v>
      </c>
      <c r="G1101" s="8" t="n">
        <v>16</v>
      </c>
      <c r="H1101" s="13" t="n">
        <f aca="false">(E1101/1000)*(F1101/1000)*(G1101/1000)*7850</f>
        <v>238.1376</v>
      </c>
      <c r="I1101" s="8" t="n">
        <v>6</v>
      </c>
      <c r="J1101" s="14" t="n">
        <f aca="false">H1101*I1101</f>
        <v>1428.8256</v>
      </c>
      <c r="K1101" s="8" t="s">
        <v>1234</v>
      </c>
    </row>
    <row r="1102" customFormat="false" ht="13.8" hidden="false" customHeight="false" outlineLevel="0" collapsed="false">
      <c r="A1102" s="8" t="s">
        <v>1222</v>
      </c>
      <c r="B1102" s="8" t="s">
        <v>42</v>
      </c>
      <c r="C1102" s="8" t="s">
        <v>48</v>
      </c>
      <c r="D1102" s="8" t="s">
        <v>40</v>
      </c>
      <c r="E1102" s="8" t="n">
        <v>1580</v>
      </c>
      <c r="F1102" s="8" t="n">
        <v>630</v>
      </c>
      <c r="G1102" s="8" t="n">
        <v>16</v>
      </c>
      <c r="H1102" s="13" t="n">
        <f aca="false">(E1102/1000)*(F1102/1000)*(G1102/1000)*7850</f>
        <v>125.02224</v>
      </c>
      <c r="I1102" s="8" t="n">
        <v>6</v>
      </c>
      <c r="J1102" s="14" t="n">
        <f aca="false">H1102*I1102</f>
        <v>750.13344</v>
      </c>
      <c r="K1102" s="8" t="s">
        <v>1235</v>
      </c>
    </row>
    <row r="1103" customFormat="false" ht="13.8" hidden="false" customHeight="false" outlineLevel="0" collapsed="false">
      <c r="A1103" s="8" t="s">
        <v>1222</v>
      </c>
      <c r="B1103" s="8" t="s">
        <v>42</v>
      </c>
      <c r="C1103" s="8" t="s">
        <v>196</v>
      </c>
      <c r="D1103" s="8" t="s">
        <v>40</v>
      </c>
      <c r="E1103" s="8" t="n">
        <v>2057</v>
      </c>
      <c r="F1103" s="8" t="n">
        <v>200</v>
      </c>
      <c r="G1103" s="8" t="n">
        <v>16</v>
      </c>
      <c r="H1103" s="13" t="n">
        <f aca="false">(E1103/1000)*(F1103/1000)*(G1103/1000)*7850</f>
        <v>51.67184</v>
      </c>
      <c r="I1103" s="8" t="n">
        <v>8</v>
      </c>
      <c r="J1103" s="14" t="n">
        <f aca="false">H1103*I1103</f>
        <v>413.37472</v>
      </c>
      <c r="K1103" s="8" t="s">
        <v>1236</v>
      </c>
    </row>
    <row r="1104" customFormat="false" ht="13.8" hidden="false" customHeight="false" outlineLevel="0" collapsed="false">
      <c r="A1104" s="8" t="s">
        <v>1222</v>
      </c>
      <c r="B1104" s="8" t="s">
        <v>42</v>
      </c>
      <c r="C1104" s="8" t="s">
        <v>52</v>
      </c>
      <c r="D1104" s="8" t="s">
        <v>40</v>
      </c>
      <c r="E1104" s="8" t="n">
        <v>1580</v>
      </c>
      <c r="F1104" s="8" t="n">
        <v>622</v>
      </c>
      <c r="G1104" s="8" t="n">
        <v>16</v>
      </c>
      <c r="H1104" s="13" t="n">
        <f aca="false">(E1104/1000)*(F1104/1000)*(G1104/1000)*7850</f>
        <v>123.434656</v>
      </c>
      <c r="I1104" s="8" t="n">
        <v>6</v>
      </c>
      <c r="J1104" s="14" t="n">
        <f aca="false">H1104*I1104</f>
        <v>740.607936</v>
      </c>
      <c r="K1104" s="8" t="s">
        <v>1237</v>
      </c>
    </row>
    <row r="1105" customFormat="false" ht="13.8" hidden="false" customHeight="false" outlineLevel="0" collapsed="false">
      <c r="A1105" s="8" t="s">
        <v>1222</v>
      </c>
      <c r="B1105" s="8" t="s">
        <v>42</v>
      </c>
      <c r="C1105" s="8" t="s">
        <v>56</v>
      </c>
      <c r="D1105" s="8" t="s">
        <v>40</v>
      </c>
      <c r="G1105" s="8" t="n">
        <v>24</v>
      </c>
      <c r="H1105" s="13" t="n">
        <f aca="false">M1105*(G1105/1000)*7850</f>
        <v>88.548</v>
      </c>
      <c r="I1105" s="8" t="n">
        <v>6</v>
      </c>
      <c r="J1105" s="14" t="n">
        <f aca="false">H1105*I1105</f>
        <v>531.288</v>
      </c>
      <c r="K1105" s="8" t="s">
        <v>1238</v>
      </c>
      <c r="M1105" s="15" t="n">
        <v>0.47</v>
      </c>
    </row>
    <row r="1106" customFormat="false" ht="13.8" hidden="false" customHeight="false" outlineLevel="0" collapsed="false">
      <c r="A1106" s="8" t="s">
        <v>1222</v>
      </c>
      <c r="B1106" s="8" t="s">
        <v>42</v>
      </c>
      <c r="C1106" s="8" t="s">
        <v>68</v>
      </c>
      <c r="D1106" s="8" t="s">
        <v>40</v>
      </c>
      <c r="E1106" s="8" t="n">
        <v>600</v>
      </c>
      <c r="F1106" s="8" t="n">
        <v>400</v>
      </c>
      <c r="G1106" s="8" t="n">
        <v>16</v>
      </c>
      <c r="H1106" s="13" t="n">
        <f aca="false">(E1106/1000)*(F1106/1000)*(G1106/1000)*7850</f>
        <v>30.144</v>
      </c>
      <c r="I1106" s="8" t="n">
        <v>8</v>
      </c>
      <c r="J1106" s="14" t="n">
        <f aca="false">H1106*I1106</f>
        <v>241.152</v>
      </c>
      <c r="K1106" s="8" t="s">
        <v>1239</v>
      </c>
    </row>
    <row r="1107" customFormat="false" ht="13.8" hidden="false" customHeight="false" outlineLevel="0" collapsed="false">
      <c r="A1107" s="8" t="s">
        <v>1222</v>
      </c>
      <c r="B1107" s="8" t="s">
        <v>42</v>
      </c>
      <c r="C1107" s="8" t="s">
        <v>60</v>
      </c>
      <c r="D1107" s="8" t="s">
        <v>40</v>
      </c>
      <c r="G1107" s="8" t="n">
        <v>24</v>
      </c>
      <c r="H1107" s="13" t="n">
        <f aca="false">M1107*(G1107/1000)*7850</f>
        <v>90.432</v>
      </c>
      <c r="I1107" s="8" t="n">
        <v>6</v>
      </c>
      <c r="J1107" s="14" t="n">
        <f aca="false">H1107*I1107</f>
        <v>542.592</v>
      </c>
      <c r="K1107" s="8" t="s">
        <v>1240</v>
      </c>
      <c r="M1107" s="15" t="n">
        <v>0.48</v>
      </c>
    </row>
    <row r="1108" customFormat="false" ht="13.8" hidden="false" customHeight="false" outlineLevel="0" collapsed="false">
      <c r="A1108" s="8" t="s">
        <v>1222</v>
      </c>
      <c r="B1108" s="8" t="s">
        <v>253</v>
      </c>
      <c r="C1108" s="8" t="s">
        <v>199</v>
      </c>
      <c r="D1108" s="8" t="s">
        <v>40</v>
      </c>
      <c r="E1108" s="8" t="n">
        <v>5651</v>
      </c>
      <c r="F1108" s="8" t="n">
        <v>240</v>
      </c>
      <c r="G1108" s="8" t="n">
        <v>20</v>
      </c>
      <c r="H1108" s="13" t="n">
        <f aca="false">(E1108/1000)*(F1108/1000)*(G1108/1000)*7850</f>
        <v>212.92968</v>
      </c>
      <c r="I1108" s="8" t="n">
        <v>8</v>
      </c>
      <c r="J1108" s="14" t="n">
        <f aca="false">H1108*I1108</f>
        <v>1703.43744</v>
      </c>
      <c r="K1108" s="8" t="s">
        <v>1241</v>
      </c>
    </row>
    <row r="1109" customFormat="false" ht="13.8" hidden="false" customHeight="false" outlineLevel="0" collapsed="false">
      <c r="A1109" s="8" t="s">
        <v>1222</v>
      </c>
      <c r="B1109" s="8" t="s">
        <v>42</v>
      </c>
      <c r="C1109" s="8" t="s">
        <v>1242</v>
      </c>
      <c r="D1109" s="8" t="s">
        <v>40</v>
      </c>
      <c r="G1109" s="8" t="n">
        <v>24</v>
      </c>
      <c r="H1109" s="13" t="n">
        <f aca="false">M1109*(G1109/1000)*7850</f>
        <v>182.748</v>
      </c>
      <c r="I1109" s="8" t="n">
        <v>2</v>
      </c>
      <c r="J1109" s="14" t="n">
        <f aca="false">H1109*I1109</f>
        <v>365.496</v>
      </c>
      <c r="K1109" s="8" t="s">
        <v>1243</v>
      </c>
      <c r="M1109" s="15" t="n">
        <v>0.97</v>
      </c>
    </row>
    <row r="1110" customFormat="false" ht="13.8" hidden="false" customHeight="false" outlineLevel="0" collapsed="false">
      <c r="A1110" s="8" t="s">
        <v>1222</v>
      </c>
      <c r="B1110" s="8" t="s">
        <v>42</v>
      </c>
      <c r="C1110" s="8" t="s">
        <v>76</v>
      </c>
      <c r="D1110" s="8" t="s">
        <v>289</v>
      </c>
      <c r="E1110" s="8" t="n">
        <v>10351</v>
      </c>
      <c r="F1110" s="8" t="n">
        <v>240</v>
      </c>
      <c r="G1110" s="8" t="n">
        <v>20</v>
      </c>
      <c r="H1110" s="13" t="n">
        <f aca="false">(E1110/1000)*(F1110/1000)*(G1110/1000)*7850</f>
        <v>390.02568</v>
      </c>
      <c r="I1110" s="8" t="n">
        <v>0</v>
      </c>
      <c r="J1110" s="14" t="n">
        <f aca="false">H1110*I1110</f>
        <v>0</v>
      </c>
      <c r="K1110" s="8" t="s">
        <v>1244</v>
      </c>
    </row>
    <row r="1111" customFormat="false" ht="13.8" hidden="false" customHeight="false" outlineLevel="0" collapsed="false">
      <c r="A1111" s="8" t="s">
        <v>1222</v>
      </c>
      <c r="B1111" s="8" t="s">
        <v>42</v>
      </c>
      <c r="C1111" s="8" t="s">
        <v>70</v>
      </c>
      <c r="D1111" s="8" t="s">
        <v>40</v>
      </c>
      <c r="E1111" s="8" t="n">
        <v>1450</v>
      </c>
      <c r="F1111" s="8" t="n">
        <v>626</v>
      </c>
      <c r="G1111" s="8" t="n">
        <v>16</v>
      </c>
      <c r="H1111" s="13" t="n">
        <f aca="false">(E1111/1000)*(F1111/1000)*(G1111/1000)*7850</f>
        <v>114.00712</v>
      </c>
      <c r="I1111" s="8" t="n">
        <v>6</v>
      </c>
      <c r="J1111" s="14" t="n">
        <f aca="false">H1111*I1111</f>
        <v>684.04272</v>
      </c>
      <c r="K1111" s="8" t="s">
        <v>1245</v>
      </c>
    </row>
    <row r="1112" customFormat="false" ht="13.8" hidden="false" customHeight="false" outlineLevel="0" collapsed="false">
      <c r="A1112" s="8" t="s">
        <v>1222</v>
      </c>
      <c r="B1112" s="8" t="s">
        <v>42</v>
      </c>
      <c r="C1112" s="8" t="s">
        <v>76</v>
      </c>
      <c r="D1112" s="8" t="s">
        <v>40</v>
      </c>
      <c r="E1112" s="8" t="n">
        <v>7650</v>
      </c>
      <c r="F1112" s="8" t="n">
        <v>240</v>
      </c>
      <c r="G1112" s="8" t="n">
        <v>20</v>
      </c>
      <c r="H1112" s="13" t="n">
        <f aca="false">(E1112/1000)*(F1112/1000)*(G1112/1000)*7850</f>
        <v>288.252</v>
      </c>
      <c r="I1112" s="8" t="n">
        <v>8</v>
      </c>
      <c r="J1112" s="14" t="n">
        <f aca="false">H1112*I1112</f>
        <v>2306.016</v>
      </c>
      <c r="K1112" s="8" t="s">
        <v>1246</v>
      </c>
    </row>
    <row r="1113" customFormat="false" ht="13.8" hidden="false" customHeight="false" outlineLevel="0" collapsed="false">
      <c r="A1113" s="8" t="s">
        <v>1222</v>
      </c>
      <c r="B1113" s="8" t="s">
        <v>42</v>
      </c>
      <c r="C1113" s="8" t="s">
        <v>70</v>
      </c>
      <c r="D1113" s="8" t="s">
        <v>40</v>
      </c>
      <c r="E1113" s="8" t="n">
        <v>1450</v>
      </c>
      <c r="F1113" s="8" t="n">
        <v>610</v>
      </c>
      <c r="G1113" s="8" t="n">
        <v>16</v>
      </c>
      <c r="H1113" s="13" t="n">
        <f aca="false">(E1113/1000)*(F1113/1000)*(G1113/1000)*7850</f>
        <v>111.0932</v>
      </c>
      <c r="I1113" s="8" t="n">
        <v>2</v>
      </c>
      <c r="J1113" s="14" t="n">
        <f aca="false">H1113*I1113</f>
        <v>222.1864</v>
      </c>
      <c r="K1113" s="8" t="s">
        <v>1247</v>
      </c>
    </row>
    <row r="1114" customFormat="false" ht="13.8" hidden="false" customHeight="false" outlineLevel="0" collapsed="false">
      <c r="A1114" s="8" t="s">
        <v>1222</v>
      </c>
      <c r="B1114" s="8" t="s">
        <v>42</v>
      </c>
      <c r="C1114" s="8" t="s">
        <v>81</v>
      </c>
      <c r="D1114" s="8" t="s">
        <v>40</v>
      </c>
      <c r="E1114" s="8" t="n">
        <v>13300</v>
      </c>
      <c r="F1114" s="8" t="n">
        <v>240</v>
      </c>
      <c r="G1114" s="8" t="n">
        <v>20</v>
      </c>
      <c r="H1114" s="13" t="n">
        <f aca="false">(E1114/1000)*(F1114/1000)*(G1114/1000)*7850</f>
        <v>501.144</v>
      </c>
      <c r="I1114" s="8" t="n">
        <v>2</v>
      </c>
      <c r="J1114" s="14" t="n">
        <f aca="false">H1114*I1114</f>
        <v>1002.288</v>
      </c>
      <c r="K1114" s="8" t="s">
        <v>1248</v>
      </c>
    </row>
    <row r="1115" customFormat="false" ht="13.8" hidden="false" customHeight="false" outlineLevel="0" collapsed="false">
      <c r="A1115" s="8" t="s">
        <v>1222</v>
      </c>
      <c r="B1115" s="8" t="s">
        <v>42</v>
      </c>
      <c r="C1115" s="8" t="s">
        <v>74</v>
      </c>
      <c r="D1115" s="8" t="s">
        <v>40</v>
      </c>
      <c r="E1115" s="8" t="n">
        <v>1450</v>
      </c>
      <c r="F1115" s="8" t="n">
        <v>610</v>
      </c>
      <c r="G1115" s="8" t="n">
        <v>28</v>
      </c>
      <c r="H1115" s="13" t="n">
        <f aca="false">(E1115/1000)*(F1115/1000)*(G1115/1000)*7850</f>
        <v>194.4131</v>
      </c>
      <c r="I1115" s="8" t="n">
        <v>8</v>
      </c>
      <c r="J1115" s="14" t="n">
        <f aca="false">H1115*I1115</f>
        <v>1555.3048</v>
      </c>
      <c r="K1115" s="8" t="s">
        <v>1249</v>
      </c>
    </row>
    <row r="1116" customFormat="false" ht="13.8" hidden="false" customHeight="false" outlineLevel="0" collapsed="false">
      <c r="A1116" s="8" t="s">
        <v>1222</v>
      </c>
      <c r="B1116" s="8" t="s">
        <v>42</v>
      </c>
      <c r="C1116" s="8" t="s">
        <v>84</v>
      </c>
      <c r="D1116" s="8" t="s">
        <v>40</v>
      </c>
      <c r="E1116" s="8" t="n">
        <v>13300</v>
      </c>
      <c r="F1116" s="8" t="n">
        <v>240</v>
      </c>
      <c r="G1116" s="8" t="n">
        <v>20</v>
      </c>
      <c r="H1116" s="13" t="n">
        <f aca="false">(E1116/1000)*(F1116/1000)*(G1116/1000)*7850</f>
        <v>501.144</v>
      </c>
      <c r="I1116" s="8" t="n">
        <v>2</v>
      </c>
      <c r="J1116" s="14" t="n">
        <f aca="false">H1116*I1116</f>
        <v>1002.288</v>
      </c>
      <c r="K1116" s="8" t="s">
        <v>1250</v>
      </c>
    </row>
    <row r="1117" customFormat="false" ht="13.8" hidden="false" customHeight="false" outlineLevel="0" collapsed="false">
      <c r="A1117" s="8" t="s">
        <v>1222</v>
      </c>
      <c r="B1117" s="8" t="s">
        <v>1251</v>
      </c>
      <c r="C1117" s="8" t="s">
        <v>78</v>
      </c>
      <c r="D1117" s="8" t="s">
        <v>40</v>
      </c>
      <c r="E1117" s="8" t="n">
        <v>1450</v>
      </c>
      <c r="F1117" s="8" t="n">
        <v>1200</v>
      </c>
      <c r="G1117" s="8" t="n">
        <v>32</v>
      </c>
      <c r="H1117" s="13" t="n">
        <f aca="false">(E1117/1000)*(F1117/1000)*(G1117/1000)*7850</f>
        <v>437.088</v>
      </c>
      <c r="I1117" s="8" t="n">
        <v>8</v>
      </c>
      <c r="J1117" s="14" t="n">
        <f aca="false">H1117*I1117</f>
        <v>3496.704</v>
      </c>
      <c r="K1117" s="8" t="s">
        <v>1252</v>
      </c>
    </row>
    <row r="1118" customFormat="false" ht="13.8" hidden="false" customHeight="false" outlineLevel="0" collapsed="false">
      <c r="A1118" s="8" t="s">
        <v>1222</v>
      </c>
      <c r="B1118" s="8" t="s">
        <v>256</v>
      </c>
      <c r="C1118" s="8" t="s">
        <v>92</v>
      </c>
      <c r="D1118" s="8" t="s">
        <v>40</v>
      </c>
      <c r="E1118" s="8" t="n">
        <v>4790</v>
      </c>
      <c r="F1118" s="8" t="n">
        <v>1850</v>
      </c>
      <c r="G1118" s="8" t="n">
        <v>20</v>
      </c>
      <c r="H1118" s="13" t="n">
        <f aca="false">(E1118/1000)*(F1118/1000)*(G1118/1000)*7850</f>
        <v>1391.2555</v>
      </c>
      <c r="I1118" s="8" t="n">
        <v>2</v>
      </c>
      <c r="J1118" s="14" t="n">
        <f aca="false">H1118*I1118</f>
        <v>2782.511</v>
      </c>
      <c r="K1118" s="8" t="s">
        <v>1253</v>
      </c>
    </row>
    <row r="1119" customFormat="false" ht="13.8" hidden="false" customHeight="false" outlineLevel="0" collapsed="false">
      <c r="A1119" s="8" t="s">
        <v>1222</v>
      </c>
      <c r="B1119" s="8" t="s">
        <v>42</v>
      </c>
      <c r="C1119" s="8" t="s">
        <v>82</v>
      </c>
      <c r="D1119" s="8" t="s">
        <v>40</v>
      </c>
      <c r="E1119" s="8" t="n">
        <v>502</v>
      </c>
      <c r="F1119" s="8" t="n">
        <v>240</v>
      </c>
      <c r="G1119" s="8" t="n">
        <v>20</v>
      </c>
      <c r="H1119" s="13" t="n">
        <f aca="false">(E1119/1000)*(F1119/1000)*(G1119/1000)*7850</f>
        <v>18.91536</v>
      </c>
      <c r="I1119" s="8" t="n">
        <v>2</v>
      </c>
      <c r="J1119" s="14" t="n">
        <f aca="false">H1119*I1119</f>
        <v>37.83072</v>
      </c>
      <c r="K1119" s="8" t="s">
        <v>1254</v>
      </c>
    </row>
    <row r="1120" customFormat="false" ht="13.8" hidden="false" customHeight="false" outlineLevel="0" collapsed="false">
      <c r="A1120" s="8" t="s">
        <v>1222</v>
      </c>
      <c r="B1120" s="8" t="s">
        <v>42</v>
      </c>
      <c r="C1120" s="8" t="s">
        <v>257</v>
      </c>
      <c r="D1120" s="8" t="s">
        <v>40</v>
      </c>
      <c r="E1120" s="8" t="n">
        <v>10105</v>
      </c>
      <c r="F1120" s="8" t="n">
        <v>1850</v>
      </c>
      <c r="G1120" s="8" t="n">
        <v>20</v>
      </c>
      <c r="H1120" s="13" t="n">
        <f aca="false">(E1120/1000)*(F1120/1000)*(G1120/1000)*7850</f>
        <v>2934.99725</v>
      </c>
      <c r="I1120" s="8" t="n">
        <v>2</v>
      </c>
      <c r="J1120" s="14" t="n">
        <f aca="false">H1120*I1120</f>
        <v>5869.9945</v>
      </c>
      <c r="K1120" s="8" t="s">
        <v>1255</v>
      </c>
    </row>
    <row r="1121" customFormat="false" ht="13.8" hidden="false" customHeight="false" outlineLevel="0" collapsed="false">
      <c r="A1121" s="8" t="s">
        <v>1222</v>
      </c>
      <c r="B1121" s="8" t="s">
        <v>42</v>
      </c>
      <c r="C1121" s="8" t="s">
        <v>87</v>
      </c>
      <c r="D1121" s="8" t="s">
        <v>40</v>
      </c>
      <c r="E1121" s="8" t="n">
        <v>1800</v>
      </c>
      <c r="F1121" s="8" t="n">
        <v>1800</v>
      </c>
      <c r="G1121" s="8" t="n">
        <v>100</v>
      </c>
      <c r="H1121" s="13" t="n">
        <f aca="false">(E1121/1000)*(F1121/1000)*(G1121/1000)*7850</f>
        <v>2543.4</v>
      </c>
      <c r="I1121" s="8" t="n">
        <v>2</v>
      </c>
      <c r="J1121" s="14" t="n">
        <f aca="false">H1121*I1121</f>
        <v>5086.8</v>
      </c>
      <c r="K1121" s="8" t="s">
        <v>1256</v>
      </c>
    </row>
    <row r="1122" customFormat="false" ht="13.8" hidden="false" customHeight="false" outlineLevel="0" collapsed="false">
      <c r="A1122" s="8" t="s">
        <v>1222</v>
      </c>
      <c r="B1122" s="8" t="s">
        <v>260</v>
      </c>
      <c r="C1122" s="8" t="s">
        <v>98</v>
      </c>
      <c r="D1122" s="8" t="s">
        <v>40</v>
      </c>
      <c r="G1122" s="8" t="n">
        <v>36</v>
      </c>
      <c r="H1122" s="13" t="n">
        <f aca="false">M1122*(G1122/1000)*7850</f>
        <v>2645.136</v>
      </c>
      <c r="I1122" s="8" t="n">
        <v>2</v>
      </c>
      <c r="J1122" s="14" t="n">
        <f aca="false">H1122*I1122</f>
        <v>5290.272</v>
      </c>
      <c r="K1122" s="8" t="s">
        <v>1257</v>
      </c>
      <c r="M1122" s="15" t="n">
        <v>9.36</v>
      </c>
    </row>
    <row r="1123" customFormat="false" ht="13.8" hidden="false" customHeight="false" outlineLevel="0" collapsed="false">
      <c r="A1123" s="8" t="s">
        <v>1222</v>
      </c>
      <c r="B1123" s="8" t="s">
        <v>42</v>
      </c>
      <c r="C1123" s="8" t="s">
        <v>90</v>
      </c>
      <c r="D1123" s="8" t="s">
        <v>40</v>
      </c>
      <c r="E1123" s="8" t="n">
        <v>1000</v>
      </c>
      <c r="F1123" s="8" t="n">
        <v>568</v>
      </c>
      <c r="G1123" s="8" t="n">
        <v>32</v>
      </c>
      <c r="H1123" s="13" t="n">
        <f aca="false">(E1123/1000)*(F1123/1000)*(G1123/1000)*7850</f>
        <v>142.6816</v>
      </c>
      <c r="I1123" s="8" t="n">
        <v>6</v>
      </c>
      <c r="J1123" s="14" t="n">
        <f aca="false">H1123*I1123</f>
        <v>856.0896</v>
      </c>
      <c r="K1123" s="8" t="s">
        <v>1258</v>
      </c>
    </row>
    <row r="1124" customFormat="false" ht="13.8" hidden="false" customHeight="false" outlineLevel="0" collapsed="false">
      <c r="A1124" s="8" t="s">
        <v>1222</v>
      </c>
      <c r="B1124" s="8" t="s">
        <v>42</v>
      </c>
      <c r="C1124" s="8" t="s">
        <v>100</v>
      </c>
      <c r="D1124" s="8" t="s">
        <v>40</v>
      </c>
      <c r="G1124" s="8" t="n">
        <v>24</v>
      </c>
      <c r="H1124" s="13" t="n">
        <f aca="false">M1124*(G1124/1000)*7850</f>
        <v>2744.988</v>
      </c>
      <c r="I1124" s="8" t="n">
        <v>2</v>
      </c>
      <c r="J1124" s="14" t="n">
        <f aca="false">H1124*I1124</f>
        <v>5489.976</v>
      </c>
      <c r="K1124" s="8" t="s">
        <v>1259</v>
      </c>
      <c r="M1124" s="15" t="n">
        <v>14.57</v>
      </c>
    </row>
    <row r="1125" customFormat="false" ht="13.8" hidden="false" customHeight="false" outlineLevel="0" collapsed="false">
      <c r="A1125" s="8" t="s">
        <v>1222</v>
      </c>
      <c r="B1125" s="8" t="s">
        <v>42</v>
      </c>
      <c r="C1125" s="8" t="s">
        <v>94</v>
      </c>
      <c r="D1125" s="8" t="s">
        <v>40</v>
      </c>
      <c r="E1125" s="8" t="n">
        <v>1350</v>
      </c>
      <c r="F1125" s="8" t="n">
        <v>570</v>
      </c>
      <c r="G1125" s="8" t="n">
        <v>32</v>
      </c>
      <c r="H1125" s="13" t="n">
        <f aca="false">(E1125/1000)*(F1125/1000)*(G1125/1000)*7850</f>
        <v>193.2984</v>
      </c>
      <c r="I1125" s="8" t="n">
        <v>12</v>
      </c>
      <c r="J1125" s="14" t="n">
        <f aca="false">H1125*I1125</f>
        <v>2319.5808</v>
      </c>
      <c r="K1125" s="8" t="s">
        <v>1260</v>
      </c>
    </row>
    <row r="1126" customFormat="false" ht="13.8" hidden="false" customHeight="false" outlineLevel="0" collapsed="false">
      <c r="A1126" s="8" t="s">
        <v>1222</v>
      </c>
      <c r="B1126" s="8" t="s">
        <v>102</v>
      </c>
      <c r="C1126" s="8" t="s">
        <v>103</v>
      </c>
      <c r="D1126" s="8" t="s">
        <v>40</v>
      </c>
      <c r="E1126" s="8" t="n">
        <v>10105</v>
      </c>
      <c r="F1126" s="8" t="n">
        <v>1530</v>
      </c>
      <c r="G1126" s="8" t="n">
        <v>24</v>
      </c>
      <c r="H1126" s="13" t="n">
        <f aca="false">(E1126/1000)*(F1126/1000)*(G1126/1000)*7850</f>
        <v>2912.78646</v>
      </c>
      <c r="I1126" s="8" t="n">
        <v>4</v>
      </c>
      <c r="J1126" s="14" t="n">
        <f aca="false">H1126*I1126</f>
        <v>11651.14584</v>
      </c>
      <c r="K1126" s="8" t="s">
        <v>1261</v>
      </c>
    </row>
    <row r="1127" customFormat="false" ht="13.8" hidden="false" customHeight="false" outlineLevel="0" collapsed="false">
      <c r="A1127" s="8" t="s">
        <v>1222</v>
      </c>
      <c r="B1127" s="8" t="s">
        <v>42</v>
      </c>
      <c r="C1127" s="8" t="s">
        <v>1262</v>
      </c>
      <c r="D1127" s="8" t="s">
        <v>40</v>
      </c>
      <c r="E1127" s="8" t="n">
        <v>2200</v>
      </c>
      <c r="F1127" s="8" t="n">
        <v>650</v>
      </c>
      <c r="G1127" s="8" t="n">
        <v>32</v>
      </c>
      <c r="H1127" s="13" t="n">
        <f aca="false">(E1127/1000)*(F1127/1000)*(G1127/1000)*7850</f>
        <v>359.216</v>
      </c>
      <c r="I1127" s="8" t="n">
        <v>2</v>
      </c>
      <c r="J1127" s="14" t="n">
        <f aca="false">H1127*I1127</f>
        <v>718.432</v>
      </c>
      <c r="K1127" s="8" t="s">
        <v>1263</v>
      </c>
    </row>
    <row r="1128" customFormat="false" ht="13.8" hidden="false" customHeight="false" outlineLevel="0" collapsed="false">
      <c r="A1128" s="8" t="s">
        <v>1222</v>
      </c>
      <c r="B1128" s="8" t="s">
        <v>105</v>
      </c>
      <c r="C1128" s="8" t="s">
        <v>106</v>
      </c>
      <c r="D1128" s="8"/>
      <c r="G1128" s="8" t="n">
        <v>40</v>
      </c>
      <c r="H1128" s="13" t="n">
        <f aca="false">M1128*(G1128/1000)*7850</f>
        <v>5155.88</v>
      </c>
      <c r="I1128" s="8" t="n">
        <v>4</v>
      </c>
      <c r="J1128" s="14" t="n">
        <f aca="false">H1128*I1128</f>
        <v>20623.52</v>
      </c>
      <c r="K1128" s="8" t="s">
        <v>1264</v>
      </c>
      <c r="M1128" s="15" t="n">
        <v>16.42</v>
      </c>
    </row>
    <row r="1129" customFormat="false" ht="13.8" hidden="false" customHeight="false" outlineLevel="0" collapsed="false">
      <c r="A1129" s="8" t="s">
        <v>1222</v>
      </c>
      <c r="B1129" s="8" t="s">
        <v>110</v>
      </c>
      <c r="C1129" s="8" t="s">
        <v>108</v>
      </c>
      <c r="D1129" s="8" t="s">
        <v>40</v>
      </c>
      <c r="E1129" s="8" t="n">
        <v>1450</v>
      </c>
      <c r="F1129" s="8" t="n">
        <v>1200</v>
      </c>
      <c r="G1129" s="8" t="n">
        <v>16</v>
      </c>
      <c r="H1129" s="13" t="n">
        <f aca="false">(E1129/1000)*(F1129/1000)*(G1129/1000)*7850</f>
        <v>218.544</v>
      </c>
      <c r="I1129" s="8" t="n">
        <v>2</v>
      </c>
      <c r="J1129" s="14" t="n">
        <f aca="false">H1129*I1129</f>
        <v>437.088</v>
      </c>
      <c r="K1129" s="8" t="s">
        <v>1265</v>
      </c>
    </row>
    <row r="1130" customFormat="false" ht="13.8" hidden="false" customHeight="false" outlineLevel="0" collapsed="false">
      <c r="A1130" s="8" t="s">
        <v>1222</v>
      </c>
      <c r="B1130" s="8" t="s">
        <v>42</v>
      </c>
      <c r="C1130" s="8" t="s">
        <v>313</v>
      </c>
      <c r="D1130" s="8" t="s">
        <v>40</v>
      </c>
      <c r="E1130" s="8" t="n">
        <v>2057</v>
      </c>
      <c r="F1130" s="8" t="n">
        <v>200</v>
      </c>
      <c r="G1130" s="8" t="n">
        <v>16</v>
      </c>
      <c r="H1130" s="13" t="n">
        <f aca="false">(E1130/1000)*(F1130/1000)*(G1130/1000)*7850</f>
        <v>51.67184</v>
      </c>
      <c r="I1130" s="8" t="n">
        <v>4</v>
      </c>
      <c r="J1130" s="14" t="n">
        <f aca="false">H1130*I1130</f>
        <v>206.68736</v>
      </c>
      <c r="K1130" s="8" t="s">
        <v>1266</v>
      </c>
    </row>
    <row r="1131" customFormat="false" ht="13.8" hidden="false" customHeight="false" outlineLevel="0" collapsed="false">
      <c r="A1131" s="8" t="s">
        <v>1222</v>
      </c>
      <c r="B1131" s="8" t="s">
        <v>42</v>
      </c>
      <c r="C1131" s="8" t="s">
        <v>112</v>
      </c>
      <c r="D1131" s="8" t="s">
        <v>289</v>
      </c>
      <c r="E1131" s="8" t="n">
        <v>1450</v>
      </c>
      <c r="F1131" s="8" t="n">
        <v>1200</v>
      </c>
      <c r="G1131" s="8" t="n">
        <v>16</v>
      </c>
      <c r="H1131" s="13" t="n">
        <f aca="false">(E1131/1000)*(F1131/1000)*(G1131/1000)*7850</f>
        <v>218.544</v>
      </c>
      <c r="I1131" s="8" t="n">
        <v>6</v>
      </c>
      <c r="J1131" s="14" t="n">
        <f aca="false">H1131*I1131</f>
        <v>1311.264</v>
      </c>
      <c r="K1131" s="8" t="s">
        <v>1265</v>
      </c>
    </row>
    <row r="1132" customFormat="false" ht="13.8" hidden="false" customHeight="false" outlineLevel="0" collapsed="false">
      <c r="A1132" s="8" t="s">
        <v>1222</v>
      </c>
      <c r="B1132" s="8" t="s">
        <v>268</v>
      </c>
      <c r="C1132" s="8" t="s">
        <v>114</v>
      </c>
      <c r="D1132" s="8" t="s">
        <v>40</v>
      </c>
      <c r="E1132" s="8" t="n">
        <v>2792</v>
      </c>
      <c r="F1132" s="8" t="n">
        <v>240</v>
      </c>
      <c r="G1132" s="8" t="n">
        <v>20</v>
      </c>
      <c r="H1132" s="13" t="n">
        <f aca="false">(E1132/1000)*(F1132/1000)*(G1132/1000)*7850</f>
        <v>105.20256</v>
      </c>
      <c r="I1132" s="8" t="n">
        <v>4</v>
      </c>
      <c r="J1132" s="14" t="n">
        <f aca="false">H1132*I1132</f>
        <v>420.81024</v>
      </c>
      <c r="K1132" s="8" t="s">
        <v>1267</v>
      </c>
    </row>
    <row r="1133" customFormat="false" ht="13.8" hidden="false" customHeight="false" outlineLevel="0" collapsed="false">
      <c r="A1133" s="8" t="s">
        <v>1222</v>
      </c>
      <c r="B1133" s="8" t="s">
        <v>42</v>
      </c>
      <c r="C1133" s="8" t="s">
        <v>116</v>
      </c>
      <c r="D1133" s="8" t="s">
        <v>40</v>
      </c>
      <c r="E1133" s="8" t="n">
        <v>10105</v>
      </c>
      <c r="F1133" s="8" t="n">
        <v>240</v>
      </c>
      <c r="G1133" s="8" t="n">
        <v>20</v>
      </c>
      <c r="H1133" s="13" t="n">
        <f aca="false">(E1133/1000)*(F1133/1000)*(G1133/1000)*7850</f>
        <v>380.7564</v>
      </c>
      <c r="I1133" s="8" t="n">
        <v>4</v>
      </c>
      <c r="J1133" s="14" t="n">
        <f aca="false">H1133*I1133</f>
        <v>1523.0256</v>
      </c>
      <c r="K1133" s="8" t="s">
        <v>1268</v>
      </c>
    </row>
    <row r="1134" customFormat="false" ht="13.8" hidden="false" customHeight="false" outlineLevel="0" collapsed="false">
      <c r="A1134" s="8" t="s">
        <v>1222</v>
      </c>
      <c r="B1134" s="8" t="s">
        <v>42</v>
      </c>
      <c r="C1134" s="8" t="s">
        <v>118</v>
      </c>
      <c r="D1134" s="8"/>
      <c r="E1134" s="8" t="n">
        <v>12897</v>
      </c>
      <c r="F1134" s="8" t="n">
        <v>240</v>
      </c>
      <c r="G1134" s="8" t="n">
        <v>20</v>
      </c>
      <c r="H1134" s="13" t="n">
        <f aca="false">(E1134/1000)*(F1134/1000)*(G1134/1000)*7850</f>
        <v>485.95896</v>
      </c>
      <c r="I1134" s="8" t="n">
        <v>2</v>
      </c>
      <c r="J1134" s="14" t="n">
        <f aca="false">H1134*I1134</f>
        <v>971.91792</v>
      </c>
      <c r="K1134" s="8" t="s">
        <v>1269</v>
      </c>
    </row>
    <row r="1135" customFormat="false" ht="13.8" hidden="false" customHeight="false" outlineLevel="0" collapsed="false">
      <c r="A1135" s="8" t="s">
        <v>1222</v>
      </c>
      <c r="B1135" s="8" t="s">
        <v>42</v>
      </c>
      <c r="C1135" s="8" t="s">
        <v>120</v>
      </c>
      <c r="D1135" s="8" t="s">
        <v>40</v>
      </c>
      <c r="E1135" s="8" t="n">
        <v>10105</v>
      </c>
      <c r="F1135" s="8" t="n">
        <v>240</v>
      </c>
      <c r="G1135" s="8" t="n">
        <v>20</v>
      </c>
      <c r="H1135" s="13" t="n">
        <f aca="false">(E1135/1000)*(F1135/1000)*(G1135/1000)*7850</f>
        <v>380.7564</v>
      </c>
      <c r="I1135" s="8" t="n">
        <v>2</v>
      </c>
      <c r="J1135" s="14" t="n">
        <f aca="false">H1135*I1135</f>
        <v>761.5128</v>
      </c>
      <c r="K1135" s="8" t="s">
        <v>1270</v>
      </c>
    </row>
    <row r="1136" customFormat="false" ht="13.8" hidden="false" customHeight="false" outlineLevel="0" collapsed="false">
      <c r="A1136" s="8" t="s">
        <v>1222</v>
      </c>
      <c r="B1136" s="8" t="s">
        <v>42</v>
      </c>
      <c r="C1136" s="8" t="s">
        <v>121</v>
      </c>
      <c r="D1136" s="8" t="s">
        <v>40</v>
      </c>
      <c r="E1136" s="8" t="n">
        <v>2792</v>
      </c>
      <c r="F1136" s="8" t="n">
        <v>320</v>
      </c>
      <c r="G1136" s="8" t="n">
        <v>32</v>
      </c>
      <c r="H1136" s="13" t="n">
        <f aca="false">(E1136/1000)*(F1136/1000)*(G1136/1000)*7850</f>
        <v>224.432128</v>
      </c>
      <c r="I1136" s="8" t="n">
        <v>2</v>
      </c>
      <c r="J1136" s="14" t="n">
        <f aca="false">H1136*I1136</f>
        <v>448.864256</v>
      </c>
      <c r="K1136" s="8" t="s">
        <v>1271</v>
      </c>
    </row>
    <row r="1137" customFormat="false" ht="13.8" hidden="false" customHeight="false" outlineLevel="0" collapsed="false">
      <c r="A1137" s="8" t="s">
        <v>1222</v>
      </c>
      <c r="B1137" s="8" t="s">
        <v>42</v>
      </c>
      <c r="C1137" s="8" t="s">
        <v>127</v>
      </c>
      <c r="D1137" s="8" t="s">
        <v>289</v>
      </c>
      <c r="E1137" s="8" t="n">
        <v>14338</v>
      </c>
      <c r="F1137" s="8" t="n">
        <v>1200</v>
      </c>
      <c r="G1137" s="8" t="n">
        <v>36</v>
      </c>
      <c r="H1137" s="13" t="n">
        <f aca="false">(E1137/1000)*(F1137/1000)*(G1137/1000)*7850</f>
        <v>4862.30256</v>
      </c>
      <c r="I1137" s="8" t="n">
        <v>2</v>
      </c>
      <c r="J1137" s="14" t="n">
        <f aca="false">H1137*I1137</f>
        <v>9724.60512</v>
      </c>
      <c r="K1137" s="8" t="s">
        <v>1272</v>
      </c>
    </row>
    <row r="1138" customFormat="false" ht="13.8" hidden="false" customHeight="false" outlineLevel="0" collapsed="false">
      <c r="A1138" s="8" t="s">
        <v>1222</v>
      </c>
      <c r="B1138" s="8" t="s">
        <v>42</v>
      </c>
      <c r="C1138" s="8" t="s">
        <v>128</v>
      </c>
      <c r="D1138" s="8" t="s">
        <v>40</v>
      </c>
      <c r="E1138" s="8" t="n">
        <v>9838</v>
      </c>
      <c r="F1138" s="8" t="n">
        <v>1360</v>
      </c>
      <c r="G1138" s="8" t="n">
        <v>36</v>
      </c>
      <c r="H1138" s="13" t="n">
        <f aca="false">(E1138/1000)*(F1138/1000)*(G1138/1000)*7850</f>
        <v>3781.097568</v>
      </c>
      <c r="I1138" s="8" t="n">
        <v>4</v>
      </c>
      <c r="J1138" s="14" t="n">
        <f aca="false">H1138*I1138</f>
        <v>15124.390272</v>
      </c>
      <c r="K1138" s="8" t="s">
        <v>1273</v>
      </c>
    </row>
    <row r="1139" customFormat="false" ht="13.8" hidden="false" customHeight="false" outlineLevel="0" collapsed="false">
      <c r="A1139" s="8" t="s">
        <v>1222</v>
      </c>
      <c r="B1139" s="8" t="s">
        <v>42</v>
      </c>
      <c r="C1139" s="8" t="s">
        <v>130</v>
      </c>
      <c r="D1139" s="8" t="s">
        <v>40</v>
      </c>
      <c r="E1139" s="8" t="n">
        <v>9838</v>
      </c>
      <c r="F1139" s="8" t="n">
        <v>320</v>
      </c>
      <c r="G1139" s="8" t="n">
        <v>32</v>
      </c>
      <c r="H1139" s="13" t="n">
        <f aca="false">(E1139/1000)*(F1139/1000)*(G1139/1000)*7850</f>
        <v>790.817792</v>
      </c>
      <c r="I1139" s="8" t="n">
        <v>4</v>
      </c>
      <c r="J1139" s="14" t="n">
        <f aca="false">H1139*I1139</f>
        <v>3163.271168</v>
      </c>
      <c r="K1139" s="8" t="s">
        <v>1274</v>
      </c>
    </row>
    <row r="1140" customFormat="false" ht="13.8" hidden="false" customHeight="false" outlineLevel="0" collapsed="false">
      <c r="A1140" s="8" t="s">
        <v>1222</v>
      </c>
      <c r="B1140" s="8" t="s">
        <v>42</v>
      </c>
      <c r="C1140" s="8" t="s">
        <v>620</v>
      </c>
      <c r="D1140" s="8" t="s">
        <v>40</v>
      </c>
      <c r="E1140" s="8" t="n">
        <v>12638</v>
      </c>
      <c r="F1140" s="8" t="n">
        <v>320</v>
      </c>
      <c r="G1140" s="8" t="n">
        <v>32</v>
      </c>
      <c r="H1140" s="13" t="n">
        <f aca="false">(E1140/1000)*(F1140/1000)*(G1140/1000)*7850</f>
        <v>1015.892992</v>
      </c>
      <c r="I1140" s="8" t="n">
        <v>2</v>
      </c>
      <c r="J1140" s="14" t="n">
        <f aca="false">H1140*I1140</f>
        <v>2031.785984</v>
      </c>
      <c r="K1140" s="8" t="s">
        <v>1275</v>
      </c>
    </row>
    <row r="1141" customFormat="false" ht="13.8" hidden="false" customHeight="false" outlineLevel="0" collapsed="false">
      <c r="A1141" s="8" t="s">
        <v>1222</v>
      </c>
      <c r="B1141" s="8" t="s">
        <v>42</v>
      </c>
      <c r="C1141" s="8" t="s">
        <v>1276</v>
      </c>
      <c r="D1141" s="8" t="s">
        <v>40</v>
      </c>
      <c r="E1141" s="8" t="n">
        <v>1200</v>
      </c>
      <c r="F1141" s="8" t="n">
        <v>1200</v>
      </c>
      <c r="G1141" s="8" t="n">
        <v>16</v>
      </c>
      <c r="H1141" s="13" t="n">
        <f aca="false">(E1141/1000)*(F1141/1000)*(G1141/1000)*7850</f>
        <v>180.864</v>
      </c>
      <c r="I1141" s="8" t="n">
        <v>8</v>
      </c>
      <c r="J1141" s="14" t="n">
        <f aca="false">H1141*I1141</f>
        <v>1446.912</v>
      </c>
      <c r="K1141" s="8" t="s">
        <v>1277</v>
      </c>
    </row>
    <row r="1142" customFormat="false" ht="13.8" hidden="false" customHeight="false" outlineLevel="0" collapsed="false">
      <c r="A1142" s="8" t="s">
        <v>1222</v>
      </c>
      <c r="B1142" s="8" t="s">
        <v>42</v>
      </c>
      <c r="C1142" s="8" t="s">
        <v>321</v>
      </c>
      <c r="D1142" s="8" t="s">
        <v>40</v>
      </c>
      <c r="E1142" s="8" t="n">
        <v>6725</v>
      </c>
      <c r="F1142" s="8" t="n">
        <v>1200</v>
      </c>
      <c r="G1142" s="8" t="n">
        <v>36</v>
      </c>
      <c r="H1142" s="13" t="n">
        <f aca="false">(E1142/1000)*(F1142/1000)*(G1142/1000)*7850</f>
        <v>2280.582</v>
      </c>
      <c r="I1142" s="8" t="n">
        <v>2</v>
      </c>
      <c r="J1142" s="14" t="n">
        <f aca="false">H1142*I1142</f>
        <v>4561.164</v>
      </c>
      <c r="K1142" s="8" t="s">
        <v>1278</v>
      </c>
    </row>
    <row r="1143" customFormat="false" ht="13.8" hidden="false" customHeight="false" outlineLevel="0" collapsed="false">
      <c r="A1143" s="8" t="s">
        <v>1222</v>
      </c>
      <c r="B1143" s="8" t="s">
        <v>42</v>
      </c>
      <c r="C1143" s="8" t="s">
        <v>323</v>
      </c>
      <c r="D1143" s="8" t="s">
        <v>40</v>
      </c>
      <c r="E1143" s="8" t="n">
        <v>6925</v>
      </c>
      <c r="F1143" s="8" t="n">
        <v>1200</v>
      </c>
      <c r="G1143" s="8" t="n">
        <v>36</v>
      </c>
      <c r="H1143" s="13" t="n">
        <f aca="false">(E1143/1000)*(F1143/1000)*(G1143/1000)*7850</f>
        <v>2348.406</v>
      </c>
      <c r="I1143" s="8" t="n">
        <v>2</v>
      </c>
      <c r="J1143" s="14" t="n">
        <f aca="false">H1143*I1143</f>
        <v>4696.812</v>
      </c>
      <c r="K1143" s="8" t="s">
        <v>1279</v>
      </c>
    </row>
    <row r="1144" customFormat="false" ht="13.8" hidden="false" customHeight="false" outlineLevel="0" collapsed="false">
      <c r="A1144" s="8" t="s">
        <v>1222</v>
      </c>
      <c r="B1144" s="8" t="s">
        <v>42</v>
      </c>
      <c r="C1144" s="8" t="s">
        <v>147</v>
      </c>
      <c r="D1144" s="8" t="s">
        <v>40</v>
      </c>
      <c r="E1144" s="8" t="n">
        <v>6225</v>
      </c>
      <c r="F1144" s="8" t="n">
        <v>320</v>
      </c>
      <c r="G1144" s="8" t="n">
        <v>32</v>
      </c>
      <c r="H1144" s="13" t="n">
        <f aca="false">(E1144/1000)*(F1144/1000)*(G1144/1000)*7850</f>
        <v>500.3904</v>
      </c>
      <c r="I1144" s="8" t="n">
        <v>2</v>
      </c>
      <c r="J1144" s="14" t="n">
        <f aca="false">H1144*I1144</f>
        <v>1000.7808</v>
      </c>
      <c r="K1144" s="8" t="s">
        <v>1280</v>
      </c>
    </row>
    <row r="1145" customFormat="false" ht="13.8" hidden="false" customHeight="false" outlineLevel="0" collapsed="false">
      <c r="A1145" s="8" t="s">
        <v>1222</v>
      </c>
      <c r="B1145" s="8" t="s">
        <v>42</v>
      </c>
      <c r="C1145" s="8" t="s">
        <v>149</v>
      </c>
      <c r="D1145" s="8" t="s">
        <v>40</v>
      </c>
      <c r="E1145" s="8" t="n">
        <v>1200</v>
      </c>
      <c r="F1145" s="8" t="n">
        <v>1200</v>
      </c>
      <c r="G1145" s="8" t="n">
        <v>16</v>
      </c>
      <c r="H1145" s="13" t="n">
        <f aca="false">(E1145/1000)*(F1145/1000)*(G1145/1000)*7850</f>
        <v>180.864</v>
      </c>
      <c r="I1145" s="8" t="n">
        <v>8</v>
      </c>
      <c r="J1145" s="14" t="n">
        <f aca="false">H1145*I1145</f>
        <v>1446.912</v>
      </c>
      <c r="K1145" s="8" t="s">
        <v>1277</v>
      </c>
    </row>
    <row r="1146" customFormat="false" ht="13.8" hidden="false" customHeight="false" outlineLevel="0" collapsed="false">
      <c r="A1146" s="8" t="s">
        <v>1222</v>
      </c>
      <c r="B1146" s="8" t="s">
        <v>1281</v>
      </c>
      <c r="C1146" s="8" t="s">
        <v>150</v>
      </c>
      <c r="D1146" s="8" t="s">
        <v>40</v>
      </c>
      <c r="E1146" s="8" t="n">
        <v>13718</v>
      </c>
      <c r="F1146" s="8" t="n">
        <v>1200</v>
      </c>
      <c r="G1146" s="8" t="n">
        <v>20</v>
      </c>
      <c r="H1146" s="13" t="n">
        <f aca="false">(E1146/1000)*(F1146/1000)*(G1146/1000)*7850</f>
        <v>2584.4712</v>
      </c>
      <c r="I1146" s="8" t="n">
        <v>2</v>
      </c>
      <c r="J1146" s="14" t="n">
        <f aca="false">H1146*I1146</f>
        <v>5168.9424</v>
      </c>
      <c r="K1146" s="8" t="s">
        <v>1282</v>
      </c>
    </row>
    <row r="1147" customFormat="false" ht="13.8" hidden="false" customHeight="false" outlineLevel="0" collapsed="false">
      <c r="A1147" s="8" t="s">
        <v>1222</v>
      </c>
      <c r="B1147" s="8" t="s">
        <v>42</v>
      </c>
      <c r="C1147" s="8" t="s">
        <v>380</v>
      </c>
      <c r="D1147" s="8" t="s">
        <v>40</v>
      </c>
      <c r="E1147" s="8" t="n">
        <v>11818</v>
      </c>
      <c r="F1147" s="8" t="n">
        <v>1200</v>
      </c>
      <c r="G1147" s="8" t="n">
        <v>20</v>
      </c>
      <c r="H1147" s="13" t="n">
        <f aca="false">(E1147/1000)*(F1147/1000)*(G1147/1000)*7850</f>
        <v>2226.5112</v>
      </c>
      <c r="I1147" s="8" t="n">
        <v>2</v>
      </c>
      <c r="J1147" s="14" t="n">
        <f aca="false">H1147*I1147</f>
        <v>4453.0224</v>
      </c>
      <c r="K1147" s="8" t="s">
        <v>1283</v>
      </c>
    </row>
    <row r="1148" customFormat="false" ht="13.8" hidden="false" customHeight="false" outlineLevel="0" collapsed="false">
      <c r="A1148" s="8" t="s">
        <v>1222</v>
      </c>
      <c r="B1148" s="8" t="s">
        <v>154</v>
      </c>
      <c r="C1148" s="8" t="s">
        <v>155</v>
      </c>
      <c r="D1148" s="8" t="s">
        <v>40</v>
      </c>
      <c r="E1148" s="8" t="n">
        <v>9133</v>
      </c>
      <c r="F1148" s="8" t="n">
        <v>1500</v>
      </c>
      <c r="G1148" s="8" t="n">
        <v>20</v>
      </c>
      <c r="H1148" s="13" t="n">
        <f aca="false">(E1148/1000)*(F1148/1000)*(G1148/1000)*7850</f>
        <v>2150.8215</v>
      </c>
      <c r="I1148" s="8" t="n">
        <v>4</v>
      </c>
      <c r="J1148" s="14" t="n">
        <f aca="false">H1148*I1148</f>
        <v>8603.286</v>
      </c>
      <c r="K1148" s="8" t="s">
        <v>1284</v>
      </c>
    </row>
    <row r="1149" customFormat="false" ht="13.8" hidden="false" customHeight="false" outlineLevel="0" collapsed="false">
      <c r="A1149" s="8" t="s">
        <v>1222</v>
      </c>
      <c r="B1149" s="8" t="s">
        <v>157</v>
      </c>
      <c r="C1149" s="8" t="s">
        <v>158</v>
      </c>
      <c r="D1149" s="8" t="s">
        <v>40</v>
      </c>
      <c r="E1149" s="8" t="n">
        <v>1400</v>
      </c>
      <c r="F1149" s="8" t="n">
        <v>1200</v>
      </c>
      <c r="G1149" s="8" t="n">
        <v>16</v>
      </c>
      <c r="H1149" s="13" t="n">
        <f aca="false">(E1149/1000)*(F1149/1000)*(G1149/1000)*7850</f>
        <v>211.008</v>
      </c>
      <c r="I1149" s="8" t="n">
        <v>6</v>
      </c>
      <c r="J1149" s="14" t="n">
        <f aca="false">H1149*I1149</f>
        <v>1266.048</v>
      </c>
      <c r="K1149" s="8" t="s">
        <v>1285</v>
      </c>
    </row>
    <row r="1150" customFormat="false" ht="13.8" hidden="false" customHeight="false" outlineLevel="0" collapsed="false">
      <c r="A1150" s="8" t="s">
        <v>1222</v>
      </c>
      <c r="B1150" s="8" t="s">
        <v>1286</v>
      </c>
      <c r="C1150" s="8" t="s">
        <v>160</v>
      </c>
      <c r="D1150" s="8" t="s">
        <v>40</v>
      </c>
      <c r="E1150" s="8" t="n">
        <v>9133</v>
      </c>
      <c r="F1150" s="8" t="n">
        <v>190</v>
      </c>
      <c r="G1150" s="8" t="n">
        <v>16</v>
      </c>
      <c r="H1150" s="13" t="n">
        <f aca="false">(E1150/1000)*(F1150/1000)*(G1150/1000)*7850</f>
        <v>217.949912</v>
      </c>
      <c r="I1150" s="8" t="n">
        <v>4</v>
      </c>
      <c r="J1150" s="14" t="n">
        <f aca="false">H1150*I1150</f>
        <v>871.799648</v>
      </c>
      <c r="K1150" s="8" t="s">
        <v>1287</v>
      </c>
    </row>
    <row r="1151" customFormat="false" ht="13.8" hidden="false" customHeight="false" outlineLevel="0" collapsed="false">
      <c r="A1151" s="8" t="s">
        <v>1222</v>
      </c>
      <c r="B1151" s="8" t="s">
        <v>42</v>
      </c>
      <c r="C1151" s="8" t="s">
        <v>226</v>
      </c>
      <c r="D1151" s="8" t="s">
        <v>40</v>
      </c>
      <c r="E1151" s="8" t="n">
        <v>12318</v>
      </c>
      <c r="F1151" s="8" t="n">
        <v>190</v>
      </c>
      <c r="G1151" s="8" t="n">
        <v>16</v>
      </c>
      <c r="H1151" s="13" t="n">
        <f aca="false">(E1151/1000)*(F1151/1000)*(G1151/1000)*7850</f>
        <v>293.956752</v>
      </c>
      <c r="I1151" s="8" t="n">
        <v>2</v>
      </c>
      <c r="J1151" s="14" t="n">
        <f aca="false">H1151*I1151</f>
        <v>587.913504</v>
      </c>
      <c r="K1151" s="8" t="s">
        <v>1288</v>
      </c>
    </row>
    <row r="1152" customFormat="false" ht="13.8" hidden="false" customHeight="false" outlineLevel="0" collapsed="false">
      <c r="A1152" s="8" t="s">
        <v>1222</v>
      </c>
      <c r="B1152" s="8" t="s">
        <v>42</v>
      </c>
      <c r="C1152" s="8" t="s">
        <v>165</v>
      </c>
      <c r="D1152" s="8" t="s">
        <v>40</v>
      </c>
      <c r="E1152" s="8" t="n">
        <v>10418</v>
      </c>
      <c r="F1152" s="8" t="n">
        <v>190</v>
      </c>
      <c r="G1152" s="8" t="n">
        <v>16</v>
      </c>
      <c r="H1152" s="13" t="n">
        <f aca="false">(E1152/1000)*(F1152/1000)*(G1152/1000)*7850</f>
        <v>248.615152</v>
      </c>
      <c r="I1152" s="8" t="n">
        <v>2</v>
      </c>
      <c r="J1152" s="14" t="n">
        <f aca="false">H1152*I1152</f>
        <v>497.230304</v>
      </c>
      <c r="K1152" s="8" t="s">
        <v>1289</v>
      </c>
    </row>
    <row r="1153" customFormat="false" ht="13.8" hidden="false" customHeight="false" outlineLevel="0" collapsed="false">
      <c r="A1153" s="8" t="s">
        <v>1290</v>
      </c>
      <c r="B1153" s="8" t="s">
        <v>38</v>
      </c>
      <c r="C1153" s="8" t="s">
        <v>179</v>
      </c>
      <c r="D1153" s="8" t="s">
        <v>40</v>
      </c>
      <c r="G1153" s="8" t="n">
        <v>20</v>
      </c>
      <c r="H1153" s="13" t="n">
        <f aca="false">M1153*(G1153/1000)*7850</f>
        <v>1860.45</v>
      </c>
      <c r="I1153" s="8" t="n">
        <v>2</v>
      </c>
      <c r="J1153" s="14" t="n">
        <f aca="false">H1153*I1153</f>
        <v>3720.9</v>
      </c>
      <c r="K1153" s="8" t="s">
        <v>1291</v>
      </c>
      <c r="M1153" s="15" t="n">
        <v>11.85</v>
      </c>
    </row>
    <row r="1154" customFormat="false" ht="13.8" hidden="false" customHeight="false" outlineLevel="0" collapsed="false">
      <c r="A1154" s="8" t="s">
        <v>1290</v>
      </c>
      <c r="B1154" s="8" t="s">
        <v>42</v>
      </c>
      <c r="C1154" s="8" t="s">
        <v>181</v>
      </c>
      <c r="D1154" s="8" t="s">
        <v>40</v>
      </c>
      <c r="G1154" s="8" t="n">
        <v>20</v>
      </c>
      <c r="H1154" s="13" t="n">
        <f aca="false">M1154*(G1154/1000)*7850</f>
        <v>2009.6</v>
      </c>
      <c r="I1154" s="8" t="n">
        <v>2</v>
      </c>
      <c r="J1154" s="14" t="n">
        <f aca="false">H1154*I1154</f>
        <v>4019.2</v>
      </c>
      <c r="K1154" s="8" t="s">
        <v>1292</v>
      </c>
      <c r="M1154" s="15" t="n">
        <v>12.8</v>
      </c>
    </row>
    <row r="1155" customFormat="false" ht="13.8" hidden="false" customHeight="false" outlineLevel="0" collapsed="false">
      <c r="A1155" s="8" t="s">
        <v>1290</v>
      </c>
      <c r="B1155" s="8" t="s">
        <v>45</v>
      </c>
      <c r="C1155" s="8" t="s">
        <v>292</v>
      </c>
      <c r="D1155" s="8" t="s">
        <v>40</v>
      </c>
      <c r="E1155" s="8" t="n">
        <v>7902</v>
      </c>
      <c r="F1155" s="8" t="n">
        <v>1200</v>
      </c>
      <c r="G1155" s="8" t="n">
        <v>20</v>
      </c>
      <c r="H1155" s="13" t="n">
        <f aca="false">(E1155/1000)*(F1155/1000)*(G1155/1000)*7850</f>
        <v>1488.7368</v>
      </c>
      <c r="I1155" s="8" t="n">
        <v>2</v>
      </c>
      <c r="J1155" s="14" t="n">
        <f aca="false">H1155*I1155</f>
        <v>2977.4736</v>
      </c>
      <c r="K1155" s="8" t="s">
        <v>1293</v>
      </c>
    </row>
    <row r="1156" customFormat="false" ht="13.8" hidden="false" customHeight="false" outlineLevel="0" collapsed="false">
      <c r="A1156" s="8" t="s">
        <v>1290</v>
      </c>
      <c r="B1156" s="8" t="s">
        <v>42</v>
      </c>
      <c r="C1156" s="8" t="s">
        <v>185</v>
      </c>
      <c r="D1156" s="8" t="s">
        <v>40</v>
      </c>
      <c r="E1156" s="8" t="n">
        <v>10150</v>
      </c>
      <c r="F1156" s="8" t="n">
        <v>1200</v>
      </c>
      <c r="G1156" s="8" t="n">
        <v>20</v>
      </c>
      <c r="H1156" s="13" t="n">
        <f aca="false">(E1156/1000)*(F1156/1000)*(G1156/1000)*7850</f>
        <v>1912.26</v>
      </c>
      <c r="I1156" s="8" t="n">
        <v>2</v>
      </c>
      <c r="J1156" s="14" t="n">
        <f aca="false">H1156*I1156</f>
        <v>3824.52</v>
      </c>
      <c r="K1156" s="8" t="s">
        <v>1294</v>
      </c>
    </row>
    <row r="1157" customFormat="false" ht="13.8" hidden="false" customHeight="false" outlineLevel="0" collapsed="false">
      <c r="A1157" s="8" t="s">
        <v>1290</v>
      </c>
      <c r="B1157" s="8" t="s">
        <v>187</v>
      </c>
      <c r="C1157" s="8" t="s">
        <v>188</v>
      </c>
      <c r="D1157" s="8" t="s">
        <v>40</v>
      </c>
      <c r="G1157" s="8" t="n">
        <v>40</v>
      </c>
      <c r="H1157" s="13" t="n">
        <f aca="false">M1157*(G1157/1000)*7850</f>
        <v>6041.36</v>
      </c>
      <c r="I1157" s="8" t="n">
        <v>4</v>
      </c>
      <c r="J1157" s="14" t="n">
        <f aca="false">H1157*I1157</f>
        <v>24165.44</v>
      </c>
      <c r="K1157" s="8" t="s">
        <v>1295</v>
      </c>
      <c r="M1157" s="15" t="n">
        <v>19.24</v>
      </c>
    </row>
    <row r="1158" customFormat="false" ht="13.8" hidden="false" customHeight="false" outlineLevel="0" collapsed="false">
      <c r="A1158" s="8" t="s">
        <v>1290</v>
      </c>
      <c r="B1158" s="8" t="s">
        <v>190</v>
      </c>
      <c r="C1158" s="8" t="s">
        <v>191</v>
      </c>
      <c r="D1158" s="8" t="s">
        <v>40</v>
      </c>
      <c r="E1158" s="8" t="n">
        <v>10350</v>
      </c>
      <c r="F1158" s="8" t="n">
        <v>1648</v>
      </c>
      <c r="G1158" s="8" t="n">
        <v>20</v>
      </c>
      <c r="H1158" s="13" t="n">
        <f aca="false">(E1158/1000)*(F1158/1000)*(G1158/1000)*7850</f>
        <v>2677.9176</v>
      </c>
      <c r="I1158" s="8" t="n">
        <v>4</v>
      </c>
      <c r="J1158" s="14" t="n">
        <f aca="false">H1158*I1158</f>
        <v>10711.6704</v>
      </c>
      <c r="K1158" s="8" t="s">
        <v>1296</v>
      </c>
    </row>
    <row r="1159" customFormat="false" ht="13.8" hidden="false" customHeight="false" outlineLevel="0" collapsed="false">
      <c r="A1159" s="8" t="s">
        <v>1290</v>
      </c>
      <c r="B1159" s="8" t="s">
        <v>195</v>
      </c>
      <c r="C1159" s="8" t="s">
        <v>58</v>
      </c>
      <c r="D1159" s="8" t="s">
        <v>40</v>
      </c>
      <c r="E1159" s="8" t="n">
        <v>1580</v>
      </c>
      <c r="F1159" s="8" t="n">
        <v>1200</v>
      </c>
      <c r="G1159" s="8" t="n">
        <v>16</v>
      </c>
      <c r="H1159" s="13" t="n">
        <f aca="false">(E1159/1000)*(F1159/1000)*(G1159/1000)*7850</f>
        <v>238.1376</v>
      </c>
      <c r="I1159" s="8" t="n">
        <v>6</v>
      </c>
      <c r="J1159" s="14" t="n">
        <f aca="false">H1159*I1159</f>
        <v>1428.8256</v>
      </c>
      <c r="K1159" s="8" t="s">
        <v>1297</v>
      </c>
    </row>
    <row r="1160" customFormat="false" ht="13.8" hidden="false" customHeight="false" outlineLevel="0" collapsed="false">
      <c r="A1160" s="8" t="s">
        <v>1290</v>
      </c>
      <c r="B1160" s="8" t="s">
        <v>42</v>
      </c>
      <c r="C1160" s="8" t="s">
        <v>298</v>
      </c>
      <c r="D1160" s="8" t="s">
        <v>40</v>
      </c>
      <c r="E1160" s="8" t="n">
        <v>1580</v>
      </c>
      <c r="F1160" s="8" t="n">
        <v>1200</v>
      </c>
      <c r="G1160" s="8" t="n">
        <v>16</v>
      </c>
      <c r="H1160" s="13" t="n">
        <f aca="false">(E1160/1000)*(F1160/1000)*(G1160/1000)*7850</f>
        <v>238.1376</v>
      </c>
      <c r="I1160" s="8" t="n">
        <v>6</v>
      </c>
      <c r="J1160" s="14" t="n">
        <f aca="false">H1160*I1160</f>
        <v>1428.8256</v>
      </c>
      <c r="K1160" s="8" t="s">
        <v>1297</v>
      </c>
    </row>
    <row r="1161" customFormat="false" ht="13.8" hidden="false" customHeight="false" outlineLevel="0" collapsed="false">
      <c r="A1161" s="8" t="s">
        <v>1290</v>
      </c>
      <c r="B1161" s="8" t="s">
        <v>42</v>
      </c>
      <c r="C1161" s="8" t="s">
        <v>196</v>
      </c>
      <c r="D1161" s="8" t="s">
        <v>40</v>
      </c>
      <c r="E1161" s="8" t="n">
        <v>2057</v>
      </c>
      <c r="F1161" s="8" t="n">
        <v>200</v>
      </c>
      <c r="G1161" s="8" t="n">
        <v>16</v>
      </c>
      <c r="H1161" s="13" t="n">
        <f aca="false">(E1161/1000)*(F1161/1000)*(G1161/1000)*7850</f>
        <v>51.67184</v>
      </c>
      <c r="I1161" s="8" t="n">
        <v>8</v>
      </c>
      <c r="J1161" s="14" t="n">
        <f aca="false">H1161*I1161</f>
        <v>413.37472</v>
      </c>
      <c r="K1161" s="8" t="s">
        <v>1298</v>
      </c>
    </row>
    <row r="1162" customFormat="false" ht="13.8" hidden="false" customHeight="false" outlineLevel="0" collapsed="false">
      <c r="A1162" s="8" t="s">
        <v>1290</v>
      </c>
      <c r="B1162" s="8" t="s">
        <v>42</v>
      </c>
      <c r="C1162" s="8" t="s">
        <v>68</v>
      </c>
      <c r="D1162" s="8" t="s">
        <v>40</v>
      </c>
      <c r="E1162" s="8" t="n">
        <v>600</v>
      </c>
      <c r="F1162" s="8" t="n">
        <v>400</v>
      </c>
      <c r="G1162" s="8" t="n">
        <v>16</v>
      </c>
      <c r="H1162" s="13" t="n">
        <f aca="false">(E1162/1000)*(F1162/1000)*(G1162/1000)*7850</f>
        <v>30.144</v>
      </c>
      <c r="I1162" s="8" t="n">
        <v>8</v>
      </c>
      <c r="J1162" s="14" t="n">
        <f aca="false">H1162*I1162</f>
        <v>241.152</v>
      </c>
      <c r="K1162" s="8" t="s">
        <v>1299</v>
      </c>
    </row>
    <row r="1163" customFormat="false" ht="13.8" hidden="false" customHeight="false" outlineLevel="0" collapsed="false">
      <c r="A1163" s="8" t="s">
        <v>1290</v>
      </c>
      <c r="B1163" s="8" t="s">
        <v>253</v>
      </c>
      <c r="C1163" s="8" t="s">
        <v>199</v>
      </c>
      <c r="D1163" s="8" t="s">
        <v>40</v>
      </c>
      <c r="E1163" s="8" t="n">
        <v>7902</v>
      </c>
      <c r="F1163" s="8" t="n">
        <v>240</v>
      </c>
      <c r="G1163" s="8" t="n">
        <v>20</v>
      </c>
      <c r="H1163" s="13" t="n">
        <f aca="false">(E1163/1000)*(F1163/1000)*(G1163/1000)*7850</f>
        <v>297.74736</v>
      </c>
      <c r="I1163" s="8" t="n">
        <v>12</v>
      </c>
      <c r="J1163" s="14" t="n">
        <f aca="false">H1163*I1163</f>
        <v>3572.96832</v>
      </c>
      <c r="K1163" s="8" t="s">
        <v>1300</v>
      </c>
    </row>
    <row r="1164" customFormat="false" ht="13.8" hidden="false" customHeight="false" outlineLevel="0" collapsed="false">
      <c r="A1164" s="8" t="s">
        <v>1290</v>
      </c>
      <c r="B1164" s="8" t="s">
        <v>42</v>
      </c>
      <c r="C1164" s="8" t="s">
        <v>76</v>
      </c>
      <c r="D1164" s="8" t="s">
        <v>40</v>
      </c>
      <c r="E1164" s="8" t="n">
        <v>10150</v>
      </c>
      <c r="F1164" s="8" t="n">
        <v>240</v>
      </c>
      <c r="G1164" s="8" t="n">
        <v>20</v>
      </c>
      <c r="H1164" s="13" t="n">
        <f aca="false">(E1164/1000)*(F1164/1000)*(G1164/1000)*7850</f>
        <v>382.452</v>
      </c>
      <c r="I1164" s="8" t="n">
        <v>12</v>
      </c>
      <c r="J1164" s="14" t="n">
        <f aca="false">H1164*I1164</f>
        <v>4589.424</v>
      </c>
      <c r="K1164" s="8" t="s">
        <v>1301</v>
      </c>
    </row>
    <row r="1165" customFormat="false" ht="13.8" hidden="false" customHeight="false" outlineLevel="0" collapsed="false">
      <c r="A1165" s="8" t="s">
        <v>1290</v>
      </c>
      <c r="B1165" s="8" t="s">
        <v>256</v>
      </c>
      <c r="C1165" s="8" t="s">
        <v>96</v>
      </c>
      <c r="D1165" s="8" t="s">
        <v>40</v>
      </c>
      <c r="E1165" s="8" t="n">
        <v>7902</v>
      </c>
      <c r="F1165" s="8" t="n">
        <v>1850</v>
      </c>
      <c r="G1165" s="8" t="n">
        <v>20</v>
      </c>
      <c r="H1165" s="13" t="n">
        <f aca="false">(E1165/1000)*(F1165/1000)*(G1165/1000)*7850</f>
        <v>2295.1359</v>
      </c>
      <c r="I1165" s="8" t="n">
        <v>2</v>
      </c>
      <c r="J1165" s="14" t="n">
        <f aca="false">H1165*I1165</f>
        <v>4590.2718</v>
      </c>
      <c r="K1165" s="8" t="s">
        <v>1302</v>
      </c>
    </row>
    <row r="1166" customFormat="false" ht="13.8" hidden="false" customHeight="false" outlineLevel="0" collapsed="false">
      <c r="A1166" s="8" t="s">
        <v>1290</v>
      </c>
      <c r="B1166" s="8" t="s">
        <v>42</v>
      </c>
      <c r="C1166" s="8" t="s">
        <v>305</v>
      </c>
      <c r="D1166" s="8" t="s">
        <v>40</v>
      </c>
      <c r="E1166" s="8" t="n">
        <v>10105</v>
      </c>
      <c r="F1166" s="8" t="n">
        <v>1850</v>
      </c>
      <c r="G1166" s="8" t="n">
        <v>20</v>
      </c>
      <c r="H1166" s="13" t="n">
        <f aca="false">(E1166/1000)*(F1166/1000)*(G1166/1000)*7850</f>
        <v>2934.99725</v>
      </c>
      <c r="I1166" s="8" t="n">
        <v>2</v>
      </c>
      <c r="J1166" s="14" t="n">
        <f aca="false">H1166*I1166</f>
        <v>5869.9945</v>
      </c>
      <c r="K1166" s="8" t="s">
        <v>1303</v>
      </c>
    </row>
    <row r="1167" customFormat="false" ht="13.8" hidden="false" customHeight="false" outlineLevel="0" collapsed="false">
      <c r="A1167" s="8" t="s">
        <v>1290</v>
      </c>
      <c r="B1167" s="8" t="s">
        <v>260</v>
      </c>
      <c r="C1167" s="8" t="s">
        <v>100</v>
      </c>
      <c r="D1167" s="8" t="s">
        <v>40</v>
      </c>
      <c r="G1167" s="8" t="n">
        <v>20</v>
      </c>
      <c r="H1167" s="13" t="n">
        <f aca="false">M1167*(G1167/1000)*7850</f>
        <v>1967.21</v>
      </c>
      <c r="I1167" s="8" t="n">
        <v>2</v>
      </c>
      <c r="J1167" s="14" t="n">
        <f aca="false">H1167*I1167</f>
        <v>3934.42</v>
      </c>
      <c r="K1167" s="8" t="s">
        <v>1304</v>
      </c>
      <c r="M1167" s="15" t="n">
        <v>12.53</v>
      </c>
    </row>
    <row r="1168" customFormat="false" ht="13.8" hidden="false" customHeight="false" outlineLevel="0" collapsed="false">
      <c r="A1168" s="8" t="s">
        <v>1290</v>
      </c>
      <c r="B1168" s="8" t="s">
        <v>42</v>
      </c>
      <c r="C1168" s="8" t="s">
        <v>206</v>
      </c>
      <c r="D1168" s="8" t="s">
        <v>40</v>
      </c>
      <c r="G1168" s="8" t="n">
        <v>20</v>
      </c>
      <c r="H1168" s="13" t="n">
        <f aca="false">M1168*(G1168/1000)*7850</f>
        <v>2165.03</v>
      </c>
      <c r="I1168" s="8" t="n">
        <v>2</v>
      </c>
      <c r="J1168" s="14" t="n">
        <f aca="false">H1168*I1168</f>
        <v>4330.06</v>
      </c>
      <c r="K1168" s="8" t="s">
        <v>1305</v>
      </c>
      <c r="M1168" s="15" t="n">
        <v>13.79</v>
      </c>
    </row>
    <row r="1169" customFormat="false" ht="13.8" hidden="false" customHeight="false" outlineLevel="0" collapsed="false">
      <c r="A1169" s="8" t="s">
        <v>1290</v>
      </c>
      <c r="B1169" s="8" t="s">
        <v>105</v>
      </c>
      <c r="C1169" s="8" t="s">
        <v>103</v>
      </c>
      <c r="D1169" s="8" t="s">
        <v>40</v>
      </c>
      <c r="G1169" s="8" t="n">
        <v>40</v>
      </c>
      <c r="H1169" s="13" t="n">
        <f aca="false">M1169*(G1169/1000)*7850</f>
        <v>6151.26</v>
      </c>
      <c r="I1169" s="8" t="n">
        <v>4</v>
      </c>
      <c r="J1169" s="14" t="n">
        <f aca="false">H1169*I1169</f>
        <v>24605.04</v>
      </c>
      <c r="K1169" s="8" t="s">
        <v>1306</v>
      </c>
      <c r="M1169" s="15" t="n">
        <v>19.59</v>
      </c>
    </row>
    <row r="1170" customFormat="false" ht="13.8" hidden="false" customHeight="false" outlineLevel="0" collapsed="false">
      <c r="A1170" s="8" t="s">
        <v>1290</v>
      </c>
      <c r="B1170" s="8" t="s">
        <v>102</v>
      </c>
      <c r="C1170" s="8" t="s">
        <v>106</v>
      </c>
      <c r="D1170" s="8" t="s">
        <v>40</v>
      </c>
      <c r="E1170" s="8" t="n">
        <v>10305</v>
      </c>
      <c r="F1170" s="8" t="n">
        <v>1470</v>
      </c>
      <c r="G1170" s="8" t="n">
        <v>24</v>
      </c>
      <c r="H1170" s="13" t="n">
        <f aca="false">(E1170/1000)*(F1170/1000)*(G1170/1000)*7850</f>
        <v>2853.94914</v>
      </c>
      <c r="I1170" s="8" t="n">
        <v>4</v>
      </c>
      <c r="J1170" s="14" t="n">
        <f aca="false">H1170*I1170</f>
        <v>11415.79656</v>
      </c>
      <c r="K1170" s="8" t="s">
        <v>1307</v>
      </c>
    </row>
    <row r="1171" customFormat="false" ht="13.8" hidden="false" customHeight="false" outlineLevel="0" collapsed="false">
      <c r="A1171" s="8" t="s">
        <v>1290</v>
      </c>
      <c r="B1171" s="8" t="s">
        <v>110</v>
      </c>
      <c r="C1171" s="8" t="s">
        <v>108</v>
      </c>
      <c r="D1171" s="8" t="s">
        <v>40</v>
      </c>
      <c r="E1171" s="8" t="n">
        <v>1450</v>
      </c>
      <c r="F1171" s="8" t="n">
        <v>1200</v>
      </c>
      <c r="G1171" s="8" t="n">
        <v>16</v>
      </c>
      <c r="H1171" s="13" t="n">
        <f aca="false">(E1171/1000)*(F1171/1000)*(G1171/1000)*7850</f>
        <v>218.544</v>
      </c>
      <c r="I1171" s="8" t="n">
        <v>6</v>
      </c>
      <c r="J1171" s="14" t="n">
        <f aca="false">H1171*I1171</f>
        <v>1311.264</v>
      </c>
      <c r="K1171" s="8" t="s">
        <v>1308</v>
      </c>
    </row>
    <row r="1172" customFormat="false" ht="13.8" hidden="false" customHeight="false" outlineLevel="0" collapsed="false">
      <c r="A1172" s="8" t="s">
        <v>1290</v>
      </c>
      <c r="B1172" s="8" t="s">
        <v>42</v>
      </c>
      <c r="C1172" s="8" t="s">
        <v>112</v>
      </c>
      <c r="D1172" s="8" t="s">
        <v>40</v>
      </c>
      <c r="E1172" s="8" t="n">
        <v>1450</v>
      </c>
      <c r="F1172" s="8" t="n">
        <v>1200</v>
      </c>
      <c r="G1172" s="8" t="n">
        <v>16</v>
      </c>
      <c r="H1172" s="13" t="n">
        <f aca="false">(E1172/1000)*(F1172/1000)*(G1172/1000)*7850</f>
        <v>218.544</v>
      </c>
      <c r="I1172" s="8" t="n">
        <v>6</v>
      </c>
      <c r="J1172" s="14" t="n">
        <f aca="false">H1172*I1172</f>
        <v>1311.264</v>
      </c>
      <c r="K1172" s="8" t="s">
        <v>1308</v>
      </c>
    </row>
    <row r="1173" customFormat="false" ht="13.8" hidden="false" customHeight="false" outlineLevel="0" collapsed="false">
      <c r="A1173" s="8" t="s">
        <v>1290</v>
      </c>
      <c r="B1173" s="8" t="s">
        <v>42</v>
      </c>
      <c r="C1173" s="8" t="s">
        <v>108</v>
      </c>
      <c r="D1173" s="8" t="s">
        <v>40</v>
      </c>
      <c r="E1173" s="8" t="n">
        <v>1657</v>
      </c>
      <c r="F1173" s="8" t="n">
        <v>200</v>
      </c>
      <c r="G1173" s="8" t="n">
        <v>16</v>
      </c>
      <c r="H1173" s="13" t="n">
        <f aca="false">(E1173/1000)*(F1173/1000)*(G1173/1000)*7850</f>
        <v>41.62384</v>
      </c>
      <c r="I1173" s="8" t="n">
        <v>8</v>
      </c>
      <c r="J1173" s="14" t="n">
        <f aca="false">H1173*I1173</f>
        <v>332.99072</v>
      </c>
      <c r="K1173" s="8" t="s">
        <v>1309</v>
      </c>
    </row>
    <row r="1174" customFormat="false" ht="13.8" hidden="false" customHeight="false" outlineLevel="0" collapsed="false">
      <c r="A1174" s="8" t="s">
        <v>1290</v>
      </c>
      <c r="B1174" s="8" t="s">
        <v>268</v>
      </c>
      <c r="C1174" s="8" t="s">
        <v>114</v>
      </c>
      <c r="D1174" s="8" t="s">
        <v>40</v>
      </c>
      <c r="E1174" s="8" t="n">
        <v>7902</v>
      </c>
      <c r="F1174" s="8" t="n">
        <v>240</v>
      </c>
      <c r="G1174" s="8" t="n">
        <v>20</v>
      </c>
      <c r="H1174" s="13" t="n">
        <f aca="false">(E1174/1000)*(F1174/1000)*(G1174/1000)*7850</f>
        <v>297.74736</v>
      </c>
      <c r="I1174" s="8" t="n">
        <v>8</v>
      </c>
      <c r="J1174" s="14" t="n">
        <f aca="false">H1174*I1174</f>
        <v>2381.97888</v>
      </c>
      <c r="K1174" s="8" t="s">
        <v>1300</v>
      </c>
    </row>
    <row r="1175" customFormat="false" ht="13.8" hidden="false" customHeight="false" outlineLevel="0" collapsed="false">
      <c r="A1175" s="8" t="s">
        <v>1290</v>
      </c>
      <c r="B1175" s="8" t="s">
        <v>42</v>
      </c>
      <c r="C1175" s="8" t="s">
        <v>116</v>
      </c>
      <c r="D1175" s="8" t="s">
        <v>40</v>
      </c>
      <c r="E1175" s="8" t="n">
        <v>10105</v>
      </c>
      <c r="F1175" s="8" t="n">
        <v>240</v>
      </c>
      <c r="G1175" s="8" t="n">
        <v>20</v>
      </c>
      <c r="H1175" s="13" t="n">
        <f aca="false">(E1175/1000)*(F1175/1000)*(G1175/1000)*7850</f>
        <v>380.7564</v>
      </c>
      <c r="I1175" s="8" t="n">
        <v>8</v>
      </c>
      <c r="J1175" s="14" t="n">
        <f aca="false">H1175*I1175</f>
        <v>3046.0512</v>
      </c>
      <c r="K1175" s="8" t="s">
        <v>1310</v>
      </c>
    </row>
    <row r="1176" customFormat="false" ht="13.8" hidden="false" customHeight="false" outlineLevel="0" collapsed="false">
      <c r="A1176" s="8" t="s">
        <v>1290</v>
      </c>
      <c r="B1176" s="8" t="s">
        <v>42</v>
      </c>
      <c r="C1176" s="8" t="s">
        <v>118</v>
      </c>
      <c r="D1176" s="8" t="s">
        <v>40</v>
      </c>
      <c r="E1176" s="8" t="n">
        <v>18007</v>
      </c>
      <c r="F1176" s="8" t="n">
        <v>170</v>
      </c>
      <c r="G1176" s="8" t="n">
        <v>14</v>
      </c>
      <c r="H1176" s="13" t="n">
        <f aca="false">(E1176/1000)*(F1176/1000)*(G1176/1000)*7850</f>
        <v>336.424781</v>
      </c>
      <c r="I1176" s="8" t="n">
        <v>2</v>
      </c>
      <c r="J1176" s="14" t="n">
        <f aca="false">H1176*I1176</f>
        <v>672.849562</v>
      </c>
      <c r="K1176" s="8" t="s">
        <v>1311</v>
      </c>
    </row>
    <row r="1177" customFormat="false" ht="13.8" hidden="false" customHeight="false" outlineLevel="0" collapsed="false">
      <c r="A1177" s="8" t="s">
        <v>1290</v>
      </c>
      <c r="B1177" s="8" t="s">
        <v>272</v>
      </c>
      <c r="C1177" s="8" t="s">
        <v>125</v>
      </c>
      <c r="D1177" s="8" t="s">
        <v>40</v>
      </c>
      <c r="E1177" s="8" t="n">
        <v>10047</v>
      </c>
      <c r="F1177" s="8" t="n">
        <v>900</v>
      </c>
      <c r="G1177" s="8" t="n">
        <v>36</v>
      </c>
      <c r="H1177" s="13" t="n">
        <f aca="false">(E1177/1000)*(F1177/1000)*(G1177/1000)*7850</f>
        <v>2555.35398</v>
      </c>
      <c r="I1177" s="8" t="n">
        <v>4</v>
      </c>
      <c r="J1177" s="14" t="n">
        <f aca="false">H1177*I1177</f>
        <v>10221.41592</v>
      </c>
      <c r="K1177" s="8" t="s">
        <v>1312</v>
      </c>
    </row>
    <row r="1178" customFormat="false" ht="13.8" hidden="false" customHeight="false" outlineLevel="0" collapsed="false">
      <c r="A1178" s="8" t="s">
        <v>1290</v>
      </c>
      <c r="B1178" s="8" t="s">
        <v>42</v>
      </c>
      <c r="C1178" s="8" t="s">
        <v>128</v>
      </c>
      <c r="D1178" s="8" t="s">
        <v>40</v>
      </c>
      <c r="E1178" s="8" t="n">
        <v>14947</v>
      </c>
      <c r="F1178" s="8" t="n">
        <v>1200</v>
      </c>
      <c r="G1178" s="8" t="n">
        <v>32</v>
      </c>
      <c r="H1178" s="13" t="n">
        <f aca="false">(E1178/1000)*(F1178/1000)*(G1178/1000)*7850</f>
        <v>4505.62368</v>
      </c>
      <c r="I1178" s="8" t="n">
        <v>2</v>
      </c>
      <c r="J1178" s="14" t="n">
        <f aca="false">H1178*I1178</f>
        <v>9011.24736</v>
      </c>
      <c r="K1178" s="8" t="s">
        <v>1313</v>
      </c>
    </row>
    <row r="1179" customFormat="false" ht="13.8" hidden="false" customHeight="false" outlineLevel="0" collapsed="false">
      <c r="A1179" s="8" t="s">
        <v>1290</v>
      </c>
      <c r="B1179" s="8" t="s">
        <v>42</v>
      </c>
      <c r="C1179" s="8" t="s">
        <v>130</v>
      </c>
      <c r="D1179" s="8" t="s">
        <v>40</v>
      </c>
      <c r="E1179" s="8" t="n">
        <v>13547</v>
      </c>
      <c r="F1179" s="8" t="n">
        <v>240</v>
      </c>
      <c r="G1179" s="8" t="n">
        <v>24</v>
      </c>
      <c r="H1179" s="13" t="n">
        <f aca="false">(E1179/1000)*(F1179/1000)*(G1179/1000)*7850</f>
        <v>612.541152</v>
      </c>
      <c r="I1179" s="8" t="n">
        <v>4</v>
      </c>
      <c r="J1179" s="14" t="n">
        <f aca="false">H1179*I1179</f>
        <v>2450.164608</v>
      </c>
      <c r="K1179" s="8" t="s">
        <v>1314</v>
      </c>
    </row>
    <row r="1180" customFormat="false" ht="13.8" hidden="false" customHeight="false" outlineLevel="0" collapsed="false">
      <c r="A1180" s="8" t="s">
        <v>1290</v>
      </c>
      <c r="B1180" s="8" t="s">
        <v>42</v>
      </c>
      <c r="C1180" s="8" t="s">
        <v>137</v>
      </c>
      <c r="D1180" s="8" t="s">
        <v>40</v>
      </c>
      <c r="E1180" s="8" t="n">
        <v>4796</v>
      </c>
      <c r="F1180" s="8" t="n">
        <v>900</v>
      </c>
      <c r="G1180" s="8" t="n">
        <v>36</v>
      </c>
      <c r="H1180" s="13" t="n">
        <f aca="false">(E1180/1000)*(F1180/1000)*(G1180/1000)*7850</f>
        <v>1219.81464</v>
      </c>
      <c r="I1180" s="8" t="n">
        <v>4</v>
      </c>
      <c r="J1180" s="14" t="n">
        <f aca="false">H1180*I1180</f>
        <v>4879.25856</v>
      </c>
      <c r="K1180" s="8" t="s">
        <v>1315</v>
      </c>
    </row>
    <row r="1181" customFormat="false" ht="13.8" hidden="false" customHeight="false" outlineLevel="0" collapsed="false">
      <c r="A1181" s="8" t="s">
        <v>1290</v>
      </c>
      <c r="B1181" s="8" t="s">
        <v>42</v>
      </c>
      <c r="C1181" s="8" t="s">
        <v>141</v>
      </c>
      <c r="D1181" s="8" t="s">
        <v>40</v>
      </c>
      <c r="E1181" s="8" t="n">
        <v>7096</v>
      </c>
      <c r="F1181" s="8" t="n">
        <v>1200</v>
      </c>
      <c r="G1181" s="8" t="n">
        <v>32</v>
      </c>
      <c r="H1181" s="13" t="n">
        <f aca="false">(E1181/1000)*(F1181/1000)*(G1181/1000)*7850</f>
        <v>2139.01824</v>
      </c>
      <c r="I1181" s="8" t="n">
        <v>2</v>
      </c>
      <c r="J1181" s="14" t="n">
        <f aca="false">H1181*I1181</f>
        <v>4278.03648</v>
      </c>
      <c r="K1181" s="8" t="s">
        <v>1316</v>
      </c>
    </row>
    <row r="1182" customFormat="false" ht="13.8" hidden="false" customHeight="false" outlineLevel="0" collapsed="false">
      <c r="A1182" s="8" t="s">
        <v>1290</v>
      </c>
      <c r="B1182" s="8" t="s">
        <v>42</v>
      </c>
      <c r="C1182" s="8" t="s">
        <v>143</v>
      </c>
      <c r="D1182" s="8" t="s">
        <v>40</v>
      </c>
      <c r="E1182" s="8" t="n">
        <v>6396</v>
      </c>
      <c r="F1182" s="8" t="n">
        <v>240</v>
      </c>
      <c r="G1182" s="8" t="n">
        <v>24</v>
      </c>
      <c r="H1182" s="13" t="n">
        <f aca="false">(E1182/1000)*(F1182/1000)*(G1182/1000)*7850</f>
        <v>289.201536</v>
      </c>
      <c r="I1182" s="8" t="n">
        <v>4</v>
      </c>
      <c r="J1182" s="14" t="n">
        <f aca="false">H1182*I1182</f>
        <v>1156.806144</v>
      </c>
      <c r="K1182" s="8" t="s">
        <v>1317</v>
      </c>
    </row>
    <row r="1183" customFormat="false" ht="13.8" hidden="false" customHeight="false" outlineLevel="0" collapsed="false">
      <c r="A1183" s="8" t="s">
        <v>1290</v>
      </c>
      <c r="B1183" s="8" t="s">
        <v>42</v>
      </c>
      <c r="C1183" s="8" t="s">
        <v>150</v>
      </c>
      <c r="D1183" s="8" t="s">
        <v>40</v>
      </c>
      <c r="E1183" s="8" t="n">
        <v>7925</v>
      </c>
      <c r="F1183" s="8" t="n">
        <v>1200</v>
      </c>
      <c r="G1183" s="8" t="n">
        <v>36</v>
      </c>
      <c r="H1183" s="13" t="n">
        <f aca="false">(E1183/1000)*(F1183/1000)*(G1183/1000)*7850</f>
        <v>2687.526</v>
      </c>
      <c r="I1183" s="8" t="n">
        <v>2</v>
      </c>
      <c r="J1183" s="14" t="n">
        <f aca="false">H1183*I1183</f>
        <v>5375.052</v>
      </c>
      <c r="K1183" s="8" t="s">
        <v>1318</v>
      </c>
    </row>
    <row r="1184" customFormat="false" ht="13.8" hidden="false" customHeight="false" outlineLevel="0" collapsed="false">
      <c r="A1184" s="8" t="s">
        <v>1290</v>
      </c>
      <c r="B1184" s="8" t="s">
        <v>42</v>
      </c>
      <c r="C1184" s="8" t="s">
        <v>380</v>
      </c>
      <c r="D1184" s="8" t="s">
        <v>40</v>
      </c>
      <c r="E1184" s="8" t="n">
        <v>7125</v>
      </c>
      <c r="F1184" s="8" t="n">
        <v>1200</v>
      </c>
      <c r="G1184" s="8" t="n">
        <v>36</v>
      </c>
      <c r="H1184" s="13" t="n">
        <f aca="false">(E1184/1000)*(F1184/1000)*(G1184/1000)*7850</f>
        <v>2416.23</v>
      </c>
      <c r="I1184" s="8" t="n">
        <v>2</v>
      </c>
      <c r="J1184" s="14" t="n">
        <f aca="false">H1184*I1184</f>
        <v>4832.46</v>
      </c>
      <c r="K1184" s="8" t="s">
        <v>1319</v>
      </c>
    </row>
    <row r="1185" customFormat="false" ht="13.8" hidden="false" customHeight="false" outlineLevel="0" collapsed="false">
      <c r="A1185" s="8" t="s">
        <v>1290</v>
      </c>
      <c r="B1185" s="8" t="s">
        <v>42</v>
      </c>
      <c r="C1185" s="8" t="s">
        <v>155</v>
      </c>
      <c r="D1185" s="8" t="s">
        <v>40</v>
      </c>
      <c r="E1185" s="8" t="n">
        <v>4925</v>
      </c>
      <c r="F1185" s="8" t="n">
        <v>1360</v>
      </c>
      <c r="G1185" s="8" t="n">
        <v>36</v>
      </c>
      <c r="H1185" s="13" t="n">
        <f aca="false">(E1185/1000)*(F1185/1000)*(G1185/1000)*7850</f>
        <v>1892.8548</v>
      </c>
      <c r="I1185" s="8" t="n">
        <v>4</v>
      </c>
      <c r="J1185" s="14" t="n">
        <f aca="false">H1185*I1185</f>
        <v>7571.4192</v>
      </c>
      <c r="K1185" s="8" t="s">
        <v>1320</v>
      </c>
    </row>
    <row r="1186" customFormat="false" ht="13.8" hidden="false" customHeight="false" outlineLevel="0" collapsed="false">
      <c r="A1186" s="8" t="s">
        <v>1290</v>
      </c>
      <c r="B1186" s="8" t="s">
        <v>171</v>
      </c>
      <c r="C1186" s="8" t="s">
        <v>160</v>
      </c>
      <c r="D1186" s="8" t="s">
        <v>40</v>
      </c>
      <c r="E1186" s="8" t="n">
        <v>4925</v>
      </c>
      <c r="F1186" s="8" t="n">
        <v>320</v>
      </c>
      <c r="G1186" s="8" t="n">
        <v>32</v>
      </c>
      <c r="H1186" s="13" t="n">
        <f aca="false">(E1186/1000)*(F1186/1000)*(G1186/1000)*7850</f>
        <v>395.8912</v>
      </c>
      <c r="I1186" s="8" t="n">
        <v>4</v>
      </c>
      <c r="J1186" s="14" t="n">
        <f aca="false">H1186*I1186</f>
        <v>1583.5648</v>
      </c>
      <c r="K1186" s="8" t="s">
        <v>1321</v>
      </c>
    </row>
    <row r="1187" customFormat="false" ht="13.8" hidden="false" customHeight="false" outlineLevel="0" collapsed="false">
      <c r="A1187" s="8" t="s">
        <v>1290</v>
      </c>
      <c r="B1187" s="8" t="s">
        <v>42</v>
      </c>
      <c r="C1187" s="8" t="s">
        <v>226</v>
      </c>
      <c r="D1187" s="8" t="s">
        <v>40</v>
      </c>
      <c r="E1187" s="8" t="n">
        <v>7225</v>
      </c>
      <c r="F1187" s="8" t="n">
        <v>320</v>
      </c>
      <c r="G1187" s="8" t="n">
        <v>32</v>
      </c>
      <c r="H1187" s="13" t="n">
        <f aca="false">(E1187/1000)*(F1187/1000)*(G1187/1000)*7850</f>
        <v>580.7744</v>
      </c>
      <c r="I1187" s="8" t="n">
        <v>2</v>
      </c>
      <c r="J1187" s="14" t="n">
        <f aca="false">H1187*I1187</f>
        <v>1161.5488</v>
      </c>
      <c r="K1187" s="8" t="s">
        <v>1322</v>
      </c>
    </row>
    <row r="1188" customFormat="false" ht="13.8" hidden="false" customHeight="false" outlineLevel="0" collapsed="false">
      <c r="A1188" s="8" t="s">
        <v>1290</v>
      </c>
      <c r="B1188" s="8" t="s">
        <v>42</v>
      </c>
      <c r="C1188" s="8" t="s">
        <v>165</v>
      </c>
      <c r="D1188" s="8" t="s">
        <v>40</v>
      </c>
      <c r="E1188" s="8" t="n">
        <v>6425</v>
      </c>
      <c r="F1188" s="8" t="n">
        <v>320</v>
      </c>
      <c r="G1188" s="8" t="n">
        <v>32</v>
      </c>
      <c r="H1188" s="13" t="n">
        <f aca="false">(E1188/1000)*(F1188/1000)*(G1188/1000)*7850</f>
        <v>516.4672</v>
      </c>
      <c r="I1188" s="8" t="n">
        <v>2</v>
      </c>
      <c r="J1188" s="14" t="n">
        <f aca="false">H1188*I1188</f>
        <v>1032.9344</v>
      </c>
      <c r="K1188" s="8" t="s">
        <v>1323</v>
      </c>
    </row>
    <row r="1189" customFormat="false" ht="13.8" hidden="false" customHeight="false" outlineLevel="0" collapsed="false">
      <c r="A1189" s="8" t="s">
        <v>1290</v>
      </c>
      <c r="B1189" s="8" t="s">
        <v>42</v>
      </c>
      <c r="C1189" s="8" t="s">
        <v>158</v>
      </c>
      <c r="D1189" s="8" t="s">
        <v>40</v>
      </c>
      <c r="E1189" s="8" t="n">
        <v>1200</v>
      </c>
      <c r="F1189" s="8" t="n">
        <v>1200</v>
      </c>
      <c r="G1189" s="8" t="n">
        <v>16</v>
      </c>
      <c r="H1189" s="13" t="n">
        <f aca="false">(E1189/1000)*(F1189/1000)*(G1189/1000)*7850</f>
        <v>180.864</v>
      </c>
      <c r="I1189" s="8" t="n">
        <v>4</v>
      </c>
      <c r="J1189" s="14" t="n">
        <f aca="false">H1189*I1189</f>
        <v>723.456</v>
      </c>
      <c r="K1189" s="8" t="s">
        <v>1324</v>
      </c>
    </row>
    <row r="1190" customFormat="false" ht="13.8" hidden="false" customHeight="false" outlineLevel="0" collapsed="false">
      <c r="A1190" s="8" t="s">
        <v>1290</v>
      </c>
      <c r="B1190" s="8" t="s">
        <v>42</v>
      </c>
      <c r="C1190" s="8" t="s">
        <v>386</v>
      </c>
      <c r="D1190" s="8" t="s">
        <v>40</v>
      </c>
      <c r="E1190" s="8" t="n">
        <v>991</v>
      </c>
      <c r="F1190" s="8" t="n">
        <v>1200</v>
      </c>
      <c r="G1190" s="8" t="n">
        <v>20</v>
      </c>
      <c r="H1190" s="13" t="n">
        <f aca="false">(E1190/1000)*(F1190/1000)*(G1190/1000)*7850</f>
        <v>186.7044</v>
      </c>
      <c r="I1190" s="8" t="n">
        <v>2</v>
      </c>
      <c r="J1190" s="14" t="n">
        <f aca="false">H1190*I1190</f>
        <v>373.4088</v>
      </c>
      <c r="K1190" s="8" t="s">
        <v>1325</v>
      </c>
    </row>
    <row r="1191" customFormat="false" ht="13.8" hidden="false" customHeight="false" outlineLevel="0" collapsed="false">
      <c r="A1191" s="8" t="s">
        <v>1290</v>
      </c>
      <c r="B1191" s="8" t="s">
        <v>42</v>
      </c>
      <c r="C1191" s="8" t="s">
        <v>388</v>
      </c>
      <c r="D1191" s="8" t="s">
        <v>40</v>
      </c>
      <c r="E1191" s="8" t="n">
        <v>2600</v>
      </c>
      <c r="F1191" s="8" t="n">
        <v>320</v>
      </c>
      <c r="G1191" s="8" t="n">
        <v>32</v>
      </c>
      <c r="H1191" s="13" t="n">
        <f aca="false">(E1191/1000)*(F1191/1000)*(G1191/1000)*7850</f>
        <v>208.9984</v>
      </c>
      <c r="I1191" s="8" t="n">
        <v>4</v>
      </c>
      <c r="J1191" s="14" t="n">
        <f aca="false">H1191*I1191</f>
        <v>835.9936</v>
      </c>
      <c r="K1191" s="8" t="s">
        <v>1326</v>
      </c>
    </row>
    <row r="1192" customFormat="false" ht="13.8" hidden="false" customHeight="false" outlineLevel="0" collapsed="false">
      <c r="A1192" s="8" t="s">
        <v>1290</v>
      </c>
      <c r="B1192" s="8" t="s">
        <v>64</v>
      </c>
      <c r="C1192" s="8" t="s">
        <v>167</v>
      </c>
      <c r="D1192" s="8" t="s">
        <v>40</v>
      </c>
      <c r="E1192" s="8" t="n">
        <v>1580</v>
      </c>
      <c r="F1192" s="8" t="n">
        <v>610</v>
      </c>
      <c r="G1192" s="8" t="n">
        <v>14</v>
      </c>
      <c r="H1192" s="13" t="n">
        <f aca="false">(E1192/1000)*(F1192/1000)*(G1192/1000)*7850</f>
        <v>105.92162</v>
      </c>
      <c r="I1192" s="8" t="n">
        <v>6</v>
      </c>
      <c r="J1192" s="14" t="n">
        <f aca="false">H1192*I1192</f>
        <v>635.52972</v>
      </c>
      <c r="K1192" s="8" t="s">
        <v>1327</v>
      </c>
    </row>
    <row r="1193" customFormat="false" ht="13.8" hidden="false" customHeight="false" outlineLevel="0" collapsed="false">
      <c r="A1193" s="8" t="s">
        <v>1290</v>
      </c>
      <c r="B1193" s="8" t="s">
        <v>42</v>
      </c>
      <c r="C1193" s="8" t="s">
        <v>334</v>
      </c>
      <c r="D1193" s="8" t="s">
        <v>40</v>
      </c>
      <c r="E1193" s="8" t="n">
        <v>1580</v>
      </c>
      <c r="F1193" s="8" t="n">
        <v>630</v>
      </c>
      <c r="G1193" s="8" t="n">
        <v>14</v>
      </c>
      <c r="H1193" s="13" t="n">
        <f aca="false">(E1193/1000)*(F1193/1000)*(G1193/1000)*7850</f>
        <v>109.39446</v>
      </c>
      <c r="I1193" s="8" t="n">
        <v>6</v>
      </c>
      <c r="J1193" s="14" t="n">
        <f aca="false">H1193*I1193</f>
        <v>656.36676</v>
      </c>
      <c r="K1193" s="8" t="s">
        <v>1328</v>
      </c>
    </row>
    <row r="1194" customFormat="false" ht="13.8" hidden="false" customHeight="false" outlineLevel="0" collapsed="false">
      <c r="A1194" s="8" t="s">
        <v>1290</v>
      </c>
      <c r="B1194" s="8" t="s">
        <v>42</v>
      </c>
      <c r="C1194" s="8" t="s">
        <v>169</v>
      </c>
      <c r="D1194" s="8" t="s">
        <v>40</v>
      </c>
      <c r="G1194" s="8" t="n">
        <v>24</v>
      </c>
      <c r="H1194" s="13" t="n">
        <f aca="false">M1194*(G1194/1000)*7850</f>
        <v>88.548</v>
      </c>
      <c r="I1194" s="8" t="n">
        <v>6</v>
      </c>
      <c r="J1194" s="14" t="n">
        <f aca="false">H1194*I1194</f>
        <v>531.288</v>
      </c>
      <c r="K1194" s="8" t="s">
        <v>1329</v>
      </c>
      <c r="M1194" s="15" t="n">
        <v>0.47</v>
      </c>
    </row>
    <row r="1195" customFormat="false" ht="13.8" hidden="false" customHeight="false" outlineLevel="0" collapsed="false">
      <c r="A1195" s="8" t="s">
        <v>1290</v>
      </c>
      <c r="B1195" s="8" t="s">
        <v>42</v>
      </c>
      <c r="C1195" s="8" t="s">
        <v>236</v>
      </c>
      <c r="D1195" s="8" t="s">
        <v>40</v>
      </c>
      <c r="G1195" s="8" t="n">
        <v>24</v>
      </c>
      <c r="H1195" s="13" t="n">
        <f aca="false">M1195*(G1195/1000)*7850</f>
        <v>90.432</v>
      </c>
      <c r="I1195" s="8" t="n">
        <v>6</v>
      </c>
      <c r="J1195" s="14" t="n">
        <f aca="false">H1195*I1195</f>
        <v>542.592</v>
      </c>
      <c r="K1195" s="8" t="s">
        <v>1330</v>
      </c>
      <c r="M1195" s="15" t="n">
        <v>0.48</v>
      </c>
    </row>
    <row r="1196" customFormat="false" ht="13.8" hidden="false" customHeight="false" outlineLevel="0" collapsed="false">
      <c r="A1196" s="8" t="s">
        <v>1290</v>
      </c>
      <c r="B1196" s="8" t="s">
        <v>42</v>
      </c>
      <c r="C1196" s="8" t="s">
        <v>172</v>
      </c>
      <c r="D1196" s="8" t="s">
        <v>40</v>
      </c>
      <c r="E1196" s="8" t="n">
        <v>1450</v>
      </c>
      <c r="F1196" s="8" t="n">
        <v>610</v>
      </c>
      <c r="G1196" s="8" t="n">
        <v>14</v>
      </c>
      <c r="H1196" s="13" t="n">
        <f aca="false">(E1196/1000)*(F1196/1000)*(G1196/1000)*7850</f>
        <v>97.20655</v>
      </c>
      <c r="I1196" s="8" t="n">
        <v>6</v>
      </c>
      <c r="J1196" s="14" t="n">
        <f aca="false">H1196*I1196</f>
        <v>583.2393</v>
      </c>
      <c r="K1196" s="8" t="s">
        <v>1331</v>
      </c>
    </row>
    <row r="1197" customFormat="false" ht="13.8" hidden="false" customHeight="false" outlineLevel="0" collapsed="false">
      <c r="A1197" s="8" t="s">
        <v>1290</v>
      </c>
      <c r="B1197" s="8" t="s">
        <v>42</v>
      </c>
      <c r="C1197" s="8" t="s">
        <v>239</v>
      </c>
      <c r="D1197" s="8" t="s">
        <v>40</v>
      </c>
      <c r="E1197" s="8" t="n">
        <v>1450</v>
      </c>
      <c r="F1197" s="8" t="n">
        <v>626</v>
      </c>
      <c r="G1197" s="8" t="n">
        <v>14</v>
      </c>
      <c r="H1197" s="13" t="n">
        <f aca="false">(E1197/1000)*(F1197/1000)*(G1197/1000)*7850</f>
        <v>99.75623</v>
      </c>
      <c r="I1197" s="8" t="n">
        <v>6</v>
      </c>
      <c r="J1197" s="14" t="n">
        <f aca="false">H1197*I1197</f>
        <v>598.53738</v>
      </c>
      <c r="K1197" s="8" t="s">
        <v>1332</v>
      </c>
    </row>
    <row r="1198" customFormat="false" ht="13.8" hidden="false" customHeight="false" outlineLevel="0" collapsed="false">
      <c r="A1198" s="8" t="s">
        <v>1333</v>
      </c>
      <c r="B1198" s="8" t="s">
        <v>38</v>
      </c>
      <c r="C1198" s="8" t="s">
        <v>179</v>
      </c>
      <c r="D1198" s="8" t="s">
        <v>40</v>
      </c>
      <c r="G1198" s="8" t="n">
        <v>20</v>
      </c>
      <c r="H1198" s="13" t="n">
        <f aca="false">M1198*(G1198/1000)*7850</f>
        <v>1860.45</v>
      </c>
      <c r="I1198" s="8" t="n">
        <v>2</v>
      </c>
      <c r="J1198" s="14" t="n">
        <f aca="false">H1198*I1198</f>
        <v>3720.9</v>
      </c>
      <c r="K1198" s="8" t="s">
        <v>1334</v>
      </c>
      <c r="M1198" s="15" t="n">
        <v>11.85</v>
      </c>
    </row>
    <row r="1199" customFormat="false" ht="13.8" hidden="false" customHeight="false" outlineLevel="0" collapsed="false">
      <c r="A1199" s="8" t="s">
        <v>1333</v>
      </c>
      <c r="B1199" s="8" t="s">
        <v>42</v>
      </c>
      <c r="C1199" s="8" t="s">
        <v>243</v>
      </c>
      <c r="D1199" s="8" t="s">
        <v>40</v>
      </c>
      <c r="G1199" s="8" t="n">
        <v>20</v>
      </c>
      <c r="H1199" s="13" t="n">
        <f aca="false">M1199*(G1199/1000)*7850</f>
        <v>1631.23</v>
      </c>
      <c r="I1199" s="8" t="n">
        <v>2</v>
      </c>
      <c r="J1199" s="14" t="n">
        <f aca="false">H1199*I1199</f>
        <v>3262.46</v>
      </c>
      <c r="K1199" s="8" t="s">
        <v>1335</v>
      </c>
      <c r="M1199" s="15" t="n">
        <v>10.39</v>
      </c>
    </row>
    <row r="1200" customFormat="false" ht="13.8" hidden="false" customHeight="false" outlineLevel="0" collapsed="false">
      <c r="A1200" s="8" t="s">
        <v>1333</v>
      </c>
      <c r="B1200" s="8" t="s">
        <v>45</v>
      </c>
      <c r="C1200" s="8" t="s">
        <v>292</v>
      </c>
      <c r="D1200" s="8" t="s">
        <v>40</v>
      </c>
      <c r="E1200" s="8" t="n">
        <v>7902</v>
      </c>
      <c r="F1200" s="8" t="n">
        <v>1200</v>
      </c>
      <c r="G1200" s="8" t="n">
        <v>20</v>
      </c>
      <c r="H1200" s="13" t="n">
        <f aca="false">(E1200/1000)*(F1200/1000)*(G1200/1000)*7850</f>
        <v>1488.7368</v>
      </c>
      <c r="I1200" s="8" t="n">
        <v>2</v>
      </c>
      <c r="J1200" s="14" t="n">
        <f aca="false">H1200*I1200</f>
        <v>2977.4736</v>
      </c>
      <c r="K1200" s="8" t="s">
        <v>1336</v>
      </c>
    </row>
    <row r="1201" customFormat="false" ht="13.8" hidden="false" customHeight="false" outlineLevel="0" collapsed="false">
      <c r="A1201" s="8" t="s">
        <v>1333</v>
      </c>
      <c r="B1201" s="8" t="s">
        <v>42</v>
      </c>
      <c r="C1201" s="8" t="s">
        <v>345</v>
      </c>
      <c r="D1201" s="8" t="s">
        <v>40</v>
      </c>
      <c r="E1201" s="8" t="n">
        <v>8600</v>
      </c>
      <c r="F1201" s="8" t="n">
        <v>1200</v>
      </c>
      <c r="G1201" s="8" t="n">
        <v>20</v>
      </c>
      <c r="H1201" s="13" t="n">
        <f aca="false">(E1201/1000)*(F1201/1000)*(G1201/1000)*7850</f>
        <v>1620.24</v>
      </c>
      <c r="I1201" s="8" t="n">
        <v>2</v>
      </c>
      <c r="J1201" s="14" t="n">
        <f aca="false">H1201*I1201</f>
        <v>3240.48</v>
      </c>
      <c r="K1201" s="8" t="s">
        <v>1337</v>
      </c>
    </row>
    <row r="1202" customFormat="false" ht="13.8" hidden="false" customHeight="false" outlineLevel="0" collapsed="false">
      <c r="A1202" s="8" t="s">
        <v>1333</v>
      </c>
      <c r="B1202" s="8" t="s">
        <v>187</v>
      </c>
      <c r="C1202" s="8" t="s">
        <v>188</v>
      </c>
      <c r="D1202" s="8" t="s">
        <v>40</v>
      </c>
      <c r="G1202" s="8" t="n">
        <v>40</v>
      </c>
      <c r="H1202" s="13" t="n">
        <f aca="false">M1202*(G1202/1000)*7850</f>
        <v>6072.76</v>
      </c>
      <c r="I1202" s="8" t="n">
        <v>4</v>
      </c>
      <c r="J1202" s="14" t="n">
        <f aca="false">H1202*I1202</f>
        <v>24291.04</v>
      </c>
      <c r="K1202" s="8" t="s">
        <v>1338</v>
      </c>
      <c r="M1202" s="15" t="n">
        <v>19.34</v>
      </c>
    </row>
    <row r="1203" customFormat="false" ht="13.8" hidden="false" customHeight="false" outlineLevel="0" collapsed="false">
      <c r="A1203" s="8" t="s">
        <v>1333</v>
      </c>
      <c r="B1203" s="8" t="s">
        <v>190</v>
      </c>
      <c r="C1203" s="8" t="s">
        <v>50</v>
      </c>
      <c r="D1203" s="8" t="s">
        <v>40</v>
      </c>
      <c r="E1203" s="8" t="n">
        <v>8800</v>
      </c>
      <c r="F1203" s="8" t="n">
        <v>1648</v>
      </c>
      <c r="G1203" s="8" t="n">
        <v>20</v>
      </c>
      <c r="H1203" s="13" t="n">
        <f aca="false">(E1203/1000)*(F1203/1000)*(G1203/1000)*7850</f>
        <v>2276.8768</v>
      </c>
      <c r="I1203" s="8" t="n">
        <v>4</v>
      </c>
      <c r="J1203" s="14" t="n">
        <f aca="false">H1203*I1203</f>
        <v>9107.5072</v>
      </c>
      <c r="K1203" s="8" t="s">
        <v>1339</v>
      </c>
    </row>
    <row r="1204" customFormat="false" ht="13.8" hidden="false" customHeight="false" outlineLevel="0" collapsed="false">
      <c r="A1204" s="8" t="s">
        <v>1333</v>
      </c>
      <c r="B1204" s="8" t="s">
        <v>195</v>
      </c>
      <c r="C1204" s="8" t="s">
        <v>58</v>
      </c>
      <c r="D1204" s="8" t="s">
        <v>40</v>
      </c>
      <c r="E1204" s="8" t="n">
        <v>1580</v>
      </c>
      <c r="F1204" s="8" t="n">
        <v>1200</v>
      </c>
      <c r="G1204" s="8" t="n">
        <v>16</v>
      </c>
      <c r="H1204" s="13" t="n">
        <f aca="false">(E1204/1000)*(F1204/1000)*(G1204/1000)*7850</f>
        <v>238.1376</v>
      </c>
      <c r="I1204" s="8" t="n">
        <v>6</v>
      </c>
      <c r="J1204" s="14" t="n">
        <f aca="false">H1204*I1204</f>
        <v>1428.8256</v>
      </c>
      <c r="K1204" s="8" t="s">
        <v>1340</v>
      </c>
    </row>
    <row r="1205" customFormat="false" ht="13.8" hidden="false" customHeight="false" outlineLevel="0" collapsed="false">
      <c r="A1205" s="8" t="s">
        <v>1333</v>
      </c>
      <c r="B1205" s="8" t="s">
        <v>42</v>
      </c>
      <c r="C1205" s="8" t="s">
        <v>298</v>
      </c>
      <c r="D1205" s="8" t="s">
        <v>40</v>
      </c>
      <c r="E1205" s="8" t="n">
        <v>1580</v>
      </c>
      <c r="F1205" s="8" t="n">
        <v>1200</v>
      </c>
      <c r="G1205" s="8" t="n">
        <v>16</v>
      </c>
      <c r="H1205" s="13" t="n">
        <f aca="false">(E1205/1000)*(F1205/1000)*(G1205/1000)*7850</f>
        <v>238.1376</v>
      </c>
      <c r="I1205" s="8" t="n">
        <v>6</v>
      </c>
      <c r="J1205" s="14" t="n">
        <f aca="false">H1205*I1205</f>
        <v>1428.8256</v>
      </c>
      <c r="K1205" s="8" t="s">
        <v>1340</v>
      </c>
    </row>
    <row r="1206" customFormat="false" ht="13.8" hidden="false" customHeight="false" outlineLevel="0" collapsed="false">
      <c r="A1206" s="8" t="s">
        <v>1333</v>
      </c>
      <c r="B1206" s="8" t="s">
        <v>42</v>
      </c>
      <c r="C1206" s="8" t="s">
        <v>299</v>
      </c>
      <c r="D1206" s="8" t="s">
        <v>40</v>
      </c>
      <c r="E1206" s="8" t="n">
        <v>2057</v>
      </c>
      <c r="F1206" s="8" t="n">
        <v>200</v>
      </c>
      <c r="G1206" s="8" t="n">
        <v>16</v>
      </c>
      <c r="H1206" s="13" t="n">
        <f aca="false">(E1206/1000)*(F1206/1000)*(G1206/1000)*7850</f>
        <v>51.67184</v>
      </c>
      <c r="I1206" s="8" t="n">
        <v>8</v>
      </c>
      <c r="J1206" s="14" t="n">
        <f aca="false">H1206*I1206</f>
        <v>413.37472</v>
      </c>
      <c r="K1206" s="8" t="s">
        <v>1341</v>
      </c>
    </row>
    <row r="1207" customFormat="false" ht="13.8" hidden="false" customHeight="false" outlineLevel="0" collapsed="false">
      <c r="A1207" s="8" t="s">
        <v>1333</v>
      </c>
      <c r="B1207" s="8" t="s">
        <v>42</v>
      </c>
      <c r="C1207" s="8" t="s">
        <v>68</v>
      </c>
      <c r="D1207" s="8" t="s">
        <v>40</v>
      </c>
      <c r="E1207" s="8" t="n">
        <v>600</v>
      </c>
      <c r="F1207" s="8" t="n">
        <v>400</v>
      </c>
      <c r="G1207" s="8" t="n">
        <v>16</v>
      </c>
      <c r="H1207" s="13" t="n">
        <f aca="false">(E1207/1000)*(F1207/1000)*(G1207/1000)*7850</f>
        <v>30.144</v>
      </c>
      <c r="I1207" s="8" t="n">
        <v>8</v>
      </c>
      <c r="J1207" s="14" t="n">
        <f aca="false">H1207*I1207</f>
        <v>241.152</v>
      </c>
      <c r="K1207" s="8" t="s">
        <v>1342</v>
      </c>
    </row>
    <row r="1208" customFormat="false" ht="13.8" hidden="false" customHeight="false" outlineLevel="0" collapsed="false">
      <c r="A1208" s="8" t="s">
        <v>1333</v>
      </c>
      <c r="B1208" s="8" t="s">
        <v>253</v>
      </c>
      <c r="C1208" s="8" t="s">
        <v>72</v>
      </c>
      <c r="D1208" s="8" t="s">
        <v>40</v>
      </c>
      <c r="E1208" s="8" t="n">
        <v>7902</v>
      </c>
      <c r="F1208" s="8" t="n">
        <v>240</v>
      </c>
      <c r="G1208" s="8" t="n">
        <v>20</v>
      </c>
      <c r="H1208" s="13" t="n">
        <f aca="false">(E1208/1000)*(F1208/1000)*(G1208/1000)*7850</f>
        <v>297.74736</v>
      </c>
      <c r="I1208" s="8" t="n">
        <v>12</v>
      </c>
      <c r="J1208" s="14" t="n">
        <f aca="false">H1208*I1208</f>
        <v>3572.96832</v>
      </c>
      <c r="K1208" s="8" t="s">
        <v>1343</v>
      </c>
    </row>
    <row r="1209" customFormat="false" ht="13.8" hidden="false" customHeight="false" outlineLevel="0" collapsed="false">
      <c r="A1209" s="8" t="s">
        <v>1333</v>
      </c>
      <c r="B1209" s="8" t="s">
        <v>42</v>
      </c>
      <c r="C1209" s="8" t="s">
        <v>76</v>
      </c>
      <c r="D1209" s="8" t="s">
        <v>40</v>
      </c>
      <c r="E1209" s="8" t="n">
        <v>8600</v>
      </c>
      <c r="F1209" s="8" t="n">
        <v>240</v>
      </c>
      <c r="G1209" s="8" t="n">
        <v>20</v>
      </c>
      <c r="H1209" s="13" t="n">
        <f aca="false">(E1209/1000)*(F1209/1000)*(G1209/1000)*7850</f>
        <v>324.048</v>
      </c>
      <c r="I1209" s="8" t="n">
        <v>12</v>
      </c>
      <c r="J1209" s="14" t="n">
        <f aca="false">H1209*I1209</f>
        <v>3888.576</v>
      </c>
      <c r="K1209" s="8" t="s">
        <v>1344</v>
      </c>
    </row>
    <row r="1210" customFormat="false" ht="13.8" hidden="false" customHeight="false" outlineLevel="0" collapsed="false">
      <c r="A1210" s="8" t="s">
        <v>1333</v>
      </c>
      <c r="B1210" s="8" t="s">
        <v>256</v>
      </c>
      <c r="C1210" s="8" t="s">
        <v>96</v>
      </c>
      <c r="D1210" s="8" t="s">
        <v>40</v>
      </c>
      <c r="E1210" s="8" t="n">
        <v>7904</v>
      </c>
      <c r="F1210" s="8" t="n">
        <v>1850</v>
      </c>
      <c r="G1210" s="8" t="n">
        <v>20</v>
      </c>
      <c r="H1210" s="13" t="n">
        <f aca="false">(E1210/1000)*(F1210/1000)*(G1210/1000)*7850</f>
        <v>2295.7168</v>
      </c>
      <c r="I1210" s="8" t="n">
        <v>2</v>
      </c>
      <c r="J1210" s="14" t="n">
        <f aca="false">H1210*I1210</f>
        <v>4591.4336</v>
      </c>
      <c r="K1210" s="8" t="s">
        <v>1345</v>
      </c>
    </row>
    <row r="1211" customFormat="false" ht="13.8" hidden="false" customHeight="false" outlineLevel="0" collapsed="false">
      <c r="A1211" s="8" t="s">
        <v>1333</v>
      </c>
      <c r="B1211" s="8" t="s">
        <v>42</v>
      </c>
      <c r="C1211" s="8" t="s">
        <v>203</v>
      </c>
      <c r="D1211" s="8" t="s">
        <v>40</v>
      </c>
      <c r="E1211" s="8" t="n">
        <v>7102</v>
      </c>
      <c r="F1211" s="8" t="n">
        <v>1850</v>
      </c>
      <c r="G1211" s="8" t="n">
        <v>20</v>
      </c>
      <c r="H1211" s="13" t="n">
        <f aca="false">(E1211/1000)*(F1211/1000)*(G1211/1000)*7850</f>
        <v>2062.7759</v>
      </c>
      <c r="I1211" s="8" t="n">
        <v>2</v>
      </c>
      <c r="J1211" s="14" t="n">
        <f aca="false">H1211*I1211</f>
        <v>4125.5518</v>
      </c>
      <c r="K1211" s="8" t="s">
        <v>1346</v>
      </c>
    </row>
    <row r="1212" customFormat="false" ht="13.8" hidden="false" customHeight="false" outlineLevel="0" collapsed="false">
      <c r="A1212" s="8" t="s">
        <v>1333</v>
      </c>
      <c r="B1212" s="8" t="s">
        <v>260</v>
      </c>
      <c r="C1212" s="8" t="s">
        <v>307</v>
      </c>
      <c r="D1212" s="8" t="s">
        <v>40</v>
      </c>
      <c r="G1212" s="8" t="n">
        <v>20</v>
      </c>
      <c r="H1212" s="13" t="n">
        <f aca="false">M1212*(G1212/1000)*7850</f>
        <v>1967.21</v>
      </c>
      <c r="I1212" s="8" t="n">
        <v>2</v>
      </c>
      <c r="J1212" s="14" t="n">
        <f aca="false">H1212*I1212</f>
        <v>3934.42</v>
      </c>
      <c r="K1212" s="8" t="s">
        <v>1347</v>
      </c>
      <c r="M1212" s="15" t="n">
        <v>12.53</v>
      </c>
    </row>
    <row r="1213" customFormat="false" ht="13.8" hidden="false" customHeight="false" outlineLevel="0" collapsed="false">
      <c r="A1213" s="8" t="s">
        <v>1333</v>
      </c>
      <c r="B1213" s="8" t="s">
        <v>42</v>
      </c>
      <c r="C1213" s="8" t="s">
        <v>206</v>
      </c>
      <c r="D1213" s="8" t="s">
        <v>40</v>
      </c>
      <c r="G1213" s="8" t="n">
        <v>20</v>
      </c>
      <c r="H1213" s="13" t="n">
        <f aca="false">M1213*(G1213/1000)*7850</f>
        <v>1524.47</v>
      </c>
      <c r="I1213" s="8" t="n">
        <v>2</v>
      </c>
      <c r="J1213" s="14" t="n">
        <f aca="false">H1213*I1213</f>
        <v>3048.94</v>
      </c>
      <c r="K1213" s="8" t="s">
        <v>1348</v>
      </c>
      <c r="M1213" s="15" t="n">
        <v>9.71</v>
      </c>
    </row>
    <row r="1214" customFormat="false" ht="13.8" hidden="false" customHeight="false" outlineLevel="0" collapsed="false">
      <c r="A1214" s="8" t="s">
        <v>1333</v>
      </c>
      <c r="B1214" s="8" t="s">
        <v>105</v>
      </c>
      <c r="C1214" s="8" t="s">
        <v>103</v>
      </c>
      <c r="D1214" s="8" t="s">
        <v>40</v>
      </c>
      <c r="G1214" s="8" t="n">
        <v>40</v>
      </c>
      <c r="H1214" s="13" t="n">
        <f aca="false">M1214*(G1214/1000)*7850</f>
        <v>5777.6</v>
      </c>
      <c r="I1214" s="8" t="n">
        <v>4</v>
      </c>
      <c r="J1214" s="14" t="n">
        <f aca="false">H1214*I1214</f>
        <v>23110.4</v>
      </c>
      <c r="K1214" s="8" t="s">
        <v>1349</v>
      </c>
      <c r="M1214" s="15" t="n">
        <v>18.4</v>
      </c>
    </row>
    <row r="1215" customFormat="false" ht="13.8" hidden="false" customHeight="false" outlineLevel="0" collapsed="false">
      <c r="A1215" s="8" t="s">
        <v>1333</v>
      </c>
      <c r="B1215" s="8" t="s">
        <v>102</v>
      </c>
      <c r="C1215" s="8" t="s">
        <v>106</v>
      </c>
      <c r="D1215" s="8" t="s">
        <v>40</v>
      </c>
      <c r="E1215" s="8" t="n">
        <v>7302</v>
      </c>
      <c r="F1215" s="8" t="n">
        <v>1470</v>
      </c>
      <c r="G1215" s="8" t="n">
        <v>24</v>
      </c>
      <c r="H1215" s="13" t="n">
        <f aca="false">(E1215/1000)*(F1215/1000)*(G1215/1000)*7850</f>
        <v>2022.274296</v>
      </c>
      <c r="I1215" s="8" t="n">
        <v>4</v>
      </c>
      <c r="J1215" s="14" t="n">
        <f aca="false">H1215*I1215</f>
        <v>8089.097184</v>
      </c>
      <c r="K1215" s="8" t="s">
        <v>1350</v>
      </c>
    </row>
    <row r="1216" customFormat="false" ht="13.8" hidden="false" customHeight="false" outlineLevel="0" collapsed="false">
      <c r="A1216" s="8" t="s">
        <v>1333</v>
      </c>
      <c r="B1216" s="8" t="s">
        <v>110</v>
      </c>
      <c r="C1216" s="8" t="s">
        <v>108</v>
      </c>
      <c r="D1216" s="8" t="s">
        <v>40</v>
      </c>
      <c r="E1216" s="8" t="n">
        <v>1450</v>
      </c>
      <c r="F1216" s="8" t="n">
        <v>1200</v>
      </c>
      <c r="G1216" s="8" t="n">
        <v>16</v>
      </c>
      <c r="H1216" s="13" t="n">
        <f aca="false">(E1216/1000)*(F1216/1000)*(G1216/1000)*7850</f>
        <v>218.544</v>
      </c>
      <c r="I1216" s="8" t="n">
        <v>6</v>
      </c>
      <c r="J1216" s="14" t="n">
        <f aca="false">H1216*I1216</f>
        <v>1311.264</v>
      </c>
      <c r="K1216" s="8" t="s">
        <v>1351</v>
      </c>
    </row>
    <row r="1217" customFormat="false" ht="13.8" hidden="false" customHeight="false" outlineLevel="0" collapsed="false">
      <c r="A1217" s="8" t="s">
        <v>1333</v>
      </c>
      <c r="B1217" s="8" t="s">
        <v>42</v>
      </c>
      <c r="C1217" s="8" t="s">
        <v>112</v>
      </c>
      <c r="D1217" s="8" t="s">
        <v>40</v>
      </c>
      <c r="E1217" s="8" t="n">
        <v>1450</v>
      </c>
      <c r="F1217" s="8" t="n">
        <v>1200</v>
      </c>
      <c r="G1217" s="8" t="n">
        <v>16</v>
      </c>
      <c r="H1217" s="13" t="n">
        <f aca="false">(E1217/1000)*(F1217/1000)*(G1217/1000)*7850</f>
        <v>218.544</v>
      </c>
      <c r="I1217" s="8" t="n">
        <v>4</v>
      </c>
      <c r="J1217" s="14" t="n">
        <f aca="false">H1217*I1217</f>
        <v>874.176</v>
      </c>
      <c r="K1217" s="8" t="s">
        <v>1351</v>
      </c>
    </row>
    <row r="1218" customFormat="false" ht="13.8" hidden="false" customHeight="false" outlineLevel="0" collapsed="false">
      <c r="A1218" s="8" t="s">
        <v>1333</v>
      </c>
      <c r="B1218" s="8" t="s">
        <v>42</v>
      </c>
      <c r="C1218" s="8" t="s">
        <v>108</v>
      </c>
      <c r="D1218" s="8" t="s">
        <v>40</v>
      </c>
      <c r="E1218" s="8" t="n">
        <v>1657</v>
      </c>
      <c r="F1218" s="8" t="n">
        <v>200</v>
      </c>
      <c r="G1218" s="8" t="n">
        <v>16</v>
      </c>
      <c r="H1218" s="13" t="n">
        <f aca="false">(E1218/1000)*(F1218/1000)*(G1218/1000)*7850</f>
        <v>41.62384</v>
      </c>
      <c r="I1218" s="8" t="n">
        <v>6</v>
      </c>
      <c r="J1218" s="14" t="n">
        <f aca="false">H1218*I1218</f>
        <v>249.74304</v>
      </c>
      <c r="K1218" s="8" t="s">
        <v>1352</v>
      </c>
    </row>
    <row r="1219" customFormat="false" ht="13.8" hidden="false" customHeight="false" outlineLevel="0" collapsed="false">
      <c r="A1219" s="8" t="s">
        <v>1333</v>
      </c>
      <c r="B1219" s="8" t="s">
        <v>314</v>
      </c>
      <c r="C1219" s="8" t="s">
        <v>666</v>
      </c>
      <c r="D1219" s="8" t="s">
        <v>40</v>
      </c>
      <c r="E1219" s="8" t="n">
        <v>7904</v>
      </c>
      <c r="F1219" s="8" t="n">
        <v>240</v>
      </c>
      <c r="G1219" s="8" t="n">
        <v>20</v>
      </c>
      <c r="H1219" s="13" t="n">
        <f aca="false">(E1219/1000)*(F1219/1000)*(G1219/1000)*7850</f>
        <v>297.82272</v>
      </c>
      <c r="I1219" s="8" t="n">
        <v>8</v>
      </c>
      <c r="J1219" s="14" t="n">
        <f aca="false">H1219*I1219</f>
        <v>2382.58176</v>
      </c>
      <c r="K1219" s="8" t="s">
        <v>1353</v>
      </c>
    </row>
    <row r="1220" customFormat="false" ht="13.8" hidden="false" customHeight="false" outlineLevel="0" collapsed="false">
      <c r="A1220" s="8" t="s">
        <v>1333</v>
      </c>
      <c r="B1220" s="8" t="s">
        <v>42</v>
      </c>
      <c r="C1220" s="8" t="s">
        <v>116</v>
      </c>
      <c r="D1220" s="8" t="s">
        <v>40</v>
      </c>
      <c r="E1220" s="8" t="n">
        <v>7102</v>
      </c>
      <c r="F1220" s="8" t="n">
        <v>240</v>
      </c>
      <c r="G1220" s="8" t="n">
        <v>20</v>
      </c>
      <c r="H1220" s="13" t="n">
        <f aca="false">(E1220/1000)*(F1220/1000)*(G1220/1000)*7850</f>
        <v>267.60336</v>
      </c>
      <c r="I1220" s="8" t="n">
        <v>8</v>
      </c>
      <c r="J1220" s="14" t="n">
        <f aca="false">H1220*I1220</f>
        <v>2140.82688</v>
      </c>
      <c r="K1220" s="8" t="s">
        <v>1354</v>
      </c>
    </row>
    <row r="1221" customFormat="false" ht="13.8" hidden="false" customHeight="false" outlineLevel="0" collapsed="false">
      <c r="A1221" s="8" t="s">
        <v>1333</v>
      </c>
      <c r="B1221" s="8" t="s">
        <v>42</v>
      </c>
      <c r="C1221" s="8" t="s">
        <v>118</v>
      </c>
      <c r="D1221" s="8" t="s">
        <v>40</v>
      </c>
      <c r="E1221" s="8" t="n">
        <v>15006</v>
      </c>
      <c r="F1221" s="8" t="n">
        <v>170</v>
      </c>
      <c r="G1221" s="8" t="n">
        <v>14</v>
      </c>
      <c r="H1221" s="13" t="n">
        <f aca="false">(E1221/1000)*(F1221/1000)*(G1221/1000)*7850</f>
        <v>280.357098</v>
      </c>
      <c r="I1221" s="8" t="n">
        <v>2</v>
      </c>
      <c r="J1221" s="14" t="n">
        <f aca="false">H1221*I1221</f>
        <v>560.714196</v>
      </c>
      <c r="K1221" s="8" t="s">
        <v>1355</v>
      </c>
    </row>
    <row r="1222" customFormat="false" ht="13.8" hidden="false" customHeight="false" outlineLevel="0" collapsed="false">
      <c r="A1222" s="8" t="s">
        <v>1333</v>
      </c>
      <c r="B1222" s="8" t="s">
        <v>272</v>
      </c>
      <c r="C1222" s="8" t="s">
        <v>125</v>
      </c>
      <c r="D1222" s="8" t="s">
        <v>40</v>
      </c>
      <c r="E1222" s="8" t="n">
        <v>9010</v>
      </c>
      <c r="F1222" s="8" t="n">
        <v>900</v>
      </c>
      <c r="G1222" s="8" t="n">
        <v>36</v>
      </c>
      <c r="H1222" s="13" t="n">
        <f aca="false">(E1222/1000)*(F1222/1000)*(G1222/1000)*7850</f>
        <v>2291.6034</v>
      </c>
      <c r="I1222" s="8" t="n">
        <v>4</v>
      </c>
      <c r="J1222" s="14" t="n">
        <f aca="false">H1222*I1222</f>
        <v>9166.4136</v>
      </c>
      <c r="K1222" s="8" t="s">
        <v>1356</v>
      </c>
    </row>
    <row r="1223" customFormat="false" ht="13.8" hidden="false" customHeight="false" outlineLevel="0" collapsed="false">
      <c r="A1223" s="8" t="s">
        <v>1333</v>
      </c>
      <c r="B1223" s="8" t="s">
        <v>42</v>
      </c>
      <c r="C1223" s="8" t="s">
        <v>128</v>
      </c>
      <c r="D1223" s="8" t="s">
        <v>40</v>
      </c>
      <c r="E1223" s="8" t="n">
        <v>14010</v>
      </c>
      <c r="F1223" s="8" t="n">
        <v>1200</v>
      </c>
      <c r="G1223" s="8" t="n">
        <v>32</v>
      </c>
      <c r="H1223" s="13" t="n">
        <f aca="false">(E1223/1000)*(F1223/1000)*(G1223/1000)*7850</f>
        <v>4223.1744</v>
      </c>
      <c r="I1223" s="8" t="n">
        <v>2</v>
      </c>
      <c r="J1223" s="14" t="n">
        <f aca="false">H1223*I1223</f>
        <v>8446.3488</v>
      </c>
      <c r="K1223" s="8" t="s">
        <v>1357</v>
      </c>
    </row>
    <row r="1224" customFormat="false" ht="13.8" hidden="false" customHeight="false" outlineLevel="0" collapsed="false">
      <c r="A1224" s="8" t="s">
        <v>1333</v>
      </c>
      <c r="B1224" s="8" t="s">
        <v>42</v>
      </c>
      <c r="C1224" s="8" t="s">
        <v>130</v>
      </c>
      <c r="D1224" s="8" t="s">
        <v>40</v>
      </c>
      <c r="E1224" s="8" t="n">
        <v>12610</v>
      </c>
      <c r="F1224" s="8" t="n">
        <v>240</v>
      </c>
      <c r="G1224" s="8" t="n">
        <v>24</v>
      </c>
      <c r="H1224" s="13" t="n">
        <f aca="false">(E1224/1000)*(F1224/1000)*(G1224/1000)*7850</f>
        <v>570.17376</v>
      </c>
      <c r="I1224" s="8" t="n">
        <v>4</v>
      </c>
      <c r="J1224" s="14" t="n">
        <f aca="false">H1224*I1224</f>
        <v>2280.69504</v>
      </c>
      <c r="K1224" s="8" t="s">
        <v>1358</v>
      </c>
    </row>
    <row r="1225" customFormat="false" ht="13.8" hidden="false" customHeight="false" outlineLevel="0" collapsed="false">
      <c r="A1225" s="8" t="s">
        <v>1333</v>
      </c>
      <c r="B1225" s="8" t="s">
        <v>42</v>
      </c>
      <c r="C1225" s="8" t="s">
        <v>137</v>
      </c>
      <c r="D1225" s="8" t="s">
        <v>40</v>
      </c>
      <c r="E1225" s="8" t="n">
        <v>4322</v>
      </c>
      <c r="F1225" s="8" t="n">
        <v>900</v>
      </c>
      <c r="G1225" s="8" t="n">
        <v>36</v>
      </c>
      <c r="H1225" s="13" t="n">
        <f aca="false">(E1225/1000)*(F1225/1000)*(G1225/1000)*7850</f>
        <v>1099.25748</v>
      </c>
      <c r="I1225" s="8" t="n">
        <v>4</v>
      </c>
      <c r="J1225" s="14" t="n">
        <f aca="false">H1225*I1225</f>
        <v>4397.02992</v>
      </c>
      <c r="K1225" s="8" t="s">
        <v>1359</v>
      </c>
    </row>
    <row r="1226" customFormat="false" ht="13.8" hidden="false" customHeight="false" outlineLevel="0" collapsed="false">
      <c r="A1226" s="8" t="s">
        <v>1333</v>
      </c>
      <c r="B1226" s="8" t="s">
        <v>42</v>
      </c>
      <c r="C1226" s="8" t="s">
        <v>141</v>
      </c>
      <c r="D1226" s="8" t="s">
        <v>40</v>
      </c>
      <c r="E1226" s="8" t="n">
        <v>6722</v>
      </c>
      <c r="F1226" s="8" t="n">
        <v>1200</v>
      </c>
      <c r="G1226" s="8" t="n">
        <v>32</v>
      </c>
      <c r="H1226" s="13" t="n">
        <f aca="false">(E1226/1000)*(F1226/1000)*(G1226/1000)*7850</f>
        <v>2026.27968</v>
      </c>
      <c r="I1226" s="8" t="n">
        <v>2</v>
      </c>
      <c r="J1226" s="14" t="n">
        <f aca="false">H1226*I1226</f>
        <v>4052.55936</v>
      </c>
      <c r="K1226" s="8" t="s">
        <v>1360</v>
      </c>
    </row>
    <row r="1227" customFormat="false" ht="13.8" hidden="false" customHeight="false" outlineLevel="0" collapsed="false">
      <c r="A1227" s="8" t="s">
        <v>1333</v>
      </c>
      <c r="B1227" s="8" t="s">
        <v>42</v>
      </c>
      <c r="C1227" s="8" t="s">
        <v>143</v>
      </c>
      <c r="D1227" s="8" t="s">
        <v>40</v>
      </c>
      <c r="E1227" s="8" t="n">
        <v>6022</v>
      </c>
      <c r="F1227" s="8" t="n">
        <v>240</v>
      </c>
      <c r="G1227" s="8" t="n">
        <v>24</v>
      </c>
      <c r="H1227" s="13" t="n">
        <f aca="false">(E1227/1000)*(F1227/1000)*(G1227/1000)*7850</f>
        <v>272.290752</v>
      </c>
      <c r="I1227" s="8" t="n">
        <v>4</v>
      </c>
      <c r="J1227" s="14" t="n">
        <f aca="false">H1227*I1227</f>
        <v>1089.163008</v>
      </c>
      <c r="K1227" s="8" t="s">
        <v>1361</v>
      </c>
    </row>
    <row r="1228" customFormat="false" ht="13.8" hidden="false" customHeight="false" outlineLevel="0" collapsed="false">
      <c r="A1228" s="8" t="s">
        <v>1333</v>
      </c>
      <c r="B1228" s="8" t="s">
        <v>42</v>
      </c>
      <c r="C1228" s="8" t="s">
        <v>150</v>
      </c>
      <c r="D1228" s="8" t="s">
        <v>40</v>
      </c>
      <c r="E1228" s="8" t="n">
        <v>4796</v>
      </c>
      <c r="F1228" s="8" t="n">
        <v>900</v>
      </c>
      <c r="G1228" s="8" t="n">
        <v>36</v>
      </c>
      <c r="H1228" s="13" t="n">
        <f aca="false">(E1228/1000)*(F1228/1000)*(G1228/1000)*7850</f>
        <v>1219.81464</v>
      </c>
      <c r="I1228" s="8" t="n">
        <v>4</v>
      </c>
      <c r="J1228" s="14" t="n">
        <f aca="false">H1228*I1228</f>
        <v>4879.25856</v>
      </c>
      <c r="K1228" s="8" t="s">
        <v>1362</v>
      </c>
    </row>
    <row r="1229" customFormat="false" ht="13.8" hidden="false" customHeight="false" outlineLevel="0" collapsed="false">
      <c r="A1229" s="8" t="s">
        <v>1333</v>
      </c>
      <c r="B1229" s="8" t="s">
        <v>42</v>
      </c>
      <c r="C1229" s="8" t="s">
        <v>155</v>
      </c>
      <c r="D1229" s="8" t="s">
        <v>40</v>
      </c>
      <c r="E1229" s="8" t="n">
        <v>7396</v>
      </c>
      <c r="F1229" s="8" t="n">
        <v>1200</v>
      </c>
      <c r="G1229" s="8" t="n">
        <v>32</v>
      </c>
      <c r="H1229" s="13" t="n">
        <f aca="false">(E1229/1000)*(F1229/1000)*(G1229/1000)*7850</f>
        <v>2229.45024</v>
      </c>
      <c r="I1229" s="8" t="n">
        <v>2</v>
      </c>
      <c r="J1229" s="14" t="n">
        <f aca="false">H1229*I1229</f>
        <v>4458.90048</v>
      </c>
      <c r="K1229" s="8" t="s">
        <v>1363</v>
      </c>
    </row>
    <row r="1230" customFormat="false" ht="13.8" hidden="false" customHeight="false" outlineLevel="0" collapsed="false">
      <c r="A1230" s="8" t="s">
        <v>1333</v>
      </c>
      <c r="B1230" s="8" t="s">
        <v>42</v>
      </c>
      <c r="C1230" s="8" t="s">
        <v>160</v>
      </c>
      <c r="D1230" s="8" t="s">
        <v>40</v>
      </c>
      <c r="E1230" s="8" t="n">
        <v>6696</v>
      </c>
      <c r="F1230" s="8" t="n">
        <v>240</v>
      </c>
      <c r="G1230" s="8" t="n">
        <v>24</v>
      </c>
      <c r="H1230" s="13" t="n">
        <f aca="false">(E1230/1000)*(F1230/1000)*(G1230/1000)*7850</f>
        <v>302.766336</v>
      </c>
      <c r="I1230" s="8" t="n">
        <v>4</v>
      </c>
      <c r="J1230" s="14" t="n">
        <f aca="false">H1230*I1230</f>
        <v>1211.065344</v>
      </c>
      <c r="K1230" s="8" t="s">
        <v>1364</v>
      </c>
    </row>
    <row r="1231" customFormat="false" ht="13.8" hidden="false" customHeight="false" outlineLevel="0" collapsed="false">
      <c r="A1231" s="8" t="s">
        <v>1333</v>
      </c>
      <c r="B1231" s="8" t="s">
        <v>42</v>
      </c>
      <c r="C1231" s="8" t="s">
        <v>158</v>
      </c>
      <c r="D1231" s="8" t="s">
        <v>40</v>
      </c>
      <c r="E1231" s="8" t="n">
        <v>1170</v>
      </c>
      <c r="F1231" s="8" t="n">
        <v>1200</v>
      </c>
      <c r="G1231" s="8" t="n">
        <v>20</v>
      </c>
      <c r="H1231" s="13" t="n">
        <f aca="false">(E1231/1000)*(F1231/1000)*(G1231/1000)*7850</f>
        <v>220.428</v>
      </c>
      <c r="I1231" s="8" t="n">
        <v>2</v>
      </c>
      <c r="J1231" s="14" t="n">
        <f aca="false">H1231*I1231</f>
        <v>440.856</v>
      </c>
      <c r="K1231" s="8" t="s">
        <v>1365</v>
      </c>
    </row>
    <row r="1232" customFormat="false" ht="13.8" hidden="false" customHeight="false" outlineLevel="0" collapsed="false">
      <c r="A1232" s="8" t="s">
        <v>1333</v>
      </c>
      <c r="B1232" s="8" t="s">
        <v>42</v>
      </c>
      <c r="C1232" s="8" t="s">
        <v>386</v>
      </c>
      <c r="D1232" s="8" t="s">
        <v>40</v>
      </c>
      <c r="E1232" s="8" t="n">
        <v>1132</v>
      </c>
      <c r="F1232" s="8" t="n">
        <v>1200</v>
      </c>
      <c r="G1232" s="8" t="n">
        <v>20</v>
      </c>
      <c r="H1232" s="13" t="n">
        <f aca="false">(E1232/1000)*(F1232/1000)*(G1232/1000)*7850</f>
        <v>213.2688</v>
      </c>
      <c r="I1232" s="8" t="n">
        <v>2</v>
      </c>
      <c r="J1232" s="14" t="n">
        <f aca="false">H1232*I1232</f>
        <v>426.5376</v>
      </c>
      <c r="K1232" s="8" t="s">
        <v>1366</v>
      </c>
    </row>
    <row r="1233" customFormat="false" ht="13.8" hidden="false" customHeight="false" outlineLevel="0" collapsed="false">
      <c r="A1233" s="8" t="s">
        <v>1333</v>
      </c>
      <c r="B1233" s="8" t="s">
        <v>64</v>
      </c>
      <c r="C1233" s="8" t="s">
        <v>167</v>
      </c>
      <c r="D1233" s="8" t="s">
        <v>40</v>
      </c>
      <c r="E1233" s="8" t="n">
        <v>1580</v>
      </c>
      <c r="F1233" s="8" t="n">
        <v>610</v>
      </c>
      <c r="G1233" s="8" t="n">
        <v>14</v>
      </c>
      <c r="H1233" s="13" t="n">
        <f aca="false">(E1233/1000)*(F1233/1000)*(G1233/1000)*7850</f>
        <v>105.92162</v>
      </c>
      <c r="I1233" s="8" t="n">
        <v>6</v>
      </c>
      <c r="J1233" s="14" t="n">
        <f aca="false">H1233*I1233</f>
        <v>635.52972</v>
      </c>
      <c r="K1233" s="8" t="s">
        <v>1367</v>
      </c>
    </row>
    <row r="1234" customFormat="false" ht="13.8" hidden="false" customHeight="false" outlineLevel="0" collapsed="false">
      <c r="A1234" s="8" t="s">
        <v>1333</v>
      </c>
      <c r="B1234" s="8" t="s">
        <v>42</v>
      </c>
      <c r="C1234" s="8" t="s">
        <v>334</v>
      </c>
      <c r="D1234" s="8" t="s">
        <v>40</v>
      </c>
      <c r="E1234" s="8" t="n">
        <v>1580</v>
      </c>
      <c r="F1234" s="8" t="n">
        <v>630</v>
      </c>
      <c r="G1234" s="8" t="n">
        <v>14</v>
      </c>
      <c r="H1234" s="13" t="n">
        <f aca="false">(E1234/1000)*(F1234/1000)*(G1234/1000)*7850</f>
        <v>109.39446</v>
      </c>
      <c r="I1234" s="8" t="n">
        <v>6</v>
      </c>
      <c r="J1234" s="14" t="n">
        <f aca="false">H1234*I1234</f>
        <v>656.36676</v>
      </c>
      <c r="K1234" s="8" t="s">
        <v>1368</v>
      </c>
    </row>
    <row r="1235" customFormat="false" ht="13.8" hidden="false" customHeight="false" outlineLevel="0" collapsed="false">
      <c r="A1235" s="8" t="s">
        <v>1333</v>
      </c>
      <c r="B1235" s="8" t="s">
        <v>42</v>
      </c>
      <c r="C1235" s="8" t="s">
        <v>169</v>
      </c>
      <c r="D1235" s="8" t="s">
        <v>40</v>
      </c>
      <c r="G1235" s="8" t="n">
        <v>24</v>
      </c>
      <c r="H1235" s="13" t="n">
        <f aca="false">M1235*(G1235/1000)*7850</f>
        <v>88.548</v>
      </c>
      <c r="I1235" s="8" t="n">
        <v>6</v>
      </c>
      <c r="J1235" s="14" t="n">
        <f aca="false">H1235*I1235</f>
        <v>531.288</v>
      </c>
      <c r="K1235" s="8" t="s">
        <v>1369</v>
      </c>
      <c r="M1235" s="15" t="n">
        <v>0.47</v>
      </c>
    </row>
    <row r="1236" customFormat="false" ht="13.8" hidden="false" customHeight="false" outlineLevel="0" collapsed="false">
      <c r="A1236" s="8" t="s">
        <v>1333</v>
      </c>
      <c r="B1236" s="8" t="s">
        <v>42</v>
      </c>
      <c r="C1236" s="8" t="s">
        <v>236</v>
      </c>
      <c r="D1236" s="8" t="s">
        <v>40</v>
      </c>
      <c r="G1236" s="8" t="n">
        <v>24</v>
      </c>
      <c r="H1236" s="13" t="n">
        <f aca="false">M1236*(G1236/1000)*7850</f>
        <v>90.432</v>
      </c>
      <c r="I1236" s="8" t="n">
        <v>6</v>
      </c>
      <c r="J1236" s="14" t="n">
        <f aca="false">H1236*I1236</f>
        <v>542.592</v>
      </c>
      <c r="K1236" s="8" t="s">
        <v>1370</v>
      </c>
      <c r="M1236" s="15" t="n">
        <v>0.48</v>
      </c>
    </row>
    <row r="1237" customFormat="false" ht="13.8" hidden="false" customHeight="false" outlineLevel="0" collapsed="false">
      <c r="A1237" s="8" t="s">
        <v>1333</v>
      </c>
      <c r="B1237" s="8" t="s">
        <v>42</v>
      </c>
      <c r="C1237" s="8" t="s">
        <v>172</v>
      </c>
      <c r="D1237" s="8" t="s">
        <v>40</v>
      </c>
      <c r="E1237" s="8" t="n">
        <v>1450</v>
      </c>
      <c r="F1237" s="8" t="n">
        <v>610</v>
      </c>
      <c r="G1237" s="8" t="n">
        <v>14</v>
      </c>
      <c r="H1237" s="13" t="n">
        <f aca="false">(E1237/1000)*(F1237/1000)*(G1237/1000)*7850</f>
        <v>97.20655</v>
      </c>
      <c r="I1237" s="8" t="n">
        <v>6</v>
      </c>
      <c r="J1237" s="14" t="n">
        <f aca="false">H1237*I1237</f>
        <v>583.2393</v>
      </c>
      <c r="K1237" s="8" t="s">
        <v>1371</v>
      </c>
    </row>
    <row r="1238" customFormat="false" ht="13.8" hidden="false" customHeight="false" outlineLevel="0" collapsed="false">
      <c r="A1238" s="8" t="s">
        <v>1333</v>
      </c>
      <c r="B1238" s="8" t="s">
        <v>42</v>
      </c>
      <c r="C1238" s="8" t="s">
        <v>687</v>
      </c>
      <c r="D1238" s="8" t="s">
        <v>40</v>
      </c>
      <c r="E1238" s="8" t="n">
        <v>1450</v>
      </c>
      <c r="F1238" s="8" t="n">
        <v>626</v>
      </c>
      <c r="G1238" s="8" t="n">
        <v>14</v>
      </c>
      <c r="H1238" s="13" t="n">
        <f aca="false">(E1238/1000)*(F1238/1000)*(G1238/1000)*7850</f>
        <v>99.75623</v>
      </c>
      <c r="I1238" s="8" t="n">
        <v>4</v>
      </c>
      <c r="J1238" s="14" t="n">
        <f aca="false">H1238*I1238</f>
        <v>399.02492</v>
      </c>
      <c r="K1238" s="8" t="s">
        <v>1372</v>
      </c>
    </row>
    <row r="1239" customFormat="false" ht="13.8" hidden="false" customHeight="false" outlineLevel="0" collapsed="false">
      <c r="A1239" s="8" t="s">
        <v>1373</v>
      </c>
      <c r="B1239" s="8" t="s">
        <v>38</v>
      </c>
      <c r="C1239" s="8" t="s">
        <v>179</v>
      </c>
      <c r="D1239" s="8" t="s">
        <v>40</v>
      </c>
      <c r="G1239" s="8" t="n">
        <v>20</v>
      </c>
      <c r="H1239" s="13" t="n">
        <f aca="false">M1239*(G1239/1000)*7850</f>
        <v>1860.45</v>
      </c>
      <c r="I1239" s="8" t="n">
        <v>2</v>
      </c>
      <c r="J1239" s="14" t="n">
        <f aca="false">H1239*I1239</f>
        <v>3720.9</v>
      </c>
      <c r="K1239" s="8" t="s">
        <v>1374</v>
      </c>
      <c r="M1239" s="15" t="n">
        <v>11.85</v>
      </c>
    </row>
    <row r="1240" customFormat="false" ht="13.8" hidden="false" customHeight="false" outlineLevel="0" collapsed="false">
      <c r="A1240" s="8" t="s">
        <v>1373</v>
      </c>
      <c r="B1240" s="8" t="s">
        <v>42</v>
      </c>
      <c r="C1240" s="8" t="s">
        <v>181</v>
      </c>
      <c r="D1240" s="8" t="s">
        <v>40</v>
      </c>
      <c r="G1240" s="8" t="n">
        <v>20</v>
      </c>
      <c r="H1240" s="13" t="n">
        <f aca="false">M1240*(G1240/1000)*7850</f>
        <v>1631.23</v>
      </c>
      <c r="I1240" s="8" t="n">
        <v>2</v>
      </c>
      <c r="J1240" s="14" t="n">
        <f aca="false">H1240*I1240</f>
        <v>3262.46</v>
      </c>
      <c r="K1240" s="8" t="s">
        <v>1375</v>
      </c>
      <c r="M1240" s="15" t="n">
        <v>10.39</v>
      </c>
    </row>
    <row r="1241" customFormat="false" ht="13.8" hidden="false" customHeight="false" outlineLevel="0" collapsed="false">
      <c r="A1241" s="8" t="s">
        <v>1373</v>
      </c>
      <c r="B1241" s="8" t="s">
        <v>45</v>
      </c>
      <c r="C1241" s="8" t="s">
        <v>292</v>
      </c>
      <c r="D1241" s="8" t="s">
        <v>40</v>
      </c>
      <c r="E1241" s="8" t="n">
        <v>7901</v>
      </c>
      <c r="F1241" s="8" t="n">
        <v>1200</v>
      </c>
      <c r="G1241" s="8" t="n">
        <v>20</v>
      </c>
      <c r="H1241" s="13" t="n">
        <f aca="false">(E1241/1000)*(F1241/1000)*(G1241/1000)*7850</f>
        <v>1488.5484</v>
      </c>
      <c r="I1241" s="8" t="n">
        <v>2</v>
      </c>
      <c r="J1241" s="14" t="n">
        <f aca="false">H1241*I1241</f>
        <v>2977.0968</v>
      </c>
      <c r="K1241" s="8" t="s">
        <v>1376</v>
      </c>
    </row>
    <row r="1242" customFormat="false" ht="13.8" hidden="false" customHeight="false" outlineLevel="0" collapsed="false">
      <c r="A1242" s="8" t="s">
        <v>1373</v>
      </c>
      <c r="B1242" s="8" t="s">
        <v>42</v>
      </c>
      <c r="C1242" s="8" t="s">
        <v>185</v>
      </c>
      <c r="D1242" s="8" t="s">
        <v>40</v>
      </c>
      <c r="E1242" s="8" t="n">
        <v>7101</v>
      </c>
      <c r="F1242" s="8" t="n">
        <v>1200</v>
      </c>
      <c r="G1242" s="8" t="n">
        <v>20</v>
      </c>
      <c r="H1242" s="13" t="n">
        <f aca="false">(E1242/1000)*(F1242/1000)*(G1242/1000)*7850</f>
        <v>1337.8284</v>
      </c>
      <c r="I1242" s="8" t="n">
        <v>2</v>
      </c>
      <c r="J1242" s="14" t="n">
        <f aca="false">H1242*I1242</f>
        <v>2675.6568</v>
      </c>
      <c r="K1242" s="8" t="s">
        <v>1377</v>
      </c>
    </row>
    <row r="1243" customFormat="false" ht="13.8" hidden="false" customHeight="false" outlineLevel="0" collapsed="false">
      <c r="A1243" s="8" t="s">
        <v>1373</v>
      </c>
      <c r="B1243" s="8" t="s">
        <v>187</v>
      </c>
      <c r="C1243" s="8" t="s">
        <v>188</v>
      </c>
      <c r="D1243" s="8" t="s">
        <v>40</v>
      </c>
      <c r="G1243" s="8" t="n">
        <v>40</v>
      </c>
      <c r="H1243" s="13" t="n">
        <f aca="false">M1243*(G1243/1000)*7850</f>
        <v>6411.88</v>
      </c>
      <c r="I1243" s="8" t="n">
        <v>4</v>
      </c>
      <c r="J1243" s="14" t="n">
        <f aca="false">H1243*I1243</f>
        <v>25647.52</v>
      </c>
      <c r="K1243" s="8" t="s">
        <v>1378</v>
      </c>
      <c r="M1243" s="15" t="n">
        <v>20.42</v>
      </c>
    </row>
    <row r="1244" customFormat="false" ht="13.8" hidden="false" customHeight="false" outlineLevel="0" collapsed="false">
      <c r="A1244" s="8" t="s">
        <v>1373</v>
      </c>
      <c r="B1244" s="8" t="s">
        <v>190</v>
      </c>
      <c r="C1244" s="8" t="s">
        <v>50</v>
      </c>
      <c r="D1244" s="8" t="s">
        <v>40</v>
      </c>
      <c r="E1244" s="8" t="n">
        <v>7301</v>
      </c>
      <c r="F1244" s="8" t="n">
        <v>1648</v>
      </c>
      <c r="G1244" s="8" t="n">
        <v>20</v>
      </c>
      <c r="H1244" s="13" t="n">
        <f aca="false">(E1244/1000)*(F1244/1000)*(G1244/1000)*7850</f>
        <v>1889.031536</v>
      </c>
      <c r="I1244" s="8" t="n">
        <v>4</v>
      </c>
      <c r="J1244" s="14" t="n">
        <f aca="false">H1244*I1244</f>
        <v>7556.126144</v>
      </c>
      <c r="K1244" s="8" t="s">
        <v>1379</v>
      </c>
    </row>
    <row r="1245" customFormat="false" ht="13.8" hidden="false" customHeight="false" outlineLevel="0" collapsed="false">
      <c r="A1245" s="8" t="s">
        <v>1373</v>
      </c>
      <c r="B1245" s="8" t="s">
        <v>195</v>
      </c>
      <c r="C1245" s="8" t="s">
        <v>58</v>
      </c>
      <c r="D1245" s="8" t="s">
        <v>40</v>
      </c>
      <c r="E1245" s="8" t="n">
        <v>1580</v>
      </c>
      <c r="F1245" s="8" t="n">
        <v>1200</v>
      </c>
      <c r="G1245" s="8" t="n">
        <v>16</v>
      </c>
      <c r="H1245" s="13" t="n">
        <f aca="false">(E1245/1000)*(F1245/1000)*(G1245/1000)*7850</f>
        <v>238.1376</v>
      </c>
      <c r="I1245" s="8" t="n">
        <v>6</v>
      </c>
      <c r="J1245" s="14" t="n">
        <f aca="false">H1245*I1245</f>
        <v>1428.8256</v>
      </c>
      <c r="K1245" s="8" t="s">
        <v>1380</v>
      </c>
    </row>
    <row r="1246" customFormat="false" ht="13.8" hidden="false" customHeight="false" outlineLevel="0" collapsed="false">
      <c r="A1246" s="8" t="s">
        <v>1373</v>
      </c>
      <c r="B1246" s="8" t="s">
        <v>42</v>
      </c>
      <c r="C1246" s="8" t="s">
        <v>298</v>
      </c>
      <c r="D1246" s="8" t="s">
        <v>40</v>
      </c>
      <c r="E1246" s="8" t="n">
        <v>1568</v>
      </c>
      <c r="F1246" s="8" t="n">
        <v>1200</v>
      </c>
      <c r="G1246" s="8" t="n">
        <v>16</v>
      </c>
      <c r="H1246" s="13" t="n">
        <f aca="false">(E1246/1000)*(F1246/1000)*(G1246/1000)*7850</f>
        <v>236.32896</v>
      </c>
      <c r="I1246" s="8" t="n">
        <v>4</v>
      </c>
      <c r="J1246" s="14" t="n">
        <f aca="false">H1246*I1246</f>
        <v>945.31584</v>
      </c>
      <c r="K1246" s="8" t="s">
        <v>1381</v>
      </c>
    </row>
    <row r="1247" customFormat="false" ht="13.8" hidden="false" customHeight="false" outlineLevel="0" collapsed="false">
      <c r="A1247" s="8" t="s">
        <v>1373</v>
      </c>
      <c r="B1247" s="8" t="s">
        <v>42</v>
      </c>
      <c r="C1247" s="8" t="s">
        <v>196</v>
      </c>
      <c r="D1247" s="8" t="s">
        <v>40</v>
      </c>
      <c r="E1247" s="8" t="n">
        <v>2057</v>
      </c>
      <c r="F1247" s="8" t="n">
        <v>200</v>
      </c>
      <c r="G1247" s="8" t="n">
        <v>16</v>
      </c>
      <c r="H1247" s="13" t="n">
        <f aca="false">(E1247/1000)*(F1247/1000)*(G1247/1000)*7850</f>
        <v>51.67184</v>
      </c>
      <c r="I1247" s="8" t="n">
        <v>6</v>
      </c>
      <c r="J1247" s="14" t="n">
        <f aca="false">H1247*I1247</f>
        <v>310.03104</v>
      </c>
      <c r="K1247" s="8" t="s">
        <v>1382</v>
      </c>
    </row>
    <row r="1248" customFormat="false" ht="13.8" hidden="false" customHeight="false" outlineLevel="0" collapsed="false">
      <c r="A1248" s="8" t="s">
        <v>1373</v>
      </c>
      <c r="B1248" s="8" t="s">
        <v>42</v>
      </c>
      <c r="C1248" s="8" t="s">
        <v>68</v>
      </c>
      <c r="D1248" s="8" t="s">
        <v>40</v>
      </c>
      <c r="E1248" s="8" t="n">
        <v>600</v>
      </c>
      <c r="F1248" s="8" t="n">
        <v>400</v>
      </c>
      <c r="G1248" s="8" t="n">
        <v>16</v>
      </c>
      <c r="H1248" s="13" t="n">
        <f aca="false">(E1248/1000)*(F1248/1000)*(G1248/1000)*7850</f>
        <v>30.144</v>
      </c>
      <c r="I1248" s="8" t="n">
        <v>8</v>
      </c>
      <c r="J1248" s="14" t="n">
        <f aca="false">H1248*I1248</f>
        <v>241.152</v>
      </c>
      <c r="K1248" s="8" t="s">
        <v>1383</v>
      </c>
    </row>
    <row r="1249" customFormat="false" ht="13.8" hidden="false" customHeight="false" outlineLevel="0" collapsed="false">
      <c r="A1249" s="8" t="s">
        <v>1373</v>
      </c>
      <c r="B1249" s="8" t="s">
        <v>253</v>
      </c>
      <c r="C1249" s="8" t="s">
        <v>199</v>
      </c>
      <c r="D1249" s="8" t="s">
        <v>40</v>
      </c>
      <c r="E1249" s="8" t="n">
        <v>7901</v>
      </c>
      <c r="F1249" s="8" t="n">
        <v>240</v>
      </c>
      <c r="G1249" s="8" t="n">
        <v>20</v>
      </c>
      <c r="H1249" s="13" t="n">
        <f aca="false">(E1249/1000)*(F1249/1000)*(G1249/1000)*7850</f>
        <v>297.70968</v>
      </c>
      <c r="I1249" s="8" t="n">
        <v>12</v>
      </c>
      <c r="J1249" s="14" t="n">
        <f aca="false">H1249*I1249</f>
        <v>3572.51616</v>
      </c>
      <c r="K1249" s="8" t="s">
        <v>1384</v>
      </c>
    </row>
    <row r="1250" customFormat="false" ht="13.8" hidden="false" customHeight="false" outlineLevel="0" collapsed="false">
      <c r="A1250" s="8" t="s">
        <v>1373</v>
      </c>
      <c r="B1250" s="8" t="s">
        <v>42</v>
      </c>
      <c r="C1250" s="8" t="s">
        <v>76</v>
      </c>
      <c r="D1250" s="8" t="s">
        <v>40</v>
      </c>
      <c r="E1250" s="8" t="n">
        <v>7101</v>
      </c>
      <c r="F1250" s="8" t="n">
        <v>240</v>
      </c>
      <c r="G1250" s="8" t="n">
        <v>20</v>
      </c>
      <c r="H1250" s="13" t="n">
        <f aca="false">(E1250/1000)*(F1250/1000)*(G1250/1000)*7850</f>
        <v>267.56568</v>
      </c>
      <c r="I1250" s="8" t="n">
        <v>12</v>
      </c>
      <c r="J1250" s="14" t="n">
        <f aca="false">H1250*I1250</f>
        <v>3210.78816</v>
      </c>
      <c r="K1250" s="8" t="s">
        <v>1385</v>
      </c>
    </row>
    <row r="1251" customFormat="false" ht="13.8" hidden="false" customHeight="false" outlineLevel="0" collapsed="false">
      <c r="A1251" s="8" t="s">
        <v>1373</v>
      </c>
      <c r="B1251" s="8" t="s">
        <v>256</v>
      </c>
      <c r="C1251" s="8" t="s">
        <v>96</v>
      </c>
      <c r="D1251" s="8" t="s">
        <v>40</v>
      </c>
      <c r="E1251" s="8" t="n">
        <v>7903</v>
      </c>
      <c r="F1251" s="8" t="n">
        <v>1850</v>
      </c>
      <c r="G1251" s="8" t="n">
        <v>20</v>
      </c>
      <c r="H1251" s="13" t="n">
        <f aca="false">(E1251/1000)*(F1251/1000)*(G1251/1000)*7850</f>
        <v>2295.42635</v>
      </c>
      <c r="I1251" s="8" t="n">
        <v>2</v>
      </c>
      <c r="J1251" s="14" t="n">
        <f aca="false">H1251*I1251</f>
        <v>4590.8527</v>
      </c>
      <c r="K1251" s="8" t="s">
        <v>1386</v>
      </c>
    </row>
    <row r="1252" customFormat="false" ht="13.8" hidden="false" customHeight="false" outlineLevel="0" collapsed="false">
      <c r="A1252" s="8" t="s">
        <v>1373</v>
      </c>
      <c r="B1252" s="8" t="s">
        <v>42</v>
      </c>
      <c r="C1252" s="8" t="s">
        <v>203</v>
      </c>
      <c r="D1252" s="8" t="s">
        <v>40</v>
      </c>
      <c r="E1252" s="8" t="n">
        <v>7102</v>
      </c>
      <c r="F1252" s="8" t="n">
        <v>1850</v>
      </c>
      <c r="G1252" s="8" t="n">
        <v>20</v>
      </c>
      <c r="H1252" s="13" t="n">
        <f aca="false">(E1252/1000)*(F1252/1000)*(G1252/1000)*7850</f>
        <v>2062.7759</v>
      </c>
      <c r="I1252" s="8" t="n">
        <v>2</v>
      </c>
      <c r="J1252" s="14" t="n">
        <f aca="false">H1252*I1252</f>
        <v>4125.5518</v>
      </c>
      <c r="K1252" s="8" t="s">
        <v>1387</v>
      </c>
    </row>
    <row r="1253" customFormat="false" ht="13.8" hidden="false" customHeight="false" outlineLevel="0" collapsed="false">
      <c r="A1253" s="8" t="s">
        <v>1373</v>
      </c>
      <c r="B1253" s="8" t="s">
        <v>260</v>
      </c>
      <c r="C1253" s="8" t="s">
        <v>307</v>
      </c>
      <c r="D1253" s="8" t="s">
        <v>40</v>
      </c>
      <c r="G1253" s="8" t="n">
        <v>20</v>
      </c>
      <c r="H1253" s="13" t="n">
        <f aca="false">M1253*(G1253/1000)*7850</f>
        <v>1967.21</v>
      </c>
      <c r="I1253" s="8" t="n">
        <v>2</v>
      </c>
      <c r="J1253" s="14" t="n">
        <f aca="false">H1253*I1253</f>
        <v>3934.42</v>
      </c>
      <c r="K1253" s="8" t="s">
        <v>1388</v>
      </c>
      <c r="M1253" s="15" t="n">
        <v>12.53</v>
      </c>
    </row>
    <row r="1254" customFormat="false" ht="13.8" hidden="false" customHeight="false" outlineLevel="0" collapsed="false">
      <c r="A1254" s="8" t="s">
        <v>1373</v>
      </c>
      <c r="B1254" s="8" t="s">
        <v>42</v>
      </c>
      <c r="C1254" s="8" t="s">
        <v>206</v>
      </c>
      <c r="D1254" s="8" t="s">
        <v>40</v>
      </c>
      <c r="G1254" s="8" t="n">
        <v>20</v>
      </c>
      <c r="H1254" s="13" t="n">
        <f aca="false">M1254*(G1254/1000)*7850</f>
        <v>1524.47</v>
      </c>
      <c r="I1254" s="8" t="n">
        <v>2</v>
      </c>
      <c r="J1254" s="14" t="n">
        <f aca="false">H1254*I1254</f>
        <v>3048.94</v>
      </c>
      <c r="K1254" s="8" t="s">
        <v>1389</v>
      </c>
      <c r="M1254" s="15" t="n">
        <v>9.71</v>
      </c>
    </row>
    <row r="1255" customFormat="false" ht="13.8" hidden="false" customHeight="false" outlineLevel="0" collapsed="false">
      <c r="A1255" s="8" t="s">
        <v>1373</v>
      </c>
      <c r="B1255" s="8" t="s">
        <v>105</v>
      </c>
      <c r="C1255" s="8" t="s">
        <v>103</v>
      </c>
      <c r="D1255" s="8" t="s">
        <v>40</v>
      </c>
      <c r="G1255" s="8" t="n">
        <v>40</v>
      </c>
      <c r="H1255" s="13" t="n">
        <f aca="false">M1255*(G1255/1000)*7850</f>
        <v>5783.88</v>
      </c>
      <c r="I1255" s="8" t="n">
        <v>4</v>
      </c>
      <c r="J1255" s="14" t="n">
        <f aca="false">H1255*I1255</f>
        <v>23135.52</v>
      </c>
      <c r="K1255" s="8" t="s">
        <v>1390</v>
      </c>
      <c r="M1255" s="15" t="n">
        <v>18.42</v>
      </c>
    </row>
    <row r="1256" customFormat="false" ht="13.8" hidden="false" customHeight="false" outlineLevel="0" collapsed="false">
      <c r="A1256" s="8" t="s">
        <v>1373</v>
      </c>
      <c r="B1256" s="8" t="s">
        <v>102</v>
      </c>
      <c r="C1256" s="8" t="s">
        <v>106</v>
      </c>
      <c r="D1256" s="8" t="s">
        <v>40</v>
      </c>
      <c r="E1256" s="8" t="n">
        <v>7302</v>
      </c>
      <c r="F1256" s="8" t="n">
        <v>1470</v>
      </c>
      <c r="G1256" s="8" t="n">
        <v>24</v>
      </c>
      <c r="H1256" s="13" t="n">
        <f aca="false">(E1256/1000)*(F1256/1000)*(G1256/1000)*7850</f>
        <v>2022.274296</v>
      </c>
      <c r="I1256" s="8" t="n">
        <v>4</v>
      </c>
      <c r="J1256" s="14" t="n">
        <f aca="false">H1256*I1256</f>
        <v>8089.097184</v>
      </c>
      <c r="K1256" s="8" t="s">
        <v>1391</v>
      </c>
    </row>
    <row r="1257" customFormat="false" ht="13.8" hidden="false" customHeight="false" outlineLevel="0" collapsed="false">
      <c r="A1257" s="8" t="s">
        <v>1373</v>
      </c>
      <c r="B1257" s="8" t="s">
        <v>110</v>
      </c>
      <c r="C1257" s="8" t="s">
        <v>108</v>
      </c>
      <c r="D1257" s="8" t="s">
        <v>40</v>
      </c>
      <c r="E1257" s="8" t="n">
        <v>1450</v>
      </c>
      <c r="F1257" s="8" t="n">
        <v>1200</v>
      </c>
      <c r="G1257" s="8" t="n">
        <v>16</v>
      </c>
      <c r="H1257" s="13" t="n">
        <f aca="false">(E1257/1000)*(F1257/1000)*(G1257/1000)*7850</f>
        <v>218.544</v>
      </c>
      <c r="I1257" s="8" t="n">
        <v>6</v>
      </c>
      <c r="J1257" s="14" t="n">
        <f aca="false">H1257*I1257</f>
        <v>1311.264</v>
      </c>
      <c r="K1257" s="8" t="s">
        <v>1392</v>
      </c>
    </row>
    <row r="1258" customFormat="false" ht="13.8" hidden="false" customHeight="false" outlineLevel="0" collapsed="false">
      <c r="A1258" s="8" t="s">
        <v>1373</v>
      </c>
      <c r="B1258" s="8" t="s">
        <v>42</v>
      </c>
      <c r="C1258" s="8" t="s">
        <v>267</v>
      </c>
      <c r="D1258" s="8" t="s">
        <v>40</v>
      </c>
      <c r="E1258" s="8" t="n">
        <v>1450</v>
      </c>
      <c r="F1258" s="8" t="n">
        <v>1200</v>
      </c>
      <c r="G1258" s="8" t="n">
        <v>16</v>
      </c>
      <c r="H1258" s="13" t="n">
        <f aca="false">(E1258/1000)*(F1258/1000)*(G1258/1000)*7850</f>
        <v>218.544</v>
      </c>
      <c r="I1258" s="8" t="n">
        <v>4</v>
      </c>
      <c r="J1258" s="14" t="n">
        <f aca="false">H1258*I1258</f>
        <v>874.176</v>
      </c>
      <c r="K1258" s="8" t="s">
        <v>1392</v>
      </c>
    </row>
    <row r="1259" customFormat="false" ht="13.8" hidden="false" customHeight="false" outlineLevel="0" collapsed="false">
      <c r="A1259" s="8" t="s">
        <v>1373</v>
      </c>
      <c r="B1259" s="8" t="s">
        <v>42</v>
      </c>
      <c r="C1259" s="8" t="s">
        <v>211</v>
      </c>
      <c r="D1259" s="8" t="s">
        <v>40</v>
      </c>
      <c r="E1259" s="8" t="n">
        <v>1657</v>
      </c>
      <c r="F1259" s="8" t="n">
        <v>200</v>
      </c>
      <c r="G1259" s="8" t="n">
        <v>16</v>
      </c>
      <c r="H1259" s="13" t="n">
        <f aca="false">(E1259/1000)*(F1259/1000)*(G1259/1000)*7850</f>
        <v>41.62384</v>
      </c>
      <c r="I1259" s="8" t="n">
        <v>6</v>
      </c>
      <c r="J1259" s="14" t="n">
        <f aca="false">H1259*I1259</f>
        <v>249.74304</v>
      </c>
      <c r="K1259" s="8" t="s">
        <v>1393</v>
      </c>
    </row>
    <row r="1260" customFormat="false" ht="13.8" hidden="false" customHeight="false" outlineLevel="0" collapsed="false">
      <c r="A1260" s="8" t="s">
        <v>1373</v>
      </c>
      <c r="B1260" s="8" t="s">
        <v>268</v>
      </c>
      <c r="C1260" s="8" t="s">
        <v>114</v>
      </c>
      <c r="D1260" s="8" t="s">
        <v>40</v>
      </c>
      <c r="E1260" s="8" t="n">
        <v>7903</v>
      </c>
      <c r="F1260" s="8" t="n">
        <v>240</v>
      </c>
      <c r="G1260" s="8" t="n">
        <v>20</v>
      </c>
      <c r="H1260" s="13" t="n">
        <f aca="false">(E1260/1000)*(F1260/1000)*(G1260/1000)*7850</f>
        <v>297.78504</v>
      </c>
      <c r="I1260" s="8" t="n">
        <v>8</v>
      </c>
      <c r="J1260" s="14" t="n">
        <f aca="false">H1260*I1260</f>
        <v>2382.28032</v>
      </c>
      <c r="K1260" s="8" t="s">
        <v>1394</v>
      </c>
    </row>
    <row r="1261" customFormat="false" ht="13.8" hidden="false" customHeight="false" outlineLevel="0" collapsed="false">
      <c r="A1261" s="8" t="s">
        <v>1373</v>
      </c>
      <c r="B1261" s="8" t="s">
        <v>42</v>
      </c>
      <c r="C1261" s="8" t="s">
        <v>116</v>
      </c>
      <c r="D1261" s="8" t="s">
        <v>40</v>
      </c>
      <c r="E1261" s="8" t="n">
        <v>7102</v>
      </c>
      <c r="F1261" s="8" t="n">
        <v>240</v>
      </c>
      <c r="G1261" s="8" t="n">
        <v>20</v>
      </c>
      <c r="H1261" s="13" t="n">
        <f aca="false">(E1261/1000)*(F1261/1000)*(G1261/1000)*7850</f>
        <v>267.60336</v>
      </c>
      <c r="I1261" s="8" t="n">
        <v>8</v>
      </c>
      <c r="J1261" s="14" t="n">
        <f aca="false">H1261*I1261</f>
        <v>2140.82688</v>
      </c>
      <c r="K1261" s="8" t="s">
        <v>1395</v>
      </c>
    </row>
    <row r="1262" customFormat="false" ht="13.8" hidden="false" customHeight="false" outlineLevel="0" collapsed="false">
      <c r="A1262" s="8" t="s">
        <v>1373</v>
      </c>
      <c r="B1262" s="8" t="s">
        <v>42</v>
      </c>
      <c r="C1262" s="8" t="s">
        <v>118</v>
      </c>
      <c r="D1262" s="8" t="s">
        <v>40</v>
      </c>
      <c r="E1262" s="8" t="n">
        <v>15005</v>
      </c>
      <c r="F1262" s="8" t="n">
        <v>170</v>
      </c>
      <c r="G1262" s="8" t="n">
        <v>14</v>
      </c>
      <c r="H1262" s="13" t="n">
        <f aca="false">(E1262/1000)*(F1262/1000)*(G1262/1000)*7850</f>
        <v>280.338415</v>
      </c>
      <c r="I1262" s="8" t="n">
        <v>2</v>
      </c>
      <c r="J1262" s="14" t="n">
        <f aca="false">H1262*I1262</f>
        <v>560.67683</v>
      </c>
      <c r="K1262" s="8" t="s">
        <v>1396</v>
      </c>
    </row>
    <row r="1263" customFormat="false" ht="13.8" hidden="false" customHeight="false" outlineLevel="0" collapsed="false">
      <c r="A1263" s="8" t="s">
        <v>1373</v>
      </c>
      <c r="B1263" s="8" t="s">
        <v>272</v>
      </c>
      <c r="C1263" s="8" t="s">
        <v>125</v>
      </c>
      <c r="D1263" s="8" t="s">
        <v>40</v>
      </c>
      <c r="E1263" s="8" t="n">
        <v>8788</v>
      </c>
      <c r="F1263" s="8" t="n">
        <v>900</v>
      </c>
      <c r="G1263" s="8" t="n">
        <v>36</v>
      </c>
      <c r="H1263" s="13" t="n">
        <f aca="false">(E1263/1000)*(F1263/1000)*(G1263/1000)*7850</f>
        <v>2235.13992</v>
      </c>
      <c r="I1263" s="8" t="n">
        <v>4</v>
      </c>
      <c r="J1263" s="14" t="n">
        <f aca="false">H1263*I1263</f>
        <v>8940.55968</v>
      </c>
      <c r="K1263" s="8" t="s">
        <v>1397</v>
      </c>
    </row>
    <row r="1264" customFormat="false" ht="13.8" hidden="false" customHeight="false" outlineLevel="0" collapsed="false">
      <c r="A1264" s="8" t="s">
        <v>1373</v>
      </c>
      <c r="B1264" s="8" t="s">
        <v>42</v>
      </c>
      <c r="C1264" s="8" t="s">
        <v>128</v>
      </c>
      <c r="D1264" s="8" t="s">
        <v>40</v>
      </c>
      <c r="E1264" s="8" t="n">
        <v>13688</v>
      </c>
      <c r="F1264" s="8" t="n">
        <v>1200</v>
      </c>
      <c r="G1264" s="8" t="n">
        <v>32</v>
      </c>
      <c r="H1264" s="13" t="n">
        <f aca="false">(E1264/1000)*(F1264/1000)*(G1264/1000)*7850</f>
        <v>4126.11072</v>
      </c>
      <c r="I1264" s="8" t="n">
        <v>2</v>
      </c>
      <c r="J1264" s="14" t="n">
        <f aca="false">H1264*I1264</f>
        <v>8252.22144</v>
      </c>
      <c r="K1264" s="8" t="s">
        <v>1398</v>
      </c>
    </row>
    <row r="1265" customFormat="false" ht="13.8" hidden="false" customHeight="false" outlineLevel="0" collapsed="false">
      <c r="A1265" s="8" t="s">
        <v>1373</v>
      </c>
      <c r="B1265" s="8" t="s">
        <v>42</v>
      </c>
      <c r="C1265" s="8" t="s">
        <v>130</v>
      </c>
      <c r="D1265" s="8" t="s">
        <v>40</v>
      </c>
      <c r="E1265" s="8" t="n">
        <v>12288</v>
      </c>
      <c r="F1265" s="8" t="n">
        <v>240</v>
      </c>
      <c r="G1265" s="8" t="n">
        <v>24</v>
      </c>
      <c r="H1265" s="13" t="n">
        <f aca="false">(E1265/1000)*(F1265/1000)*(G1265/1000)*7850</f>
        <v>555.614208</v>
      </c>
      <c r="I1265" s="8" t="n">
        <v>4</v>
      </c>
      <c r="J1265" s="14" t="n">
        <f aca="false">H1265*I1265</f>
        <v>2222.456832</v>
      </c>
      <c r="K1265" s="8" t="s">
        <v>1399</v>
      </c>
    </row>
    <row r="1266" customFormat="false" ht="13.8" hidden="false" customHeight="false" outlineLevel="0" collapsed="false">
      <c r="A1266" s="8" t="s">
        <v>1373</v>
      </c>
      <c r="B1266" s="8" t="s">
        <v>42</v>
      </c>
      <c r="C1266" s="8" t="s">
        <v>137</v>
      </c>
      <c r="D1266" s="8" t="s">
        <v>40</v>
      </c>
      <c r="E1266" s="8" t="n">
        <v>6225</v>
      </c>
      <c r="F1266" s="8" t="n">
        <v>1200</v>
      </c>
      <c r="G1266" s="8" t="n">
        <v>36</v>
      </c>
      <c r="H1266" s="13" t="n">
        <f aca="false">(E1266/1000)*(F1266/1000)*(G1266/1000)*7850</f>
        <v>2111.022</v>
      </c>
      <c r="I1266" s="8" t="n">
        <v>2</v>
      </c>
      <c r="J1266" s="14" t="n">
        <f aca="false">H1266*I1266</f>
        <v>4222.044</v>
      </c>
      <c r="K1266" s="8" t="s">
        <v>1400</v>
      </c>
    </row>
    <row r="1267" customFormat="false" ht="13.8" hidden="false" customHeight="false" outlineLevel="0" collapsed="false">
      <c r="A1267" s="8" t="s">
        <v>1373</v>
      </c>
      <c r="B1267" s="8" t="s">
        <v>42</v>
      </c>
      <c r="C1267" s="8" t="s">
        <v>139</v>
      </c>
      <c r="D1267" s="8" t="s">
        <v>40</v>
      </c>
      <c r="E1267" s="8" t="n">
        <v>6225</v>
      </c>
      <c r="F1267" s="8" t="n">
        <v>1200</v>
      </c>
      <c r="G1267" s="8" t="n">
        <v>36</v>
      </c>
      <c r="H1267" s="13" t="n">
        <f aca="false">(E1267/1000)*(F1267/1000)*(G1267/1000)*7850</f>
        <v>2111.022</v>
      </c>
      <c r="I1267" s="8" t="n">
        <v>2</v>
      </c>
      <c r="J1267" s="14" t="n">
        <f aca="false">H1267*I1267</f>
        <v>4222.044</v>
      </c>
      <c r="K1267" s="8" t="s">
        <v>1400</v>
      </c>
    </row>
    <row r="1268" customFormat="false" ht="13.8" hidden="false" customHeight="false" outlineLevel="0" collapsed="false">
      <c r="A1268" s="8" t="s">
        <v>1373</v>
      </c>
      <c r="B1268" s="8" t="s">
        <v>42</v>
      </c>
      <c r="C1268" s="8" t="s">
        <v>141</v>
      </c>
      <c r="D1268" s="8" t="s">
        <v>40</v>
      </c>
      <c r="E1268" s="8" t="n">
        <v>4225</v>
      </c>
      <c r="F1268" s="8" t="n">
        <v>1360</v>
      </c>
      <c r="G1268" s="8" t="n">
        <v>36</v>
      </c>
      <c r="H1268" s="13" t="n">
        <f aca="false">(E1268/1000)*(F1268/1000)*(G1268/1000)*7850</f>
        <v>1623.8196</v>
      </c>
      <c r="I1268" s="8" t="n">
        <v>4</v>
      </c>
      <c r="J1268" s="14" t="n">
        <f aca="false">H1268*I1268</f>
        <v>6495.2784</v>
      </c>
      <c r="K1268" s="8" t="s">
        <v>1401</v>
      </c>
    </row>
    <row r="1269" customFormat="false" ht="13.8" hidden="false" customHeight="false" outlineLevel="0" collapsed="false">
      <c r="A1269" s="8" t="s">
        <v>1373</v>
      </c>
      <c r="B1269" s="8" t="s">
        <v>42</v>
      </c>
      <c r="C1269" s="8" t="s">
        <v>143</v>
      </c>
      <c r="D1269" s="8" t="s">
        <v>40</v>
      </c>
      <c r="E1269" s="8" t="n">
        <v>4225</v>
      </c>
      <c r="F1269" s="8" t="n">
        <v>320</v>
      </c>
      <c r="G1269" s="8" t="n">
        <v>32</v>
      </c>
      <c r="H1269" s="13" t="n">
        <f aca="false">(E1269/1000)*(F1269/1000)*(G1269/1000)*7850</f>
        <v>339.6224</v>
      </c>
      <c r="I1269" s="8" t="n">
        <v>4</v>
      </c>
      <c r="J1269" s="14" t="n">
        <f aca="false">H1269*I1269</f>
        <v>1358.4896</v>
      </c>
      <c r="K1269" s="8" t="s">
        <v>1402</v>
      </c>
    </row>
    <row r="1270" customFormat="false" ht="13.8" hidden="false" customHeight="false" outlineLevel="0" collapsed="false">
      <c r="A1270" s="8" t="s">
        <v>1373</v>
      </c>
      <c r="B1270" s="8" t="s">
        <v>42</v>
      </c>
      <c r="C1270" s="8" t="s">
        <v>145</v>
      </c>
      <c r="D1270" s="8" t="s">
        <v>40</v>
      </c>
      <c r="E1270" s="8" t="n">
        <v>5525</v>
      </c>
      <c r="F1270" s="8" t="n">
        <v>320</v>
      </c>
      <c r="G1270" s="8" t="n">
        <v>32</v>
      </c>
      <c r="H1270" s="13" t="n">
        <f aca="false">(E1270/1000)*(F1270/1000)*(G1270/1000)*7850</f>
        <v>444.1216</v>
      </c>
      <c r="I1270" s="8" t="n">
        <v>2</v>
      </c>
      <c r="J1270" s="14" t="n">
        <f aca="false">H1270*I1270</f>
        <v>888.2432</v>
      </c>
      <c r="K1270" s="8" t="s">
        <v>1403</v>
      </c>
    </row>
    <row r="1271" customFormat="false" ht="13.8" hidden="false" customHeight="false" outlineLevel="0" collapsed="false">
      <c r="A1271" s="8" t="s">
        <v>1373</v>
      </c>
      <c r="B1271" s="8" t="s">
        <v>42</v>
      </c>
      <c r="C1271" s="8" t="s">
        <v>147</v>
      </c>
      <c r="D1271" s="8" t="s">
        <v>40</v>
      </c>
      <c r="E1271" s="8" t="n">
        <v>5525</v>
      </c>
      <c r="F1271" s="8" t="n">
        <v>320</v>
      </c>
      <c r="G1271" s="8" t="n">
        <v>32</v>
      </c>
      <c r="H1271" s="13" t="n">
        <f aca="false">(E1271/1000)*(F1271/1000)*(G1271/1000)*7850</f>
        <v>444.1216</v>
      </c>
      <c r="I1271" s="8" t="n">
        <v>2</v>
      </c>
      <c r="J1271" s="14" t="n">
        <f aca="false">H1271*I1271</f>
        <v>888.2432</v>
      </c>
      <c r="K1271" s="8" t="s">
        <v>1403</v>
      </c>
    </row>
    <row r="1272" customFormat="false" ht="13.8" hidden="false" customHeight="false" outlineLevel="0" collapsed="false">
      <c r="A1272" s="8" t="s">
        <v>1373</v>
      </c>
      <c r="B1272" s="8" t="s">
        <v>42</v>
      </c>
      <c r="C1272" s="8" t="s">
        <v>149</v>
      </c>
      <c r="D1272" s="8" t="s">
        <v>40</v>
      </c>
      <c r="E1272" s="8" t="n">
        <v>1200</v>
      </c>
      <c r="F1272" s="8" t="n">
        <v>1200</v>
      </c>
      <c r="G1272" s="8" t="n">
        <v>16</v>
      </c>
      <c r="H1272" s="13" t="n">
        <f aca="false">(E1272/1000)*(F1272/1000)*(G1272/1000)*7850</f>
        <v>180.864</v>
      </c>
      <c r="I1272" s="8" t="n">
        <v>4</v>
      </c>
      <c r="J1272" s="14" t="n">
        <f aca="false">H1272*I1272</f>
        <v>723.456</v>
      </c>
      <c r="K1272" s="8" t="s">
        <v>1404</v>
      </c>
    </row>
    <row r="1273" customFormat="false" ht="13.8" hidden="false" customHeight="false" outlineLevel="0" collapsed="false">
      <c r="A1273" s="8" t="s">
        <v>1373</v>
      </c>
      <c r="B1273" s="8" t="s">
        <v>42</v>
      </c>
      <c r="C1273" s="8" t="s">
        <v>150</v>
      </c>
      <c r="D1273" s="8" t="s">
        <v>40</v>
      </c>
      <c r="E1273" s="8" t="n">
        <v>4322</v>
      </c>
      <c r="F1273" s="8" t="n">
        <v>900</v>
      </c>
      <c r="G1273" s="8" t="n">
        <v>36</v>
      </c>
      <c r="H1273" s="13" t="n">
        <f aca="false">(E1273/1000)*(F1273/1000)*(G1273/1000)*7850</f>
        <v>1099.25748</v>
      </c>
      <c r="I1273" s="8" t="n">
        <v>4</v>
      </c>
      <c r="J1273" s="14" t="n">
        <f aca="false">H1273*I1273</f>
        <v>4397.02992</v>
      </c>
      <c r="K1273" s="8" t="s">
        <v>1405</v>
      </c>
    </row>
    <row r="1274" customFormat="false" ht="13.8" hidden="false" customHeight="false" outlineLevel="0" collapsed="false">
      <c r="A1274" s="8" t="s">
        <v>1373</v>
      </c>
      <c r="B1274" s="8" t="s">
        <v>171</v>
      </c>
      <c r="C1274" s="8" t="s">
        <v>155</v>
      </c>
      <c r="D1274" s="8" t="s">
        <v>40</v>
      </c>
      <c r="E1274" s="8" t="n">
        <v>6922</v>
      </c>
      <c r="F1274" s="8" t="n">
        <v>1200</v>
      </c>
      <c r="G1274" s="8" t="n">
        <v>32</v>
      </c>
      <c r="H1274" s="13" t="n">
        <f aca="false">(E1274/1000)*(F1274/1000)*(G1274/1000)*7850</f>
        <v>2086.56768</v>
      </c>
      <c r="I1274" s="8" t="n">
        <v>2</v>
      </c>
      <c r="J1274" s="14" t="n">
        <f aca="false">H1274*I1274</f>
        <v>4173.13536</v>
      </c>
      <c r="K1274" s="8" t="s">
        <v>1406</v>
      </c>
    </row>
    <row r="1275" customFormat="false" ht="13.8" hidden="false" customHeight="false" outlineLevel="0" collapsed="false">
      <c r="A1275" s="8" t="s">
        <v>1373</v>
      </c>
      <c r="B1275" s="8" t="s">
        <v>42</v>
      </c>
      <c r="C1275" s="8" t="s">
        <v>160</v>
      </c>
      <c r="D1275" s="8" t="s">
        <v>40</v>
      </c>
      <c r="E1275" s="8" t="n">
        <v>5522</v>
      </c>
      <c r="F1275" s="8" t="n">
        <v>240</v>
      </c>
      <c r="G1275" s="8" t="n">
        <v>24</v>
      </c>
      <c r="H1275" s="13" t="n">
        <f aca="false">(E1275/1000)*(F1275/1000)*(G1275/1000)*7850</f>
        <v>249.682752</v>
      </c>
      <c r="I1275" s="8" t="n">
        <v>4</v>
      </c>
      <c r="J1275" s="14" t="n">
        <f aca="false">H1275*I1275</f>
        <v>998.731008</v>
      </c>
      <c r="K1275" s="8" t="s">
        <v>1407</v>
      </c>
    </row>
    <row r="1276" customFormat="false" ht="13.8" hidden="false" customHeight="false" outlineLevel="0" collapsed="false">
      <c r="A1276" s="8" t="s">
        <v>1373</v>
      </c>
      <c r="B1276" s="8" t="s">
        <v>42</v>
      </c>
      <c r="C1276" s="8" t="s">
        <v>158</v>
      </c>
      <c r="D1276" s="8" t="s">
        <v>40</v>
      </c>
      <c r="E1276" s="8" t="n">
        <v>2300</v>
      </c>
      <c r="F1276" s="8" t="n">
        <v>320</v>
      </c>
      <c r="G1276" s="8" t="n">
        <v>32</v>
      </c>
      <c r="H1276" s="13" t="n">
        <f aca="false">(E1276/1000)*(F1276/1000)*(G1276/1000)*7850</f>
        <v>184.8832</v>
      </c>
      <c r="I1276" s="8" t="n">
        <v>4</v>
      </c>
      <c r="J1276" s="14" t="n">
        <f aca="false">H1276*I1276</f>
        <v>739.5328</v>
      </c>
      <c r="K1276" s="8" t="s">
        <v>1408</v>
      </c>
    </row>
    <row r="1277" customFormat="false" ht="13.8" hidden="false" customHeight="false" outlineLevel="0" collapsed="false">
      <c r="A1277" s="8" t="s">
        <v>1373</v>
      </c>
      <c r="B1277" s="8" t="s">
        <v>64</v>
      </c>
      <c r="C1277" s="8" t="s">
        <v>167</v>
      </c>
      <c r="D1277" s="8" t="s">
        <v>40</v>
      </c>
      <c r="E1277" s="8" t="n">
        <v>1580</v>
      </c>
      <c r="F1277" s="8" t="n">
        <v>610</v>
      </c>
      <c r="G1277" s="8" t="n">
        <v>14</v>
      </c>
      <c r="H1277" s="13" t="n">
        <f aca="false">(E1277/1000)*(F1277/1000)*(G1277/1000)*7850</f>
        <v>105.92162</v>
      </c>
      <c r="I1277" s="8" t="n">
        <v>6</v>
      </c>
      <c r="J1277" s="14" t="n">
        <f aca="false">H1277*I1277</f>
        <v>635.52972</v>
      </c>
      <c r="K1277" s="8" t="s">
        <v>1409</v>
      </c>
    </row>
    <row r="1278" customFormat="false" ht="13.8" hidden="false" customHeight="false" outlineLevel="0" collapsed="false">
      <c r="A1278" s="8" t="s">
        <v>1373</v>
      </c>
      <c r="B1278" s="8" t="s">
        <v>42</v>
      </c>
      <c r="C1278" s="8" t="s">
        <v>334</v>
      </c>
      <c r="D1278" s="8" t="s">
        <v>40</v>
      </c>
      <c r="E1278" s="8" t="n">
        <v>1580</v>
      </c>
      <c r="F1278" s="8" t="n">
        <v>630</v>
      </c>
      <c r="G1278" s="8" t="n">
        <v>14</v>
      </c>
      <c r="H1278" s="13" t="n">
        <f aca="false">(E1278/1000)*(F1278/1000)*(G1278/1000)*7850</f>
        <v>109.39446</v>
      </c>
      <c r="I1278" s="8" t="n">
        <v>4</v>
      </c>
      <c r="J1278" s="14" t="n">
        <f aca="false">H1278*I1278</f>
        <v>437.57784</v>
      </c>
      <c r="K1278" s="8" t="s">
        <v>1410</v>
      </c>
    </row>
    <row r="1279" customFormat="false" ht="13.8" hidden="false" customHeight="false" outlineLevel="0" collapsed="false">
      <c r="A1279" s="8" t="s">
        <v>1373</v>
      </c>
      <c r="B1279" s="8" t="s">
        <v>42</v>
      </c>
      <c r="C1279" s="8" t="s">
        <v>169</v>
      </c>
      <c r="D1279" s="8" t="s">
        <v>40</v>
      </c>
      <c r="G1279" s="8" t="n">
        <v>24</v>
      </c>
      <c r="H1279" s="13" t="n">
        <f aca="false">M1279*(G1279/1000)*7850</f>
        <v>88.548</v>
      </c>
      <c r="I1279" s="8" t="n">
        <v>6</v>
      </c>
      <c r="J1279" s="14" t="n">
        <f aca="false">H1279*I1279</f>
        <v>531.288</v>
      </c>
      <c r="K1279" s="8" t="s">
        <v>1411</v>
      </c>
      <c r="M1279" s="15" t="n">
        <v>0.47</v>
      </c>
    </row>
    <row r="1280" customFormat="false" ht="13.8" hidden="false" customHeight="false" outlineLevel="0" collapsed="false">
      <c r="A1280" s="8" t="s">
        <v>1373</v>
      </c>
      <c r="B1280" s="8" t="s">
        <v>42</v>
      </c>
      <c r="C1280" s="8" t="s">
        <v>684</v>
      </c>
      <c r="D1280" s="8" t="s">
        <v>40</v>
      </c>
      <c r="G1280" s="8" t="n">
        <v>24</v>
      </c>
      <c r="H1280" s="13" t="n">
        <f aca="false">M1280*(G1280/1000)*7850</f>
        <v>88.548</v>
      </c>
      <c r="I1280" s="8" t="n">
        <v>4</v>
      </c>
      <c r="J1280" s="14" t="n">
        <f aca="false">H1280*I1280</f>
        <v>354.192</v>
      </c>
      <c r="K1280" s="8" t="s">
        <v>1411</v>
      </c>
      <c r="M1280" s="15" t="n">
        <v>0.47</v>
      </c>
    </row>
    <row r="1281" customFormat="false" ht="13.8" hidden="false" customHeight="false" outlineLevel="0" collapsed="false">
      <c r="A1281" s="8" t="s">
        <v>1373</v>
      </c>
      <c r="B1281" s="8" t="s">
        <v>42</v>
      </c>
      <c r="C1281" s="8" t="s">
        <v>172</v>
      </c>
      <c r="D1281" s="8" t="s">
        <v>40</v>
      </c>
      <c r="E1281" s="8" t="n">
        <v>1450</v>
      </c>
      <c r="F1281" s="8" t="n">
        <v>610</v>
      </c>
      <c r="G1281" s="8" t="n">
        <v>14</v>
      </c>
      <c r="H1281" s="13" t="n">
        <f aca="false">(E1281/1000)*(F1281/1000)*(G1281/1000)*7850</f>
        <v>97.20655</v>
      </c>
      <c r="I1281" s="8" t="n">
        <v>6</v>
      </c>
      <c r="J1281" s="14" t="n">
        <f aca="false">H1281*I1281</f>
        <v>583.2393</v>
      </c>
      <c r="K1281" s="8" t="s">
        <v>1412</v>
      </c>
    </row>
    <row r="1282" customFormat="false" ht="13.8" hidden="false" customHeight="false" outlineLevel="0" collapsed="false">
      <c r="A1282" s="8" t="s">
        <v>1373</v>
      </c>
      <c r="B1282" s="8" t="s">
        <v>42</v>
      </c>
      <c r="C1282" s="8" t="s">
        <v>239</v>
      </c>
      <c r="D1282" s="8" t="s">
        <v>40</v>
      </c>
      <c r="E1282" s="8" t="n">
        <v>1450</v>
      </c>
      <c r="F1282" s="8" t="n">
        <v>626</v>
      </c>
      <c r="G1282" s="8" t="n">
        <v>14</v>
      </c>
      <c r="H1282" s="13" t="n">
        <f aca="false">(E1282/1000)*(F1282/1000)*(G1282/1000)*7850</f>
        <v>99.75623</v>
      </c>
      <c r="I1282" s="8" t="n">
        <v>4</v>
      </c>
      <c r="J1282" s="14" t="n">
        <f aca="false">H1282*I1282</f>
        <v>399.02492</v>
      </c>
      <c r="K1282" s="8" t="s">
        <v>1413</v>
      </c>
    </row>
    <row r="1283" customFormat="false" ht="13.8" hidden="false" customHeight="false" outlineLevel="0" collapsed="false">
      <c r="A1283" s="8" t="s">
        <v>1414</v>
      </c>
      <c r="B1283" s="8" t="s">
        <v>38</v>
      </c>
      <c r="C1283" s="8" t="s">
        <v>179</v>
      </c>
      <c r="D1283" s="8" t="s">
        <v>341</v>
      </c>
      <c r="G1283" s="8" t="n">
        <v>40</v>
      </c>
      <c r="H1283" s="13" t="n">
        <f aca="false">M1283*(G1283/1000)*7850</f>
        <v>3720.9</v>
      </c>
      <c r="I1283" s="8" t="n">
        <v>2</v>
      </c>
      <c r="J1283" s="14" t="n">
        <f aca="false">H1283*I1283</f>
        <v>7441.8</v>
      </c>
      <c r="K1283" s="8" t="s">
        <v>1415</v>
      </c>
      <c r="M1283" s="15" t="n">
        <v>11.85</v>
      </c>
    </row>
    <row r="1284" customFormat="false" ht="13.8" hidden="false" customHeight="false" outlineLevel="0" collapsed="false">
      <c r="A1284" s="8" t="s">
        <v>1414</v>
      </c>
      <c r="B1284" s="8" t="s">
        <v>42</v>
      </c>
      <c r="C1284" s="8" t="s">
        <v>243</v>
      </c>
      <c r="D1284" s="8" t="s">
        <v>40</v>
      </c>
      <c r="G1284" s="8" t="n">
        <v>24</v>
      </c>
      <c r="H1284" s="13" t="n">
        <f aca="false">M1284*(G1284/1000)*7850</f>
        <v>1957.476</v>
      </c>
      <c r="I1284" s="8" t="n">
        <v>2</v>
      </c>
      <c r="J1284" s="14" t="n">
        <f aca="false">H1284*I1284</f>
        <v>3914.952</v>
      </c>
      <c r="K1284" s="8" t="s">
        <v>1416</v>
      </c>
      <c r="M1284" s="15" t="n">
        <v>10.39</v>
      </c>
    </row>
    <row r="1285" customFormat="false" ht="13.8" hidden="false" customHeight="false" outlineLevel="0" collapsed="false">
      <c r="A1285" s="8" t="s">
        <v>1414</v>
      </c>
      <c r="B1285" s="8" t="s">
        <v>45</v>
      </c>
      <c r="C1285" s="8" t="s">
        <v>292</v>
      </c>
      <c r="D1285" s="8" t="s">
        <v>341</v>
      </c>
      <c r="E1285" s="8" t="n">
        <v>7901</v>
      </c>
      <c r="F1285" s="8" t="n">
        <v>1200</v>
      </c>
      <c r="G1285" s="8" t="n">
        <v>40</v>
      </c>
      <c r="H1285" s="13" t="n">
        <f aca="false">(E1285/1000)*(F1285/1000)*(G1285/1000)*7850</f>
        <v>2977.0968</v>
      </c>
      <c r="I1285" s="8" t="n">
        <v>2</v>
      </c>
      <c r="J1285" s="14" t="n">
        <f aca="false">H1285*I1285</f>
        <v>5954.1936</v>
      </c>
      <c r="K1285" s="8" t="s">
        <v>1417</v>
      </c>
    </row>
    <row r="1286" customFormat="false" ht="13.8" hidden="false" customHeight="false" outlineLevel="0" collapsed="false">
      <c r="A1286" s="8" t="s">
        <v>1414</v>
      </c>
      <c r="B1286" s="8" t="s">
        <v>42</v>
      </c>
      <c r="C1286" s="8" t="s">
        <v>185</v>
      </c>
      <c r="D1286" s="8" t="s">
        <v>40</v>
      </c>
      <c r="E1286" s="8" t="n">
        <v>7101</v>
      </c>
      <c r="F1286" s="8" t="n">
        <v>1200</v>
      </c>
      <c r="G1286" s="8" t="n">
        <v>24</v>
      </c>
      <c r="H1286" s="13" t="n">
        <f aca="false">(E1286/1000)*(F1286/1000)*(G1286/1000)*7850</f>
        <v>1605.39408</v>
      </c>
      <c r="I1286" s="8" t="n">
        <v>2</v>
      </c>
      <c r="J1286" s="14" t="n">
        <f aca="false">H1286*I1286</f>
        <v>3210.78816</v>
      </c>
      <c r="K1286" s="8" t="s">
        <v>1418</v>
      </c>
    </row>
    <row r="1287" customFormat="false" ht="13.8" hidden="false" customHeight="false" outlineLevel="0" collapsed="false">
      <c r="A1287" s="8" t="s">
        <v>1414</v>
      </c>
      <c r="B1287" s="8" t="s">
        <v>187</v>
      </c>
      <c r="C1287" s="8" t="s">
        <v>188</v>
      </c>
      <c r="D1287" s="8" t="s">
        <v>341</v>
      </c>
      <c r="G1287" s="8" t="n">
        <v>48</v>
      </c>
      <c r="H1287" s="13" t="n">
        <f aca="false">M1287*(G1287/1000)*7850</f>
        <v>8018.304</v>
      </c>
      <c r="I1287" s="8" t="n">
        <v>4</v>
      </c>
      <c r="J1287" s="14" t="n">
        <f aca="false">H1287*I1287</f>
        <v>32073.216</v>
      </c>
      <c r="K1287" s="8" t="s">
        <v>1419</v>
      </c>
      <c r="M1287" s="15" t="n">
        <v>21.28</v>
      </c>
    </row>
    <row r="1288" customFormat="false" ht="13.8" hidden="false" customHeight="false" outlineLevel="0" collapsed="false">
      <c r="A1288" s="8" t="s">
        <v>1414</v>
      </c>
      <c r="B1288" s="8" t="s">
        <v>190</v>
      </c>
      <c r="C1288" s="8" t="s">
        <v>50</v>
      </c>
      <c r="D1288" s="8" t="s">
        <v>40</v>
      </c>
      <c r="E1288" s="8" t="n">
        <v>7301</v>
      </c>
      <c r="F1288" s="8" t="n">
        <v>1644</v>
      </c>
      <c r="G1288" s="8" t="n">
        <v>32</v>
      </c>
      <c r="H1288" s="13" t="n">
        <f aca="false">(E1288/1000)*(F1288/1000)*(G1288/1000)*7850</f>
        <v>3015.1144128</v>
      </c>
      <c r="I1288" s="8" t="n">
        <v>4</v>
      </c>
      <c r="J1288" s="14" t="n">
        <f aca="false">H1288*I1288</f>
        <v>12060.4576512</v>
      </c>
      <c r="K1288" s="8" t="s">
        <v>1420</v>
      </c>
    </row>
    <row r="1289" customFormat="false" ht="13.8" hidden="false" customHeight="false" outlineLevel="0" collapsed="false">
      <c r="A1289" s="8" t="s">
        <v>1414</v>
      </c>
      <c r="B1289" s="8" t="s">
        <v>195</v>
      </c>
      <c r="C1289" s="8" t="s">
        <v>58</v>
      </c>
      <c r="D1289" s="8" t="s">
        <v>40</v>
      </c>
      <c r="E1289" s="8" t="n">
        <v>1560</v>
      </c>
      <c r="F1289" s="8" t="n">
        <v>1200</v>
      </c>
      <c r="G1289" s="8" t="n">
        <v>16</v>
      </c>
      <c r="H1289" s="13" t="n">
        <f aca="false">(E1289/1000)*(F1289/1000)*(G1289/1000)*7850</f>
        <v>235.1232</v>
      </c>
      <c r="I1289" s="8" t="n">
        <v>6</v>
      </c>
      <c r="J1289" s="14" t="n">
        <f aca="false">H1289*I1289</f>
        <v>1410.7392</v>
      </c>
      <c r="K1289" s="8" t="s">
        <v>1421</v>
      </c>
    </row>
    <row r="1290" customFormat="false" ht="13.8" hidden="false" customHeight="false" outlineLevel="0" collapsed="false">
      <c r="A1290" s="8" t="s">
        <v>1414</v>
      </c>
      <c r="B1290" s="8" t="s">
        <v>42</v>
      </c>
      <c r="C1290" s="8" t="s">
        <v>298</v>
      </c>
      <c r="D1290" s="8" t="s">
        <v>40</v>
      </c>
      <c r="E1290" s="8" t="n">
        <v>1576</v>
      </c>
      <c r="F1290" s="8" t="n">
        <v>1200</v>
      </c>
      <c r="G1290" s="8" t="n">
        <v>16</v>
      </c>
      <c r="H1290" s="13" t="n">
        <f aca="false">(E1290/1000)*(F1290/1000)*(G1290/1000)*7850</f>
        <v>237.53472</v>
      </c>
      <c r="I1290" s="8" t="n">
        <v>4</v>
      </c>
      <c r="J1290" s="14" t="n">
        <f aca="false">H1290*I1290</f>
        <v>950.13888</v>
      </c>
      <c r="K1290" s="8" t="s">
        <v>1422</v>
      </c>
    </row>
    <row r="1291" customFormat="false" ht="13.8" hidden="false" customHeight="false" outlineLevel="0" collapsed="false">
      <c r="A1291" s="8" t="s">
        <v>1414</v>
      </c>
      <c r="B1291" s="8" t="s">
        <v>42</v>
      </c>
      <c r="C1291" s="8" t="s">
        <v>1423</v>
      </c>
      <c r="D1291" s="8" t="s">
        <v>40</v>
      </c>
      <c r="E1291" s="8" t="n">
        <v>2057</v>
      </c>
      <c r="F1291" s="8" t="n">
        <v>200</v>
      </c>
      <c r="G1291" s="8" t="n">
        <v>16</v>
      </c>
      <c r="H1291" s="13" t="n">
        <f aca="false">(E1291/1000)*(F1291/1000)*(G1291/1000)*7850</f>
        <v>51.67184</v>
      </c>
      <c r="I1291" s="8" t="n">
        <v>6</v>
      </c>
      <c r="J1291" s="14" t="n">
        <f aca="false">H1291*I1291</f>
        <v>310.03104</v>
      </c>
      <c r="K1291" s="8" t="s">
        <v>1424</v>
      </c>
    </row>
    <row r="1292" customFormat="false" ht="13.8" hidden="false" customHeight="false" outlineLevel="0" collapsed="false">
      <c r="A1292" s="8" t="s">
        <v>1414</v>
      </c>
      <c r="B1292" s="8" t="s">
        <v>42</v>
      </c>
      <c r="C1292" s="8" t="s">
        <v>68</v>
      </c>
      <c r="D1292" s="8" t="s">
        <v>40</v>
      </c>
      <c r="E1292" s="8" t="n">
        <v>600</v>
      </c>
      <c r="F1292" s="8" t="n">
        <v>400</v>
      </c>
      <c r="G1292" s="8" t="n">
        <v>16</v>
      </c>
      <c r="H1292" s="13" t="n">
        <f aca="false">(E1292/1000)*(F1292/1000)*(G1292/1000)*7850</f>
        <v>30.144</v>
      </c>
      <c r="I1292" s="8" t="n">
        <v>8</v>
      </c>
      <c r="J1292" s="14" t="n">
        <f aca="false">H1292*I1292</f>
        <v>241.152</v>
      </c>
      <c r="K1292" s="8" t="s">
        <v>1425</v>
      </c>
    </row>
    <row r="1293" customFormat="false" ht="13.8" hidden="false" customHeight="false" outlineLevel="0" collapsed="false">
      <c r="A1293" s="8" t="s">
        <v>1414</v>
      </c>
      <c r="B1293" s="8" t="s">
        <v>80</v>
      </c>
      <c r="C1293" s="8" t="s">
        <v>72</v>
      </c>
      <c r="D1293" s="8" t="s">
        <v>341</v>
      </c>
      <c r="E1293" s="8" t="n">
        <v>7901</v>
      </c>
      <c r="F1293" s="8" t="n">
        <v>320</v>
      </c>
      <c r="G1293" s="8" t="n">
        <v>32</v>
      </c>
      <c r="H1293" s="13" t="n">
        <f aca="false">(E1293/1000)*(F1293/1000)*(G1293/1000)*7850</f>
        <v>635.113984</v>
      </c>
      <c r="I1293" s="8" t="n">
        <v>12</v>
      </c>
      <c r="J1293" s="14" t="n">
        <f aca="false">H1293*I1293</f>
        <v>7621.367808</v>
      </c>
      <c r="K1293" s="8" t="s">
        <v>1426</v>
      </c>
    </row>
    <row r="1294" customFormat="false" ht="13.8" hidden="false" customHeight="false" outlineLevel="0" collapsed="false">
      <c r="A1294" s="8" t="s">
        <v>1414</v>
      </c>
      <c r="B1294" s="8" t="s">
        <v>42</v>
      </c>
      <c r="C1294" s="8" t="s">
        <v>987</v>
      </c>
      <c r="D1294" s="8" t="s">
        <v>40</v>
      </c>
      <c r="E1294" s="8" t="n">
        <v>7101</v>
      </c>
      <c r="F1294" s="8" t="n">
        <v>240</v>
      </c>
      <c r="G1294" s="8" t="n">
        <v>24</v>
      </c>
      <c r="H1294" s="13" t="n">
        <f aca="false">(E1294/1000)*(F1294/1000)*(G1294/1000)*7850</f>
        <v>321.078816</v>
      </c>
      <c r="I1294" s="8" t="n">
        <v>12</v>
      </c>
      <c r="J1294" s="14" t="n">
        <f aca="false">H1294*I1294</f>
        <v>3852.945792</v>
      </c>
      <c r="K1294" s="8" t="s">
        <v>1427</v>
      </c>
    </row>
    <row r="1295" customFormat="false" ht="13.8" hidden="false" customHeight="false" outlineLevel="0" collapsed="false">
      <c r="A1295" s="8" t="s">
        <v>1414</v>
      </c>
      <c r="B1295" s="8" t="s">
        <v>256</v>
      </c>
      <c r="C1295" s="8" t="s">
        <v>96</v>
      </c>
      <c r="D1295" s="8" t="s">
        <v>40</v>
      </c>
      <c r="E1295" s="8" t="n">
        <v>7903</v>
      </c>
      <c r="F1295" s="8" t="n">
        <v>1850</v>
      </c>
      <c r="G1295" s="8" t="n">
        <v>20</v>
      </c>
      <c r="H1295" s="13" t="n">
        <f aca="false">(E1295/1000)*(F1295/1000)*(G1295/1000)*7850</f>
        <v>2295.42635</v>
      </c>
      <c r="I1295" s="8" t="n">
        <v>2</v>
      </c>
      <c r="J1295" s="14" t="n">
        <f aca="false">H1295*I1295</f>
        <v>4590.8527</v>
      </c>
      <c r="K1295" s="8" t="s">
        <v>1428</v>
      </c>
    </row>
    <row r="1296" customFormat="false" ht="13.8" hidden="false" customHeight="false" outlineLevel="0" collapsed="false">
      <c r="A1296" s="8" t="s">
        <v>1414</v>
      </c>
      <c r="B1296" s="8" t="s">
        <v>42</v>
      </c>
      <c r="C1296" s="8" t="s">
        <v>305</v>
      </c>
      <c r="D1296" s="8" t="s">
        <v>40</v>
      </c>
      <c r="E1296" s="8" t="n">
        <v>7102</v>
      </c>
      <c r="F1296" s="8" t="n">
        <v>1850</v>
      </c>
      <c r="G1296" s="8" t="n">
        <v>24</v>
      </c>
      <c r="H1296" s="13" t="n">
        <f aca="false">(E1296/1000)*(F1296/1000)*(G1296/1000)*7850</f>
        <v>2475.33108</v>
      </c>
      <c r="I1296" s="8" t="n">
        <v>2</v>
      </c>
      <c r="J1296" s="14" t="n">
        <f aca="false">H1296*I1296</f>
        <v>4950.66216</v>
      </c>
      <c r="K1296" s="8" t="s">
        <v>1429</v>
      </c>
    </row>
    <row r="1297" customFormat="false" ht="13.8" hidden="false" customHeight="false" outlineLevel="0" collapsed="false">
      <c r="A1297" s="8" t="s">
        <v>1414</v>
      </c>
      <c r="B1297" s="8" t="s">
        <v>260</v>
      </c>
      <c r="C1297" s="8" t="s">
        <v>307</v>
      </c>
      <c r="D1297" s="8" t="s">
        <v>40</v>
      </c>
      <c r="G1297" s="8" t="n">
        <v>20</v>
      </c>
      <c r="H1297" s="13" t="n">
        <f aca="false">M1297*(G1297/1000)*7850</f>
        <v>1967.21</v>
      </c>
      <c r="I1297" s="8" t="n">
        <v>2</v>
      </c>
      <c r="J1297" s="14" t="n">
        <f aca="false">H1297*I1297</f>
        <v>3934.42</v>
      </c>
      <c r="K1297" s="8" t="s">
        <v>1430</v>
      </c>
      <c r="M1297" s="15" t="n">
        <v>12.53</v>
      </c>
    </row>
    <row r="1298" customFormat="false" ht="13.8" hidden="false" customHeight="false" outlineLevel="0" collapsed="false">
      <c r="A1298" s="8" t="s">
        <v>1414</v>
      </c>
      <c r="B1298" s="8" t="s">
        <v>42</v>
      </c>
      <c r="C1298" s="8" t="s">
        <v>206</v>
      </c>
      <c r="D1298" s="8" t="s">
        <v>40</v>
      </c>
      <c r="G1298" s="8" t="n">
        <v>24</v>
      </c>
      <c r="H1298" s="13" t="n">
        <f aca="false">M1298*(G1298/1000)*7850</f>
        <v>1829.364</v>
      </c>
      <c r="I1298" s="8" t="n">
        <v>2</v>
      </c>
      <c r="J1298" s="14" t="n">
        <f aca="false">H1298*I1298</f>
        <v>3658.728</v>
      </c>
      <c r="K1298" s="8" t="s">
        <v>1431</v>
      </c>
      <c r="M1298" s="15" t="n">
        <v>9.71</v>
      </c>
    </row>
    <row r="1299" customFormat="false" ht="13.8" hidden="false" customHeight="false" outlineLevel="0" collapsed="false">
      <c r="A1299" s="8" t="s">
        <v>1414</v>
      </c>
      <c r="B1299" s="8" t="s">
        <v>105</v>
      </c>
      <c r="C1299" s="8" t="s">
        <v>103</v>
      </c>
      <c r="D1299" s="8" t="s">
        <v>40</v>
      </c>
      <c r="G1299" s="8" t="n">
        <v>40</v>
      </c>
      <c r="H1299" s="13" t="n">
        <f aca="false">M1299*(G1299/1000)*7850</f>
        <v>6506.08</v>
      </c>
      <c r="I1299" s="8" t="n">
        <v>4</v>
      </c>
      <c r="J1299" s="14" t="n">
        <f aca="false">H1299*I1299</f>
        <v>26024.32</v>
      </c>
      <c r="K1299" s="8" t="s">
        <v>1432</v>
      </c>
      <c r="M1299" s="15" t="n">
        <v>20.72</v>
      </c>
    </row>
    <row r="1300" customFormat="false" ht="13.8" hidden="false" customHeight="false" outlineLevel="0" collapsed="false">
      <c r="A1300" s="8" t="s">
        <v>1414</v>
      </c>
      <c r="B1300" s="8" t="s">
        <v>102</v>
      </c>
      <c r="C1300" s="8" t="s">
        <v>264</v>
      </c>
      <c r="D1300" s="8" t="s">
        <v>40</v>
      </c>
      <c r="E1300" s="8" t="n">
        <v>7302</v>
      </c>
      <c r="F1300" s="8" t="n">
        <v>1474</v>
      </c>
      <c r="G1300" s="8" t="n">
        <v>32</v>
      </c>
      <c r="H1300" s="13" t="n">
        <f aca="false">(E1300/1000)*(F1300/1000)*(G1300/1000)*7850</f>
        <v>2703.7027776</v>
      </c>
      <c r="I1300" s="8" t="n">
        <v>4</v>
      </c>
      <c r="J1300" s="14" t="n">
        <f aca="false">H1300*I1300</f>
        <v>10814.8111104</v>
      </c>
      <c r="K1300" s="8" t="s">
        <v>1433</v>
      </c>
    </row>
    <row r="1301" customFormat="false" ht="13.8" hidden="false" customHeight="false" outlineLevel="0" collapsed="false">
      <c r="A1301" s="8" t="s">
        <v>1414</v>
      </c>
      <c r="B1301" s="8" t="s">
        <v>110</v>
      </c>
      <c r="C1301" s="8" t="s">
        <v>108</v>
      </c>
      <c r="D1301" s="8" t="s">
        <v>40</v>
      </c>
      <c r="E1301" s="8" t="n">
        <v>1450</v>
      </c>
      <c r="F1301" s="8" t="n">
        <v>1200</v>
      </c>
      <c r="G1301" s="8" t="n">
        <v>16</v>
      </c>
      <c r="H1301" s="13" t="n">
        <f aca="false">(E1301/1000)*(F1301/1000)*(G1301/1000)*7850</f>
        <v>218.544</v>
      </c>
      <c r="I1301" s="8" t="n">
        <v>6</v>
      </c>
      <c r="J1301" s="14" t="n">
        <f aca="false">H1301*I1301</f>
        <v>1311.264</v>
      </c>
      <c r="K1301" s="8" t="s">
        <v>1434</v>
      </c>
    </row>
    <row r="1302" customFormat="false" ht="13.8" hidden="false" customHeight="false" outlineLevel="0" collapsed="false">
      <c r="A1302" s="8" t="s">
        <v>1414</v>
      </c>
      <c r="B1302" s="8" t="s">
        <v>42</v>
      </c>
      <c r="C1302" s="8" t="s">
        <v>112</v>
      </c>
      <c r="D1302" s="8" t="s">
        <v>40</v>
      </c>
      <c r="E1302" s="8" t="n">
        <v>1450</v>
      </c>
      <c r="F1302" s="8" t="n">
        <v>1200</v>
      </c>
      <c r="G1302" s="8" t="n">
        <v>16</v>
      </c>
      <c r="H1302" s="13" t="n">
        <f aca="false">(E1302/1000)*(F1302/1000)*(G1302/1000)*7850</f>
        <v>218.544</v>
      </c>
      <c r="I1302" s="8" t="n">
        <v>4</v>
      </c>
      <c r="J1302" s="14" t="n">
        <f aca="false">H1302*I1302</f>
        <v>874.176</v>
      </c>
      <c r="K1302" s="8" t="s">
        <v>1434</v>
      </c>
    </row>
    <row r="1303" customFormat="false" ht="13.8" hidden="false" customHeight="false" outlineLevel="0" collapsed="false">
      <c r="A1303" s="8" t="s">
        <v>1414</v>
      </c>
      <c r="B1303" s="8" t="s">
        <v>42</v>
      </c>
      <c r="C1303" s="8" t="s">
        <v>313</v>
      </c>
      <c r="D1303" s="8" t="s">
        <v>40</v>
      </c>
      <c r="E1303" s="8" t="n">
        <v>1657</v>
      </c>
      <c r="F1303" s="8" t="n">
        <v>200</v>
      </c>
      <c r="G1303" s="8" t="n">
        <v>16</v>
      </c>
      <c r="H1303" s="13" t="n">
        <f aca="false">(E1303/1000)*(F1303/1000)*(G1303/1000)*7850</f>
        <v>41.62384</v>
      </c>
      <c r="I1303" s="8" t="n">
        <v>6</v>
      </c>
      <c r="J1303" s="14" t="n">
        <f aca="false">H1303*I1303</f>
        <v>249.74304</v>
      </c>
      <c r="K1303" s="8" t="s">
        <v>1435</v>
      </c>
    </row>
    <row r="1304" customFormat="false" ht="13.8" hidden="false" customHeight="false" outlineLevel="0" collapsed="false">
      <c r="A1304" s="8" t="s">
        <v>1414</v>
      </c>
      <c r="B1304" s="8" t="s">
        <v>268</v>
      </c>
      <c r="C1304" s="8" t="s">
        <v>666</v>
      </c>
      <c r="D1304" s="8" t="s">
        <v>40</v>
      </c>
      <c r="E1304" s="8" t="n">
        <v>7903</v>
      </c>
      <c r="F1304" s="8" t="n">
        <v>240</v>
      </c>
      <c r="G1304" s="8" t="n">
        <v>20</v>
      </c>
      <c r="H1304" s="13" t="n">
        <f aca="false">(E1304/1000)*(F1304/1000)*(G1304/1000)*7850</f>
        <v>297.78504</v>
      </c>
      <c r="I1304" s="8" t="n">
        <v>8</v>
      </c>
      <c r="J1304" s="14" t="n">
        <f aca="false">H1304*I1304</f>
        <v>2382.28032</v>
      </c>
      <c r="K1304" s="8" t="s">
        <v>1436</v>
      </c>
    </row>
    <row r="1305" customFormat="false" ht="13.8" hidden="false" customHeight="false" outlineLevel="0" collapsed="false">
      <c r="A1305" s="8" t="s">
        <v>1414</v>
      </c>
      <c r="B1305" s="8" t="s">
        <v>42</v>
      </c>
      <c r="C1305" s="8" t="s">
        <v>116</v>
      </c>
      <c r="D1305" s="8" t="s">
        <v>40</v>
      </c>
      <c r="E1305" s="8" t="n">
        <v>7102</v>
      </c>
      <c r="F1305" s="8" t="n">
        <v>320</v>
      </c>
      <c r="G1305" s="8" t="n">
        <v>32</v>
      </c>
      <c r="H1305" s="13" t="n">
        <f aca="false">(E1305/1000)*(F1305/1000)*(G1305/1000)*7850</f>
        <v>570.887168</v>
      </c>
      <c r="I1305" s="8" t="n">
        <v>8</v>
      </c>
      <c r="J1305" s="14" t="n">
        <f aca="false">H1305*I1305</f>
        <v>4567.097344</v>
      </c>
      <c r="K1305" s="8" t="s">
        <v>1437</v>
      </c>
    </row>
    <row r="1306" customFormat="false" ht="13.8" hidden="false" customHeight="false" outlineLevel="0" collapsed="false">
      <c r="A1306" s="8" t="s">
        <v>1414</v>
      </c>
      <c r="B1306" s="8" t="s">
        <v>42</v>
      </c>
      <c r="C1306" s="8" t="s">
        <v>118</v>
      </c>
      <c r="D1306" s="8" t="s">
        <v>40</v>
      </c>
      <c r="E1306" s="8" t="n">
        <v>15005</v>
      </c>
      <c r="F1306" s="8" t="n">
        <v>170</v>
      </c>
      <c r="G1306" s="8" t="n">
        <v>14</v>
      </c>
      <c r="H1306" s="13" t="n">
        <f aca="false">(E1306/1000)*(F1306/1000)*(G1306/1000)*7850</f>
        <v>280.338415</v>
      </c>
      <c r="I1306" s="8" t="n">
        <v>2</v>
      </c>
      <c r="J1306" s="14" t="n">
        <f aca="false">H1306*I1306</f>
        <v>560.67683</v>
      </c>
      <c r="K1306" s="8" t="s">
        <v>1438</v>
      </c>
    </row>
    <row r="1307" customFormat="false" ht="13.8" hidden="false" customHeight="false" outlineLevel="0" collapsed="false">
      <c r="A1307" s="8" t="s">
        <v>1414</v>
      </c>
      <c r="B1307" s="8" t="s">
        <v>272</v>
      </c>
      <c r="C1307" s="8" t="s">
        <v>125</v>
      </c>
      <c r="D1307" s="8" t="s">
        <v>40</v>
      </c>
      <c r="E1307" s="8" t="n">
        <v>12781</v>
      </c>
      <c r="F1307" s="8" t="n">
        <v>1200</v>
      </c>
      <c r="G1307" s="8" t="n">
        <v>36</v>
      </c>
      <c r="H1307" s="13" t="n">
        <f aca="false">(E1307/1000)*(F1307/1000)*(G1307/1000)*7850</f>
        <v>4334.29272</v>
      </c>
      <c r="I1307" s="8" t="n">
        <v>2</v>
      </c>
      <c r="J1307" s="14" t="n">
        <f aca="false">H1307*I1307</f>
        <v>8668.58544</v>
      </c>
      <c r="K1307" s="8" t="s">
        <v>1439</v>
      </c>
    </row>
    <row r="1308" customFormat="false" ht="13.8" hidden="false" customHeight="false" outlineLevel="0" collapsed="false">
      <c r="A1308" s="8" t="s">
        <v>1414</v>
      </c>
      <c r="B1308" s="8" t="s">
        <v>42</v>
      </c>
      <c r="C1308" s="8" t="s">
        <v>127</v>
      </c>
      <c r="D1308" s="8" t="s">
        <v>40</v>
      </c>
      <c r="E1308" s="8" t="n">
        <v>12781</v>
      </c>
      <c r="F1308" s="8" t="n">
        <v>1200</v>
      </c>
      <c r="G1308" s="8" t="n">
        <v>36</v>
      </c>
      <c r="H1308" s="13" t="n">
        <f aca="false">(E1308/1000)*(F1308/1000)*(G1308/1000)*7850</f>
        <v>4334.29272</v>
      </c>
      <c r="I1308" s="8" t="n">
        <v>2</v>
      </c>
      <c r="J1308" s="14" t="n">
        <f aca="false">H1308*I1308</f>
        <v>8668.58544</v>
      </c>
      <c r="K1308" s="8" t="s">
        <v>1439</v>
      </c>
    </row>
    <row r="1309" customFormat="false" ht="13.8" hidden="false" customHeight="false" outlineLevel="0" collapsed="false">
      <c r="A1309" s="8" t="s">
        <v>1414</v>
      </c>
      <c r="B1309" s="8" t="s">
        <v>42</v>
      </c>
      <c r="C1309" s="8" t="s">
        <v>128</v>
      </c>
      <c r="D1309" s="8" t="s">
        <v>40</v>
      </c>
      <c r="E1309" s="8" t="n">
        <v>8581</v>
      </c>
      <c r="F1309" s="8" t="n">
        <v>1360</v>
      </c>
      <c r="G1309" s="8" t="n">
        <v>36</v>
      </c>
      <c r="H1309" s="13" t="n">
        <f aca="false">(E1309/1000)*(F1309/1000)*(G1309/1000)*7850</f>
        <v>3297.987216</v>
      </c>
      <c r="I1309" s="8" t="n">
        <v>4</v>
      </c>
      <c r="J1309" s="14" t="n">
        <f aca="false">H1309*I1309</f>
        <v>13191.948864</v>
      </c>
      <c r="K1309" s="8" t="s">
        <v>1440</v>
      </c>
    </row>
    <row r="1310" customFormat="false" ht="13.8" hidden="false" customHeight="false" outlineLevel="0" collapsed="false">
      <c r="A1310" s="8" t="s">
        <v>1414</v>
      </c>
      <c r="B1310" s="8" t="s">
        <v>42</v>
      </c>
      <c r="C1310" s="8" t="s">
        <v>130</v>
      </c>
      <c r="D1310" s="8" t="s">
        <v>40</v>
      </c>
      <c r="E1310" s="8" t="n">
        <v>8581</v>
      </c>
      <c r="F1310" s="8" t="n">
        <v>320</v>
      </c>
      <c r="G1310" s="8" t="n">
        <v>32</v>
      </c>
      <c r="H1310" s="13" t="n">
        <f aca="false">(E1310/1000)*(F1310/1000)*(G1310/1000)*7850</f>
        <v>689.775104</v>
      </c>
      <c r="I1310" s="8" t="n">
        <v>4</v>
      </c>
      <c r="J1310" s="14" t="n">
        <f aca="false">H1310*I1310</f>
        <v>2759.100416</v>
      </c>
      <c r="K1310" s="8" t="s">
        <v>1441</v>
      </c>
    </row>
    <row r="1311" customFormat="false" ht="13.8" hidden="false" customHeight="false" outlineLevel="0" collapsed="false">
      <c r="A1311" s="8" t="s">
        <v>1414</v>
      </c>
      <c r="B1311" s="8" t="s">
        <v>42</v>
      </c>
      <c r="C1311" s="8" t="s">
        <v>1442</v>
      </c>
      <c r="D1311" s="8" t="s">
        <v>40</v>
      </c>
      <c r="E1311" s="8" t="n">
        <v>11381</v>
      </c>
      <c r="F1311" s="8" t="n">
        <v>320</v>
      </c>
      <c r="G1311" s="8" t="n">
        <v>32</v>
      </c>
      <c r="H1311" s="13" t="n">
        <f aca="false">(E1311/1000)*(F1311/1000)*(G1311/1000)*7850</f>
        <v>914.850304</v>
      </c>
      <c r="I1311" s="8" t="n">
        <v>2</v>
      </c>
      <c r="J1311" s="14" t="n">
        <f aca="false">H1311*I1311</f>
        <v>1829.700608</v>
      </c>
      <c r="K1311" s="8" t="s">
        <v>1443</v>
      </c>
    </row>
    <row r="1312" customFormat="false" ht="13.8" hidden="false" customHeight="false" outlineLevel="0" collapsed="false">
      <c r="A1312" s="8" t="s">
        <v>1414</v>
      </c>
      <c r="B1312" s="8" t="s">
        <v>42</v>
      </c>
      <c r="C1312" s="8" t="s">
        <v>135</v>
      </c>
      <c r="D1312" s="8" t="s">
        <v>40</v>
      </c>
      <c r="E1312" s="8" t="n">
        <v>1200</v>
      </c>
      <c r="F1312" s="8" t="n">
        <v>1200</v>
      </c>
      <c r="G1312" s="8" t="n">
        <v>16</v>
      </c>
      <c r="H1312" s="13" t="n">
        <f aca="false">(E1312/1000)*(F1312/1000)*(G1312/1000)*7850</f>
        <v>180.864</v>
      </c>
      <c r="I1312" s="8" t="n">
        <v>6</v>
      </c>
      <c r="J1312" s="14" t="n">
        <f aca="false">H1312*I1312</f>
        <v>1085.184</v>
      </c>
      <c r="K1312" s="8" t="s">
        <v>1444</v>
      </c>
    </row>
    <row r="1313" customFormat="false" ht="13.8" hidden="false" customHeight="false" outlineLevel="0" collapsed="false">
      <c r="A1313" s="8" t="s">
        <v>1414</v>
      </c>
      <c r="B1313" s="8" t="s">
        <v>42</v>
      </c>
      <c r="C1313" s="8" t="s">
        <v>137</v>
      </c>
      <c r="D1313" s="8" t="s">
        <v>40</v>
      </c>
      <c r="E1313" s="8" t="n">
        <v>6135</v>
      </c>
      <c r="F1313" s="8" t="n">
        <v>1200</v>
      </c>
      <c r="G1313" s="8" t="n">
        <v>36</v>
      </c>
      <c r="H1313" s="13" t="n">
        <f aca="false">(E1313/1000)*(F1313/1000)*(G1313/1000)*7850</f>
        <v>2080.5012</v>
      </c>
      <c r="I1313" s="8" t="n">
        <v>2</v>
      </c>
      <c r="J1313" s="14" t="n">
        <f aca="false">H1313*I1313</f>
        <v>4161.0024</v>
      </c>
      <c r="K1313" s="8" t="s">
        <v>1445</v>
      </c>
    </row>
    <row r="1314" customFormat="false" ht="13.8" hidden="false" customHeight="false" outlineLevel="0" collapsed="false">
      <c r="A1314" s="8" t="s">
        <v>1414</v>
      </c>
      <c r="B1314" s="8" t="s">
        <v>42</v>
      </c>
      <c r="C1314" s="8" t="s">
        <v>139</v>
      </c>
      <c r="D1314" s="8" t="s">
        <v>40</v>
      </c>
      <c r="E1314" s="8" t="n">
        <v>6135</v>
      </c>
      <c r="F1314" s="8" t="n">
        <v>1200</v>
      </c>
      <c r="G1314" s="8" t="n">
        <v>36</v>
      </c>
      <c r="H1314" s="13" t="n">
        <f aca="false">(E1314/1000)*(F1314/1000)*(G1314/1000)*7850</f>
        <v>2080.5012</v>
      </c>
      <c r="I1314" s="8" t="n">
        <v>2</v>
      </c>
      <c r="J1314" s="14" t="n">
        <f aca="false">H1314*I1314</f>
        <v>4161.0024</v>
      </c>
      <c r="K1314" s="8" t="s">
        <v>1445</v>
      </c>
    </row>
    <row r="1315" customFormat="false" ht="13.8" hidden="false" customHeight="false" outlineLevel="0" collapsed="false">
      <c r="A1315" s="8" t="s">
        <v>1414</v>
      </c>
      <c r="B1315" s="8" t="s">
        <v>42</v>
      </c>
      <c r="C1315" s="8" t="s">
        <v>141</v>
      </c>
      <c r="D1315" s="8" t="s">
        <v>40</v>
      </c>
      <c r="E1315" s="8" t="n">
        <v>4135</v>
      </c>
      <c r="F1315" s="8" t="n">
        <v>1360</v>
      </c>
      <c r="G1315" s="8" t="n">
        <v>36</v>
      </c>
      <c r="H1315" s="13" t="n">
        <f aca="false">(E1315/1000)*(F1315/1000)*(G1315/1000)*7850</f>
        <v>1589.22936</v>
      </c>
      <c r="I1315" s="8" t="n">
        <v>4</v>
      </c>
      <c r="J1315" s="14" t="n">
        <f aca="false">H1315*I1315</f>
        <v>6356.91744</v>
      </c>
      <c r="K1315" s="8" t="s">
        <v>1446</v>
      </c>
    </row>
    <row r="1316" customFormat="false" ht="13.8" hidden="false" customHeight="false" outlineLevel="0" collapsed="false">
      <c r="A1316" s="8" t="s">
        <v>1414</v>
      </c>
      <c r="B1316" s="8" t="s">
        <v>42</v>
      </c>
      <c r="C1316" s="8" t="s">
        <v>143</v>
      </c>
      <c r="D1316" s="8" t="s">
        <v>40</v>
      </c>
      <c r="E1316" s="8" t="n">
        <v>4135</v>
      </c>
      <c r="F1316" s="8" t="n">
        <v>320</v>
      </c>
      <c r="G1316" s="8" t="n">
        <v>32</v>
      </c>
      <c r="H1316" s="13" t="n">
        <f aca="false">(E1316/1000)*(F1316/1000)*(G1316/1000)*7850</f>
        <v>332.38784</v>
      </c>
      <c r="I1316" s="8" t="n">
        <v>4</v>
      </c>
      <c r="J1316" s="14" t="n">
        <f aca="false">H1316*I1316</f>
        <v>1329.55136</v>
      </c>
      <c r="K1316" s="8" t="s">
        <v>1447</v>
      </c>
    </row>
    <row r="1317" customFormat="false" ht="13.8" hidden="false" customHeight="false" outlineLevel="0" collapsed="false">
      <c r="A1317" s="8" t="s">
        <v>1414</v>
      </c>
      <c r="B1317" s="8" t="s">
        <v>42</v>
      </c>
      <c r="C1317" s="8" t="s">
        <v>145</v>
      </c>
      <c r="D1317" s="8" t="s">
        <v>40</v>
      </c>
      <c r="E1317" s="8" t="n">
        <v>5435</v>
      </c>
      <c r="F1317" s="8" t="n">
        <v>320</v>
      </c>
      <c r="G1317" s="8" t="n">
        <v>32</v>
      </c>
      <c r="H1317" s="13" t="n">
        <f aca="false">(E1317/1000)*(F1317/1000)*(G1317/1000)*7850</f>
        <v>436.88704</v>
      </c>
      <c r="I1317" s="8" t="n">
        <v>2</v>
      </c>
      <c r="J1317" s="14" t="n">
        <f aca="false">H1317*I1317</f>
        <v>873.77408</v>
      </c>
      <c r="K1317" s="8" t="s">
        <v>1448</v>
      </c>
    </row>
    <row r="1318" customFormat="false" ht="13.8" hidden="false" customHeight="false" outlineLevel="0" collapsed="false">
      <c r="A1318" s="8" t="s">
        <v>1414</v>
      </c>
      <c r="B1318" s="8" t="s">
        <v>42</v>
      </c>
      <c r="C1318" s="8" t="s">
        <v>147</v>
      </c>
      <c r="D1318" s="8" t="s">
        <v>40</v>
      </c>
      <c r="E1318" s="8" t="n">
        <v>5435</v>
      </c>
      <c r="F1318" s="8" t="n">
        <v>320</v>
      </c>
      <c r="G1318" s="8" t="n">
        <v>32</v>
      </c>
      <c r="H1318" s="13" t="n">
        <f aca="false">(E1318/1000)*(F1318/1000)*(G1318/1000)*7850</f>
        <v>436.88704</v>
      </c>
      <c r="I1318" s="8" t="n">
        <v>2</v>
      </c>
      <c r="J1318" s="14" t="n">
        <f aca="false">H1318*I1318</f>
        <v>873.77408</v>
      </c>
      <c r="K1318" s="8" t="s">
        <v>1448</v>
      </c>
    </row>
    <row r="1319" customFormat="false" ht="13.8" hidden="false" customHeight="false" outlineLevel="0" collapsed="false">
      <c r="A1319" s="8" t="s">
        <v>1414</v>
      </c>
      <c r="B1319" s="8" t="s">
        <v>42</v>
      </c>
      <c r="C1319" s="8" t="s">
        <v>149</v>
      </c>
      <c r="D1319" s="8" t="s">
        <v>40</v>
      </c>
      <c r="E1319" s="8" t="n">
        <v>1200</v>
      </c>
      <c r="F1319" s="8" t="n">
        <v>1200</v>
      </c>
      <c r="G1319" s="8" t="n">
        <v>16</v>
      </c>
      <c r="H1319" s="13" t="n">
        <f aca="false">(E1319/1000)*(F1319/1000)*(G1319/1000)*7850</f>
        <v>180.864</v>
      </c>
      <c r="I1319" s="8" t="n">
        <v>6</v>
      </c>
      <c r="J1319" s="14" t="n">
        <f aca="false">H1319*I1319</f>
        <v>1085.184</v>
      </c>
      <c r="K1319" s="8" t="s">
        <v>1444</v>
      </c>
    </row>
    <row r="1320" customFormat="false" ht="13.8" hidden="false" customHeight="false" outlineLevel="0" collapsed="false">
      <c r="A1320" s="8" t="s">
        <v>1414</v>
      </c>
      <c r="B1320" s="8" t="s">
        <v>171</v>
      </c>
      <c r="C1320" s="8" t="s">
        <v>150</v>
      </c>
      <c r="D1320" s="8" t="s">
        <v>40</v>
      </c>
      <c r="E1320" s="8" t="n">
        <v>6425</v>
      </c>
      <c r="F1320" s="8" t="n">
        <v>1200</v>
      </c>
      <c r="G1320" s="8" t="n">
        <v>36</v>
      </c>
      <c r="H1320" s="13" t="n">
        <f aca="false">(E1320/1000)*(F1320/1000)*(G1320/1000)*7850</f>
        <v>2178.846</v>
      </c>
      <c r="I1320" s="8" t="n">
        <v>2</v>
      </c>
      <c r="J1320" s="14" t="n">
        <f aca="false">H1320*I1320</f>
        <v>4357.692</v>
      </c>
      <c r="K1320" s="8" t="s">
        <v>1449</v>
      </c>
    </row>
    <row r="1321" customFormat="false" ht="13.8" hidden="false" customHeight="false" outlineLevel="0" collapsed="false">
      <c r="A1321" s="8" t="s">
        <v>1414</v>
      </c>
      <c r="B1321" s="8" t="s">
        <v>42</v>
      </c>
      <c r="C1321" s="8" t="s">
        <v>380</v>
      </c>
      <c r="D1321" s="8" t="s">
        <v>40</v>
      </c>
      <c r="E1321" s="8" t="n">
        <v>6425</v>
      </c>
      <c r="F1321" s="8" t="n">
        <v>1200</v>
      </c>
      <c r="G1321" s="8" t="n">
        <v>36</v>
      </c>
      <c r="H1321" s="13" t="n">
        <f aca="false">(E1321/1000)*(F1321/1000)*(G1321/1000)*7850</f>
        <v>2178.846</v>
      </c>
      <c r="I1321" s="8" t="n">
        <v>2</v>
      </c>
      <c r="J1321" s="14" t="n">
        <f aca="false">H1321*I1321</f>
        <v>4357.692</v>
      </c>
      <c r="K1321" s="8" t="s">
        <v>1449</v>
      </c>
    </row>
    <row r="1322" customFormat="false" ht="13.8" hidden="false" customHeight="false" outlineLevel="0" collapsed="false">
      <c r="A1322" s="8" t="s">
        <v>1414</v>
      </c>
      <c r="B1322" s="8" t="s">
        <v>42</v>
      </c>
      <c r="C1322" s="8" t="s">
        <v>155</v>
      </c>
      <c r="D1322" s="8" t="s">
        <v>40</v>
      </c>
      <c r="E1322" s="8" t="n">
        <v>4225</v>
      </c>
      <c r="F1322" s="8" t="n">
        <v>1360</v>
      </c>
      <c r="G1322" s="8" t="n">
        <v>36</v>
      </c>
      <c r="H1322" s="13" t="n">
        <f aca="false">(E1322/1000)*(F1322/1000)*(G1322/1000)*7850</f>
        <v>1623.8196</v>
      </c>
      <c r="I1322" s="8" t="n">
        <v>4</v>
      </c>
      <c r="J1322" s="14" t="n">
        <f aca="false">H1322*I1322</f>
        <v>6495.2784</v>
      </c>
      <c r="K1322" s="8" t="s">
        <v>1450</v>
      </c>
    </row>
    <row r="1323" customFormat="false" ht="13.8" hidden="false" customHeight="false" outlineLevel="0" collapsed="false">
      <c r="A1323" s="8" t="s">
        <v>1414</v>
      </c>
      <c r="B1323" s="8" t="s">
        <v>42</v>
      </c>
      <c r="C1323" s="8" t="s">
        <v>160</v>
      </c>
      <c r="D1323" s="8" t="s">
        <v>40</v>
      </c>
      <c r="E1323" s="8" t="n">
        <v>4225</v>
      </c>
      <c r="F1323" s="8" t="n">
        <v>320</v>
      </c>
      <c r="G1323" s="8" t="n">
        <v>32</v>
      </c>
      <c r="H1323" s="13" t="n">
        <f aca="false">(E1323/1000)*(F1323/1000)*(G1323/1000)*7850</f>
        <v>339.6224</v>
      </c>
      <c r="I1323" s="8" t="n">
        <v>4</v>
      </c>
      <c r="J1323" s="14" t="n">
        <f aca="false">H1323*I1323</f>
        <v>1358.4896</v>
      </c>
      <c r="K1323" s="8" t="s">
        <v>1451</v>
      </c>
    </row>
    <row r="1324" customFormat="false" ht="13.8" hidden="false" customHeight="false" outlineLevel="0" collapsed="false">
      <c r="A1324" s="8" t="s">
        <v>1414</v>
      </c>
      <c r="B1324" s="8" t="s">
        <v>42</v>
      </c>
      <c r="C1324" s="8" t="s">
        <v>163</v>
      </c>
      <c r="D1324" s="8" t="s">
        <v>40</v>
      </c>
      <c r="E1324" s="8" t="n">
        <v>5725</v>
      </c>
      <c r="F1324" s="8" t="n">
        <v>320</v>
      </c>
      <c r="G1324" s="8" t="n">
        <v>32</v>
      </c>
      <c r="H1324" s="13" t="n">
        <f aca="false">(E1324/1000)*(F1324/1000)*(G1324/1000)*7850</f>
        <v>460.1984</v>
      </c>
      <c r="I1324" s="8" t="n">
        <v>2</v>
      </c>
      <c r="J1324" s="14" t="n">
        <f aca="false">H1324*I1324</f>
        <v>920.3968</v>
      </c>
      <c r="K1324" s="8" t="s">
        <v>1452</v>
      </c>
    </row>
    <row r="1325" customFormat="false" ht="13.8" hidden="false" customHeight="false" outlineLevel="0" collapsed="false">
      <c r="A1325" s="8" t="s">
        <v>1414</v>
      </c>
      <c r="B1325" s="8" t="s">
        <v>42</v>
      </c>
      <c r="C1325" s="8" t="s">
        <v>165</v>
      </c>
      <c r="D1325" s="8" t="s">
        <v>40</v>
      </c>
      <c r="E1325" s="8" t="n">
        <v>5725</v>
      </c>
      <c r="F1325" s="8" t="n">
        <v>320</v>
      </c>
      <c r="G1325" s="8" t="n">
        <v>32</v>
      </c>
      <c r="H1325" s="13" t="n">
        <f aca="false">(E1325/1000)*(F1325/1000)*(G1325/1000)*7850</f>
        <v>460.1984</v>
      </c>
      <c r="I1325" s="8" t="n">
        <v>2</v>
      </c>
      <c r="J1325" s="14" t="n">
        <f aca="false">H1325*I1325</f>
        <v>920.3968</v>
      </c>
      <c r="K1325" s="8" t="s">
        <v>1453</v>
      </c>
    </row>
    <row r="1326" customFormat="false" ht="13.8" hidden="false" customHeight="false" outlineLevel="0" collapsed="false">
      <c r="A1326" s="8" t="s">
        <v>1414</v>
      </c>
      <c r="B1326" s="8" t="s">
        <v>42</v>
      </c>
      <c r="C1326" s="8" t="s">
        <v>158</v>
      </c>
      <c r="D1326" s="8" t="s">
        <v>40</v>
      </c>
      <c r="E1326" s="8" t="n">
        <v>1200</v>
      </c>
      <c r="F1326" s="8" t="n">
        <v>1200</v>
      </c>
      <c r="G1326" s="8" t="n">
        <v>16</v>
      </c>
      <c r="H1326" s="13" t="n">
        <f aca="false">(E1326/1000)*(F1326/1000)*(G1326/1000)*7850</f>
        <v>180.864</v>
      </c>
      <c r="I1326" s="8" t="n">
        <v>6</v>
      </c>
      <c r="J1326" s="14" t="n">
        <f aca="false">H1326*I1326</f>
        <v>1085.184</v>
      </c>
      <c r="K1326" s="8" t="s">
        <v>1444</v>
      </c>
    </row>
    <row r="1327" customFormat="false" ht="13.8" hidden="false" customHeight="false" outlineLevel="0" collapsed="false">
      <c r="A1327" s="8" t="s">
        <v>1414</v>
      </c>
      <c r="B1327" s="8" t="s">
        <v>42</v>
      </c>
      <c r="C1327" s="8" t="s">
        <v>386</v>
      </c>
      <c r="D1327" s="8" t="s">
        <v>40</v>
      </c>
      <c r="E1327" s="8" t="n">
        <v>2300</v>
      </c>
      <c r="F1327" s="8" t="n">
        <v>320</v>
      </c>
      <c r="G1327" s="8" t="n">
        <v>32</v>
      </c>
      <c r="H1327" s="13" t="n">
        <f aca="false">(E1327/1000)*(F1327/1000)*(G1327/1000)*7850</f>
        <v>184.8832</v>
      </c>
      <c r="I1327" s="8" t="n">
        <v>8</v>
      </c>
      <c r="J1327" s="14" t="n">
        <f aca="false">H1327*I1327</f>
        <v>1479.0656</v>
      </c>
      <c r="K1327" s="8" t="s">
        <v>1454</v>
      </c>
    </row>
    <row r="1328" customFormat="false" ht="13.8" hidden="false" customHeight="false" outlineLevel="0" collapsed="false">
      <c r="A1328" s="8" t="s">
        <v>1414</v>
      </c>
      <c r="B1328" s="8" t="s">
        <v>42</v>
      </c>
      <c r="C1328" s="8" t="s">
        <v>388</v>
      </c>
      <c r="D1328" s="8" t="s">
        <v>40</v>
      </c>
      <c r="E1328" s="8" t="n">
        <v>2600</v>
      </c>
      <c r="F1328" s="8" t="n">
        <v>320</v>
      </c>
      <c r="G1328" s="8" t="n">
        <v>32</v>
      </c>
      <c r="H1328" s="13" t="n">
        <f aca="false">(E1328/1000)*(F1328/1000)*(G1328/1000)*7850</f>
        <v>208.9984</v>
      </c>
      <c r="I1328" s="8" t="n">
        <v>8</v>
      </c>
      <c r="J1328" s="14" t="n">
        <f aca="false">H1328*I1328</f>
        <v>1671.9872</v>
      </c>
      <c r="K1328" s="8" t="s">
        <v>1455</v>
      </c>
    </row>
    <row r="1329" customFormat="false" ht="13.8" hidden="false" customHeight="false" outlineLevel="0" collapsed="false">
      <c r="A1329" s="8" t="s">
        <v>1414</v>
      </c>
      <c r="B1329" s="8" t="s">
        <v>64</v>
      </c>
      <c r="C1329" s="8" t="s">
        <v>167</v>
      </c>
      <c r="D1329" s="8" t="s">
        <v>40</v>
      </c>
      <c r="E1329" s="8" t="n">
        <v>1560</v>
      </c>
      <c r="F1329" s="8" t="n">
        <v>602</v>
      </c>
      <c r="G1329" s="8" t="n">
        <v>14</v>
      </c>
      <c r="H1329" s="13" t="n">
        <f aca="false">(E1329/1000)*(F1329/1000)*(G1329/1000)*7850</f>
        <v>103.209288</v>
      </c>
      <c r="I1329" s="8" t="n">
        <v>6</v>
      </c>
      <c r="J1329" s="14" t="n">
        <f aca="false">H1329*I1329</f>
        <v>619.255728</v>
      </c>
      <c r="K1329" s="8" t="s">
        <v>1456</v>
      </c>
    </row>
    <row r="1330" customFormat="false" ht="13.8" hidden="false" customHeight="false" outlineLevel="0" collapsed="false">
      <c r="A1330" s="8" t="s">
        <v>1414</v>
      </c>
      <c r="B1330" s="8" t="s">
        <v>42</v>
      </c>
      <c r="C1330" s="8" t="s">
        <v>1457</v>
      </c>
      <c r="D1330" s="8" t="s">
        <v>40</v>
      </c>
      <c r="E1330" s="8" t="n">
        <v>1576</v>
      </c>
      <c r="F1330" s="8" t="n">
        <v>618</v>
      </c>
      <c r="G1330" s="8" t="n">
        <v>14</v>
      </c>
      <c r="H1330" s="13" t="n">
        <f aca="false">(E1330/1000)*(F1330/1000)*(G1330/1000)*7850</f>
        <v>107.0390832</v>
      </c>
      <c r="I1330" s="8" t="n">
        <v>4</v>
      </c>
      <c r="J1330" s="14" t="n">
        <f aca="false">H1330*I1330</f>
        <v>428.1563328</v>
      </c>
      <c r="K1330" s="8" t="s">
        <v>1458</v>
      </c>
    </row>
    <row r="1331" customFormat="false" ht="13.8" hidden="false" customHeight="false" outlineLevel="0" collapsed="false">
      <c r="A1331" s="8" t="s">
        <v>1414</v>
      </c>
      <c r="B1331" s="8" t="s">
        <v>42</v>
      </c>
      <c r="C1331" s="8" t="s">
        <v>169</v>
      </c>
      <c r="D1331" s="8" t="s">
        <v>40</v>
      </c>
      <c r="G1331" s="8" t="n">
        <v>24</v>
      </c>
      <c r="H1331" s="13" t="n">
        <f aca="false">M1331*(G1331/1000)*7850</f>
        <v>86.664</v>
      </c>
      <c r="I1331" s="8" t="n">
        <v>6</v>
      </c>
      <c r="J1331" s="14" t="n">
        <f aca="false">H1331*I1331</f>
        <v>519.984</v>
      </c>
      <c r="K1331" s="8" t="s">
        <v>1459</v>
      </c>
      <c r="M1331" s="15" t="n">
        <v>0.46</v>
      </c>
    </row>
    <row r="1332" customFormat="false" ht="13.8" hidden="false" customHeight="false" outlineLevel="0" collapsed="false">
      <c r="A1332" s="8" t="s">
        <v>1414</v>
      </c>
      <c r="B1332" s="8" t="s">
        <v>42</v>
      </c>
      <c r="C1332" s="8" t="s">
        <v>684</v>
      </c>
      <c r="D1332" s="8" t="s">
        <v>40</v>
      </c>
      <c r="G1332" s="8" t="n">
        <v>24</v>
      </c>
      <c r="H1332" s="13" t="n">
        <f aca="false">M1332*(G1332/1000)*7850</f>
        <v>86.664</v>
      </c>
      <c r="I1332" s="8" t="n">
        <v>4</v>
      </c>
      <c r="J1332" s="14" t="n">
        <f aca="false">H1332*I1332</f>
        <v>346.656</v>
      </c>
      <c r="K1332" s="8" t="s">
        <v>1459</v>
      </c>
      <c r="M1332" s="15" t="n">
        <v>0.46</v>
      </c>
    </row>
    <row r="1333" customFormat="false" ht="13.8" hidden="false" customHeight="false" outlineLevel="0" collapsed="false">
      <c r="A1333" s="8" t="s">
        <v>1414</v>
      </c>
      <c r="B1333" s="8" t="s">
        <v>42</v>
      </c>
      <c r="C1333" s="8" t="s">
        <v>172</v>
      </c>
      <c r="D1333" s="8" t="s">
        <v>40</v>
      </c>
      <c r="E1333" s="8" t="n">
        <v>1450</v>
      </c>
      <c r="F1333" s="8" t="n">
        <v>610</v>
      </c>
      <c r="G1333" s="8" t="n">
        <v>14</v>
      </c>
      <c r="H1333" s="13" t="n">
        <f aca="false">(E1333/1000)*(F1333/1000)*(G1333/1000)*7850</f>
        <v>97.20655</v>
      </c>
      <c r="I1333" s="8" t="n">
        <v>6</v>
      </c>
      <c r="J1333" s="14" t="n">
        <f aca="false">H1333*I1333</f>
        <v>583.2393</v>
      </c>
      <c r="K1333" s="8" t="s">
        <v>1460</v>
      </c>
    </row>
    <row r="1334" customFormat="false" ht="13.8" hidden="false" customHeight="false" outlineLevel="0" collapsed="false">
      <c r="A1334" s="8" t="s">
        <v>1414</v>
      </c>
      <c r="B1334" s="8" t="s">
        <v>42</v>
      </c>
      <c r="C1334" s="8" t="s">
        <v>687</v>
      </c>
      <c r="D1334" s="8" t="s">
        <v>40</v>
      </c>
      <c r="E1334" s="8" t="n">
        <v>1450</v>
      </c>
      <c r="F1334" s="8" t="n">
        <v>618</v>
      </c>
      <c r="G1334" s="8" t="n">
        <v>14</v>
      </c>
      <c r="H1334" s="13" t="n">
        <f aca="false">(E1334/1000)*(F1334/1000)*(G1334/1000)*7850</f>
        <v>98.48139</v>
      </c>
      <c r="I1334" s="8" t="n">
        <v>4</v>
      </c>
      <c r="J1334" s="14" t="n">
        <f aca="false">H1334*I1334</f>
        <v>393.92556</v>
      </c>
      <c r="K1334" s="8" t="s">
        <v>1461</v>
      </c>
    </row>
    <row r="1335" customFormat="false" ht="13.8" hidden="false" customHeight="false" outlineLevel="0" collapsed="false">
      <c r="A1335" s="8" t="s">
        <v>1462</v>
      </c>
      <c r="B1335" s="8" t="s">
        <v>38</v>
      </c>
      <c r="C1335" s="8" t="s">
        <v>179</v>
      </c>
      <c r="D1335" s="8" t="s">
        <v>341</v>
      </c>
      <c r="G1335" s="8" t="n">
        <v>40</v>
      </c>
      <c r="H1335" s="13" t="n">
        <f aca="false">M1335*(G1335/1000)*7850</f>
        <v>3720.9</v>
      </c>
      <c r="I1335" s="8" t="n">
        <v>2</v>
      </c>
      <c r="J1335" s="14" t="n">
        <f aca="false">H1335*I1335</f>
        <v>7441.8</v>
      </c>
      <c r="K1335" s="8" t="s">
        <v>1463</v>
      </c>
      <c r="M1335" s="15" t="n">
        <v>11.85</v>
      </c>
    </row>
    <row r="1336" customFormat="false" ht="13.8" hidden="false" customHeight="false" outlineLevel="0" collapsed="false">
      <c r="A1336" s="8" t="s">
        <v>1462</v>
      </c>
      <c r="B1336" s="8" t="s">
        <v>42</v>
      </c>
      <c r="C1336" s="8" t="s">
        <v>243</v>
      </c>
      <c r="D1336" s="8" t="s">
        <v>341</v>
      </c>
      <c r="G1336" s="8" t="n">
        <v>40</v>
      </c>
      <c r="H1336" s="13" t="n">
        <f aca="false">M1336*(G1336/1000)*7850</f>
        <v>3262.46</v>
      </c>
      <c r="I1336" s="8" t="n">
        <v>2</v>
      </c>
      <c r="J1336" s="14" t="n">
        <f aca="false">H1336*I1336</f>
        <v>6524.92</v>
      </c>
      <c r="K1336" s="8" t="s">
        <v>1464</v>
      </c>
      <c r="M1336" s="15" t="n">
        <v>10.39</v>
      </c>
    </row>
    <row r="1337" customFormat="false" ht="13.8" hidden="false" customHeight="false" outlineLevel="0" collapsed="false">
      <c r="A1337" s="8" t="s">
        <v>1462</v>
      </c>
      <c r="B1337" s="8" t="s">
        <v>45</v>
      </c>
      <c r="C1337" s="8" t="s">
        <v>292</v>
      </c>
      <c r="D1337" s="8" t="s">
        <v>341</v>
      </c>
      <c r="E1337" s="8" t="n">
        <v>7901</v>
      </c>
      <c r="F1337" s="8" t="n">
        <v>1200</v>
      </c>
      <c r="G1337" s="8" t="n">
        <v>40</v>
      </c>
      <c r="H1337" s="13" t="n">
        <f aca="false">(E1337/1000)*(F1337/1000)*(G1337/1000)*7850</f>
        <v>2977.0968</v>
      </c>
      <c r="I1337" s="8" t="n">
        <v>2</v>
      </c>
      <c r="J1337" s="14" t="n">
        <f aca="false">H1337*I1337</f>
        <v>5954.1936</v>
      </c>
      <c r="K1337" s="8" t="s">
        <v>1465</v>
      </c>
    </row>
    <row r="1338" customFormat="false" ht="13.8" hidden="false" customHeight="false" outlineLevel="0" collapsed="false">
      <c r="A1338" s="8" t="s">
        <v>1462</v>
      </c>
      <c r="B1338" s="8" t="s">
        <v>42</v>
      </c>
      <c r="C1338" s="8" t="s">
        <v>185</v>
      </c>
      <c r="D1338" s="8" t="s">
        <v>341</v>
      </c>
      <c r="E1338" s="8" t="n">
        <v>7101</v>
      </c>
      <c r="F1338" s="8" t="n">
        <v>1200</v>
      </c>
      <c r="G1338" s="8" t="n">
        <v>40</v>
      </c>
      <c r="H1338" s="13" t="n">
        <f aca="false">(E1338/1000)*(F1338/1000)*(G1338/1000)*7850</f>
        <v>2675.6568</v>
      </c>
      <c r="I1338" s="8" t="n">
        <v>2</v>
      </c>
      <c r="J1338" s="14" t="n">
        <f aca="false">H1338*I1338</f>
        <v>5351.3136</v>
      </c>
      <c r="K1338" s="8" t="s">
        <v>1466</v>
      </c>
    </row>
    <row r="1339" customFormat="false" ht="13.8" hidden="false" customHeight="false" outlineLevel="0" collapsed="false">
      <c r="A1339" s="8" t="s">
        <v>1462</v>
      </c>
      <c r="B1339" s="8" t="s">
        <v>187</v>
      </c>
      <c r="C1339" s="8" t="s">
        <v>188</v>
      </c>
      <c r="D1339" s="8" t="s">
        <v>341</v>
      </c>
      <c r="G1339" s="8" t="n">
        <v>48</v>
      </c>
      <c r="H1339" s="13" t="n">
        <f aca="false">M1339*(G1339/1000)*7850</f>
        <v>8342.352</v>
      </c>
      <c r="I1339" s="8" t="n">
        <v>4</v>
      </c>
      <c r="J1339" s="14" t="n">
        <f aca="false">H1339*I1339</f>
        <v>33369.408</v>
      </c>
      <c r="K1339" s="8" t="s">
        <v>1467</v>
      </c>
      <c r="M1339" s="15" t="n">
        <v>22.14</v>
      </c>
    </row>
    <row r="1340" customFormat="false" ht="13.8" hidden="false" customHeight="false" outlineLevel="0" collapsed="false">
      <c r="A1340" s="8" t="s">
        <v>1462</v>
      </c>
      <c r="B1340" s="8" t="s">
        <v>190</v>
      </c>
      <c r="C1340" s="8" t="s">
        <v>191</v>
      </c>
      <c r="D1340" s="8" t="s">
        <v>341</v>
      </c>
      <c r="E1340" s="8" t="n">
        <v>7301</v>
      </c>
      <c r="F1340" s="8" t="n">
        <v>1628</v>
      </c>
      <c r="G1340" s="8" t="n">
        <v>48</v>
      </c>
      <c r="H1340" s="13" t="n">
        <f aca="false">(E1340/1000)*(F1340/1000)*(G1340/1000)*7850</f>
        <v>4478.6553504</v>
      </c>
      <c r="I1340" s="8" t="n">
        <v>4</v>
      </c>
      <c r="J1340" s="14" t="n">
        <f aca="false">H1340*I1340</f>
        <v>17914.6214016</v>
      </c>
      <c r="K1340" s="8" t="s">
        <v>1468</v>
      </c>
    </row>
    <row r="1341" customFormat="false" ht="13.8" hidden="false" customHeight="false" outlineLevel="0" collapsed="false">
      <c r="A1341" s="8" t="s">
        <v>1462</v>
      </c>
      <c r="B1341" s="8" t="s">
        <v>195</v>
      </c>
      <c r="C1341" s="8" t="s">
        <v>58</v>
      </c>
      <c r="D1341" s="8" t="s">
        <v>341</v>
      </c>
      <c r="E1341" s="8" t="n">
        <v>1560</v>
      </c>
      <c r="F1341" s="8" t="n">
        <v>1200</v>
      </c>
      <c r="G1341" s="8" t="n">
        <v>16</v>
      </c>
      <c r="H1341" s="13" t="n">
        <f aca="false">(E1341/1000)*(F1341/1000)*(G1341/1000)*7850</f>
        <v>235.1232</v>
      </c>
      <c r="I1341" s="8" t="n">
        <v>6</v>
      </c>
      <c r="J1341" s="14" t="n">
        <f aca="false">H1341*I1341</f>
        <v>1410.7392</v>
      </c>
      <c r="K1341" s="8" t="s">
        <v>1469</v>
      </c>
    </row>
    <row r="1342" customFormat="false" ht="13.8" hidden="false" customHeight="false" outlineLevel="0" collapsed="false">
      <c r="A1342" s="8" t="s">
        <v>1462</v>
      </c>
      <c r="B1342" s="8" t="s">
        <v>42</v>
      </c>
      <c r="C1342" s="8" t="s">
        <v>298</v>
      </c>
      <c r="D1342" s="8" t="s">
        <v>341</v>
      </c>
      <c r="E1342" s="8" t="n">
        <v>1560</v>
      </c>
      <c r="F1342" s="8" t="n">
        <v>1200</v>
      </c>
      <c r="G1342" s="8" t="n">
        <v>16</v>
      </c>
      <c r="H1342" s="13" t="n">
        <f aca="false">(E1342/1000)*(F1342/1000)*(G1342/1000)*7850</f>
        <v>235.1232</v>
      </c>
      <c r="I1342" s="8" t="n">
        <v>4</v>
      </c>
      <c r="J1342" s="14" t="n">
        <f aca="false">H1342*I1342</f>
        <v>940.4928</v>
      </c>
      <c r="K1342" s="8" t="s">
        <v>1469</v>
      </c>
    </row>
    <row r="1343" customFormat="false" ht="13.8" hidden="false" customHeight="false" outlineLevel="0" collapsed="false">
      <c r="A1343" s="8" t="s">
        <v>1462</v>
      </c>
      <c r="B1343" s="8" t="s">
        <v>42</v>
      </c>
      <c r="C1343" s="8" t="s">
        <v>299</v>
      </c>
      <c r="D1343" s="8" t="s">
        <v>341</v>
      </c>
      <c r="E1343" s="8" t="n">
        <v>2057</v>
      </c>
      <c r="F1343" s="8" t="n">
        <v>200</v>
      </c>
      <c r="G1343" s="8" t="n">
        <v>16</v>
      </c>
      <c r="H1343" s="13" t="n">
        <f aca="false">(E1343/1000)*(F1343/1000)*(G1343/1000)*7850</f>
        <v>51.67184</v>
      </c>
      <c r="I1343" s="8" t="n">
        <v>6</v>
      </c>
      <c r="J1343" s="14" t="n">
        <f aca="false">H1343*I1343</f>
        <v>310.03104</v>
      </c>
      <c r="K1343" s="8" t="s">
        <v>1470</v>
      </c>
    </row>
    <row r="1344" customFormat="false" ht="13.8" hidden="false" customHeight="false" outlineLevel="0" collapsed="false">
      <c r="A1344" s="8" t="s">
        <v>1462</v>
      </c>
      <c r="B1344" s="8" t="s">
        <v>42</v>
      </c>
      <c r="C1344" s="8" t="s">
        <v>68</v>
      </c>
      <c r="D1344" s="8" t="s">
        <v>341</v>
      </c>
      <c r="E1344" s="8" t="n">
        <v>600</v>
      </c>
      <c r="F1344" s="8" t="n">
        <v>400</v>
      </c>
      <c r="G1344" s="8" t="n">
        <v>16</v>
      </c>
      <c r="H1344" s="13" t="n">
        <f aca="false">(E1344/1000)*(F1344/1000)*(G1344/1000)*7850</f>
        <v>30.144</v>
      </c>
      <c r="I1344" s="8" t="n">
        <v>8</v>
      </c>
      <c r="J1344" s="14" t="n">
        <f aca="false">H1344*I1344</f>
        <v>241.152</v>
      </c>
      <c r="K1344" s="8" t="s">
        <v>1471</v>
      </c>
    </row>
    <row r="1345" customFormat="false" ht="13.8" hidden="false" customHeight="false" outlineLevel="0" collapsed="false">
      <c r="A1345" s="8" t="s">
        <v>1462</v>
      </c>
      <c r="B1345" s="8" t="s">
        <v>80</v>
      </c>
      <c r="C1345" s="8" t="s">
        <v>72</v>
      </c>
      <c r="D1345" s="8" t="s">
        <v>341</v>
      </c>
      <c r="E1345" s="8" t="n">
        <v>7901</v>
      </c>
      <c r="F1345" s="8" t="n">
        <v>320</v>
      </c>
      <c r="G1345" s="8" t="n">
        <v>32</v>
      </c>
      <c r="H1345" s="13" t="n">
        <f aca="false">(E1345/1000)*(F1345/1000)*(G1345/1000)*7850</f>
        <v>635.113984</v>
      </c>
      <c r="I1345" s="8" t="n">
        <v>12</v>
      </c>
      <c r="J1345" s="14" t="n">
        <f aca="false">H1345*I1345</f>
        <v>7621.367808</v>
      </c>
      <c r="K1345" s="8" t="s">
        <v>1472</v>
      </c>
    </row>
    <row r="1346" customFormat="false" ht="13.8" hidden="false" customHeight="false" outlineLevel="0" collapsed="false">
      <c r="A1346" s="8" t="s">
        <v>1462</v>
      </c>
      <c r="B1346" s="8" t="s">
        <v>42</v>
      </c>
      <c r="C1346" s="8" t="s">
        <v>76</v>
      </c>
      <c r="D1346" s="8" t="s">
        <v>341</v>
      </c>
      <c r="E1346" s="8" t="n">
        <v>7101</v>
      </c>
      <c r="F1346" s="8" t="n">
        <v>320</v>
      </c>
      <c r="G1346" s="8" t="n">
        <v>32</v>
      </c>
      <c r="H1346" s="13" t="n">
        <f aca="false">(E1346/1000)*(F1346/1000)*(G1346/1000)*7850</f>
        <v>570.806784</v>
      </c>
      <c r="I1346" s="8" t="n">
        <v>12</v>
      </c>
      <c r="J1346" s="14" t="n">
        <f aca="false">H1346*I1346</f>
        <v>6849.681408</v>
      </c>
      <c r="K1346" s="8" t="s">
        <v>1473</v>
      </c>
    </row>
    <row r="1347" customFormat="false" ht="13.8" hidden="false" customHeight="false" outlineLevel="0" collapsed="false">
      <c r="A1347" s="8" t="s">
        <v>1462</v>
      </c>
      <c r="B1347" s="8" t="s">
        <v>256</v>
      </c>
      <c r="C1347" s="8" t="s">
        <v>96</v>
      </c>
      <c r="D1347" s="8" t="s">
        <v>341</v>
      </c>
      <c r="E1347" s="8" t="n">
        <v>7903</v>
      </c>
      <c r="F1347" s="8" t="n">
        <v>1850</v>
      </c>
      <c r="G1347" s="8" t="n">
        <v>32</v>
      </c>
      <c r="H1347" s="13" t="n">
        <f aca="false">(E1347/1000)*(F1347/1000)*(G1347/1000)*7850</f>
        <v>3672.68216</v>
      </c>
      <c r="I1347" s="8" t="n">
        <v>2</v>
      </c>
      <c r="J1347" s="14" t="n">
        <f aca="false">H1347*I1347</f>
        <v>7345.36432</v>
      </c>
      <c r="K1347" s="8" t="s">
        <v>1474</v>
      </c>
    </row>
    <row r="1348" customFormat="false" ht="13.8" hidden="false" customHeight="false" outlineLevel="0" collapsed="false">
      <c r="A1348" s="8" t="s">
        <v>1462</v>
      </c>
      <c r="B1348" s="8" t="s">
        <v>42</v>
      </c>
      <c r="C1348" s="8" t="s">
        <v>305</v>
      </c>
      <c r="D1348" s="8" t="s">
        <v>341</v>
      </c>
      <c r="E1348" s="8" t="n">
        <v>7102</v>
      </c>
      <c r="F1348" s="8" t="n">
        <v>1850</v>
      </c>
      <c r="G1348" s="8" t="n">
        <v>32</v>
      </c>
      <c r="H1348" s="13" t="n">
        <f aca="false">(E1348/1000)*(F1348/1000)*(G1348/1000)*7850</f>
        <v>3300.44144</v>
      </c>
      <c r="I1348" s="8" t="n">
        <v>2</v>
      </c>
      <c r="J1348" s="14" t="n">
        <f aca="false">H1348*I1348</f>
        <v>6600.88288</v>
      </c>
      <c r="K1348" s="8" t="s">
        <v>1475</v>
      </c>
    </row>
    <row r="1349" customFormat="false" ht="13.8" hidden="false" customHeight="false" outlineLevel="0" collapsed="false">
      <c r="A1349" s="8" t="s">
        <v>1462</v>
      </c>
      <c r="B1349" s="8" t="s">
        <v>260</v>
      </c>
      <c r="C1349" s="8" t="s">
        <v>307</v>
      </c>
      <c r="D1349" s="8" t="s">
        <v>341</v>
      </c>
      <c r="G1349" s="8" t="n">
        <v>32</v>
      </c>
      <c r="H1349" s="13" t="n">
        <f aca="false">M1349*(G1349/1000)*7850</f>
        <v>3147.536</v>
      </c>
      <c r="I1349" s="8" t="n">
        <v>2</v>
      </c>
      <c r="J1349" s="14" t="n">
        <f aca="false">H1349*I1349</f>
        <v>6295.072</v>
      </c>
      <c r="K1349" s="8" t="s">
        <v>1476</v>
      </c>
      <c r="M1349" s="15" t="n">
        <v>12.53</v>
      </c>
    </row>
    <row r="1350" customFormat="false" ht="13.8" hidden="false" customHeight="false" outlineLevel="0" collapsed="false">
      <c r="A1350" s="8" t="s">
        <v>1462</v>
      </c>
      <c r="B1350" s="8" t="s">
        <v>42</v>
      </c>
      <c r="C1350" s="8" t="s">
        <v>206</v>
      </c>
      <c r="D1350" s="8" t="s">
        <v>341</v>
      </c>
      <c r="G1350" s="8" t="n">
        <v>32</v>
      </c>
      <c r="H1350" s="13" t="n">
        <f aca="false">M1350*(G1350/1000)*7850</f>
        <v>2439.152</v>
      </c>
      <c r="I1350" s="8" t="n">
        <v>2</v>
      </c>
      <c r="J1350" s="14" t="n">
        <f aca="false">H1350*I1350</f>
        <v>4878.304</v>
      </c>
      <c r="K1350" s="8" t="s">
        <v>1477</v>
      </c>
      <c r="M1350" s="15" t="n">
        <v>9.71</v>
      </c>
    </row>
    <row r="1351" customFormat="false" ht="13.8" hidden="false" customHeight="false" outlineLevel="0" collapsed="false">
      <c r="A1351" s="8" t="s">
        <v>1462</v>
      </c>
      <c r="B1351" s="8" t="s">
        <v>105</v>
      </c>
      <c r="C1351" s="8" t="s">
        <v>103</v>
      </c>
      <c r="D1351" s="8" t="s">
        <v>341</v>
      </c>
      <c r="G1351" s="8" t="n">
        <v>48</v>
      </c>
      <c r="H1351" s="13" t="n">
        <f aca="false">M1351*(G1351/1000)*7850</f>
        <v>7807.296</v>
      </c>
      <c r="I1351" s="8" t="n">
        <v>4</v>
      </c>
      <c r="J1351" s="14" t="n">
        <f aca="false">H1351*I1351</f>
        <v>31229.184</v>
      </c>
      <c r="K1351" s="8" t="s">
        <v>1478</v>
      </c>
      <c r="M1351" s="15" t="n">
        <v>20.72</v>
      </c>
    </row>
    <row r="1352" customFormat="false" ht="13.8" hidden="false" customHeight="false" outlineLevel="0" collapsed="false">
      <c r="A1352" s="8" t="s">
        <v>1462</v>
      </c>
      <c r="B1352" s="8" t="s">
        <v>102</v>
      </c>
      <c r="C1352" s="8" t="s">
        <v>106</v>
      </c>
      <c r="D1352" s="8" t="s">
        <v>341</v>
      </c>
      <c r="E1352" s="8" t="n">
        <v>7302</v>
      </c>
      <c r="F1352" s="8" t="n">
        <v>1482</v>
      </c>
      <c r="G1352" s="8" t="n">
        <v>44</v>
      </c>
      <c r="H1352" s="13" t="n">
        <f aca="false">(E1352/1000)*(F1352/1000)*(G1352/1000)*7850</f>
        <v>3737.7682056</v>
      </c>
      <c r="I1352" s="8" t="n">
        <v>4</v>
      </c>
      <c r="J1352" s="14" t="n">
        <f aca="false">H1352*I1352</f>
        <v>14951.0728224</v>
      </c>
      <c r="K1352" s="8" t="s">
        <v>1479</v>
      </c>
    </row>
    <row r="1353" customFormat="false" ht="13.8" hidden="false" customHeight="false" outlineLevel="0" collapsed="false">
      <c r="A1353" s="8" t="s">
        <v>1462</v>
      </c>
      <c r="B1353" s="8" t="s">
        <v>110</v>
      </c>
      <c r="C1353" s="8" t="s">
        <v>108</v>
      </c>
      <c r="D1353" s="8" t="s">
        <v>341</v>
      </c>
      <c r="E1353" s="8" t="n">
        <v>1450</v>
      </c>
      <c r="F1353" s="8" t="n">
        <v>1200</v>
      </c>
      <c r="G1353" s="8" t="n">
        <v>16</v>
      </c>
      <c r="H1353" s="13" t="n">
        <f aca="false">(E1353/1000)*(F1353/1000)*(G1353/1000)*7850</f>
        <v>218.544</v>
      </c>
      <c r="I1353" s="8" t="n">
        <v>6</v>
      </c>
      <c r="J1353" s="14" t="n">
        <f aca="false">H1353*I1353</f>
        <v>1311.264</v>
      </c>
      <c r="K1353" s="8" t="s">
        <v>1480</v>
      </c>
    </row>
    <row r="1354" customFormat="false" ht="13.8" hidden="false" customHeight="false" outlineLevel="0" collapsed="false">
      <c r="A1354" s="8" t="s">
        <v>1462</v>
      </c>
      <c r="B1354" s="8" t="s">
        <v>42</v>
      </c>
      <c r="C1354" s="8" t="s">
        <v>112</v>
      </c>
      <c r="D1354" s="8" t="s">
        <v>341</v>
      </c>
      <c r="E1354" s="8" t="n">
        <v>1450</v>
      </c>
      <c r="F1354" s="8" t="n">
        <v>1200</v>
      </c>
      <c r="G1354" s="8" t="n">
        <v>16</v>
      </c>
      <c r="H1354" s="13" t="n">
        <f aca="false">(E1354/1000)*(F1354/1000)*(G1354/1000)*7850</f>
        <v>218.544</v>
      </c>
      <c r="I1354" s="8" t="n">
        <v>4</v>
      </c>
      <c r="J1354" s="14" t="n">
        <f aca="false">H1354*I1354</f>
        <v>874.176</v>
      </c>
      <c r="K1354" s="8" t="s">
        <v>1480</v>
      </c>
    </row>
    <row r="1355" customFormat="false" ht="13.8" hidden="false" customHeight="false" outlineLevel="0" collapsed="false">
      <c r="A1355" s="8" t="s">
        <v>1462</v>
      </c>
      <c r="B1355" s="8" t="s">
        <v>42</v>
      </c>
      <c r="C1355" s="8" t="s">
        <v>313</v>
      </c>
      <c r="D1355" s="8" t="s">
        <v>341</v>
      </c>
      <c r="E1355" s="8" t="n">
        <v>1657</v>
      </c>
      <c r="F1355" s="8" t="n">
        <v>200</v>
      </c>
      <c r="G1355" s="8" t="n">
        <v>16</v>
      </c>
      <c r="H1355" s="13" t="n">
        <f aca="false">(E1355/1000)*(F1355/1000)*(G1355/1000)*7850</f>
        <v>41.62384</v>
      </c>
      <c r="I1355" s="8" t="n">
        <v>6</v>
      </c>
      <c r="J1355" s="14" t="n">
        <f aca="false">H1355*I1355</f>
        <v>249.74304</v>
      </c>
      <c r="K1355" s="8" t="s">
        <v>1481</v>
      </c>
    </row>
    <row r="1356" customFormat="false" ht="13.8" hidden="false" customHeight="false" outlineLevel="0" collapsed="false">
      <c r="A1356" s="8" t="s">
        <v>1462</v>
      </c>
      <c r="B1356" s="8" t="s">
        <v>268</v>
      </c>
      <c r="C1356" s="8" t="s">
        <v>666</v>
      </c>
      <c r="D1356" s="8" t="s">
        <v>341</v>
      </c>
      <c r="E1356" s="8" t="n">
        <v>7903</v>
      </c>
      <c r="F1356" s="8" t="n">
        <v>320</v>
      </c>
      <c r="G1356" s="8" t="n">
        <v>32</v>
      </c>
      <c r="H1356" s="13" t="n">
        <f aca="false">(E1356/1000)*(F1356/1000)*(G1356/1000)*7850</f>
        <v>635.274752</v>
      </c>
      <c r="I1356" s="8" t="n">
        <v>8</v>
      </c>
      <c r="J1356" s="14" t="n">
        <f aca="false">H1356*I1356</f>
        <v>5082.198016</v>
      </c>
      <c r="K1356" s="8" t="s">
        <v>1482</v>
      </c>
    </row>
    <row r="1357" customFormat="false" ht="13.8" hidden="false" customHeight="false" outlineLevel="0" collapsed="false">
      <c r="A1357" s="8" t="s">
        <v>1462</v>
      </c>
      <c r="B1357" s="8" t="s">
        <v>42</v>
      </c>
      <c r="C1357" s="8" t="s">
        <v>116</v>
      </c>
      <c r="D1357" s="8" t="s">
        <v>341</v>
      </c>
      <c r="E1357" s="8" t="n">
        <v>7102</v>
      </c>
      <c r="F1357" s="8" t="n">
        <v>320</v>
      </c>
      <c r="G1357" s="8" t="n">
        <v>32</v>
      </c>
      <c r="H1357" s="13" t="n">
        <f aca="false">(E1357/1000)*(F1357/1000)*(G1357/1000)*7850</f>
        <v>570.887168</v>
      </c>
      <c r="I1357" s="8" t="n">
        <v>8</v>
      </c>
      <c r="J1357" s="14" t="n">
        <f aca="false">H1357*I1357</f>
        <v>4567.097344</v>
      </c>
      <c r="K1357" s="8" t="s">
        <v>1483</v>
      </c>
    </row>
    <row r="1358" customFormat="false" ht="13.8" hidden="false" customHeight="false" outlineLevel="0" collapsed="false">
      <c r="A1358" s="8" t="s">
        <v>1462</v>
      </c>
      <c r="B1358" s="8" t="s">
        <v>42</v>
      </c>
      <c r="C1358" s="8" t="s">
        <v>118</v>
      </c>
      <c r="D1358" s="8" t="s">
        <v>341</v>
      </c>
      <c r="E1358" s="8" t="n">
        <v>15005</v>
      </c>
      <c r="F1358" s="8" t="n">
        <v>170</v>
      </c>
      <c r="G1358" s="8" t="n">
        <v>14</v>
      </c>
      <c r="H1358" s="13" t="n">
        <f aca="false">(E1358/1000)*(F1358/1000)*(G1358/1000)*7850</f>
        <v>280.338415</v>
      </c>
      <c r="I1358" s="8" t="n">
        <v>2</v>
      </c>
      <c r="J1358" s="14" t="n">
        <f aca="false">H1358*I1358</f>
        <v>560.67683</v>
      </c>
      <c r="K1358" s="8" t="s">
        <v>1484</v>
      </c>
    </row>
    <row r="1359" customFormat="false" ht="13.8" hidden="false" customHeight="false" outlineLevel="0" collapsed="false">
      <c r="A1359" s="8" t="s">
        <v>1462</v>
      </c>
      <c r="B1359" s="8" t="s">
        <v>272</v>
      </c>
      <c r="C1359" s="8" t="s">
        <v>125</v>
      </c>
      <c r="D1359" s="8" t="s">
        <v>40</v>
      </c>
      <c r="E1359" s="8" t="n">
        <v>12589</v>
      </c>
      <c r="F1359" s="8" t="n">
        <v>1200</v>
      </c>
      <c r="G1359" s="8" t="n">
        <v>36</v>
      </c>
      <c r="H1359" s="13" t="n">
        <f aca="false">(E1359/1000)*(F1359/1000)*(G1359/1000)*7850</f>
        <v>4269.18168</v>
      </c>
      <c r="I1359" s="8" t="n">
        <v>2</v>
      </c>
      <c r="J1359" s="14" t="n">
        <f aca="false">H1359*I1359</f>
        <v>8538.36336</v>
      </c>
      <c r="K1359" s="8" t="s">
        <v>1485</v>
      </c>
    </row>
    <row r="1360" customFormat="false" ht="13.8" hidden="false" customHeight="false" outlineLevel="0" collapsed="false">
      <c r="A1360" s="8" t="s">
        <v>1462</v>
      </c>
      <c r="B1360" s="8" t="s">
        <v>42</v>
      </c>
      <c r="C1360" s="8" t="s">
        <v>127</v>
      </c>
      <c r="D1360" s="8" t="s">
        <v>40</v>
      </c>
      <c r="E1360" s="8" t="n">
        <v>12589</v>
      </c>
      <c r="F1360" s="8" t="n">
        <v>1200</v>
      </c>
      <c r="G1360" s="8" t="n">
        <v>36</v>
      </c>
      <c r="H1360" s="13" t="n">
        <f aca="false">(E1360/1000)*(F1360/1000)*(G1360/1000)*7850</f>
        <v>4269.18168</v>
      </c>
      <c r="I1360" s="8" t="n">
        <v>2</v>
      </c>
      <c r="J1360" s="14" t="n">
        <f aca="false">H1360*I1360</f>
        <v>8538.36336</v>
      </c>
      <c r="K1360" s="8" t="s">
        <v>1485</v>
      </c>
    </row>
    <row r="1361" customFormat="false" ht="13.8" hidden="false" customHeight="false" outlineLevel="0" collapsed="false">
      <c r="A1361" s="8" t="s">
        <v>1462</v>
      </c>
      <c r="B1361" s="8" t="s">
        <v>42</v>
      </c>
      <c r="C1361" s="8" t="s">
        <v>128</v>
      </c>
      <c r="D1361" s="8" t="s">
        <v>40</v>
      </c>
      <c r="E1361" s="8" t="n">
        <v>8389</v>
      </c>
      <c r="F1361" s="8" t="n">
        <v>1360</v>
      </c>
      <c r="G1361" s="8" t="n">
        <v>36</v>
      </c>
      <c r="H1361" s="13" t="n">
        <f aca="false">(E1361/1000)*(F1361/1000)*(G1361/1000)*7850</f>
        <v>3224.194704</v>
      </c>
      <c r="I1361" s="8" t="n">
        <v>4</v>
      </c>
      <c r="J1361" s="14" t="n">
        <f aca="false">H1361*I1361</f>
        <v>12896.778816</v>
      </c>
      <c r="K1361" s="8" t="s">
        <v>1486</v>
      </c>
    </row>
    <row r="1362" customFormat="false" ht="13.8" hidden="false" customHeight="false" outlineLevel="0" collapsed="false">
      <c r="A1362" s="8" t="s">
        <v>1462</v>
      </c>
      <c r="B1362" s="8" t="s">
        <v>42</v>
      </c>
      <c r="C1362" s="8" t="s">
        <v>130</v>
      </c>
      <c r="D1362" s="8" t="s">
        <v>40</v>
      </c>
      <c r="E1362" s="8" t="n">
        <v>8389</v>
      </c>
      <c r="F1362" s="8" t="n">
        <v>320</v>
      </c>
      <c r="G1362" s="8" t="n">
        <v>32</v>
      </c>
      <c r="H1362" s="13" t="n">
        <f aca="false">(E1362/1000)*(F1362/1000)*(G1362/1000)*7850</f>
        <v>674.341376</v>
      </c>
      <c r="I1362" s="8" t="n">
        <v>4</v>
      </c>
      <c r="J1362" s="14" t="n">
        <f aca="false">H1362*I1362</f>
        <v>2697.365504</v>
      </c>
      <c r="K1362" s="8" t="s">
        <v>1487</v>
      </c>
    </row>
    <row r="1363" customFormat="false" ht="13.8" hidden="false" customHeight="false" outlineLevel="0" collapsed="false">
      <c r="A1363" s="8" t="s">
        <v>1462</v>
      </c>
      <c r="B1363" s="8" t="s">
        <v>42</v>
      </c>
      <c r="C1363" s="8" t="s">
        <v>132</v>
      </c>
      <c r="D1363" s="8" t="s">
        <v>40</v>
      </c>
      <c r="E1363" s="8" t="n">
        <v>11189</v>
      </c>
      <c r="F1363" s="8" t="n">
        <v>320</v>
      </c>
      <c r="G1363" s="8" t="n">
        <v>32</v>
      </c>
      <c r="H1363" s="13" t="n">
        <f aca="false">(E1363/1000)*(F1363/1000)*(G1363/1000)*7850</f>
        <v>899.416576</v>
      </c>
      <c r="I1363" s="8" t="n">
        <v>2</v>
      </c>
      <c r="J1363" s="14" t="n">
        <f aca="false">H1363*I1363</f>
        <v>1798.833152</v>
      </c>
      <c r="K1363" s="8" t="s">
        <v>1488</v>
      </c>
    </row>
    <row r="1364" customFormat="false" ht="13.8" hidden="false" customHeight="false" outlineLevel="0" collapsed="false">
      <c r="A1364" s="8" t="s">
        <v>1462</v>
      </c>
      <c r="B1364" s="8" t="s">
        <v>42</v>
      </c>
      <c r="C1364" s="8" t="s">
        <v>134</v>
      </c>
      <c r="D1364" s="8" t="s">
        <v>40</v>
      </c>
      <c r="E1364" s="8" t="n">
        <v>11189</v>
      </c>
      <c r="F1364" s="8" t="n">
        <v>320</v>
      </c>
      <c r="G1364" s="8" t="n">
        <v>32</v>
      </c>
      <c r="H1364" s="13" t="n">
        <f aca="false">(E1364/1000)*(F1364/1000)*(G1364/1000)*7850</f>
        <v>899.416576</v>
      </c>
      <c r="I1364" s="8" t="n">
        <v>2</v>
      </c>
      <c r="J1364" s="14" t="n">
        <f aca="false">H1364*I1364</f>
        <v>1798.833152</v>
      </c>
      <c r="K1364" s="8" t="s">
        <v>1488</v>
      </c>
    </row>
    <row r="1365" customFormat="false" ht="13.8" hidden="false" customHeight="false" outlineLevel="0" collapsed="false">
      <c r="A1365" s="8" t="s">
        <v>1462</v>
      </c>
      <c r="B1365" s="8" t="s">
        <v>42</v>
      </c>
      <c r="C1365" s="8" t="s">
        <v>135</v>
      </c>
      <c r="D1365" s="8" t="s">
        <v>40</v>
      </c>
      <c r="E1365" s="8" t="n">
        <v>1200</v>
      </c>
      <c r="F1365" s="8" t="n">
        <v>1200</v>
      </c>
      <c r="G1365" s="8" t="n">
        <v>16</v>
      </c>
      <c r="H1365" s="13" t="n">
        <f aca="false">(E1365/1000)*(F1365/1000)*(G1365/1000)*7850</f>
        <v>180.864</v>
      </c>
      <c r="I1365" s="8" t="n">
        <v>6</v>
      </c>
      <c r="J1365" s="14" t="n">
        <f aca="false">H1365*I1365</f>
        <v>1085.184</v>
      </c>
      <c r="K1365" s="8" t="s">
        <v>1489</v>
      </c>
    </row>
    <row r="1366" customFormat="false" ht="13.8" hidden="false" customHeight="false" outlineLevel="0" collapsed="false">
      <c r="A1366" s="8" t="s">
        <v>1462</v>
      </c>
      <c r="B1366" s="8" t="s">
        <v>42</v>
      </c>
      <c r="C1366" s="8" t="s">
        <v>137</v>
      </c>
      <c r="D1366" s="8" t="s">
        <v>40</v>
      </c>
      <c r="E1366" s="8" t="n">
        <v>5853</v>
      </c>
      <c r="F1366" s="8" t="n">
        <v>1200</v>
      </c>
      <c r="G1366" s="8" t="n">
        <v>40</v>
      </c>
      <c r="H1366" s="13" t="n">
        <f aca="false">(E1366/1000)*(F1366/1000)*(G1366/1000)*7850</f>
        <v>2205.4104</v>
      </c>
      <c r="I1366" s="8" t="n">
        <v>2</v>
      </c>
      <c r="J1366" s="14" t="n">
        <f aca="false">H1366*I1366</f>
        <v>4410.8208</v>
      </c>
      <c r="K1366" s="8" t="s">
        <v>1490</v>
      </c>
    </row>
    <row r="1367" customFormat="false" ht="13.8" hidden="false" customHeight="false" outlineLevel="0" collapsed="false">
      <c r="A1367" s="8" t="s">
        <v>1462</v>
      </c>
      <c r="B1367" s="8" t="s">
        <v>42</v>
      </c>
      <c r="C1367" s="8" t="s">
        <v>139</v>
      </c>
      <c r="D1367" s="8" t="s">
        <v>40</v>
      </c>
      <c r="E1367" s="8" t="n">
        <v>6053</v>
      </c>
      <c r="F1367" s="8" t="n">
        <v>1200</v>
      </c>
      <c r="G1367" s="8" t="n">
        <v>40</v>
      </c>
      <c r="H1367" s="13" t="n">
        <f aca="false">(E1367/1000)*(F1367/1000)*(G1367/1000)*7850</f>
        <v>2280.7704</v>
      </c>
      <c r="I1367" s="8" t="n">
        <v>2</v>
      </c>
      <c r="J1367" s="14" t="n">
        <f aca="false">H1367*I1367</f>
        <v>4561.5408</v>
      </c>
      <c r="K1367" s="8" t="s">
        <v>1491</v>
      </c>
    </row>
    <row r="1368" customFormat="false" ht="13.8" hidden="false" customHeight="false" outlineLevel="0" collapsed="false">
      <c r="A1368" s="8" t="s">
        <v>1462</v>
      </c>
      <c r="B1368" s="8" t="s">
        <v>42</v>
      </c>
      <c r="C1368" s="8" t="s">
        <v>141</v>
      </c>
      <c r="D1368" s="8" t="s">
        <v>40</v>
      </c>
      <c r="E1368" s="8" t="n">
        <v>4053</v>
      </c>
      <c r="F1368" s="8" t="n">
        <v>1760</v>
      </c>
      <c r="G1368" s="8" t="n">
        <v>40</v>
      </c>
      <c r="H1368" s="13" t="n">
        <f aca="false">(E1368/1000)*(F1368/1000)*(G1368/1000)*7850</f>
        <v>2239.84992</v>
      </c>
      <c r="I1368" s="8" t="n">
        <v>4</v>
      </c>
      <c r="J1368" s="14" t="n">
        <f aca="false">H1368*I1368</f>
        <v>8959.39968</v>
      </c>
      <c r="K1368" s="8" t="s">
        <v>1492</v>
      </c>
    </row>
    <row r="1369" customFormat="false" ht="13.8" hidden="false" customHeight="false" outlineLevel="0" collapsed="false">
      <c r="A1369" s="8" t="s">
        <v>1462</v>
      </c>
      <c r="B1369" s="8" t="s">
        <v>42</v>
      </c>
      <c r="C1369" s="8" t="s">
        <v>143</v>
      </c>
      <c r="D1369" s="8" t="s">
        <v>40</v>
      </c>
      <c r="E1369" s="8" t="n">
        <v>4053</v>
      </c>
      <c r="F1369" s="8" t="n">
        <v>320</v>
      </c>
      <c r="G1369" s="8" t="n">
        <v>32</v>
      </c>
      <c r="H1369" s="13" t="n">
        <f aca="false">(E1369/1000)*(F1369/1000)*(G1369/1000)*7850</f>
        <v>325.796352</v>
      </c>
      <c r="I1369" s="8" t="n">
        <v>8</v>
      </c>
      <c r="J1369" s="14" t="n">
        <f aca="false">H1369*I1369</f>
        <v>2606.370816</v>
      </c>
      <c r="K1369" s="8" t="s">
        <v>1493</v>
      </c>
    </row>
    <row r="1370" customFormat="false" ht="13.8" hidden="false" customHeight="false" outlineLevel="0" collapsed="false">
      <c r="A1370" s="8" t="s">
        <v>1462</v>
      </c>
      <c r="B1370" s="8" t="s">
        <v>42</v>
      </c>
      <c r="C1370" s="8" t="s">
        <v>145</v>
      </c>
      <c r="D1370" s="8" t="s">
        <v>40</v>
      </c>
      <c r="E1370" s="8" t="n">
        <v>5153</v>
      </c>
      <c r="F1370" s="8" t="n">
        <v>320</v>
      </c>
      <c r="G1370" s="8" t="n">
        <v>32</v>
      </c>
      <c r="H1370" s="13" t="n">
        <f aca="false">(E1370/1000)*(F1370/1000)*(G1370/1000)*7850</f>
        <v>414.218752</v>
      </c>
      <c r="I1370" s="8" t="n">
        <v>2</v>
      </c>
      <c r="J1370" s="14" t="n">
        <f aca="false">H1370*I1370</f>
        <v>828.437504</v>
      </c>
      <c r="K1370" s="8" t="s">
        <v>1494</v>
      </c>
    </row>
    <row r="1371" customFormat="false" ht="13.8" hidden="false" customHeight="false" outlineLevel="0" collapsed="false">
      <c r="A1371" s="8" t="s">
        <v>1462</v>
      </c>
      <c r="B1371" s="8" t="s">
        <v>42</v>
      </c>
      <c r="C1371" s="8" t="s">
        <v>147</v>
      </c>
      <c r="D1371" s="8" t="s">
        <v>40</v>
      </c>
      <c r="E1371" s="8" t="n">
        <v>5353</v>
      </c>
      <c r="F1371" s="8" t="n">
        <v>320</v>
      </c>
      <c r="G1371" s="8" t="n">
        <v>32</v>
      </c>
      <c r="H1371" s="13" t="n">
        <f aca="false">(E1371/1000)*(F1371/1000)*(G1371/1000)*7850</f>
        <v>430.295552</v>
      </c>
      <c r="I1371" s="8" t="n">
        <v>2</v>
      </c>
      <c r="J1371" s="14" t="n">
        <f aca="false">H1371*I1371</f>
        <v>860.591104</v>
      </c>
      <c r="K1371" s="8" t="s">
        <v>1495</v>
      </c>
    </row>
    <row r="1372" customFormat="false" ht="13.8" hidden="false" customHeight="false" outlineLevel="0" collapsed="false">
      <c r="A1372" s="8" t="s">
        <v>1462</v>
      </c>
      <c r="B1372" s="8" t="s">
        <v>42</v>
      </c>
      <c r="C1372" s="8" t="s">
        <v>149</v>
      </c>
      <c r="D1372" s="8" t="s">
        <v>40</v>
      </c>
      <c r="E1372" s="8" t="n">
        <v>1200</v>
      </c>
      <c r="F1372" s="8" t="n">
        <v>1600</v>
      </c>
      <c r="G1372" s="8" t="n">
        <v>16</v>
      </c>
      <c r="H1372" s="13" t="n">
        <f aca="false">(E1372/1000)*(F1372/1000)*(G1372/1000)*7850</f>
        <v>241.152</v>
      </c>
      <c r="I1372" s="8" t="n">
        <v>4</v>
      </c>
      <c r="J1372" s="14" t="n">
        <f aca="false">H1372*I1372</f>
        <v>964.608</v>
      </c>
      <c r="K1372" s="8" t="s">
        <v>1496</v>
      </c>
    </row>
    <row r="1373" customFormat="false" ht="13.8" hidden="false" customHeight="false" outlineLevel="0" collapsed="false">
      <c r="A1373" s="8" t="s">
        <v>1462</v>
      </c>
      <c r="B1373" s="8" t="s">
        <v>171</v>
      </c>
      <c r="C1373" s="8" t="s">
        <v>150</v>
      </c>
      <c r="D1373" s="8" t="s">
        <v>341</v>
      </c>
      <c r="E1373" s="8" t="n">
        <v>6335</v>
      </c>
      <c r="F1373" s="8" t="n">
        <v>1200</v>
      </c>
      <c r="G1373" s="8" t="n">
        <v>40</v>
      </c>
      <c r="H1373" s="13" t="n">
        <f aca="false">(E1373/1000)*(F1373/1000)*(G1373/1000)*7850</f>
        <v>2387.028</v>
      </c>
      <c r="I1373" s="8" t="n">
        <v>2</v>
      </c>
      <c r="J1373" s="14" t="n">
        <f aca="false">H1373*I1373</f>
        <v>4774.056</v>
      </c>
      <c r="K1373" s="8" t="s">
        <v>1497</v>
      </c>
    </row>
    <row r="1374" customFormat="false" ht="13.8" hidden="false" customHeight="false" outlineLevel="0" collapsed="false">
      <c r="A1374" s="8" t="s">
        <v>1462</v>
      </c>
      <c r="B1374" s="8" t="s">
        <v>42</v>
      </c>
      <c r="C1374" s="8" t="s">
        <v>380</v>
      </c>
      <c r="D1374" s="8" t="s">
        <v>341</v>
      </c>
      <c r="E1374" s="8" t="n">
        <v>6335</v>
      </c>
      <c r="F1374" s="8" t="n">
        <v>1200</v>
      </c>
      <c r="G1374" s="8" t="n">
        <v>40</v>
      </c>
      <c r="H1374" s="13" t="n">
        <f aca="false">(E1374/1000)*(F1374/1000)*(G1374/1000)*7850</f>
        <v>2387.028</v>
      </c>
      <c r="I1374" s="8" t="n">
        <v>2</v>
      </c>
      <c r="J1374" s="14" t="n">
        <f aca="false">H1374*I1374</f>
        <v>4774.056</v>
      </c>
      <c r="K1374" s="8" t="s">
        <v>1497</v>
      </c>
    </row>
    <row r="1375" customFormat="false" ht="13.8" hidden="false" customHeight="false" outlineLevel="0" collapsed="false">
      <c r="A1375" s="8" t="s">
        <v>1462</v>
      </c>
      <c r="B1375" s="8" t="s">
        <v>42</v>
      </c>
      <c r="C1375" s="8" t="s">
        <v>155</v>
      </c>
      <c r="D1375" s="8" t="s">
        <v>341</v>
      </c>
      <c r="E1375" s="8" t="n">
        <v>4135</v>
      </c>
      <c r="F1375" s="8" t="n">
        <v>1360</v>
      </c>
      <c r="G1375" s="8" t="n">
        <v>40</v>
      </c>
      <c r="H1375" s="13" t="n">
        <f aca="false">(E1375/1000)*(F1375/1000)*(G1375/1000)*7850</f>
        <v>1765.8104</v>
      </c>
      <c r="I1375" s="8" t="n">
        <v>4</v>
      </c>
      <c r="J1375" s="14" t="n">
        <f aca="false">H1375*I1375</f>
        <v>7063.2416</v>
      </c>
      <c r="K1375" s="8" t="s">
        <v>1498</v>
      </c>
    </row>
    <row r="1376" customFormat="false" ht="13.8" hidden="false" customHeight="false" outlineLevel="0" collapsed="false">
      <c r="A1376" s="8" t="s">
        <v>1462</v>
      </c>
      <c r="B1376" s="8" t="s">
        <v>42</v>
      </c>
      <c r="C1376" s="8" t="s">
        <v>160</v>
      </c>
      <c r="D1376" s="8" t="s">
        <v>341</v>
      </c>
      <c r="E1376" s="8" t="n">
        <v>4135</v>
      </c>
      <c r="F1376" s="8" t="n">
        <v>320</v>
      </c>
      <c r="G1376" s="8" t="n">
        <v>32</v>
      </c>
      <c r="H1376" s="13" t="n">
        <f aca="false">(E1376/1000)*(F1376/1000)*(G1376/1000)*7850</f>
        <v>332.38784</v>
      </c>
      <c r="I1376" s="8" t="n">
        <v>8</v>
      </c>
      <c r="J1376" s="14" t="n">
        <f aca="false">H1376*I1376</f>
        <v>2659.10272</v>
      </c>
      <c r="K1376" s="8" t="s">
        <v>1499</v>
      </c>
    </row>
    <row r="1377" customFormat="false" ht="13.8" hidden="false" customHeight="false" outlineLevel="0" collapsed="false">
      <c r="A1377" s="8" t="s">
        <v>1462</v>
      </c>
      <c r="B1377" s="8" t="s">
        <v>42</v>
      </c>
      <c r="C1377" s="8" t="s">
        <v>165</v>
      </c>
      <c r="D1377" s="8" t="s">
        <v>341</v>
      </c>
      <c r="E1377" s="8" t="n">
        <v>5635</v>
      </c>
      <c r="F1377" s="8" t="n">
        <v>320</v>
      </c>
      <c r="G1377" s="8" t="n">
        <v>32</v>
      </c>
      <c r="H1377" s="13" t="n">
        <f aca="false">(E1377/1000)*(F1377/1000)*(G1377/1000)*7850</f>
        <v>452.96384</v>
      </c>
      <c r="I1377" s="8" t="n">
        <v>2</v>
      </c>
      <c r="J1377" s="14" t="n">
        <f aca="false">H1377*I1377</f>
        <v>905.92768</v>
      </c>
      <c r="K1377" s="8" t="s">
        <v>1500</v>
      </c>
    </row>
    <row r="1378" customFormat="false" ht="13.8" hidden="false" customHeight="false" outlineLevel="0" collapsed="false">
      <c r="A1378" s="8" t="s">
        <v>1462</v>
      </c>
      <c r="B1378" s="8" t="s">
        <v>42</v>
      </c>
      <c r="C1378" s="8" t="s">
        <v>158</v>
      </c>
      <c r="D1378" s="8" t="s">
        <v>341</v>
      </c>
      <c r="E1378" s="8" t="n">
        <v>1200</v>
      </c>
      <c r="F1378" s="8" t="n">
        <v>1200</v>
      </c>
      <c r="G1378" s="8" t="n">
        <v>16</v>
      </c>
      <c r="H1378" s="13" t="n">
        <f aca="false">(E1378/1000)*(F1378/1000)*(G1378/1000)*7850</f>
        <v>180.864</v>
      </c>
      <c r="I1378" s="8" t="n">
        <v>4</v>
      </c>
      <c r="J1378" s="14" t="n">
        <f aca="false">H1378*I1378</f>
        <v>723.456</v>
      </c>
      <c r="K1378" s="8" t="s">
        <v>1489</v>
      </c>
    </row>
    <row r="1379" customFormat="false" ht="13.8" hidden="false" customHeight="false" outlineLevel="0" collapsed="false">
      <c r="A1379" s="8" t="s">
        <v>1462</v>
      </c>
      <c r="B1379" s="8" t="s">
        <v>42</v>
      </c>
      <c r="C1379" s="8" t="s">
        <v>386</v>
      </c>
      <c r="D1379" s="8" t="s">
        <v>341</v>
      </c>
      <c r="E1379" s="8" t="n">
        <v>2100</v>
      </c>
      <c r="F1379" s="8" t="n">
        <v>320</v>
      </c>
      <c r="G1379" s="8" t="n">
        <v>32</v>
      </c>
      <c r="H1379" s="13" t="n">
        <f aca="false">(E1379/1000)*(F1379/1000)*(G1379/1000)*7850</f>
        <v>168.8064</v>
      </c>
      <c r="I1379" s="8" t="n">
        <v>12</v>
      </c>
      <c r="J1379" s="14" t="n">
        <f aca="false">H1379*I1379</f>
        <v>2025.6768</v>
      </c>
      <c r="K1379" s="8" t="s">
        <v>1501</v>
      </c>
    </row>
    <row r="1380" customFormat="false" ht="13.8" hidden="false" customHeight="false" outlineLevel="0" collapsed="false">
      <c r="A1380" s="8" t="s">
        <v>1462</v>
      </c>
      <c r="B1380" s="8" t="s">
        <v>42</v>
      </c>
      <c r="C1380" s="8" t="s">
        <v>388</v>
      </c>
      <c r="D1380" s="8" t="s">
        <v>341</v>
      </c>
      <c r="E1380" s="8" t="n">
        <v>2200</v>
      </c>
      <c r="F1380" s="8" t="n">
        <v>320</v>
      </c>
      <c r="G1380" s="8" t="n">
        <v>32</v>
      </c>
      <c r="H1380" s="13" t="n">
        <f aca="false">(E1380/1000)*(F1380/1000)*(G1380/1000)*7850</f>
        <v>176.8448</v>
      </c>
      <c r="I1380" s="8" t="n">
        <v>8</v>
      </c>
      <c r="J1380" s="14" t="n">
        <f aca="false">H1380*I1380</f>
        <v>1414.7584</v>
      </c>
      <c r="K1380" s="8" t="s">
        <v>1502</v>
      </c>
    </row>
    <row r="1381" customFormat="false" ht="13.8" hidden="false" customHeight="false" outlineLevel="0" collapsed="false">
      <c r="A1381" s="8" t="s">
        <v>1462</v>
      </c>
      <c r="B1381" s="8" t="s">
        <v>64</v>
      </c>
      <c r="C1381" s="8" t="s">
        <v>167</v>
      </c>
      <c r="D1381" s="8" t="s">
        <v>40</v>
      </c>
      <c r="E1381" s="8" t="n">
        <v>1560</v>
      </c>
      <c r="F1381" s="8" t="n">
        <v>602</v>
      </c>
      <c r="G1381" s="8" t="n">
        <v>14</v>
      </c>
      <c r="H1381" s="13" t="n">
        <f aca="false">(E1381/1000)*(F1381/1000)*(G1381/1000)*7850</f>
        <v>103.209288</v>
      </c>
      <c r="I1381" s="8" t="n">
        <v>6</v>
      </c>
      <c r="J1381" s="14" t="n">
        <f aca="false">H1381*I1381</f>
        <v>619.255728</v>
      </c>
      <c r="K1381" s="8" t="s">
        <v>1503</v>
      </c>
    </row>
    <row r="1382" customFormat="false" ht="13.8" hidden="false" customHeight="false" outlineLevel="0" collapsed="false">
      <c r="A1382" s="8" t="s">
        <v>1462</v>
      </c>
      <c r="B1382" s="8" t="s">
        <v>42</v>
      </c>
      <c r="C1382" s="8" t="s">
        <v>334</v>
      </c>
      <c r="D1382" s="8" t="s">
        <v>40</v>
      </c>
      <c r="E1382" s="8" t="n">
        <v>1560</v>
      </c>
      <c r="F1382" s="8" t="n">
        <v>602</v>
      </c>
      <c r="G1382" s="8" t="n">
        <v>14</v>
      </c>
      <c r="H1382" s="13" t="n">
        <f aca="false">(E1382/1000)*(F1382/1000)*(G1382/1000)*7850</f>
        <v>103.209288</v>
      </c>
      <c r="I1382" s="8" t="n">
        <v>4</v>
      </c>
      <c r="J1382" s="14" t="n">
        <f aca="false">H1382*I1382</f>
        <v>412.837152</v>
      </c>
      <c r="K1382" s="8" t="s">
        <v>1503</v>
      </c>
    </row>
    <row r="1383" customFormat="false" ht="13.8" hidden="false" customHeight="false" outlineLevel="0" collapsed="false">
      <c r="A1383" s="8" t="s">
        <v>1462</v>
      </c>
      <c r="B1383" s="8" t="s">
        <v>42</v>
      </c>
      <c r="C1383" s="8" t="s">
        <v>169</v>
      </c>
      <c r="D1383" s="8" t="s">
        <v>40</v>
      </c>
      <c r="G1383" s="8" t="n">
        <v>24</v>
      </c>
      <c r="H1383" s="13" t="n">
        <f aca="false">M1383*(G1383/1000)*7850</f>
        <v>86.664</v>
      </c>
      <c r="I1383" s="8" t="n">
        <v>6</v>
      </c>
      <c r="J1383" s="14" t="n">
        <f aca="false">H1383*I1383</f>
        <v>519.984</v>
      </c>
      <c r="K1383" s="8" t="s">
        <v>1504</v>
      </c>
      <c r="M1383" s="15" t="n">
        <v>0.46</v>
      </c>
    </row>
    <row r="1384" customFormat="false" ht="13.8" hidden="false" customHeight="false" outlineLevel="0" collapsed="false">
      <c r="A1384" s="8" t="s">
        <v>1462</v>
      </c>
      <c r="B1384" s="8" t="s">
        <v>42</v>
      </c>
      <c r="C1384" s="8" t="s">
        <v>236</v>
      </c>
      <c r="D1384" s="8" t="s">
        <v>40</v>
      </c>
      <c r="G1384" s="8" t="n">
        <v>24</v>
      </c>
      <c r="H1384" s="13" t="n">
        <f aca="false">M1384*(G1384/1000)*7850</f>
        <v>86.664</v>
      </c>
      <c r="I1384" s="8" t="n">
        <v>4</v>
      </c>
      <c r="J1384" s="14" t="n">
        <f aca="false">H1384*I1384</f>
        <v>346.656</v>
      </c>
      <c r="K1384" s="8" t="s">
        <v>1504</v>
      </c>
      <c r="M1384" s="15" t="n">
        <v>0.46</v>
      </c>
    </row>
    <row r="1385" customFormat="false" ht="13.8" hidden="false" customHeight="false" outlineLevel="0" collapsed="false">
      <c r="A1385" s="8" t="s">
        <v>1462</v>
      </c>
      <c r="B1385" s="8" t="s">
        <v>42</v>
      </c>
      <c r="C1385" s="8" t="s">
        <v>172</v>
      </c>
      <c r="D1385" s="8" t="s">
        <v>40</v>
      </c>
      <c r="E1385" s="8" t="n">
        <v>1350</v>
      </c>
      <c r="F1385" s="8" t="n">
        <v>602</v>
      </c>
      <c r="G1385" s="8" t="n">
        <v>14</v>
      </c>
      <c r="H1385" s="13" t="n">
        <f aca="false">(E1385/1000)*(F1385/1000)*(G1385/1000)*7850</f>
        <v>89.31573</v>
      </c>
      <c r="I1385" s="8" t="n">
        <v>6</v>
      </c>
      <c r="J1385" s="14" t="n">
        <f aca="false">H1385*I1385</f>
        <v>535.89438</v>
      </c>
      <c r="K1385" s="8" t="s">
        <v>1505</v>
      </c>
    </row>
    <row r="1386" customFormat="false" ht="13.8" hidden="false" customHeight="false" outlineLevel="0" collapsed="false">
      <c r="A1386" s="8" t="s">
        <v>1462</v>
      </c>
      <c r="B1386" s="8" t="s">
        <v>42</v>
      </c>
      <c r="C1386" s="8" t="s">
        <v>687</v>
      </c>
      <c r="D1386" s="8" t="s">
        <v>40</v>
      </c>
      <c r="E1386" s="8" t="n">
        <v>1350</v>
      </c>
      <c r="F1386" s="8" t="n">
        <v>606</v>
      </c>
      <c r="G1386" s="8" t="n">
        <v>14</v>
      </c>
      <c r="H1386" s="13" t="n">
        <f aca="false">(E1386/1000)*(F1386/1000)*(G1386/1000)*7850</f>
        <v>89.90919</v>
      </c>
      <c r="I1386" s="8" t="n">
        <v>4</v>
      </c>
      <c r="J1386" s="14" t="n">
        <f aca="false">H1386*I1386</f>
        <v>359.63676</v>
      </c>
      <c r="K1386" s="8" t="s">
        <v>1506</v>
      </c>
    </row>
    <row r="1387" customFormat="false" ht="13.8" hidden="false" customHeight="false" outlineLevel="0" collapsed="false">
      <c r="A1387" s="8" t="s">
        <v>1507</v>
      </c>
      <c r="B1387" s="8" t="s">
        <v>38</v>
      </c>
      <c r="C1387" s="8" t="s">
        <v>179</v>
      </c>
      <c r="D1387" s="8" t="s">
        <v>341</v>
      </c>
      <c r="G1387" s="8" t="n">
        <v>40</v>
      </c>
      <c r="H1387" s="13" t="n">
        <f aca="false">M1387*(G1387/1000)*7850</f>
        <v>3720.9</v>
      </c>
      <c r="I1387" s="8" t="n">
        <v>2</v>
      </c>
      <c r="J1387" s="14" t="n">
        <f aca="false">H1387*I1387</f>
        <v>7441.8</v>
      </c>
      <c r="K1387" s="8" t="s">
        <v>1508</v>
      </c>
      <c r="M1387" s="15" t="n">
        <v>11.85</v>
      </c>
    </row>
    <row r="1388" customFormat="false" ht="13.8" hidden="false" customHeight="false" outlineLevel="0" collapsed="false">
      <c r="A1388" s="8" t="s">
        <v>1507</v>
      </c>
      <c r="B1388" s="8" t="s">
        <v>42</v>
      </c>
      <c r="C1388" s="8" t="s">
        <v>243</v>
      </c>
      <c r="D1388" s="8" t="s">
        <v>341</v>
      </c>
      <c r="G1388" s="8" t="n">
        <v>40</v>
      </c>
      <c r="H1388" s="13" t="n">
        <f aca="false">M1388*(G1388/1000)*7850</f>
        <v>3265.6</v>
      </c>
      <c r="I1388" s="8" t="n">
        <v>2</v>
      </c>
      <c r="J1388" s="14" t="n">
        <f aca="false">H1388*I1388</f>
        <v>6531.2</v>
      </c>
      <c r="K1388" s="8" t="s">
        <v>1509</v>
      </c>
      <c r="M1388" s="15" t="n">
        <v>10.4</v>
      </c>
    </row>
    <row r="1389" customFormat="false" ht="13.8" hidden="false" customHeight="false" outlineLevel="0" collapsed="false">
      <c r="A1389" s="8" t="s">
        <v>1507</v>
      </c>
      <c r="B1389" s="8" t="s">
        <v>45</v>
      </c>
      <c r="C1389" s="8" t="s">
        <v>292</v>
      </c>
      <c r="D1389" s="8" t="s">
        <v>341</v>
      </c>
      <c r="E1389" s="8" t="n">
        <v>7900</v>
      </c>
      <c r="F1389" s="8" t="n">
        <v>1200</v>
      </c>
      <c r="G1389" s="8" t="n">
        <v>40</v>
      </c>
      <c r="H1389" s="13" t="n">
        <f aca="false">(E1389/1000)*(F1389/1000)*(G1389/1000)*7850</f>
        <v>2976.72</v>
      </c>
      <c r="I1389" s="8" t="n">
        <v>2</v>
      </c>
      <c r="J1389" s="14" t="n">
        <f aca="false">H1389*I1389</f>
        <v>5953.44</v>
      </c>
      <c r="K1389" s="8" t="s">
        <v>1510</v>
      </c>
    </row>
    <row r="1390" customFormat="false" ht="13.8" hidden="false" customHeight="false" outlineLevel="0" collapsed="false">
      <c r="A1390" s="8" t="s">
        <v>1507</v>
      </c>
      <c r="B1390" s="8" t="s">
        <v>42</v>
      </c>
      <c r="C1390" s="8" t="s">
        <v>345</v>
      </c>
      <c r="D1390" s="8" t="s">
        <v>341</v>
      </c>
      <c r="E1390" s="8" t="n">
        <v>7100</v>
      </c>
      <c r="F1390" s="8" t="n">
        <v>1200</v>
      </c>
      <c r="G1390" s="8" t="n">
        <v>40</v>
      </c>
      <c r="H1390" s="13" t="n">
        <f aca="false">(E1390/1000)*(F1390/1000)*(G1390/1000)*7850</f>
        <v>2675.28</v>
      </c>
      <c r="I1390" s="8" t="n">
        <v>2</v>
      </c>
      <c r="J1390" s="14" t="n">
        <f aca="false">H1390*I1390</f>
        <v>5350.56</v>
      </c>
      <c r="K1390" s="8" t="s">
        <v>1511</v>
      </c>
    </row>
    <row r="1391" customFormat="false" ht="13.8" hidden="false" customHeight="false" outlineLevel="0" collapsed="false">
      <c r="A1391" s="8" t="s">
        <v>1507</v>
      </c>
      <c r="B1391" s="8" t="s">
        <v>187</v>
      </c>
      <c r="C1391" s="8" t="s">
        <v>188</v>
      </c>
      <c r="D1391" s="8" t="s">
        <v>341</v>
      </c>
      <c r="G1391" s="8" t="n">
        <v>44</v>
      </c>
      <c r="H1391" s="13" t="n">
        <f aca="false">M1391*(G1391/1000)*7850</f>
        <v>7923.476</v>
      </c>
      <c r="I1391" s="8" t="n">
        <v>4</v>
      </c>
      <c r="J1391" s="14" t="n">
        <f aca="false">H1391*I1391</f>
        <v>31693.904</v>
      </c>
      <c r="K1391" s="8" t="s">
        <v>1512</v>
      </c>
      <c r="M1391" s="15" t="n">
        <v>22.94</v>
      </c>
    </row>
    <row r="1392" customFormat="false" ht="13.8" hidden="false" customHeight="false" outlineLevel="0" collapsed="false">
      <c r="A1392" s="8" t="s">
        <v>1507</v>
      </c>
      <c r="B1392" s="8" t="s">
        <v>190</v>
      </c>
      <c r="C1392" s="8" t="s">
        <v>50</v>
      </c>
      <c r="D1392" s="8" t="s">
        <v>341</v>
      </c>
      <c r="E1392" s="8" t="n">
        <v>7300</v>
      </c>
      <c r="F1392" s="8" t="n">
        <v>1628</v>
      </c>
      <c r="G1392" s="8" t="n">
        <v>48</v>
      </c>
      <c r="H1392" s="13" t="n">
        <f aca="false">(E1392/1000)*(F1392/1000)*(G1392/1000)*7850</f>
        <v>4478.04192</v>
      </c>
      <c r="I1392" s="8" t="n">
        <v>4</v>
      </c>
      <c r="J1392" s="14" t="n">
        <f aca="false">H1392*I1392</f>
        <v>17912.16768</v>
      </c>
      <c r="K1392" s="8" t="s">
        <v>1513</v>
      </c>
    </row>
    <row r="1393" customFormat="false" ht="13.8" hidden="false" customHeight="false" outlineLevel="0" collapsed="false">
      <c r="A1393" s="8" t="s">
        <v>1507</v>
      </c>
      <c r="B1393" s="8" t="s">
        <v>195</v>
      </c>
      <c r="C1393" s="8" t="s">
        <v>58</v>
      </c>
      <c r="D1393" s="8" t="s">
        <v>341</v>
      </c>
      <c r="E1393" s="8" t="n">
        <v>1560</v>
      </c>
      <c r="F1393" s="8" t="n">
        <v>1200</v>
      </c>
      <c r="G1393" s="8" t="n">
        <v>16</v>
      </c>
      <c r="H1393" s="13" t="n">
        <f aca="false">(E1393/1000)*(F1393/1000)*(G1393/1000)*7850</f>
        <v>235.1232</v>
      </c>
      <c r="I1393" s="8" t="n">
        <v>6</v>
      </c>
      <c r="J1393" s="14" t="n">
        <f aca="false">H1393*I1393</f>
        <v>1410.7392</v>
      </c>
      <c r="K1393" s="8" t="s">
        <v>1514</v>
      </c>
    </row>
    <row r="1394" customFormat="false" ht="13.8" hidden="false" customHeight="false" outlineLevel="0" collapsed="false">
      <c r="A1394" s="8" t="s">
        <v>1507</v>
      </c>
      <c r="B1394" s="8" t="s">
        <v>42</v>
      </c>
      <c r="C1394" s="8" t="s">
        <v>1515</v>
      </c>
      <c r="D1394" s="8" t="s">
        <v>341</v>
      </c>
      <c r="E1394" s="8" t="n">
        <v>1560</v>
      </c>
      <c r="F1394" s="8" t="n">
        <v>1200</v>
      </c>
      <c r="G1394" s="8" t="n">
        <v>16</v>
      </c>
      <c r="H1394" s="13" t="n">
        <f aca="false">(E1394/1000)*(F1394/1000)*(G1394/1000)*7850</f>
        <v>235.1232</v>
      </c>
      <c r="I1394" s="8" t="n">
        <v>4</v>
      </c>
      <c r="J1394" s="14" t="n">
        <f aca="false">H1394*I1394</f>
        <v>940.4928</v>
      </c>
      <c r="K1394" s="8" t="s">
        <v>1514</v>
      </c>
    </row>
    <row r="1395" customFormat="false" ht="13.8" hidden="false" customHeight="false" outlineLevel="0" collapsed="false">
      <c r="A1395" s="8" t="s">
        <v>1507</v>
      </c>
      <c r="B1395" s="8" t="s">
        <v>42</v>
      </c>
      <c r="C1395" s="8" t="s">
        <v>196</v>
      </c>
      <c r="D1395" s="8" t="s">
        <v>341</v>
      </c>
      <c r="E1395" s="8" t="n">
        <v>2057</v>
      </c>
      <c r="F1395" s="8" t="n">
        <v>200</v>
      </c>
      <c r="G1395" s="8" t="n">
        <v>16</v>
      </c>
      <c r="H1395" s="13" t="n">
        <f aca="false">(E1395/1000)*(F1395/1000)*(G1395/1000)*7850</f>
        <v>51.67184</v>
      </c>
      <c r="I1395" s="8" t="n">
        <v>6</v>
      </c>
      <c r="J1395" s="14" t="n">
        <f aca="false">H1395*I1395</f>
        <v>310.03104</v>
      </c>
      <c r="K1395" s="8" t="s">
        <v>1516</v>
      </c>
    </row>
    <row r="1396" customFormat="false" ht="13.8" hidden="false" customHeight="false" outlineLevel="0" collapsed="false">
      <c r="A1396" s="8" t="s">
        <v>1507</v>
      </c>
      <c r="B1396" s="8" t="s">
        <v>42</v>
      </c>
      <c r="C1396" s="8" t="s">
        <v>68</v>
      </c>
      <c r="D1396" s="8" t="s">
        <v>341</v>
      </c>
      <c r="E1396" s="8" t="n">
        <v>600</v>
      </c>
      <c r="F1396" s="8" t="n">
        <v>400</v>
      </c>
      <c r="G1396" s="8" t="n">
        <v>16</v>
      </c>
      <c r="H1396" s="13" t="n">
        <f aca="false">(E1396/1000)*(F1396/1000)*(G1396/1000)*7850</f>
        <v>30.144</v>
      </c>
      <c r="I1396" s="8" t="n">
        <v>8</v>
      </c>
      <c r="J1396" s="14" t="n">
        <f aca="false">H1396*I1396</f>
        <v>241.152</v>
      </c>
      <c r="K1396" s="8" t="s">
        <v>1517</v>
      </c>
    </row>
    <row r="1397" customFormat="false" ht="13.8" hidden="false" customHeight="false" outlineLevel="0" collapsed="false">
      <c r="A1397" s="8" t="s">
        <v>1507</v>
      </c>
      <c r="B1397" s="8" t="s">
        <v>932</v>
      </c>
      <c r="C1397" s="8" t="s">
        <v>199</v>
      </c>
      <c r="D1397" s="8" t="s">
        <v>341</v>
      </c>
      <c r="E1397" s="8" t="n">
        <v>7900</v>
      </c>
      <c r="F1397" s="8" t="n">
        <v>320</v>
      </c>
      <c r="G1397" s="8" t="n">
        <v>32</v>
      </c>
      <c r="H1397" s="13" t="n">
        <f aca="false">(E1397/1000)*(F1397/1000)*(G1397/1000)*7850</f>
        <v>635.0336</v>
      </c>
      <c r="I1397" s="8" t="n">
        <v>12</v>
      </c>
      <c r="J1397" s="14" t="n">
        <f aca="false">H1397*I1397</f>
        <v>7620.4032</v>
      </c>
      <c r="K1397" s="8" t="s">
        <v>1518</v>
      </c>
    </row>
    <row r="1398" customFormat="false" ht="13.8" hidden="false" customHeight="false" outlineLevel="0" collapsed="false">
      <c r="A1398" s="8" t="s">
        <v>1507</v>
      </c>
      <c r="B1398" s="8" t="s">
        <v>42</v>
      </c>
      <c r="C1398" s="8" t="s">
        <v>76</v>
      </c>
      <c r="D1398" s="8" t="s">
        <v>341</v>
      </c>
      <c r="E1398" s="8" t="n">
        <v>7100</v>
      </c>
      <c r="F1398" s="8" t="n">
        <v>320</v>
      </c>
      <c r="G1398" s="8" t="n">
        <v>32</v>
      </c>
      <c r="H1398" s="13" t="n">
        <f aca="false">(E1398/1000)*(F1398/1000)*(G1398/1000)*7850</f>
        <v>570.7264</v>
      </c>
      <c r="I1398" s="8" t="n">
        <v>12</v>
      </c>
      <c r="J1398" s="14" t="n">
        <f aca="false">H1398*I1398</f>
        <v>6848.7168</v>
      </c>
      <c r="K1398" s="8" t="s">
        <v>1519</v>
      </c>
    </row>
    <row r="1399" customFormat="false" ht="13.8" hidden="false" customHeight="false" outlineLevel="0" collapsed="false">
      <c r="A1399" s="8" t="s">
        <v>1507</v>
      </c>
      <c r="B1399" s="8" t="s">
        <v>256</v>
      </c>
      <c r="C1399" s="8" t="s">
        <v>96</v>
      </c>
      <c r="D1399" s="8" t="s">
        <v>341</v>
      </c>
      <c r="E1399" s="8" t="n">
        <v>7901</v>
      </c>
      <c r="F1399" s="8" t="n">
        <v>1850</v>
      </c>
      <c r="G1399" s="8" t="n">
        <v>32</v>
      </c>
      <c r="H1399" s="13" t="n">
        <f aca="false">(E1399/1000)*(F1399/1000)*(G1399/1000)*7850</f>
        <v>3671.75272</v>
      </c>
      <c r="I1399" s="8" t="n">
        <v>2</v>
      </c>
      <c r="J1399" s="14" t="n">
        <f aca="false">H1399*I1399</f>
        <v>7343.50544</v>
      </c>
      <c r="K1399" s="8" t="s">
        <v>1520</v>
      </c>
    </row>
    <row r="1400" customFormat="false" ht="13.8" hidden="false" customHeight="false" outlineLevel="0" collapsed="false">
      <c r="A1400" s="8" t="s">
        <v>1507</v>
      </c>
      <c r="B1400" s="8" t="s">
        <v>42</v>
      </c>
      <c r="C1400" s="8" t="s">
        <v>305</v>
      </c>
      <c r="D1400" s="8" t="s">
        <v>341</v>
      </c>
      <c r="E1400" s="8" t="n">
        <v>7101</v>
      </c>
      <c r="F1400" s="8" t="n">
        <v>1850</v>
      </c>
      <c r="G1400" s="8" t="n">
        <v>32</v>
      </c>
      <c r="H1400" s="13" t="n">
        <f aca="false">(E1400/1000)*(F1400/1000)*(G1400/1000)*7850</f>
        <v>3299.97672</v>
      </c>
      <c r="I1400" s="8" t="n">
        <v>2</v>
      </c>
      <c r="J1400" s="14" t="n">
        <f aca="false">H1400*I1400</f>
        <v>6599.95344</v>
      </c>
      <c r="K1400" s="8" t="s">
        <v>1521</v>
      </c>
    </row>
    <row r="1401" customFormat="false" ht="13.8" hidden="false" customHeight="false" outlineLevel="0" collapsed="false">
      <c r="A1401" s="8" t="s">
        <v>1507</v>
      </c>
      <c r="B1401" s="8" t="s">
        <v>260</v>
      </c>
      <c r="C1401" s="8" t="s">
        <v>100</v>
      </c>
      <c r="D1401" s="8" t="s">
        <v>341</v>
      </c>
      <c r="G1401" s="8" t="n">
        <v>40</v>
      </c>
      <c r="H1401" s="13" t="n">
        <f aca="false">M1401*(G1401/1000)*7850</f>
        <v>4961.2</v>
      </c>
      <c r="I1401" s="8" t="n">
        <v>2</v>
      </c>
      <c r="J1401" s="14" t="n">
        <f aca="false">H1401*I1401</f>
        <v>9922.4</v>
      </c>
      <c r="K1401" s="8" t="s">
        <v>1522</v>
      </c>
      <c r="M1401" s="15" t="n">
        <v>15.8</v>
      </c>
    </row>
    <row r="1402" customFormat="false" ht="13.8" hidden="false" customHeight="false" outlineLevel="0" collapsed="false">
      <c r="A1402" s="8" t="s">
        <v>1507</v>
      </c>
      <c r="B1402" s="8" t="s">
        <v>42</v>
      </c>
      <c r="C1402" s="8" t="s">
        <v>206</v>
      </c>
      <c r="D1402" s="8" t="s">
        <v>341</v>
      </c>
      <c r="G1402" s="8" t="n">
        <v>32</v>
      </c>
      <c r="H1402" s="13" t="n">
        <f aca="false">M1402*(G1402/1000)*7850</f>
        <v>2612.48</v>
      </c>
      <c r="I1402" s="8" t="n">
        <v>2</v>
      </c>
      <c r="J1402" s="14" t="n">
        <f aca="false">H1402*I1402</f>
        <v>5224.96</v>
      </c>
      <c r="K1402" s="8" t="s">
        <v>1523</v>
      </c>
      <c r="M1402" s="15" t="n">
        <v>10.4</v>
      </c>
    </row>
    <row r="1403" customFormat="false" ht="13.8" hidden="false" customHeight="false" outlineLevel="0" collapsed="false">
      <c r="A1403" s="8" t="s">
        <v>1507</v>
      </c>
      <c r="B1403" s="8" t="s">
        <v>105</v>
      </c>
      <c r="C1403" s="8" t="s">
        <v>103</v>
      </c>
      <c r="D1403" s="8" t="s">
        <v>341</v>
      </c>
      <c r="G1403" s="8" t="n">
        <v>44</v>
      </c>
      <c r="H1403" s="13" t="n">
        <f aca="false">M1403*(G1403/1000)*7850</f>
        <v>7792.224</v>
      </c>
      <c r="I1403" s="8" t="n">
        <v>4</v>
      </c>
      <c r="J1403" s="14" t="n">
        <f aca="false">H1403*I1403</f>
        <v>31168.896</v>
      </c>
      <c r="K1403" s="8" t="s">
        <v>1524</v>
      </c>
      <c r="M1403" s="15" t="n">
        <v>22.56</v>
      </c>
    </row>
    <row r="1404" customFormat="false" ht="13.8" hidden="false" customHeight="false" outlineLevel="0" collapsed="false">
      <c r="A1404" s="8" t="s">
        <v>1507</v>
      </c>
      <c r="B1404" s="8" t="s">
        <v>102</v>
      </c>
      <c r="C1404" s="8" t="s">
        <v>106</v>
      </c>
      <c r="D1404" s="8" t="s">
        <v>341</v>
      </c>
      <c r="E1404" s="8" t="n">
        <v>7301</v>
      </c>
      <c r="F1404" s="8" t="n">
        <v>1482</v>
      </c>
      <c r="G1404" s="8" t="n">
        <v>44</v>
      </c>
      <c r="H1404" s="13" t="n">
        <f aca="false">(E1404/1000)*(F1404/1000)*(G1404/1000)*7850</f>
        <v>3737.2563228</v>
      </c>
      <c r="I1404" s="8" t="n">
        <v>4</v>
      </c>
      <c r="J1404" s="14" t="n">
        <f aca="false">H1404*I1404</f>
        <v>14949.0252912</v>
      </c>
      <c r="K1404" s="8" t="s">
        <v>1525</v>
      </c>
    </row>
    <row r="1405" customFormat="false" ht="13.8" hidden="false" customHeight="false" outlineLevel="0" collapsed="false">
      <c r="A1405" s="8" t="s">
        <v>1507</v>
      </c>
      <c r="B1405" s="8" t="s">
        <v>110</v>
      </c>
      <c r="C1405" s="8" t="s">
        <v>108</v>
      </c>
      <c r="D1405" s="8" t="s">
        <v>341</v>
      </c>
      <c r="E1405" s="8" t="n">
        <v>1450</v>
      </c>
      <c r="F1405" s="8" t="n">
        <v>1200</v>
      </c>
      <c r="G1405" s="8" t="n">
        <v>16</v>
      </c>
      <c r="H1405" s="13" t="n">
        <f aca="false">(E1405/1000)*(F1405/1000)*(G1405/1000)*7850</f>
        <v>218.544</v>
      </c>
      <c r="I1405" s="8" t="n">
        <v>6</v>
      </c>
      <c r="J1405" s="14" t="n">
        <f aca="false">H1405*I1405</f>
        <v>1311.264</v>
      </c>
      <c r="K1405" s="8" t="s">
        <v>1526</v>
      </c>
    </row>
    <row r="1406" customFormat="false" ht="13.8" hidden="false" customHeight="false" outlineLevel="0" collapsed="false">
      <c r="A1406" s="8" t="s">
        <v>1507</v>
      </c>
      <c r="B1406" s="8" t="s">
        <v>42</v>
      </c>
      <c r="C1406" s="8" t="s">
        <v>112</v>
      </c>
      <c r="D1406" s="8" t="s">
        <v>341</v>
      </c>
      <c r="E1406" s="8" t="n">
        <v>1450</v>
      </c>
      <c r="F1406" s="8" t="n">
        <v>1200</v>
      </c>
      <c r="G1406" s="8" t="n">
        <v>16</v>
      </c>
      <c r="H1406" s="13" t="n">
        <f aca="false">(E1406/1000)*(F1406/1000)*(G1406/1000)*7850</f>
        <v>218.544</v>
      </c>
      <c r="I1406" s="8" t="n">
        <v>4</v>
      </c>
      <c r="J1406" s="14" t="n">
        <f aca="false">H1406*I1406</f>
        <v>874.176</v>
      </c>
      <c r="K1406" s="8" t="s">
        <v>1526</v>
      </c>
    </row>
    <row r="1407" customFormat="false" ht="13.8" hidden="false" customHeight="false" outlineLevel="0" collapsed="false">
      <c r="A1407" s="8" t="s">
        <v>1507</v>
      </c>
      <c r="B1407" s="8" t="s">
        <v>42</v>
      </c>
      <c r="C1407" s="8" t="s">
        <v>211</v>
      </c>
      <c r="D1407" s="8" t="s">
        <v>341</v>
      </c>
      <c r="E1407" s="8" t="n">
        <v>1657</v>
      </c>
      <c r="F1407" s="8" t="n">
        <v>200</v>
      </c>
      <c r="G1407" s="8" t="n">
        <v>16</v>
      </c>
      <c r="H1407" s="13" t="n">
        <f aca="false">(E1407/1000)*(F1407/1000)*(G1407/1000)*7850</f>
        <v>41.62384</v>
      </c>
      <c r="I1407" s="8" t="n">
        <v>6</v>
      </c>
      <c r="J1407" s="14" t="n">
        <f aca="false">H1407*I1407</f>
        <v>249.74304</v>
      </c>
      <c r="K1407" s="8" t="s">
        <v>1527</v>
      </c>
    </row>
    <row r="1408" customFormat="false" ht="13.8" hidden="false" customHeight="false" outlineLevel="0" collapsed="false">
      <c r="A1408" s="8" t="s">
        <v>1507</v>
      </c>
      <c r="B1408" s="8" t="s">
        <v>42</v>
      </c>
      <c r="C1408" s="8" t="s">
        <v>114</v>
      </c>
      <c r="D1408" s="8" t="s">
        <v>341</v>
      </c>
      <c r="E1408" s="8" t="n">
        <v>7901</v>
      </c>
      <c r="F1408" s="8" t="n">
        <v>320</v>
      </c>
      <c r="G1408" s="8" t="n">
        <v>32</v>
      </c>
      <c r="H1408" s="13" t="n">
        <f aca="false">(E1408/1000)*(F1408/1000)*(G1408/1000)*7850</f>
        <v>635.113984</v>
      </c>
      <c r="I1408" s="8" t="n">
        <v>8</v>
      </c>
      <c r="J1408" s="14" t="n">
        <f aca="false">H1408*I1408</f>
        <v>5080.911872</v>
      </c>
      <c r="K1408" s="8" t="s">
        <v>1528</v>
      </c>
    </row>
    <row r="1409" customFormat="false" ht="13.8" hidden="false" customHeight="false" outlineLevel="0" collapsed="false">
      <c r="A1409" s="8" t="s">
        <v>1507</v>
      </c>
      <c r="B1409" s="8" t="s">
        <v>42</v>
      </c>
      <c r="C1409" s="8" t="s">
        <v>116</v>
      </c>
      <c r="D1409" s="8" t="s">
        <v>341</v>
      </c>
      <c r="E1409" s="8" t="n">
        <v>7101</v>
      </c>
      <c r="F1409" s="8" t="n">
        <v>320</v>
      </c>
      <c r="G1409" s="8" t="n">
        <v>32</v>
      </c>
      <c r="H1409" s="13" t="n">
        <f aca="false">(E1409/1000)*(F1409/1000)*(G1409/1000)*7850</f>
        <v>570.806784</v>
      </c>
      <c r="I1409" s="8" t="n">
        <v>8</v>
      </c>
      <c r="J1409" s="14" t="n">
        <f aca="false">H1409*I1409</f>
        <v>4566.454272</v>
      </c>
      <c r="K1409" s="8" t="s">
        <v>1529</v>
      </c>
    </row>
    <row r="1410" customFormat="false" ht="13.8" hidden="false" customHeight="false" outlineLevel="0" collapsed="false">
      <c r="A1410" s="8" t="s">
        <v>1507</v>
      </c>
      <c r="B1410" s="8" t="s">
        <v>42</v>
      </c>
      <c r="C1410" s="8" t="s">
        <v>118</v>
      </c>
      <c r="D1410" s="8" t="s">
        <v>341</v>
      </c>
      <c r="E1410" s="8" t="n">
        <v>15002</v>
      </c>
      <c r="F1410" s="8" t="n">
        <v>170</v>
      </c>
      <c r="G1410" s="8" t="n">
        <v>14</v>
      </c>
      <c r="H1410" s="13" t="n">
        <f aca="false">(E1410/1000)*(F1410/1000)*(G1410/1000)*7850</f>
        <v>280.282366</v>
      </c>
      <c r="I1410" s="8" t="n">
        <v>4</v>
      </c>
      <c r="J1410" s="14" t="n">
        <f aca="false">H1410*I1410</f>
        <v>1121.129464</v>
      </c>
      <c r="K1410" s="8" t="s">
        <v>1530</v>
      </c>
    </row>
    <row r="1411" customFormat="false" ht="13.8" hidden="false" customHeight="false" outlineLevel="0" collapsed="false">
      <c r="A1411" s="8" t="s">
        <v>1507</v>
      </c>
      <c r="B1411" s="8" t="s">
        <v>272</v>
      </c>
      <c r="C1411" s="8" t="s">
        <v>125</v>
      </c>
      <c r="D1411" s="8" t="s">
        <v>341</v>
      </c>
      <c r="E1411" s="8" t="n">
        <v>11812</v>
      </c>
      <c r="F1411" s="8" t="n">
        <v>1200</v>
      </c>
      <c r="G1411" s="8" t="n">
        <v>40</v>
      </c>
      <c r="H1411" s="13" t="n">
        <f aca="false">(E1411/1000)*(F1411/1000)*(G1411/1000)*7850</f>
        <v>4450.7616</v>
      </c>
      <c r="I1411" s="8" t="n">
        <v>2</v>
      </c>
      <c r="J1411" s="14" t="n">
        <f aca="false">H1411*I1411</f>
        <v>8901.5232</v>
      </c>
      <c r="K1411" s="8" t="s">
        <v>1531</v>
      </c>
    </row>
    <row r="1412" customFormat="false" ht="13.8" hidden="false" customHeight="false" outlineLevel="0" collapsed="false">
      <c r="A1412" s="8" t="s">
        <v>1507</v>
      </c>
      <c r="B1412" s="8" t="s">
        <v>42</v>
      </c>
      <c r="C1412" s="8" t="s">
        <v>127</v>
      </c>
      <c r="D1412" s="8" t="s">
        <v>341</v>
      </c>
      <c r="E1412" s="8" t="n">
        <v>12212</v>
      </c>
      <c r="F1412" s="8" t="n">
        <v>1200</v>
      </c>
      <c r="G1412" s="8" t="n">
        <v>40</v>
      </c>
      <c r="H1412" s="13" t="n">
        <f aca="false">(E1412/1000)*(F1412/1000)*(G1412/1000)*7850</f>
        <v>4601.4816</v>
      </c>
      <c r="I1412" s="8" t="n">
        <v>2</v>
      </c>
      <c r="J1412" s="14" t="n">
        <f aca="false">H1412*I1412</f>
        <v>9202.9632</v>
      </c>
      <c r="K1412" s="8" t="s">
        <v>1532</v>
      </c>
    </row>
    <row r="1413" customFormat="false" ht="13.8" hidden="false" customHeight="false" outlineLevel="0" collapsed="false">
      <c r="A1413" s="8" t="s">
        <v>1507</v>
      </c>
      <c r="B1413" s="8" t="s">
        <v>42</v>
      </c>
      <c r="C1413" s="8" t="s">
        <v>128</v>
      </c>
      <c r="D1413" s="8" t="s">
        <v>341</v>
      </c>
      <c r="E1413" s="8" t="n">
        <v>8212</v>
      </c>
      <c r="F1413" s="8" t="n">
        <v>1760</v>
      </c>
      <c r="G1413" s="8" t="n">
        <v>40</v>
      </c>
      <c r="H1413" s="13" t="n">
        <f aca="false">(E1413/1000)*(F1413/1000)*(G1413/1000)*7850</f>
        <v>4538.27968</v>
      </c>
      <c r="I1413" s="8" t="n">
        <v>4</v>
      </c>
      <c r="J1413" s="14" t="n">
        <f aca="false">H1413*I1413</f>
        <v>18153.11872</v>
      </c>
      <c r="K1413" s="8" t="s">
        <v>1533</v>
      </c>
    </row>
    <row r="1414" customFormat="false" ht="13.8" hidden="false" customHeight="false" outlineLevel="0" collapsed="false">
      <c r="A1414" s="8" t="s">
        <v>1507</v>
      </c>
      <c r="B1414" s="8" t="s">
        <v>42</v>
      </c>
      <c r="C1414" s="8" t="s">
        <v>130</v>
      </c>
      <c r="D1414" s="8" t="s">
        <v>341</v>
      </c>
      <c r="E1414" s="8" t="n">
        <v>8212</v>
      </c>
      <c r="F1414" s="8" t="n">
        <v>320</v>
      </c>
      <c r="G1414" s="8" t="n">
        <v>32</v>
      </c>
      <c r="H1414" s="13" t="n">
        <f aca="false">(E1414/1000)*(F1414/1000)*(G1414/1000)*7850</f>
        <v>660.113408</v>
      </c>
      <c r="I1414" s="8" t="n">
        <v>8</v>
      </c>
      <c r="J1414" s="14" t="n">
        <f aca="false">H1414*I1414</f>
        <v>5280.907264</v>
      </c>
      <c r="K1414" s="8" t="s">
        <v>1534</v>
      </c>
    </row>
    <row r="1415" customFormat="false" ht="13.8" hidden="false" customHeight="false" outlineLevel="0" collapsed="false">
      <c r="A1415" s="8" t="s">
        <v>1507</v>
      </c>
      <c r="B1415" s="8" t="s">
        <v>42</v>
      </c>
      <c r="C1415" s="8" t="s">
        <v>132</v>
      </c>
      <c r="D1415" s="8" t="s">
        <v>341</v>
      </c>
      <c r="E1415" s="8" t="n">
        <v>10412</v>
      </c>
      <c r="F1415" s="8" t="n">
        <v>320</v>
      </c>
      <c r="G1415" s="8" t="n">
        <v>32</v>
      </c>
      <c r="H1415" s="13" t="n">
        <f aca="false">(E1415/1000)*(F1415/1000)*(G1415/1000)*7850</f>
        <v>836.958208</v>
      </c>
      <c r="I1415" s="8" t="n">
        <v>2</v>
      </c>
      <c r="J1415" s="14" t="n">
        <f aca="false">H1415*I1415</f>
        <v>1673.916416</v>
      </c>
      <c r="K1415" s="8" t="s">
        <v>1535</v>
      </c>
    </row>
    <row r="1416" customFormat="false" ht="13.8" hidden="false" customHeight="false" outlineLevel="0" collapsed="false">
      <c r="A1416" s="8" t="s">
        <v>1507</v>
      </c>
      <c r="B1416" s="8" t="s">
        <v>42</v>
      </c>
      <c r="C1416" s="8" t="s">
        <v>134</v>
      </c>
      <c r="D1416" s="8" t="s">
        <v>341</v>
      </c>
      <c r="E1416" s="8" t="n">
        <v>10812</v>
      </c>
      <c r="F1416" s="8" t="n">
        <v>320</v>
      </c>
      <c r="G1416" s="8" t="n">
        <v>32</v>
      </c>
      <c r="H1416" s="13" t="n">
        <f aca="false">(E1416/1000)*(F1416/1000)*(G1416/1000)*7850</f>
        <v>869.111808</v>
      </c>
      <c r="I1416" s="8" t="n">
        <v>2</v>
      </c>
      <c r="J1416" s="14" t="n">
        <f aca="false">H1416*I1416</f>
        <v>1738.223616</v>
      </c>
      <c r="K1416" s="8" t="s">
        <v>1536</v>
      </c>
    </row>
    <row r="1417" customFormat="false" ht="13.8" hidden="false" customHeight="false" outlineLevel="0" collapsed="false">
      <c r="A1417" s="8" t="s">
        <v>1507</v>
      </c>
      <c r="B1417" s="8" t="s">
        <v>42</v>
      </c>
      <c r="C1417" s="8" t="s">
        <v>135</v>
      </c>
      <c r="D1417" s="8" t="s">
        <v>341</v>
      </c>
      <c r="E1417" s="8" t="n">
        <v>1200</v>
      </c>
      <c r="F1417" s="8" t="n">
        <v>1600</v>
      </c>
      <c r="G1417" s="8" t="n">
        <v>16</v>
      </c>
      <c r="H1417" s="13" t="n">
        <f aca="false">(E1417/1000)*(F1417/1000)*(G1417/1000)*7850</f>
        <v>241.152</v>
      </c>
      <c r="I1417" s="8" t="n">
        <v>6</v>
      </c>
      <c r="J1417" s="14" t="n">
        <f aca="false">H1417*I1417</f>
        <v>1446.912</v>
      </c>
      <c r="K1417" s="8" t="s">
        <v>1537</v>
      </c>
    </row>
    <row r="1418" customFormat="false" ht="13.8" hidden="false" customHeight="false" outlineLevel="0" collapsed="false">
      <c r="A1418" s="8" t="s">
        <v>1507</v>
      </c>
      <c r="B1418" s="8" t="s">
        <v>42</v>
      </c>
      <c r="C1418" s="8" t="s">
        <v>321</v>
      </c>
      <c r="D1418" s="8" t="s">
        <v>341</v>
      </c>
      <c r="E1418" s="8" t="n">
        <v>5769</v>
      </c>
      <c r="F1418" s="8" t="n">
        <v>1200</v>
      </c>
      <c r="G1418" s="8" t="n">
        <v>40</v>
      </c>
      <c r="H1418" s="13" t="n">
        <f aca="false">(E1418/1000)*(F1418/1000)*(G1418/1000)*7850</f>
        <v>2173.7592</v>
      </c>
      <c r="I1418" s="8" t="n">
        <v>2</v>
      </c>
      <c r="J1418" s="14" t="n">
        <f aca="false">H1418*I1418</f>
        <v>4347.5184</v>
      </c>
      <c r="K1418" s="8" t="s">
        <v>1538</v>
      </c>
    </row>
    <row r="1419" customFormat="false" ht="13.8" hidden="false" customHeight="false" outlineLevel="0" collapsed="false">
      <c r="A1419" s="8" t="s">
        <v>1507</v>
      </c>
      <c r="B1419" s="8" t="s">
        <v>42</v>
      </c>
      <c r="C1419" s="8" t="s">
        <v>323</v>
      </c>
      <c r="D1419" s="8" t="s">
        <v>341</v>
      </c>
      <c r="E1419" s="8" t="n">
        <v>5969</v>
      </c>
      <c r="F1419" s="8" t="n">
        <v>1200</v>
      </c>
      <c r="G1419" s="8" t="n">
        <v>40</v>
      </c>
      <c r="H1419" s="13" t="n">
        <f aca="false">(E1419/1000)*(F1419/1000)*(G1419/1000)*7850</f>
        <v>2249.1192</v>
      </c>
      <c r="I1419" s="8" t="n">
        <v>2</v>
      </c>
      <c r="J1419" s="14" t="n">
        <f aca="false">H1419*I1419</f>
        <v>4498.2384</v>
      </c>
      <c r="K1419" s="8" t="s">
        <v>1539</v>
      </c>
    </row>
    <row r="1420" customFormat="false" ht="13.8" hidden="false" customHeight="false" outlineLevel="0" collapsed="false">
      <c r="A1420" s="8" t="s">
        <v>1507</v>
      </c>
      <c r="B1420" s="8" t="s">
        <v>42</v>
      </c>
      <c r="C1420" s="8" t="s">
        <v>141</v>
      </c>
      <c r="D1420" s="8" t="s">
        <v>341</v>
      </c>
      <c r="E1420" s="8" t="n">
        <v>3969</v>
      </c>
      <c r="F1420" s="8" t="n">
        <v>1760</v>
      </c>
      <c r="G1420" s="8" t="n">
        <v>40</v>
      </c>
      <c r="H1420" s="13" t="n">
        <f aca="false">(E1420/1000)*(F1420/1000)*(G1420/1000)*7850</f>
        <v>2193.42816</v>
      </c>
      <c r="I1420" s="8" t="n">
        <v>4</v>
      </c>
      <c r="J1420" s="14" t="n">
        <f aca="false">H1420*I1420</f>
        <v>8773.71264</v>
      </c>
      <c r="K1420" s="8" t="s">
        <v>1540</v>
      </c>
    </row>
    <row r="1421" customFormat="false" ht="13.8" hidden="false" customHeight="false" outlineLevel="0" collapsed="false">
      <c r="A1421" s="8" t="s">
        <v>1507</v>
      </c>
      <c r="B1421" s="8" t="s">
        <v>42</v>
      </c>
      <c r="C1421" s="8" t="s">
        <v>143</v>
      </c>
      <c r="D1421" s="8" t="s">
        <v>341</v>
      </c>
      <c r="E1421" s="8" t="n">
        <v>3969</v>
      </c>
      <c r="F1421" s="8" t="n">
        <v>320</v>
      </c>
      <c r="G1421" s="8" t="n">
        <v>32</v>
      </c>
      <c r="H1421" s="13" t="n">
        <f aca="false">(E1421/1000)*(F1421/1000)*(G1421/1000)*7850</f>
        <v>319.044096</v>
      </c>
      <c r="I1421" s="8" t="n">
        <v>8</v>
      </c>
      <c r="J1421" s="14" t="n">
        <f aca="false">H1421*I1421</f>
        <v>2552.352768</v>
      </c>
      <c r="K1421" s="8" t="s">
        <v>1541</v>
      </c>
    </row>
    <row r="1422" customFormat="false" ht="13.8" hidden="false" customHeight="false" outlineLevel="0" collapsed="false">
      <c r="A1422" s="8" t="s">
        <v>1507</v>
      </c>
      <c r="B1422" s="8" t="s">
        <v>42</v>
      </c>
      <c r="C1422" s="8" t="s">
        <v>145</v>
      </c>
      <c r="D1422" s="8" t="s">
        <v>341</v>
      </c>
      <c r="E1422" s="8" t="n">
        <v>5069</v>
      </c>
      <c r="F1422" s="8" t="n">
        <v>320</v>
      </c>
      <c r="G1422" s="8" t="n">
        <v>32</v>
      </c>
      <c r="H1422" s="13" t="n">
        <f aca="false">(E1422/1000)*(F1422/1000)*(G1422/1000)*7850</f>
        <v>407.466496</v>
      </c>
      <c r="I1422" s="8" t="n">
        <v>2</v>
      </c>
      <c r="J1422" s="14" t="n">
        <f aca="false">H1422*I1422</f>
        <v>814.932992</v>
      </c>
      <c r="K1422" s="8" t="s">
        <v>1542</v>
      </c>
    </row>
    <row r="1423" customFormat="false" ht="13.8" hidden="false" customHeight="false" outlineLevel="0" collapsed="false">
      <c r="A1423" s="8" t="s">
        <v>1507</v>
      </c>
      <c r="B1423" s="8" t="s">
        <v>42</v>
      </c>
      <c r="C1423" s="8" t="s">
        <v>147</v>
      </c>
      <c r="D1423" s="8" t="s">
        <v>341</v>
      </c>
      <c r="E1423" s="8" t="n">
        <v>5269</v>
      </c>
      <c r="F1423" s="8" t="n">
        <v>320</v>
      </c>
      <c r="G1423" s="8" t="n">
        <v>32</v>
      </c>
      <c r="H1423" s="13" t="n">
        <f aca="false">(E1423/1000)*(F1423/1000)*(G1423/1000)*7850</f>
        <v>423.543296</v>
      </c>
      <c r="I1423" s="8" t="n">
        <v>2</v>
      </c>
      <c r="J1423" s="14" t="n">
        <f aca="false">H1423*I1423</f>
        <v>847.086592</v>
      </c>
      <c r="K1423" s="8" t="s">
        <v>1543</v>
      </c>
    </row>
    <row r="1424" customFormat="false" ht="13.8" hidden="false" customHeight="false" outlineLevel="0" collapsed="false">
      <c r="A1424" s="8" t="s">
        <v>1507</v>
      </c>
      <c r="B1424" s="8" t="s">
        <v>42</v>
      </c>
      <c r="C1424" s="8" t="s">
        <v>149</v>
      </c>
      <c r="D1424" s="8" t="s">
        <v>341</v>
      </c>
      <c r="E1424" s="8" t="n">
        <v>1200</v>
      </c>
      <c r="F1424" s="8" t="n">
        <v>1600</v>
      </c>
      <c r="G1424" s="8" t="n">
        <v>16</v>
      </c>
      <c r="H1424" s="13" t="n">
        <f aca="false">(E1424/1000)*(F1424/1000)*(G1424/1000)*7850</f>
        <v>241.152</v>
      </c>
      <c r="I1424" s="8" t="n">
        <v>4</v>
      </c>
      <c r="J1424" s="14" t="n">
        <f aca="false">H1424*I1424</f>
        <v>964.608</v>
      </c>
      <c r="K1424" s="8" t="s">
        <v>1537</v>
      </c>
    </row>
    <row r="1425" customFormat="false" ht="13.8" hidden="false" customHeight="false" outlineLevel="0" collapsed="false">
      <c r="A1425" s="8" t="s">
        <v>1507</v>
      </c>
      <c r="B1425" s="8" t="s">
        <v>171</v>
      </c>
      <c r="C1425" s="8" t="s">
        <v>909</v>
      </c>
      <c r="D1425" s="8" t="s">
        <v>341</v>
      </c>
      <c r="E1425" s="8" t="n">
        <v>6053</v>
      </c>
      <c r="F1425" s="8" t="n">
        <v>1200</v>
      </c>
      <c r="G1425" s="8" t="n">
        <v>40</v>
      </c>
      <c r="H1425" s="13" t="n">
        <f aca="false">(E1425/1000)*(F1425/1000)*(G1425/1000)*7850</f>
        <v>2280.7704</v>
      </c>
      <c r="I1425" s="8" t="n">
        <v>2</v>
      </c>
      <c r="J1425" s="14" t="n">
        <f aca="false">H1425*I1425</f>
        <v>4561.5408</v>
      </c>
      <c r="K1425" s="8" t="s">
        <v>1544</v>
      </c>
    </row>
    <row r="1426" customFormat="false" ht="13.8" hidden="false" customHeight="false" outlineLevel="0" collapsed="false">
      <c r="A1426" s="8" t="s">
        <v>1507</v>
      </c>
      <c r="B1426" s="8" t="s">
        <v>42</v>
      </c>
      <c r="C1426" s="8" t="s">
        <v>155</v>
      </c>
      <c r="D1426" s="8" t="s">
        <v>341</v>
      </c>
      <c r="E1426" s="8" t="n">
        <v>4053</v>
      </c>
      <c r="F1426" s="8" t="n">
        <v>1760</v>
      </c>
      <c r="G1426" s="8" t="n">
        <v>40</v>
      </c>
      <c r="H1426" s="13" t="n">
        <f aca="false">(E1426/1000)*(F1426/1000)*(G1426/1000)*7850</f>
        <v>2239.84992</v>
      </c>
      <c r="I1426" s="8" t="n">
        <v>4</v>
      </c>
      <c r="J1426" s="14" t="n">
        <f aca="false">H1426*I1426</f>
        <v>8959.39968</v>
      </c>
      <c r="K1426" s="8" t="s">
        <v>1545</v>
      </c>
    </row>
    <row r="1427" customFormat="false" ht="13.8" hidden="false" customHeight="false" outlineLevel="0" collapsed="false">
      <c r="A1427" s="8" t="s">
        <v>1507</v>
      </c>
      <c r="B1427" s="8" t="s">
        <v>42</v>
      </c>
      <c r="C1427" s="8" t="s">
        <v>160</v>
      </c>
      <c r="D1427" s="8" t="s">
        <v>341</v>
      </c>
      <c r="E1427" s="8" t="n">
        <v>4053</v>
      </c>
      <c r="F1427" s="8" t="n">
        <v>320</v>
      </c>
      <c r="G1427" s="8" t="n">
        <v>32</v>
      </c>
      <c r="H1427" s="13" t="n">
        <f aca="false">(E1427/1000)*(F1427/1000)*(G1427/1000)*7850</f>
        <v>325.796352</v>
      </c>
      <c r="I1427" s="8" t="n">
        <v>8</v>
      </c>
      <c r="J1427" s="14" t="n">
        <f aca="false">H1427*I1427</f>
        <v>2606.370816</v>
      </c>
      <c r="K1427" s="8" t="s">
        <v>1546</v>
      </c>
    </row>
    <row r="1428" customFormat="false" ht="13.8" hidden="false" customHeight="false" outlineLevel="0" collapsed="false">
      <c r="A1428" s="8" t="s">
        <v>1507</v>
      </c>
      <c r="B1428" s="8" t="s">
        <v>42</v>
      </c>
      <c r="C1428" s="8" t="s">
        <v>226</v>
      </c>
      <c r="D1428" s="8" t="s">
        <v>341</v>
      </c>
      <c r="E1428" s="8" t="n">
        <v>5153</v>
      </c>
      <c r="F1428" s="8" t="n">
        <v>320</v>
      </c>
      <c r="G1428" s="8" t="n">
        <v>32</v>
      </c>
      <c r="H1428" s="13" t="n">
        <f aca="false">(E1428/1000)*(F1428/1000)*(G1428/1000)*7850</f>
        <v>414.218752</v>
      </c>
      <c r="I1428" s="8" t="n">
        <v>2</v>
      </c>
      <c r="J1428" s="14" t="n">
        <f aca="false">H1428*I1428</f>
        <v>828.437504</v>
      </c>
      <c r="K1428" s="8" t="s">
        <v>1547</v>
      </c>
    </row>
    <row r="1429" customFormat="false" ht="13.8" hidden="false" customHeight="false" outlineLevel="0" collapsed="false">
      <c r="A1429" s="8" t="s">
        <v>1507</v>
      </c>
      <c r="B1429" s="8" t="s">
        <v>42</v>
      </c>
      <c r="C1429" s="8" t="s">
        <v>165</v>
      </c>
      <c r="D1429" s="8" t="s">
        <v>341</v>
      </c>
      <c r="E1429" s="8" t="n">
        <v>5353</v>
      </c>
      <c r="F1429" s="8" t="n">
        <v>320</v>
      </c>
      <c r="G1429" s="8" t="n">
        <v>32</v>
      </c>
      <c r="H1429" s="13" t="n">
        <f aca="false">(E1429/1000)*(F1429/1000)*(G1429/1000)*7850</f>
        <v>430.295552</v>
      </c>
      <c r="I1429" s="8" t="n">
        <v>2</v>
      </c>
      <c r="J1429" s="14" t="n">
        <f aca="false">H1429*I1429</f>
        <v>860.591104</v>
      </c>
      <c r="K1429" s="8" t="s">
        <v>1548</v>
      </c>
    </row>
    <row r="1430" customFormat="false" ht="13.8" hidden="false" customHeight="false" outlineLevel="0" collapsed="false">
      <c r="A1430" s="8" t="s">
        <v>1507</v>
      </c>
      <c r="B1430" s="8" t="s">
        <v>42</v>
      </c>
      <c r="C1430" s="8" t="s">
        <v>158</v>
      </c>
      <c r="D1430" s="8" t="s">
        <v>341</v>
      </c>
      <c r="E1430" s="8" t="n">
        <v>1200</v>
      </c>
      <c r="F1430" s="8" t="n">
        <v>1600</v>
      </c>
      <c r="G1430" s="8" t="n">
        <v>16</v>
      </c>
      <c r="H1430" s="13" t="n">
        <f aca="false">(E1430/1000)*(F1430/1000)*(G1430/1000)*7850</f>
        <v>241.152</v>
      </c>
      <c r="I1430" s="8" t="n">
        <v>4</v>
      </c>
      <c r="J1430" s="14" t="n">
        <f aca="false">H1430*I1430</f>
        <v>964.608</v>
      </c>
      <c r="K1430" s="8" t="s">
        <v>1537</v>
      </c>
    </row>
    <row r="1431" customFormat="false" ht="13.8" hidden="false" customHeight="false" outlineLevel="0" collapsed="false">
      <c r="A1431" s="8" t="s">
        <v>1507</v>
      </c>
      <c r="B1431" s="8" t="s">
        <v>42</v>
      </c>
      <c r="C1431" s="8" t="s">
        <v>386</v>
      </c>
      <c r="D1431" s="8" t="s">
        <v>341</v>
      </c>
      <c r="E1431" s="8" t="n">
        <v>2100</v>
      </c>
      <c r="F1431" s="8" t="n">
        <v>320</v>
      </c>
      <c r="G1431" s="8" t="n">
        <v>32</v>
      </c>
      <c r="H1431" s="13" t="n">
        <f aca="false">(E1431/1000)*(F1431/1000)*(G1431/1000)*7850</f>
        <v>168.8064</v>
      </c>
      <c r="I1431" s="8" t="n">
        <v>16</v>
      </c>
      <c r="J1431" s="14" t="n">
        <f aca="false">H1431*I1431</f>
        <v>2700.9024</v>
      </c>
      <c r="K1431" s="8" t="s">
        <v>1549</v>
      </c>
    </row>
    <row r="1432" customFormat="false" ht="13.8" hidden="false" customHeight="false" outlineLevel="0" collapsed="false">
      <c r="A1432" s="8" t="s">
        <v>1507</v>
      </c>
      <c r="B1432" s="8" t="s">
        <v>42</v>
      </c>
      <c r="C1432" s="8" t="s">
        <v>637</v>
      </c>
      <c r="D1432" s="8" t="s">
        <v>341</v>
      </c>
      <c r="E1432" s="8" t="n">
        <v>2000</v>
      </c>
      <c r="F1432" s="8" t="n">
        <v>320</v>
      </c>
      <c r="G1432" s="8" t="n">
        <v>32</v>
      </c>
      <c r="H1432" s="13" t="n">
        <f aca="false">(E1432/1000)*(F1432/1000)*(G1432/1000)*7850</f>
        <v>160.768</v>
      </c>
      <c r="I1432" s="8" t="n">
        <v>16</v>
      </c>
      <c r="J1432" s="14" t="n">
        <f aca="false">H1432*I1432</f>
        <v>2572.288</v>
      </c>
      <c r="K1432" s="8" t="s">
        <v>1550</v>
      </c>
    </row>
    <row r="1433" customFormat="false" ht="13.8" hidden="false" customHeight="false" outlineLevel="0" collapsed="false">
      <c r="A1433" s="8" t="s">
        <v>1507</v>
      </c>
      <c r="B1433" s="8" t="s">
        <v>64</v>
      </c>
      <c r="C1433" s="8" t="s">
        <v>167</v>
      </c>
      <c r="D1433" s="8" t="s">
        <v>40</v>
      </c>
      <c r="E1433" s="8" t="n">
        <v>1560</v>
      </c>
      <c r="F1433" s="8" t="n">
        <v>606</v>
      </c>
      <c r="G1433" s="8" t="n">
        <v>14</v>
      </c>
      <c r="H1433" s="13" t="n">
        <f aca="false">(E1433/1000)*(F1433/1000)*(G1433/1000)*7850</f>
        <v>103.895064</v>
      </c>
      <c r="I1433" s="8" t="n">
        <v>6</v>
      </c>
      <c r="J1433" s="14" t="n">
        <f aca="false">H1433*I1433</f>
        <v>623.370384</v>
      </c>
      <c r="K1433" s="8" t="s">
        <v>1551</v>
      </c>
    </row>
    <row r="1434" customFormat="false" ht="13.8" hidden="false" customHeight="false" outlineLevel="0" collapsed="false">
      <c r="A1434" s="8" t="s">
        <v>1507</v>
      </c>
      <c r="B1434" s="8" t="s">
        <v>42</v>
      </c>
      <c r="C1434" s="8" t="s">
        <v>334</v>
      </c>
      <c r="D1434" s="8" t="s">
        <v>40</v>
      </c>
      <c r="E1434" s="8" t="n">
        <v>1560</v>
      </c>
      <c r="F1434" s="8" t="n">
        <v>602</v>
      </c>
      <c r="G1434" s="8" t="n">
        <v>14</v>
      </c>
      <c r="H1434" s="13" t="n">
        <f aca="false">(E1434/1000)*(F1434/1000)*(G1434/1000)*7850</f>
        <v>103.209288</v>
      </c>
      <c r="I1434" s="8" t="n">
        <v>4</v>
      </c>
      <c r="J1434" s="14" t="n">
        <f aca="false">H1434*I1434</f>
        <v>412.837152</v>
      </c>
      <c r="K1434" s="8" t="s">
        <v>1552</v>
      </c>
    </row>
    <row r="1435" customFormat="false" ht="13.8" hidden="false" customHeight="false" outlineLevel="0" collapsed="false">
      <c r="A1435" s="8" t="s">
        <v>1507</v>
      </c>
      <c r="B1435" s="8" t="s">
        <v>42</v>
      </c>
      <c r="C1435" s="8" t="s">
        <v>169</v>
      </c>
      <c r="D1435" s="8" t="s">
        <v>40</v>
      </c>
      <c r="G1435" s="8" t="n">
        <v>24</v>
      </c>
      <c r="H1435" s="13" t="n">
        <f aca="false">M1435*(G1435/1000)*7850</f>
        <v>88.548</v>
      </c>
      <c r="I1435" s="8" t="n">
        <v>6</v>
      </c>
      <c r="J1435" s="14" t="n">
        <f aca="false">H1435*I1435</f>
        <v>531.288</v>
      </c>
      <c r="K1435" s="8" t="s">
        <v>1553</v>
      </c>
      <c r="M1435" s="15" t="n">
        <v>0.47</v>
      </c>
    </row>
    <row r="1436" customFormat="false" ht="13.8" hidden="false" customHeight="false" outlineLevel="0" collapsed="false">
      <c r="A1436" s="8" t="s">
        <v>1507</v>
      </c>
      <c r="B1436" s="8" t="s">
        <v>42</v>
      </c>
      <c r="C1436" s="8" t="s">
        <v>236</v>
      </c>
      <c r="D1436" s="8" t="s">
        <v>40</v>
      </c>
      <c r="G1436" s="8" t="n">
        <v>24</v>
      </c>
      <c r="H1436" s="13" t="n">
        <f aca="false">M1436*(G1436/1000)*7850</f>
        <v>90.432</v>
      </c>
      <c r="I1436" s="8" t="n">
        <v>4</v>
      </c>
      <c r="J1436" s="14" t="n">
        <f aca="false">H1436*I1436</f>
        <v>361.728</v>
      </c>
      <c r="K1436" s="8" t="s">
        <v>1554</v>
      </c>
      <c r="M1436" s="15" t="n">
        <v>0.48</v>
      </c>
    </row>
    <row r="1437" customFormat="false" ht="13.8" hidden="false" customHeight="false" outlineLevel="0" collapsed="false">
      <c r="A1437" s="8" t="s">
        <v>1507</v>
      </c>
      <c r="B1437" s="8" t="s">
        <v>42</v>
      </c>
      <c r="C1437" s="8" t="s">
        <v>172</v>
      </c>
      <c r="D1437" s="8" t="s">
        <v>40</v>
      </c>
      <c r="E1437" s="8" t="n">
        <v>1450</v>
      </c>
      <c r="F1437" s="8" t="n">
        <v>606</v>
      </c>
      <c r="G1437" s="8" t="n">
        <v>14</v>
      </c>
      <c r="H1437" s="13" t="n">
        <f aca="false">(E1437/1000)*(F1437/1000)*(G1437/1000)*7850</f>
        <v>96.56913</v>
      </c>
      <c r="I1437" s="8" t="n">
        <v>4</v>
      </c>
      <c r="J1437" s="14" t="n">
        <f aca="false">H1437*I1437</f>
        <v>386.27652</v>
      </c>
      <c r="K1437" s="8" t="s">
        <v>1555</v>
      </c>
    </row>
    <row r="1438" customFormat="false" ht="13.8" hidden="false" customHeight="false" outlineLevel="0" collapsed="false">
      <c r="A1438" s="8" t="s">
        <v>1507</v>
      </c>
      <c r="B1438" s="8" t="s">
        <v>42</v>
      </c>
      <c r="C1438" s="8" t="s">
        <v>239</v>
      </c>
      <c r="D1438" s="8" t="s">
        <v>40</v>
      </c>
      <c r="E1438" s="8" t="n">
        <v>1450</v>
      </c>
      <c r="F1438" s="8" t="n">
        <v>606</v>
      </c>
      <c r="G1438" s="8" t="n">
        <v>14</v>
      </c>
      <c r="H1438" s="13" t="n">
        <f aca="false">(E1438/1000)*(F1438/1000)*(G1438/1000)*7850</f>
        <v>96.56913</v>
      </c>
      <c r="I1438" s="8" t="n">
        <v>4</v>
      </c>
      <c r="J1438" s="14" t="n">
        <f aca="false">H1438*I1438</f>
        <v>386.27652</v>
      </c>
      <c r="K1438" s="8" t="s">
        <v>1555</v>
      </c>
    </row>
    <row r="1439" customFormat="false" ht="13.8" hidden="false" customHeight="false" outlineLevel="0" collapsed="false">
      <c r="A1439" s="8" t="s">
        <v>1507</v>
      </c>
      <c r="B1439" s="8" t="s">
        <v>492</v>
      </c>
      <c r="C1439" s="8" t="s">
        <v>78</v>
      </c>
      <c r="D1439" s="8" t="s">
        <v>341</v>
      </c>
      <c r="E1439" s="8" t="n">
        <v>1450</v>
      </c>
      <c r="F1439" s="8" t="n">
        <v>1200</v>
      </c>
      <c r="G1439" s="8" t="n">
        <v>32</v>
      </c>
      <c r="H1439" s="13" t="n">
        <f aca="false">(E1439/1000)*(F1439/1000)*(G1439/1000)*7850</f>
        <v>437.088</v>
      </c>
      <c r="I1439" s="8" t="n">
        <v>10</v>
      </c>
      <c r="J1439" s="14" t="n">
        <f aca="false">H1439*I1439</f>
        <v>4370.88</v>
      </c>
      <c r="K1439" s="8" t="s">
        <v>1556</v>
      </c>
    </row>
    <row r="1440" customFormat="false" ht="13.8" hidden="false" customHeight="false" outlineLevel="0" collapsed="false">
      <c r="A1440" s="8" t="s">
        <v>1507</v>
      </c>
      <c r="B1440" s="8" t="s">
        <v>42</v>
      </c>
      <c r="C1440" s="8" t="s">
        <v>82</v>
      </c>
      <c r="D1440" s="8" t="s">
        <v>341</v>
      </c>
      <c r="E1440" s="8" t="n">
        <v>1450</v>
      </c>
      <c r="F1440" s="8" t="n">
        <v>602</v>
      </c>
      <c r="G1440" s="8" t="n">
        <v>60</v>
      </c>
      <c r="H1440" s="13" t="n">
        <f aca="false">(E1440/1000)*(F1440/1000)*(G1440/1000)*7850</f>
        <v>411.1359</v>
      </c>
      <c r="I1440" s="8" t="n">
        <v>6</v>
      </c>
      <c r="J1440" s="14" t="n">
        <f aca="false">H1440*I1440</f>
        <v>2466.8154</v>
      </c>
      <c r="K1440" s="8" t="s">
        <v>1557</v>
      </c>
    </row>
    <row r="1441" customFormat="false" ht="13.8" hidden="false" customHeight="false" outlineLevel="0" collapsed="false">
      <c r="A1441" s="8" t="s">
        <v>1507</v>
      </c>
      <c r="B1441" s="8" t="s">
        <v>42</v>
      </c>
      <c r="C1441" s="8" t="s">
        <v>87</v>
      </c>
      <c r="D1441" s="8" t="s">
        <v>341</v>
      </c>
      <c r="E1441" s="8" t="n">
        <v>2800</v>
      </c>
      <c r="F1441" s="8" t="n">
        <v>2650</v>
      </c>
      <c r="G1441" s="8" t="n">
        <v>100</v>
      </c>
      <c r="H1441" s="13" t="n">
        <f aca="false">(E1441/1000)*(F1441/1000)*(G1441/1000)*7850</f>
        <v>5824.7</v>
      </c>
      <c r="I1441" s="8" t="n">
        <v>2</v>
      </c>
      <c r="J1441" s="14" t="n">
        <f aca="false">H1441*I1441</f>
        <v>11649.4</v>
      </c>
      <c r="K1441" s="8" t="s">
        <v>1558</v>
      </c>
    </row>
    <row r="1442" customFormat="false" ht="13.8" hidden="false" customHeight="false" outlineLevel="0" collapsed="false">
      <c r="A1442" s="8" t="s">
        <v>1507</v>
      </c>
      <c r="B1442" s="8" t="s">
        <v>42</v>
      </c>
      <c r="C1442" s="8" t="s">
        <v>90</v>
      </c>
      <c r="D1442" s="8" t="s">
        <v>341</v>
      </c>
      <c r="E1442" s="8" t="n">
        <v>1000</v>
      </c>
      <c r="F1442" s="8" t="n">
        <v>568</v>
      </c>
      <c r="G1442" s="8" t="n">
        <v>32</v>
      </c>
      <c r="H1442" s="13" t="n">
        <f aca="false">(E1442/1000)*(F1442/1000)*(G1442/1000)*7850</f>
        <v>142.6816</v>
      </c>
      <c r="I1442" s="8" t="n">
        <v>8</v>
      </c>
      <c r="J1442" s="14" t="n">
        <f aca="false">H1442*I1442</f>
        <v>1141.4528</v>
      </c>
      <c r="K1442" s="8" t="s">
        <v>1559</v>
      </c>
    </row>
    <row r="1443" customFormat="false" ht="13.8" hidden="false" customHeight="false" outlineLevel="0" collapsed="false">
      <c r="A1443" s="8" t="s">
        <v>1507</v>
      </c>
      <c r="B1443" s="8" t="s">
        <v>42</v>
      </c>
      <c r="C1443" s="8" t="s">
        <v>94</v>
      </c>
      <c r="D1443" s="8" t="s">
        <v>341</v>
      </c>
      <c r="E1443" s="8" t="n">
        <v>1350</v>
      </c>
      <c r="F1443" s="8" t="n">
        <v>570</v>
      </c>
      <c r="G1443" s="8" t="n">
        <v>32</v>
      </c>
      <c r="H1443" s="13" t="n">
        <f aca="false">(E1443/1000)*(F1443/1000)*(G1443/1000)*7850</f>
        <v>193.2984</v>
      </c>
      <c r="I1443" s="8" t="n">
        <v>14</v>
      </c>
      <c r="J1443" s="14" t="n">
        <f aca="false">H1443*I1443</f>
        <v>2706.1776</v>
      </c>
      <c r="K1443" s="8" t="s">
        <v>1560</v>
      </c>
    </row>
    <row r="1444" customFormat="false" ht="13.8" hidden="false" customHeight="false" outlineLevel="0" collapsed="false">
      <c r="A1444" s="8" t="s">
        <v>1507</v>
      </c>
      <c r="B1444" s="8" t="s">
        <v>42</v>
      </c>
      <c r="C1444" s="8" t="s">
        <v>1262</v>
      </c>
      <c r="D1444" s="8" t="s">
        <v>341</v>
      </c>
      <c r="E1444" s="8" t="n">
        <v>2960</v>
      </c>
      <c r="F1444" s="8" t="n">
        <v>650</v>
      </c>
      <c r="G1444" s="8" t="n">
        <v>32</v>
      </c>
      <c r="H1444" s="13" t="n">
        <f aca="false">(E1444/1000)*(F1444/1000)*(G1444/1000)*7850</f>
        <v>483.3088</v>
      </c>
      <c r="I1444" s="8" t="n">
        <v>2</v>
      </c>
      <c r="J1444" s="14" t="n">
        <f aca="false">H1444*I1444</f>
        <v>966.6176</v>
      </c>
      <c r="K1444" s="8" t="s">
        <v>1561</v>
      </c>
    </row>
    <row r="1445" customFormat="false" ht="13.8" hidden="false" customHeight="false" outlineLevel="0" collapsed="false">
      <c r="A1445" s="8" t="s">
        <v>1562</v>
      </c>
      <c r="B1445" s="8" t="s">
        <v>42</v>
      </c>
      <c r="C1445" s="8" t="s">
        <v>179</v>
      </c>
      <c r="D1445" s="8" t="s">
        <v>341</v>
      </c>
      <c r="G1445" s="8" t="n">
        <v>40</v>
      </c>
      <c r="H1445" s="13" t="n">
        <f aca="false">M1445*(G1445/1000)*7850</f>
        <v>3720.9</v>
      </c>
      <c r="I1445" s="8" t="n">
        <v>2</v>
      </c>
      <c r="J1445" s="14" t="n">
        <f aca="false">H1445*I1445</f>
        <v>7441.8</v>
      </c>
      <c r="K1445" s="8" t="s">
        <v>1563</v>
      </c>
      <c r="M1445" s="15" t="n">
        <v>11.85</v>
      </c>
    </row>
    <row r="1446" customFormat="false" ht="13.8" hidden="false" customHeight="false" outlineLevel="0" collapsed="false">
      <c r="A1446" s="8" t="s">
        <v>1562</v>
      </c>
      <c r="B1446" s="8" t="s">
        <v>42</v>
      </c>
      <c r="C1446" s="8" t="s">
        <v>243</v>
      </c>
      <c r="D1446" s="8" t="s">
        <v>341</v>
      </c>
      <c r="G1446" s="8" t="n">
        <v>40</v>
      </c>
      <c r="H1446" s="13" t="n">
        <f aca="false">M1446*(G1446/1000)*7850</f>
        <v>3262.46</v>
      </c>
      <c r="I1446" s="8" t="n">
        <v>2</v>
      </c>
      <c r="J1446" s="14" t="n">
        <f aca="false">H1446*I1446</f>
        <v>6524.92</v>
      </c>
      <c r="K1446" s="8" t="s">
        <v>1564</v>
      </c>
      <c r="M1446" s="15" t="n">
        <v>10.39</v>
      </c>
    </row>
    <row r="1447" customFormat="false" ht="13.8" hidden="false" customHeight="false" outlineLevel="0" collapsed="false">
      <c r="A1447" s="8" t="s">
        <v>1562</v>
      </c>
      <c r="B1447" s="8" t="s">
        <v>42</v>
      </c>
      <c r="C1447" s="8" t="s">
        <v>292</v>
      </c>
      <c r="D1447" s="8" t="s">
        <v>341</v>
      </c>
      <c r="E1447" s="8" t="n">
        <v>7900</v>
      </c>
      <c r="F1447" s="8" t="n">
        <v>1200</v>
      </c>
      <c r="G1447" s="8" t="n">
        <v>40</v>
      </c>
      <c r="H1447" s="13" t="n">
        <f aca="false">(E1447/1000)*(F1447/1000)*(G1447/1000)*7850</f>
        <v>2976.72</v>
      </c>
      <c r="I1447" s="8" t="n">
        <v>2</v>
      </c>
      <c r="J1447" s="14" t="n">
        <f aca="false">H1447*I1447</f>
        <v>5953.44</v>
      </c>
      <c r="K1447" s="8" t="s">
        <v>1565</v>
      </c>
    </row>
    <row r="1448" customFormat="false" ht="13.8" hidden="false" customHeight="false" outlineLevel="0" collapsed="false">
      <c r="A1448" s="8" t="s">
        <v>1562</v>
      </c>
      <c r="B1448" s="8" t="s">
        <v>42</v>
      </c>
      <c r="C1448" s="8" t="s">
        <v>185</v>
      </c>
      <c r="D1448" s="8" t="s">
        <v>341</v>
      </c>
      <c r="E1448" s="8" t="n">
        <v>7100</v>
      </c>
      <c r="F1448" s="8" t="n">
        <v>1200</v>
      </c>
      <c r="G1448" s="8" t="n">
        <v>40</v>
      </c>
      <c r="H1448" s="13" t="n">
        <f aca="false">(E1448/1000)*(F1448/1000)*(G1448/1000)*7850</f>
        <v>2675.28</v>
      </c>
      <c r="I1448" s="8" t="n">
        <v>2</v>
      </c>
      <c r="J1448" s="14" t="n">
        <f aca="false">H1448*I1448</f>
        <v>5350.56</v>
      </c>
      <c r="K1448" s="8" t="s">
        <v>1566</v>
      </c>
    </row>
    <row r="1449" customFormat="false" ht="13.8" hidden="false" customHeight="false" outlineLevel="0" collapsed="false">
      <c r="A1449" s="8" t="s">
        <v>1562</v>
      </c>
      <c r="B1449" s="8" t="s">
        <v>187</v>
      </c>
      <c r="C1449" s="8" t="s">
        <v>188</v>
      </c>
      <c r="D1449" s="8" t="s">
        <v>341</v>
      </c>
      <c r="G1449" s="8" t="n">
        <v>44</v>
      </c>
      <c r="H1449" s="13" t="n">
        <f aca="false">M1449*(G1449/1000)*7850</f>
        <v>7664.426</v>
      </c>
      <c r="I1449" s="8" t="n">
        <v>4</v>
      </c>
      <c r="J1449" s="14" t="n">
        <f aca="false">H1449*I1449</f>
        <v>30657.704</v>
      </c>
      <c r="K1449" s="8" t="s">
        <v>1567</v>
      </c>
      <c r="M1449" s="15" t="n">
        <v>22.19</v>
      </c>
    </row>
    <row r="1450" customFormat="false" ht="13.8" hidden="false" customHeight="false" outlineLevel="0" collapsed="false">
      <c r="A1450" s="8" t="s">
        <v>1562</v>
      </c>
      <c r="B1450" s="8" t="s">
        <v>190</v>
      </c>
      <c r="C1450" s="8" t="s">
        <v>191</v>
      </c>
      <c r="D1450" s="8" t="s">
        <v>341</v>
      </c>
      <c r="E1450" s="8" t="n">
        <v>7300</v>
      </c>
      <c r="F1450" s="8" t="n">
        <v>1628</v>
      </c>
      <c r="G1450" s="8" t="n">
        <v>48</v>
      </c>
      <c r="H1450" s="13" t="n">
        <f aca="false">(E1450/1000)*(F1450/1000)*(G1450/1000)*7850</f>
        <v>4478.04192</v>
      </c>
      <c r="I1450" s="8" t="n">
        <v>4</v>
      </c>
      <c r="J1450" s="14" t="n">
        <f aca="false">H1450*I1450</f>
        <v>17912.16768</v>
      </c>
      <c r="K1450" s="8" t="s">
        <v>1568</v>
      </c>
    </row>
    <row r="1451" customFormat="false" ht="13.8" hidden="false" customHeight="false" outlineLevel="0" collapsed="false">
      <c r="A1451" s="8" t="s">
        <v>1562</v>
      </c>
      <c r="B1451" s="8" t="s">
        <v>42</v>
      </c>
      <c r="C1451" s="8" t="s">
        <v>58</v>
      </c>
      <c r="D1451" s="8" t="s">
        <v>40</v>
      </c>
      <c r="E1451" s="8" t="n">
        <v>1560</v>
      </c>
      <c r="F1451" s="8" t="n">
        <v>1200</v>
      </c>
      <c r="G1451" s="8" t="n">
        <v>16</v>
      </c>
      <c r="H1451" s="13" t="n">
        <f aca="false">(E1451/1000)*(F1451/1000)*(G1451/1000)*7850</f>
        <v>235.1232</v>
      </c>
      <c r="I1451" s="8" t="n">
        <v>6</v>
      </c>
      <c r="J1451" s="14" t="n">
        <f aca="false">H1451*I1451</f>
        <v>1410.7392</v>
      </c>
      <c r="K1451" s="8" t="s">
        <v>1569</v>
      </c>
    </row>
    <row r="1452" customFormat="false" ht="13.8" hidden="false" customHeight="false" outlineLevel="0" collapsed="false">
      <c r="A1452" s="8" t="s">
        <v>1562</v>
      </c>
      <c r="B1452" s="8" t="s">
        <v>42</v>
      </c>
      <c r="C1452" s="8" t="s">
        <v>298</v>
      </c>
      <c r="D1452" s="8" t="s">
        <v>40</v>
      </c>
      <c r="E1452" s="8" t="n">
        <v>1657</v>
      </c>
      <c r="F1452" s="8" t="n">
        <v>1200</v>
      </c>
      <c r="G1452" s="8" t="n">
        <v>16</v>
      </c>
      <c r="H1452" s="13" t="n">
        <f aca="false">(E1452/1000)*(F1452/1000)*(G1452/1000)*7850</f>
        <v>249.74304</v>
      </c>
      <c r="I1452" s="8" t="n">
        <v>4</v>
      </c>
      <c r="J1452" s="14" t="n">
        <f aca="false">H1452*I1452</f>
        <v>998.97216</v>
      </c>
      <c r="K1452" s="8" t="s">
        <v>1570</v>
      </c>
    </row>
    <row r="1453" customFormat="false" ht="13.8" hidden="false" customHeight="false" outlineLevel="0" collapsed="false">
      <c r="A1453" s="8" t="s">
        <v>1562</v>
      </c>
      <c r="B1453" s="8" t="s">
        <v>195</v>
      </c>
      <c r="C1453" s="8" t="s">
        <v>196</v>
      </c>
      <c r="D1453" s="8" t="s">
        <v>40</v>
      </c>
      <c r="E1453" s="8" t="n">
        <v>2057</v>
      </c>
      <c r="F1453" s="8" t="n">
        <v>200</v>
      </c>
      <c r="G1453" s="8" t="n">
        <v>16</v>
      </c>
      <c r="H1453" s="13" t="n">
        <f aca="false">(E1453/1000)*(F1453/1000)*(G1453/1000)*7850</f>
        <v>51.67184</v>
      </c>
      <c r="I1453" s="8" t="n">
        <v>6</v>
      </c>
      <c r="J1453" s="14" t="n">
        <f aca="false">H1453*I1453</f>
        <v>310.03104</v>
      </c>
      <c r="K1453" s="8" t="s">
        <v>1571</v>
      </c>
    </row>
    <row r="1454" customFormat="false" ht="13.8" hidden="false" customHeight="false" outlineLevel="0" collapsed="false">
      <c r="A1454" s="8" t="s">
        <v>1562</v>
      </c>
      <c r="B1454" s="8" t="s">
        <v>42</v>
      </c>
      <c r="C1454" s="8" t="s">
        <v>68</v>
      </c>
      <c r="D1454" s="8" t="s">
        <v>40</v>
      </c>
      <c r="E1454" s="8" t="n">
        <v>600</v>
      </c>
      <c r="F1454" s="8" t="n">
        <v>400</v>
      </c>
      <c r="G1454" s="8" t="n">
        <v>16</v>
      </c>
      <c r="H1454" s="13" t="n">
        <f aca="false">(E1454/1000)*(F1454/1000)*(G1454/1000)*7850</f>
        <v>30.144</v>
      </c>
      <c r="I1454" s="8" t="n">
        <v>8</v>
      </c>
      <c r="J1454" s="14" t="n">
        <f aca="false">H1454*I1454</f>
        <v>241.152</v>
      </c>
      <c r="K1454" s="8" t="s">
        <v>1572</v>
      </c>
    </row>
    <row r="1455" customFormat="false" ht="13.8" hidden="false" customHeight="false" outlineLevel="0" collapsed="false">
      <c r="A1455" s="8" t="s">
        <v>1562</v>
      </c>
      <c r="B1455" s="8" t="s">
        <v>42</v>
      </c>
      <c r="C1455" s="8" t="s">
        <v>199</v>
      </c>
      <c r="D1455" s="8" t="s">
        <v>341</v>
      </c>
      <c r="E1455" s="8" t="n">
        <v>7900</v>
      </c>
      <c r="F1455" s="8" t="n">
        <v>320</v>
      </c>
      <c r="G1455" s="8" t="n">
        <v>32</v>
      </c>
      <c r="H1455" s="13" t="n">
        <f aca="false">(E1455/1000)*(F1455/1000)*(G1455/1000)*7850</f>
        <v>635.0336</v>
      </c>
      <c r="I1455" s="8" t="n">
        <v>12</v>
      </c>
      <c r="J1455" s="14" t="n">
        <f aca="false">H1455*I1455</f>
        <v>7620.4032</v>
      </c>
      <c r="K1455" s="8" t="s">
        <v>1573</v>
      </c>
    </row>
    <row r="1456" customFormat="false" ht="13.8" hidden="false" customHeight="false" outlineLevel="0" collapsed="false">
      <c r="A1456" s="8" t="s">
        <v>1562</v>
      </c>
      <c r="B1456" s="8" t="s">
        <v>42</v>
      </c>
      <c r="C1456" s="8" t="s">
        <v>76</v>
      </c>
      <c r="D1456" s="8" t="s">
        <v>341</v>
      </c>
      <c r="E1456" s="8" t="n">
        <v>7100</v>
      </c>
      <c r="F1456" s="8" t="n">
        <v>320</v>
      </c>
      <c r="G1456" s="8" t="n">
        <v>32</v>
      </c>
      <c r="H1456" s="13" t="n">
        <f aca="false">(E1456/1000)*(F1456/1000)*(G1456/1000)*7850</f>
        <v>570.7264</v>
      </c>
      <c r="I1456" s="8" t="n">
        <v>12</v>
      </c>
      <c r="J1456" s="14" t="n">
        <f aca="false">H1456*I1456</f>
        <v>6848.7168</v>
      </c>
      <c r="K1456" s="8" t="s">
        <v>1574</v>
      </c>
    </row>
    <row r="1457" customFormat="false" ht="13.8" hidden="false" customHeight="false" outlineLevel="0" collapsed="false">
      <c r="A1457" s="8" t="s">
        <v>1562</v>
      </c>
      <c r="B1457" s="8" t="s">
        <v>42</v>
      </c>
      <c r="C1457" s="8" t="s">
        <v>96</v>
      </c>
      <c r="D1457" s="8" t="s">
        <v>341</v>
      </c>
      <c r="E1457" s="8" t="n">
        <v>7901</v>
      </c>
      <c r="F1457" s="8" t="n">
        <v>1850</v>
      </c>
      <c r="G1457" s="8" t="n">
        <v>32</v>
      </c>
      <c r="H1457" s="13" t="n">
        <f aca="false">(E1457/1000)*(F1457/1000)*(G1457/1000)*7850</f>
        <v>3671.75272</v>
      </c>
      <c r="I1457" s="8" t="n">
        <v>2</v>
      </c>
      <c r="J1457" s="14" t="n">
        <f aca="false">H1457*I1457</f>
        <v>7343.50544</v>
      </c>
      <c r="K1457" s="8" t="s">
        <v>1575</v>
      </c>
    </row>
    <row r="1458" customFormat="false" ht="13.8" hidden="false" customHeight="false" outlineLevel="0" collapsed="false">
      <c r="A1458" s="8" t="s">
        <v>1562</v>
      </c>
      <c r="B1458" s="8" t="s">
        <v>42</v>
      </c>
      <c r="C1458" s="8" t="s">
        <v>305</v>
      </c>
      <c r="D1458" s="8" t="s">
        <v>40</v>
      </c>
      <c r="E1458" s="8" t="n">
        <v>7101</v>
      </c>
      <c r="F1458" s="8" t="n">
        <v>1850</v>
      </c>
      <c r="G1458" s="8" t="n">
        <v>24</v>
      </c>
      <c r="H1458" s="13" t="n">
        <f aca="false">(E1458/1000)*(F1458/1000)*(G1458/1000)*7850</f>
        <v>2474.98254</v>
      </c>
      <c r="I1458" s="8" t="n">
        <v>2</v>
      </c>
      <c r="J1458" s="14" t="n">
        <f aca="false">H1458*I1458</f>
        <v>4949.96508</v>
      </c>
      <c r="K1458" s="8" t="s">
        <v>1576</v>
      </c>
    </row>
    <row r="1459" customFormat="false" ht="13.8" hidden="false" customHeight="false" outlineLevel="0" collapsed="false">
      <c r="A1459" s="8" t="s">
        <v>1562</v>
      </c>
      <c r="B1459" s="8" t="s">
        <v>42</v>
      </c>
      <c r="C1459" s="8" t="s">
        <v>307</v>
      </c>
      <c r="D1459" s="8" t="s">
        <v>341</v>
      </c>
      <c r="G1459" s="8" t="n">
        <v>32</v>
      </c>
      <c r="H1459" s="13" t="n">
        <f aca="false">M1459*(G1459/1000)*7850</f>
        <v>3147.536</v>
      </c>
      <c r="I1459" s="8" t="n">
        <v>2</v>
      </c>
      <c r="J1459" s="14" t="n">
        <f aca="false">H1459*I1459</f>
        <v>6295.072</v>
      </c>
      <c r="K1459" s="8" t="s">
        <v>1577</v>
      </c>
      <c r="M1459" s="15" t="n">
        <v>12.53</v>
      </c>
    </row>
    <row r="1460" customFormat="false" ht="13.8" hidden="false" customHeight="false" outlineLevel="0" collapsed="false">
      <c r="A1460" s="8" t="s">
        <v>1562</v>
      </c>
      <c r="B1460" s="8" t="s">
        <v>42</v>
      </c>
      <c r="C1460" s="8" t="s">
        <v>206</v>
      </c>
      <c r="D1460" s="8" t="s">
        <v>40</v>
      </c>
      <c r="G1460" s="8" t="n">
        <v>24</v>
      </c>
      <c r="H1460" s="13" t="n">
        <f aca="false">M1460*(G1460/1000)*7850</f>
        <v>1829.364</v>
      </c>
      <c r="I1460" s="8" t="n">
        <v>2</v>
      </c>
      <c r="J1460" s="14" t="n">
        <f aca="false">H1460*I1460</f>
        <v>3658.728</v>
      </c>
      <c r="K1460" s="8" t="s">
        <v>1578</v>
      </c>
      <c r="M1460" s="15" t="n">
        <v>9.71</v>
      </c>
    </row>
    <row r="1461" customFormat="false" ht="13.8" hidden="false" customHeight="false" outlineLevel="0" collapsed="false">
      <c r="A1461" s="8" t="s">
        <v>1562</v>
      </c>
      <c r="B1461" s="8" t="s">
        <v>105</v>
      </c>
      <c r="C1461" s="8" t="s">
        <v>103</v>
      </c>
      <c r="D1461" s="8" t="s">
        <v>341</v>
      </c>
      <c r="G1461" s="8" t="n">
        <v>44</v>
      </c>
      <c r="H1461" s="13" t="n">
        <f aca="false">M1461*(G1461/1000)*7850</f>
        <v>7785.316</v>
      </c>
      <c r="I1461" s="8" t="n">
        <v>4</v>
      </c>
      <c r="J1461" s="14" t="n">
        <f aca="false">H1461*I1461</f>
        <v>31141.264</v>
      </c>
      <c r="K1461" s="8" t="s">
        <v>1579</v>
      </c>
      <c r="M1461" s="15" t="n">
        <v>22.54</v>
      </c>
    </row>
    <row r="1462" customFormat="false" ht="13.8" hidden="false" customHeight="false" outlineLevel="0" collapsed="false">
      <c r="A1462" s="8" t="s">
        <v>1562</v>
      </c>
      <c r="B1462" s="8" t="s">
        <v>102</v>
      </c>
      <c r="C1462" s="8" t="s">
        <v>106</v>
      </c>
      <c r="D1462" s="8" t="s">
        <v>40</v>
      </c>
      <c r="E1462" s="8" t="n">
        <v>7301</v>
      </c>
      <c r="F1462" s="8" t="n">
        <v>1474</v>
      </c>
      <c r="G1462" s="8" t="n">
        <v>32</v>
      </c>
      <c r="H1462" s="13" t="n">
        <f aca="false">(E1462/1000)*(F1462/1000)*(G1462/1000)*7850</f>
        <v>2703.3325088</v>
      </c>
      <c r="I1462" s="8" t="n">
        <v>4</v>
      </c>
      <c r="J1462" s="14" t="n">
        <f aca="false">H1462*I1462</f>
        <v>10813.3300352</v>
      </c>
      <c r="K1462" s="8" t="s">
        <v>1580</v>
      </c>
    </row>
    <row r="1463" customFormat="false" ht="13.8" hidden="false" customHeight="false" outlineLevel="0" collapsed="false">
      <c r="A1463" s="8" t="s">
        <v>1562</v>
      </c>
      <c r="B1463" s="8" t="s">
        <v>42</v>
      </c>
      <c r="C1463" s="8" t="s">
        <v>108</v>
      </c>
      <c r="D1463" s="8" t="s">
        <v>40</v>
      </c>
      <c r="E1463" s="8" t="n">
        <v>1450</v>
      </c>
      <c r="F1463" s="8" t="n">
        <v>1200</v>
      </c>
      <c r="G1463" s="8" t="n">
        <v>16</v>
      </c>
      <c r="H1463" s="13" t="n">
        <f aca="false">(E1463/1000)*(F1463/1000)*(G1463/1000)*7850</f>
        <v>218.544</v>
      </c>
      <c r="I1463" s="8" t="n">
        <v>6</v>
      </c>
      <c r="J1463" s="14" t="n">
        <f aca="false">H1463*I1463</f>
        <v>1311.264</v>
      </c>
      <c r="K1463" s="8" t="s">
        <v>1581</v>
      </c>
    </row>
    <row r="1464" customFormat="false" ht="13.8" hidden="false" customHeight="false" outlineLevel="0" collapsed="false">
      <c r="A1464" s="8" t="s">
        <v>1562</v>
      </c>
      <c r="B1464" s="8" t="s">
        <v>42</v>
      </c>
      <c r="C1464" s="8" t="s">
        <v>112</v>
      </c>
      <c r="D1464" s="8" t="s">
        <v>40</v>
      </c>
      <c r="E1464" s="8" t="n">
        <v>1450</v>
      </c>
      <c r="F1464" s="8" t="n">
        <v>1200</v>
      </c>
      <c r="G1464" s="8" t="n">
        <v>16</v>
      </c>
      <c r="H1464" s="13" t="n">
        <f aca="false">(E1464/1000)*(F1464/1000)*(G1464/1000)*7850</f>
        <v>218.544</v>
      </c>
      <c r="I1464" s="8" t="n">
        <v>4</v>
      </c>
      <c r="J1464" s="14" t="n">
        <f aca="false">H1464*I1464</f>
        <v>874.176</v>
      </c>
      <c r="K1464" s="8" t="s">
        <v>1581</v>
      </c>
    </row>
    <row r="1465" customFormat="false" ht="13.8" hidden="false" customHeight="false" outlineLevel="0" collapsed="false">
      <c r="A1465" s="8" t="s">
        <v>1562</v>
      </c>
      <c r="B1465" s="8" t="s">
        <v>42</v>
      </c>
      <c r="C1465" s="8" t="s">
        <v>108</v>
      </c>
      <c r="D1465" s="8" t="s">
        <v>40</v>
      </c>
      <c r="E1465" s="8" t="n">
        <v>1657</v>
      </c>
      <c r="F1465" s="8" t="n">
        <v>200</v>
      </c>
      <c r="G1465" s="8" t="n">
        <v>16</v>
      </c>
      <c r="H1465" s="13" t="n">
        <f aca="false">(E1465/1000)*(F1465/1000)*(G1465/1000)*7850</f>
        <v>41.62384</v>
      </c>
      <c r="I1465" s="8" t="n">
        <v>6</v>
      </c>
      <c r="J1465" s="14" t="n">
        <f aca="false">H1465*I1465</f>
        <v>249.74304</v>
      </c>
      <c r="K1465" s="8" t="s">
        <v>1582</v>
      </c>
    </row>
    <row r="1466" customFormat="false" ht="13.8" hidden="false" customHeight="false" outlineLevel="0" collapsed="false">
      <c r="A1466" s="8" t="s">
        <v>1562</v>
      </c>
      <c r="B1466" s="8" t="s">
        <v>42</v>
      </c>
      <c r="C1466" s="8" t="s">
        <v>114</v>
      </c>
      <c r="D1466" s="8" t="s">
        <v>341</v>
      </c>
      <c r="E1466" s="8" t="n">
        <v>7901</v>
      </c>
      <c r="F1466" s="8" t="n">
        <v>320</v>
      </c>
      <c r="G1466" s="8" t="n">
        <v>32</v>
      </c>
      <c r="H1466" s="13" t="n">
        <f aca="false">(E1466/1000)*(F1466/1000)*(G1466/1000)*7850</f>
        <v>635.113984</v>
      </c>
      <c r="I1466" s="8" t="n">
        <v>8</v>
      </c>
      <c r="J1466" s="14" t="n">
        <f aca="false">H1466*I1466</f>
        <v>5080.911872</v>
      </c>
      <c r="K1466" s="8" t="s">
        <v>1583</v>
      </c>
    </row>
    <row r="1467" customFormat="false" ht="13.8" hidden="false" customHeight="false" outlineLevel="0" collapsed="false">
      <c r="A1467" s="8" t="s">
        <v>1562</v>
      </c>
      <c r="B1467" s="8" t="s">
        <v>268</v>
      </c>
      <c r="C1467" s="8" t="s">
        <v>116</v>
      </c>
      <c r="D1467" s="8" t="s">
        <v>40</v>
      </c>
      <c r="E1467" s="8" t="n">
        <v>7101</v>
      </c>
      <c r="F1467" s="8" t="n">
        <v>320</v>
      </c>
      <c r="G1467" s="8" t="n">
        <v>32</v>
      </c>
      <c r="H1467" s="13" t="n">
        <f aca="false">(E1467/1000)*(F1467/1000)*(G1467/1000)*7850</f>
        <v>570.806784</v>
      </c>
      <c r="I1467" s="8" t="n">
        <v>8</v>
      </c>
      <c r="J1467" s="14" t="n">
        <f aca="false">H1467*I1467</f>
        <v>4566.454272</v>
      </c>
      <c r="K1467" s="8" t="s">
        <v>1584</v>
      </c>
    </row>
    <row r="1468" customFormat="false" ht="13.8" hidden="false" customHeight="false" outlineLevel="0" collapsed="false">
      <c r="A1468" s="8" t="s">
        <v>1562</v>
      </c>
      <c r="B1468" s="8" t="s">
        <v>42</v>
      </c>
      <c r="C1468" s="8" t="s">
        <v>118</v>
      </c>
      <c r="D1468" s="8" t="s">
        <v>40</v>
      </c>
      <c r="E1468" s="8" t="n">
        <v>15002</v>
      </c>
      <c r="F1468" s="8" t="n">
        <v>170</v>
      </c>
      <c r="G1468" s="8" t="n">
        <v>14</v>
      </c>
      <c r="H1468" s="13" t="n">
        <f aca="false">(E1468/1000)*(F1468/1000)*(G1468/1000)*7850</f>
        <v>280.282366</v>
      </c>
      <c r="I1468" s="8" t="n">
        <v>2</v>
      </c>
      <c r="J1468" s="14" t="n">
        <f aca="false">H1468*I1468</f>
        <v>560.564732</v>
      </c>
      <c r="K1468" s="8" t="s">
        <v>1585</v>
      </c>
    </row>
    <row r="1469" customFormat="false" ht="13.8" hidden="false" customHeight="false" outlineLevel="0" collapsed="false">
      <c r="A1469" s="8" t="s">
        <v>1562</v>
      </c>
      <c r="B1469" s="8" t="s">
        <v>42</v>
      </c>
      <c r="C1469" s="8" t="s">
        <v>125</v>
      </c>
      <c r="D1469" s="8" t="s">
        <v>40</v>
      </c>
      <c r="E1469" s="8" t="n">
        <v>11850</v>
      </c>
      <c r="F1469" s="8" t="n">
        <v>1200</v>
      </c>
      <c r="G1469" s="8" t="n">
        <v>40</v>
      </c>
      <c r="H1469" s="13" t="n">
        <f aca="false">(E1469/1000)*(F1469/1000)*(G1469/1000)*7850</f>
        <v>4465.08</v>
      </c>
      <c r="I1469" s="8" t="n">
        <v>2</v>
      </c>
      <c r="J1469" s="14" t="n">
        <f aca="false">H1469*I1469</f>
        <v>8930.16</v>
      </c>
      <c r="K1469" s="8" t="s">
        <v>1586</v>
      </c>
    </row>
    <row r="1470" customFormat="false" ht="13.8" hidden="false" customHeight="false" outlineLevel="0" collapsed="false">
      <c r="A1470" s="8" t="s">
        <v>1562</v>
      </c>
      <c r="B1470" s="8" t="s">
        <v>42</v>
      </c>
      <c r="C1470" s="8" t="s">
        <v>127</v>
      </c>
      <c r="D1470" s="8" t="s">
        <v>40</v>
      </c>
      <c r="E1470" s="8" t="n">
        <v>12250</v>
      </c>
      <c r="F1470" s="8" t="n">
        <v>1200</v>
      </c>
      <c r="G1470" s="8" t="n">
        <v>40</v>
      </c>
      <c r="H1470" s="13" t="n">
        <f aca="false">(E1470/1000)*(F1470/1000)*(G1470/1000)*7850</f>
        <v>4615.8</v>
      </c>
      <c r="I1470" s="8" t="n">
        <v>2</v>
      </c>
      <c r="J1470" s="14" t="n">
        <f aca="false">H1470*I1470</f>
        <v>9231.6</v>
      </c>
      <c r="K1470" s="8" t="s">
        <v>1587</v>
      </c>
    </row>
    <row r="1471" customFormat="false" ht="13.8" hidden="false" customHeight="false" outlineLevel="0" collapsed="false">
      <c r="A1471" s="8" t="s">
        <v>1562</v>
      </c>
      <c r="B1471" s="8" t="s">
        <v>42</v>
      </c>
      <c r="C1471" s="8" t="s">
        <v>128</v>
      </c>
      <c r="D1471" s="8" t="s">
        <v>40</v>
      </c>
      <c r="E1471" s="8" t="n">
        <v>8050</v>
      </c>
      <c r="F1471" s="8" t="n">
        <v>1760</v>
      </c>
      <c r="G1471" s="8" t="n">
        <v>40</v>
      </c>
      <c r="H1471" s="13" t="n">
        <f aca="false">(E1471/1000)*(F1471/1000)*(G1471/1000)*7850</f>
        <v>4448.752</v>
      </c>
      <c r="I1471" s="8" t="n">
        <v>4</v>
      </c>
      <c r="J1471" s="14" t="n">
        <f aca="false">H1471*I1471</f>
        <v>17795.008</v>
      </c>
      <c r="K1471" s="8" t="s">
        <v>1588</v>
      </c>
    </row>
    <row r="1472" customFormat="false" ht="13.8" hidden="false" customHeight="false" outlineLevel="0" collapsed="false">
      <c r="A1472" s="8" t="s">
        <v>1562</v>
      </c>
      <c r="B1472" s="8" t="s">
        <v>42</v>
      </c>
      <c r="C1472" s="8" t="s">
        <v>130</v>
      </c>
      <c r="D1472" s="8" t="s">
        <v>40</v>
      </c>
      <c r="E1472" s="8" t="n">
        <v>8050</v>
      </c>
      <c r="F1472" s="8" t="n">
        <v>320</v>
      </c>
      <c r="G1472" s="8" t="n">
        <v>32</v>
      </c>
      <c r="H1472" s="13" t="n">
        <f aca="false">(E1472/1000)*(F1472/1000)*(G1472/1000)*7850</f>
        <v>647.0912</v>
      </c>
      <c r="I1472" s="8" t="n">
        <v>8</v>
      </c>
      <c r="J1472" s="14" t="n">
        <f aca="false">H1472*I1472</f>
        <v>5176.7296</v>
      </c>
      <c r="K1472" s="8" t="s">
        <v>1589</v>
      </c>
    </row>
    <row r="1473" customFormat="false" ht="13.8" hidden="false" customHeight="false" outlineLevel="0" collapsed="false">
      <c r="A1473" s="8" t="s">
        <v>1562</v>
      </c>
      <c r="B1473" s="8" t="s">
        <v>42</v>
      </c>
      <c r="C1473" s="8" t="s">
        <v>132</v>
      </c>
      <c r="D1473" s="8" t="s">
        <v>40</v>
      </c>
      <c r="E1473" s="8" t="n">
        <v>10450</v>
      </c>
      <c r="F1473" s="8" t="n">
        <v>320</v>
      </c>
      <c r="G1473" s="8" t="n">
        <v>32</v>
      </c>
      <c r="H1473" s="13" t="n">
        <f aca="false">(E1473/1000)*(F1473/1000)*(G1473/1000)*7850</f>
        <v>840.0128</v>
      </c>
      <c r="I1473" s="8" t="n">
        <v>2</v>
      </c>
      <c r="J1473" s="14" t="n">
        <f aca="false">H1473*I1473</f>
        <v>1680.0256</v>
      </c>
      <c r="K1473" s="8" t="s">
        <v>1590</v>
      </c>
    </row>
    <row r="1474" customFormat="false" ht="13.8" hidden="false" customHeight="false" outlineLevel="0" collapsed="false">
      <c r="A1474" s="8" t="s">
        <v>1562</v>
      </c>
      <c r="B1474" s="8" t="s">
        <v>42</v>
      </c>
      <c r="C1474" s="8" t="s">
        <v>134</v>
      </c>
      <c r="D1474" s="8" t="s">
        <v>40</v>
      </c>
      <c r="E1474" s="8" t="n">
        <v>10850</v>
      </c>
      <c r="F1474" s="8" t="n">
        <v>320</v>
      </c>
      <c r="G1474" s="8" t="n">
        <v>32</v>
      </c>
      <c r="H1474" s="13" t="n">
        <f aca="false">(E1474/1000)*(F1474/1000)*(G1474/1000)*7850</f>
        <v>872.1664</v>
      </c>
      <c r="I1474" s="8" t="n">
        <v>2</v>
      </c>
      <c r="J1474" s="14" t="n">
        <f aca="false">H1474*I1474</f>
        <v>1744.3328</v>
      </c>
      <c r="K1474" s="8" t="s">
        <v>1591</v>
      </c>
    </row>
    <row r="1475" customFormat="false" ht="13.8" hidden="false" customHeight="false" outlineLevel="0" collapsed="false">
      <c r="A1475" s="8" t="s">
        <v>1562</v>
      </c>
      <c r="B1475" s="8" t="s">
        <v>42</v>
      </c>
      <c r="C1475" s="8" t="s">
        <v>135</v>
      </c>
      <c r="D1475" s="8" t="s">
        <v>40</v>
      </c>
      <c r="E1475" s="8" t="n">
        <v>1200</v>
      </c>
      <c r="F1475" s="8" t="n">
        <v>1600</v>
      </c>
      <c r="G1475" s="8" t="n">
        <v>16</v>
      </c>
      <c r="H1475" s="13" t="n">
        <f aca="false">(E1475/1000)*(F1475/1000)*(G1475/1000)*7850</f>
        <v>241.152</v>
      </c>
      <c r="I1475" s="8" t="n">
        <v>6</v>
      </c>
      <c r="J1475" s="14" t="n">
        <f aca="false">H1475*I1475</f>
        <v>1446.912</v>
      </c>
      <c r="K1475" s="8" t="s">
        <v>1592</v>
      </c>
    </row>
    <row r="1476" customFormat="false" ht="13.8" hidden="false" customHeight="false" outlineLevel="0" collapsed="false">
      <c r="A1476" s="8" t="s">
        <v>1562</v>
      </c>
      <c r="B1476" s="8" t="s">
        <v>42</v>
      </c>
      <c r="C1476" s="8" t="s">
        <v>137</v>
      </c>
      <c r="D1476" s="8" t="s">
        <v>40</v>
      </c>
      <c r="E1476" s="8" t="n">
        <v>5711</v>
      </c>
      <c r="F1476" s="8" t="n">
        <v>1200</v>
      </c>
      <c r="G1476" s="8" t="n">
        <v>36</v>
      </c>
      <c r="H1476" s="13" t="n">
        <f aca="false">(E1476/1000)*(F1476/1000)*(G1476/1000)*7850</f>
        <v>1936.71432</v>
      </c>
      <c r="I1476" s="8" t="n">
        <v>2</v>
      </c>
      <c r="J1476" s="14" t="n">
        <f aca="false">H1476*I1476</f>
        <v>3873.42864</v>
      </c>
      <c r="K1476" s="8" t="s">
        <v>1593</v>
      </c>
    </row>
    <row r="1477" customFormat="false" ht="13.8" hidden="false" customHeight="false" outlineLevel="0" collapsed="false">
      <c r="A1477" s="8" t="s">
        <v>1562</v>
      </c>
      <c r="B1477" s="8" t="s">
        <v>42</v>
      </c>
      <c r="C1477" s="8" t="s">
        <v>139</v>
      </c>
      <c r="D1477" s="8" t="s">
        <v>40</v>
      </c>
      <c r="E1477" s="8" t="n">
        <v>6011</v>
      </c>
      <c r="F1477" s="8" t="n">
        <v>1200</v>
      </c>
      <c r="G1477" s="8" t="n">
        <v>36</v>
      </c>
      <c r="H1477" s="13" t="n">
        <f aca="false">(E1477/1000)*(F1477/1000)*(G1477/1000)*7850</f>
        <v>2038.45032</v>
      </c>
      <c r="I1477" s="8" t="n">
        <v>2</v>
      </c>
      <c r="J1477" s="14" t="n">
        <f aca="false">H1477*I1477</f>
        <v>4076.90064</v>
      </c>
      <c r="K1477" s="8" t="s">
        <v>1594</v>
      </c>
    </row>
    <row r="1478" customFormat="false" ht="13.8" hidden="false" customHeight="false" outlineLevel="0" collapsed="false">
      <c r="A1478" s="8" t="s">
        <v>1562</v>
      </c>
      <c r="B1478" s="8" t="s">
        <v>42</v>
      </c>
      <c r="C1478" s="8" t="s">
        <v>141</v>
      </c>
      <c r="D1478" s="8"/>
      <c r="E1478" s="8" t="n">
        <v>3911</v>
      </c>
      <c r="F1478" s="8" t="n">
        <v>1360</v>
      </c>
      <c r="G1478" s="8" t="n">
        <v>36</v>
      </c>
      <c r="H1478" s="13" t="n">
        <f aca="false">(E1478/1000)*(F1478/1000)*(G1478/1000)*7850</f>
        <v>1503.138096</v>
      </c>
      <c r="I1478" s="8" t="n">
        <v>4</v>
      </c>
      <c r="J1478" s="14" t="n">
        <f aca="false">H1478*I1478</f>
        <v>6012.552384</v>
      </c>
      <c r="K1478" s="8" t="s">
        <v>1595</v>
      </c>
    </row>
    <row r="1479" customFormat="false" ht="13.8" hidden="false" customHeight="false" outlineLevel="0" collapsed="false">
      <c r="A1479" s="8" t="s">
        <v>1562</v>
      </c>
      <c r="B1479" s="8" t="s">
        <v>42</v>
      </c>
      <c r="C1479" s="8" t="s">
        <v>143</v>
      </c>
      <c r="D1479" s="8" t="s">
        <v>40</v>
      </c>
      <c r="E1479" s="8" t="n">
        <v>3911</v>
      </c>
      <c r="F1479" s="8" t="n">
        <v>320</v>
      </c>
      <c r="G1479" s="8" t="n">
        <v>32</v>
      </c>
      <c r="H1479" s="13" t="n">
        <f aca="false">(E1479/1000)*(F1479/1000)*(G1479/1000)*7850</f>
        <v>314.381824</v>
      </c>
      <c r="I1479" s="8" t="n">
        <v>4</v>
      </c>
      <c r="J1479" s="14" t="n">
        <f aca="false">H1479*I1479</f>
        <v>1257.527296</v>
      </c>
      <c r="K1479" s="8" t="s">
        <v>1596</v>
      </c>
    </row>
    <row r="1480" customFormat="false" ht="13.8" hidden="false" customHeight="false" outlineLevel="0" collapsed="false">
      <c r="A1480" s="8" t="s">
        <v>1562</v>
      </c>
      <c r="B1480" s="8" t="s">
        <v>42</v>
      </c>
      <c r="C1480" s="8" t="s">
        <v>145</v>
      </c>
      <c r="D1480" s="8" t="s">
        <v>40</v>
      </c>
      <c r="E1480" s="8" t="n">
        <v>5011</v>
      </c>
      <c r="F1480" s="8" t="n">
        <v>320</v>
      </c>
      <c r="G1480" s="8" t="n">
        <v>32</v>
      </c>
      <c r="H1480" s="13" t="n">
        <f aca="false">(E1480/1000)*(F1480/1000)*(G1480/1000)*7850</f>
        <v>402.804224</v>
      </c>
      <c r="I1480" s="8" t="n">
        <v>2</v>
      </c>
      <c r="J1480" s="14" t="n">
        <f aca="false">H1480*I1480</f>
        <v>805.608448</v>
      </c>
      <c r="K1480" s="8" t="s">
        <v>1597</v>
      </c>
    </row>
    <row r="1481" customFormat="false" ht="13.8" hidden="false" customHeight="false" outlineLevel="0" collapsed="false">
      <c r="A1481" s="8" t="s">
        <v>1562</v>
      </c>
      <c r="B1481" s="8" t="s">
        <v>42</v>
      </c>
      <c r="C1481" s="8" t="s">
        <v>147</v>
      </c>
      <c r="D1481" s="8" t="s">
        <v>40</v>
      </c>
      <c r="E1481" s="8" t="n">
        <v>5311</v>
      </c>
      <c r="F1481" s="8" t="n">
        <v>320</v>
      </c>
      <c r="G1481" s="8" t="n">
        <v>32</v>
      </c>
      <c r="H1481" s="13" t="n">
        <f aca="false">(E1481/1000)*(F1481/1000)*(G1481/1000)*7850</f>
        <v>426.919424</v>
      </c>
      <c r="I1481" s="8" t="n">
        <v>2</v>
      </c>
      <c r="J1481" s="14" t="n">
        <f aca="false">H1481*I1481</f>
        <v>853.838848</v>
      </c>
      <c r="K1481" s="8" t="s">
        <v>1598</v>
      </c>
    </row>
    <row r="1482" customFormat="false" ht="13.8" hidden="false" customHeight="false" outlineLevel="0" collapsed="false">
      <c r="A1482" s="8" t="s">
        <v>1562</v>
      </c>
      <c r="B1482" s="8" t="s">
        <v>42</v>
      </c>
      <c r="C1482" s="8" t="s">
        <v>149</v>
      </c>
      <c r="D1482" s="8" t="s">
        <v>40</v>
      </c>
      <c r="E1482" s="8" t="n">
        <v>1200</v>
      </c>
      <c r="F1482" s="8" t="n">
        <v>1200</v>
      </c>
      <c r="G1482" s="8" t="n">
        <v>16</v>
      </c>
      <c r="H1482" s="13" t="n">
        <f aca="false">(E1482/1000)*(F1482/1000)*(G1482/1000)*7850</f>
        <v>180.864</v>
      </c>
      <c r="I1482" s="8" t="n">
        <v>4</v>
      </c>
      <c r="J1482" s="14" t="n">
        <f aca="false">H1482*I1482</f>
        <v>723.456</v>
      </c>
      <c r="K1482" s="8" t="s">
        <v>1599</v>
      </c>
    </row>
    <row r="1483" customFormat="false" ht="13.8" hidden="false" customHeight="false" outlineLevel="0" collapsed="false">
      <c r="A1483" s="8" t="s">
        <v>1562</v>
      </c>
      <c r="B1483" s="8" t="s">
        <v>42</v>
      </c>
      <c r="C1483" s="8" t="s">
        <v>1600</v>
      </c>
      <c r="D1483" s="8" t="s">
        <v>40</v>
      </c>
      <c r="E1483" s="8" t="n">
        <v>5979</v>
      </c>
      <c r="F1483" s="8" t="n">
        <v>1200</v>
      </c>
      <c r="G1483" s="8" t="n">
        <v>36</v>
      </c>
      <c r="H1483" s="13" t="n">
        <f aca="false">(E1483/1000)*(F1483/1000)*(G1483/1000)*7850</f>
        <v>2027.59848</v>
      </c>
      <c r="I1483" s="8" t="n">
        <v>2</v>
      </c>
      <c r="J1483" s="14" t="n">
        <f aca="false">H1483*I1483</f>
        <v>4055.19696</v>
      </c>
      <c r="K1483" s="8" t="s">
        <v>1601</v>
      </c>
    </row>
    <row r="1484" customFormat="false" ht="13.8" hidden="false" customHeight="false" outlineLevel="0" collapsed="false">
      <c r="A1484" s="8" t="s">
        <v>1562</v>
      </c>
      <c r="B1484" s="8" t="s">
        <v>42</v>
      </c>
      <c r="C1484" s="8" t="s">
        <v>380</v>
      </c>
      <c r="D1484" s="8" t="s">
        <v>40</v>
      </c>
      <c r="E1484" s="8" t="n">
        <v>6079</v>
      </c>
      <c r="F1484" s="8" t="n">
        <v>1200</v>
      </c>
      <c r="G1484" s="8" t="n">
        <v>36</v>
      </c>
      <c r="H1484" s="13" t="n">
        <f aca="false">(E1484/1000)*(F1484/1000)*(G1484/1000)*7850</f>
        <v>2061.51048</v>
      </c>
      <c r="I1484" s="8" t="n">
        <v>2</v>
      </c>
      <c r="J1484" s="14" t="n">
        <f aca="false">H1484*I1484</f>
        <v>4123.02096</v>
      </c>
      <c r="K1484" s="8" t="s">
        <v>1602</v>
      </c>
    </row>
    <row r="1485" customFormat="false" ht="13.8" hidden="false" customHeight="false" outlineLevel="0" collapsed="false">
      <c r="A1485" s="8" t="s">
        <v>1562</v>
      </c>
      <c r="B1485" s="8" t="s">
        <v>42</v>
      </c>
      <c r="C1485" s="8" t="s">
        <v>155</v>
      </c>
      <c r="D1485" s="8" t="s">
        <v>40</v>
      </c>
      <c r="E1485" s="8" t="n">
        <v>3979</v>
      </c>
      <c r="F1485" s="8" t="n">
        <v>1760</v>
      </c>
      <c r="G1485" s="8" t="n">
        <v>36</v>
      </c>
      <c r="H1485" s="13" t="n">
        <f aca="false">(E1485/1000)*(F1485/1000)*(G1485/1000)*7850</f>
        <v>1979.059104</v>
      </c>
      <c r="I1485" s="8" t="n">
        <v>4</v>
      </c>
      <c r="J1485" s="14" t="n">
        <f aca="false">H1485*I1485</f>
        <v>7916.236416</v>
      </c>
      <c r="K1485" s="8" t="s">
        <v>1603</v>
      </c>
    </row>
    <row r="1486" customFormat="false" ht="13.8" hidden="false" customHeight="false" outlineLevel="0" collapsed="false">
      <c r="A1486" s="8" t="s">
        <v>1562</v>
      </c>
      <c r="B1486" s="8" t="s">
        <v>42</v>
      </c>
      <c r="C1486" s="8" t="s">
        <v>160</v>
      </c>
      <c r="D1486" s="8" t="s">
        <v>40</v>
      </c>
      <c r="E1486" s="8" t="n">
        <v>3979</v>
      </c>
      <c r="F1486" s="8" t="n">
        <v>320</v>
      </c>
      <c r="G1486" s="8" t="n">
        <v>32</v>
      </c>
      <c r="H1486" s="13" t="n">
        <f aca="false">(E1486/1000)*(F1486/1000)*(G1486/1000)*7850</f>
        <v>319.847936</v>
      </c>
      <c r="I1486" s="8" t="n">
        <v>8</v>
      </c>
      <c r="J1486" s="14" t="n">
        <f aca="false">H1486*I1486</f>
        <v>2558.783488</v>
      </c>
      <c r="K1486" s="8" t="s">
        <v>1604</v>
      </c>
    </row>
    <row r="1487" customFormat="false" ht="13.8" hidden="false" customHeight="false" outlineLevel="0" collapsed="false">
      <c r="A1487" s="8" t="s">
        <v>1562</v>
      </c>
      <c r="B1487" s="8" t="s">
        <v>171</v>
      </c>
      <c r="C1487" s="8" t="s">
        <v>226</v>
      </c>
      <c r="D1487" s="8" t="s">
        <v>40</v>
      </c>
      <c r="E1487" s="8" t="n">
        <v>5279</v>
      </c>
      <c r="F1487" s="8" t="n">
        <v>320</v>
      </c>
      <c r="G1487" s="8" t="n">
        <v>32</v>
      </c>
      <c r="H1487" s="13" t="n">
        <f aca="false">(E1487/1000)*(F1487/1000)*(G1487/1000)*7850</f>
        <v>424.347136</v>
      </c>
      <c r="I1487" s="8" t="n">
        <v>2</v>
      </c>
      <c r="J1487" s="14" t="n">
        <f aca="false">H1487*I1487</f>
        <v>848.694272</v>
      </c>
      <c r="K1487" s="8" t="s">
        <v>1605</v>
      </c>
    </row>
    <row r="1488" customFormat="false" ht="13.8" hidden="false" customHeight="false" outlineLevel="0" collapsed="false">
      <c r="A1488" s="8" t="s">
        <v>1562</v>
      </c>
      <c r="B1488" s="8" t="s">
        <v>42</v>
      </c>
      <c r="C1488" s="8" t="s">
        <v>165</v>
      </c>
      <c r="D1488" s="8" t="s">
        <v>40</v>
      </c>
      <c r="E1488" s="8" t="n">
        <v>5379</v>
      </c>
      <c r="F1488" s="8" t="n">
        <v>320</v>
      </c>
      <c r="G1488" s="8" t="n">
        <v>32</v>
      </c>
      <c r="H1488" s="13" t="n">
        <f aca="false">(E1488/1000)*(F1488/1000)*(G1488/1000)*7850</f>
        <v>432.385536</v>
      </c>
      <c r="I1488" s="8" t="n">
        <v>2</v>
      </c>
      <c r="J1488" s="14" t="n">
        <f aca="false">H1488*I1488</f>
        <v>864.771072</v>
      </c>
      <c r="K1488" s="8" t="s">
        <v>1606</v>
      </c>
    </row>
    <row r="1489" customFormat="false" ht="13.8" hidden="false" customHeight="false" outlineLevel="0" collapsed="false">
      <c r="A1489" s="8" t="s">
        <v>1562</v>
      </c>
      <c r="B1489" s="8" t="s">
        <v>42</v>
      </c>
      <c r="C1489" s="8" t="s">
        <v>158</v>
      </c>
      <c r="D1489" s="8" t="s">
        <v>40</v>
      </c>
      <c r="E1489" s="8" t="n">
        <v>1200</v>
      </c>
      <c r="F1489" s="8" t="n">
        <v>1600</v>
      </c>
      <c r="G1489" s="8" t="n">
        <v>16</v>
      </c>
      <c r="H1489" s="13" t="n">
        <f aca="false">(E1489/1000)*(F1489/1000)*(G1489/1000)*7850</f>
        <v>241.152</v>
      </c>
      <c r="I1489" s="8" t="n">
        <v>4</v>
      </c>
      <c r="J1489" s="14" t="n">
        <f aca="false">H1489*I1489</f>
        <v>964.608</v>
      </c>
      <c r="K1489" s="8" t="s">
        <v>1592</v>
      </c>
    </row>
    <row r="1490" customFormat="false" ht="13.8" hidden="false" customHeight="false" outlineLevel="0" collapsed="false">
      <c r="A1490" s="8" t="s">
        <v>1562</v>
      </c>
      <c r="B1490" s="8" t="s">
        <v>42</v>
      </c>
      <c r="C1490" s="8" t="s">
        <v>386</v>
      </c>
      <c r="D1490" s="8" t="s">
        <v>40</v>
      </c>
      <c r="E1490" s="8" t="n">
        <v>2100</v>
      </c>
      <c r="F1490" s="8" t="n">
        <v>320</v>
      </c>
      <c r="G1490" s="8" t="n">
        <v>32</v>
      </c>
      <c r="H1490" s="13" t="n">
        <f aca="false">(E1490/1000)*(F1490/1000)*(G1490/1000)*7850</f>
        <v>168.8064</v>
      </c>
      <c r="I1490" s="8" t="n">
        <v>12</v>
      </c>
      <c r="J1490" s="14" t="n">
        <f aca="false">H1490*I1490</f>
        <v>2025.6768</v>
      </c>
      <c r="K1490" s="8" t="s">
        <v>1607</v>
      </c>
    </row>
    <row r="1491" customFormat="false" ht="13.8" hidden="false" customHeight="false" outlineLevel="0" collapsed="false">
      <c r="A1491" s="8" t="s">
        <v>1562</v>
      </c>
      <c r="B1491" s="8" t="s">
        <v>42</v>
      </c>
      <c r="C1491" s="8" t="s">
        <v>388</v>
      </c>
      <c r="D1491" s="8" t="s">
        <v>40</v>
      </c>
      <c r="E1491" s="8" t="n">
        <v>2400</v>
      </c>
      <c r="F1491" s="8" t="n">
        <v>320</v>
      </c>
      <c r="G1491" s="8" t="n">
        <v>32</v>
      </c>
      <c r="H1491" s="13" t="n">
        <f aca="false">(E1491/1000)*(F1491/1000)*(G1491/1000)*7850</f>
        <v>192.9216</v>
      </c>
      <c r="I1491" s="8" t="n">
        <v>16</v>
      </c>
      <c r="J1491" s="14" t="n">
        <f aca="false">H1491*I1491</f>
        <v>3086.7456</v>
      </c>
      <c r="K1491" s="8" t="s">
        <v>1608</v>
      </c>
    </row>
    <row r="1492" customFormat="false" ht="13.8" hidden="false" customHeight="false" outlineLevel="0" collapsed="false">
      <c r="A1492" s="8" t="s">
        <v>1562</v>
      </c>
      <c r="B1492" s="8" t="s">
        <v>42</v>
      </c>
      <c r="C1492" s="8" t="s">
        <v>167</v>
      </c>
      <c r="D1492" s="8" t="s">
        <v>40</v>
      </c>
      <c r="E1492" s="8" t="n">
        <v>1560</v>
      </c>
      <c r="F1492" s="8" t="n">
        <v>606</v>
      </c>
      <c r="G1492" s="8" t="n">
        <v>14</v>
      </c>
      <c r="H1492" s="13" t="n">
        <f aca="false">(E1492/1000)*(F1492/1000)*(G1492/1000)*7850</f>
        <v>103.895064</v>
      </c>
      <c r="I1492" s="8" t="n">
        <v>6</v>
      </c>
      <c r="J1492" s="14" t="n">
        <f aca="false">H1492*I1492</f>
        <v>623.370384</v>
      </c>
      <c r="K1492" s="8" t="s">
        <v>1609</v>
      </c>
    </row>
    <row r="1493" customFormat="false" ht="13.8" hidden="false" customHeight="false" outlineLevel="0" collapsed="false">
      <c r="A1493" s="8" t="s">
        <v>1562</v>
      </c>
      <c r="B1493" s="8" t="s">
        <v>42</v>
      </c>
      <c r="C1493" s="8" t="s">
        <v>233</v>
      </c>
      <c r="D1493" s="8" t="s">
        <v>40</v>
      </c>
      <c r="E1493" s="8" t="n">
        <v>1560</v>
      </c>
      <c r="F1493" s="8" t="n">
        <v>602</v>
      </c>
      <c r="G1493" s="8" t="n">
        <v>14</v>
      </c>
      <c r="H1493" s="13" t="n">
        <f aca="false">(E1493/1000)*(F1493/1000)*(G1493/1000)*7850</f>
        <v>103.209288</v>
      </c>
      <c r="I1493" s="8" t="n">
        <v>4</v>
      </c>
      <c r="J1493" s="14" t="n">
        <f aca="false">H1493*I1493</f>
        <v>412.837152</v>
      </c>
      <c r="K1493" s="8" t="s">
        <v>1610</v>
      </c>
    </row>
    <row r="1494" customFormat="false" ht="13.8" hidden="false" customHeight="false" outlineLevel="0" collapsed="false">
      <c r="A1494" s="8" t="s">
        <v>1562</v>
      </c>
      <c r="B1494" s="8" t="s">
        <v>42</v>
      </c>
      <c r="C1494" s="8" t="s">
        <v>169</v>
      </c>
      <c r="D1494" s="8" t="s">
        <v>40</v>
      </c>
      <c r="G1494" s="8" t="n">
        <v>24</v>
      </c>
      <c r="H1494" s="13" t="n">
        <f aca="false">M1494*(G1494/1000)*7850</f>
        <v>86.664</v>
      </c>
      <c r="I1494" s="8" t="n">
        <v>6</v>
      </c>
      <c r="J1494" s="14" t="n">
        <f aca="false">H1494*I1494</f>
        <v>519.984</v>
      </c>
      <c r="K1494" s="8" t="s">
        <v>1611</v>
      </c>
      <c r="M1494" s="15" t="n">
        <v>0.46</v>
      </c>
    </row>
    <row r="1495" customFormat="false" ht="13.8" hidden="false" customHeight="false" outlineLevel="0" collapsed="false">
      <c r="A1495" s="8" t="s">
        <v>1562</v>
      </c>
      <c r="B1495" s="8" t="s">
        <v>42</v>
      </c>
      <c r="C1495" s="8" t="s">
        <v>236</v>
      </c>
      <c r="D1495" s="8" t="s">
        <v>40</v>
      </c>
      <c r="G1495" s="8" t="n">
        <v>24</v>
      </c>
      <c r="H1495" s="13" t="n">
        <f aca="false">M1495*(G1495/1000)*7850</f>
        <v>88.548</v>
      </c>
      <c r="I1495" s="8" t="n">
        <v>4</v>
      </c>
      <c r="J1495" s="14" t="n">
        <f aca="false">H1495*I1495</f>
        <v>354.192</v>
      </c>
      <c r="K1495" s="8" t="s">
        <v>1612</v>
      </c>
      <c r="M1495" s="15" t="n">
        <v>0.47</v>
      </c>
    </row>
    <row r="1496" customFormat="false" ht="13.8" hidden="false" customHeight="false" outlineLevel="0" collapsed="false">
      <c r="A1496" s="8" t="s">
        <v>1562</v>
      </c>
      <c r="B1496" s="8" t="s">
        <v>42</v>
      </c>
      <c r="C1496" s="8" t="s">
        <v>172</v>
      </c>
      <c r="D1496" s="8" t="s">
        <v>40</v>
      </c>
      <c r="E1496" s="8" t="n">
        <v>1450</v>
      </c>
      <c r="F1496" s="8" t="n">
        <v>606</v>
      </c>
      <c r="G1496" s="8" t="n">
        <v>14</v>
      </c>
      <c r="H1496" s="13" t="n">
        <f aca="false">(E1496/1000)*(F1496/1000)*(G1496/1000)*7850</f>
        <v>96.56913</v>
      </c>
      <c r="I1496" s="8" t="n">
        <v>6</v>
      </c>
      <c r="J1496" s="14" t="n">
        <f aca="false">H1496*I1496</f>
        <v>579.41478</v>
      </c>
      <c r="K1496" s="8" t="s">
        <v>1613</v>
      </c>
    </row>
    <row r="1497" customFormat="false" ht="13.8" hidden="false" customHeight="false" outlineLevel="0" collapsed="false">
      <c r="A1497" s="8" t="s">
        <v>1562</v>
      </c>
      <c r="B1497" s="8" t="s">
        <v>42</v>
      </c>
      <c r="C1497" s="8" t="s">
        <v>239</v>
      </c>
      <c r="D1497" s="8" t="s">
        <v>40</v>
      </c>
      <c r="E1497" s="8" t="n">
        <v>1450</v>
      </c>
      <c r="F1497" s="8" t="n">
        <v>618</v>
      </c>
      <c r="G1497" s="8" t="n">
        <v>14</v>
      </c>
      <c r="H1497" s="13" t="n">
        <f aca="false">(E1497/1000)*(F1497/1000)*(G1497/1000)*7850</f>
        <v>98.48139</v>
      </c>
      <c r="I1497" s="8" t="n">
        <v>4</v>
      </c>
      <c r="J1497" s="14" t="n">
        <f aca="false">H1497*I1497</f>
        <v>393.92556</v>
      </c>
      <c r="K1497" s="8" t="s">
        <v>1614</v>
      </c>
    </row>
    <row r="1498" customFormat="false" ht="13.8" hidden="false" customHeight="false" outlineLevel="0" collapsed="false">
      <c r="A1498" s="8" t="s">
        <v>1615</v>
      </c>
      <c r="B1498" s="8" t="s">
        <v>38</v>
      </c>
      <c r="C1498" s="8" t="s">
        <v>179</v>
      </c>
      <c r="D1498" s="8" t="s">
        <v>40</v>
      </c>
      <c r="G1498" s="8" t="n">
        <v>20</v>
      </c>
      <c r="H1498" s="13" t="n">
        <f aca="false">M1498*(G1498/1000)*7850</f>
        <v>1860.45</v>
      </c>
      <c r="I1498" s="8" t="n">
        <v>2</v>
      </c>
      <c r="J1498" s="14" t="n">
        <f aca="false">H1498*I1498</f>
        <v>3720.9</v>
      </c>
      <c r="K1498" s="8" t="s">
        <v>1616</v>
      </c>
      <c r="M1498" s="15" t="n">
        <v>11.85</v>
      </c>
    </row>
    <row r="1499" customFormat="false" ht="13.8" hidden="false" customHeight="false" outlineLevel="0" collapsed="false">
      <c r="A1499" s="8" t="s">
        <v>1615</v>
      </c>
      <c r="B1499" s="8" t="s">
        <v>42</v>
      </c>
      <c r="C1499" s="8" t="s">
        <v>243</v>
      </c>
      <c r="D1499" s="8" t="s">
        <v>40</v>
      </c>
      <c r="G1499" s="8" t="n">
        <v>24</v>
      </c>
      <c r="H1499" s="13" t="n">
        <f aca="false">M1499*(G1499/1000)*7850</f>
        <v>1957.476</v>
      </c>
      <c r="I1499" s="8" t="n">
        <v>2</v>
      </c>
      <c r="J1499" s="14" t="n">
        <f aca="false">H1499*I1499</f>
        <v>3914.952</v>
      </c>
      <c r="K1499" s="8" t="s">
        <v>1617</v>
      </c>
      <c r="M1499" s="15" t="n">
        <v>10.39</v>
      </c>
    </row>
    <row r="1500" customFormat="false" ht="13.8" hidden="false" customHeight="false" outlineLevel="0" collapsed="false">
      <c r="A1500" s="8" t="s">
        <v>1615</v>
      </c>
      <c r="B1500" s="8" t="s">
        <v>45</v>
      </c>
      <c r="C1500" s="8" t="s">
        <v>183</v>
      </c>
      <c r="D1500" s="8" t="s">
        <v>40</v>
      </c>
      <c r="E1500" s="8" t="n">
        <v>7900</v>
      </c>
      <c r="F1500" s="8" t="n">
        <v>1200</v>
      </c>
      <c r="G1500" s="8" t="n">
        <v>20</v>
      </c>
      <c r="H1500" s="13" t="n">
        <f aca="false">(E1500/1000)*(F1500/1000)*(G1500/1000)*7850</f>
        <v>1488.36</v>
      </c>
      <c r="I1500" s="8" t="n">
        <v>2</v>
      </c>
      <c r="J1500" s="14" t="n">
        <f aca="false">H1500*I1500</f>
        <v>2976.72</v>
      </c>
      <c r="K1500" s="8" t="s">
        <v>1618</v>
      </c>
    </row>
    <row r="1501" customFormat="false" ht="13.8" hidden="false" customHeight="false" outlineLevel="0" collapsed="false">
      <c r="A1501" s="8" t="s">
        <v>1615</v>
      </c>
      <c r="B1501" s="8" t="s">
        <v>42</v>
      </c>
      <c r="C1501" s="8" t="s">
        <v>185</v>
      </c>
      <c r="D1501" s="8" t="s">
        <v>40</v>
      </c>
      <c r="E1501" s="8" t="n">
        <v>7100</v>
      </c>
      <c r="F1501" s="8" t="n">
        <v>1200</v>
      </c>
      <c r="G1501" s="8" t="n">
        <v>24</v>
      </c>
      <c r="H1501" s="13" t="n">
        <f aca="false">(E1501/1000)*(F1501/1000)*(G1501/1000)*7850</f>
        <v>1605.168</v>
      </c>
      <c r="I1501" s="8" t="n">
        <v>2</v>
      </c>
      <c r="J1501" s="14" t="n">
        <f aca="false">H1501*I1501</f>
        <v>3210.336</v>
      </c>
      <c r="K1501" s="8" t="s">
        <v>1619</v>
      </c>
    </row>
    <row r="1502" customFormat="false" ht="13.8" hidden="false" customHeight="false" outlineLevel="0" collapsed="false">
      <c r="A1502" s="8" t="s">
        <v>1615</v>
      </c>
      <c r="B1502" s="8" t="s">
        <v>187</v>
      </c>
      <c r="C1502" s="8" t="s">
        <v>188</v>
      </c>
      <c r="D1502" s="8" t="s">
        <v>40</v>
      </c>
      <c r="G1502" s="8" t="n">
        <v>40</v>
      </c>
      <c r="H1502" s="13" t="n">
        <f aca="false">M1502*(G1502/1000)*7850</f>
        <v>6722.74</v>
      </c>
      <c r="I1502" s="8" t="n">
        <v>4</v>
      </c>
      <c r="J1502" s="14" t="n">
        <f aca="false">H1502*I1502</f>
        <v>26890.96</v>
      </c>
      <c r="K1502" s="8" t="s">
        <v>1620</v>
      </c>
      <c r="M1502" s="15" t="n">
        <v>21.41</v>
      </c>
    </row>
    <row r="1503" customFormat="false" ht="13.8" hidden="false" customHeight="false" outlineLevel="0" collapsed="false">
      <c r="A1503" s="8" t="s">
        <v>1615</v>
      </c>
      <c r="B1503" s="8" t="s">
        <v>190</v>
      </c>
      <c r="C1503" s="8" t="s">
        <v>191</v>
      </c>
      <c r="D1503" s="8" t="s">
        <v>40</v>
      </c>
      <c r="E1503" s="8" t="n">
        <v>7300</v>
      </c>
      <c r="F1503" s="8" t="n">
        <v>1644</v>
      </c>
      <c r="G1503" s="8" t="n">
        <v>32</v>
      </c>
      <c r="H1503" s="13" t="n">
        <f aca="false">(E1503/1000)*(F1503/1000)*(G1503/1000)*7850</f>
        <v>3014.70144</v>
      </c>
      <c r="I1503" s="8" t="n">
        <v>4</v>
      </c>
      <c r="J1503" s="14" t="n">
        <f aca="false">H1503*I1503</f>
        <v>12058.80576</v>
      </c>
      <c r="K1503" s="8" t="s">
        <v>1621</v>
      </c>
    </row>
    <row r="1504" customFormat="false" ht="13.8" hidden="false" customHeight="false" outlineLevel="0" collapsed="false">
      <c r="A1504" s="8" t="s">
        <v>1615</v>
      </c>
      <c r="B1504" s="8" t="s">
        <v>195</v>
      </c>
      <c r="C1504" s="8" t="s">
        <v>58</v>
      </c>
      <c r="D1504" s="8" t="s">
        <v>40</v>
      </c>
      <c r="E1504" s="8" t="n">
        <v>1580</v>
      </c>
      <c r="F1504" s="8" t="n">
        <v>1200</v>
      </c>
      <c r="G1504" s="8" t="n">
        <v>16</v>
      </c>
      <c r="H1504" s="13" t="n">
        <f aca="false">(E1504/1000)*(F1504/1000)*(G1504/1000)*7850</f>
        <v>238.1376</v>
      </c>
      <c r="I1504" s="8" t="n">
        <v>6</v>
      </c>
      <c r="J1504" s="14" t="n">
        <f aca="false">H1504*I1504</f>
        <v>1428.8256</v>
      </c>
      <c r="K1504" s="8" t="s">
        <v>1622</v>
      </c>
    </row>
    <row r="1505" customFormat="false" ht="13.8" hidden="false" customHeight="false" outlineLevel="0" collapsed="false">
      <c r="A1505" s="8" t="s">
        <v>1615</v>
      </c>
      <c r="B1505" s="8" t="s">
        <v>42</v>
      </c>
      <c r="C1505" s="8" t="s">
        <v>298</v>
      </c>
      <c r="D1505" s="8" t="s">
        <v>40</v>
      </c>
      <c r="E1505" s="8" t="n">
        <v>1576</v>
      </c>
      <c r="F1505" s="8" t="n">
        <v>1200</v>
      </c>
      <c r="G1505" s="8" t="n">
        <v>16</v>
      </c>
      <c r="H1505" s="13" t="n">
        <f aca="false">(E1505/1000)*(F1505/1000)*(G1505/1000)*7850</f>
        <v>237.53472</v>
      </c>
      <c r="I1505" s="8" t="n">
        <v>4</v>
      </c>
      <c r="J1505" s="14" t="n">
        <f aca="false">H1505*I1505</f>
        <v>950.13888</v>
      </c>
      <c r="K1505" s="8" t="s">
        <v>1623</v>
      </c>
    </row>
    <row r="1506" customFormat="false" ht="13.8" hidden="false" customHeight="false" outlineLevel="0" collapsed="false">
      <c r="A1506" s="8" t="s">
        <v>1615</v>
      </c>
      <c r="B1506" s="8" t="s">
        <v>42</v>
      </c>
      <c r="C1506" s="8" t="s">
        <v>196</v>
      </c>
      <c r="D1506" s="8" t="s">
        <v>40</v>
      </c>
      <c r="E1506" s="8" t="n">
        <v>1657</v>
      </c>
      <c r="F1506" s="8" t="n">
        <v>200</v>
      </c>
      <c r="G1506" s="8" t="n">
        <v>16</v>
      </c>
      <c r="H1506" s="13" t="n">
        <f aca="false">(E1506/1000)*(F1506/1000)*(G1506/1000)*7850</f>
        <v>41.62384</v>
      </c>
      <c r="I1506" s="8" t="n">
        <v>6</v>
      </c>
      <c r="J1506" s="14" t="n">
        <f aca="false">H1506*I1506</f>
        <v>249.74304</v>
      </c>
      <c r="K1506" s="8" t="s">
        <v>1624</v>
      </c>
    </row>
    <row r="1507" customFormat="false" ht="13.8" hidden="false" customHeight="false" outlineLevel="0" collapsed="false">
      <c r="A1507" s="8" t="s">
        <v>1615</v>
      </c>
      <c r="B1507" s="8" t="s">
        <v>42</v>
      </c>
      <c r="C1507" s="8" t="s">
        <v>68</v>
      </c>
      <c r="D1507" s="8" t="s">
        <v>40</v>
      </c>
      <c r="E1507" s="8" t="n">
        <v>600</v>
      </c>
      <c r="F1507" s="8" t="n">
        <v>400</v>
      </c>
      <c r="G1507" s="8" t="n">
        <v>16</v>
      </c>
      <c r="H1507" s="13" t="n">
        <f aca="false">(E1507/1000)*(F1507/1000)*(G1507/1000)*7850</f>
        <v>30.144</v>
      </c>
      <c r="I1507" s="8" t="n">
        <v>8</v>
      </c>
      <c r="J1507" s="14" t="n">
        <f aca="false">H1507*I1507</f>
        <v>241.152</v>
      </c>
      <c r="K1507" s="8" t="s">
        <v>1625</v>
      </c>
    </row>
    <row r="1508" customFormat="false" ht="13.8" hidden="false" customHeight="false" outlineLevel="0" collapsed="false">
      <c r="A1508" s="8" t="s">
        <v>1615</v>
      </c>
      <c r="B1508" s="8" t="s">
        <v>253</v>
      </c>
      <c r="C1508" s="8" t="s">
        <v>199</v>
      </c>
      <c r="D1508" s="8" t="s">
        <v>40</v>
      </c>
      <c r="E1508" s="8" t="n">
        <v>7900</v>
      </c>
      <c r="F1508" s="8" t="n">
        <v>240</v>
      </c>
      <c r="G1508" s="8" t="n">
        <v>20</v>
      </c>
      <c r="H1508" s="13" t="n">
        <f aca="false">(E1508/1000)*(F1508/1000)*(G1508/1000)*7850</f>
        <v>297.672</v>
      </c>
      <c r="I1508" s="8" t="n">
        <v>12</v>
      </c>
      <c r="J1508" s="14" t="n">
        <f aca="false">H1508*I1508</f>
        <v>3572.064</v>
      </c>
      <c r="K1508" s="8" t="s">
        <v>1626</v>
      </c>
    </row>
    <row r="1509" customFormat="false" ht="13.8" hidden="false" customHeight="false" outlineLevel="0" collapsed="false">
      <c r="A1509" s="8" t="s">
        <v>1615</v>
      </c>
      <c r="B1509" s="8" t="s">
        <v>42</v>
      </c>
      <c r="C1509" s="8" t="s">
        <v>76</v>
      </c>
      <c r="D1509" s="8" t="s">
        <v>289</v>
      </c>
      <c r="E1509" s="8" t="n">
        <v>7100</v>
      </c>
      <c r="F1509" s="8" t="n">
        <v>320</v>
      </c>
      <c r="G1509" s="8" t="n">
        <v>32</v>
      </c>
      <c r="H1509" s="13" t="n">
        <f aca="false">(E1509/1000)*(F1509/1000)*(G1509/1000)*7850</f>
        <v>570.7264</v>
      </c>
      <c r="I1509" s="8" t="n">
        <v>12</v>
      </c>
      <c r="J1509" s="14" t="n">
        <f aca="false">H1509*I1509</f>
        <v>6848.7168</v>
      </c>
      <c r="K1509" s="8" t="s">
        <v>1627</v>
      </c>
    </row>
    <row r="1510" customFormat="false" ht="13.8" hidden="false" customHeight="false" outlineLevel="0" collapsed="false">
      <c r="A1510" s="8" t="s">
        <v>1615</v>
      </c>
      <c r="B1510" s="8" t="s">
        <v>256</v>
      </c>
      <c r="C1510" s="8" t="s">
        <v>96</v>
      </c>
      <c r="D1510" s="8" t="s">
        <v>40</v>
      </c>
      <c r="E1510" s="8" t="n">
        <v>7901</v>
      </c>
      <c r="F1510" s="8" t="n">
        <v>1850</v>
      </c>
      <c r="G1510" s="8" t="n">
        <v>24</v>
      </c>
      <c r="H1510" s="13" t="n">
        <f aca="false">(E1510/1000)*(F1510/1000)*(G1510/1000)*7850</f>
        <v>2753.81454</v>
      </c>
      <c r="I1510" s="8" t="n">
        <v>2</v>
      </c>
      <c r="J1510" s="14" t="n">
        <f aca="false">H1510*I1510</f>
        <v>5507.62908</v>
      </c>
      <c r="K1510" s="8" t="s">
        <v>1628</v>
      </c>
    </row>
    <row r="1511" customFormat="false" ht="13.8" hidden="false" customHeight="false" outlineLevel="0" collapsed="false">
      <c r="A1511" s="8" t="s">
        <v>1615</v>
      </c>
      <c r="B1511" s="8" t="s">
        <v>42</v>
      </c>
      <c r="C1511" s="8" t="s">
        <v>305</v>
      </c>
      <c r="D1511" s="8" t="s">
        <v>40</v>
      </c>
      <c r="E1511" s="8" t="n">
        <v>7101</v>
      </c>
      <c r="F1511" s="8" t="n">
        <v>1850</v>
      </c>
      <c r="G1511" s="8" t="n">
        <v>24</v>
      </c>
      <c r="H1511" s="13" t="n">
        <f aca="false">(E1511/1000)*(F1511/1000)*(G1511/1000)*7850</f>
        <v>2474.98254</v>
      </c>
      <c r="I1511" s="8" t="n">
        <v>2</v>
      </c>
      <c r="J1511" s="14" t="n">
        <f aca="false">H1511*I1511</f>
        <v>4949.96508</v>
      </c>
      <c r="K1511" s="8" t="s">
        <v>1629</v>
      </c>
    </row>
    <row r="1512" customFormat="false" ht="13.8" hidden="false" customHeight="false" outlineLevel="0" collapsed="false">
      <c r="A1512" s="8" t="s">
        <v>1615</v>
      </c>
      <c r="B1512" s="8" t="s">
        <v>260</v>
      </c>
      <c r="C1512" s="8" t="s">
        <v>100</v>
      </c>
      <c r="D1512" s="8" t="s">
        <v>40</v>
      </c>
      <c r="G1512" s="8" t="n">
        <v>24</v>
      </c>
      <c r="H1512" s="13" t="n">
        <f aca="false">M1512*(G1512/1000)*7850</f>
        <v>2360.652</v>
      </c>
      <c r="I1512" s="8" t="n">
        <v>2</v>
      </c>
      <c r="J1512" s="14" t="n">
        <f aca="false">H1512*I1512</f>
        <v>4721.304</v>
      </c>
      <c r="K1512" s="8" t="s">
        <v>1630</v>
      </c>
      <c r="M1512" s="15" t="n">
        <v>12.53</v>
      </c>
    </row>
    <row r="1513" customFormat="false" ht="13.8" hidden="false" customHeight="false" outlineLevel="0" collapsed="false">
      <c r="A1513" s="8" t="s">
        <v>1615</v>
      </c>
      <c r="B1513" s="8" t="s">
        <v>42</v>
      </c>
      <c r="C1513" s="8" t="s">
        <v>206</v>
      </c>
      <c r="D1513" s="8" t="s">
        <v>40</v>
      </c>
      <c r="G1513" s="8" t="n">
        <v>24</v>
      </c>
      <c r="H1513" s="13" t="n">
        <f aca="false">M1513*(G1513/1000)*7850</f>
        <v>1829.364</v>
      </c>
      <c r="I1513" s="8" t="n">
        <v>2</v>
      </c>
      <c r="J1513" s="14" t="n">
        <f aca="false">H1513*I1513</f>
        <v>3658.728</v>
      </c>
      <c r="K1513" s="8" t="s">
        <v>1631</v>
      </c>
      <c r="M1513" s="15" t="n">
        <v>9.71</v>
      </c>
    </row>
    <row r="1514" customFormat="false" ht="13.8" hidden="false" customHeight="false" outlineLevel="0" collapsed="false">
      <c r="A1514" s="8" t="s">
        <v>1615</v>
      </c>
      <c r="B1514" s="8" t="s">
        <v>105</v>
      </c>
      <c r="C1514" s="8" t="s">
        <v>103</v>
      </c>
      <c r="D1514" s="8" t="s">
        <v>40</v>
      </c>
      <c r="G1514" s="8" t="n">
        <v>44</v>
      </c>
      <c r="H1514" s="13" t="n">
        <f aca="false">M1514*(G1514/1000)*7850</f>
        <v>7156.688</v>
      </c>
      <c r="I1514" s="8" t="n">
        <v>4</v>
      </c>
      <c r="J1514" s="14" t="n">
        <f aca="false">H1514*I1514</f>
        <v>28626.752</v>
      </c>
      <c r="K1514" s="8" t="s">
        <v>1632</v>
      </c>
      <c r="M1514" s="15" t="n">
        <v>20.72</v>
      </c>
    </row>
    <row r="1515" customFormat="false" ht="13.8" hidden="false" customHeight="false" outlineLevel="0" collapsed="false">
      <c r="A1515" s="8" t="s">
        <v>1615</v>
      </c>
      <c r="B1515" s="8" t="s">
        <v>102</v>
      </c>
      <c r="C1515" s="8" t="s">
        <v>106</v>
      </c>
      <c r="D1515" s="8" t="s">
        <v>40</v>
      </c>
      <c r="E1515" s="8" t="n">
        <v>7301</v>
      </c>
      <c r="F1515" s="8" t="n">
        <v>1474</v>
      </c>
      <c r="G1515" s="8" t="n">
        <v>32</v>
      </c>
      <c r="H1515" s="13" t="n">
        <f aca="false">(E1515/1000)*(F1515/1000)*(G1515/1000)*7850</f>
        <v>2703.3325088</v>
      </c>
      <c r="I1515" s="8" t="n">
        <v>4</v>
      </c>
      <c r="J1515" s="14" t="n">
        <f aca="false">H1515*I1515</f>
        <v>10813.3300352</v>
      </c>
      <c r="K1515" s="8" t="s">
        <v>1633</v>
      </c>
    </row>
    <row r="1516" customFormat="false" ht="13.8" hidden="false" customHeight="false" outlineLevel="0" collapsed="false">
      <c r="A1516" s="8" t="s">
        <v>1615</v>
      </c>
      <c r="B1516" s="8" t="s">
        <v>110</v>
      </c>
      <c r="C1516" s="8" t="s">
        <v>108</v>
      </c>
      <c r="D1516" s="8" t="s">
        <v>40</v>
      </c>
      <c r="E1516" s="8" t="n">
        <v>1450</v>
      </c>
      <c r="F1516" s="8" t="n">
        <v>1200</v>
      </c>
      <c r="G1516" s="8" t="n">
        <v>16</v>
      </c>
      <c r="H1516" s="13" t="n">
        <f aca="false">(E1516/1000)*(F1516/1000)*(G1516/1000)*7850</f>
        <v>218.544</v>
      </c>
      <c r="I1516" s="8" t="n">
        <v>6</v>
      </c>
      <c r="J1516" s="14" t="n">
        <f aca="false">H1516*I1516</f>
        <v>1311.264</v>
      </c>
      <c r="K1516" s="8" t="s">
        <v>1634</v>
      </c>
    </row>
    <row r="1517" customFormat="false" ht="13.8" hidden="false" customHeight="false" outlineLevel="0" collapsed="false">
      <c r="A1517" s="8" t="s">
        <v>1615</v>
      </c>
      <c r="B1517" s="8" t="s">
        <v>42</v>
      </c>
      <c r="C1517" s="8" t="s">
        <v>267</v>
      </c>
      <c r="D1517" s="8" t="s">
        <v>40</v>
      </c>
      <c r="E1517" s="8" t="n">
        <v>1450</v>
      </c>
      <c r="F1517" s="8" t="n">
        <v>1200</v>
      </c>
      <c r="G1517" s="8" t="n">
        <v>16</v>
      </c>
      <c r="H1517" s="13" t="n">
        <f aca="false">(E1517/1000)*(F1517/1000)*(G1517/1000)*7850</f>
        <v>218.544</v>
      </c>
      <c r="I1517" s="8" t="n">
        <v>4</v>
      </c>
      <c r="J1517" s="14" t="n">
        <f aca="false">H1517*I1517</f>
        <v>874.176</v>
      </c>
      <c r="K1517" s="8" t="s">
        <v>1634</v>
      </c>
    </row>
    <row r="1518" customFormat="false" ht="13.8" hidden="false" customHeight="false" outlineLevel="0" collapsed="false">
      <c r="A1518" s="8" t="s">
        <v>1615</v>
      </c>
      <c r="B1518" s="8" t="s">
        <v>42</v>
      </c>
      <c r="C1518" s="8" t="s">
        <v>108</v>
      </c>
      <c r="D1518" s="8" t="s">
        <v>40</v>
      </c>
      <c r="E1518" s="8" t="n">
        <v>1657</v>
      </c>
      <c r="F1518" s="8" t="n">
        <v>200</v>
      </c>
      <c r="G1518" s="8" t="n">
        <v>16</v>
      </c>
      <c r="H1518" s="13" t="n">
        <f aca="false">(E1518/1000)*(F1518/1000)*(G1518/1000)*7850</f>
        <v>41.62384</v>
      </c>
      <c r="I1518" s="8" t="n">
        <v>6</v>
      </c>
      <c r="J1518" s="14" t="n">
        <f aca="false">H1518*I1518</f>
        <v>249.74304</v>
      </c>
      <c r="K1518" s="8" t="s">
        <v>1624</v>
      </c>
    </row>
    <row r="1519" customFormat="false" ht="13.8" hidden="false" customHeight="false" outlineLevel="0" collapsed="false">
      <c r="A1519" s="8" t="s">
        <v>1615</v>
      </c>
      <c r="B1519" s="8" t="s">
        <v>518</v>
      </c>
      <c r="C1519" s="8" t="s">
        <v>114</v>
      </c>
      <c r="D1519" s="8" t="s">
        <v>40</v>
      </c>
      <c r="E1519" s="8" t="n">
        <v>7901</v>
      </c>
      <c r="F1519" s="8" t="n">
        <v>320</v>
      </c>
      <c r="G1519" s="8" t="n">
        <v>32</v>
      </c>
      <c r="H1519" s="13" t="n">
        <f aca="false">(E1519/1000)*(F1519/1000)*(G1519/1000)*7850</f>
        <v>635.113984</v>
      </c>
      <c r="I1519" s="8" t="n">
        <v>8</v>
      </c>
      <c r="J1519" s="14" t="n">
        <f aca="false">H1519*I1519</f>
        <v>5080.911872</v>
      </c>
      <c r="K1519" s="8" t="s">
        <v>1635</v>
      </c>
    </row>
    <row r="1520" customFormat="false" ht="13.8" hidden="false" customHeight="false" outlineLevel="0" collapsed="false">
      <c r="A1520" s="8" t="s">
        <v>1615</v>
      </c>
      <c r="B1520" s="8" t="s">
        <v>42</v>
      </c>
      <c r="C1520" s="8" t="s">
        <v>116</v>
      </c>
      <c r="D1520" s="8" t="s">
        <v>40</v>
      </c>
      <c r="E1520" s="8" t="n">
        <v>7101</v>
      </c>
      <c r="F1520" s="8" t="n">
        <v>240</v>
      </c>
      <c r="G1520" s="8" t="n">
        <v>20</v>
      </c>
      <c r="H1520" s="13" t="n">
        <f aca="false">(E1520/1000)*(F1520/1000)*(G1520/1000)*7850</f>
        <v>267.56568</v>
      </c>
      <c r="I1520" s="8" t="n">
        <v>8</v>
      </c>
      <c r="J1520" s="14" t="n">
        <f aca="false">H1520*I1520</f>
        <v>2140.52544</v>
      </c>
      <c r="K1520" s="8" t="s">
        <v>1636</v>
      </c>
    </row>
    <row r="1521" customFormat="false" ht="13.8" hidden="false" customHeight="false" outlineLevel="0" collapsed="false">
      <c r="A1521" s="8" t="s">
        <v>1615</v>
      </c>
      <c r="B1521" s="8" t="s">
        <v>42</v>
      </c>
      <c r="C1521" s="8" t="s">
        <v>118</v>
      </c>
      <c r="D1521" s="8" t="s">
        <v>40</v>
      </c>
      <c r="E1521" s="8" t="n">
        <v>15002</v>
      </c>
      <c r="F1521" s="8" t="n">
        <v>170</v>
      </c>
      <c r="G1521" s="8" t="n">
        <v>14</v>
      </c>
      <c r="H1521" s="13" t="n">
        <f aca="false">(E1521/1000)*(F1521/1000)*(G1521/1000)*7850</f>
        <v>280.282366</v>
      </c>
      <c r="I1521" s="8" t="n">
        <v>2</v>
      </c>
      <c r="J1521" s="14" t="n">
        <f aca="false">H1521*I1521</f>
        <v>560.564732</v>
      </c>
      <c r="K1521" s="8" t="s">
        <v>1637</v>
      </c>
    </row>
    <row r="1522" customFormat="false" ht="13.8" hidden="false" customHeight="false" outlineLevel="0" collapsed="false">
      <c r="A1522" s="8" t="s">
        <v>1615</v>
      </c>
      <c r="B1522" s="8" t="s">
        <v>272</v>
      </c>
      <c r="C1522" s="8" t="s">
        <v>125</v>
      </c>
      <c r="D1522" s="8" t="s">
        <v>40</v>
      </c>
      <c r="E1522" s="8" t="n">
        <v>11903</v>
      </c>
      <c r="F1522" s="8" t="n">
        <v>1200</v>
      </c>
      <c r="G1522" s="8" t="n">
        <v>36</v>
      </c>
      <c r="H1522" s="13" t="n">
        <f aca="false">(E1522/1000)*(F1522/1000)*(G1522/1000)*7850</f>
        <v>4036.54536</v>
      </c>
      <c r="I1522" s="8" t="n">
        <v>2</v>
      </c>
      <c r="J1522" s="14" t="n">
        <f aca="false">H1522*I1522</f>
        <v>8073.09072</v>
      </c>
      <c r="K1522" s="8" t="s">
        <v>1638</v>
      </c>
    </row>
    <row r="1523" customFormat="false" ht="13.8" hidden="false" customHeight="false" outlineLevel="0" collapsed="false">
      <c r="A1523" s="8" t="s">
        <v>1615</v>
      </c>
      <c r="B1523" s="8" t="s">
        <v>42</v>
      </c>
      <c r="C1523" s="8" t="s">
        <v>127</v>
      </c>
      <c r="D1523" s="8" t="s">
        <v>40</v>
      </c>
      <c r="E1523" s="8" t="n">
        <v>12203</v>
      </c>
      <c r="F1523" s="8" t="n">
        <v>1200</v>
      </c>
      <c r="G1523" s="8" t="n">
        <v>36</v>
      </c>
      <c r="H1523" s="13" t="n">
        <f aca="false">(E1523/1000)*(F1523/1000)*(G1523/1000)*7850</f>
        <v>4138.28136</v>
      </c>
      <c r="I1523" s="8" t="n">
        <v>2</v>
      </c>
      <c r="J1523" s="14" t="n">
        <f aca="false">H1523*I1523</f>
        <v>8276.56272</v>
      </c>
      <c r="K1523" s="8" t="s">
        <v>1639</v>
      </c>
    </row>
    <row r="1524" customFormat="false" ht="13.8" hidden="false" customHeight="false" outlineLevel="0" collapsed="false">
      <c r="A1524" s="8" t="s">
        <v>1615</v>
      </c>
      <c r="B1524" s="8" t="s">
        <v>42</v>
      </c>
      <c r="C1524" s="8" t="s">
        <v>128</v>
      </c>
      <c r="D1524" s="8" t="s">
        <v>40</v>
      </c>
      <c r="E1524" s="8" t="n">
        <v>7903</v>
      </c>
      <c r="F1524" s="8" t="n">
        <v>1360</v>
      </c>
      <c r="G1524" s="8" t="n">
        <v>36</v>
      </c>
      <c r="H1524" s="13" t="n">
        <f aca="false">(E1524/1000)*(F1524/1000)*(G1524/1000)*7850</f>
        <v>3037.407408</v>
      </c>
      <c r="I1524" s="8" t="n">
        <v>4</v>
      </c>
      <c r="J1524" s="14" t="n">
        <f aca="false">H1524*I1524</f>
        <v>12149.629632</v>
      </c>
      <c r="K1524" s="8" t="s">
        <v>1640</v>
      </c>
    </row>
    <row r="1525" customFormat="false" ht="13.8" hidden="false" customHeight="false" outlineLevel="0" collapsed="false">
      <c r="A1525" s="8" t="s">
        <v>1615</v>
      </c>
      <c r="B1525" s="8" t="s">
        <v>42</v>
      </c>
      <c r="C1525" s="8" t="s">
        <v>130</v>
      </c>
      <c r="D1525" s="8" t="s">
        <v>40</v>
      </c>
      <c r="E1525" s="8" t="n">
        <v>7903</v>
      </c>
      <c r="F1525" s="8" t="n">
        <v>320</v>
      </c>
      <c r="G1525" s="8" t="n">
        <v>32</v>
      </c>
      <c r="H1525" s="13" t="n">
        <f aca="false">(E1525/1000)*(F1525/1000)*(G1525/1000)*7850</f>
        <v>635.274752</v>
      </c>
      <c r="I1525" s="8" t="n">
        <v>4</v>
      </c>
      <c r="J1525" s="14" t="n">
        <f aca="false">H1525*I1525</f>
        <v>2541.099008</v>
      </c>
      <c r="K1525" s="8" t="s">
        <v>1641</v>
      </c>
    </row>
    <row r="1526" customFormat="false" ht="13.8" hidden="false" customHeight="false" outlineLevel="0" collapsed="false">
      <c r="A1526" s="8" t="s">
        <v>1615</v>
      </c>
      <c r="B1526" s="8" t="s">
        <v>42</v>
      </c>
      <c r="C1526" s="8" t="s">
        <v>134</v>
      </c>
      <c r="D1526" s="8" t="s">
        <v>40</v>
      </c>
      <c r="E1526" s="8" t="n">
        <v>10803</v>
      </c>
      <c r="F1526" s="8" t="n">
        <v>320</v>
      </c>
      <c r="G1526" s="8" t="n">
        <v>32</v>
      </c>
      <c r="H1526" s="13" t="n">
        <f aca="false">(E1526/1000)*(F1526/1000)*(G1526/1000)*7850</f>
        <v>868.388352</v>
      </c>
      <c r="I1526" s="8" t="n">
        <v>2</v>
      </c>
      <c r="J1526" s="14" t="n">
        <f aca="false">H1526*I1526</f>
        <v>1736.776704</v>
      </c>
      <c r="K1526" s="8" t="s">
        <v>1642</v>
      </c>
    </row>
    <row r="1527" customFormat="false" ht="13.8" hidden="false" customHeight="false" outlineLevel="0" collapsed="false">
      <c r="A1527" s="8" t="s">
        <v>1615</v>
      </c>
      <c r="B1527" s="8" t="s">
        <v>42</v>
      </c>
      <c r="C1527" s="8" t="s">
        <v>135</v>
      </c>
      <c r="D1527" s="8" t="s">
        <v>40</v>
      </c>
      <c r="E1527" s="8" t="n">
        <v>1200</v>
      </c>
      <c r="F1527" s="8" t="n">
        <v>1200</v>
      </c>
      <c r="G1527" s="8" t="n">
        <v>16</v>
      </c>
      <c r="H1527" s="13" t="n">
        <f aca="false">(E1527/1000)*(F1527/1000)*(G1527/1000)*7850</f>
        <v>180.864</v>
      </c>
      <c r="I1527" s="8" t="n">
        <v>6</v>
      </c>
      <c r="J1527" s="14" t="n">
        <f aca="false">H1527*I1527</f>
        <v>1085.184</v>
      </c>
      <c r="K1527" s="8" t="s">
        <v>1643</v>
      </c>
    </row>
    <row r="1528" customFormat="false" ht="13.8" hidden="false" customHeight="false" outlineLevel="0" collapsed="false">
      <c r="A1528" s="8" t="s">
        <v>1615</v>
      </c>
      <c r="B1528" s="8" t="s">
        <v>42</v>
      </c>
      <c r="C1528" s="8" t="s">
        <v>137</v>
      </c>
      <c r="D1528" s="8" t="s">
        <v>40</v>
      </c>
      <c r="E1528" s="8" t="n">
        <v>5651</v>
      </c>
      <c r="F1528" s="8" t="n">
        <v>1200</v>
      </c>
      <c r="G1528" s="8" t="n">
        <v>36</v>
      </c>
      <c r="H1528" s="13" t="n">
        <f aca="false">(E1528/1000)*(F1528/1000)*(G1528/1000)*7850</f>
        <v>1916.36712</v>
      </c>
      <c r="I1528" s="8" t="n">
        <v>2</v>
      </c>
      <c r="J1528" s="14" t="n">
        <f aca="false">H1528*I1528</f>
        <v>3832.73424</v>
      </c>
      <c r="K1528" s="8" t="s">
        <v>1644</v>
      </c>
    </row>
    <row r="1529" customFormat="false" ht="13.8" hidden="false" customHeight="false" outlineLevel="0" collapsed="false">
      <c r="A1529" s="8" t="s">
        <v>1615</v>
      </c>
      <c r="B1529" s="8" t="s">
        <v>42</v>
      </c>
      <c r="C1529" s="8" t="s">
        <v>374</v>
      </c>
      <c r="D1529" s="8" t="s">
        <v>40</v>
      </c>
      <c r="E1529" s="8" t="n">
        <v>5951</v>
      </c>
      <c r="F1529" s="8" t="n">
        <v>1200</v>
      </c>
      <c r="G1529" s="8" t="n">
        <v>36</v>
      </c>
      <c r="H1529" s="13" t="n">
        <f aca="false">(E1529/1000)*(F1529/1000)*(G1529/1000)*7850</f>
        <v>2018.10312</v>
      </c>
      <c r="I1529" s="8" t="n">
        <v>2</v>
      </c>
      <c r="J1529" s="14" t="n">
        <f aca="false">H1529*I1529</f>
        <v>4036.20624</v>
      </c>
      <c r="K1529" s="8" t="s">
        <v>1645</v>
      </c>
    </row>
    <row r="1530" customFormat="false" ht="13.8" hidden="false" customHeight="false" outlineLevel="0" collapsed="false">
      <c r="A1530" s="8" t="s">
        <v>1615</v>
      </c>
      <c r="B1530" s="8" t="s">
        <v>42</v>
      </c>
      <c r="C1530" s="8" t="s">
        <v>141</v>
      </c>
      <c r="D1530" s="8" t="s">
        <v>40</v>
      </c>
      <c r="E1530" s="8" t="n">
        <v>3851</v>
      </c>
      <c r="F1530" s="8" t="n">
        <v>1360</v>
      </c>
      <c r="G1530" s="8" t="n">
        <v>36</v>
      </c>
      <c r="H1530" s="13" t="n">
        <f aca="false">(E1530/1000)*(F1530/1000)*(G1530/1000)*7850</f>
        <v>1480.077936</v>
      </c>
      <c r="I1530" s="8" t="n">
        <v>4</v>
      </c>
      <c r="J1530" s="14" t="n">
        <f aca="false">H1530*I1530</f>
        <v>5920.311744</v>
      </c>
      <c r="K1530" s="8" t="s">
        <v>1646</v>
      </c>
    </row>
    <row r="1531" customFormat="false" ht="13.8" hidden="false" customHeight="false" outlineLevel="0" collapsed="false">
      <c r="A1531" s="8" t="s">
        <v>1615</v>
      </c>
      <c r="B1531" s="8" t="s">
        <v>42</v>
      </c>
      <c r="C1531" s="8" t="s">
        <v>143</v>
      </c>
      <c r="D1531" s="8" t="s">
        <v>289</v>
      </c>
      <c r="E1531" s="8" t="n">
        <v>3851</v>
      </c>
      <c r="F1531" s="8" t="n">
        <v>320</v>
      </c>
      <c r="G1531" s="8" t="n">
        <v>32</v>
      </c>
      <c r="H1531" s="13" t="n">
        <f aca="false">(E1531/1000)*(F1531/1000)*(G1531/1000)*7850</f>
        <v>309.558784</v>
      </c>
      <c r="I1531" s="8" t="n">
        <v>4</v>
      </c>
      <c r="J1531" s="14" t="n">
        <f aca="false">H1531*I1531</f>
        <v>1238.235136</v>
      </c>
      <c r="K1531" s="8" t="s">
        <v>1647</v>
      </c>
    </row>
    <row r="1532" customFormat="false" ht="13.8" hidden="false" customHeight="false" outlineLevel="0" collapsed="false">
      <c r="A1532" s="8" t="s">
        <v>1615</v>
      </c>
      <c r="B1532" s="8" t="s">
        <v>42</v>
      </c>
      <c r="C1532" s="8" t="s">
        <v>326</v>
      </c>
      <c r="D1532" s="8" t="s">
        <v>40</v>
      </c>
      <c r="E1532" s="8" t="n">
        <v>4951</v>
      </c>
      <c r="F1532" s="8" t="n">
        <v>320</v>
      </c>
      <c r="G1532" s="8" t="n">
        <v>32</v>
      </c>
      <c r="H1532" s="13" t="n">
        <f aca="false">(E1532/1000)*(F1532/1000)*(G1532/1000)*7850</f>
        <v>397.981184</v>
      </c>
      <c r="I1532" s="8" t="n">
        <v>2</v>
      </c>
      <c r="J1532" s="14" t="n">
        <f aca="false">H1532*I1532</f>
        <v>795.962368</v>
      </c>
      <c r="K1532" s="8" t="s">
        <v>1648</v>
      </c>
    </row>
    <row r="1533" customFormat="false" ht="13.8" hidden="false" customHeight="false" outlineLevel="0" collapsed="false">
      <c r="A1533" s="8" t="s">
        <v>1615</v>
      </c>
      <c r="B1533" s="8" t="s">
        <v>42</v>
      </c>
      <c r="C1533" s="8" t="s">
        <v>147</v>
      </c>
      <c r="D1533" s="8" t="s">
        <v>40</v>
      </c>
      <c r="E1533" s="8" t="n">
        <v>5251</v>
      </c>
      <c r="F1533" s="8" t="n">
        <v>320</v>
      </c>
      <c r="G1533" s="8" t="n">
        <v>32</v>
      </c>
      <c r="H1533" s="13" t="n">
        <f aca="false">(E1533/1000)*(F1533/1000)*(G1533/1000)*7850</f>
        <v>422.096384</v>
      </c>
      <c r="I1533" s="8" t="n">
        <v>2</v>
      </c>
      <c r="J1533" s="14" t="n">
        <f aca="false">H1533*I1533</f>
        <v>844.192768</v>
      </c>
      <c r="K1533" s="8" t="s">
        <v>1649</v>
      </c>
    </row>
    <row r="1534" customFormat="false" ht="13.8" hidden="false" customHeight="false" outlineLevel="0" collapsed="false">
      <c r="A1534" s="8" t="s">
        <v>1615</v>
      </c>
      <c r="B1534" s="8" t="s">
        <v>42</v>
      </c>
      <c r="C1534" s="8" t="s">
        <v>149</v>
      </c>
      <c r="D1534" s="8" t="s">
        <v>40</v>
      </c>
      <c r="E1534" s="8" t="n">
        <v>1200</v>
      </c>
      <c r="F1534" s="8" t="n">
        <v>1200</v>
      </c>
      <c r="G1534" s="8" t="n">
        <v>16</v>
      </c>
      <c r="H1534" s="13" t="n">
        <f aca="false">(E1534/1000)*(F1534/1000)*(G1534/1000)*7850</f>
        <v>180.864</v>
      </c>
      <c r="I1534" s="8" t="n">
        <v>6</v>
      </c>
      <c r="J1534" s="14" t="n">
        <f aca="false">H1534*I1534</f>
        <v>1085.184</v>
      </c>
      <c r="K1534" s="8" t="s">
        <v>1643</v>
      </c>
    </row>
    <row r="1535" customFormat="false" ht="13.8" hidden="false" customHeight="false" outlineLevel="0" collapsed="false">
      <c r="A1535" s="8" t="s">
        <v>1615</v>
      </c>
      <c r="B1535" s="8" t="s">
        <v>42</v>
      </c>
      <c r="C1535" s="8" t="s">
        <v>1600</v>
      </c>
      <c r="D1535" s="8" t="s">
        <v>40</v>
      </c>
      <c r="E1535" s="8" t="n">
        <v>6111</v>
      </c>
      <c r="F1535" s="8" t="n">
        <v>1200</v>
      </c>
      <c r="G1535" s="8" t="n">
        <v>36</v>
      </c>
      <c r="H1535" s="13" t="n">
        <f aca="false">(E1535/1000)*(F1535/1000)*(G1535/1000)*7850</f>
        <v>2072.36232</v>
      </c>
      <c r="I1535" s="8" t="n">
        <v>2</v>
      </c>
      <c r="J1535" s="14" t="n">
        <f aca="false">H1535*I1535</f>
        <v>4144.72464</v>
      </c>
      <c r="K1535" s="8" t="s">
        <v>1650</v>
      </c>
    </row>
    <row r="1536" customFormat="false" ht="13.8" hidden="false" customHeight="false" outlineLevel="0" collapsed="false">
      <c r="A1536" s="8" t="s">
        <v>1615</v>
      </c>
      <c r="B1536" s="8" t="s">
        <v>171</v>
      </c>
      <c r="C1536" s="8" t="s">
        <v>1651</v>
      </c>
      <c r="D1536" s="8" t="s">
        <v>40</v>
      </c>
      <c r="E1536" s="8" t="n">
        <v>6111</v>
      </c>
      <c r="F1536" s="8" t="n">
        <v>1200</v>
      </c>
      <c r="G1536" s="8" t="n">
        <v>36</v>
      </c>
      <c r="H1536" s="13" t="n">
        <f aca="false">(E1536/1000)*(F1536/1000)*(G1536/1000)*7850</f>
        <v>2072.36232</v>
      </c>
      <c r="I1536" s="8" t="n">
        <v>2</v>
      </c>
      <c r="J1536" s="14" t="n">
        <f aca="false">H1536*I1536</f>
        <v>4144.72464</v>
      </c>
      <c r="K1536" s="8" t="s">
        <v>1650</v>
      </c>
    </row>
    <row r="1537" customFormat="false" ht="13.8" hidden="false" customHeight="false" outlineLevel="0" collapsed="false">
      <c r="A1537" s="8" t="s">
        <v>1615</v>
      </c>
      <c r="B1537" s="8" t="s">
        <v>42</v>
      </c>
      <c r="C1537" s="8" t="s">
        <v>155</v>
      </c>
      <c r="D1537" s="8" t="s">
        <v>40</v>
      </c>
      <c r="E1537" s="8" t="n">
        <v>3911</v>
      </c>
      <c r="F1537" s="8" t="n">
        <v>1360</v>
      </c>
      <c r="G1537" s="8" t="n">
        <v>36</v>
      </c>
      <c r="H1537" s="13" t="n">
        <f aca="false">(E1537/1000)*(F1537/1000)*(G1537/1000)*7850</f>
        <v>1503.138096</v>
      </c>
      <c r="I1537" s="8" t="n">
        <v>4</v>
      </c>
      <c r="J1537" s="14" t="n">
        <f aca="false">H1537*I1537</f>
        <v>6012.552384</v>
      </c>
      <c r="K1537" s="8" t="s">
        <v>1652</v>
      </c>
    </row>
    <row r="1538" customFormat="false" ht="13.8" hidden="false" customHeight="false" outlineLevel="0" collapsed="false">
      <c r="A1538" s="8" t="s">
        <v>1615</v>
      </c>
      <c r="B1538" s="8" t="s">
        <v>42</v>
      </c>
      <c r="C1538" s="8" t="s">
        <v>160</v>
      </c>
      <c r="D1538" s="8" t="s">
        <v>40</v>
      </c>
      <c r="E1538" s="8" t="n">
        <v>3911</v>
      </c>
      <c r="F1538" s="8" t="n">
        <v>320</v>
      </c>
      <c r="G1538" s="8" t="n">
        <v>32</v>
      </c>
      <c r="H1538" s="13" t="n">
        <f aca="false">(E1538/1000)*(F1538/1000)*(G1538/1000)*7850</f>
        <v>314.381824</v>
      </c>
      <c r="I1538" s="8" t="n">
        <v>4</v>
      </c>
      <c r="J1538" s="14" t="n">
        <f aca="false">H1538*I1538</f>
        <v>1257.527296</v>
      </c>
      <c r="K1538" s="8" t="s">
        <v>1653</v>
      </c>
    </row>
    <row r="1539" customFormat="false" ht="13.8" hidden="false" customHeight="false" outlineLevel="0" collapsed="false">
      <c r="A1539" s="8" t="s">
        <v>1615</v>
      </c>
      <c r="B1539" s="8" t="s">
        <v>42</v>
      </c>
      <c r="C1539" s="8" t="s">
        <v>226</v>
      </c>
      <c r="D1539" s="8" t="s">
        <v>40</v>
      </c>
      <c r="E1539" s="8" t="n">
        <v>5411</v>
      </c>
      <c r="F1539" s="8" t="n">
        <v>320</v>
      </c>
      <c r="G1539" s="8" t="n">
        <v>32</v>
      </c>
      <c r="H1539" s="13" t="n">
        <f aca="false">(E1539/1000)*(F1539/1000)*(G1539/1000)*7850</f>
        <v>434.957824</v>
      </c>
      <c r="I1539" s="8" t="n">
        <v>2</v>
      </c>
      <c r="J1539" s="14" t="n">
        <f aca="false">H1539*I1539</f>
        <v>869.915648</v>
      </c>
      <c r="K1539" s="8" t="s">
        <v>1654</v>
      </c>
    </row>
    <row r="1540" customFormat="false" ht="13.8" hidden="false" customHeight="false" outlineLevel="0" collapsed="false">
      <c r="A1540" s="8" t="s">
        <v>1615</v>
      </c>
      <c r="B1540" s="8" t="s">
        <v>42</v>
      </c>
      <c r="C1540" s="8" t="s">
        <v>165</v>
      </c>
      <c r="D1540" s="8" t="s">
        <v>40</v>
      </c>
      <c r="E1540" s="8" t="n">
        <v>5411</v>
      </c>
      <c r="F1540" s="8" t="n">
        <v>320</v>
      </c>
      <c r="G1540" s="8" t="n">
        <v>32</v>
      </c>
      <c r="H1540" s="13" t="n">
        <f aca="false">(E1540/1000)*(F1540/1000)*(G1540/1000)*7850</f>
        <v>434.957824</v>
      </c>
      <c r="I1540" s="8" t="n">
        <v>2</v>
      </c>
      <c r="J1540" s="14" t="n">
        <f aca="false">H1540*I1540</f>
        <v>869.915648</v>
      </c>
      <c r="K1540" s="8" t="s">
        <v>1655</v>
      </c>
    </row>
    <row r="1541" customFormat="false" ht="13.8" hidden="false" customHeight="false" outlineLevel="0" collapsed="false">
      <c r="A1541" s="8" t="s">
        <v>1615</v>
      </c>
      <c r="B1541" s="8" t="s">
        <v>42</v>
      </c>
      <c r="C1541" s="8" t="s">
        <v>158</v>
      </c>
      <c r="D1541" s="8" t="s">
        <v>40</v>
      </c>
      <c r="E1541" s="8" t="n">
        <v>1200</v>
      </c>
      <c r="F1541" s="8" t="n">
        <v>1200</v>
      </c>
      <c r="G1541" s="8" t="n">
        <v>16</v>
      </c>
      <c r="H1541" s="13" t="n">
        <f aca="false">(E1541/1000)*(F1541/1000)*(G1541/1000)*7850</f>
        <v>180.864</v>
      </c>
      <c r="I1541" s="8" t="n">
        <v>4</v>
      </c>
      <c r="J1541" s="14" t="n">
        <f aca="false">H1541*I1541</f>
        <v>723.456</v>
      </c>
      <c r="K1541" s="8" t="s">
        <v>1643</v>
      </c>
    </row>
    <row r="1542" customFormat="false" ht="13.8" hidden="false" customHeight="false" outlineLevel="0" collapsed="false">
      <c r="A1542" s="8" t="s">
        <v>1615</v>
      </c>
      <c r="B1542" s="8" t="s">
        <v>42</v>
      </c>
      <c r="C1542" s="8" t="s">
        <v>386</v>
      </c>
      <c r="D1542" s="8" t="s">
        <v>40</v>
      </c>
      <c r="E1542" s="8" t="n">
        <v>2300</v>
      </c>
      <c r="F1542" s="8" t="n">
        <v>320</v>
      </c>
      <c r="G1542" s="8" t="n">
        <v>32</v>
      </c>
      <c r="H1542" s="13" t="n">
        <f aca="false">(E1542/1000)*(F1542/1000)*(G1542/1000)*7850</f>
        <v>184.8832</v>
      </c>
      <c r="I1542" s="8" t="n">
        <v>8</v>
      </c>
      <c r="J1542" s="14" t="n">
        <f aca="false">H1542*I1542</f>
        <v>1479.0656</v>
      </c>
      <c r="K1542" s="8" t="s">
        <v>1656</v>
      </c>
    </row>
    <row r="1543" customFormat="false" ht="13.8" hidden="false" customHeight="false" outlineLevel="0" collapsed="false">
      <c r="A1543" s="8" t="s">
        <v>1615</v>
      </c>
      <c r="B1543" s="8" t="s">
        <v>42</v>
      </c>
      <c r="C1543" s="8" t="s">
        <v>388</v>
      </c>
      <c r="D1543" s="8" t="s">
        <v>40</v>
      </c>
      <c r="E1543" s="8" t="n">
        <v>2600</v>
      </c>
      <c r="F1543" s="8" t="n">
        <v>320</v>
      </c>
      <c r="G1543" s="8" t="n">
        <v>32</v>
      </c>
      <c r="H1543" s="13" t="n">
        <f aca="false">(E1543/1000)*(F1543/1000)*(G1543/1000)*7850</f>
        <v>208.9984</v>
      </c>
      <c r="I1543" s="8" t="n">
        <v>8</v>
      </c>
      <c r="J1543" s="14" t="n">
        <f aca="false">H1543*I1543</f>
        <v>1671.9872</v>
      </c>
      <c r="K1543" s="8" t="s">
        <v>1657</v>
      </c>
    </row>
    <row r="1544" customFormat="false" ht="13.8" hidden="false" customHeight="false" outlineLevel="0" collapsed="false">
      <c r="A1544" s="8" t="s">
        <v>1615</v>
      </c>
      <c r="B1544" s="8" t="s">
        <v>64</v>
      </c>
      <c r="C1544" s="8" t="s">
        <v>167</v>
      </c>
      <c r="D1544" s="8" t="s">
        <v>40</v>
      </c>
      <c r="E1544" s="8" t="n">
        <v>1580</v>
      </c>
      <c r="F1544" s="8" t="n">
        <v>610</v>
      </c>
      <c r="G1544" s="8" t="n">
        <v>14</v>
      </c>
      <c r="H1544" s="13" t="n">
        <f aca="false">(E1544/1000)*(F1544/1000)*(G1544/1000)*7850</f>
        <v>105.92162</v>
      </c>
      <c r="I1544" s="8" t="n">
        <v>6</v>
      </c>
      <c r="J1544" s="14" t="n">
        <f aca="false">H1544*I1544</f>
        <v>635.52972</v>
      </c>
      <c r="K1544" s="8" t="s">
        <v>1658</v>
      </c>
    </row>
    <row r="1545" customFormat="false" ht="13.8" hidden="false" customHeight="false" outlineLevel="0" collapsed="false">
      <c r="A1545" s="8" t="s">
        <v>1615</v>
      </c>
      <c r="B1545" s="8" t="s">
        <v>42</v>
      </c>
      <c r="C1545" s="8" t="s">
        <v>233</v>
      </c>
      <c r="D1545" s="8" t="s">
        <v>40</v>
      </c>
      <c r="E1545" s="8" t="n">
        <v>1576</v>
      </c>
      <c r="F1545" s="8" t="n">
        <v>618</v>
      </c>
      <c r="G1545" s="8" t="n">
        <v>14</v>
      </c>
      <c r="H1545" s="13" t="n">
        <f aca="false">(E1545/1000)*(F1545/1000)*(G1545/1000)*7850</f>
        <v>107.0390832</v>
      </c>
      <c r="I1545" s="8" t="n">
        <v>4</v>
      </c>
      <c r="J1545" s="14" t="n">
        <f aca="false">H1545*I1545</f>
        <v>428.1563328</v>
      </c>
      <c r="K1545" s="8" t="s">
        <v>1659</v>
      </c>
    </row>
    <row r="1546" customFormat="false" ht="13.8" hidden="false" customHeight="false" outlineLevel="0" collapsed="false">
      <c r="A1546" s="8" t="s">
        <v>1615</v>
      </c>
      <c r="B1546" s="8" t="s">
        <v>42</v>
      </c>
      <c r="C1546" s="8" t="s">
        <v>169</v>
      </c>
      <c r="D1546" s="8" t="s">
        <v>40</v>
      </c>
      <c r="G1546" s="8" t="n">
        <v>24</v>
      </c>
      <c r="H1546" s="13" t="n">
        <f aca="false">M1546*(G1546/1000)*7850</f>
        <v>86.664</v>
      </c>
      <c r="I1546" s="8" t="n">
        <v>6</v>
      </c>
      <c r="J1546" s="14" t="n">
        <f aca="false">H1546*I1546</f>
        <v>519.984</v>
      </c>
      <c r="K1546" s="8" t="s">
        <v>1660</v>
      </c>
      <c r="M1546" s="15" t="n">
        <v>0.46</v>
      </c>
    </row>
    <row r="1547" customFormat="false" ht="13.8" hidden="false" customHeight="false" outlineLevel="0" collapsed="false">
      <c r="A1547" s="8" t="s">
        <v>1615</v>
      </c>
      <c r="B1547" s="8" t="s">
        <v>42</v>
      </c>
      <c r="C1547" s="8" t="s">
        <v>236</v>
      </c>
      <c r="D1547" s="8" t="s">
        <v>40</v>
      </c>
      <c r="G1547" s="8" t="n">
        <v>24</v>
      </c>
      <c r="H1547" s="13" t="n">
        <f aca="false">M1547*(G1547/1000)*7850</f>
        <v>88.548</v>
      </c>
      <c r="I1547" s="8" t="n">
        <v>4</v>
      </c>
      <c r="J1547" s="14" t="n">
        <f aca="false">H1547*I1547</f>
        <v>354.192</v>
      </c>
      <c r="K1547" s="8" t="s">
        <v>1661</v>
      </c>
      <c r="M1547" s="15" t="n">
        <v>0.47</v>
      </c>
    </row>
    <row r="1548" customFormat="false" ht="13.8" hidden="false" customHeight="false" outlineLevel="0" collapsed="false">
      <c r="A1548" s="8" t="s">
        <v>1615</v>
      </c>
      <c r="B1548" s="8" t="s">
        <v>42</v>
      </c>
      <c r="C1548" s="8" t="s">
        <v>172</v>
      </c>
      <c r="D1548" s="8" t="s">
        <v>40</v>
      </c>
      <c r="E1548" s="8" t="n">
        <v>1450</v>
      </c>
      <c r="F1548" s="8" t="n">
        <v>606</v>
      </c>
      <c r="G1548" s="8" t="n">
        <v>14</v>
      </c>
      <c r="H1548" s="13" t="n">
        <f aca="false">(E1548/1000)*(F1548/1000)*(G1548/1000)*7850</f>
        <v>96.56913</v>
      </c>
      <c r="I1548" s="8" t="n">
        <v>6</v>
      </c>
      <c r="J1548" s="14" t="n">
        <f aca="false">H1548*I1548</f>
        <v>579.41478</v>
      </c>
      <c r="K1548" s="8" t="s">
        <v>1662</v>
      </c>
    </row>
    <row r="1549" customFormat="false" ht="13.8" hidden="false" customHeight="false" outlineLevel="0" collapsed="false">
      <c r="A1549" s="8" t="s">
        <v>1615</v>
      </c>
      <c r="B1549" s="8" t="s">
        <v>42</v>
      </c>
      <c r="C1549" s="8" t="s">
        <v>239</v>
      </c>
      <c r="D1549" s="8" t="s">
        <v>40</v>
      </c>
      <c r="E1549" s="8" t="n">
        <v>1450</v>
      </c>
      <c r="F1549" s="8" t="n">
        <v>618</v>
      </c>
      <c r="G1549" s="8" t="n">
        <v>14</v>
      </c>
      <c r="H1549" s="13" t="n">
        <f aca="false">(E1549/1000)*(F1549/1000)*(G1549/1000)*7850</f>
        <v>98.48139</v>
      </c>
      <c r="I1549" s="8" t="n">
        <v>4</v>
      </c>
      <c r="J1549" s="14" t="n">
        <f aca="false">H1549*I1549</f>
        <v>393.92556</v>
      </c>
      <c r="K1549" s="8" t="s">
        <v>1663</v>
      </c>
    </row>
    <row r="1550" customFormat="false" ht="13.8" hidden="false" customHeight="false" outlineLevel="0" collapsed="false">
      <c r="A1550" s="8" t="s">
        <v>1664</v>
      </c>
      <c r="B1550" s="8" t="s">
        <v>38</v>
      </c>
      <c r="C1550" s="8" t="s">
        <v>179</v>
      </c>
      <c r="D1550" s="8" t="s">
        <v>40</v>
      </c>
      <c r="G1550" s="8" t="n">
        <v>20</v>
      </c>
      <c r="H1550" s="13" t="n">
        <f aca="false">M1550*(G1550/1000)*7850</f>
        <v>1860.45</v>
      </c>
      <c r="I1550" s="8" t="n">
        <v>2</v>
      </c>
      <c r="J1550" s="14" t="n">
        <f aca="false">H1550*I1550</f>
        <v>3720.9</v>
      </c>
      <c r="K1550" s="8" t="s">
        <v>1665</v>
      </c>
      <c r="M1550" s="15" t="n">
        <v>11.85</v>
      </c>
    </row>
    <row r="1551" customFormat="false" ht="13.8" hidden="false" customHeight="false" outlineLevel="0" collapsed="false">
      <c r="A1551" s="8" t="s">
        <v>1664</v>
      </c>
      <c r="B1551" s="8" t="s">
        <v>42</v>
      </c>
      <c r="C1551" s="8" t="s">
        <v>181</v>
      </c>
      <c r="D1551" s="8" t="s">
        <v>40</v>
      </c>
      <c r="G1551" s="8" t="n">
        <v>20</v>
      </c>
      <c r="H1551" s="13" t="n">
        <f aca="false">M1551*(G1551/1000)*7850</f>
        <v>1631.23</v>
      </c>
      <c r="I1551" s="8" t="n">
        <v>2</v>
      </c>
      <c r="J1551" s="14" t="n">
        <f aca="false">H1551*I1551</f>
        <v>3262.46</v>
      </c>
      <c r="K1551" s="8" t="s">
        <v>1666</v>
      </c>
      <c r="M1551" s="15" t="n">
        <v>10.39</v>
      </c>
    </row>
    <row r="1552" customFormat="false" ht="13.8" hidden="false" customHeight="false" outlineLevel="0" collapsed="false">
      <c r="A1552" s="8" t="s">
        <v>1664</v>
      </c>
      <c r="B1552" s="8" t="s">
        <v>45</v>
      </c>
      <c r="C1552" s="8" t="s">
        <v>292</v>
      </c>
      <c r="D1552" s="8" t="s">
        <v>40</v>
      </c>
      <c r="E1552" s="8" t="n">
        <v>7900</v>
      </c>
      <c r="F1552" s="8" t="n">
        <v>1200</v>
      </c>
      <c r="G1552" s="8" t="n">
        <v>20</v>
      </c>
      <c r="H1552" s="13" t="n">
        <f aca="false">(E1552/1000)*(F1552/1000)*(G1552/1000)*7850</f>
        <v>1488.36</v>
      </c>
      <c r="I1552" s="8" t="n">
        <v>2</v>
      </c>
      <c r="J1552" s="14" t="n">
        <f aca="false">H1552*I1552</f>
        <v>2976.72</v>
      </c>
      <c r="K1552" s="8" t="s">
        <v>1667</v>
      </c>
    </row>
    <row r="1553" customFormat="false" ht="13.8" hidden="false" customHeight="false" outlineLevel="0" collapsed="false">
      <c r="A1553" s="8" t="s">
        <v>1664</v>
      </c>
      <c r="B1553" s="8" t="s">
        <v>42</v>
      </c>
      <c r="C1553" s="8" t="s">
        <v>345</v>
      </c>
      <c r="D1553" s="8" t="s">
        <v>40</v>
      </c>
      <c r="E1553" s="8" t="n">
        <v>7100</v>
      </c>
      <c r="F1553" s="8" t="n">
        <v>1200</v>
      </c>
      <c r="G1553" s="8" t="n">
        <v>20</v>
      </c>
      <c r="H1553" s="13" t="n">
        <f aca="false">(E1553/1000)*(F1553/1000)*(G1553/1000)*7850</f>
        <v>1337.64</v>
      </c>
      <c r="I1553" s="8" t="n">
        <v>2</v>
      </c>
      <c r="J1553" s="14" t="n">
        <f aca="false">H1553*I1553</f>
        <v>2675.28</v>
      </c>
      <c r="K1553" s="8" t="s">
        <v>1668</v>
      </c>
    </row>
    <row r="1554" customFormat="false" ht="13.8" hidden="false" customHeight="false" outlineLevel="0" collapsed="false">
      <c r="A1554" s="8" t="s">
        <v>1664</v>
      </c>
      <c r="B1554" s="8" t="s">
        <v>187</v>
      </c>
      <c r="C1554" s="8" t="s">
        <v>188</v>
      </c>
      <c r="D1554" s="8" t="s">
        <v>40</v>
      </c>
      <c r="G1554" s="8" t="n">
        <v>40</v>
      </c>
      <c r="H1554" s="13" t="n">
        <f aca="false">M1554*(G1554/1000)*7850</f>
        <v>6386.76</v>
      </c>
      <c r="I1554" s="8" t="n">
        <v>4</v>
      </c>
      <c r="J1554" s="14" t="n">
        <f aca="false">H1554*I1554</f>
        <v>25547.04</v>
      </c>
      <c r="K1554" s="8" t="s">
        <v>1669</v>
      </c>
      <c r="M1554" s="15" t="n">
        <v>20.34</v>
      </c>
    </row>
    <row r="1555" customFormat="false" ht="13.8" hidden="false" customHeight="false" outlineLevel="0" collapsed="false">
      <c r="A1555" s="8" t="s">
        <v>1664</v>
      </c>
      <c r="B1555" s="8" t="s">
        <v>190</v>
      </c>
      <c r="C1555" s="8" t="s">
        <v>50</v>
      </c>
      <c r="D1555" s="8" t="s">
        <v>40</v>
      </c>
      <c r="E1555" s="8" t="n">
        <v>7300</v>
      </c>
      <c r="F1555" s="8" t="n">
        <v>1648</v>
      </c>
      <c r="G1555" s="8" t="n">
        <v>28</v>
      </c>
      <c r="H1555" s="13" t="n">
        <f aca="false">(E1555/1000)*(F1555/1000)*(G1555/1000)*7850</f>
        <v>2644.28192</v>
      </c>
      <c r="I1555" s="8" t="n">
        <v>4</v>
      </c>
      <c r="J1555" s="14" t="n">
        <f aca="false">H1555*I1555</f>
        <v>10577.12768</v>
      </c>
      <c r="K1555" s="8" t="s">
        <v>1670</v>
      </c>
    </row>
    <row r="1556" customFormat="false" ht="13.8" hidden="false" customHeight="false" outlineLevel="0" collapsed="false">
      <c r="A1556" s="8" t="s">
        <v>1664</v>
      </c>
      <c r="B1556" s="8" t="s">
        <v>195</v>
      </c>
      <c r="C1556" s="8" t="s">
        <v>58</v>
      </c>
      <c r="D1556" s="8" t="s">
        <v>40</v>
      </c>
      <c r="E1556" s="8" t="n">
        <v>1580</v>
      </c>
      <c r="F1556" s="8" t="n">
        <v>1200</v>
      </c>
      <c r="G1556" s="8" t="n">
        <v>16</v>
      </c>
      <c r="H1556" s="13" t="n">
        <f aca="false">(E1556/1000)*(F1556/1000)*(G1556/1000)*7850</f>
        <v>238.1376</v>
      </c>
      <c r="I1556" s="8" t="n">
        <v>6</v>
      </c>
      <c r="J1556" s="14" t="n">
        <f aca="false">H1556*I1556</f>
        <v>1428.8256</v>
      </c>
      <c r="K1556" s="8" t="s">
        <v>1671</v>
      </c>
    </row>
    <row r="1557" customFormat="false" ht="13.8" hidden="false" customHeight="false" outlineLevel="0" collapsed="false">
      <c r="A1557" s="8" t="s">
        <v>1664</v>
      </c>
      <c r="B1557" s="8" t="s">
        <v>42</v>
      </c>
      <c r="C1557" s="8" t="s">
        <v>298</v>
      </c>
      <c r="D1557" s="8" t="s">
        <v>40</v>
      </c>
      <c r="E1557" s="8" t="n">
        <v>1580</v>
      </c>
      <c r="F1557" s="8" t="n">
        <v>1200</v>
      </c>
      <c r="G1557" s="8" t="n">
        <v>16</v>
      </c>
      <c r="H1557" s="13" t="n">
        <f aca="false">(E1557/1000)*(F1557/1000)*(G1557/1000)*7850</f>
        <v>238.1376</v>
      </c>
      <c r="I1557" s="8" t="n">
        <v>4</v>
      </c>
      <c r="J1557" s="14" t="n">
        <f aca="false">H1557*I1557</f>
        <v>952.5504</v>
      </c>
      <c r="K1557" s="8" t="s">
        <v>1671</v>
      </c>
    </row>
    <row r="1558" customFormat="false" ht="13.8" hidden="false" customHeight="false" outlineLevel="0" collapsed="false">
      <c r="A1558" s="8" t="s">
        <v>1664</v>
      </c>
      <c r="B1558" s="8" t="s">
        <v>42</v>
      </c>
      <c r="C1558" s="8" t="s">
        <v>196</v>
      </c>
      <c r="D1558" s="8" t="s">
        <v>40</v>
      </c>
      <c r="E1558" s="8" t="n">
        <v>1657</v>
      </c>
      <c r="F1558" s="8" t="n">
        <v>200</v>
      </c>
      <c r="G1558" s="8" t="n">
        <v>16</v>
      </c>
      <c r="H1558" s="13" t="n">
        <f aca="false">(E1558/1000)*(F1558/1000)*(G1558/1000)*7850</f>
        <v>41.62384</v>
      </c>
      <c r="I1558" s="8" t="n">
        <v>6</v>
      </c>
      <c r="J1558" s="14" t="n">
        <f aca="false">H1558*I1558</f>
        <v>249.74304</v>
      </c>
      <c r="K1558" s="8" t="s">
        <v>1672</v>
      </c>
    </row>
    <row r="1559" customFormat="false" ht="13.8" hidden="false" customHeight="false" outlineLevel="0" collapsed="false">
      <c r="A1559" s="8" t="s">
        <v>1664</v>
      </c>
      <c r="B1559" s="8" t="s">
        <v>42</v>
      </c>
      <c r="C1559" s="8" t="s">
        <v>68</v>
      </c>
      <c r="D1559" s="8" t="s">
        <v>40</v>
      </c>
      <c r="E1559" s="8" t="n">
        <v>600</v>
      </c>
      <c r="F1559" s="8" t="n">
        <v>400</v>
      </c>
      <c r="G1559" s="8" t="n">
        <v>16</v>
      </c>
      <c r="H1559" s="13" t="n">
        <f aca="false">(E1559/1000)*(F1559/1000)*(G1559/1000)*7850</f>
        <v>30.144</v>
      </c>
      <c r="I1559" s="8" t="n">
        <v>8</v>
      </c>
      <c r="J1559" s="14" t="n">
        <f aca="false">H1559*I1559</f>
        <v>241.152</v>
      </c>
      <c r="K1559" s="8" t="s">
        <v>1673</v>
      </c>
    </row>
    <row r="1560" customFormat="false" ht="13.8" hidden="false" customHeight="false" outlineLevel="0" collapsed="false">
      <c r="A1560" s="8" t="s">
        <v>1664</v>
      </c>
      <c r="B1560" s="8" t="s">
        <v>607</v>
      </c>
      <c r="C1560" s="8" t="s">
        <v>72</v>
      </c>
      <c r="D1560" s="8" t="s">
        <v>40</v>
      </c>
      <c r="E1560" s="8" t="n">
        <v>7900</v>
      </c>
      <c r="F1560" s="8" t="n">
        <v>240</v>
      </c>
      <c r="G1560" s="8" t="n">
        <v>20</v>
      </c>
      <c r="H1560" s="13" t="n">
        <f aca="false">(E1560/1000)*(F1560/1000)*(G1560/1000)*7850</f>
        <v>297.672</v>
      </c>
      <c r="I1560" s="8" t="n">
        <v>12</v>
      </c>
      <c r="J1560" s="14" t="n">
        <f aca="false">H1560*I1560</f>
        <v>3572.064</v>
      </c>
      <c r="K1560" s="8" t="s">
        <v>1674</v>
      </c>
    </row>
    <row r="1561" customFormat="false" ht="13.8" hidden="false" customHeight="false" outlineLevel="0" collapsed="false">
      <c r="A1561" s="8" t="s">
        <v>1664</v>
      </c>
      <c r="B1561" s="8" t="s">
        <v>42</v>
      </c>
      <c r="C1561" s="8" t="s">
        <v>76</v>
      </c>
      <c r="D1561" s="8" t="s">
        <v>40</v>
      </c>
      <c r="E1561" s="8" t="n">
        <v>7100</v>
      </c>
      <c r="F1561" s="8" t="n">
        <v>240</v>
      </c>
      <c r="G1561" s="8" t="n">
        <v>20</v>
      </c>
      <c r="H1561" s="13" t="n">
        <f aca="false">(E1561/1000)*(F1561/1000)*(G1561/1000)*7850</f>
        <v>267.528</v>
      </c>
      <c r="I1561" s="8" t="n">
        <v>12</v>
      </c>
      <c r="J1561" s="14" t="n">
        <f aca="false">H1561*I1561</f>
        <v>3210.336</v>
      </c>
      <c r="K1561" s="8" t="s">
        <v>1675</v>
      </c>
    </row>
    <row r="1562" customFormat="false" ht="13.8" hidden="false" customHeight="false" outlineLevel="0" collapsed="false">
      <c r="A1562" s="8" t="s">
        <v>1664</v>
      </c>
      <c r="B1562" s="8" t="s">
        <v>256</v>
      </c>
      <c r="C1562" s="8" t="s">
        <v>96</v>
      </c>
      <c r="D1562" s="8" t="s">
        <v>40</v>
      </c>
      <c r="E1562" s="8" t="n">
        <v>7901</v>
      </c>
      <c r="F1562" s="8" t="n">
        <v>1850</v>
      </c>
      <c r="G1562" s="8" t="n">
        <v>24</v>
      </c>
      <c r="H1562" s="13" t="n">
        <f aca="false">(E1562/1000)*(F1562/1000)*(G1562/1000)*7850</f>
        <v>2753.81454</v>
      </c>
      <c r="I1562" s="8" t="n">
        <v>2</v>
      </c>
      <c r="J1562" s="14" t="n">
        <f aca="false">H1562*I1562</f>
        <v>5507.62908</v>
      </c>
      <c r="K1562" s="8" t="s">
        <v>1676</v>
      </c>
    </row>
    <row r="1563" customFormat="false" ht="13.8" hidden="false" customHeight="false" outlineLevel="0" collapsed="false">
      <c r="A1563" s="8" t="s">
        <v>1664</v>
      </c>
      <c r="B1563" s="8" t="s">
        <v>42</v>
      </c>
      <c r="C1563" s="8" t="s">
        <v>305</v>
      </c>
      <c r="D1563" s="8" t="s">
        <v>40</v>
      </c>
      <c r="E1563" s="8" t="n">
        <v>7101</v>
      </c>
      <c r="F1563" s="8" t="n">
        <v>1850</v>
      </c>
      <c r="G1563" s="8" t="n">
        <v>24</v>
      </c>
      <c r="H1563" s="13" t="n">
        <f aca="false">(E1563/1000)*(F1563/1000)*(G1563/1000)*7850</f>
        <v>2474.98254</v>
      </c>
      <c r="I1563" s="8" t="n">
        <v>2</v>
      </c>
      <c r="J1563" s="14" t="n">
        <f aca="false">H1563*I1563</f>
        <v>4949.96508</v>
      </c>
      <c r="K1563" s="8" t="s">
        <v>1677</v>
      </c>
    </row>
    <row r="1564" customFormat="false" ht="13.8" hidden="false" customHeight="false" outlineLevel="0" collapsed="false">
      <c r="A1564" s="8" t="s">
        <v>1664</v>
      </c>
      <c r="B1564" s="8" t="s">
        <v>260</v>
      </c>
      <c r="C1564" s="8" t="s">
        <v>100</v>
      </c>
      <c r="D1564" s="8" t="s">
        <v>40</v>
      </c>
      <c r="G1564" s="8" t="n">
        <v>24</v>
      </c>
      <c r="H1564" s="13" t="n">
        <f aca="false">M1564*(G1564/1000)*7850</f>
        <v>2360.652</v>
      </c>
      <c r="I1564" s="8" t="n">
        <v>2</v>
      </c>
      <c r="J1564" s="14" t="n">
        <f aca="false">H1564*I1564</f>
        <v>4721.304</v>
      </c>
      <c r="K1564" s="8" t="s">
        <v>1678</v>
      </c>
      <c r="M1564" s="15" t="n">
        <v>12.53</v>
      </c>
    </row>
    <row r="1565" customFormat="false" ht="13.8" hidden="false" customHeight="false" outlineLevel="0" collapsed="false">
      <c r="A1565" s="8" t="s">
        <v>1664</v>
      </c>
      <c r="B1565" s="8" t="s">
        <v>42</v>
      </c>
      <c r="C1565" s="8" t="s">
        <v>206</v>
      </c>
      <c r="D1565" s="8" t="s">
        <v>40</v>
      </c>
      <c r="G1565" s="8" t="n">
        <v>24</v>
      </c>
      <c r="H1565" s="13" t="n">
        <f aca="false">M1565*(G1565/1000)*7850</f>
        <v>1829.364</v>
      </c>
      <c r="I1565" s="8" t="n">
        <v>2</v>
      </c>
      <c r="J1565" s="14" t="n">
        <f aca="false">H1565*I1565</f>
        <v>3658.728</v>
      </c>
      <c r="K1565" s="8" t="s">
        <v>1679</v>
      </c>
      <c r="M1565" s="15" t="n">
        <v>9.71</v>
      </c>
    </row>
    <row r="1566" customFormat="false" ht="13.8" hidden="false" customHeight="false" outlineLevel="0" collapsed="false">
      <c r="A1566" s="8" t="s">
        <v>1664</v>
      </c>
      <c r="B1566" s="8" t="s">
        <v>105</v>
      </c>
      <c r="C1566" s="8" t="s">
        <v>103</v>
      </c>
      <c r="D1566" s="8" t="s">
        <v>40</v>
      </c>
      <c r="G1566" s="8" t="n">
        <v>44</v>
      </c>
      <c r="H1566" s="13" t="n">
        <f aca="false">M1566*(G1566/1000)*7850</f>
        <v>7156.688</v>
      </c>
      <c r="I1566" s="8" t="n">
        <v>4</v>
      </c>
      <c r="J1566" s="14" t="n">
        <f aca="false">H1566*I1566</f>
        <v>28626.752</v>
      </c>
      <c r="K1566" s="8" t="s">
        <v>1680</v>
      </c>
      <c r="M1566" s="15" t="n">
        <v>20.72</v>
      </c>
    </row>
    <row r="1567" customFormat="false" ht="13.8" hidden="false" customHeight="false" outlineLevel="0" collapsed="false">
      <c r="A1567" s="8" t="s">
        <v>1664</v>
      </c>
      <c r="B1567" s="8" t="s">
        <v>102</v>
      </c>
      <c r="C1567" s="8" t="s">
        <v>106</v>
      </c>
      <c r="D1567" s="8" t="s">
        <v>40</v>
      </c>
      <c r="E1567" s="8" t="n">
        <v>7301</v>
      </c>
      <c r="F1567" s="8" t="n">
        <v>1474</v>
      </c>
      <c r="G1567" s="8" t="n">
        <v>32</v>
      </c>
      <c r="H1567" s="13" t="n">
        <f aca="false">(E1567/1000)*(F1567/1000)*(G1567/1000)*7850</f>
        <v>2703.3325088</v>
      </c>
      <c r="I1567" s="8" t="n">
        <v>4</v>
      </c>
      <c r="J1567" s="14" t="n">
        <f aca="false">H1567*I1567</f>
        <v>10813.3300352</v>
      </c>
      <c r="K1567" s="8" t="s">
        <v>1681</v>
      </c>
    </row>
    <row r="1568" customFormat="false" ht="13.8" hidden="false" customHeight="false" outlineLevel="0" collapsed="false">
      <c r="A1568" s="8" t="s">
        <v>1664</v>
      </c>
      <c r="B1568" s="8" t="s">
        <v>110</v>
      </c>
      <c r="C1568" s="8" t="s">
        <v>108</v>
      </c>
      <c r="D1568" s="8" t="s">
        <v>40</v>
      </c>
      <c r="E1568" s="8" t="n">
        <v>1450</v>
      </c>
      <c r="F1568" s="8" t="n">
        <v>1200</v>
      </c>
      <c r="G1568" s="8" t="n">
        <v>16</v>
      </c>
      <c r="H1568" s="13" t="n">
        <f aca="false">(E1568/1000)*(F1568/1000)*(G1568/1000)*7850</f>
        <v>218.544</v>
      </c>
      <c r="I1568" s="8" t="n">
        <v>6</v>
      </c>
      <c r="J1568" s="14" t="n">
        <f aca="false">H1568*I1568</f>
        <v>1311.264</v>
      </c>
      <c r="K1568" s="8" t="s">
        <v>1682</v>
      </c>
    </row>
    <row r="1569" customFormat="false" ht="13.8" hidden="false" customHeight="false" outlineLevel="0" collapsed="false">
      <c r="A1569" s="8" t="s">
        <v>1664</v>
      </c>
      <c r="B1569" s="8" t="s">
        <v>42</v>
      </c>
      <c r="C1569" s="8" t="s">
        <v>112</v>
      </c>
      <c r="D1569" s="8" t="s">
        <v>40</v>
      </c>
      <c r="E1569" s="8" t="n">
        <v>1450</v>
      </c>
      <c r="F1569" s="8" t="n">
        <v>1200</v>
      </c>
      <c r="G1569" s="8" t="n">
        <v>16</v>
      </c>
      <c r="H1569" s="13" t="n">
        <f aca="false">(E1569/1000)*(F1569/1000)*(G1569/1000)*7850</f>
        <v>218.544</v>
      </c>
      <c r="I1569" s="8" t="n">
        <v>4</v>
      </c>
      <c r="J1569" s="14" t="n">
        <f aca="false">H1569*I1569</f>
        <v>874.176</v>
      </c>
      <c r="K1569" s="8" t="s">
        <v>1682</v>
      </c>
    </row>
    <row r="1570" customFormat="false" ht="13.8" hidden="false" customHeight="false" outlineLevel="0" collapsed="false">
      <c r="A1570" s="8" t="s">
        <v>1664</v>
      </c>
      <c r="B1570" s="8" t="s">
        <v>42</v>
      </c>
      <c r="C1570" s="8" t="s">
        <v>108</v>
      </c>
      <c r="D1570" s="8" t="s">
        <v>40</v>
      </c>
      <c r="E1570" s="8" t="n">
        <v>1657</v>
      </c>
      <c r="F1570" s="8" t="n">
        <v>200</v>
      </c>
      <c r="G1570" s="8" t="n">
        <v>16</v>
      </c>
      <c r="H1570" s="13" t="n">
        <f aca="false">(E1570/1000)*(F1570/1000)*(G1570/1000)*7850</f>
        <v>41.62384</v>
      </c>
      <c r="I1570" s="8" t="n">
        <v>6</v>
      </c>
      <c r="J1570" s="14" t="n">
        <f aca="false">H1570*I1570</f>
        <v>249.74304</v>
      </c>
      <c r="K1570" s="8" t="s">
        <v>1683</v>
      </c>
    </row>
    <row r="1571" customFormat="false" ht="13.8" hidden="false" customHeight="false" outlineLevel="0" collapsed="false">
      <c r="A1571" s="8" t="s">
        <v>1664</v>
      </c>
      <c r="B1571" s="8" t="s">
        <v>268</v>
      </c>
      <c r="C1571" s="8" t="s">
        <v>114</v>
      </c>
      <c r="D1571" s="8" t="s">
        <v>40</v>
      </c>
      <c r="E1571" s="8" t="n">
        <v>7901</v>
      </c>
      <c r="F1571" s="8" t="n">
        <v>240</v>
      </c>
      <c r="G1571" s="8" t="n">
        <v>20</v>
      </c>
      <c r="H1571" s="13" t="n">
        <f aca="false">(E1571/1000)*(F1571/1000)*(G1571/1000)*7850</f>
        <v>297.70968</v>
      </c>
      <c r="I1571" s="8" t="n">
        <v>8</v>
      </c>
      <c r="J1571" s="14" t="n">
        <f aca="false">H1571*I1571</f>
        <v>2381.67744</v>
      </c>
      <c r="K1571" s="8" t="s">
        <v>1684</v>
      </c>
    </row>
    <row r="1572" customFormat="false" ht="13.8" hidden="false" customHeight="false" outlineLevel="0" collapsed="false">
      <c r="A1572" s="8" t="s">
        <v>1664</v>
      </c>
      <c r="B1572" s="8" t="s">
        <v>42</v>
      </c>
      <c r="C1572" s="8" t="s">
        <v>116</v>
      </c>
      <c r="D1572" s="8" t="s">
        <v>40</v>
      </c>
      <c r="E1572" s="8" t="n">
        <v>7101</v>
      </c>
      <c r="F1572" s="8" t="n">
        <v>240</v>
      </c>
      <c r="G1572" s="8" t="n">
        <v>20</v>
      </c>
      <c r="H1572" s="13" t="n">
        <f aca="false">(E1572/1000)*(F1572/1000)*(G1572/1000)*7850</f>
        <v>267.56568</v>
      </c>
      <c r="I1572" s="8" t="n">
        <v>8</v>
      </c>
      <c r="J1572" s="14" t="n">
        <f aca="false">H1572*I1572</f>
        <v>2140.52544</v>
      </c>
      <c r="K1572" s="8" t="s">
        <v>1685</v>
      </c>
    </row>
    <row r="1573" customFormat="false" ht="13.8" hidden="false" customHeight="false" outlineLevel="0" collapsed="false">
      <c r="A1573" s="8" t="s">
        <v>1664</v>
      </c>
      <c r="B1573" s="8" t="s">
        <v>42</v>
      </c>
      <c r="C1573" s="8" t="s">
        <v>118</v>
      </c>
      <c r="D1573" s="8" t="s">
        <v>40</v>
      </c>
      <c r="E1573" s="8" t="n">
        <v>15002</v>
      </c>
      <c r="F1573" s="8" t="n">
        <v>170</v>
      </c>
      <c r="G1573" s="8" t="n">
        <v>14</v>
      </c>
      <c r="H1573" s="13" t="n">
        <f aca="false">(E1573/1000)*(F1573/1000)*(G1573/1000)*7850</f>
        <v>280.282366</v>
      </c>
      <c r="I1573" s="8" t="n">
        <v>2</v>
      </c>
      <c r="J1573" s="14" t="n">
        <f aca="false">H1573*I1573</f>
        <v>560.564732</v>
      </c>
      <c r="K1573" s="8" t="s">
        <v>1686</v>
      </c>
    </row>
    <row r="1574" customFormat="false" ht="13.8" hidden="false" customHeight="false" outlineLevel="0" collapsed="false">
      <c r="A1574" s="8" t="s">
        <v>1664</v>
      </c>
      <c r="B1574" s="8" t="s">
        <v>272</v>
      </c>
      <c r="C1574" s="8" t="s">
        <v>125</v>
      </c>
      <c r="D1574" s="8" t="s">
        <v>40</v>
      </c>
      <c r="E1574" s="8" t="n">
        <v>11770</v>
      </c>
      <c r="F1574" s="8" t="n">
        <v>1200</v>
      </c>
      <c r="G1574" s="8" t="n">
        <v>36</v>
      </c>
      <c r="H1574" s="13" t="n">
        <f aca="false">(E1574/1000)*(F1574/1000)*(G1574/1000)*7850</f>
        <v>3991.4424</v>
      </c>
      <c r="I1574" s="8" t="n">
        <v>2</v>
      </c>
      <c r="J1574" s="14" t="n">
        <f aca="false">H1574*I1574</f>
        <v>7982.8848</v>
      </c>
      <c r="K1574" s="8" t="s">
        <v>1687</v>
      </c>
    </row>
    <row r="1575" customFormat="false" ht="13.8" hidden="false" customHeight="false" outlineLevel="0" collapsed="false">
      <c r="A1575" s="8" t="s">
        <v>1664</v>
      </c>
      <c r="B1575" s="8" t="s">
        <v>42</v>
      </c>
      <c r="C1575" s="8" t="s">
        <v>127</v>
      </c>
      <c r="D1575" s="8" t="s">
        <v>40</v>
      </c>
      <c r="E1575" s="8" t="n">
        <v>12070</v>
      </c>
      <c r="F1575" s="8" t="n">
        <v>1200</v>
      </c>
      <c r="G1575" s="8" t="n">
        <v>36</v>
      </c>
      <c r="H1575" s="13" t="n">
        <f aca="false">(E1575/1000)*(F1575/1000)*(G1575/1000)*7850</f>
        <v>4093.1784</v>
      </c>
      <c r="I1575" s="8" t="n">
        <v>2</v>
      </c>
      <c r="J1575" s="14" t="n">
        <f aca="false">H1575*I1575</f>
        <v>8186.3568</v>
      </c>
      <c r="K1575" s="8" t="s">
        <v>1688</v>
      </c>
    </row>
    <row r="1576" customFormat="false" ht="13.8" hidden="false" customHeight="false" outlineLevel="0" collapsed="false">
      <c r="A1576" s="8" t="s">
        <v>1664</v>
      </c>
      <c r="B1576" s="8" t="s">
        <v>42</v>
      </c>
      <c r="C1576" s="8" t="s">
        <v>128</v>
      </c>
      <c r="D1576" s="8" t="s">
        <v>40</v>
      </c>
      <c r="E1576" s="8" t="n">
        <v>7770</v>
      </c>
      <c r="F1576" s="8" t="n">
        <v>1360</v>
      </c>
      <c r="G1576" s="8" t="n">
        <v>36</v>
      </c>
      <c r="H1576" s="13" t="n">
        <f aca="false">(E1576/1000)*(F1576/1000)*(G1576/1000)*7850</f>
        <v>2986.29072</v>
      </c>
      <c r="I1576" s="8" t="n">
        <v>4</v>
      </c>
      <c r="J1576" s="14" t="n">
        <f aca="false">H1576*I1576</f>
        <v>11945.16288</v>
      </c>
      <c r="K1576" s="8" t="s">
        <v>1689</v>
      </c>
    </row>
    <row r="1577" customFormat="false" ht="13.8" hidden="false" customHeight="false" outlineLevel="0" collapsed="false">
      <c r="A1577" s="8" t="s">
        <v>1664</v>
      </c>
      <c r="B1577" s="8" t="s">
        <v>42</v>
      </c>
      <c r="C1577" s="8" t="s">
        <v>130</v>
      </c>
      <c r="D1577" s="8" t="s">
        <v>40</v>
      </c>
      <c r="E1577" s="8" t="n">
        <v>7770</v>
      </c>
      <c r="F1577" s="8" t="n">
        <v>320</v>
      </c>
      <c r="G1577" s="8" t="n">
        <v>32</v>
      </c>
      <c r="H1577" s="13" t="n">
        <f aca="false">(E1577/1000)*(F1577/1000)*(G1577/1000)*7850</f>
        <v>624.58368</v>
      </c>
      <c r="I1577" s="8" t="n">
        <v>4</v>
      </c>
      <c r="J1577" s="14" t="n">
        <f aca="false">H1577*I1577</f>
        <v>2498.33472</v>
      </c>
      <c r="K1577" s="8" t="s">
        <v>1690</v>
      </c>
    </row>
    <row r="1578" customFormat="false" ht="13.8" hidden="false" customHeight="false" outlineLevel="0" collapsed="false">
      <c r="A1578" s="8" t="s">
        <v>1664</v>
      </c>
      <c r="B1578" s="8" t="s">
        <v>42</v>
      </c>
      <c r="C1578" s="8" t="s">
        <v>132</v>
      </c>
      <c r="D1578" s="8" t="s">
        <v>40</v>
      </c>
      <c r="E1578" s="8" t="n">
        <v>10370</v>
      </c>
      <c r="F1578" s="8" t="n">
        <v>320</v>
      </c>
      <c r="G1578" s="8" t="n">
        <v>32</v>
      </c>
      <c r="H1578" s="13" t="n">
        <f aca="false">(E1578/1000)*(F1578/1000)*(G1578/1000)*7850</f>
        <v>833.58208</v>
      </c>
      <c r="I1578" s="8" t="n">
        <v>2</v>
      </c>
      <c r="J1578" s="14" t="n">
        <f aca="false">H1578*I1578</f>
        <v>1667.16416</v>
      </c>
      <c r="K1578" s="8" t="s">
        <v>1691</v>
      </c>
    </row>
    <row r="1579" customFormat="false" ht="13.8" hidden="false" customHeight="false" outlineLevel="0" collapsed="false">
      <c r="A1579" s="8" t="s">
        <v>1664</v>
      </c>
      <c r="B1579" s="8" t="s">
        <v>42</v>
      </c>
      <c r="C1579" s="8" t="s">
        <v>134</v>
      </c>
      <c r="D1579" s="8" t="s">
        <v>40</v>
      </c>
      <c r="E1579" s="8" t="n">
        <v>10670</v>
      </c>
      <c r="F1579" s="8" t="n">
        <v>320</v>
      </c>
      <c r="G1579" s="8" t="n">
        <v>32</v>
      </c>
      <c r="H1579" s="13" t="n">
        <f aca="false">(E1579/1000)*(F1579/1000)*(G1579/1000)*7850</f>
        <v>857.69728</v>
      </c>
      <c r="I1579" s="8" t="n">
        <v>2</v>
      </c>
      <c r="J1579" s="14" t="n">
        <f aca="false">H1579*I1579</f>
        <v>1715.39456</v>
      </c>
      <c r="K1579" s="8" t="s">
        <v>1692</v>
      </c>
    </row>
    <row r="1580" customFormat="false" ht="13.8" hidden="false" customHeight="false" outlineLevel="0" collapsed="false">
      <c r="A1580" s="8" t="s">
        <v>1664</v>
      </c>
      <c r="B1580" s="8" t="s">
        <v>42</v>
      </c>
      <c r="C1580" s="8" t="s">
        <v>135</v>
      </c>
      <c r="D1580" s="8" t="s">
        <v>40</v>
      </c>
      <c r="E1580" s="8" t="n">
        <v>1200</v>
      </c>
      <c r="F1580" s="8" t="n">
        <v>1200</v>
      </c>
      <c r="G1580" s="8" t="n">
        <v>16</v>
      </c>
      <c r="H1580" s="13" t="n">
        <f aca="false">(E1580/1000)*(F1580/1000)*(G1580/1000)*7850</f>
        <v>180.864</v>
      </c>
      <c r="I1580" s="8" t="n">
        <v>6</v>
      </c>
      <c r="J1580" s="14" t="n">
        <f aca="false">H1580*I1580</f>
        <v>1085.184</v>
      </c>
      <c r="K1580" s="8" t="s">
        <v>1693</v>
      </c>
    </row>
    <row r="1581" customFormat="false" ht="13.8" hidden="false" customHeight="false" outlineLevel="0" collapsed="false">
      <c r="A1581" s="8" t="s">
        <v>1664</v>
      </c>
      <c r="B1581" s="8" t="s">
        <v>42</v>
      </c>
      <c r="C1581" s="8" t="s">
        <v>137</v>
      </c>
      <c r="D1581" s="8" t="s">
        <v>40</v>
      </c>
      <c r="E1581" s="8" t="n">
        <v>3798</v>
      </c>
      <c r="F1581" s="8" t="n">
        <v>900</v>
      </c>
      <c r="G1581" s="8" t="n">
        <v>36</v>
      </c>
      <c r="H1581" s="13" t="n">
        <f aca="false">(E1581/1000)*(F1581/1000)*(G1581/1000)*7850</f>
        <v>965.98332</v>
      </c>
      <c r="I1581" s="8" t="n">
        <v>4</v>
      </c>
      <c r="J1581" s="14" t="n">
        <f aca="false">H1581*I1581</f>
        <v>3863.93328</v>
      </c>
      <c r="K1581" s="8" t="s">
        <v>1694</v>
      </c>
    </row>
    <row r="1582" customFormat="false" ht="13.8" hidden="false" customHeight="false" outlineLevel="0" collapsed="false">
      <c r="A1582" s="8" t="s">
        <v>1664</v>
      </c>
      <c r="B1582" s="8" t="s">
        <v>42</v>
      </c>
      <c r="C1582" s="8" t="s">
        <v>141</v>
      </c>
      <c r="D1582" s="8" t="s">
        <v>40</v>
      </c>
      <c r="E1582" s="8" t="n">
        <v>6098</v>
      </c>
      <c r="F1582" s="8" t="n">
        <v>1200</v>
      </c>
      <c r="G1582" s="8" t="n">
        <v>32</v>
      </c>
      <c r="H1582" s="13" t="n">
        <f aca="false">(E1582/1000)*(F1582/1000)*(G1582/1000)*7850</f>
        <v>1838.18112</v>
      </c>
      <c r="I1582" s="8" t="n">
        <v>2</v>
      </c>
      <c r="J1582" s="14" t="n">
        <f aca="false">H1582*I1582</f>
        <v>3676.36224</v>
      </c>
      <c r="K1582" s="8" t="s">
        <v>1695</v>
      </c>
    </row>
    <row r="1583" customFormat="false" ht="13.8" hidden="false" customHeight="false" outlineLevel="0" collapsed="false">
      <c r="A1583" s="8" t="s">
        <v>1664</v>
      </c>
      <c r="B1583" s="8" t="s">
        <v>42</v>
      </c>
      <c r="C1583" s="8" t="s">
        <v>143</v>
      </c>
      <c r="D1583" s="8" t="s">
        <v>40</v>
      </c>
      <c r="E1583" s="8" t="n">
        <v>5398</v>
      </c>
      <c r="F1583" s="8" t="n">
        <v>240</v>
      </c>
      <c r="G1583" s="8" t="n">
        <v>24</v>
      </c>
      <c r="H1583" s="13" t="n">
        <f aca="false">(E1583/1000)*(F1583/1000)*(G1583/1000)*7850</f>
        <v>244.075968</v>
      </c>
      <c r="I1583" s="8" t="n">
        <v>4</v>
      </c>
      <c r="J1583" s="14" t="n">
        <f aca="false">H1583*I1583</f>
        <v>976.303872</v>
      </c>
      <c r="K1583" s="8" t="s">
        <v>1696</v>
      </c>
    </row>
    <row r="1584" customFormat="false" ht="13.8" hidden="false" customHeight="false" outlineLevel="0" collapsed="false">
      <c r="A1584" s="8" t="s">
        <v>1664</v>
      </c>
      <c r="B1584" s="8" t="s">
        <v>171</v>
      </c>
      <c r="C1584" s="8" t="s">
        <v>150</v>
      </c>
      <c r="D1584" s="8" t="s">
        <v>40</v>
      </c>
      <c r="E1584" s="8" t="n">
        <v>6051</v>
      </c>
      <c r="F1584" s="8" t="n">
        <v>1200</v>
      </c>
      <c r="G1584" s="8" t="n">
        <v>36</v>
      </c>
      <c r="H1584" s="13" t="n">
        <f aca="false">(E1584/1000)*(F1584/1000)*(G1584/1000)*7850</f>
        <v>2052.01512</v>
      </c>
      <c r="I1584" s="8" t="n">
        <v>2</v>
      </c>
      <c r="J1584" s="14" t="n">
        <f aca="false">H1584*I1584</f>
        <v>4104.03024</v>
      </c>
      <c r="K1584" s="8" t="s">
        <v>1697</v>
      </c>
    </row>
    <row r="1585" customFormat="false" ht="13.8" hidden="false" customHeight="false" outlineLevel="0" collapsed="false">
      <c r="A1585" s="8" t="s">
        <v>1664</v>
      </c>
      <c r="B1585" s="8" t="s">
        <v>42</v>
      </c>
      <c r="C1585" s="8" t="s">
        <v>380</v>
      </c>
      <c r="D1585" s="8" t="s">
        <v>40</v>
      </c>
      <c r="E1585" s="8" t="n">
        <v>6051</v>
      </c>
      <c r="F1585" s="8" t="n">
        <v>1200</v>
      </c>
      <c r="G1585" s="8" t="n">
        <v>36</v>
      </c>
      <c r="H1585" s="13" t="n">
        <f aca="false">(E1585/1000)*(F1585/1000)*(G1585/1000)*7850</f>
        <v>2052.01512</v>
      </c>
      <c r="I1585" s="8" t="n">
        <v>2</v>
      </c>
      <c r="J1585" s="14" t="n">
        <f aca="false">H1585*I1585</f>
        <v>4104.03024</v>
      </c>
      <c r="K1585" s="8" t="s">
        <v>1697</v>
      </c>
    </row>
    <row r="1586" customFormat="false" ht="13.8" hidden="false" customHeight="false" outlineLevel="0" collapsed="false">
      <c r="A1586" s="8" t="s">
        <v>1664</v>
      </c>
      <c r="B1586" s="8" t="s">
        <v>42</v>
      </c>
      <c r="C1586" s="8" t="s">
        <v>155</v>
      </c>
      <c r="D1586" s="8" t="s">
        <v>40</v>
      </c>
      <c r="E1586" s="8" t="n">
        <v>3851</v>
      </c>
      <c r="F1586" s="8" t="n">
        <v>1360</v>
      </c>
      <c r="G1586" s="8" t="n">
        <v>36</v>
      </c>
      <c r="H1586" s="13" t="n">
        <f aca="false">(E1586/1000)*(F1586/1000)*(G1586/1000)*7850</f>
        <v>1480.077936</v>
      </c>
      <c r="I1586" s="8" t="n">
        <v>4</v>
      </c>
      <c r="J1586" s="14" t="n">
        <f aca="false">H1586*I1586</f>
        <v>5920.311744</v>
      </c>
      <c r="K1586" s="8" t="s">
        <v>1698</v>
      </c>
    </row>
    <row r="1587" customFormat="false" ht="13.8" hidden="false" customHeight="false" outlineLevel="0" collapsed="false">
      <c r="A1587" s="8" t="s">
        <v>1664</v>
      </c>
      <c r="B1587" s="8" t="s">
        <v>42</v>
      </c>
      <c r="C1587" s="8" t="s">
        <v>632</v>
      </c>
      <c r="D1587" s="8" t="s">
        <v>40</v>
      </c>
      <c r="E1587" s="8" t="n">
        <v>3851</v>
      </c>
      <c r="F1587" s="8" t="n">
        <v>320</v>
      </c>
      <c r="G1587" s="8" t="n">
        <v>32</v>
      </c>
      <c r="H1587" s="13" t="n">
        <f aca="false">(E1587/1000)*(F1587/1000)*(G1587/1000)*7850</f>
        <v>309.558784</v>
      </c>
      <c r="I1587" s="8" t="n">
        <v>4</v>
      </c>
      <c r="J1587" s="14" t="n">
        <f aca="false">H1587*I1587</f>
        <v>1238.235136</v>
      </c>
      <c r="K1587" s="8" t="s">
        <v>1699</v>
      </c>
    </row>
    <row r="1588" customFormat="false" ht="13.8" hidden="false" customHeight="false" outlineLevel="0" collapsed="false">
      <c r="A1588" s="8" t="s">
        <v>1664</v>
      </c>
      <c r="B1588" s="8" t="s">
        <v>42</v>
      </c>
      <c r="C1588" s="8" t="s">
        <v>163</v>
      </c>
      <c r="D1588" s="8" t="s">
        <v>40</v>
      </c>
      <c r="E1588" s="8" t="n">
        <v>4651</v>
      </c>
      <c r="F1588" s="8" t="n">
        <v>320</v>
      </c>
      <c r="G1588" s="8" t="n">
        <v>32</v>
      </c>
      <c r="H1588" s="13" t="n">
        <f aca="false">(E1588/1000)*(F1588/1000)*(G1588/1000)*7850</f>
        <v>373.865984</v>
      </c>
      <c r="I1588" s="8" t="n">
        <v>2</v>
      </c>
      <c r="J1588" s="14" t="n">
        <f aca="false">H1588*I1588</f>
        <v>747.731968</v>
      </c>
      <c r="K1588" s="8" t="s">
        <v>1700</v>
      </c>
    </row>
    <row r="1589" customFormat="false" ht="13.8" hidden="false" customHeight="false" outlineLevel="0" collapsed="false">
      <c r="A1589" s="8" t="s">
        <v>1664</v>
      </c>
      <c r="B1589" s="8" t="s">
        <v>42</v>
      </c>
      <c r="C1589" s="8" t="s">
        <v>165</v>
      </c>
      <c r="D1589" s="8" t="s">
        <v>40</v>
      </c>
      <c r="E1589" s="8" t="n">
        <v>4651</v>
      </c>
      <c r="F1589" s="8" t="n">
        <v>320</v>
      </c>
      <c r="G1589" s="8" t="n">
        <v>32</v>
      </c>
      <c r="H1589" s="13" t="n">
        <f aca="false">(E1589/1000)*(F1589/1000)*(G1589/1000)*7850</f>
        <v>373.865984</v>
      </c>
      <c r="I1589" s="8" t="n">
        <v>2</v>
      </c>
      <c r="J1589" s="14" t="n">
        <f aca="false">H1589*I1589</f>
        <v>747.731968</v>
      </c>
      <c r="K1589" s="8" t="s">
        <v>1700</v>
      </c>
    </row>
    <row r="1590" customFormat="false" ht="13.8" hidden="false" customHeight="false" outlineLevel="0" collapsed="false">
      <c r="A1590" s="8" t="s">
        <v>1664</v>
      </c>
      <c r="B1590" s="8" t="s">
        <v>42</v>
      </c>
      <c r="C1590" s="8" t="s">
        <v>158</v>
      </c>
      <c r="D1590" s="8" t="s">
        <v>40</v>
      </c>
      <c r="E1590" s="8" t="n">
        <v>1200</v>
      </c>
      <c r="F1590" s="8" t="n">
        <v>1200</v>
      </c>
      <c r="G1590" s="8" t="n">
        <v>16</v>
      </c>
      <c r="H1590" s="13" t="n">
        <f aca="false">(E1590/1000)*(F1590/1000)*(G1590/1000)*7850</f>
        <v>180.864</v>
      </c>
      <c r="I1590" s="8" t="n">
        <v>4</v>
      </c>
      <c r="J1590" s="14" t="n">
        <f aca="false">H1590*I1590</f>
        <v>723.456</v>
      </c>
      <c r="K1590" s="8" t="s">
        <v>1693</v>
      </c>
    </row>
    <row r="1591" customFormat="false" ht="13.8" hidden="false" customHeight="false" outlineLevel="0" collapsed="false">
      <c r="A1591" s="8" t="s">
        <v>1664</v>
      </c>
      <c r="B1591" s="8" t="s">
        <v>42</v>
      </c>
      <c r="C1591" s="8" t="s">
        <v>386</v>
      </c>
      <c r="D1591" s="8" t="s">
        <v>40</v>
      </c>
      <c r="E1591" s="8" t="n">
        <v>2300</v>
      </c>
      <c r="F1591" s="8" t="n">
        <v>320</v>
      </c>
      <c r="G1591" s="8" t="n">
        <v>32</v>
      </c>
      <c r="H1591" s="13" t="n">
        <f aca="false">(E1591/1000)*(F1591/1000)*(G1591/1000)*7850</f>
        <v>184.8832</v>
      </c>
      <c r="I1591" s="8" t="n">
        <v>4</v>
      </c>
      <c r="J1591" s="14" t="n">
        <f aca="false">H1591*I1591</f>
        <v>739.5328</v>
      </c>
      <c r="K1591" s="8" t="s">
        <v>1701</v>
      </c>
    </row>
    <row r="1592" customFormat="false" ht="13.8" hidden="false" customHeight="false" outlineLevel="0" collapsed="false">
      <c r="A1592" s="8" t="s">
        <v>1664</v>
      </c>
      <c r="B1592" s="8" t="s">
        <v>42</v>
      </c>
      <c r="C1592" s="8" t="s">
        <v>1702</v>
      </c>
      <c r="D1592" s="8" t="s">
        <v>40</v>
      </c>
      <c r="E1592" s="8" t="n">
        <v>3600</v>
      </c>
      <c r="F1592" s="8" t="n">
        <v>320</v>
      </c>
      <c r="G1592" s="8" t="n">
        <v>32</v>
      </c>
      <c r="H1592" s="13" t="n">
        <f aca="false">(E1592/1000)*(F1592/1000)*(G1592/1000)*7850</f>
        <v>289.3824</v>
      </c>
      <c r="I1592" s="8" t="n">
        <v>8</v>
      </c>
      <c r="J1592" s="14" t="n">
        <f aca="false">H1592*I1592</f>
        <v>2315.0592</v>
      </c>
      <c r="K1592" s="8" t="s">
        <v>1703</v>
      </c>
    </row>
    <row r="1593" customFormat="false" ht="13.8" hidden="false" customHeight="false" outlineLevel="0" collapsed="false">
      <c r="A1593" s="8" t="s">
        <v>1664</v>
      </c>
      <c r="B1593" s="8" t="s">
        <v>64</v>
      </c>
      <c r="C1593" s="8" t="s">
        <v>167</v>
      </c>
      <c r="D1593" s="8" t="s">
        <v>40</v>
      </c>
      <c r="E1593" s="8" t="n">
        <v>1580</v>
      </c>
      <c r="F1593" s="8" t="n">
        <v>610</v>
      </c>
      <c r="G1593" s="8" t="n">
        <v>14</v>
      </c>
      <c r="H1593" s="13" t="n">
        <f aca="false">(E1593/1000)*(F1593/1000)*(G1593/1000)*7850</f>
        <v>105.92162</v>
      </c>
      <c r="I1593" s="8" t="n">
        <v>6</v>
      </c>
      <c r="J1593" s="14" t="n">
        <f aca="false">H1593*I1593</f>
        <v>635.52972</v>
      </c>
      <c r="K1593" s="8" t="s">
        <v>1704</v>
      </c>
    </row>
    <row r="1594" customFormat="false" ht="13.8" hidden="false" customHeight="false" outlineLevel="0" collapsed="false">
      <c r="A1594" s="8" t="s">
        <v>1664</v>
      </c>
      <c r="B1594" s="8" t="s">
        <v>42</v>
      </c>
      <c r="C1594" s="8" t="s">
        <v>233</v>
      </c>
      <c r="D1594" s="8" t="s">
        <v>40</v>
      </c>
      <c r="E1594" s="8" t="n">
        <v>1580</v>
      </c>
      <c r="F1594" s="8" t="n">
        <v>622</v>
      </c>
      <c r="G1594" s="8" t="n">
        <v>14</v>
      </c>
      <c r="H1594" s="13" t="n">
        <f aca="false">(E1594/1000)*(F1594/1000)*(G1594/1000)*7850</f>
        <v>108.005324</v>
      </c>
      <c r="I1594" s="8" t="n">
        <v>4</v>
      </c>
      <c r="J1594" s="14" t="n">
        <f aca="false">H1594*I1594</f>
        <v>432.021296</v>
      </c>
      <c r="K1594" s="8" t="s">
        <v>1705</v>
      </c>
    </row>
    <row r="1595" customFormat="false" ht="13.8" hidden="false" customHeight="false" outlineLevel="0" collapsed="false">
      <c r="A1595" s="8" t="s">
        <v>1664</v>
      </c>
      <c r="B1595" s="8" t="s">
        <v>42</v>
      </c>
      <c r="C1595" s="8" t="s">
        <v>169</v>
      </c>
      <c r="D1595" s="8" t="s">
        <v>40</v>
      </c>
      <c r="G1595" s="8" t="n">
        <v>24</v>
      </c>
      <c r="H1595" s="13" t="n">
        <f aca="false">M1595*(G1595/1000)*7850</f>
        <v>88.548</v>
      </c>
      <c r="I1595" s="8" t="n">
        <v>6</v>
      </c>
      <c r="J1595" s="14" t="n">
        <f aca="false">H1595*I1595</f>
        <v>531.288</v>
      </c>
      <c r="K1595" s="8" t="s">
        <v>1706</v>
      </c>
      <c r="M1595" s="15" t="n">
        <v>0.47</v>
      </c>
    </row>
    <row r="1596" customFormat="false" ht="13.8" hidden="false" customHeight="false" outlineLevel="0" collapsed="false">
      <c r="A1596" s="8" t="s">
        <v>1664</v>
      </c>
      <c r="B1596" s="8" t="s">
        <v>42</v>
      </c>
      <c r="C1596" s="8" t="s">
        <v>236</v>
      </c>
      <c r="D1596" s="8" t="s">
        <v>40</v>
      </c>
      <c r="G1596" s="8" t="n">
        <v>24</v>
      </c>
      <c r="H1596" s="13" t="n">
        <f aca="false">M1596*(G1596/1000)*7850</f>
        <v>88.548</v>
      </c>
      <c r="I1596" s="8" t="n">
        <v>4</v>
      </c>
      <c r="J1596" s="14" t="n">
        <f aca="false">H1596*I1596</f>
        <v>354.192</v>
      </c>
      <c r="K1596" s="8" t="s">
        <v>1706</v>
      </c>
      <c r="M1596" s="15" t="n">
        <v>0.47</v>
      </c>
    </row>
    <row r="1597" customFormat="false" ht="13.8" hidden="false" customHeight="false" outlineLevel="0" collapsed="false">
      <c r="A1597" s="8" t="s">
        <v>1664</v>
      </c>
      <c r="B1597" s="8" t="s">
        <v>42</v>
      </c>
      <c r="C1597" s="8" t="s">
        <v>172</v>
      </c>
      <c r="D1597" s="8" t="s">
        <v>40</v>
      </c>
      <c r="E1597" s="8" t="n">
        <v>1450</v>
      </c>
      <c r="F1597" s="8" t="n">
        <v>606</v>
      </c>
      <c r="G1597" s="8" t="n">
        <v>14</v>
      </c>
      <c r="H1597" s="13" t="n">
        <f aca="false">(E1597/1000)*(F1597/1000)*(G1597/1000)*7850</f>
        <v>96.56913</v>
      </c>
      <c r="I1597" s="8" t="n">
        <v>6</v>
      </c>
      <c r="J1597" s="14" t="n">
        <f aca="false">H1597*I1597</f>
        <v>579.41478</v>
      </c>
      <c r="K1597" s="8" t="s">
        <v>1707</v>
      </c>
    </row>
    <row r="1598" customFormat="false" ht="13.8" hidden="false" customHeight="false" outlineLevel="0" collapsed="false">
      <c r="A1598" s="8" t="s">
        <v>1664</v>
      </c>
      <c r="B1598" s="8" t="s">
        <v>42</v>
      </c>
      <c r="C1598" s="8" t="s">
        <v>239</v>
      </c>
      <c r="D1598" s="8" t="s">
        <v>40</v>
      </c>
      <c r="E1598" s="8" t="n">
        <v>1450</v>
      </c>
      <c r="F1598" s="8" t="n">
        <v>618</v>
      </c>
      <c r="G1598" s="8" t="n">
        <v>14</v>
      </c>
      <c r="H1598" s="13" t="n">
        <f aca="false">(E1598/1000)*(F1598/1000)*(G1598/1000)*7850</f>
        <v>98.48139</v>
      </c>
      <c r="I1598" s="8" t="n">
        <v>4</v>
      </c>
      <c r="J1598" s="14" t="n">
        <f aca="false">H1598*I1598</f>
        <v>393.92556</v>
      </c>
      <c r="K1598" s="8" t="s">
        <v>1708</v>
      </c>
    </row>
    <row r="1599" customFormat="false" ht="13.8" hidden="false" customHeight="false" outlineLevel="0" collapsed="false">
      <c r="A1599" s="8" t="s">
        <v>1709</v>
      </c>
      <c r="B1599" s="8" t="s">
        <v>38</v>
      </c>
      <c r="C1599" s="8" t="s">
        <v>179</v>
      </c>
      <c r="D1599" s="8" t="s">
        <v>40</v>
      </c>
      <c r="G1599" s="8" t="n">
        <v>20</v>
      </c>
      <c r="H1599" s="13" t="n">
        <f aca="false">M1599*(G1599/1000)*7850</f>
        <v>1860.45</v>
      </c>
      <c r="I1599" s="8" t="n">
        <v>2</v>
      </c>
      <c r="J1599" s="14" t="n">
        <f aca="false">H1599*I1599</f>
        <v>3720.9</v>
      </c>
      <c r="K1599" s="8" t="s">
        <v>1710</v>
      </c>
      <c r="M1599" s="15" t="n">
        <v>11.85</v>
      </c>
    </row>
    <row r="1600" customFormat="false" ht="13.8" hidden="false" customHeight="false" outlineLevel="0" collapsed="false">
      <c r="A1600" s="8" t="s">
        <v>1709</v>
      </c>
      <c r="B1600" s="8" t="s">
        <v>42</v>
      </c>
      <c r="C1600" s="8" t="s">
        <v>243</v>
      </c>
      <c r="D1600" s="8" t="s">
        <v>40</v>
      </c>
      <c r="G1600" s="8" t="n">
        <v>20</v>
      </c>
      <c r="H1600" s="13" t="n">
        <f aca="false">M1600*(G1600/1000)*7850</f>
        <v>1631.23</v>
      </c>
      <c r="I1600" s="8" t="n">
        <v>2</v>
      </c>
      <c r="J1600" s="14" t="n">
        <f aca="false">H1600*I1600</f>
        <v>3262.46</v>
      </c>
      <c r="K1600" s="8" t="s">
        <v>1711</v>
      </c>
      <c r="M1600" s="15" t="n">
        <v>10.39</v>
      </c>
    </row>
    <row r="1601" customFormat="false" ht="13.8" hidden="false" customHeight="false" outlineLevel="0" collapsed="false">
      <c r="A1601" s="8" t="s">
        <v>1709</v>
      </c>
      <c r="B1601" s="8" t="s">
        <v>45</v>
      </c>
      <c r="C1601" s="8" t="s">
        <v>292</v>
      </c>
      <c r="D1601" s="8" t="s">
        <v>40</v>
      </c>
      <c r="E1601" s="8" t="n">
        <v>7900</v>
      </c>
      <c r="F1601" s="8" t="n">
        <v>1200</v>
      </c>
      <c r="G1601" s="8" t="n">
        <v>20</v>
      </c>
      <c r="H1601" s="13" t="n">
        <f aca="false">(E1601/1000)*(F1601/1000)*(G1601/1000)*7850</f>
        <v>1488.36</v>
      </c>
      <c r="I1601" s="8" t="n">
        <v>2</v>
      </c>
      <c r="J1601" s="14" t="n">
        <f aca="false">H1601*I1601</f>
        <v>2976.72</v>
      </c>
      <c r="K1601" s="8" t="s">
        <v>1712</v>
      </c>
    </row>
    <row r="1602" customFormat="false" ht="13.8" hidden="false" customHeight="false" outlineLevel="0" collapsed="false">
      <c r="A1602" s="8" t="s">
        <v>1709</v>
      </c>
      <c r="B1602" s="8" t="s">
        <v>42</v>
      </c>
      <c r="C1602" s="8" t="s">
        <v>185</v>
      </c>
      <c r="D1602" s="8" t="s">
        <v>40</v>
      </c>
      <c r="E1602" s="8" t="n">
        <v>7100</v>
      </c>
      <c r="F1602" s="8" t="n">
        <v>1200</v>
      </c>
      <c r="G1602" s="8" t="n">
        <v>20</v>
      </c>
      <c r="H1602" s="13" t="n">
        <f aca="false">(E1602/1000)*(F1602/1000)*(G1602/1000)*7850</f>
        <v>1337.64</v>
      </c>
      <c r="I1602" s="8" t="n">
        <v>2</v>
      </c>
      <c r="J1602" s="14" t="n">
        <f aca="false">H1602*I1602</f>
        <v>2675.28</v>
      </c>
      <c r="K1602" s="8" t="s">
        <v>1713</v>
      </c>
    </row>
    <row r="1603" customFormat="false" ht="13.8" hidden="false" customHeight="false" outlineLevel="0" collapsed="false">
      <c r="A1603" s="8" t="s">
        <v>1709</v>
      </c>
      <c r="B1603" s="8" t="s">
        <v>187</v>
      </c>
      <c r="C1603" s="8" t="s">
        <v>188</v>
      </c>
      <c r="D1603" s="8" t="s">
        <v>40</v>
      </c>
      <c r="G1603" s="8" t="n">
        <v>40</v>
      </c>
      <c r="H1603" s="13" t="n">
        <f aca="false">M1603*(G1603/1000)*7850</f>
        <v>6028.8</v>
      </c>
      <c r="I1603" s="8" t="n">
        <v>4</v>
      </c>
      <c r="J1603" s="14" t="n">
        <f aca="false">H1603*I1603</f>
        <v>24115.2</v>
      </c>
      <c r="K1603" s="8" t="s">
        <v>1714</v>
      </c>
      <c r="M1603" s="15" t="n">
        <v>19.2</v>
      </c>
    </row>
    <row r="1604" customFormat="false" ht="13.8" hidden="false" customHeight="false" outlineLevel="0" collapsed="false">
      <c r="A1604" s="8" t="s">
        <v>1709</v>
      </c>
      <c r="B1604" s="8" t="s">
        <v>190</v>
      </c>
      <c r="C1604" s="8" t="s">
        <v>191</v>
      </c>
      <c r="D1604" s="8" t="s">
        <v>40</v>
      </c>
      <c r="E1604" s="8" t="n">
        <v>7300</v>
      </c>
      <c r="F1604" s="8" t="n">
        <v>1648</v>
      </c>
      <c r="G1604" s="8" t="n">
        <v>28</v>
      </c>
      <c r="H1604" s="13" t="n">
        <f aca="false">(E1604/1000)*(F1604/1000)*(G1604/1000)*7850</f>
        <v>2644.28192</v>
      </c>
      <c r="I1604" s="8" t="n">
        <v>4</v>
      </c>
      <c r="J1604" s="14" t="n">
        <f aca="false">H1604*I1604</f>
        <v>10577.12768</v>
      </c>
      <c r="K1604" s="8" t="s">
        <v>1715</v>
      </c>
    </row>
    <row r="1605" customFormat="false" ht="13.8" hidden="false" customHeight="false" outlineLevel="0" collapsed="false">
      <c r="A1605" s="8" t="s">
        <v>1709</v>
      </c>
      <c r="B1605" s="8" t="s">
        <v>195</v>
      </c>
      <c r="C1605" s="8" t="s">
        <v>58</v>
      </c>
      <c r="D1605" s="8" t="s">
        <v>40</v>
      </c>
      <c r="E1605" s="8" t="n">
        <v>1580</v>
      </c>
      <c r="F1605" s="8" t="n">
        <v>1200</v>
      </c>
      <c r="G1605" s="8" t="n">
        <v>16</v>
      </c>
      <c r="H1605" s="13" t="n">
        <f aca="false">(E1605/1000)*(F1605/1000)*(G1605/1000)*7850</f>
        <v>238.1376</v>
      </c>
      <c r="I1605" s="8" t="n">
        <v>6</v>
      </c>
      <c r="J1605" s="14" t="n">
        <f aca="false">H1605*I1605</f>
        <v>1428.8256</v>
      </c>
      <c r="K1605" s="8" t="s">
        <v>1716</v>
      </c>
    </row>
    <row r="1606" customFormat="false" ht="13.8" hidden="false" customHeight="false" outlineLevel="0" collapsed="false">
      <c r="A1606" s="8" t="s">
        <v>1709</v>
      </c>
      <c r="B1606" s="8" t="s">
        <v>42</v>
      </c>
      <c r="C1606" s="8" t="s">
        <v>298</v>
      </c>
      <c r="D1606" s="8" t="s">
        <v>40</v>
      </c>
      <c r="E1606" s="8" t="n">
        <v>1580</v>
      </c>
      <c r="F1606" s="8" t="n">
        <v>1200</v>
      </c>
      <c r="G1606" s="8" t="n">
        <v>16</v>
      </c>
      <c r="H1606" s="13" t="n">
        <f aca="false">(E1606/1000)*(F1606/1000)*(G1606/1000)*7850</f>
        <v>238.1376</v>
      </c>
      <c r="I1606" s="8" t="n">
        <v>4</v>
      </c>
      <c r="J1606" s="14" t="n">
        <f aca="false">H1606*I1606</f>
        <v>952.5504</v>
      </c>
      <c r="K1606" s="8" t="s">
        <v>1716</v>
      </c>
    </row>
    <row r="1607" customFormat="false" ht="13.8" hidden="false" customHeight="false" outlineLevel="0" collapsed="false">
      <c r="A1607" s="8" t="s">
        <v>1709</v>
      </c>
      <c r="B1607" s="8" t="s">
        <v>42</v>
      </c>
      <c r="C1607" s="8" t="s">
        <v>196</v>
      </c>
      <c r="D1607" s="8" t="s">
        <v>40</v>
      </c>
      <c r="E1607" s="8" t="n">
        <v>1657</v>
      </c>
      <c r="F1607" s="8" t="n">
        <v>200</v>
      </c>
      <c r="G1607" s="8" t="n">
        <v>16</v>
      </c>
      <c r="H1607" s="13" t="n">
        <f aca="false">(E1607/1000)*(F1607/1000)*(G1607/1000)*7850</f>
        <v>41.62384</v>
      </c>
      <c r="I1607" s="8" t="n">
        <v>6</v>
      </c>
      <c r="J1607" s="14" t="n">
        <f aca="false">H1607*I1607</f>
        <v>249.74304</v>
      </c>
      <c r="K1607" s="8" t="s">
        <v>1717</v>
      </c>
    </row>
    <row r="1608" customFormat="false" ht="13.8" hidden="false" customHeight="false" outlineLevel="0" collapsed="false">
      <c r="A1608" s="8" t="s">
        <v>1709</v>
      </c>
      <c r="B1608" s="8" t="s">
        <v>42</v>
      </c>
      <c r="C1608" s="8" t="s">
        <v>68</v>
      </c>
      <c r="D1608" s="8" t="s">
        <v>40</v>
      </c>
      <c r="E1608" s="8" t="n">
        <v>600</v>
      </c>
      <c r="F1608" s="8" t="n">
        <v>400</v>
      </c>
      <c r="G1608" s="8" t="n">
        <v>16</v>
      </c>
      <c r="H1608" s="13" t="n">
        <f aca="false">(E1608/1000)*(F1608/1000)*(G1608/1000)*7850</f>
        <v>30.144</v>
      </c>
      <c r="I1608" s="8" t="n">
        <v>8</v>
      </c>
      <c r="J1608" s="14" t="n">
        <f aca="false">H1608*I1608</f>
        <v>241.152</v>
      </c>
      <c r="K1608" s="8" t="s">
        <v>1718</v>
      </c>
    </row>
    <row r="1609" customFormat="false" ht="13.8" hidden="false" customHeight="false" outlineLevel="0" collapsed="false">
      <c r="A1609" s="8" t="s">
        <v>1709</v>
      </c>
      <c r="B1609" s="8" t="s">
        <v>80</v>
      </c>
      <c r="C1609" s="8" t="s">
        <v>199</v>
      </c>
      <c r="D1609" s="8" t="s">
        <v>40</v>
      </c>
      <c r="E1609" s="8" t="n">
        <v>7900</v>
      </c>
      <c r="F1609" s="8" t="n">
        <v>240</v>
      </c>
      <c r="G1609" s="8" t="n">
        <v>20</v>
      </c>
      <c r="H1609" s="13" t="n">
        <f aca="false">(E1609/1000)*(F1609/1000)*(G1609/1000)*7850</f>
        <v>297.672</v>
      </c>
      <c r="I1609" s="8" t="n">
        <v>12</v>
      </c>
      <c r="J1609" s="14" t="n">
        <f aca="false">H1609*I1609</f>
        <v>3572.064</v>
      </c>
      <c r="K1609" s="8" t="s">
        <v>1719</v>
      </c>
    </row>
    <row r="1610" customFormat="false" ht="13.8" hidden="false" customHeight="false" outlineLevel="0" collapsed="false">
      <c r="A1610" s="8" t="s">
        <v>1709</v>
      </c>
      <c r="B1610" s="8" t="s">
        <v>42</v>
      </c>
      <c r="C1610" s="8" t="s">
        <v>76</v>
      </c>
      <c r="D1610" s="8" t="s">
        <v>40</v>
      </c>
      <c r="E1610" s="8" t="n">
        <v>7100</v>
      </c>
      <c r="F1610" s="8" t="n">
        <v>240</v>
      </c>
      <c r="G1610" s="8" t="n">
        <v>20</v>
      </c>
      <c r="H1610" s="13" t="n">
        <f aca="false">(E1610/1000)*(F1610/1000)*(G1610/1000)*7850</f>
        <v>267.528</v>
      </c>
      <c r="I1610" s="8" t="n">
        <v>12</v>
      </c>
      <c r="J1610" s="14" t="n">
        <f aca="false">H1610*I1610</f>
        <v>3210.336</v>
      </c>
      <c r="K1610" s="8" t="s">
        <v>1720</v>
      </c>
    </row>
    <row r="1611" customFormat="false" ht="13.8" hidden="false" customHeight="false" outlineLevel="0" collapsed="false">
      <c r="A1611" s="8" t="s">
        <v>1709</v>
      </c>
      <c r="B1611" s="8" t="s">
        <v>256</v>
      </c>
      <c r="C1611" s="8" t="s">
        <v>257</v>
      </c>
      <c r="D1611" s="8" t="s">
        <v>40</v>
      </c>
      <c r="E1611" s="8" t="n">
        <v>7901</v>
      </c>
      <c r="F1611" s="8" t="n">
        <v>1850</v>
      </c>
      <c r="G1611" s="8" t="n">
        <v>24</v>
      </c>
      <c r="H1611" s="13" t="n">
        <f aca="false">(E1611/1000)*(F1611/1000)*(G1611/1000)*7850</f>
        <v>2753.81454</v>
      </c>
      <c r="I1611" s="8" t="n">
        <v>2</v>
      </c>
      <c r="J1611" s="14" t="n">
        <f aca="false">H1611*I1611</f>
        <v>5507.62908</v>
      </c>
      <c r="K1611" s="8" t="s">
        <v>1721</v>
      </c>
    </row>
    <row r="1612" customFormat="false" ht="13.8" hidden="false" customHeight="false" outlineLevel="0" collapsed="false">
      <c r="A1612" s="8" t="s">
        <v>1709</v>
      </c>
      <c r="B1612" s="8" t="s">
        <v>42</v>
      </c>
      <c r="C1612" s="8" t="s">
        <v>305</v>
      </c>
      <c r="D1612" s="8" t="s">
        <v>40</v>
      </c>
      <c r="E1612" s="8" t="n">
        <v>7101</v>
      </c>
      <c r="F1612" s="8" t="n">
        <v>1850</v>
      </c>
      <c r="G1612" s="8" t="n">
        <v>24</v>
      </c>
      <c r="H1612" s="13" t="n">
        <f aca="false">(E1612/1000)*(F1612/1000)*(G1612/1000)*7850</f>
        <v>2474.98254</v>
      </c>
      <c r="I1612" s="8" t="n">
        <v>2</v>
      </c>
      <c r="J1612" s="14" t="n">
        <f aca="false">H1612*I1612</f>
        <v>4949.96508</v>
      </c>
      <c r="K1612" s="8" t="s">
        <v>1722</v>
      </c>
    </row>
    <row r="1613" customFormat="false" ht="13.8" hidden="false" customHeight="false" outlineLevel="0" collapsed="false">
      <c r="A1613" s="8" t="s">
        <v>1709</v>
      </c>
      <c r="B1613" s="8" t="s">
        <v>260</v>
      </c>
      <c r="C1613" s="8" t="s">
        <v>307</v>
      </c>
      <c r="D1613" s="8" t="s">
        <v>40</v>
      </c>
      <c r="G1613" s="8" t="n">
        <v>24</v>
      </c>
      <c r="H1613" s="13" t="n">
        <f aca="false">M1613*(G1613/1000)*7850</f>
        <v>2360.652</v>
      </c>
      <c r="I1613" s="8" t="n">
        <v>2</v>
      </c>
      <c r="J1613" s="14" t="n">
        <f aca="false">H1613*I1613</f>
        <v>4721.304</v>
      </c>
      <c r="K1613" s="8" t="s">
        <v>1723</v>
      </c>
      <c r="M1613" s="15" t="n">
        <v>12.53</v>
      </c>
    </row>
    <row r="1614" customFormat="false" ht="13.8" hidden="false" customHeight="false" outlineLevel="0" collapsed="false">
      <c r="A1614" s="8" t="s">
        <v>1709</v>
      </c>
      <c r="B1614" s="8" t="s">
        <v>42</v>
      </c>
      <c r="C1614" s="8" t="s">
        <v>206</v>
      </c>
      <c r="D1614" s="8" t="s">
        <v>40</v>
      </c>
      <c r="G1614" s="8" t="n">
        <v>24</v>
      </c>
      <c r="H1614" s="13" t="n">
        <f aca="false">M1614*(G1614/1000)*7850</f>
        <v>1829.364</v>
      </c>
      <c r="I1614" s="8" t="n">
        <v>2</v>
      </c>
      <c r="J1614" s="14" t="n">
        <f aca="false">H1614*I1614</f>
        <v>3658.728</v>
      </c>
      <c r="K1614" s="8" t="s">
        <v>1724</v>
      </c>
      <c r="M1614" s="15" t="n">
        <v>9.71</v>
      </c>
    </row>
    <row r="1615" customFormat="false" ht="13.8" hidden="false" customHeight="false" outlineLevel="0" collapsed="false">
      <c r="A1615" s="8" t="s">
        <v>1709</v>
      </c>
      <c r="B1615" s="8" t="s">
        <v>105</v>
      </c>
      <c r="C1615" s="8" t="s">
        <v>103</v>
      </c>
      <c r="D1615" s="8" t="s">
        <v>40</v>
      </c>
      <c r="G1615" s="8" t="n">
        <v>44</v>
      </c>
      <c r="H1615" s="13" t="n">
        <f aca="false">M1615*(G1615/1000)*7850</f>
        <v>6351.906</v>
      </c>
      <c r="I1615" s="8" t="n">
        <v>4</v>
      </c>
      <c r="J1615" s="14" t="n">
        <f aca="false">H1615*I1615</f>
        <v>25407.624</v>
      </c>
      <c r="K1615" s="8" t="s">
        <v>1725</v>
      </c>
      <c r="M1615" s="15" t="n">
        <v>18.39</v>
      </c>
    </row>
    <row r="1616" customFormat="false" ht="13.8" hidden="false" customHeight="false" outlineLevel="0" collapsed="false">
      <c r="A1616" s="8" t="s">
        <v>1709</v>
      </c>
      <c r="B1616" s="8" t="s">
        <v>102</v>
      </c>
      <c r="C1616" s="8" t="s">
        <v>106</v>
      </c>
      <c r="D1616" s="8" t="s">
        <v>40</v>
      </c>
      <c r="E1616" s="8" t="n">
        <v>7301</v>
      </c>
      <c r="F1616" s="8" t="n">
        <v>1474</v>
      </c>
      <c r="G1616" s="8" t="n">
        <v>32</v>
      </c>
      <c r="H1616" s="13" t="n">
        <f aca="false">(E1616/1000)*(F1616/1000)*(G1616/1000)*7850</f>
        <v>2703.3325088</v>
      </c>
      <c r="I1616" s="8" t="n">
        <v>4</v>
      </c>
      <c r="J1616" s="14" t="n">
        <f aca="false">H1616*I1616</f>
        <v>10813.3300352</v>
      </c>
      <c r="K1616" s="8" t="s">
        <v>1726</v>
      </c>
    </row>
    <row r="1617" customFormat="false" ht="13.8" hidden="false" customHeight="false" outlineLevel="0" collapsed="false">
      <c r="A1617" s="8" t="s">
        <v>1709</v>
      </c>
      <c r="B1617" s="8" t="s">
        <v>110</v>
      </c>
      <c r="C1617" s="8" t="s">
        <v>108</v>
      </c>
      <c r="D1617" s="8" t="s">
        <v>40</v>
      </c>
      <c r="E1617" s="8" t="n">
        <v>1450</v>
      </c>
      <c r="F1617" s="8" t="n">
        <v>1200</v>
      </c>
      <c r="G1617" s="8" t="n">
        <v>16</v>
      </c>
      <c r="H1617" s="13" t="n">
        <f aca="false">(E1617/1000)*(F1617/1000)*(G1617/1000)*7850</f>
        <v>218.544</v>
      </c>
      <c r="I1617" s="8" t="n">
        <v>6</v>
      </c>
      <c r="J1617" s="14" t="n">
        <f aca="false">H1617*I1617</f>
        <v>1311.264</v>
      </c>
      <c r="K1617" s="8" t="s">
        <v>1727</v>
      </c>
    </row>
    <row r="1618" customFormat="false" ht="13.8" hidden="false" customHeight="false" outlineLevel="0" collapsed="false">
      <c r="A1618" s="8" t="s">
        <v>1709</v>
      </c>
      <c r="B1618" s="8" t="s">
        <v>42</v>
      </c>
      <c r="C1618" s="8" t="s">
        <v>112</v>
      </c>
      <c r="D1618" s="8" t="s">
        <v>40</v>
      </c>
      <c r="E1618" s="8" t="n">
        <v>1450</v>
      </c>
      <c r="F1618" s="8" t="n">
        <v>1200</v>
      </c>
      <c r="G1618" s="8" t="n">
        <v>16</v>
      </c>
      <c r="H1618" s="13" t="n">
        <f aca="false">(E1618/1000)*(F1618/1000)*(G1618/1000)*7850</f>
        <v>218.544</v>
      </c>
      <c r="I1618" s="8" t="n">
        <v>4</v>
      </c>
      <c r="J1618" s="14" t="n">
        <f aca="false">H1618*I1618</f>
        <v>874.176</v>
      </c>
      <c r="K1618" s="8" t="s">
        <v>1727</v>
      </c>
    </row>
    <row r="1619" customFormat="false" ht="13.8" hidden="false" customHeight="false" outlineLevel="0" collapsed="false">
      <c r="A1619" s="8" t="s">
        <v>1709</v>
      </c>
      <c r="B1619" s="8" t="s">
        <v>42</v>
      </c>
      <c r="C1619" s="8" t="s">
        <v>108</v>
      </c>
      <c r="D1619" s="8" t="s">
        <v>40</v>
      </c>
      <c r="E1619" s="8" t="n">
        <v>1657</v>
      </c>
      <c r="F1619" s="8" t="n">
        <v>200</v>
      </c>
      <c r="G1619" s="8" t="n">
        <v>16</v>
      </c>
      <c r="H1619" s="13" t="n">
        <f aca="false">(E1619/1000)*(F1619/1000)*(G1619/1000)*7850</f>
        <v>41.62384</v>
      </c>
      <c r="I1619" s="8" t="n">
        <v>6</v>
      </c>
      <c r="J1619" s="14" t="n">
        <f aca="false">H1619*I1619</f>
        <v>249.74304</v>
      </c>
      <c r="K1619" s="8" t="s">
        <v>1717</v>
      </c>
    </row>
    <row r="1620" customFormat="false" ht="13.8" hidden="false" customHeight="false" outlineLevel="0" collapsed="false">
      <c r="A1620" s="8" t="s">
        <v>1709</v>
      </c>
      <c r="B1620" s="8" t="s">
        <v>665</v>
      </c>
      <c r="C1620" s="8" t="s">
        <v>114</v>
      </c>
      <c r="D1620" s="8" t="s">
        <v>40</v>
      </c>
      <c r="E1620" s="8" t="n">
        <v>7901</v>
      </c>
      <c r="F1620" s="8" t="n">
        <v>240</v>
      </c>
      <c r="G1620" s="8" t="n">
        <v>20</v>
      </c>
      <c r="H1620" s="13" t="n">
        <f aca="false">(E1620/1000)*(F1620/1000)*(G1620/1000)*7850</f>
        <v>297.70968</v>
      </c>
      <c r="I1620" s="8" t="n">
        <v>8</v>
      </c>
      <c r="J1620" s="14" t="n">
        <f aca="false">H1620*I1620</f>
        <v>2381.67744</v>
      </c>
      <c r="K1620" s="8" t="s">
        <v>1728</v>
      </c>
    </row>
    <row r="1621" customFormat="false" ht="13.8" hidden="false" customHeight="false" outlineLevel="0" collapsed="false">
      <c r="A1621" s="8" t="s">
        <v>1709</v>
      </c>
      <c r="B1621" s="8" t="s">
        <v>42</v>
      </c>
      <c r="C1621" s="8" t="s">
        <v>116</v>
      </c>
      <c r="D1621" s="8" t="s">
        <v>40</v>
      </c>
      <c r="E1621" s="8" t="n">
        <v>7101</v>
      </c>
      <c r="F1621" s="8" t="n">
        <v>240</v>
      </c>
      <c r="G1621" s="8" t="n">
        <v>20</v>
      </c>
      <c r="H1621" s="13" t="n">
        <f aca="false">(E1621/1000)*(F1621/1000)*(G1621/1000)*7850</f>
        <v>267.56568</v>
      </c>
      <c r="I1621" s="8" t="n">
        <v>8</v>
      </c>
      <c r="J1621" s="14" t="n">
        <f aca="false">H1621*I1621</f>
        <v>2140.52544</v>
      </c>
      <c r="K1621" s="8" t="s">
        <v>1729</v>
      </c>
    </row>
    <row r="1622" customFormat="false" ht="13.8" hidden="false" customHeight="false" outlineLevel="0" collapsed="false">
      <c r="A1622" s="8" t="s">
        <v>1709</v>
      </c>
      <c r="B1622" s="8" t="s">
        <v>42</v>
      </c>
      <c r="C1622" s="8" t="s">
        <v>118</v>
      </c>
      <c r="D1622" s="8" t="s">
        <v>40</v>
      </c>
      <c r="E1622" s="8" t="n">
        <v>15002</v>
      </c>
      <c r="F1622" s="8" t="n">
        <v>170</v>
      </c>
      <c r="G1622" s="8" t="n">
        <v>14</v>
      </c>
      <c r="H1622" s="13" t="n">
        <f aca="false">(E1622/1000)*(F1622/1000)*(G1622/1000)*7850</f>
        <v>280.282366</v>
      </c>
      <c r="I1622" s="8" t="n">
        <v>2</v>
      </c>
      <c r="J1622" s="14" t="n">
        <f aca="false">H1622*I1622</f>
        <v>560.564732</v>
      </c>
      <c r="K1622" s="8" t="s">
        <v>1730</v>
      </c>
    </row>
    <row r="1623" customFormat="false" ht="13.8" hidden="false" customHeight="false" outlineLevel="0" collapsed="false">
      <c r="A1623" s="8" t="s">
        <v>1709</v>
      </c>
      <c r="B1623" s="8" t="s">
        <v>272</v>
      </c>
      <c r="C1623" s="8" t="s">
        <v>125</v>
      </c>
      <c r="D1623" s="8" t="s">
        <v>40</v>
      </c>
      <c r="E1623" s="8" t="n">
        <v>7651</v>
      </c>
      <c r="F1623" s="8" t="n">
        <v>900</v>
      </c>
      <c r="G1623" s="8" t="n">
        <v>36</v>
      </c>
      <c r="H1623" s="13" t="n">
        <f aca="false">(E1623/1000)*(F1623/1000)*(G1623/1000)*7850</f>
        <v>1945.95534</v>
      </c>
      <c r="I1623" s="8" t="n">
        <v>4</v>
      </c>
      <c r="J1623" s="14" t="n">
        <f aca="false">H1623*I1623</f>
        <v>7783.82136</v>
      </c>
      <c r="K1623" s="8" t="s">
        <v>1731</v>
      </c>
    </row>
    <row r="1624" customFormat="false" ht="13.8" hidden="false" customHeight="false" outlineLevel="0" collapsed="false">
      <c r="A1624" s="8" t="s">
        <v>1709</v>
      </c>
      <c r="B1624" s="8" t="s">
        <v>42</v>
      </c>
      <c r="C1624" s="8" t="s">
        <v>128</v>
      </c>
      <c r="D1624" s="8" t="s">
        <v>40</v>
      </c>
      <c r="E1624" s="8" t="n">
        <v>12551</v>
      </c>
      <c r="F1624" s="8" t="n">
        <v>1200</v>
      </c>
      <c r="G1624" s="8" t="n">
        <v>32</v>
      </c>
      <c r="H1624" s="13" t="n">
        <f aca="false">(E1624/1000)*(F1624/1000)*(G1624/1000)*7850</f>
        <v>3783.37344</v>
      </c>
      <c r="I1624" s="8" t="n">
        <v>2</v>
      </c>
      <c r="J1624" s="14" t="n">
        <f aca="false">H1624*I1624</f>
        <v>7566.74688</v>
      </c>
      <c r="K1624" s="8" t="s">
        <v>1732</v>
      </c>
    </row>
    <row r="1625" customFormat="false" ht="13.8" hidden="false" customHeight="false" outlineLevel="0" collapsed="false">
      <c r="A1625" s="8" t="s">
        <v>1709</v>
      </c>
      <c r="B1625" s="8" t="s">
        <v>42</v>
      </c>
      <c r="C1625" s="8" t="s">
        <v>130</v>
      </c>
      <c r="D1625" s="8" t="s">
        <v>40</v>
      </c>
      <c r="E1625" s="8" t="n">
        <v>11151</v>
      </c>
      <c r="F1625" s="8" t="n">
        <v>240</v>
      </c>
      <c r="G1625" s="8" t="n">
        <v>24</v>
      </c>
      <c r="H1625" s="13" t="n">
        <f aca="false">(E1625/1000)*(F1625/1000)*(G1625/1000)*7850</f>
        <v>504.203616</v>
      </c>
      <c r="I1625" s="8" t="n">
        <v>4</v>
      </c>
      <c r="J1625" s="14" t="n">
        <f aca="false">H1625*I1625</f>
        <v>2016.814464</v>
      </c>
      <c r="K1625" s="8" t="s">
        <v>1733</v>
      </c>
    </row>
    <row r="1626" customFormat="false" ht="13.8" hidden="false" customHeight="false" outlineLevel="0" collapsed="false">
      <c r="A1626" s="8" t="s">
        <v>1709</v>
      </c>
      <c r="B1626" s="8" t="s">
        <v>42</v>
      </c>
      <c r="C1626" s="8" t="s">
        <v>137</v>
      </c>
      <c r="D1626" s="8" t="s">
        <v>40</v>
      </c>
      <c r="E1626" s="8" t="n">
        <v>3752</v>
      </c>
      <c r="F1626" s="8" t="n">
        <v>900</v>
      </c>
      <c r="G1626" s="8" t="n">
        <v>36</v>
      </c>
      <c r="H1626" s="13" t="n">
        <f aca="false">(E1626/1000)*(F1626/1000)*(G1626/1000)*7850</f>
        <v>954.28368</v>
      </c>
      <c r="I1626" s="8" t="n">
        <v>4</v>
      </c>
      <c r="J1626" s="14" t="n">
        <f aca="false">H1626*I1626</f>
        <v>3817.13472</v>
      </c>
      <c r="K1626" s="8" t="s">
        <v>1734</v>
      </c>
    </row>
    <row r="1627" customFormat="false" ht="13.8" hidden="false" customHeight="false" outlineLevel="0" collapsed="false">
      <c r="A1627" s="8" t="s">
        <v>1709</v>
      </c>
      <c r="B1627" s="8" t="s">
        <v>42</v>
      </c>
      <c r="C1627" s="8" t="s">
        <v>141</v>
      </c>
      <c r="D1627" s="8" t="s">
        <v>40</v>
      </c>
      <c r="E1627" s="8" t="n">
        <v>6052</v>
      </c>
      <c r="F1627" s="8" t="n">
        <v>1200</v>
      </c>
      <c r="G1627" s="8" t="n">
        <v>32</v>
      </c>
      <c r="H1627" s="13" t="n">
        <f aca="false">(E1627/1000)*(F1627/1000)*(G1627/1000)*7850</f>
        <v>1824.31488</v>
      </c>
      <c r="I1627" s="8" t="n">
        <v>2</v>
      </c>
      <c r="J1627" s="14" t="n">
        <f aca="false">H1627*I1627</f>
        <v>3648.62976</v>
      </c>
      <c r="K1627" s="8" t="s">
        <v>1735</v>
      </c>
    </row>
    <row r="1628" customFormat="false" ht="13.8" hidden="false" customHeight="false" outlineLevel="0" collapsed="false">
      <c r="A1628" s="8" t="s">
        <v>1709</v>
      </c>
      <c r="B1628" s="8" t="s">
        <v>42</v>
      </c>
      <c r="C1628" s="8" t="s">
        <v>143</v>
      </c>
      <c r="D1628" s="8" t="s">
        <v>40</v>
      </c>
      <c r="E1628" s="8" t="n">
        <v>5352</v>
      </c>
      <c r="F1628" s="8" t="n">
        <v>240</v>
      </c>
      <c r="G1628" s="8" t="n">
        <v>24</v>
      </c>
      <c r="H1628" s="13" t="n">
        <f aca="false">(E1628/1000)*(F1628/1000)*(G1628/1000)*7850</f>
        <v>241.996032</v>
      </c>
      <c r="I1628" s="8" t="n">
        <v>4</v>
      </c>
      <c r="J1628" s="14" t="n">
        <f aca="false">H1628*I1628</f>
        <v>967.984128</v>
      </c>
      <c r="K1628" s="8" t="s">
        <v>1736</v>
      </c>
    </row>
    <row r="1629" customFormat="false" ht="13.8" hidden="false" customHeight="false" outlineLevel="0" collapsed="false">
      <c r="A1629" s="8" t="s">
        <v>1709</v>
      </c>
      <c r="B1629" s="8" t="s">
        <v>42</v>
      </c>
      <c r="C1629" s="8" t="s">
        <v>150</v>
      </c>
      <c r="D1629" s="8" t="s">
        <v>40</v>
      </c>
      <c r="E1629" s="8" t="n">
        <v>3789</v>
      </c>
      <c r="F1629" s="8" t="n">
        <v>900</v>
      </c>
      <c r="G1629" s="8" t="n">
        <v>36</v>
      </c>
      <c r="H1629" s="13" t="n">
        <f aca="false">(E1629/1000)*(F1629/1000)*(G1629/1000)*7850</f>
        <v>963.69426</v>
      </c>
      <c r="I1629" s="8" t="n">
        <v>4</v>
      </c>
      <c r="J1629" s="14" t="n">
        <f aca="false">H1629*I1629</f>
        <v>3854.77704</v>
      </c>
      <c r="K1629" s="8" t="s">
        <v>1737</v>
      </c>
    </row>
    <row r="1630" customFormat="false" ht="13.8" hidden="false" customHeight="false" outlineLevel="0" collapsed="false">
      <c r="A1630" s="8" t="s">
        <v>1709</v>
      </c>
      <c r="B1630" s="8" t="s">
        <v>42</v>
      </c>
      <c r="C1630" s="8" t="s">
        <v>155</v>
      </c>
      <c r="D1630" s="8" t="s">
        <v>40</v>
      </c>
      <c r="E1630" s="8" t="n">
        <v>6389</v>
      </c>
      <c r="F1630" s="8" t="n">
        <v>1200</v>
      </c>
      <c r="G1630" s="8" t="n">
        <v>32</v>
      </c>
      <c r="H1630" s="13" t="n">
        <f aca="false">(E1630/1000)*(F1630/1000)*(G1630/1000)*7850</f>
        <v>1925.90016</v>
      </c>
      <c r="I1630" s="8" t="n">
        <v>2</v>
      </c>
      <c r="J1630" s="14" t="n">
        <f aca="false">H1630*I1630</f>
        <v>3851.80032</v>
      </c>
      <c r="K1630" s="8" t="s">
        <v>1738</v>
      </c>
    </row>
    <row r="1631" customFormat="false" ht="13.8" hidden="false" customHeight="false" outlineLevel="0" collapsed="false">
      <c r="A1631" s="8" t="s">
        <v>1709</v>
      </c>
      <c r="B1631" s="8" t="s">
        <v>42</v>
      </c>
      <c r="C1631" s="8" t="s">
        <v>160</v>
      </c>
      <c r="D1631" s="8" t="s">
        <v>40</v>
      </c>
      <c r="E1631" s="8" t="n">
        <v>5689</v>
      </c>
      <c r="F1631" s="8" t="n">
        <v>240</v>
      </c>
      <c r="G1631" s="8" t="n">
        <v>24</v>
      </c>
      <c r="H1631" s="13" t="n">
        <f aca="false">(E1631/1000)*(F1631/1000)*(G1631/1000)*7850</f>
        <v>257.233824</v>
      </c>
      <c r="I1631" s="8" t="n">
        <v>4</v>
      </c>
      <c r="J1631" s="14" t="n">
        <f aca="false">H1631*I1631</f>
        <v>1028.935296</v>
      </c>
      <c r="K1631" s="8" t="s">
        <v>1739</v>
      </c>
    </row>
    <row r="1632" customFormat="false" ht="13.8" hidden="false" customHeight="false" outlineLevel="0" collapsed="false">
      <c r="A1632" s="8" t="s">
        <v>1709</v>
      </c>
      <c r="B1632" s="8" t="s">
        <v>171</v>
      </c>
      <c r="C1632" s="8" t="s">
        <v>158</v>
      </c>
      <c r="D1632" s="8" t="s">
        <v>40</v>
      </c>
      <c r="E1632" s="8" t="n">
        <v>1123</v>
      </c>
      <c r="F1632" s="8" t="n">
        <v>1200</v>
      </c>
      <c r="G1632" s="8" t="n">
        <v>20</v>
      </c>
      <c r="H1632" s="13" t="n">
        <f aca="false">(E1632/1000)*(F1632/1000)*(G1632/1000)*7850</f>
        <v>211.5732</v>
      </c>
      <c r="I1632" s="8" t="n">
        <v>2</v>
      </c>
      <c r="J1632" s="14" t="n">
        <f aca="false">H1632*I1632</f>
        <v>423.1464</v>
      </c>
      <c r="K1632" s="8" t="s">
        <v>1740</v>
      </c>
    </row>
    <row r="1633" customFormat="false" ht="13.8" hidden="false" customHeight="false" outlineLevel="0" collapsed="false">
      <c r="A1633" s="8" t="s">
        <v>1709</v>
      </c>
      <c r="B1633" s="8" t="s">
        <v>42</v>
      </c>
      <c r="C1633" s="8" t="s">
        <v>386</v>
      </c>
      <c r="D1633" s="8" t="s">
        <v>40</v>
      </c>
      <c r="E1633" s="8" t="n">
        <v>1089</v>
      </c>
      <c r="F1633" s="8" t="n">
        <v>1200</v>
      </c>
      <c r="G1633" s="8" t="n">
        <v>20</v>
      </c>
      <c r="H1633" s="13" t="n">
        <f aca="false">(E1633/1000)*(F1633/1000)*(G1633/1000)*7850</f>
        <v>205.1676</v>
      </c>
      <c r="I1633" s="8" t="n">
        <v>4</v>
      </c>
      <c r="J1633" s="14" t="n">
        <f aca="false">H1633*I1633</f>
        <v>820.6704</v>
      </c>
      <c r="K1633" s="8" t="s">
        <v>1741</v>
      </c>
    </row>
    <row r="1634" customFormat="false" ht="13.8" hidden="false" customHeight="false" outlineLevel="0" collapsed="false">
      <c r="A1634" s="8" t="s">
        <v>1709</v>
      </c>
      <c r="B1634" s="8" t="s">
        <v>64</v>
      </c>
      <c r="C1634" s="8" t="s">
        <v>167</v>
      </c>
      <c r="D1634" s="8" t="s">
        <v>40</v>
      </c>
      <c r="E1634" s="8" t="n">
        <v>1580</v>
      </c>
      <c r="F1634" s="8" t="n">
        <v>610</v>
      </c>
      <c r="G1634" s="8" t="n">
        <v>14</v>
      </c>
      <c r="H1634" s="13" t="n">
        <f aca="false">(E1634/1000)*(F1634/1000)*(G1634/1000)*7850</f>
        <v>105.92162</v>
      </c>
      <c r="I1634" s="8" t="n">
        <v>6</v>
      </c>
      <c r="J1634" s="14" t="n">
        <f aca="false">H1634*I1634</f>
        <v>635.52972</v>
      </c>
      <c r="K1634" s="8" t="s">
        <v>1742</v>
      </c>
    </row>
    <row r="1635" customFormat="false" ht="13.8" hidden="false" customHeight="false" outlineLevel="0" collapsed="false">
      <c r="A1635" s="8" t="s">
        <v>1709</v>
      </c>
      <c r="B1635" s="8" t="s">
        <v>42</v>
      </c>
      <c r="C1635" s="8" t="s">
        <v>1743</v>
      </c>
      <c r="D1635" s="8" t="s">
        <v>40</v>
      </c>
      <c r="E1635" s="8" t="n">
        <v>1580</v>
      </c>
      <c r="F1635" s="8" t="n">
        <v>622</v>
      </c>
      <c r="G1635" s="8" t="n">
        <v>14</v>
      </c>
      <c r="H1635" s="13" t="n">
        <f aca="false">(E1635/1000)*(F1635/1000)*(G1635/1000)*7850</f>
        <v>108.005324</v>
      </c>
      <c r="I1635" s="8" t="n">
        <v>4</v>
      </c>
      <c r="J1635" s="14" t="n">
        <f aca="false">H1635*I1635</f>
        <v>432.021296</v>
      </c>
      <c r="K1635" s="8" t="s">
        <v>1744</v>
      </c>
    </row>
    <row r="1636" customFormat="false" ht="13.8" hidden="false" customHeight="false" outlineLevel="0" collapsed="false">
      <c r="A1636" s="8" t="s">
        <v>1709</v>
      </c>
      <c r="B1636" s="8" t="s">
        <v>42</v>
      </c>
      <c r="C1636" s="8" t="s">
        <v>169</v>
      </c>
      <c r="D1636" s="8" t="s">
        <v>40</v>
      </c>
      <c r="G1636" s="8" t="n">
        <v>24</v>
      </c>
      <c r="H1636" s="13" t="n">
        <f aca="false">M1636*(G1636/1000)*7850</f>
        <v>88.548</v>
      </c>
      <c r="I1636" s="8" t="n">
        <v>6</v>
      </c>
      <c r="J1636" s="14" t="n">
        <f aca="false">H1636*I1636</f>
        <v>531.288</v>
      </c>
      <c r="K1636" s="8" t="s">
        <v>1745</v>
      </c>
      <c r="M1636" s="15" t="n">
        <v>0.47</v>
      </c>
    </row>
    <row r="1637" customFormat="false" ht="13.8" hidden="false" customHeight="false" outlineLevel="0" collapsed="false">
      <c r="A1637" s="8" t="s">
        <v>1709</v>
      </c>
      <c r="B1637" s="8" t="s">
        <v>42</v>
      </c>
      <c r="C1637" s="8" t="s">
        <v>236</v>
      </c>
      <c r="D1637" s="8" t="s">
        <v>40</v>
      </c>
      <c r="G1637" s="8" t="n">
        <v>24</v>
      </c>
      <c r="H1637" s="13" t="n">
        <f aca="false">M1637*(G1637/1000)*7850</f>
        <v>88.548</v>
      </c>
      <c r="I1637" s="8" t="n">
        <v>4</v>
      </c>
      <c r="J1637" s="14" t="n">
        <f aca="false">H1637*I1637</f>
        <v>354.192</v>
      </c>
      <c r="K1637" s="8" t="s">
        <v>1745</v>
      </c>
      <c r="M1637" s="15" t="n">
        <v>0.47</v>
      </c>
    </row>
    <row r="1638" customFormat="false" ht="13.8" hidden="false" customHeight="false" outlineLevel="0" collapsed="false">
      <c r="A1638" s="8" t="s">
        <v>1709</v>
      </c>
      <c r="B1638" s="8" t="s">
        <v>42</v>
      </c>
      <c r="C1638" s="8" t="s">
        <v>172</v>
      </c>
      <c r="D1638" s="8" t="s">
        <v>40</v>
      </c>
      <c r="E1638" s="8" t="n">
        <v>1450</v>
      </c>
      <c r="F1638" s="8" t="n">
        <v>606</v>
      </c>
      <c r="G1638" s="8" t="n">
        <v>14</v>
      </c>
      <c r="H1638" s="13" t="n">
        <f aca="false">(E1638/1000)*(F1638/1000)*(G1638/1000)*7850</f>
        <v>96.56913</v>
      </c>
      <c r="I1638" s="8" t="n">
        <v>6</v>
      </c>
      <c r="J1638" s="14" t="n">
        <f aca="false">H1638*I1638</f>
        <v>579.41478</v>
      </c>
      <c r="K1638" s="8" t="s">
        <v>1746</v>
      </c>
    </row>
    <row r="1639" customFormat="false" ht="13.8" hidden="false" customHeight="false" outlineLevel="0" collapsed="false">
      <c r="A1639" s="8" t="s">
        <v>1709</v>
      </c>
      <c r="B1639" s="8" t="s">
        <v>42</v>
      </c>
      <c r="C1639" s="8" t="s">
        <v>239</v>
      </c>
      <c r="D1639" s="8" t="s">
        <v>40</v>
      </c>
      <c r="E1639" s="8" t="n">
        <v>1450</v>
      </c>
      <c r="F1639" s="8" t="n">
        <v>618</v>
      </c>
      <c r="G1639" s="8" t="n">
        <v>14</v>
      </c>
      <c r="H1639" s="13" t="n">
        <f aca="false">(E1639/1000)*(F1639/1000)*(G1639/1000)*7850</f>
        <v>98.48139</v>
      </c>
      <c r="I1639" s="8" t="n">
        <v>4</v>
      </c>
      <c r="J1639" s="14" t="n">
        <f aca="false">H1639*I1639</f>
        <v>393.92556</v>
      </c>
      <c r="K1639" s="8" t="s">
        <v>1747</v>
      </c>
    </row>
    <row r="1640" customFormat="false" ht="13.8" hidden="false" customHeight="false" outlineLevel="0" collapsed="false">
      <c r="A1640" s="8" t="s">
        <v>1748</v>
      </c>
      <c r="B1640" s="8" t="s">
        <v>38</v>
      </c>
      <c r="C1640" s="8" t="s">
        <v>179</v>
      </c>
      <c r="D1640" s="8" t="s">
        <v>40</v>
      </c>
      <c r="G1640" s="8" t="n">
        <v>20</v>
      </c>
      <c r="H1640" s="13" t="n">
        <f aca="false">M1640*(G1640/1000)*7850</f>
        <v>1860.45</v>
      </c>
      <c r="I1640" s="8" t="n">
        <v>2</v>
      </c>
      <c r="J1640" s="14" t="n">
        <f aca="false">H1640*I1640</f>
        <v>3720.9</v>
      </c>
      <c r="K1640" s="8" t="s">
        <v>1749</v>
      </c>
      <c r="M1640" s="15" t="n">
        <v>11.85</v>
      </c>
    </row>
    <row r="1641" customFormat="false" ht="13.8" hidden="false" customHeight="false" outlineLevel="0" collapsed="false">
      <c r="A1641" s="8" t="s">
        <v>1748</v>
      </c>
      <c r="B1641" s="8" t="s">
        <v>42</v>
      </c>
      <c r="C1641" s="8" t="s">
        <v>243</v>
      </c>
      <c r="D1641" s="8" t="s">
        <v>40</v>
      </c>
      <c r="G1641" s="8" t="n">
        <v>20</v>
      </c>
      <c r="H1641" s="13" t="n">
        <f aca="false">M1641*(G1641/1000)*7850</f>
        <v>1631.23</v>
      </c>
      <c r="I1641" s="8" t="n">
        <v>2</v>
      </c>
      <c r="J1641" s="14" t="n">
        <f aca="false">H1641*I1641</f>
        <v>3262.46</v>
      </c>
      <c r="K1641" s="8" t="s">
        <v>1750</v>
      </c>
      <c r="M1641" s="15" t="n">
        <v>10.39</v>
      </c>
    </row>
    <row r="1642" customFormat="false" ht="13.8" hidden="false" customHeight="false" outlineLevel="0" collapsed="false">
      <c r="A1642" s="8" t="s">
        <v>1748</v>
      </c>
      <c r="B1642" s="8" t="s">
        <v>45</v>
      </c>
      <c r="C1642" s="8" t="s">
        <v>292</v>
      </c>
      <c r="D1642" s="8" t="s">
        <v>40</v>
      </c>
      <c r="E1642" s="8" t="n">
        <v>7900</v>
      </c>
      <c r="F1642" s="8" t="n">
        <v>1200</v>
      </c>
      <c r="G1642" s="8" t="n">
        <v>20</v>
      </c>
      <c r="H1642" s="13" t="n">
        <f aca="false">(E1642/1000)*(F1642/1000)*(G1642/1000)*7850</f>
        <v>1488.36</v>
      </c>
      <c r="I1642" s="8" t="n">
        <v>2</v>
      </c>
      <c r="J1642" s="14" t="n">
        <f aca="false">H1642*I1642</f>
        <v>2976.72</v>
      </c>
      <c r="K1642" s="8" t="s">
        <v>1751</v>
      </c>
    </row>
    <row r="1643" customFormat="false" ht="13.8" hidden="false" customHeight="false" outlineLevel="0" collapsed="false">
      <c r="A1643" s="8" t="s">
        <v>1748</v>
      </c>
      <c r="B1643" s="8" t="s">
        <v>42</v>
      </c>
      <c r="C1643" s="8" t="s">
        <v>185</v>
      </c>
      <c r="D1643" s="8" t="s">
        <v>40</v>
      </c>
      <c r="E1643" s="8" t="n">
        <v>7100</v>
      </c>
      <c r="F1643" s="8" t="n">
        <v>1200</v>
      </c>
      <c r="G1643" s="8" t="n">
        <v>20</v>
      </c>
      <c r="H1643" s="13" t="n">
        <f aca="false">(E1643/1000)*(F1643/1000)*(G1643/1000)*7850</f>
        <v>1337.64</v>
      </c>
      <c r="I1643" s="8" t="n">
        <v>2</v>
      </c>
      <c r="J1643" s="14" t="n">
        <f aca="false">H1643*I1643</f>
        <v>2675.28</v>
      </c>
      <c r="K1643" s="8" t="s">
        <v>1752</v>
      </c>
    </row>
    <row r="1644" customFormat="false" ht="13.8" hidden="false" customHeight="false" outlineLevel="0" collapsed="false">
      <c r="A1644" s="8" t="s">
        <v>1748</v>
      </c>
      <c r="B1644" s="8" t="s">
        <v>187</v>
      </c>
      <c r="C1644" s="8" t="s">
        <v>188</v>
      </c>
      <c r="D1644" s="8" t="s">
        <v>40</v>
      </c>
      <c r="G1644" s="8" t="n">
        <v>40</v>
      </c>
      <c r="H1644" s="13" t="n">
        <f aca="false">M1644*(G1644/1000)*7850</f>
        <v>6028.8</v>
      </c>
      <c r="I1644" s="8" t="n">
        <v>4</v>
      </c>
      <c r="J1644" s="14" t="n">
        <f aca="false">H1644*I1644</f>
        <v>24115.2</v>
      </c>
      <c r="K1644" s="8" t="s">
        <v>1753</v>
      </c>
      <c r="M1644" s="15" t="n">
        <v>19.2</v>
      </c>
    </row>
    <row r="1645" customFormat="false" ht="13.8" hidden="false" customHeight="false" outlineLevel="0" collapsed="false">
      <c r="A1645" s="8" t="s">
        <v>1748</v>
      </c>
      <c r="B1645" s="8" t="s">
        <v>190</v>
      </c>
      <c r="C1645" s="8" t="s">
        <v>50</v>
      </c>
      <c r="D1645" s="8" t="s">
        <v>40</v>
      </c>
      <c r="E1645" s="8" t="n">
        <v>7300</v>
      </c>
      <c r="F1645" s="8" t="n">
        <v>1648</v>
      </c>
      <c r="G1645" s="8" t="n">
        <v>28</v>
      </c>
      <c r="H1645" s="13" t="n">
        <f aca="false">(E1645/1000)*(F1645/1000)*(G1645/1000)*7850</f>
        <v>2644.28192</v>
      </c>
      <c r="I1645" s="8" t="n">
        <v>4</v>
      </c>
      <c r="J1645" s="14" t="n">
        <f aca="false">H1645*I1645</f>
        <v>10577.12768</v>
      </c>
      <c r="K1645" s="8" t="s">
        <v>1754</v>
      </c>
    </row>
    <row r="1646" customFormat="false" ht="13.8" hidden="false" customHeight="false" outlineLevel="0" collapsed="false">
      <c r="A1646" s="8" t="s">
        <v>1748</v>
      </c>
      <c r="B1646" s="8" t="s">
        <v>195</v>
      </c>
      <c r="C1646" s="8" t="s">
        <v>58</v>
      </c>
      <c r="D1646" s="8" t="s">
        <v>40</v>
      </c>
      <c r="E1646" s="8" t="n">
        <v>1580</v>
      </c>
      <c r="F1646" s="8" t="n">
        <v>1200</v>
      </c>
      <c r="G1646" s="8" t="n">
        <v>16</v>
      </c>
      <c r="H1646" s="13" t="n">
        <f aca="false">(E1646/1000)*(F1646/1000)*(G1646/1000)*7850</f>
        <v>238.1376</v>
      </c>
      <c r="I1646" s="8" t="n">
        <v>6</v>
      </c>
      <c r="J1646" s="14" t="n">
        <f aca="false">H1646*I1646</f>
        <v>1428.8256</v>
      </c>
      <c r="K1646" s="8" t="s">
        <v>1755</v>
      </c>
    </row>
    <row r="1647" customFormat="false" ht="13.8" hidden="false" customHeight="false" outlineLevel="0" collapsed="false">
      <c r="A1647" s="8" t="s">
        <v>1748</v>
      </c>
      <c r="B1647" s="8" t="s">
        <v>42</v>
      </c>
      <c r="C1647" s="8" t="s">
        <v>298</v>
      </c>
      <c r="D1647" s="8" t="s">
        <v>40</v>
      </c>
      <c r="E1647" s="8" t="n">
        <v>1580</v>
      </c>
      <c r="F1647" s="8" t="n">
        <v>1200</v>
      </c>
      <c r="G1647" s="8" t="n">
        <v>16</v>
      </c>
      <c r="H1647" s="13" t="n">
        <f aca="false">(E1647/1000)*(F1647/1000)*(G1647/1000)*7850</f>
        <v>238.1376</v>
      </c>
      <c r="I1647" s="8" t="n">
        <v>4</v>
      </c>
      <c r="J1647" s="14" t="n">
        <f aca="false">H1647*I1647</f>
        <v>952.5504</v>
      </c>
      <c r="K1647" s="8" t="s">
        <v>1755</v>
      </c>
    </row>
    <row r="1648" customFormat="false" ht="13.8" hidden="false" customHeight="false" outlineLevel="0" collapsed="false">
      <c r="A1648" s="8" t="s">
        <v>1748</v>
      </c>
      <c r="B1648" s="8" t="s">
        <v>42</v>
      </c>
      <c r="C1648" s="8" t="s">
        <v>196</v>
      </c>
      <c r="D1648" s="8" t="s">
        <v>40</v>
      </c>
      <c r="E1648" s="8" t="n">
        <v>1657</v>
      </c>
      <c r="F1648" s="8" t="n">
        <v>200</v>
      </c>
      <c r="G1648" s="8" t="n">
        <v>16</v>
      </c>
      <c r="H1648" s="13" t="n">
        <f aca="false">(E1648/1000)*(F1648/1000)*(G1648/1000)*7850</f>
        <v>41.62384</v>
      </c>
      <c r="I1648" s="8" t="n">
        <v>6</v>
      </c>
      <c r="J1648" s="14" t="n">
        <f aca="false">H1648*I1648</f>
        <v>249.74304</v>
      </c>
      <c r="K1648" s="8" t="s">
        <v>1756</v>
      </c>
    </row>
    <row r="1649" customFormat="false" ht="13.8" hidden="false" customHeight="false" outlineLevel="0" collapsed="false">
      <c r="A1649" s="8" t="s">
        <v>1748</v>
      </c>
      <c r="B1649" s="8" t="s">
        <v>42</v>
      </c>
      <c r="C1649" s="8" t="s">
        <v>68</v>
      </c>
      <c r="D1649" s="8" t="s">
        <v>40</v>
      </c>
      <c r="E1649" s="8" t="n">
        <v>600</v>
      </c>
      <c r="F1649" s="8" t="n">
        <v>400</v>
      </c>
      <c r="G1649" s="8" t="n">
        <v>16</v>
      </c>
      <c r="H1649" s="13" t="n">
        <f aca="false">(E1649/1000)*(F1649/1000)*(G1649/1000)*7850</f>
        <v>30.144</v>
      </c>
      <c r="I1649" s="8" t="n">
        <v>8</v>
      </c>
      <c r="J1649" s="14" t="n">
        <f aca="false">H1649*I1649</f>
        <v>241.152</v>
      </c>
      <c r="K1649" s="8" t="s">
        <v>1757</v>
      </c>
    </row>
    <row r="1650" customFormat="false" ht="13.8" hidden="false" customHeight="false" outlineLevel="0" collapsed="false">
      <c r="A1650" s="8" t="s">
        <v>1748</v>
      </c>
      <c r="B1650" s="8" t="s">
        <v>253</v>
      </c>
      <c r="C1650" s="8" t="s">
        <v>72</v>
      </c>
      <c r="D1650" s="8" t="s">
        <v>40</v>
      </c>
      <c r="E1650" s="8" t="n">
        <v>7900</v>
      </c>
      <c r="F1650" s="8" t="n">
        <v>240</v>
      </c>
      <c r="G1650" s="8" t="n">
        <v>20</v>
      </c>
      <c r="H1650" s="13" t="n">
        <f aca="false">(E1650/1000)*(F1650/1000)*(G1650/1000)*7850</f>
        <v>297.672</v>
      </c>
      <c r="I1650" s="8" t="n">
        <v>12</v>
      </c>
      <c r="J1650" s="14" t="n">
        <f aca="false">H1650*I1650</f>
        <v>3572.064</v>
      </c>
      <c r="K1650" s="8" t="s">
        <v>1758</v>
      </c>
    </row>
    <row r="1651" customFormat="false" ht="13.8" hidden="false" customHeight="false" outlineLevel="0" collapsed="false">
      <c r="A1651" s="8" t="s">
        <v>1748</v>
      </c>
      <c r="B1651" s="8" t="s">
        <v>42</v>
      </c>
      <c r="C1651" s="8" t="s">
        <v>76</v>
      </c>
      <c r="D1651" s="8" t="s">
        <v>40</v>
      </c>
      <c r="E1651" s="8" t="n">
        <v>7100</v>
      </c>
      <c r="F1651" s="8" t="n">
        <v>240</v>
      </c>
      <c r="G1651" s="8" t="n">
        <v>20</v>
      </c>
      <c r="H1651" s="13" t="n">
        <f aca="false">(E1651/1000)*(F1651/1000)*(G1651/1000)*7850</f>
        <v>267.528</v>
      </c>
      <c r="I1651" s="8" t="n">
        <v>12</v>
      </c>
      <c r="J1651" s="14" t="n">
        <f aca="false">H1651*I1651</f>
        <v>3210.336</v>
      </c>
      <c r="K1651" s="8" t="s">
        <v>1759</v>
      </c>
    </row>
    <row r="1652" customFormat="false" ht="13.8" hidden="false" customHeight="false" outlineLevel="0" collapsed="false">
      <c r="A1652" s="8" t="s">
        <v>1748</v>
      </c>
      <c r="B1652" s="8" t="s">
        <v>256</v>
      </c>
      <c r="C1652" s="8" t="s">
        <v>96</v>
      </c>
      <c r="D1652" s="8" t="s">
        <v>40</v>
      </c>
      <c r="E1652" s="8" t="n">
        <v>7901</v>
      </c>
      <c r="F1652" s="8" t="n">
        <v>1850</v>
      </c>
      <c r="G1652" s="8" t="n">
        <v>24</v>
      </c>
      <c r="H1652" s="13" t="n">
        <f aca="false">(E1652/1000)*(F1652/1000)*(G1652/1000)*7850</f>
        <v>2753.81454</v>
      </c>
      <c r="I1652" s="8" t="n">
        <v>2</v>
      </c>
      <c r="J1652" s="14" t="n">
        <f aca="false">H1652*I1652</f>
        <v>5507.62908</v>
      </c>
      <c r="K1652" s="8" t="s">
        <v>1760</v>
      </c>
    </row>
    <row r="1653" customFormat="false" ht="13.8" hidden="false" customHeight="false" outlineLevel="0" collapsed="false">
      <c r="A1653" s="8" t="s">
        <v>1748</v>
      </c>
      <c r="B1653" s="8" t="s">
        <v>42</v>
      </c>
      <c r="C1653" s="8" t="s">
        <v>305</v>
      </c>
      <c r="D1653" s="8" t="s">
        <v>40</v>
      </c>
      <c r="E1653" s="8" t="n">
        <v>7101</v>
      </c>
      <c r="F1653" s="8" t="n">
        <v>1850</v>
      </c>
      <c r="G1653" s="8" t="n">
        <v>24</v>
      </c>
      <c r="H1653" s="13" t="n">
        <f aca="false">(E1653/1000)*(F1653/1000)*(G1653/1000)*7850</f>
        <v>2474.98254</v>
      </c>
      <c r="I1653" s="8" t="n">
        <v>2</v>
      </c>
      <c r="J1653" s="14" t="n">
        <f aca="false">H1653*I1653</f>
        <v>4949.96508</v>
      </c>
      <c r="K1653" s="8" t="s">
        <v>1761</v>
      </c>
    </row>
    <row r="1654" customFormat="false" ht="13.8" hidden="false" customHeight="false" outlineLevel="0" collapsed="false">
      <c r="A1654" s="8" t="s">
        <v>1748</v>
      </c>
      <c r="B1654" s="8" t="s">
        <v>260</v>
      </c>
      <c r="C1654" s="8" t="s">
        <v>307</v>
      </c>
      <c r="D1654" s="8" t="s">
        <v>40</v>
      </c>
      <c r="G1654" s="8" t="n">
        <v>24</v>
      </c>
      <c r="H1654" s="13" t="n">
        <f aca="false">M1654*(G1654/1000)*7850</f>
        <v>2360.652</v>
      </c>
      <c r="I1654" s="8" t="n">
        <v>2</v>
      </c>
      <c r="J1654" s="14" t="n">
        <f aca="false">H1654*I1654</f>
        <v>4721.304</v>
      </c>
      <c r="K1654" s="8" t="s">
        <v>1762</v>
      </c>
      <c r="M1654" s="15" t="n">
        <v>12.53</v>
      </c>
    </row>
    <row r="1655" customFormat="false" ht="13.8" hidden="false" customHeight="false" outlineLevel="0" collapsed="false">
      <c r="A1655" s="8" t="s">
        <v>1748</v>
      </c>
      <c r="B1655" s="8" t="s">
        <v>42</v>
      </c>
      <c r="C1655" s="8" t="s">
        <v>103</v>
      </c>
      <c r="D1655" s="8" t="s">
        <v>40</v>
      </c>
      <c r="G1655" s="8" t="n">
        <v>44</v>
      </c>
      <c r="H1655" s="13" t="n">
        <f aca="false">M1655*(G1655/1000)*7850</f>
        <v>6351.906</v>
      </c>
      <c r="I1655" s="8" t="n">
        <v>4</v>
      </c>
      <c r="J1655" s="14" t="n">
        <f aca="false">H1655*I1655</f>
        <v>25407.624</v>
      </c>
      <c r="K1655" s="8" t="s">
        <v>1763</v>
      </c>
      <c r="M1655" s="15" t="n">
        <v>18.39</v>
      </c>
    </row>
    <row r="1656" customFormat="false" ht="13.8" hidden="false" customHeight="false" outlineLevel="0" collapsed="false">
      <c r="A1656" s="8" t="s">
        <v>1748</v>
      </c>
      <c r="B1656" s="8" t="s">
        <v>110</v>
      </c>
      <c r="C1656" s="8" t="s">
        <v>108</v>
      </c>
      <c r="D1656" s="8" t="s">
        <v>40</v>
      </c>
      <c r="E1656" s="8" t="n">
        <v>1450</v>
      </c>
      <c r="F1656" s="8" t="n">
        <v>1200</v>
      </c>
      <c r="G1656" s="8" t="n">
        <v>16</v>
      </c>
      <c r="H1656" s="13" t="n">
        <f aca="false">(E1656/1000)*(F1656/1000)*(G1656/1000)*7850</f>
        <v>218.544</v>
      </c>
      <c r="I1656" s="8" t="n">
        <v>6</v>
      </c>
      <c r="J1656" s="14" t="n">
        <f aca="false">H1656*I1656</f>
        <v>1311.264</v>
      </c>
      <c r="K1656" s="8" t="s">
        <v>1764</v>
      </c>
    </row>
    <row r="1657" customFormat="false" ht="13.8" hidden="false" customHeight="false" outlineLevel="0" collapsed="false">
      <c r="A1657" s="8" t="s">
        <v>1748</v>
      </c>
      <c r="B1657" s="8" t="s">
        <v>42</v>
      </c>
      <c r="C1657" s="8" t="s">
        <v>112</v>
      </c>
      <c r="D1657" s="8" t="s">
        <v>40</v>
      </c>
      <c r="E1657" s="8" t="n">
        <v>1450</v>
      </c>
      <c r="F1657" s="8" t="n">
        <v>1200</v>
      </c>
      <c r="G1657" s="8" t="n">
        <v>16</v>
      </c>
      <c r="H1657" s="13" t="n">
        <f aca="false">(E1657/1000)*(F1657/1000)*(G1657/1000)*7850</f>
        <v>218.544</v>
      </c>
      <c r="I1657" s="8" t="n">
        <v>4</v>
      </c>
      <c r="J1657" s="14" t="n">
        <f aca="false">H1657*I1657</f>
        <v>874.176</v>
      </c>
      <c r="K1657" s="8" t="s">
        <v>1764</v>
      </c>
    </row>
    <row r="1658" customFormat="false" ht="13.8" hidden="false" customHeight="false" outlineLevel="0" collapsed="false">
      <c r="A1658" s="8" t="s">
        <v>1748</v>
      </c>
      <c r="B1658" s="8" t="s">
        <v>42</v>
      </c>
      <c r="C1658" s="8" t="s">
        <v>313</v>
      </c>
      <c r="D1658" s="8" t="s">
        <v>40</v>
      </c>
      <c r="E1658" s="8" t="n">
        <v>1657</v>
      </c>
      <c r="F1658" s="8" t="n">
        <v>200</v>
      </c>
      <c r="G1658" s="8" t="n">
        <v>16</v>
      </c>
      <c r="H1658" s="13" t="n">
        <f aca="false">(E1658/1000)*(F1658/1000)*(G1658/1000)*7850</f>
        <v>41.62384</v>
      </c>
      <c r="I1658" s="8" t="n">
        <v>6</v>
      </c>
      <c r="J1658" s="14" t="n">
        <f aca="false">H1658*I1658</f>
        <v>249.74304</v>
      </c>
      <c r="K1658" s="8" t="s">
        <v>1756</v>
      </c>
    </row>
    <row r="1659" customFormat="false" ht="13.8" hidden="false" customHeight="false" outlineLevel="0" collapsed="false">
      <c r="A1659" s="8" t="s">
        <v>1748</v>
      </c>
      <c r="B1659" s="8" t="s">
        <v>1765</v>
      </c>
      <c r="C1659" s="8" t="s">
        <v>114</v>
      </c>
      <c r="D1659" s="8" t="s">
        <v>40</v>
      </c>
      <c r="E1659" s="8" t="n">
        <v>7901</v>
      </c>
      <c r="F1659" s="8" t="n">
        <v>240</v>
      </c>
      <c r="G1659" s="8" t="n">
        <v>20</v>
      </c>
      <c r="H1659" s="13" t="n">
        <f aca="false">(E1659/1000)*(F1659/1000)*(G1659/1000)*7850</f>
        <v>297.70968</v>
      </c>
      <c r="I1659" s="8" t="n">
        <v>8</v>
      </c>
      <c r="J1659" s="14" t="n">
        <f aca="false">H1659*I1659</f>
        <v>2381.67744</v>
      </c>
      <c r="K1659" s="8" t="s">
        <v>1766</v>
      </c>
    </row>
    <row r="1660" customFormat="false" ht="13.8" hidden="false" customHeight="false" outlineLevel="0" collapsed="false">
      <c r="A1660" s="8" t="s">
        <v>1748</v>
      </c>
      <c r="B1660" s="8" t="s">
        <v>42</v>
      </c>
      <c r="C1660" s="8" t="s">
        <v>116</v>
      </c>
      <c r="D1660" s="8" t="s">
        <v>40</v>
      </c>
      <c r="E1660" s="8" t="n">
        <v>7101</v>
      </c>
      <c r="F1660" s="8" t="n">
        <v>240</v>
      </c>
      <c r="G1660" s="8" t="n">
        <v>20</v>
      </c>
      <c r="H1660" s="13" t="n">
        <f aca="false">(E1660/1000)*(F1660/1000)*(G1660/1000)*7850</f>
        <v>267.56568</v>
      </c>
      <c r="I1660" s="8" t="n">
        <v>8</v>
      </c>
      <c r="J1660" s="14" t="n">
        <f aca="false">H1660*I1660</f>
        <v>2140.52544</v>
      </c>
      <c r="K1660" s="8" t="s">
        <v>1767</v>
      </c>
    </row>
    <row r="1661" customFormat="false" ht="13.8" hidden="false" customHeight="false" outlineLevel="0" collapsed="false">
      <c r="A1661" s="8" t="s">
        <v>1748</v>
      </c>
      <c r="B1661" s="8" t="s">
        <v>42</v>
      </c>
      <c r="C1661" s="8" t="s">
        <v>125</v>
      </c>
      <c r="D1661" s="8" t="s">
        <v>40</v>
      </c>
      <c r="E1661" s="8" t="n">
        <v>7548</v>
      </c>
      <c r="F1661" s="8" t="n">
        <v>900</v>
      </c>
      <c r="G1661" s="8" t="n">
        <v>36</v>
      </c>
      <c r="H1661" s="13" t="n">
        <f aca="false">(E1661/1000)*(F1661/1000)*(G1661/1000)*7850</f>
        <v>1919.75832</v>
      </c>
      <c r="I1661" s="8" t="n">
        <v>4</v>
      </c>
      <c r="J1661" s="14" t="n">
        <f aca="false">H1661*I1661</f>
        <v>7679.03328</v>
      </c>
      <c r="K1661" s="8" t="s">
        <v>1768</v>
      </c>
    </row>
    <row r="1662" customFormat="false" ht="13.8" hidden="false" customHeight="false" outlineLevel="0" collapsed="false">
      <c r="A1662" s="8" t="s">
        <v>1748</v>
      </c>
      <c r="B1662" s="8" t="s">
        <v>42</v>
      </c>
      <c r="C1662" s="8" t="s">
        <v>128</v>
      </c>
      <c r="D1662" s="8" t="s">
        <v>40</v>
      </c>
      <c r="E1662" s="8" t="n">
        <v>12448</v>
      </c>
      <c r="F1662" s="8" t="n">
        <v>1200</v>
      </c>
      <c r="G1662" s="8" t="n">
        <v>32</v>
      </c>
      <c r="H1662" s="13" t="n">
        <f aca="false">(E1662/1000)*(F1662/1000)*(G1662/1000)*7850</f>
        <v>3752.32512</v>
      </c>
      <c r="I1662" s="8" t="n">
        <v>2</v>
      </c>
      <c r="J1662" s="14" t="n">
        <f aca="false">H1662*I1662</f>
        <v>7504.65024</v>
      </c>
      <c r="K1662" s="8" t="s">
        <v>1769</v>
      </c>
    </row>
    <row r="1663" customFormat="false" ht="13.8" hidden="false" customHeight="false" outlineLevel="0" collapsed="false">
      <c r="A1663" s="8" t="s">
        <v>1748</v>
      </c>
      <c r="B1663" s="8" t="s">
        <v>42</v>
      </c>
      <c r="C1663" s="8" t="s">
        <v>130</v>
      </c>
      <c r="D1663" s="8" t="s">
        <v>40</v>
      </c>
      <c r="E1663" s="8" t="n">
        <v>11048</v>
      </c>
      <c r="F1663" s="8" t="n">
        <v>240</v>
      </c>
      <c r="G1663" s="8" t="n">
        <v>24</v>
      </c>
      <c r="H1663" s="13" t="n">
        <f aca="false">(E1663/1000)*(F1663/1000)*(G1663/1000)*7850</f>
        <v>499.546368</v>
      </c>
      <c r="I1663" s="8" t="n">
        <v>4</v>
      </c>
      <c r="J1663" s="14" t="n">
        <f aca="false">H1663*I1663</f>
        <v>1998.185472</v>
      </c>
      <c r="K1663" s="8" t="s">
        <v>1770</v>
      </c>
    </row>
    <row r="1664" customFormat="false" ht="13.8" hidden="false" customHeight="false" outlineLevel="0" collapsed="false">
      <c r="A1664" s="8" t="s">
        <v>1748</v>
      </c>
      <c r="B1664" s="8" t="s">
        <v>42</v>
      </c>
      <c r="C1664" s="8" t="s">
        <v>137</v>
      </c>
      <c r="D1664" s="8" t="s">
        <v>40</v>
      </c>
      <c r="E1664" s="8" t="n">
        <v>3714</v>
      </c>
      <c r="F1664" s="8" t="n">
        <v>900</v>
      </c>
      <c r="G1664" s="8" t="n">
        <v>36</v>
      </c>
      <c r="H1664" s="13" t="n">
        <f aca="false">(E1664/1000)*(F1664/1000)*(G1664/1000)*7850</f>
        <v>944.61876</v>
      </c>
      <c r="I1664" s="8" t="n">
        <v>4</v>
      </c>
      <c r="J1664" s="14" t="n">
        <f aca="false">H1664*I1664</f>
        <v>3778.47504</v>
      </c>
      <c r="K1664" s="8" t="s">
        <v>1771</v>
      </c>
    </row>
    <row r="1665" customFormat="false" ht="13.8" hidden="false" customHeight="false" outlineLevel="0" collapsed="false">
      <c r="A1665" s="8" t="s">
        <v>1748</v>
      </c>
      <c r="B1665" s="8" t="s">
        <v>42</v>
      </c>
      <c r="C1665" s="8" t="s">
        <v>141</v>
      </c>
      <c r="D1665" s="8" t="s">
        <v>40</v>
      </c>
      <c r="E1665" s="8" t="n">
        <v>6014</v>
      </c>
      <c r="F1665" s="8" t="n">
        <v>1200</v>
      </c>
      <c r="G1665" s="8" t="n">
        <v>32</v>
      </c>
      <c r="H1665" s="13" t="n">
        <f aca="false">(E1665/1000)*(F1665/1000)*(G1665/1000)*7850</f>
        <v>1812.86016</v>
      </c>
      <c r="I1665" s="8" t="n">
        <v>2</v>
      </c>
      <c r="J1665" s="14" t="n">
        <f aca="false">H1665*I1665</f>
        <v>3625.72032</v>
      </c>
      <c r="K1665" s="8" t="s">
        <v>1772</v>
      </c>
    </row>
    <row r="1666" customFormat="false" ht="13.8" hidden="false" customHeight="false" outlineLevel="0" collapsed="false">
      <c r="A1666" s="8" t="s">
        <v>1748</v>
      </c>
      <c r="B1666" s="8" t="s">
        <v>42</v>
      </c>
      <c r="C1666" s="8" t="s">
        <v>143</v>
      </c>
      <c r="D1666" s="8" t="s">
        <v>40</v>
      </c>
      <c r="E1666" s="8" t="n">
        <v>5314</v>
      </c>
      <c r="F1666" s="8" t="n">
        <v>240</v>
      </c>
      <c r="G1666" s="8" t="n">
        <v>24</v>
      </c>
      <c r="H1666" s="13" t="n">
        <f aca="false">(E1666/1000)*(F1666/1000)*(G1666/1000)*7850</f>
        <v>240.277824</v>
      </c>
      <c r="I1666" s="8" t="n">
        <v>4</v>
      </c>
      <c r="J1666" s="14" t="n">
        <f aca="false">H1666*I1666</f>
        <v>961.111296</v>
      </c>
      <c r="K1666" s="8" t="s">
        <v>1773</v>
      </c>
    </row>
    <row r="1667" customFormat="false" ht="13.8" hidden="false" customHeight="false" outlineLevel="0" collapsed="false">
      <c r="A1667" s="8" t="s">
        <v>1748</v>
      </c>
      <c r="B1667" s="8" t="s">
        <v>42</v>
      </c>
      <c r="C1667" s="8" t="s">
        <v>150</v>
      </c>
      <c r="D1667" s="8" t="s">
        <v>40</v>
      </c>
      <c r="E1667" s="8" t="n">
        <v>3752</v>
      </c>
      <c r="F1667" s="8" t="n">
        <v>900</v>
      </c>
      <c r="G1667" s="8" t="n">
        <v>36</v>
      </c>
      <c r="H1667" s="13" t="n">
        <f aca="false">(E1667/1000)*(F1667/1000)*(G1667/1000)*7850</f>
        <v>954.28368</v>
      </c>
      <c r="I1667" s="8" t="n">
        <v>4</v>
      </c>
      <c r="J1667" s="14" t="n">
        <f aca="false">H1667*I1667</f>
        <v>3817.13472</v>
      </c>
      <c r="K1667" s="8" t="s">
        <v>1774</v>
      </c>
    </row>
    <row r="1668" customFormat="false" ht="13.8" hidden="false" customHeight="false" outlineLevel="0" collapsed="false">
      <c r="A1668" s="8" t="s">
        <v>1748</v>
      </c>
      <c r="B1668" s="8" t="s">
        <v>42</v>
      </c>
      <c r="C1668" s="8" t="s">
        <v>155</v>
      </c>
      <c r="D1668" s="8" t="s">
        <v>40</v>
      </c>
      <c r="E1668" s="8" t="n">
        <v>6352</v>
      </c>
      <c r="F1668" s="8" t="n">
        <v>1200</v>
      </c>
      <c r="G1668" s="8" t="n">
        <v>32</v>
      </c>
      <c r="H1668" s="13" t="n">
        <f aca="false">(E1668/1000)*(F1668/1000)*(G1668/1000)*7850</f>
        <v>1914.74688</v>
      </c>
      <c r="I1668" s="8" t="n">
        <v>2</v>
      </c>
      <c r="J1668" s="14" t="n">
        <f aca="false">H1668*I1668</f>
        <v>3829.49376</v>
      </c>
      <c r="K1668" s="8" t="s">
        <v>1775</v>
      </c>
    </row>
    <row r="1669" customFormat="false" ht="13.8" hidden="false" customHeight="false" outlineLevel="0" collapsed="false">
      <c r="A1669" s="8" t="s">
        <v>1748</v>
      </c>
      <c r="B1669" s="8" t="s">
        <v>42</v>
      </c>
      <c r="C1669" s="8" t="s">
        <v>160</v>
      </c>
      <c r="D1669" s="8" t="s">
        <v>40</v>
      </c>
      <c r="E1669" s="8" t="n">
        <v>5652</v>
      </c>
      <c r="F1669" s="8" t="n">
        <v>240</v>
      </c>
      <c r="G1669" s="8" t="n">
        <v>24</v>
      </c>
      <c r="H1669" s="13" t="n">
        <f aca="false">(E1669/1000)*(F1669/1000)*(G1669/1000)*7850</f>
        <v>255.560832</v>
      </c>
      <c r="I1669" s="8" t="n">
        <v>4</v>
      </c>
      <c r="J1669" s="14" t="n">
        <f aca="false">H1669*I1669</f>
        <v>1022.243328</v>
      </c>
      <c r="K1669" s="8" t="s">
        <v>1776</v>
      </c>
    </row>
    <row r="1670" customFormat="false" ht="13.8" hidden="false" customHeight="false" outlineLevel="0" collapsed="false">
      <c r="A1670" s="8" t="s">
        <v>1748</v>
      </c>
      <c r="B1670" s="8" t="s">
        <v>171</v>
      </c>
      <c r="C1670" s="8" t="s">
        <v>158</v>
      </c>
      <c r="D1670" s="8" t="s">
        <v>40</v>
      </c>
      <c r="E1670" s="8" t="n">
        <v>1103</v>
      </c>
      <c r="F1670" s="8" t="n">
        <v>1200</v>
      </c>
      <c r="G1670" s="8" t="n">
        <v>20</v>
      </c>
      <c r="H1670" s="13" t="n">
        <f aca="false">(E1670/1000)*(F1670/1000)*(G1670/1000)*7850</f>
        <v>207.8052</v>
      </c>
      <c r="I1670" s="8" t="n">
        <v>2</v>
      </c>
      <c r="J1670" s="14" t="n">
        <f aca="false">H1670*I1670</f>
        <v>415.6104</v>
      </c>
      <c r="K1670" s="8" t="s">
        <v>1777</v>
      </c>
    </row>
    <row r="1671" customFormat="false" ht="13.8" hidden="false" customHeight="false" outlineLevel="0" collapsed="false">
      <c r="A1671" s="8" t="s">
        <v>1748</v>
      </c>
      <c r="B1671" s="8" t="s">
        <v>42</v>
      </c>
      <c r="C1671" s="8" t="s">
        <v>386</v>
      </c>
      <c r="D1671" s="8" t="s">
        <v>40</v>
      </c>
      <c r="E1671" s="8" t="n">
        <v>1071</v>
      </c>
      <c r="F1671" s="8" t="n">
        <v>1200</v>
      </c>
      <c r="G1671" s="8" t="n">
        <v>20</v>
      </c>
      <c r="H1671" s="13" t="n">
        <f aca="false">(E1671/1000)*(F1671/1000)*(G1671/1000)*7850</f>
        <v>201.7764</v>
      </c>
      <c r="I1671" s="8" t="n">
        <v>2</v>
      </c>
      <c r="J1671" s="14" t="n">
        <f aca="false">H1671*I1671</f>
        <v>403.5528</v>
      </c>
      <c r="K1671" s="8" t="s">
        <v>1778</v>
      </c>
    </row>
    <row r="1672" customFormat="false" ht="13.8" hidden="false" customHeight="false" outlineLevel="0" collapsed="false">
      <c r="A1672" s="8" t="s">
        <v>1748</v>
      </c>
      <c r="B1672" s="8" t="s">
        <v>64</v>
      </c>
      <c r="C1672" s="8" t="s">
        <v>167</v>
      </c>
      <c r="D1672" s="8" t="s">
        <v>40</v>
      </c>
      <c r="E1672" s="8" t="n">
        <v>1580</v>
      </c>
      <c r="F1672" s="8" t="n">
        <v>610</v>
      </c>
      <c r="G1672" s="8" t="n">
        <v>14</v>
      </c>
      <c r="H1672" s="13" t="n">
        <f aca="false">(E1672/1000)*(F1672/1000)*(G1672/1000)*7850</f>
        <v>105.92162</v>
      </c>
      <c r="I1672" s="8" t="n">
        <v>6</v>
      </c>
      <c r="J1672" s="14" t="n">
        <f aca="false">H1672*I1672</f>
        <v>635.52972</v>
      </c>
      <c r="K1672" s="8" t="s">
        <v>1779</v>
      </c>
    </row>
    <row r="1673" customFormat="false" ht="13.8" hidden="false" customHeight="false" outlineLevel="0" collapsed="false">
      <c r="A1673" s="8" t="s">
        <v>1748</v>
      </c>
      <c r="B1673" s="8" t="s">
        <v>42</v>
      </c>
      <c r="C1673" s="8" t="s">
        <v>334</v>
      </c>
      <c r="D1673" s="8" t="s">
        <v>40</v>
      </c>
      <c r="E1673" s="8" t="n">
        <v>1580</v>
      </c>
      <c r="F1673" s="8" t="n">
        <v>622</v>
      </c>
      <c r="G1673" s="8" t="n">
        <v>14</v>
      </c>
      <c r="H1673" s="13" t="n">
        <f aca="false">(E1673/1000)*(F1673/1000)*(G1673/1000)*7850</f>
        <v>108.005324</v>
      </c>
      <c r="I1673" s="8" t="n">
        <v>4</v>
      </c>
      <c r="J1673" s="14" t="n">
        <f aca="false">H1673*I1673</f>
        <v>432.021296</v>
      </c>
      <c r="K1673" s="8" t="s">
        <v>1780</v>
      </c>
    </row>
    <row r="1674" customFormat="false" ht="13.8" hidden="false" customHeight="false" outlineLevel="0" collapsed="false">
      <c r="A1674" s="8" t="s">
        <v>1748</v>
      </c>
      <c r="B1674" s="8" t="s">
        <v>42</v>
      </c>
      <c r="C1674" s="8" t="s">
        <v>169</v>
      </c>
      <c r="D1674" s="8" t="s">
        <v>40</v>
      </c>
      <c r="G1674" s="8" t="n">
        <v>24</v>
      </c>
      <c r="H1674" s="13" t="n">
        <f aca="false">M1674*(G1674/1000)*7850</f>
        <v>88.548</v>
      </c>
      <c r="I1674" s="8" t="n">
        <v>6</v>
      </c>
      <c r="J1674" s="14" t="n">
        <f aca="false">H1674*I1674</f>
        <v>531.288</v>
      </c>
      <c r="K1674" s="8" t="s">
        <v>1781</v>
      </c>
      <c r="M1674" s="15" t="n">
        <v>0.47</v>
      </c>
    </row>
    <row r="1675" customFormat="false" ht="13.8" hidden="false" customHeight="false" outlineLevel="0" collapsed="false">
      <c r="A1675" s="8" t="s">
        <v>1748</v>
      </c>
      <c r="B1675" s="8" t="s">
        <v>42</v>
      </c>
      <c r="C1675" s="8" t="s">
        <v>684</v>
      </c>
      <c r="D1675" s="8" t="s">
        <v>40</v>
      </c>
      <c r="G1675" s="8" t="n">
        <v>24</v>
      </c>
      <c r="H1675" s="13" t="n">
        <f aca="false">M1675*(G1675/1000)*7850</f>
        <v>88.548</v>
      </c>
      <c r="I1675" s="8" t="n">
        <v>4</v>
      </c>
      <c r="J1675" s="14" t="n">
        <f aca="false">H1675*I1675</f>
        <v>354.192</v>
      </c>
      <c r="K1675" s="8" t="s">
        <v>1781</v>
      </c>
      <c r="M1675" s="15" t="n">
        <v>0.47</v>
      </c>
    </row>
    <row r="1676" customFormat="false" ht="13.8" hidden="false" customHeight="false" outlineLevel="0" collapsed="false">
      <c r="A1676" s="8" t="s">
        <v>1748</v>
      </c>
      <c r="B1676" s="8" t="s">
        <v>42</v>
      </c>
      <c r="C1676" s="8" t="s">
        <v>172</v>
      </c>
      <c r="D1676" s="8" t="s">
        <v>40</v>
      </c>
      <c r="E1676" s="8" t="n">
        <v>1450</v>
      </c>
      <c r="F1676" s="8" t="n">
        <v>606</v>
      </c>
      <c r="G1676" s="8" t="n">
        <v>14</v>
      </c>
      <c r="H1676" s="13" t="n">
        <f aca="false">(E1676/1000)*(F1676/1000)*(G1676/1000)*7850</f>
        <v>96.56913</v>
      </c>
      <c r="I1676" s="8" t="n">
        <v>6</v>
      </c>
      <c r="J1676" s="14" t="n">
        <f aca="false">H1676*I1676</f>
        <v>579.41478</v>
      </c>
      <c r="K1676" s="8" t="s">
        <v>1782</v>
      </c>
    </row>
    <row r="1677" customFormat="false" ht="13.8" hidden="false" customHeight="false" outlineLevel="0" collapsed="false">
      <c r="A1677" s="8" t="s">
        <v>1748</v>
      </c>
      <c r="B1677" s="8" t="s">
        <v>42</v>
      </c>
      <c r="C1677" s="8" t="s">
        <v>687</v>
      </c>
      <c r="D1677" s="8" t="s">
        <v>40</v>
      </c>
      <c r="E1677" s="8" t="n">
        <v>1450</v>
      </c>
      <c r="F1677" s="8" t="n">
        <v>618</v>
      </c>
      <c r="G1677" s="8" t="n">
        <v>14</v>
      </c>
      <c r="H1677" s="13" t="n">
        <f aca="false">(E1677/1000)*(F1677/1000)*(G1677/1000)*7850</f>
        <v>98.48139</v>
      </c>
      <c r="I1677" s="8" t="n">
        <v>4</v>
      </c>
      <c r="J1677" s="14" t="n">
        <f aca="false">H1677*I1677</f>
        <v>393.92556</v>
      </c>
      <c r="K1677" s="8" t="s">
        <v>1783</v>
      </c>
    </row>
    <row r="1678" customFormat="false" ht="13.8" hidden="false" customHeight="false" outlineLevel="0" collapsed="false">
      <c r="A1678" s="8" t="s">
        <v>1784</v>
      </c>
      <c r="B1678" s="8" t="s">
        <v>38</v>
      </c>
      <c r="C1678" s="8" t="s">
        <v>179</v>
      </c>
      <c r="D1678" s="8" t="s">
        <v>40</v>
      </c>
      <c r="G1678" s="8" t="n">
        <v>20</v>
      </c>
      <c r="H1678" s="13" t="n">
        <f aca="false">M1678*(G1678/1000)*7850</f>
        <v>1860.45</v>
      </c>
      <c r="I1678" s="8" t="n">
        <v>2</v>
      </c>
      <c r="J1678" s="14" t="n">
        <f aca="false">H1678*I1678</f>
        <v>3720.9</v>
      </c>
      <c r="K1678" s="8" t="s">
        <v>1785</v>
      </c>
      <c r="M1678" s="15" t="n">
        <v>11.85</v>
      </c>
    </row>
    <row r="1679" customFormat="false" ht="13.8" hidden="false" customHeight="false" outlineLevel="0" collapsed="false">
      <c r="A1679" s="8" t="s">
        <v>1784</v>
      </c>
      <c r="B1679" s="8" t="s">
        <v>42</v>
      </c>
      <c r="C1679" s="8" t="s">
        <v>243</v>
      </c>
      <c r="D1679" s="8" t="s">
        <v>40</v>
      </c>
      <c r="G1679" s="8" t="n">
        <v>20</v>
      </c>
      <c r="H1679" s="13" t="n">
        <f aca="false">M1679*(G1679/1000)*7850</f>
        <v>1631.23</v>
      </c>
      <c r="I1679" s="8" t="n">
        <v>2</v>
      </c>
      <c r="J1679" s="14" t="n">
        <f aca="false">H1679*I1679</f>
        <v>3262.46</v>
      </c>
      <c r="K1679" s="8" t="s">
        <v>1786</v>
      </c>
      <c r="M1679" s="15" t="n">
        <v>10.39</v>
      </c>
    </row>
    <row r="1680" customFormat="false" ht="13.8" hidden="false" customHeight="false" outlineLevel="0" collapsed="false">
      <c r="A1680" s="8" t="s">
        <v>1784</v>
      </c>
      <c r="B1680" s="8" t="s">
        <v>45</v>
      </c>
      <c r="C1680" s="8" t="s">
        <v>292</v>
      </c>
      <c r="D1680" s="8" t="s">
        <v>40</v>
      </c>
      <c r="E1680" s="8" t="n">
        <v>7900</v>
      </c>
      <c r="F1680" s="8" t="n">
        <v>1200</v>
      </c>
      <c r="G1680" s="8" t="n">
        <v>20</v>
      </c>
      <c r="H1680" s="13" t="n">
        <f aca="false">(E1680/1000)*(F1680/1000)*(G1680/1000)*7850</f>
        <v>1488.36</v>
      </c>
      <c r="I1680" s="8" t="n">
        <v>2</v>
      </c>
      <c r="J1680" s="14" t="n">
        <f aca="false">H1680*I1680</f>
        <v>2976.72</v>
      </c>
      <c r="K1680" s="8" t="s">
        <v>1787</v>
      </c>
    </row>
    <row r="1681" customFormat="false" ht="13.8" hidden="false" customHeight="false" outlineLevel="0" collapsed="false">
      <c r="A1681" s="8" t="s">
        <v>1784</v>
      </c>
      <c r="B1681" s="8" t="s">
        <v>42</v>
      </c>
      <c r="C1681" s="8" t="s">
        <v>185</v>
      </c>
      <c r="D1681" s="8" t="s">
        <v>40</v>
      </c>
      <c r="E1681" s="8" t="n">
        <v>7100</v>
      </c>
      <c r="F1681" s="8" t="n">
        <v>1200</v>
      </c>
      <c r="G1681" s="8" t="n">
        <v>20</v>
      </c>
      <c r="H1681" s="13" t="n">
        <f aca="false">(E1681/1000)*(F1681/1000)*(G1681/1000)*7850</f>
        <v>1337.64</v>
      </c>
      <c r="I1681" s="8" t="n">
        <v>2</v>
      </c>
      <c r="J1681" s="14" t="n">
        <f aca="false">H1681*I1681</f>
        <v>2675.28</v>
      </c>
      <c r="K1681" s="8" t="s">
        <v>1788</v>
      </c>
    </row>
    <row r="1682" customFormat="false" ht="13.8" hidden="false" customHeight="false" outlineLevel="0" collapsed="false">
      <c r="A1682" s="8" t="s">
        <v>1784</v>
      </c>
      <c r="B1682" s="8" t="s">
        <v>187</v>
      </c>
      <c r="C1682" s="8" t="s">
        <v>188</v>
      </c>
      <c r="D1682" s="8" t="s">
        <v>289</v>
      </c>
      <c r="G1682" s="8" t="n">
        <v>40</v>
      </c>
      <c r="H1682" s="13" t="n">
        <f aca="false">M1682*(G1682/1000)*7850</f>
        <v>6380.48</v>
      </c>
      <c r="I1682" s="8" t="n">
        <v>4</v>
      </c>
      <c r="J1682" s="14" t="n">
        <f aca="false">H1682*I1682</f>
        <v>25521.92</v>
      </c>
      <c r="K1682" s="8" t="s">
        <v>1789</v>
      </c>
      <c r="M1682" s="15" t="n">
        <v>20.32</v>
      </c>
    </row>
    <row r="1683" customFormat="false" ht="13.8" hidden="false" customHeight="false" outlineLevel="0" collapsed="false">
      <c r="A1683" s="8" t="s">
        <v>1784</v>
      </c>
      <c r="B1683" s="8" t="s">
        <v>190</v>
      </c>
      <c r="C1683" s="8" t="s">
        <v>50</v>
      </c>
      <c r="D1683" s="8" t="s">
        <v>40</v>
      </c>
      <c r="E1683" s="8" t="n">
        <v>7300</v>
      </c>
      <c r="F1683" s="8" t="n">
        <v>1648</v>
      </c>
      <c r="G1683" s="8" t="n">
        <v>28</v>
      </c>
      <c r="H1683" s="13" t="n">
        <f aca="false">(E1683/1000)*(F1683/1000)*(G1683/1000)*7850</f>
        <v>2644.28192</v>
      </c>
      <c r="I1683" s="8" t="n">
        <v>4</v>
      </c>
      <c r="J1683" s="14" t="n">
        <f aca="false">H1683*I1683</f>
        <v>10577.12768</v>
      </c>
      <c r="K1683" s="8" t="s">
        <v>1790</v>
      </c>
    </row>
    <row r="1684" customFormat="false" ht="13.8" hidden="false" customHeight="false" outlineLevel="0" collapsed="false">
      <c r="A1684" s="8" t="s">
        <v>1784</v>
      </c>
      <c r="B1684" s="8" t="s">
        <v>195</v>
      </c>
      <c r="C1684" s="8" t="s">
        <v>58</v>
      </c>
      <c r="D1684" s="8" t="s">
        <v>40</v>
      </c>
      <c r="E1684" s="8" t="n">
        <v>1580</v>
      </c>
      <c r="F1684" s="8" t="n">
        <v>1200</v>
      </c>
      <c r="G1684" s="8" t="n">
        <v>16</v>
      </c>
      <c r="H1684" s="13" t="n">
        <f aca="false">(E1684/1000)*(F1684/1000)*(G1684/1000)*7850</f>
        <v>238.1376</v>
      </c>
      <c r="I1684" s="8" t="n">
        <v>6</v>
      </c>
      <c r="J1684" s="14" t="n">
        <f aca="false">H1684*I1684</f>
        <v>1428.8256</v>
      </c>
      <c r="K1684" s="8" t="s">
        <v>1791</v>
      </c>
    </row>
    <row r="1685" customFormat="false" ht="13.8" hidden="false" customHeight="false" outlineLevel="0" collapsed="false">
      <c r="A1685" s="8" t="s">
        <v>1784</v>
      </c>
      <c r="B1685" s="8" t="s">
        <v>42</v>
      </c>
      <c r="C1685" s="8" t="s">
        <v>298</v>
      </c>
      <c r="D1685" s="8" t="s">
        <v>40</v>
      </c>
      <c r="E1685" s="8" t="n">
        <v>1580</v>
      </c>
      <c r="F1685" s="8" t="n">
        <v>1200</v>
      </c>
      <c r="G1685" s="8" t="n">
        <v>16</v>
      </c>
      <c r="H1685" s="13" t="n">
        <f aca="false">(E1685/1000)*(F1685/1000)*(G1685/1000)*7850</f>
        <v>238.1376</v>
      </c>
      <c r="I1685" s="8" t="n">
        <v>4</v>
      </c>
      <c r="J1685" s="14" t="n">
        <f aca="false">H1685*I1685</f>
        <v>952.5504</v>
      </c>
      <c r="K1685" s="8" t="s">
        <v>1791</v>
      </c>
    </row>
    <row r="1686" customFormat="false" ht="13.8" hidden="false" customHeight="false" outlineLevel="0" collapsed="false">
      <c r="A1686" s="8" t="s">
        <v>1784</v>
      </c>
      <c r="B1686" s="8" t="s">
        <v>42</v>
      </c>
      <c r="C1686" s="8" t="s">
        <v>196</v>
      </c>
      <c r="D1686" s="8" t="s">
        <v>40</v>
      </c>
      <c r="E1686" s="8" t="n">
        <v>1657</v>
      </c>
      <c r="F1686" s="8" t="n">
        <v>200</v>
      </c>
      <c r="G1686" s="8" t="n">
        <v>16</v>
      </c>
      <c r="H1686" s="13" t="n">
        <f aca="false">(E1686/1000)*(F1686/1000)*(G1686/1000)*7850</f>
        <v>41.62384</v>
      </c>
      <c r="I1686" s="8" t="n">
        <v>6</v>
      </c>
      <c r="J1686" s="14" t="n">
        <f aca="false">H1686*I1686</f>
        <v>249.74304</v>
      </c>
      <c r="K1686" s="8" t="s">
        <v>1792</v>
      </c>
    </row>
    <row r="1687" customFormat="false" ht="13.8" hidden="false" customHeight="false" outlineLevel="0" collapsed="false">
      <c r="A1687" s="8" t="s">
        <v>1784</v>
      </c>
      <c r="B1687" s="8" t="s">
        <v>42</v>
      </c>
      <c r="C1687" s="8" t="s">
        <v>68</v>
      </c>
      <c r="D1687" s="8" t="s">
        <v>289</v>
      </c>
      <c r="E1687" s="8" t="n">
        <v>600</v>
      </c>
      <c r="F1687" s="8" t="n">
        <v>400</v>
      </c>
      <c r="G1687" s="8" t="n">
        <v>16</v>
      </c>
      <c r="H1687" s="13" t="n">
        <f aca="false">(E1687/1000)*(F1687/1000)*(G1687/1000)*7850</f>
        <v>30.144</v>
      </c>
      <c r="I1687" s="8" t="n">
        <v>8</v>
      </c>
      <c r="J1687" s="14" t="n">
        <f aca="false">H1687*I1687</f>
        <v>241.152</v>
      </c>
      <c r="K1687" s="8" t="s">
        <v>1793</v>
      </c>
    </row>
    <row r="1688" customFormat="false" ht="13.8" hidden="false" customHeight="false" outlineLevel="0" collapsed="false">
      <c r="A1688" s="8" t="s">
        <v>1784</v>
      </c>
      <c r="B1688" s="8" t="s">
        <v>253</v>
      </c>
      <c r="C1688" s="8" t="s">
        <v>199</v>
      </c>
      <c r="D1688" s="8" t="s">
        <v>40</v>
      </c>
      <c r="E1688" s="8" t="n">
        <v>7900</v>
      </c>
      <c r="F1688" s="8" t="n">
        <v>240</v>
      </c>
      <c r="G1688" s="8" t="n">
        <v>20</v>
      </c>
      <c r="H1688" s="13" t="n">
        <f aca="false">(E1688/1000)*(F1688/1000)*(G1688/1000)*7850</f>
        <v>297.672</v>
      </c>
      <c r="I1688" s="8" t="n">
        <v>12</v>
      </c>
      <c r="J1688" s="14" t="n">
        <f aca="false">H1688*I1688</f>
        <v>3572.064</v>
      </c>
      <c r="K1688" s="8" t="s">
        <v>1794</v>
      </c>
    </row>
    <row r="1689" customFormat="false" ht="13.8" hidden="false" customHeight="false" outlineLevel="0" collapsed="false">
      <c r="A1689" s="8" t="s">
        <v>1784</v>
      </c>
      <c r="B1689" s="8" t="s">
        <v>42</v>
      </c>
      <c r="C1689" s="8" t="s">
        <v>76</v>
      </c>
      <c r="D1689" s="8" t="s">
        <v>40</v>
      </c>
      <c r="E1689" s="8" t="n">
        <v>7100</v>
      </c>
      <c r="F1689" s="8" t="n">
        <v>240</v>
      </c>
      <c r="G1689" s="8" t="n">
        <v>20</v>
      </c>
      <c r="H1689" s="13" t="n">
        <f aca="false">(E1689/1000)*(F1689/1000)*(G1689/1000)*7850</f>
        <v>267.528</v>
      </c>
      <c r="I1689" s="8" t="n">
        <v>12</v>
      </c>
      <c r="J1689" s="14" t="n">
        <f aca="false">H1689*I1689</f>
        <v>3210.336</v>
      </c>
      <c r="K1689" s="8" t="s">
        <v>1795</v>
      </c>
    </row>
    <row r="1690" customFormat="false" ht="13.8" hidden="false" customHeight="false" outlineLevel="0" collapsed="false">
      <c r="A1690" s="8" t="s">
        <v>1784</v>
      </c>
      <c r="B1690" s="8" t="s">
        <v>256</v>
      </c>
      <c r="C1690" s="8" t="s">
        <v>96</v>
      </c>
      <c r="D1690" s="8" t="s">
        <v>40</v>
      </c>
      <c r="E1690" s="8" t="n">
        <v>7901</v>
      </c>
      <c r="F1690" s="8" t="n">
        <v>1850</v>
      </c>
      <c r="G1690" s="8" t="n">
        <v>24</v>
      </c>
      <c r="H1690" s="13" t="n">
        <f aca="false">(E1690/1000)*(F1690/1000)*(G1690/1000)*7850</f>
        <v>2753.81454</v>
      </c>
      <c r="I1690" s="8" t="n">
        <v>2</v>
      </c>
      <c r="J1690" s="14" t="n">
        <f aca="false">H1690*I1690</f>
        <v>5507.62908</v>
      </c>
      <c r="K1690" s="8" t="s">
        <v>1796</v>
      </c>
    </row>
    <row r="1691" customFormat="false" ht="13.8" hidden="false" customHeight="false" outlineLevel="0" collapsed="false">
      <c r="A1691" s="8" t="s">
        <v>1784</v>
      </c>
      <c r="B1691" s="8" t="s">
        <v>42</v>
      </c>
      <c r="C1691" s="8" t="s">
        <v>203</v>
      </c>
      <c r="D1691" s="8" t="s">
        <v>40</v>
      </c>
      <c r="E1691" s="8" t="n">
        <v>7101</v>
      </c>
      <c r="F1691" s="8" t="n">
        <v>1850</v>
      </c>
      <c r="G1691" s="8" t="n">
        <v>24</v>
      </c>
      <c r="H1691" s="13" t="n">
        <f aca="false">(E1691/1000)*(F1691/1000)*(G1691/1000)*7850</f>
        <v>2474.98254</v>
      </c>
      <c r="I1691" s="8" t="n">
        <v>2</v>
      </c>
      <c r="J1691" s="14" t="n">
        <f aca="false">H1691*I1691</f>
        <v>4949.96508</v>
      </c>
      <c r="K1691" s="8" t="s">
        <v>1797</v>
      </c>
    </row>
    <row r="1692" customFormat="false" ht="13.8" hidden="false" customHeight="false" outlineLevel="0" collapsed="false">
      <c r="A1692" s="8" t="s">
        <v>1784</v>
      </c>
      <c r="B1692" s="8" t="s">
        <v>260</v>
      </c>
      <c r="C1692" s="8" t="s">
        <v>307</v>
      </c>
      <c r="D1692" s="8" t="s">
        <v>40</v>
      </c>
      <c r="G1692" s="8" t="n">
        <v>24</v>
      </c>
      <c r="H1692" s="13" t="n">
        <f aca="false">M1692*(G1692/1000)*7850</f>
        <v>2360.652</v>
      </c>
      <c r="I1692" s="8" t="n">
        <v>2</v>
      </c>
      <c r="J1692" s="14" t="n">
        <f aca="false">H1692*I1692</f>
        <v>4721.304</v>
      </c>
      <c r="K1692" s="8" t="s">
        <v>1798</v>
      </c>
      <c r="M1692" s="15" t="n">
        <v>12.53</v>
      </c>
    </row>
    <row r="1693" customFormat="false" ht="13.8" hidden="false" customHeight="false" outlineLevel="0" collapsed="false">
      <c r="A1693" s="8" t="s">
        <v>1784</v>
      </c>
      <c r="B1693" s="8" t="s">
        <v>42</v>
      </c>
      <c r="C1693" s="8" t="s">
        <v>206</v>
      </c>
      <c r="D1693" s="8" t="s">
        <v>40</v>
      </c>
      <c r="G1693" s="8" t="n">
        <v>24</v>
      </c>
      <c r="H1693" s="13" t="n">
        <f aca="false">M1693*(G1693/1000)*7850</f>
        <v>1829.364</v>
      </c>
      <c r="I1693" s="8" t="n">
        <v>2</v>
      </c>
      <c r="J1693" s="14" t="n">
        <f aca="false">H1693*I1693</f>
        <v>3658.728</v>
      </c>
      <c r="K1693" s="8" t="s">
        <v>1799</v>
      </c>
      <c r="M1693" s="15" t="n">
        <v>9.71</v>
      </c>
    </row>
    <row r="1694" customFormat="false" ht="13.8" hidden="false" customHeight="false" outlineLevel="0" collapsed="false">
      <c r="A1694" s="8" t="s">
        <v>1784</v>
      </c>
      <c r="B1694" s="8" t="s">
        <v>105</v>
      </c>
      <c r="C1694" s="8" t="s">
        <v>103</v>
      </c>
      <c r="D1694" s="8" t="s">
        <v>40</v>
      </c>
      <c r="G1694" s="8" t="n">
        <v>44</v>
      </c>
      <c r="H1694" s="13" t="n">
        <f aca="false">M1694*(G1694/1000)*7850</f>
        <v>6348.452</v>
      </c>
      <c r="I1694" s="8" t="n">
        <v>4</v>
      </c>
      <c r="J1694" s="14" t="n">
        <f aca="false">H1694*I1694</f>
        <v>25393.808</v>
      </c>
      <c r="K1694" s="8" t="s">
        <v>1800</v>
      </c>
      <c r="M1694" s="15" t="n">
        <v>18.38</v>
      </c>
    </row>
    <row r="1695" customFormat="false" ht="13.8" hidden="false" customHeight="false" outlineLevel="0" collapsed="false">
      <c r="A1695" s="8" t="s">
        <v>1784</v>
      </c>
      <c r="B1695" s="8" t="s">
        <v>102</v>
      </c>
      <c r="C1695" s="8" t="s">
        <v>106</v>
      </c>
      <c r="D1695" s="8" t="s">
        <v>40</v>
      </c>
      <c r="E1695" s="8" t="n">
        <v>7301</v>
      </c>
      <c r="F1695" s="8" t="n">
        <v>1474</v>
      </c>
      <c r="G1695" s="8" t="n">
        <v>32</v>
      </c>
      <c r="H1695" s="13" t="n">
        <f aca="false">(E1695/1000)*(F1695/1000)*(G1695/1000)*7850</f>
        <v>2703.3325088</v>
      </c>
      <c r="I1695" s="8" t="n">
        <v>4</v>
      </c>
      <c r="J1695" s="14" t="n">
        <f aca="false">H1695*I1695</f>
        <v>10813.3300352</v>
      </c>
      <c r="K1695" s="8" t="s">
        <v>1801</v>
      </c>
    </row>
    <row r="1696" customFormat="false" ht="13.8" hidden="false" customHeight="false" outlineLevel="0" collapsed="false">
      <c r="A1696" s="8" t="s">
        <v>1784</v>
      </c>
      <c r="B1696" s="8" t="s">
        <v>110</v>
      </c>
      <c r="C1696" s="8" t="s">
        <v>108</v>
      </c>
      <c r="D1696" s="8" t="s">
        <v>40</v>
      </c>
      <c r="E1696" s="8" t="n">
        <v>1450</v>
      </c>
      <c r="F1696" s="8" t="n">
        <v>1200</v>
      </c>
      <c r="G1696" s="8" t="n">
        <v>16</v>
      </c>
      <c r="H1696" s="13" t="n">
        <f aca="false">(E1696/1000)*(F1696/1000)*(G1696/1000)*7850</f>
        <v>218.544</v>
      </c>
      <c r="I1696" s="8" t="n">
        <v>6</v>
      </c>
      <c r="J1696" s="14" t="n">
        <f aca="false">H1696*I1696</f>
        <v>1311.264</v>
      </c>
      <c r="K1696" s="8" t="s">
        <v>1802</v>
      </c>
    </row>
    <row r="1697" customFormat="false" ht="13.8" hidden="false" customHeight="false" outlineLevel="0" collapsed="false">
      <c r="A1697" s="8" t="s">
        <v>1784</v>
      </c>
      <c r="B1697" s="8" t="s">
        <v>42</v>
      </c>
      <c r="C1697" s="8" t="s">
        <v>267</v>
      </c>
      <c r="D1697" s="8" t="s">
        <v>40</v>
      </c>
      <c r="E1697" s="8" t="n">
        <v>1450</v>
      </c>
      <c r="F1697" s="8" t="n">
        <v>1200</v>
      </c>
      <c r="G1697" s="8" t="n">
        <v>16</v>
      </c>
      <c r="H1697" s="13" t="n">
        <f aca="false">(E1697/1000)*(F1697/1000)*(G1697/1000)*7850</f>
        <v>218.544</v>
      </c>
      <c r="I1697" s="8" t="n">
        <v>4</v>
      </c>
      <c r="J1697" s="14" t="n">
        <f aca="false">H1697*I1697</f>
        <v>874.176</v>
      </c>
      <c r="K1697" s="8" t="s">
        <v>1802</v>
      </c>
    </row>
    <row r="1698" customFormat="false" ht="13.8" hidden="false" customHeight="false" outlineLevel="0" collapsed="false">
      <c r="A1698" s="8" t="s">
        <v>1784</v>
      </c>
      <c r="B1698" s="8" t="s">
        <v>42</v>
      </c>
      <c r="C1698" s="8" t="s">
        <v>211</v>
      </c>
      <c r="D1698" s="8" t="s">
        <v>40</v>
      </c>
      <c r="E1698" s="8" t="n">
        <v>1657</v>
      </c>
      <c r="F1698" s="8" t="n">
        <v>200</v>
      </c>
      <c r="G1698" s="8" t="n">
        <v>16</v>
      </c>
      <c r="H1698" s="13" t="n">
        <f aca="false">(E1698/1000)*(F1698/1000)*(G1698/1000)*7850</f>
        <v>41.62384</v>
      </c>
      <c r="I1698" s="8" t="n">
        <v>6</v>
      </c>
      <c r="J1698" s="14" t="n">
        <f aca="false">H1698*I1698</f>
        <v>249.74304</v>
      </c>
      <c r="K1698" s="8" t="s">
        <v>1792</v>
      </c>
    </row>
    <row r="1699" customFormat="false" ht="13.8" hidden="false" customHeight="false" outlineLevel="0" collapsed="false">
      <c r="A1699" s="8" t="s">
        <v>1784</v>
      </c>
      <c r="B1699" s="8" t="s">
        <v>268</v>
      </c>
      <c r="C1699" s="8" t="s">
        <v>114</v>
      </c>
      <c r="D1699" s="8" t="s">
        <v>40</v>
      </c>
      <c r="E1699" s="8" t="n">
        <v>7901</v>
      </c>
      <c r="F1699" s="8" t="n">
        <v>240</v>
      </c>
      <c r="G1699" s="8" t="n">
        <v>20</v>
      </c>
      <c r="H1699" s="13" t="n">
        <f aca="false">(E1699/1000)*(F1699/1000)*(G1699/1000)*7850</f>
        <v>297.70968</v>
      </c>
      <c r="I1699" s="8" t="n">
        <v>8</v>
      </c>
      <c r="J1699" s="14" t="n">
        <f aca="false">H1699*I1699</f>
        <v>2381.67744</v>
      </c>
      <c r="K1699" s="8" t="s">
        <v>1803</v>
      </c>
    </row>
    <row r="1700" customFormat="false" ht="13.8" hidden="false" customHeight="false" outlineLevel="0" collapsed="false">
      <c r="A1700" s="8" t="s">
        <v>1784</v>
      </c>
      <c r="B1700" s="8" t="s">
        <v>42</v>
      </c>
      <c r="C1700" s="8" t="s">
        <v>116</v>
      </c>
      <c r="D1700" s="8" t="s">
        <v>40</v>
      </c>
      <c r="E1700" s="8" t="n">
        <v>7101</v>
      </c>
      <c r="F1700" s="8" t="n">
        <v>240</v>
      </c>
      <c r="G1700" s="8" t="n">
        <v>20</v>
      </c>
      <c r="H1700" s="13" t="n">
        <f aca="false">(E1700/1000)*(F1700/1000)*(G1700/1000)*7850</f>
        <v>267.56568</v>
      </c>
      <c r="I1700" s="8" t="n">
        <v>8</v>
      </c>
      <c r="J1700" s="14" t="n">
        <f aca="false">H1700*I1700</f>
        <v>2140.52544</v>
      </c>
      <c r="K1700" s="8" t="s">
        <v>1804</v>
      </c>
    </row>
    <row r="1701" customFormat="false" ht="13.8" hidden="false" customHeight="false" outlineLevel="0" collapsed="false">
      <c r="A1701" s="8" t="s">
        <v>1784</v>
      </c>
      <c r="B1701" s="8" t="s">
        <v>42</v>
      </c>
      <c r="C1701" s="8" t="s">
        <v>118</v>
      </c>
      <c r="D1701" s="8" t="s">
        <v>40</v>
      </c>
      <c r="E1701" s="8" t="n">
        <v>15002</v>
      </c>
      <c r="F1701" s="8" t="n">
        <v>170</v>
      </c>
      <c r="G1701" s="8" t="n">
        <v>14</v>
      </c>
      <c r="H1701" s="13" t="n">
        <f aca="false">(E1701/1000)*(F1701/1000)*(G1701/1000)*7850</f>
        <v>280.282366</v>
      </c>
      <c r="I1701" s="8" t="n">
        <v>2</v>
      </c>
      <c r="J1701" s="14" t="n">
        <f aca="false">H1701*I1701</f>
        <v>560.564732</v>
      </c>
      <c r="K1701" s="8" t="s">
        <v>1805</v>
      </c>
    </row>
    <row r="1702" customFormat="false" ht="13.8" hidden="false" customHeight="false" outlineLevel="0" collapsed="false">
      <c r="A1702" s="8" t="s">
        <v>1784</v>
      </c>
      <c r="B1702" s="8" t="s">
        <v>272</v>
      </c>
      <c r="C1702" s="8" t="s">
        <v>125</v>
      </c>
      <c r="D1702" s="8" t="s">
        <v>40</v>
      </c>
      <c r="E1702" s="8" t="n">
        <v>7458</v>
      </c>
      <c r="F1702" s="8" t="n">
        <v>900</v>
      </c>
      <c r="G1702" s="8" t="n">
        <v>36</v>
      </c>
      <c r="H1702" s="13" t="n">
        <f aca="false">(E1702/1000)*(F1702/1000)*(G1702/1000)*7850</f>
        <v>1896.86772</v>
      </c>
      <c r="I1702" s="8" t="n">
        <v>4</v>
      </c>
      <c r="J1702" s="14" t="n">
        <f aca="false">H1702*I1702</f>
        <v>7587.47088</v>
      </c>
      <c r="K1702" s="8" t="s">
        <v>1806</v>
      </c>
    </row>
    <row r="1703" customFormat="false" ht="13.8" hidden="false" customHeight="false" outlineLevel="0" collapsed="false">
      <c r="A1703" s="8" t="s">
        <v>1784</v>
      </c>
      <c r="B1703" s="8" t="s">
        <v>42</v>
      </c>
      <c r="C1703" s="8" t="s">
        <v>128</v>
      </c>
      <c r="D1703" s="8" t="s">
        <v>40</v>
      </c>
      <c r="E1703" s="8" t="n">
        <v>12358</v>
      </c>
      <c r="F1703" s="8" t="n">
        <v>1200</v>
      </c>
      <c r="G1703" s="8" t="n">
        <v>32</v>
      </c>
      <c r="H1703" s="13" t="n">
        <f aca="false">(E1703/1000)*(F1703/1000)*(G1703/1000)*7850</f>
        <v>3725.19552</v>
      </c>
      <c r="I1703" s="8" t="n">
        <v>2</v>
      </c>
      <c r="J1703" s="14" t="n">
        <f aca="false">H1703*I1703</f>
        <v>7450.39104</v>
      </c>
      <c r="K1703" s="8" t="s">
        <v>1807</v>
      </c>
    </row>
    <row r="1704" customFormat="false" ht="13.8" hidden="false" customHeight="false" outlineLevel="0" collapsed="false">
      <c r="A1704" s="8" t="s">
        <v>1784</v>
      </c>
      <c r="B1704" s="8" t="s">
        <v>42</v>
      </c>
      <c r="C1704" s="8" t="s">
        <v>130</v>
      </c>
      <c r="D1704" s="8" t="s">
        <v>40</v>
      </c>
      <c r="E1704" s="8" t="n">
        <v>10958</v>
      </c>
      <c r="F1704" s="8" t="n">
        <v>240</v>
      </c>
      <c r="G1704" s="8" t="n">
        <v>24</v>
      </c>
      <c r="H1704" s="13" t="n">
        <f aca="false">(E1704/1000)*(F1704/1000)*(G1704/1000)*7850</f>
        <v>495.476928</v>
      </c>
      <c r="I1704" s="8" t="n">
        <v>4</v>
      </c>
      <c r="J1704" s="14" t="n">
        <f aca="false">H1704*I1704</f>
        <v>1981.907712</v>
      </c>
      <c r="K1704" s="8" t="s">
        <v>1808</v>
      </c>
    </row>
    <row r="1705" customFormat="false" ht="13.8" hidden="false" customHeight="false" outlineLevel="0" collapsed="false">
      <c r="A1705" s="8" t="s">
        <v>1784</v>
      </c>
      <c r="B1705" s="8" t="s">
        <v>42</v>
      </c>
      <c r="C1705" s="8" t="s">
        <v>321</v>
      </c>
      <c r="D1705" s="8" t="s">
        <v>40</v>
      </c>
      <c r="E1705" s="8" t="n">
        <v>5482</v>
      </c>
      <c r="F1705" s="8" t="n">
        <v>1200</v>
      </c>
      <c r="G1705" s="8" t="n">
        <v>36</v>
      </c>
      <c r="H1705" s="13" t="n">
        <f aca="false">(E1705/1000)*(F1705/1000)*(G1705/1000)*7850</f>
        <v>1859.05584</v>
      </c>
      <c r="I1705" s="8" t="n">
        <v>2</v>
      </c>
      <c r="J1705" s="14" t="n">
        <f aca="false">H1705*I1705</f>
        <v>3718.11168</v>
      </c>
      <c r="K1705" s="8" t="s">
        <v>1809</v>
      </c>
    </row>
    <row r="1706" customFormat="false" ht="13.8" hidden="false" customHeight="false" outlineLevel="0" collapsed="false">
      <c r="A1706" s="8" t="s">
        <v>1784</v>
      </c>
      <c r="B1706" s="8" t="s">
        <v>42</v>
      </c>
      <c r="C1706" s="8" t="s">
        <v>139</v>
      </c>
      <c r="D1706" s="8" t="s">
        <v>40</v>
      </c>
      <c r="E1706" s="8" t="n">
        <v>5782</v>
      </c>
      <c r="F1706" s="8" t="n">
        <v>1200</v>
      </c>
      <c r="G1706" s="8" t="n">
        <v>36</v>
      </c>
      <c r="H1706" s="13" t="n">
        <f aca="false">(E1706/1000)*(F1706/1000)*(G1706/1000)*7850</f>
        <v>1960.79184</v>
      </c>
      <c r="I1706" s="8" t="n">
        <v>2</v>
      </c>
      <c r="J1706" s="14" t="n">
        <f aca="false">H1706*I1706</f>
        <v>3921.58368</v>
      </c>
      <c r="K1706" s="8" t="s">
        <v>1810</v>
      </c>
    </row>
    <row r="1707" customFormat="false" ht="13.8" hidden="false" customHeight="false" outlineLevel="0" collapsed="false">
      <c r="A1707" s="8" t="s">
        <v>1784</v>
      </c>
      <c r="B1707" s="8" t="s">
        <v>42</v>
      </c>
      <c r="C1707" s="8" t="s">
        <v>141</v>
      </c>
      <c r="D1707" s="8" t="s">
        <v>40</v>
      </c>
      <c r="E1707" s="8" t="n">
        <v>3682</v>
      </c>
      <c r="F1707" s="8" t="n">
        <v>1360</v>
      </c>
      <c r="G1707" s="8" t="n">
        <v>36</v>
      </c>
      <c r="H1707" s="13" t="n">
        <f aca="false">(E1707/1000)*(F1707/1000)*(G1707/1000)*7850</f>
        <v>1415.125152</v>
      </c>
      <c r="I1707" s="8" t="n">
        <v>4</v>
      </c>
      <c r="J1707" s="14" t="n">
        <f aca="false">H1707*I1707</f>
        <v>5660.500608</v>
      </c>
      <c r="K1707" s="8" t="s">
        <v>1811</v>
      </c>
    </row>
    <row r="1708" customFormat="false" ht="13.8" hidden="false" customHeight="false" outlineLevel="0" collapsed="false">
      <c r="A1708" s="8" t="s">
        <v>1784</v>
      </c>
      <c r="B1708" s="8" t="s">
        <v>42</v>
      </c>
      <c r="C1708" s="8" t="s">
        <v>143</v>
      </c>
      <c r="D1708" s="8" t="s">
        <v>40</v>
      </c>
      <c r="E1708" s="8" t="n">
        <v>3682</v>
      </c>
      <c r="F1708" s="8" t="n">
        <v>320</v>
      </c>
      <c r="G1708" s="8" t="n">
        <v>32</v>
      </c>
      <c r="H1708" s="13" t="n">
        <f aca="false">(E1708/1000)*(F1708/1000)*(G1708/1000)*7850</f>
        <v>295.973888</v>
      </c>
      <c r="I1708" s="8" t="n">
        <v>4</v>
      </c>
      <c r="J1708" s="14" t="n">
        <f aca="false">H1708*I1708</f>
        <v>1183.895552</v>
      </c>
      <c r="K1708" s="8" t="s">
        <v>1812</v>
      </c>
    </row>
    <row r="1709" customFormat="false" ht="13.8" hidden="false" customHeight="false" outlineLevel="0" collapsed="false">
      <c r="A1709" s="8" t="s">
        <v>1784</v>
      </c>
      <c r="B1709" s="8" t="s">
        <v>42</v>
      </c>
      <c r="C1709" s="8" t="s">
        <v>326</v>
      </c>
      <c r="D1709" s="8" t="s">
        <v>40</v>
      </c>
      <c r="E1709" s="8" t="n">
        <v>4782</v>
      </c>
      <c r="F1709" s="8" t="n">
        <v>320</v>
      </c>
      <c r="G1709" s="8" t="n">
        <v>32</v>
      </c>
      <c r="H1709" s="13" t="n">
        <f aca="false">(E1709/1000)*(F1709/1000)*(G1709/1000)*7850</f>
        <v>384.396288</v>
      </c>
      <c r="I1709" s="8" t="n">
        <v>2</v>
      </c>
      <c r="J1709" s="14" t="n">
        <f aca="false">H1709*I1709</f>
        <v>768.792576</v>
      </c>
      <c r="K1709" s="8" t="s">
        <v>1813</v>
      </c>
    </row>
    <row r="1710" customFormat="false" ht="13.8" hidden="false" customHeight="false" outlineLevel="0" collapsed="false">
      <c r="A1710" s="8" t="s">
        <v>1784</v>
      </c>
      <c r="B1710" s="8" t="s">
        <v>42</v>
      </c>
      <c r="C1710" s="8" t="s">
        <v>147</v>
      </c>
      <c r="D1710" s="8" t="s">
        <v>40</v>
      </c>
      <c r="E1710" s="8" t="n">
        <v>5082</v>
      </c>
      <c r="F1710" s="8" t="n">
        <v>320</v>
      </c>
      <c r="G1710" s="8" t="n">
        <v>32</v>
      </c>
      <c r="H1710" s="13" t="n">
        <f aca="false">(E1710/1000)*(F1710/1000)*(G1710/1000)*7850</f>
        <v>408.511488</v>
      </c>
      <c r="I1710" s="8" t="n">
        <v>2</v>
      </c>
      <c r="J1710" s="14" t="n">
        <f aca="false">H1710*I1710</f>
        <v>817.022976</v>
      </c>
      <c r="K1710" s="8" t="s">
        <v>1814</v>
      </c>
    </row>
    <row r="1711" customFormat="false" ht="13.8" hidden="false" customHeight="false" outlineLevel="0" collapsed="false">
      <c r="A1711" s="8" t="s">
        <v>1784</v>
      </c>
      <c r="B1711" s="8" t="s">
        <v>42</v>
      </c>
      <c r="C1711" s="8" t="s">
        <v>149</v>
      </c>
      <c r="D1711" s="8" t="s">
        <v>40</v>
      </c>
      <c r="E1711" s="8" t="n">
        <v>1200</v>
      </c>
      <c r="F1711" s="8" t="n">
        <v>1200</v>
      </c>
      <c r="G1711" s="8" t="n">
        <v>16</v>
      </c>
      <c r="H1711" s="13" t="n">
        <f aca="false">(E1711/1000)*(F1711/1000)*(G1711/1000)*7850</f>
        <v>180.864</v>
      </c>
      <c r="I1711" s="8" t="n">
        <v>6</v>
      </c>
      <c r="J1711" s="14" t="n">
        <f aca="false">H1711*I1711</f>
        <v>1085.184</v>
      </c>
      <c r="K1711" s="8" t="s">
        <v>1815</v>
      </c>
    </row>
    <row r="1712" customFormat="false" ht="13.8" hidden="false" customHeight="false" outlineLevel="0" collapsed="false">
      <c r="A1712" s="8" t="s">
        <v>1784</v>
      </c>
      <c r="B1712" s="8" t="s">
        <v>42</v>
      </c>
      <c r="C1712" s="8" t="s">
        <v>221</v>
      </c>
      <c r="D1712" s="8" t="s">
        <v>40</v>
      </c>
      <c r="E1712" s="8" t="n">
        <v>3714</v>
      </c>
      <c r="F1712" s="8" t="n">
        <v>900</v>
      </c>
      <c r="G1712" s="8" t="n">
        <v>36</v>
      </c>
      <c r="H1712" s="13" t="n">
        <f aca="false">(E1712/1000)*(F1712/1000)*(G1712/1000)*7850</f>
        <v>944.61876</v>
      </c>
      <c r="I1712" s="8" t="n">
        <v>4</v>
      </c>
      <c r="J1712" s="14" t="n">
        <f aca="false">H1712*I1712</f>
        <v>3778.47504</v>
      </c>
      <c r="K1712" s="8" t="s">
        <v>1816</v>
      </c>
    </row>
    <row r="1713" customFormat="false" ht="13.8" hidden="false" customHeight="false" outlineLevel="0" collapsed="false">
      <c r="A1713" s="8" t="s">
        <v>1784</v>
      </c>
      <c r="B1713" s="8" t="s">
        <v>42</v>
      </c>
      <c r="C1713" s="8" t="s">
        <v>155</v>
      </c>
      <c r="D1713" s="8" t="s">
        <v>40</v>
      </c>
      <c r="E1713" s="8" t="n">
        <v>6314</v>
      </c>
      <c r="F1713" s="8" t="n">
        <v>1200</v>
      </c>
      <c r="G1713" s="8" t="n">
        <v>32</v>
      </c>
      <c r="H1713" s="13" t="n">
        <f aca="false">(E1713/1000)*(F1713/1000)*(G1713/1000)*7850</f>
        <v>1903.29216</v>
      </c>
      <c r="I1713" s="8" t="n">
        <v>2</v>
      </c>
      <c r="J1713" s="14" t="n">
        <f aca="false">H1713*I1713</f>
        <v>3806.58432</v>
      </c>
      <c r="K1713" s="8" t="s">
        <v>1817</v>
      </c>
    </row>
    <row r="1714" customFormat="false" ht="13.8" hidden="false" customHeight="false" outlineLevel="0" collapsed="false">
      <c r="A1714" s="8" t="s">
        <v>1784</v>
      </c>
      <c r="B1714" s="8" t="s">
        <v>42</v>
      </c>
      <c r="C1714" s="8" t="s">
        <v>160</v>
      </c>
      <c r="D1714" s="8" t="s">
        <v>40</v>
      </c>
      <c r="E1714" s="8" t="n">
        <v>4914</v>
      </c>
      <c r="F1714" s="8" t="n">
        <v>240</v>
      </c>
      <c r="G1714" s="8" t="n">
        <v>24</v>
      </c>
      <c r="H1714" s="13" t="n">
        <f aca="false">(E1714/1000)*(F1714/1000)*(G1714/1000)*7850</f>
        <v>222.191424</v>
      </c>
      <c r="I1714" s="8" t="n">
        <v>4</v>
      </c>
      <c r="J1714" s="14" t="n">
        <f aca="false">H1714*I1714</f>
        <v>888.765696</v>
      </c>
      <c r="K1714" s="8" t="s">
        <v>1818</v>
      </c>
    </row>
    <row r="1715" customFormat="false" ht="13.8" hidden="false" customHeight="false" outlineLevel="0" collapsed="false">
      <c r="A1715" s="8" t="s">
        <v>1784</v>
      </c>
      <c r="B1715" s="8" t="s">
        <v>171</v>
      </c>
      <c r="C1715" s="8" t="s">
        <v>158</v>
      </c>
      <c r="D1715" s="8" t="s">
        <v>40</v>
      </c>
      <c r="E1715" s="8" t="n">
        <v>2300</v>
      </c>
      <c r="F1715" s="8" t="n">
        <v>320</v>
      </c>
      <c r="G1715" s="8" t="n">
        <v>32</v>
      </c>
      <c r="H1715" s="13" t="n">
        <f aca="false">(E1715/1000)*(F1715/1000)*(G1715/1000)*7850</f>
        <v>184.8832</v>
      </c>
      <c r="I1715" s="8" t="n">
        <v>4</v>
      </c>
      <c r="J1715" s="14" t="n">
        <f aca="false">H1715*I1715</f>
        <v>739.5328</v>
      </c>
      <c r="K1715" s="8" t="s">
        <v>1819</v>
      </c>
    </row>
    <row r="1716" customFormat="false" ht="13.8" hidden="false" customHeight="false" outlineLevel="0" collapsed="false">
      <c r="A1716" s="8" t="s">
        <v>1784</v>
      </c>
      <c r="B1716" s="8" t="s">
        <v>42</v>
      </c>
      <c r="C1716" s="8" t="s">
        <v>386</v>
      </c>
      <c r="D1716" s="8" t="s">
        <v>40</v>
      </c>
      <c r="E1716" s="8" t="n">
        <v>1056</v>
      </c>
      <c r="F1716" s="8" t="n">
        <v>1200</v>
      </c>
      <c r="G1716" s="8" t="n">
        <v>20</v>
      </c>
      <c r="H1716" s="13" t="n">
        <f aca="false">(E1716/1000)*(F1716/1000)*(G1716/1000)*7850</f>
        <v>198.9504</v>
      </c>
      <c r="I1716" s="8" t="n">
        <v>2</v>
      </c>
      <c r="J1716" s="14" t="n">
        <f aca="false">H1716*I1716</f>
        <v>397.9008</v>
      </c>
      <c r="K1716" s="8" t="s">
        <v>1820</v>
      </c>
    </row>
    <row r="1717" customFormat="false" ht="13.8" hidden="false" customHeight="false" outlineLevel="0" collapsed="false">
      <c r="A1717" s="8" t="s">
        <v>1784</v>
      </c>
      <c r="B1717" s="8" t="s">
        <v>64</v>
      </c>
      <c r="C1717" s="8" t="s">
        <v>167</v>
      </c>
      <c r="D1717" s="8" t="s">
        <v>40</v>
      </c>
      <c r="E1717" s="8" t="n">
        <v>1580</v>
      </c>
      <c r="F1717" s="8" t="n">
        <v>610</v>
      </c>
      <c r="G1717" s="8" t="n">
        <v>14</v>
      </c>
      <c r="H1717" s="13" t="n">
        <f aca="false">(E1717/1000)*(F1717/1000)*(G1717/1000)*7850</f>
        <v>105.92162</v>
      </c>
      <c r="I1717" s="8" t="n">
        <v>6</v>
      </c>
      <c r="J1717" s="14" t="n">
        <f aca="false">H1717*I1717</f>
        <v>635.52972</v>
      </c>
      <c r="K1717" s="8" t="s">
        <v>1821</v>
      </c>
    </row>
    <row r="1718" customFormat="false" ht="13.8" hidden="false" customHeight="false" outlineLevel="0" collapsed="false">
      <c r="A1718" s="8" t="s">
        <v>1784</v>
      </c>
      <c r="B1718" s="8" t="s">
        <v>42</v>
      </c>
      <c r="C1718" s="8" t="s">
        <v>334</v>
      </c>
      <c r="D1718" s="8" t="s">
        <v>40</v>
      </c>
      <c r="E1718" s="8" t="n">
        <v>1580</v>
      </c>
      <c r="F1718" s="8" t="n">
        <v>622</v>
      </c>
      <c r="G1718" s="8" t="n">
        <v>14</v>
      </c>
      <c r="H1718" s="13" t="n">
        <f aca="false">(E1718/1000)*(F1718/1000)*(G1718/1000)*7850</f>
        <v>108.005324</v>
      </c>
      <c r="I1718" s="8" t="n">
        <v>4</v>
      </c>
      <c r="J1718" s="14" t="n">
        <f aca="false">H1718*I1718</f>
        <v>432.021296</v>
      </c>
      <c r="K1718" s="8" t="s">
        <v>1822</v>
      </c>
    </row>
    <row r="1719" customFormat="false" ht="13.8" hidden="false" customHeight="false" outlineLevel="0" collapsed="false">
      <c r="A1719" s="8" t="s">
        <v>1784</v>
      </c>
      <c r="B1719" s="8" t="s">
        <v>42</v>
      </c>
      <c r="C1719" s="8" t="s">
        <v>169</v>
      </c>
      <c r="D1719" s="8" t="s">
        <v>40</v>
      </c>
      <c r="G1719" s="8" t="n">
        <v>24</v>
      </c>
      <c r="H1719" s="13" t="n">
        <f aca="false">M1719*(G1719/1000)*7850</f>
        <v>88.548</v>
      </c>
      <c r="I1719" s="8" t="n">
        <v>6</v>
      </c>
      <c r="J1719" s="14" t="n">
        <f aca="false">H1719*I1719</f>
        <v>531.288</v>
      </c>
      <c r="K1719" s="8" t="s">
        <v>1823</v>
      </c>
      <c r="M1719" s="15" t="n">
        <v>0.47</v>
      </c>
    </row>
    <row r="1720" customFormat="false" ht="13.8" hidden="false" customHeight="false" outlineLevel="0" collapsed="false">
      <c r="A1720" s="8" t="s">
        <v>1784</v>
      </c>
      <c r="B1720" s="8" t="s">
        <v>42</v>
      </c>
      <c r="C1720" s="8" t="s">
        <v>236</v>
      </c>
      <c r="D1720" s="8" t="s">
        <v>40</v>
      </c>
      <c r="G1720" s="8" t="n">
        <v>24</v>
      </c>
      <c r="H1720" s="13" t="n">
        <f aca="false">M1720*(G1720/1000)*7850</f>
        <v>88.548</v>
      </c>
      <c r="I1720" s="8" t="n">
        <v>4</v>
      </c>
      <c r="J1720" s="14" t="n">
        <f aca="false">H1720*I1720</f>
        <v>354.192</v>
      </c>
      <c r="K1720" s="8" t="s">
        <v>1823</v>
      </c>
      <c r="M1720" s="15" t="n">
        <v>0.47</v>
      </c>
    </row>
    <row r="1721" customFormat="false" ht="13.8" hidden="false" customHeight="false" outlineLevel="0" collapsed="false">
      <c r="A1721" s="8" t="s">
        <v>1784</v>
      </c>
      <c r="B1721" s="8" t="s">
        <v>42</v>
      </c>
      <c r="C1721" s="8" t="s">
        <v>172</v>
      </c>
      <c r="D1721" s="8" t="s">
        <v>40</v>
      </c>
      <c r="E1721" s="8" t="n">
        <v>1450</v>
      </c>
      <c r="F1721" s="8" t="n">
        <v>606</v>
      </c>
      <c r="G1721" s="8" t="n">
        <v>14</v>
      </c>
      <c r="H1721" s="13" t="n">
        <f aca="false">(E1721/1000)*(F1721/1000)*(G1721/1000)*7850</f>
        <v>96.56913</v>
      </c>
      <c r="I1721" s="8" t="n">
        <v>6</v>
      </c>
      <c r="J1721" s="14" t="n">
        <f aca="false">H1721*I1721</f>
        <v>579.41478</v>
      </c>
      <c r="K1721" s="8" t="s">
        <v>1824</v>
      </c>
    </row>
    <row r="1722" customFormat="false" ht="13.8" hidden="false" customHeight="false" outlineLevel="0" collapsed="false">
      <c r="A1722" s="8" t="s">
        <v>1784</v>
      </c>
      <c r="B1722" s="8" t="s">
        <v>42</v>
      </c>
      <c r="C1722" s="8" t="s">
        <v>239</v>
      </c>
      <c r="D1722" s="8" t="s">
        <v>40</v>
      </c>
      <c r="E1722" s="8" t="n">
        <v>1450</v>
      </c>
      <c r="F1722" s="8" t="n">
        <v>618</v>
      </c>
      <c r="G1722" s="8" t="n">
        <v>14</v>
      </c>
      <c r="H1722" s="13" t="n">
        <f aca="false">(E1722/1000)*(F1722/1000)*(G1722/1000)*7850</f>
        <v>98.48139</v>
      </c>
      <c r="I1722" s="8" t="n">
        <v>4</v>
      </c>
      <c r="J1722" s="14" t="n">
        <f aca="false">H1722*I1722</f>
        <v>393.92556</v>
      </c>
      <c r="K1722" s="8" t="s">
        <v>1825</v>
      </c>
    </row>
    <row r="1723" customFormat="false" ht="13.8" hidden="false" customHeight="false" outlineLevel="0" collapsed="false">
      <c r="A1723" s="8" t="s">
        <v>1826</v>
      </c>
      <c r="B1723" s="8" t="s">
        <v>38</v>
      </c>
      <c r="C1723" s="8" t="s">
        <v>444</v>
      </c>
      <c r="D1723" s="8" t="s">
        <v>40</v>
      </c>
      <c r="G1723" s="8" t="n">
        <v>20</v>
      </c>
      <c r="H1723" s="13" t="n">
        <f aca="false">M1723*(G1723/1000)*7850</f>
        <v>1860.45</v>
      </c>
      <c r="I1723" s="8" t="n">
        <v>2</v>
      </c>
      <c r="J1723" s="14" t="n">
        <f aca="false">H1723*I1723</f>
        <v>3720.9</v>
      </c>
      <c r="K1723" s="8" t="s">
        <v>1827</v>
      </c>
      <c r="M1723" s="15" t="n">
        <v>11.85</v>
      </c>
    </row>
    <row r="1724" customFormat="false" ht="13.8" hidden="false" customHeight="false" outlineLevel="0" collapsed="false">
      <c r="A1724" s="8" t="s">
        <v>1826</v>
      </c>
      <c r="B1724" s="8" t="s">
        <v>42</v>
      </c>
      <c r="C1724" s="8" t="s">
        <v>243</v>
      </c>
      <c r="D1724" s="8" t="s">
        <v>40</v>
      </c>
      <c r="G1724" s="8" t="n">
        <v>20</v>
      </c>
      <c r="H1724" s="13" t="n">
        <f aca="false">M1724*(G1724/1000)*7850</f>
        <v>1631.23</v>
      </c>
      <c r="I1724" s="8" t="n">
        <v>2</v>
      </c>
      <c r="J1724" s="14" t="n">
        <f aca="false">H1724*I1724</f>
        <v>3262.46</v>
      </c>
      <c r="K1724" s="8" t="s">
        <v>1828</v>
      </c>
      <c r="M1724" s="15" t="n">
        <v>10.39</v>
      </c>
    </row>
    <row r="1725" customFormat="false" ht="13.8" hidden="false" customHeight="false" outlineLevel="0" collapsed="false">
      <c r="A1725" s="8" t="s">
        <v>1826</v>
      </c>
      <c r="B1725" s="8" t="s">
        <v>45</v>
      </c>
      <c r="C1725" s="8" t="s">
        <v>292</v>
      </c>
      <c r="D1725" s="8" t="s">
        <v>40</v>
      </c>
      <c r="E1725" s="8" t="n">
        <v>7900</v>
      </c>
      <c r="F1725" s="8" t="n">
        <v>1200</v>
      </c>
      <c r="G1725" s="8" t="n">
        <v>20</v>
      </c>
      <c r="H1725" s="13" t="n">
        <f aca="false">(E1725/1000)*(F1725/1000)*(G1725/1000)*7850</f>
        <v>1488.36</v>
      </c>
      <c r="I1725" s="8" t="n">
        <v>2</v>
      </c>
      <c r="J1725" s="14" t="n">
        <f aca="false">H1725*I1725</f>
        <v>2976.72</v>
      </c>
      <c r="K1725" s="8" t="s">
        <v>1829</v>
      </c>
    </row>
    <row r="1726" customFormat="false" ht="13.8" hidden="false" customHeight="false" outlineLevel="0" collapsed="false">
      <c r="A1726" s="8" t="s">
        <v>1826</v>
      </c>
      <c r="B1726" s="8" t="s">
        <v>42</v>
      </c>
      <c r="C1726" s="8" t="s">
        <v>185</v>
      </c>
      <c r="D1726" s="8" t="s">
        <v>40</v>
      </c>
      <c r="E1726" s="8" t="n">
        <v>7100</v>
      </c>
      <c r="F1726" s="8" t="n">
        <v>1200</v>
      </c>
      <c r="G1726" s="8" t="n">
        <v>20</v>
      </c>
      <c r="H1726" s="13" t="n">
        <f aca="false">(E1726/1000)*(F1726/1000)*(G1726/1000)*7850</f>
        <v>1337.64</v>
      </c>
      <c r="I1726" s="8" t="n">
        <v>2</v>
      </c>
      <c r="J1726" s="14" t="n">
        <f aca="false">H1726*I1726</f>
        <v>2675.28</v>
      </c>
      <c r="K1726" s="8" t="s">
        <v>1830</v>
      </c>
    </row>
    <row r="1727" customFormat="false" ht="13.8" hidden="false" customHeight="false" outlineLevel="0" collapsed="false">
      <c r="A1727" s="8" t="s">
        <v>1826</v>
      </c>
      <c r="B1727" s="8" t="s">
        <v>187</v>
      </c>
      <c r="C1727" s="8" t="s">
        <v>188</v>
      </c>
      <c r="D1727" s="8" t="s">
        <v>40</v>
      </c>
      <c r="G1727" s="8" t="n">
        <v>48</v>
      </c>
      <c r="H1727" s="13" t="n">
        <f aca="false">M1727*(G1727/1000)*7850</f>
        <v>8055.984</v>
      </c>
      <c r="I1727" s="8" t="n">
        <v>4</v>
      </c>
      <c r="J1727" s="14" t="n">
        <f aca="false">H1727*I1727</f>
        <v>32223.936</v>
      </c>
      <c r="K1727" s="8" t="s">
        <v>1831</v>
      </c>
      <c r="M1727" s="15" t="n">
        <v>21.38</v>
      </c>
    </row>
    <row r="1728" customFormat="false" ht="13.8" hidden="false" customHeight="false" outlineLevel="0" collapsed="false">
      <c r="A1728" s="8" t="s">
        <v>1826</v>
      </c>
      <c r="B1728" s="8" t="s">
        <v>190</v>
      </c>
      <c r="C1728" s="8" t="s">
        <v>50</v>
      </c>
      <c r="D1728" s="8" t="s">
        <v>40</v>
      </c>
      <c r="E1728" s="8" t="n">
        <v>7300</v>
      </c>
      <c r="F1728" s="8" t="n">
        <v>1648</v>
      </c>
      <c r="G1728" s="8" t="n">
        <v>28</v>
      </c>
      <c r="H1728" s="13" t="n">
        <f aca="false">(E1728/1000)*(F1728/1000)*(G1728/1000)*7850</f>
        <v>2644.28192</v>
      </c>
      <c r="I1728" s="8" t="n">
        <v>4</v>
      </c>
      <c r="J1728" s="14" t="n">
        <f aca="false">H1728*I1728</f>
        <v>10577.12768</v>
      </c>
      <c r="K1728" s="8" t="s">
        <v>1832</v>
      </c>
    </row>
    <row r="1729" customFormat="false" ht="13.8" hidden="false" customHeight="false" outlineLevel="0" collapsed="false">
      <c r="A1729" s="8" t="s">
        <v>1826</v>
      </c>
      <c r="B1729" s="8" t="s">
        <v>195</v>
      </c>
      <c r="C1729" s="8" t="s">
        <v>58</v>
      </c>
      <c r="D1729" s="8" t="s">
        <v>40</v>
      </c>
      <c r="E1729" s="8" t="n">
        <v>1580</v>
      </c>
      <c r="F1729" s="8" t="n">
        <v>1200</v>
      </c>
      <c r="G1729" s="8" t="n">
        <v>16</v>
      </c>
      <c r="H1729" s="13" t="n">
        <f aca="false">(E1729/1000)*(F1729/1000)*(G1729/1000)*7850</f>
        <v>238.1376</v>
      </c>
      <c r="I1729" s="8" t="n">
        <v>6</v>
      </c>
      <c r="J1729" s="14" t="n">
        <f aca="false">H1729*I1729</f>
        <v>1428.8256</v>
      </c>
      <c r="K1729" s="8" t="s">
        <v>1833</v>
      </c>
    </row>
    <row r="1730" customFormat="false" ht="13.8" hidden="false" customHeight="false" outlineLevel="0" collapsed="false">
      <c r="A1730" s="8" t="s">
        <v>1826</v>
      </c>
      <c r="B1730" s="8" t="s">
        <v>42</v>
      </c>
      <c r="C1730" s="8" t="s">
        <v>194</v>
      </c>
      <c r="D1730" s="8" t="s">
        <v>40</v>
      </c>
      <c r="E1730" s="8" t="n">
        <v>1580</v>
      </c>
      <c r="F1730" s="8" t="n">
        <v>1200</v>
      </c>
      <c r="G1730" s="8" t="n">
        <v>16</v>
      </c>
      <c r="H1730" s="13" t="n">
        <f aca="false">(E1730/1000)*(F1730/1000)*(G1730/1000)*7850</f>
        <v>238.1376</v>
      </c>
      <c r="I1730" s="8" t="n">
        <v>4</v>
      </c>
      <c r="J1730" s="14" t="n">
        <f aca="false">H1730*I1730</f>
        <v>952.5504</v>
      </c>
      <c r="K1730" s="8" t="s">
        <v>1833</v>
      </c>
    </row>
    <row r="1731" customFormat="false" ht="13.8" hidden="false" customHeight="false" outlineLevel="0" collapsed="false">
      <c r="A1731" s="8" t="s">
        <v>1826</v>
      </c>
      <c r="B1731" s="8" t="s">
        <v>42</v>
      </c>
      <c r="C1731" s="8" t="s">
        <v>1834</v>
      </c>
      <c r="D1731" s="8" t="s">
        <v>40</v>
      </c>
      <c r="E1731" s="8" t="n">
        <v>1657</v>
      </c>
      <c r="F1731" s="8" t="n">
        <v>200</v>
      </c>
      <c r="G1731" s="8" t="n">
        <v>16</v>
      </c>
      <c r="H1731" s="13" t="n">
        <f aca="false">(E1731/1000)*(F1731/1000)*(G1731/1000)*7850</f>
        <v>41.62384</v>
      </c>
      <c r="I1731" s="8" t="n">
        <v>6</v>
      </c>
      <c r="J1731" s="14" t="n">
        <f aca="false">H1731*I1731</f>
        <v>249.74304</v>
      </c>
      <c r="K1731" s="8" t="s">
        <v>1835</v>
      </c>
    </row>
    <row r="1732" customFormat="false" ht="13.8" hidden="false" customHeight="false" outlineLevel="0" collapsed="false">
      <c r="A1732" s="8" t="s">
        <v>1826</v>
      </c>
      <c r="B1732" s="8" t="s">
        <v>42</v>
      </c>
      <c r="C1732" s="8" t="s">
        <v>68</v>
      </c>
      <c r="D1732" s="8" t="s">
        <v>40</v>
      </c>
      <c r="E1732" s="8" t="n">
        <v>600</v>
      </c>
      <c r="F1732" s="8" t="n">
        <v>400</v>
      </c>
      <c r="G1732" s="8" t="n">
        <v>16</v>
      </c>
      <c r="H1732" s="13" t="n">
        <f aca="false">(E1732/1000)*(F1732/1000)*(G1732/1000)*7850</f>
        <v>30.144</v>
      </c>
      <c r="I1732" s="8" t="n">
        <v>8</v>
      </c>
      <c r="J1732" s="14" t="n">
        <f aca="false">H1732*I1732</f>
        <v>241.152</v>
      </c>
      <c r="K1732" s="8" t="s">
        <v>1836</v>
      </c>
    </row>
    <row r="1733" customFormat="false" ht="13.8" hidden="false" customHeight="false" outlineLevel="0" collapsed="false">
      <c r="A1733" s="8" t="s">
        <v>1826</v>
      </c>
      <c r="B1733" s="8" t="s">
        <v>253</v>
      </c>
      <c r="C1733" s="8" t="s">
        <v>199</v>
      </c>
      <c r="D1733" s="8" t="s">
        <v>40</v>
      </c>
      <c r="E1733" s="8" t="n">
        <v>7900</v>
      </c>
      <c r="F1733" s="8" t="n">
        <v>240</v>
      </c>
      <c r="G1733" s="8" t="n">
        <v>20</v>
      </c>
      <c r="H1733" s="13" t="n">
        <f aca="false">(E1733/1000)*(F1733/1000)*(G1733/1000)*7850</f>
        <v>297.672</v>
      </c>
      <c r="I1733" s="8" t="n">
        <v>12</v>
      </c>
      <c r="J1733" s="14" t="n">
        <f aca="false">H1733*I1733</f>
        <v>3572.064</v>
      </c>
      <c r="K1733" s="8" t="s">
        <v>1837</v>
      </c>
    </row>
    <row r="1734" customFormat="false" ht="13.8" hidden="false" customHeight="false" outlineLevel="0" collapsed="false">
      <c r="A1734" s="8" t="s">
        <v>1826</v>
      </c>
      <c r="B1734" s="8" t="s">
        <v>42</v>
      </c>
      <c r="C1734" s="8" t="s">
        <v>76</v>
      </c>
      <c r="D1734" s="8" t="s">
        <v>40</v>
      </c>
      <c r="E1734" s="8" t="n">
        <v>7100</v>
      </c>
      <c r="F1734" s="8" t="n">
        <v>240</v>
      </c>
      <c r="G1734" s="8" t="n">
        <v>20</v>
      </c>
      <c r="H1734" s="13" t="n">
        <f aca="false">(E1734/1000)*(F1734/1000)*(G1734/1000)*7850</f>
        <v>267.528</v>
      </c>
      <c r="I1734" s="8" t="n">
        <v>12</v>
      </c>
      <c r="J1734" s="14" t="n">
        <f aca="false">H1734*I1734</f>
        <v>3210.336</v>
      </c>
      <c r="K1734" s="8" t="s">
        <v>1838</v>
      </c>
    </row>
    <row r="1735" customFormat="false" ht="13.8" hidden="false" customHeight="false" outlineLevel="0" collapsed="false">
      <c r="A1735" s="8" t="s">
        <v>1826</v>
      </c>
      <c r="B1735" s="8" t="s">
        <v>256</v>
      </c>
      <c r="C1735" s="8" t="s">
        <v>96</v>
      </c>
      <c r="D1735" s="8" t="s">
        <v>40</v>
      </c>
      <c r="E1735" s="8" t="n">
        <v>7901</v>
      </c>
      <c r="F1735" s="8" t="n">
        <v>1850</v>
      </c>
      <c r="G1735" s="8" t="n">
        <v>24</v>
      </c>
      <c r="H1735" s="13" t="n">
        <f aca="false">(E1735/1000)*(F1735/1000)*(G1735/1000)*7850</f>
        <v>2753.81454</v>
      </c>
      <c r="I1735" s="8" t="n">
        <v>2</v>
      </c>
      <c r="J1735" s="14" t="n">
        <f aca="false">H1735*I1735</f>
        <v>5507.62908</v>
      </c>
      <c r="K1735" s="8" t="s">
        <v>1839</v>
      </c>
    </row>
    <row r="1736" customFormat="false" ht="13.8" hidden="false" customHeight="false" outlineLevel="0" collapsed="false">
      <c r="A1736" s="8" t="s">
        <v>1826</v>
      </c>
      <c r="B1736" s="8" t="s">
        <v>42</v>
      </c>
      <c r="C1736" s="8" t="s">
        <v>203</v>
      </c>
      <c r="D1736" s="8" t="s">
        <v>40</v>
      </c>
      <c r="E1736" s="8" t="n">
        <v>7101</v>
      </c>
      <c r="F1736" s="8" t="n">
        <v>1850</v>
      </c>
      <c r="G1736" s="8" t="n">
        <v>24</v>
      </c>
      <c r="H1736" s="13" t="n">
        <f aca="false">(E1736/1000)*(F1736/1000)*(G1736/1000)*7850</f>
        <v>2474.98254</v>
      </c>
      <c r="I1736" s="8" t="n">
        <v>2</v>
      </c>
      <c r="J1736" s="14" t="n">
        <f aca="false">H1736*I1736</f>
        <v>4949.96508</v>
      </c>
      <c r="K1736" s="8" t="s">
        <v>1840</v>
      </c>
    </row>
    <row r="1737" customFormat="false" ht="13.8" hidden="false" customHeight="false" outlineLevel="0" collapsed="false">
      <c r="A1737" s="8" t="s">
        <v>1826</v>
      </c>
      <c r="B1737" s="8" t="s">
        <v>260</v>
      </c>
      <c r="C1737" s="8" t="s">
        <v>307</v>
      </c>
      <c r="D1737" s="8" t="s">
        <v>40</v>
      </c>
      <c r="G1737" s="8" t="n">
        <v>24</v>
      </c>
      <c r="H1737" s="13" t="n">
        <f aca="false">M1737*(G1737/1000)*7850</f>
        <v>2360.652</v>
      </c>
      <c r="I1737" s="8" t="n">
        <v>2</v>
      </c>
      <c r="J1737" s="14" t="n">
        <f aca="false">H1737*I1737</f>
        <v>4721.304</v>
      </c>
      <c r="K1737" s="8" t="s">
        <v>1841</v>
      </c>
      <c r="M1737" s="15" t="n">
        <v>12.53</v>
      </c>
    </row>
    <row r="1738" customFormat="false" ht="13.8" hidden="false" customHeight="false" outlineLevel="0" collapsed="false">
      <c r="A1738" s="8" t="s">
        <v>1826</v>
      </c>
      <c r="B1738" s="8" t="s">
        <v>42</v>
      </c>
      <c r="C1738" s="8" t="s">
        <v>206</v>
      </c>
      <c r="D1738" s="8" t="s">
        <v>40</v>
      </c>
      <c r="G1738" s="8" t="n">
        <v>24</v>
      </c>
      <c r="H1738" s="13" t="n">
        <f aca="false">M1738*(G1738/1000)*7850</f>
        <v>1829.364</v>
      </c>
      <c r="I1738" s="8" t="n">
        <v>2</v>
      </c>
      <c r="J1738" s="14" t="n">
        <f aca="false">H1738*I1738</f>
        <v>3658.728</v>
      </c>
      <c r="K1738" s="8" t="s">
        <v>1842</v>
      </c>
      <c r="M1738" s="15" t="n">
        <v>9.71</v>
      </c>
    </row>
    <row r="1739" customFormat="false" ht="13.8" hidden="false" customHeight="false" outlineLevel="0" collapsed="false">
      <c r="A1739" s="8" t="s">
        <v>1826</v>
      </c>
      <c r="B1739" s="8" t="s">
        <v>105</v>
      </c>
      <c r="C1739" s="8" t="s">
        <v>103</v>
      </c>
      <c r="D1739" s="8" t="s">
        <v>40</v>
      </c>
      <c r="G1739" s="8" t="n">
        <v>44</v>
      </c>
      <c r="H1739" s="13" t="n">
        <f aca="false">M1739*(G1739/1000)*7850</f>
        <v>7153.234</v>
      </c>
      <c r="I1739" s="8" t="n">
        <v>4</v>
      </c>
      <c r="J1739" s="14" t="n">
        <f aca="false">H1739*I1739</f>
        <v>28612.936</v>
      </c>
      <c r="K1739" s="8" t="s">
        <v>1843</v>
      </c>
      <c r="M1739" s="15" t="n">
        <v>20.71</v>
      </c>
    </row>
    <row r="1740" customFormat="false" ht="13.8" hidden="false" customHeight="false" outlineLevel="0" collapsed="false">
      <c r="A1740" s="8" t="s">
        <v>1826</v>
      </c>
      <c r="B1740" s="8" t="s">
        <v>102</v>
      </c>
      <c r="C1740" s="8" t="s">
        <v>106</v>
      </c>
      <c r="D1740" s="8" t="s">
        <v>40</v>
      </c>
      <c r="E1740" s="8" t="n">
        <v>7301</v>
      </c>
      <c r="F1740" s="8" t="n">
        <v>1474</v>
      </c>
      <c r="G1740" s="8" t="n">
        <v>32</v>
      </c>
      <c r="H1740" s="13" t="n">
        <f aca="false">(E1740/1000)*(F1740/1000)*(G1740/1000)*7850</f>
        <v>2703.3325088</v>
      </c>
      <c r="I1740" s="8" t="n">
        <v>4</v>
      </c>
      <c r="J1740" s="14" t="n">
        <f aca="false">H1740*I1740</f>
        <v>10813.3300352</v>
      </c>
      <c r="K1740" s="8" t="s">
        <v>1844</v>
      </c>
    </row>
    <row r="1741" customFormat="false" ht="13.8" hidden="false" customHeight="false" outlineLevel="0" collapsed="false">
      <c r="A1741" s="8" t="s">
        <v>1826</v>
      </c>
      <c r="B1741" s="8" t="s">
        <v>110</v>
      </c>
      <c r="C1741" s="8" t="s">
        <v>108</v>
      </c>
      <c r="D1741" s="8" t="s">
        <v>40</v>
      </c>
      <c r="E1741" s="8" t="n">
        <v>1450</v>
      </c>
      <c r="F1741" s="8" t="n">
        <v>1200</v>
      </c>
      <c r="G1741" s="8" t="n">
        <v>16</v>
      </c>
      <c r="H1741" s="13" t="n">
        <f aca="false">(E1741/1000)*(F1741/1000)*(G1741/1000)*7850</f>
        <v>218.544</v>
      </c>
      <c r="I1741" s="8" t="n">
        <v>6</v>
      </c>
      <c r="J1741" s="14" t="n">
        <f aca="false">H1741*I1741</f>
        <v>1311.264</v>
      </c>
      <c r="K1741" s="8" t="s">
        <v>1845</v>
      </c>
    </row>
    <row r="1742" customFormat="false" ht="13.8" hidden="false" customHeight="false" outlineLevel="0" collapsed="false">
      <c r="A1742" s="8" t="s">
        <v>1826</v>
      </c>
      <c r="B1742" s="8" t="s">
        <v>42</v>
      </c>
      <c r="C1742" s="8" t="s">
        <v>267</v>
      </c>
      <c r="D1742" s="8" t="s">
        <v>40</v>
      </c>
      <c r="E1742" s="8" t="n">
        <v>1450</v>
      </c>
      <c r="F1742" s="8" t="n">
        <v>1200</v>
      </c>
      <c r="G1742" s="8" t="n">
        <v>16</v>
      </c>
      <c r="H1742" s="13" t="n">
        <f aca="false">(E1742/1000)*(F1742/1000)*(G1742/1000)*7850</f>
        <v>218.544</v>
      </c>
      <c r="I1742" s="8" t="n">
        <v>4</v>
      </c>
      <c r="J1742" s="14" t="n">
        <f aca="false">H1742*I1742</f>
        <v>874.176</v>
      </c>
      <c r="K1742" s="8" t="s">
        <v>1845</v>
      </c>
    </row>
    <row r="1743" customFormat="false" ht="13.8" hidden="false" customHeight="false" outlineLevel="0" collapsed="false">
      <c r="A1743" s="8" t="s">
        <v>1826</v>
      </c>
      <c r="B1743" s="8" t="s">
        <v>42</v>
      </c>
      <c r="C1743" s="8" t="s">
        <v>108</v>
      </c>
      <c r="D1743" s="8" t="s">
        <v>40</v>
      </c>
      <c r="E1743" s="8" t="n">
        <v>1657</v>
      </c>
      <c r="F1743" s="8" t="n">
        <v>200</v>
      </c>
      <c r="G1743" s="8" t="n">
        <v>16</v>
      </c>
      <c r="H1743" s="13" t="n">
        <f aca="false">(E1743/1000)*(F1743/1000)*(G1743/1000)*7850</f>
        <v>41.62384</v>
      </c>
      <c r="I1743" s="8" t="n">
        <v>6</v>
      </c>
      <c r="J1743" s="14" t="n">
        <f aca="false">H1743*I1743</f>
        <v>249.74304</v>
      </c>
      <c r="K1743" s="8" t="s">
        <v>1835</v>
      </c>
    </row>
    <row r="1744" customFormat="false" ht="13.8" hidden="false" customHeight="false" outlineLevel="0" collapsed="false">
      <c r="A1744" s="8" t="s">
        <v>1826</v>
      </c>
      <c r="B1744" s="8" t="s">
        <v>268</v>
      </c>
      <c r="C1744" s="8" t="s">
        <v>114</v>
      </c>
      <c r="D1744" s="8" t="s">
        <v>40</v>
      </c>
      <c r="E1744" s="8" t="n">
        <v>7901</v>
      </c>
      <c r="F1744" s="8" t="n">
        <v>240</v>
      </c>
      <c r="G1744" s="8" t="n">
        <v>20</v>
      </c>
      <c r="H1744" s="13" t="n">
        <f aca="false">(E1744/1000)*(F1744/1000)*(G1744/1000)*7850</f>
        <v>297.70968</v>
      </c>
      <c r="I1744" s="8" t="n">
        <v>8</v>
      </c>
      <c r="J1744" s="14" t="n">
        <f aca="false">H1744*I1744</f>
        <v>2381.67744</v>
      </c>
      <c r="K1744" s="8" t="s">
        <v>1846</v>
      </c>
    </row>
    <row r="1745" customFormat="false" ht="13.8" hidden="false" customHeight="false" outlineLevel="0" collapsed="false">
      <c r="A1745" s="8" t="s">
        <v>1826</v>
      </c>
      <c r="B1745" s="8" t="s">
        <v>42</v>
      </c>
      <c r="C1745" s="8" t="s">
        <v>116</v>
      </c>
      <c r="D1745" s="8" t="s">
        <v>40</v>
      </c>
      <c r="E1745" s="8" t="n">
        <v>7101</v>
      </c>
      <c r="F1745" s="8" t="n">
        <v>240</v>
      </c>
      <c r="G1745" s="8" t="n">
        <v>20</v>
      </c>
      <c r="H1745" s="13" t="n">
        <f aca="false">(E1745/1000)*(F1745/1000)*(G1745/1000)*7850</f>
        <v>267.56568</v>
      </c>
      <c r="I1745" s="8" t="n">
        <v>8</v>
      </c>
      <c r="J1745" s="14" t="n">
        <f aca="false">H1745*I1745</f>
        <v>2140.52544</v>
      </c>
      <c r="K1745" s="8" t="s">
        <v>1847</v>
      </c>
    </row>
    <row r="1746" customFormat="false" ht="13.8" hidden="false" customHeight="false" outlineLevel="0" collapsed="false">
      <c r="A1746" s="8" t="s">
        <v>1826</v>
      </c>
      <c r="B1746" s="8" t="s">
        <v>42</v>
      </c>
      <c r="C1746" s="8" t="s">
        <v>118</v>
      </c>
      <c r="D1746" s="8" t="s">
        <v>40</v>
      </c>
      <c r="E1746" s="8" t="n">
        <v>15002</v>
      </c>
      <c r="F1746" s="8" t="n">
        <v>170</v>
      </c>
      <c r="G1746" s="8" t="n">
        <v>14</v>
      </c>
      <c r="H1746" s="13" t="n">
        <f aca="false">(E1746/1000)*(F1746/1000)*(G1746/1000)*7850</f>
        <v>280.282366</v>
      </c>
      <c r="I1746" s="8" t="n">
        <v>2</v>
      </c>
      <c r="J1746" s="14" t="n">
        <f aca="false">H1746*I1746</f>
        <v>560.564732</v>
      </c>
      <c r="K1746" s="8" t="s">
        <v>1848</v>
      </c>
    </row>
    <row r="1747" customFormat="false" ht="13.8" hidden="false" customHeight="false" outlineLevel="0" collapsed="false">
      <c r="A1747" s="8" t="s">
        <v>1826</v>
      </c>
      <c r="B1747" s="8" t="s">
        <v>272</v>
      </c>
      <c r="C1747" s="8" t="s">
        <v>125</v>
      </c>
      <c r="D1747" s="8" t="s">
        <v>40</v>
      </c>
      <c r="E1747" s="8" t="n">
        <v>11383</v>
      </c>
      <c r="F1747" s="8" t="n">
        <v>1200</v>
      </c>
      <c r="G1747" s="8" t="n">
        <v>36</v>
      </c>
      <c r="H1747" s="13" t="n">
        <f aca="false">(E1747/1000)*(F1747/1000)*(G1747/1000)*7850</f>
        <v>3860.20296</v>
      </c>
      <c r="I1747" s="8" t="n">
        <v>2</v>
      </c>
      <c r="J1747" s="14" t="n">
        <f aca="false">H1747*I1747</f>
        <v>7720.40592</v>
      </c>
      <c r="K1747" s="8" t="s">
        <v>1849</v>
      </c>
    </row>
    <row r="1748" customFormat="false" ht="13.8" hidden="false" customHeight="false" outlineLevel="0" collapsed="false">
      <c r="A1748" s="8" t="s">
        <v>1826</v>
      </c>
      <c r="B1748" s="8" t="s">
        <v>42</v>
      </c>
      <c r="C1748" s="8" t="s">
        <v>127</v>
      </c>
      <c r="D1748" s="8" t="s">
        <v>40</v>
      </c>
      <c r="E1748" s="8" t="n">
        <v>11683</v>
      </c>
      <c r="F1748" s="8" t="n">
        <v>1200</v>
      </c>
      <c r="G1748" s="8" t="n">
        <v>36</v>
      </c>
      <c r="H1748" s="13" t="n">
        <f aca="false">(E1748/1000)*(F1748/1000)*(G1748/1000)*7850</f>
        <v>3961.93896</v>
      </c>
      <c r="I1748" s="8" t="n">
        <v>2</v>
      </c>
      <c r="J1748" s="14" t="n">
        <f aca="false">H1748*I1748</f>
        <v>7923.87792</v>
      </c>
      <c r="K1748" s="8" t="s">
        <v>1850</v>
      </c>
    </row>
    <row r="1749" customFormat="false" ht="13.8" hidden="false" customHeight="false" outlineLevel="0" collapsed="false">
      <c r="A1749" s="8" t="s">
        <v>1826</v>
      </c>
      <c r="B1749" s="8" t="s">
        <v>42</v>
      </c>
      <c r="C1749" s="8" t="s">
        <v>128</v>
      </c>
      <c r="D1749" s="8" t="s">
        <v>40</v>
      </c>
      <c r="E1749" s="8" t="n">
        <v>7383</v>
      </c>
      <c r="F1749" s="8" t="n">
        <v>1360</v>
      </c>
      <c r="G1749" s="8" t="n">
        <v>36</v>
      </c>
      <c r="H1749" s="13" t="n">
        <f aca="false">(E1749/1000)*(F1749/1000)*(G1749/1000)*7850</f>
        <v>2837.552688</v>
      </c>
      <c r="I1749" s="8" t="n">
        <v>4</v>
      </c>
      <c r="J1749" s="14" t="n">
        <f aca="false">H1749*I1749</f>
        <v>11350.210752</v>
      </c>
      <c r="K1749" s="8" t="s">
        <v>1851</v>
      </c>
    </row>
    <row r="1750" customFormat="false" ht="13.8" hidden="false" customHeight="false" outlineLevel="0" collapsed="false">
      <c r="A1750" s="8" t="s">
        <v>1826</v>
      </c>
      <c r="B1750" s="8" t="s">
        <v>42</v>
      </c>
      <c r="C1750" s="8" t="s">
        <v>130</v>
      </c>
      <c r="D1750" s="8" t="s">
        <v>40</v>
      </c>
      <c r="E1750" s="8" t="n">
        <v>7383</v>
      </c>
      <c r="F1750" s="8" t="n">
        <v>320</v>
      </c>
      <c r="G1750" s="8" t="n">
        <v>32</v>
      </c>
      <c r="H1750" s="13" t="n">
        <f aca="false">(E1750/1000)*(F1750/1000)*(G1750/1000)*7850</f>
        <v>593.475072</v>
      </c>
      <c r="I1750" s="8" t="n">
        <v>4</v>
      </c>
      <c r="J1750" s="14" t="n">
        <f aca="false">H1750*I1750</f>
        <v>2373.900288</v>
      </c>
      <c r="K1750" s="8" t="s">
        <v>1852</v>
      </c>
    </row>
    <row r="1751" customFormat="false" ht="13.8" hidden="false" customHeight="false" outlineLevel="0" collapsed="false">
      <c r="A1751" s="8" t="s">
        <v>1826</v>
      </c>
      <c r="B1751" s="8" t="s">
        <v>42</v>
      </c>
      <c r="C1751" s="8" t="s">
        <v>132</v>
      </c>
      <c r="D1751" s="8" t="s">
        <v>40</v>
      </c>
      <c r="E1751" s="8" t="n">
        <v>9983</v>
      </c>
      <c r="F1751" s="8" t="n">
        <v>320</v>
      </c>
      <c r="G1751" s="8" t="n">
        <v>32</v>
      </c>
      <c r="H1751" s="13" t="n">
        <f aca="false">(E1751/1000)*(F1751/1000)*(G1751/1000)*7850</f>
        <v>802.473472</v>
      </c>
      <c r="I1751" s="8" t="n">
        <v>2</v>
      </c>
      <c r="J1751" s="14" t="n">
        <f aca="false">H1751*I1751</f>
        <v>1604.946944</v>
      </c>
      <c r="K1751" s="8" t="s">
        <v>1853</v>
      </c>
    </row>
    <row r="1752" customFormat="false" ht="13.8" hidden="false" customHeight="false" outlineLevel="0" collapsed="false">
      <c r="A1752" s="8" t="s">
        <v>1826</v>
      </c>
      <c r="B1752" s="8" t="s">
        <v>42</v>
      </c>
      <c r="C1752" s="8" t="s">
        <v>134</v>
      </c>
      <c r="D1752" s="8" t="s">
        <v>40</v>
      </c>
      <c r="E1752" s="8" t="n">
        <v>10283</v>
      </c>
      <c r="F1752" s="8" t="n">
        <v>320</v>
      </c>
      <c r="G1752" s="8" t="n">
        <v>32</v>
      </c>
      <c r="H1752" s="13" t="n">
        <f aca="false">(E1752/1000)*(F1752/1000)*(G1752/1000)*7850</f>
        <v>826.588672</v>
      </c>
      <c r="I1752" s="8" t="n">
        <v>2</v>
      </c>
      <c r="J1752" s="14" t="n">
        <f aca="false">H1752*I1752</f>
        <v>1653.177344</v>
      </c>
      <c r="K1752" s="8" t="s">
        <v>1854</v>
      </c>
    </row>
    <row r="1753" customFormat="false" ht="13.8" hidden="false" customHeight="false" outlineLevel="0" collapsed="false">
      <c r="A1753" s="8" t="s">
        <v>1826</v>
      </c>
      <c r="B1753" s="8" t="s">
        <v>42</v>
      </c>
      <c r="C1753" s="8" t="s">
        <v>135</v>
      </c>
      <c r="D1753" s="8" t="s">
        <v>40</v>
      </c>
      <c r="E1753" s="8" t="n">
        <v>1200</v>
      </c>
      <c r="F1753" s="8" t="n">
        <v>1200</v>
      </c>
      <c r="G1753" s="8" t="n">
        <v>16</v>
      </c>
      <c r="H1753" s="13" t="n">
        <f aca="false">(E1753/1000)*(F1753/1000)*(G1753/1000)*7850</f>
        <v>180.864</v>
      </c>
      <c r="I1753" s="8" t="n">
        <v>6</v>
      </c>
      <c r="J1753" s="14" t="n">
        <f aca="false">H1753*I1753</f>
        <v>1085.184</v>
      </c>
      <c r="K1753" s="8" t="s">
        <v>1855</v>
      </c>
    </row>
    <row r="1754" customFormat="false" ht="13.8" hidden="false" customHeight="false" outlineLevel="0" collapsed="false">
      <c r="A1754" s="8" t="s">
        <v>1826</v>
      </c>
      <c r="B1754" s="8" t="s">
        <v>42</v>
      </c>
      <c r="C1754" s="8" t="s">
        <v>137</v>
      </c>
      <c r="D1754" s="8" t="s">
        <v>40</v>
      </c>
      <c r="E1754" s="8" t="n">
        <v>5458</v>
      </c>
      <c r="F1754" s="8" t="n">
        <v>1200</v>
      </c>
      <c r="G1754" s="8" t="n">
        <v>36</v>
      </c>
      <c r="H1754" s="13" t="n">
        <f aca="false">(E1754/1000)*(F1754/1000)*(G1754/1000)*7850</f>
        <v>1850.91696</v>
      </c>
      <c r="I1754" s="8" t="n">
        <v>2</v>
      </c>
      <c r="J1754" s="14" t="n">
        <f aca="false">H1754*I1754</f>
        <v>3701.83392</v>
      </c>
      <c r="K1754" s="8" t="s">
        <v>1856</v>
      </c>
    </row>
    <row r="1755" customFormat="false" ht="13.8" hidden="false" customHeight="false" outlineLevel="0" collapsed="false">
      <c r="A1755" s="8" t="s">
        <v>1826</v>
      </c>
      <c r="B1755" s="8" t="s">
        <v>42</v>
      </c>
      <c r="C1755" s="8" t="s">
        <v>139</v>
      </c>
      <c r="D1755" s="8" t="s">
        <v>40</v>
      </c>
      <c r="E1755" s="8" t="n">
        <v>5758</v>
      </c>
      <c r="F1755" s="8" t="n">
        <v>1200</v>
      </c>
      <c r="G1755" s="8" t="n">
        <v>36</v>
      </c>
      <c r="H1755" s="13" t="n">
        <f aca="false">(E1755/1000)*(F1755/1000)*(G1755/1000)*7850</f>
        <v>1952.65296</v>
      </c>
      <c r="I1755" s="8" t="n">
        <v>2</v>
      </c>
      <c r="J1755" s="14" t="n">
        <f aca="false">H1755*I1755</f>
        <v>3905.30592</v>
      </c>
      <c r="K1755" s="8" t="s">
        <v>1857</v>
      </c>
    </row>
    <row r="1756" customFormat="false" ht="13.8" hidden="false" customHeight="false" outlineLevel="0" collapsed="false">
      <c r="A1756" s="8" t="s">
        <v>1826</v>
      </c>
      <c r="B1756" s="8" t="s">
        <v>42</v>
      </c>
      <c r="C1756" s="8" t="s">
        <v>141</v>
      </c>
      <c r="D1756" s="8" t="s">
        <v>40</v>
      </c>
      <c r="E1756" s="8" t="n">
        <v>3658</v>
      </c>
      <c r="F1756" s="8" t="n">
        <v>1360</v>
      </c>
      <c r="G1756" s="8" t="n">
        <v>36</v>
      </c>
      <c r="H1756" s="13" t="n">
        <f aca="false">(E1756/1000)*(F1756/1000)*(G1756/1000)*7850</f>
        <v>1405.901088</v>
      </c>
      <c r="I1756" s="8" t="n">
        <v>4</v>
      </c>
      <c r="J1756" s="14" t="n">
        <f aca="false">H1756*I1756</f>
        <v>5623.604352</v>
      </c>
      <c r="K1756" s="8" t="s">
        <v>1858</v>
      </c>
    </row>
    <row r="1757" customFormat="false" ht="13.8" hidden="false" customHeight="false" outlineLevel="0" collapsed="false">
      <c r="A1757" s="8" t="s">
        <v>1826</v>
      </c>
      <c r="B1757" s="8" t="s">
        <v>42</v>
      </c>
      <c r="C1757" s="8" t="s">
        <v>143</v>
      </c>
      <c r="D1757" s="8" t="s">
        <v>40</v>
      </c>
      <c r="E1757" s="8" t="n">
        <v>3658</v>
      </c>
      <c r="F1757" s="8" t="n">
        <v>320</v>
      </c>
      <c r="G1757" s="8" t="n">
        <v>32</v>
      </c>
      <c r="H1757" s="13" t="n">
        <f aca="false">(E1757/1000)*(F1757/1000)*(G1757/1000)*7850</f>
        <v>294.044672</v>
      </c>
      <c r="I1757" s="8" t="n">
        <v>4</v>
      </c>
      <c r="J1757" s="14" t="n">
        <f aca="false">H1757*I1757</f>
        <v>1176.178688</v>
      </c>
      <c r="K1757" s="8" t="s">
        <v>1859</v>
      </c>
    </row>
    <row r="1758" customFormat="false" ht="13.8" hidden="false" customHeight="false" outlineLevel="0" collapsed="false">
      <c r="A1758" s="8" t="s">
        <v>1826</v>
      </c>
      <c r="B1758" s="8" t="s">
        <v>42</v>
      </c>
      <c r="C1758" s="8" t="s">
        <v>326</v>
      </c>
      <c r="D1758" s="8" t="s">
        <v>40</v>
      </c>
      <c r="E1758" s="8" t="n">
        <v>4758</v>
      </c>
      <c r="F1758" s="8" t="n">
        <v>320</v>
      </c>
      <c r="G1758" s="8" t="n">
        <v>32</v>
      </c>
      <c r="H1758" s="13" t="n">
        <f aca="false">(E1758/1000)*(F1758/1000)*(G1758/1000)*7850</f>
        <v>382.467072</v>
      </c>
      <c r="I1758" s="8" t="n">
        <v>2</v>
      </c>
      <c r="J1758" s="14" t="n">
        <f aca="false">H1758*I1758</f>
        <v>764.934144</v>
      </c>
      <c r="K1758" s="8" t="s">
        <v>1860</v>
      </c>
    </row>
    <row r="1759" customFormat="false" ht="13.8" hidden="false" customHeight="false" outlineLevel="0" collapsed="false">
      <c r="A1759" s="8" t="s">
        <v>1826</v>
      </c>
      <c r="B1759" s="8" t="s">
        <v>42</v>
      </c>
      <c r="C1759" s="8" t="s">
        <v>147</v>
      </c>
      <c r="D1759" s="8" t="s">
        <v>40</v>
      </c>
      <c r="E1759" s="8" t="n">
        <v>5058</v>
      </c>
      <c r="F1759" s="8" t="n">
        <v>320</v>
      </c>
      <c r="G1759" s="8" t="n">
        <v>32</v>
      </c>
      <c r="H1759" s="13" t="n">
        <f aca="false">(E1759/1000)*(F1759/1000)*(G1759/1000)*7850</f>
        <v>406.582272</v>
      </c>
      <c r="I1759" s="8" t="n">
        <v>2</v>
      </c>
      <c r="J1759" s="14" t="n">
        <f aca="false">H1759*I1759</f>
        <v>813.164544</v>
      </c>
      <c r="K1759" s="8" t="s">
        <v>1861</v>
      </c>
    </row>
    <row r="1760" customFormat="false" ht="13.8" hidden="false" customHeight="false" outlineLevel="0" collapsed="false">
      <c r="A1760" s="8" t="s">
        <v>1826</v>
      </c>
      <c r="B1760" s="8" t="s">
        <v>42</v>
      </c>
      <c r="C1760" s="8" t="s">
        <v>149</v>
      </c>
      <c r="D1760" s="8" t="s">
        <v>40</v>
      </c>
      <c r="E1760" s="8" t="n">
        <v>1200</v>
      </c>
      <c r="F1760" s="8" t="n">
        <v>1200</v>
      </c>
      <c r="G1760" s="8" t="n">
        <v>16</v>
      </c>
      <c r="H1760" s="13" t="n">
        <f aca="false">(E1760/1000)*(F1760/1000)*(G1760/1000)*7850</f>
        <v>180.864</v>
      </c>
      <c r="I1760" s="8" t="n">
        <v>4</v>
      </c>
      <c r="J1760" s="14" t="n">
        <f aca="false">H1760*I1760</f>
        <v>723.456</v>
      </c>
      <c r="K1760" s="8" t="s">
        <v>1855</v>
      </c>
    </row>
    <row r="1761" customFormat="false" ht="13.8" hidden="false" customHeight="false" outlineLevel="0" collapsed="false">
      <c r="A1761" s="8" t="s">
        <v>1826</v>
      </c>
      <c r="B1761" s="8" t="s">
        <v>171</v>
      </c>
      <c r="C1761" s="8" t="s">
        <v>150</v>
      </c>
      <c r="D1761" s="8" t="s">
        <v>40</v>
      </c>
      <c r="E1761" s="8" t="n">
        <v>5883</v>
      </c>
      <c r="F1761" s="8" t="n">
        <v>1200</v>
      </c>
      <c r="G1761" s="8" t="n">
        <v>36</v>
      </c>
      <c r="H1761" s="13" t="n">
        <f aca="false">(E1761/1000)*(F1761/1000)*(G1761/1000)*7850</f>
        <v>1995.04296</v>
      </c>
      <c r="I1761" s="8" t="n">
        <v>2</v>
      </c>
      <c r="J1761" s="14" t="n">
        <f aca="false">H1761*I1761</f>
        <v>3990.08592</v>
      </c>
      <c r="K1761" s="8" t="s">
        <v>1862</v>
      </c>
    </row>
    <row r="1762" customFormat="false" ht="13.8" hidden="false" customHeight="false" outlineLevel="0" collapsed="false">
      <c r="A1762" s="8" t="s">
        <v>1826</v>
      </c>
      <c r="B1762" s="8" t="s">
        <v>42</v>
      </c>
      <c r="C1762" s="8" t="s">
        <v>380</v>
      </c>
      <c r="D1762" s="8" t="s">
        <v>40</v>
      </c>
      <c r="E1762" s="8" t="n">
        <v>5883</v>
      </c>
      <c r="F1762" s="8" t="n">
        <v>1200</v>
      </c>
      <c r="G1762" s="8" t="n">
        <v>36</v>
      </c>
      <c r="H1762" s="13" t="n">
        <f aca="false">(E1762/1000)*(F1762/1000)*(G1762/1000)*7850</f>
        <v>1995.04296</v>
      </c>
      <c r="I1762" s="8" t="n">
        <v>2</v>
      </c>
      <c r="J1762" s="14" t="n">
        <f aca="false">H1762*I1762</f>
        <v>3990.08592</v>
      </c>
      <c r="K1762" s="8" t="s">
        <v>1862</v>
      </c>
    </row>
    <row r="1763" customFormat="false" ht="13.8" hidden="false" customHeight="false" outlineLevel="0" collapsed="false">
      <c r="A1763" s="8" t="s">
        <v>1826</v>
      </c>
      <c r="B1763" s="8" t="s">
        <v>42</v>
      </c>
      <c r="C1763" s="8" t="s">
        <v>155</v>
      </c>
      <c r="D1763" s="8" t="s">
        <v>40</v>
      </c>
      <c r="E1763" s="8" t="n">
        <v>3683</v>
      </c>
      <c r="F1763" s="8" t="n">
        <v>1360</v>
      </c>
      <c r="G1763" s="8" t="n">
        <v>36</v>
      </c>
      <c r="H1763" s="13" t="n">
        <f aca="false">(E1763/1000)*(F1763/1000)*(G1763/1000)*7850</f>
        <v>1415.509488</v>
      </c>
      <c r="I1763" s="8" t="n">
        <v>4</v>
      </c>
      <c r="J1763" s="14" t="n">
        <f aca="false">H1763*I1763</f>
        <v>5662.037952</v>
      </c>
      <c r="K1763" s="8" t="s">
        <v>1863</v>
      </c>
    </row>
    <row r="1764" customFormat="false" ht="13.8" hidden="false" customHeight="false" outlineLevel="0" collapsed="false">
      <c r="A1764" s="8" t="s">
        <v>1826</v>
      </c>
      <c r="B1764" s="8" t="s">
        <v>42</v>
      </c>
      <c r="C1764" s="8" t="s">
        <v>160</v>
      </c>
      <c r="D1764" s="8" t="s">
        <v>40</v>
      </c>
      <c r="E1764" s="8" t="n">
        <v>3683</v>
      </c>
      <c r="F1764" s="8" t="n">
        <v>320</v>
      </c>
      <c r="G1764" s="8" t="n">
        <v>32</v>
      </c>
      <c r="H1764" s="13" t="n">
        <f aca="false">(E1764/1000)*(F1764/1000)*(G1764/1000)*7850</f>
        <v>296.054272</v>
      </c>
      <c r="I1764" s="8" t="n">
        <v>4</v>
      </c>
      <c r="J1764" s="14" t="n">
        <f aca="false">H1764*I1764</f>
        <v>1184.217088</v>
      </c>
      <c r="K1764" s="8" t="s">
        <v>1864</v>
      </c>
    </row>
    <row r="1765" customFormat="false" ht="13.8" hidden="false" customHeight="false" outlineLevel="0" collapsed="false">
      <c r="A1765" s="8" t="s">
        <v>1826</v>
      </c>
      <c r="B1765" s="8" t="s">
        <v>42</v>
      </c>
      <c r="C1765" s="8" t="s">
        <v>163</v>
      </c>
      <c r="D1765" s="8" t="s">
        <v>40</v>
      </c>
      <c r="E1765" s="8" t="n">
        <v>5183</v>
      </c>
      <c r="F1765" s="8" t="n">
        <v>320</v>
      </c>
      <c r="G1765" s="8" t="n">
        <v>32</v>
      </c>
      <c r="H1765" s="13" t="n">
        <f aca="false">(E1765/1000)*(F1765/1000)*(G1765/1000)*7850</f>
        <v>416.630272</v>
      </c>
      <c r="I1765" s="8" t="n">
        <v>2</v>
      </c>
      <c r="J1765" s="14" t="n">
        <f aca="false">H1765*I1765</f>
        <v>833.260544</v>
      </c>
      <c r="K1765" s="8" t="s">
        <v>1865</v>
      </c>
    </row>
    <row r="1766" customFormat="false" ht="13.8" hidden="false" customHeight="false" outlineLevel="0" collapsed="false">
      <c r="A1766" s="8" t="s">
        <v>1826</v>
      </c>
      <c r="B1766" s="8" t="s">
        <v>42</v>
      </c>
      <c r="C1766" s="8" t="s">
        <v>165</v>
      </c>
      <c r="D1766" s="8" t="s">
        <v>40</v>
      </c>
      <c r="E1766" s="8" t="n">
        <v>5183</v>
      </c>
      <c r="F1766" s="8" t="n">
        <v>320</v>
      </c>
      <c r="G1766" s="8" t="n">
        <v>32</v>
      </c>
      <c r="H1766" s="13" t="n">
        <f aca="false">(E1766/1000)*(F1766/1000)*(G1766/1000)*7850</f>
        <v>416.630272</v>
      </c>
      <c r="I1766" s="8" t="n">
        <v>2</v>
      </c>
      <c r="J1766" s="14" t="n">
        <f aca="false">H1766*I1766</f>
        <v>833.260544</v>
      </c>
      <c r="K1766" s="8" t="s">
        <v>1865</v>
      </c>
    </row>
    <row r="1767" customFormat="false" ht="13.8" hidden="false" customHeight="false" outlineLevel="0" collapsed="false">
      <c r="A1767" s="8" t="s">
        <v>1826</v>
      </c>
      <c r="B1767" s="8" t="s">
        <v>42</v>
      </c>
      <c r="C1767" s="8" t="s">
        <v>158</v>
      </c>
      <c r="D1767" s="8" t="s">
        <v>40</v>
      </c>
      <c r="E1767" s="8" t="n">
        <v>1200</v>
      </c>
      <c r="F1767" s="8" t="n">
        <v>1200</v>
      </c>
      <c r="G1767" s="8" t="n">
        <v>16</v>
      </c>
      <c r="H1767" s="13" t="n">
        <f aca="false">(E1767/1000)*(F1767/1000)*(G1767/1000)*7850</f>
        <v>180.864</v>
      </c>
      <c r="I1767" s="8" t="n">
        <v>4</v>
      </c>
      <c r="J1767" s="14" t="n">
        <f aca="false">H1767*I1767</f>
        <v>723.456</v>
      </c>
      <c r="K1767" s="8" t="s">
        <v>1855</v>
      </c>
    </row>
    <row r="1768" customFormat="false" ht="13.8" hidden="false" customHeight="false" outlineLevel="0" collapsed="false">
      <c r="A1768" s="8" t="s">
        <v>1826</v>
      </c>
      <c r="B1768" s="8" t="s">
        <v>42</v>
      </c>
      <c r="C1768" s="8" t="s">
        <v>386</v>
      </c>
      <c r="D1768" s="8" t="s">
        <v>40</v>
      </c>
      <c r="E1768" s="8" t="n">
        <v>2300</v>
      </c>
      <c r="F1768" s="8" t="n">
        <v>320</v>
      </c>
      <c r="G1768" s="8" t="n">
        <v>32</v>
      </c>
      <c r="H1768" s="13" t="n">
        <f aca="false">(E1768/1000)*(F1768/1000)*(G1768/1000)*7850</f>
        <v>184.8832</v>
      </c>
      <c r="I1768" s="8" t="n">
        <v>8</v>
      </c>
      <c r="J1768" s="14" t="n">
        <f aca="false">H1768*I1768</f>
        <v>1479.0656</v>
      </c>
      <c r="K1768" s="8" t="s">
        <v>1866</v>
      </c>
    </row>
    <row r="1769" customFormat="false" ht="13.8" hidden="false" customHeight="false" outlineLevel="0" collapsed="false">
      <c r="A1769" s="8" t="s">
        <v>1826</v>
      </c>
      <c r="B1769" s="8" t="s">
        <v>42</v>
      </c>
      <c r="C1769" s="8" t="s">
        <v>388</v>
      </c>
      <c r="D1769" s="8" t="s">
        <v>40</v>
      </c>
      <c r="E1769" s="8" t="n">
        <v>2600</v>
      </c>
      <c r="F1769" s="8" t="n">
        <v>320</v>
      </c>
      <c r="G1769" s="8" t="n">
        <v>32</v>
      </c>
      <c r="H1769" s="13" t="n">
        <f aca="false">(E1769/1000)*(F1769/1000)*(G1769/1000)*7850</f>
        <v>208.9984</v>
      </c>
      <c r="I1769" s="8" t="n">
        <v>8</v>
      </c>
      <c r="J1769" s="14" t="n">
        <f aca="false">H1769*I1769</f>
        <v>1671.9872</v>
      </c>
      <c r="K1769" s="8" t="s">
        <v>1867</v>
      </c>
    </row>
    <row r="1770" customFormat="false" ht="13.8" hidden="false" customHeight="false" outlineLevel="0" collapsed="false">
      <c r="A1770" s="8" t="s">
        <v>1826</v>
      </c>
      <c r="B1770" s="8" t="s">
        <v>64</v>
      </c>
      <c r="C1770" s="8" t="s">
        <v>167</v>
      </c>
      <c r="D1770" s="8" t="s">
        <v>40</v>
      </c>
      <c r="E1770" s="8" t="n">
        <v>1580</v>
      </c>
      <c r="F1770" s="8" t="n">
        <v>602</v>
      </c>
      <c r="G1770" s="8" t="n">
        <v>14</v>
      </c>
      <c r="H1770" s="13" t="n">
        <f aca="false">(E1770/1000)*(F1770/1000)*(G1770/1000)*7850</f>
        <v>104.532484</v>
      </c>
      <c r="I1770" s="8" t="n">
        <v>6</v>
      </c>
      <c r="J1770" s="14" t="n">
        <f aca="false">H1770*I1770</f>
        <v>627.194904</v>
      </c>
      <c r="K1770" s="8" t="s">
        <v>1868</v>
      </c>
    </row>
    <row r="1771" customFormat="false" ht="13.8" hidden="false" customHeight="false" outlineLevel="0" collapsed="false">
      <c r="A1771" s="8" t="s">
        <v>1826</v>
      </c>
      <c r="B1771" s="8" t="s">
        <v>42</v>
      </c>
      <c r="C1771" s="8" t="s">
        <v>233</v>
      </c>
      <c r="D1771" s="8" t="s">
        <v>40</v>
      </c>
      <c r="E1771" s="8" t="n">
        <v>1580</v>
      </c>
      <c r="F1771" s="8" t="n">
        <v>622</v>
      </c>
      <c r="G1771" s="8" t="n">
        <v>14</v>
      </c>
      <c r="H1771" s="13" t="n">
        <f aca="false">(E1771/1000)*(F1771/1000)*(G1771/1000)*7850</f>
        <v>108.005324</v>
      </c>
      <c r="I1771" s="8" t="n">
        <v>4</v>
      </c>
      <c r="J1771" s="14" t="n">
        <f aca="false">H1771*I1771</f>
        <v>432.021296</v>
      </c>
      <c r="K1771" s="8" t="s">
        <v>1869</v>
      </c>
    </row>
    <row r="1772" customFormat="false" ht="13.8" hidden="false" customHeight="false" outlineLevel="0" collapsed="false">
      <c r="A1772" s="8" t="s">
        <v>1826</v>
      </c>
      <c r="B1772" s="8" t="s">
        <v>42</v>
      </c>
      <c r="C1772" s="8" t="s">
        <v>169</v>
      </c>
      <c r="D1772" s="8" t="s">
        <v>40</v>
      </c>
      <c r="G1772" s="8" t="n">
        <v>24</v>
      </c>
      <c r="H1772" s="13" t="n">
        <f aca="false">M1772*(G1772/1000)*7850</f>
        <v>86.664</v>
      </c>
      <c r="I1772" s="8" t="n">
        <v>6</v>
      </c>
      <c r="J1772" s="14" t="n">
        <f aca="false">H1772*I1772</f>
        <v>519.984</v>
      </c>
      <c r="K1772" s="8" t="s">
        <v>1870</v>
      </c>
      <c r="M1772" s="15" t="n">
        <v>0.46</v>
      </c>
    </row>
    <row r="1773" customFormat="false" ht="13.8" hidden="false" customHeight="false" outlineLevel="0" collapsed="false">
      <c r="A1773" s="8" t="s">
        <v>1826</v>
      </c>
      <c r="B1773" s="8" t="s">
        <v>42</v>
      </c>
      <c r="C1773" s="8" t="s">
        <v>236</v>
      </c>
      <c r="D1773" s="8" t="s">
        <v>40</v>
      </c>
      <c r="G1773" s="8" t="n">
        <v>24</v>
      </c>
      <c r="H1773" s="13" t="n">
        <f aca="false">M1773*(G1773/1000)*7850</f>
        <v>88.548</v>
      </c>
      <c r="I1773" s="8" t="n">
        <v>4</v>
      </c>
      <c r="J1773" s="14" t="n">
        <f aca="false">H1773*I1773</f>
        <v>354.192</v>
      </c>
      <c r="K1773" s="8" t="s">
        <v>1871</v>
      </c>
      <c r="M1773" s="15" t="n">
        <v>0.47</v>
      </c>
    </row>
    <row r="1774" customFormat="false" ht="13.8" hidden="false" customHeight="false" outlineLevel="0" collapsed="false">
      <c r="A1774" s="8" t="s">
        <v>1826</v>
      </c>
      <c r="B1774" s="8" t="s">
        <v>42</v>
      </c>
      <c r="C1774" s="8" t="s">
        <v>172</v>
      </c>
      <c r="D1774" s="8" t="s">
        <v>40</v>
      </c>
      <c r="E1774" s="8" t="n">
        <v>1450</v>
      </c>
      <c r="F1774" s="8" t="n">
        <v>606</v>
      </c>
      <c r="G1774" s="8" t="n">
        <v>14</v>
      </c>
      <c r="H1774" s="13" t="n">
        <f aca="false">(E1774/1000)*(F1774/1000)*(G1774/1000)*7850</f>
        <v>96.56913</v>
      </c>
      <c r="I1774" s="8" t="n">
        <v>6</v>
      </c>
      <c r="J1774" s="14" t="n">
        <f aca="false">H1774*I1774</f>
        <v>579.41478</v>
      </c>
      <c r="K1774" s="8" t="s">
        <v>1872</v>
      </c>
    </row>
    <row r="1775" customFormat="false" ht="13.8" hidden="false" customHeight="false" outlineLevel="0" collapsed="false">
      <c r="A1775" s="8" t="s">
        <v>1826</v>
      </c>
      <c r="B1775" s="8" t="s">
        <v>42</v>
      </c>
      <c r="C1775" s="8" t="s">
        <v>239</v>
      </c>
      <c r="D1775" s="8" t="s">
        <v>40</v>
      </c>
      <c r="E1775" s="8" t="n">
        <v>1450</v>
      </c>
      <c r="F1775" s="8" t="n">
        <v>618</v>
      </c>
      <c r="G1775" s="8" t="n">
        <v>14</v>
      </c>
      <c r="H1775" s="13" t="n">
        <f aca="false">(E1775/1000)*(F1775/1000)*(G1775/1000)*7850</f>
        <v>98.48139</v>
      </c>
      <c r="I1775" s="8" t="n">
        <v>4</v>
      </c>
      <c r="J1775" s="14" t="n">
        <f aca="false">H1775*I1775</f>
        <v>393.92556</v>
      </c>
      <c r="K1775" s="8" t="s">
        <v>1873</v>
      </c>
    </row>
    <row r="1776" customFormat="false" ht="13.8" hidden="false" customHeight="false" outlineLevel="0" collapsed="false">
      <c r="A1776" s="8" t="s">
        <v>1874</v>
      </c>
      <c r="B1776" s="8" t="s">
        <v>38</v>
      </c>
      <c r="C1776" s="8" t="s">
        <v>444</v>
      </c>
      <c r="D1776" s="8" t="s">
        <v>341</v>
      </c>
      <c r="G1776" s="8" t="n">
        <v>40</v>
      </c>
      <c r="H1776" s="13" t="n">
        <f aca="false">M1776*(G1776/1000)*7850</f>
        <v>3720.9</v>
      </c>
      <c r="I1776" s="8" t="n">
        <v>2</v>
      </c>
      <c r="J1776" s="14" t="n">
        <f aca="false">H1776*I1776</f>
        <v>7441.8</v>
      </c>
      <c r="K1776" s="8" t="s">
        <v>1875</v>
      </c>
      <c r="M1776" s="15" t="n">
        <v>11.85</v>
      </c>
    </row>
    <row r="1777" customFormat="false" ht="13.8" hidden="false" customHeight="false" outlineLevel="0" collapsed="false">
      <c r="A1777" s="8" t="s">
        <v>1874</v>
      </c>
      <c r="B1777" s="8" t="s">
        <v>42</v>
      </c>
      <c r="C1777" s="8" t="s">
        <v>181</v>
      </c>
      <c r="D1777" s="8" t="s">
        <v>40</v>
      </c>
      <c r="G1777" s="8" t="n">
        <v>24</v>
      </c>
      <c r="H1777" s="13" t="n">
        <f aca="false">M1777*(G1777/1000)*7850</f>
        <v>1957.476</v>
      </c>
      <c r="I1777" s="8" t="n">
        <v>2</v>
      </c>
      <c r="J1777" s="14" t="n">
        <f aca="false">H1777*I1777</f>
        <v>3914.952</v>
      </c>
      <c r="K1777" s="8" t="s">
        <v>1876</v>
      </c>
      <c r="M1777" s="15" t="n">
        <v>10.39</v>
      </c>
    </row>
    <row r="1778" customFormat="false" ht="13.8" hidden="false" customHeight="false" outlineLevel="0" collapsed="false">
      <c r="A1778" s="8" t="s">
        <v>1874</v>
      </c>
      <c r="B1778" s="8" t="s">
        <v>45</v>
      </c>
      <c r="C1778" s="8" t="s">
        <v>183</v>
      </c>
      <c r="D1778" s="8" t="s">
        <v>341</v>
      </c>
      <c r="E1778" s="8" t="n">
        <v>7900</v>
      </c>
      <c r="F1778" s="8" t="n">
        <v>1200</v>
      </c>
      <c r="G1778" s="8" t="n">
        <v>40</v>
      </c>
      <c r="H1778" s="13" t="n">
        <f aca="false">(E1778/1000)*(F1778/1000)*(G1778/1000)*7850</f>
        <v>2976.72</v>
      </c>
      <c r="I1778" s="8" t="n">
        <v>2</v>
      </c>
      <c r="J1778" s="14" t="n">
        <f aca="false">H1778*I1778</f>
        <v>5953.44</v>
      </c>
      <c r="K1778" s="8" t="s">
        <v>1877</v>
      </c>
    </row>
    <row r="1779" customFormat="false" ht="13.8" hidden="false" customHeight="false" outlineLevel="0" collapsed="false">
      <c r="A1779" s="8" t="s">
        <v>1874</v>
      </c>
      <c r="B1779" s="8" t="s">
        <v>42</v>
      </c>
      <c r="C1779" s="8" t="s">
        <v>345</v>
      </c>
      <c r="D1779" s="8" t="s">
        <v>40</v>
      </c>
      <c r="E1779" s="8" t="n">
        <v>7100</v>
      </c>
      <c r="F1779" s="8" t="n">
        <v>1200</v>
      </c>
      <c r="G1779" s="8" t="n">
        <v>24</v>
      </c>
      <c r="H1779" s="13" t="n">
        <f aca="false">(E1779/1000)*(F1779/1000)*(G1779/1000)*7850</f>
        <v>1605.168</v>
      </c>
      <c r="I1779" s="8" t="n">
        <v>2</v>
      </c>
      <c r="J1779" s="14" t="n">
        <f aca="false">H1779*I1779</f>
        <v>3210.336</v>
      </c>
      <c r="K1779" s="8" t="s">
        <v>1878</v>
      </c>
    </row>
    <row r="1780" customFormat="false" ht="13.8" hidden="false" customHeight="false" outlineLevel="0" collapsed="false">
      <c r="A1780" s="8" t="s">
        <v>1874</v>
      </c>
      <c r="B1780" s="8" t="s">
        <v>187</v>
      </c>
      <c r="C1780" s="8" t="s">
        <v>188</v>
      </c>
      <c r="D1780" s="8" t="s">
        <v>341</v>
      </c>
      <c r="G1780" s="8" t="n">
        <v>48</v>
      </c>
      <c r="H1780" s="13" t="n">
        <f aca="false">M1780*(G1780/1000)*7850</f>
        <v>8334.816</v>
      </c>
      <c r="I1780" s="8" t="n">
        <v>4</v>
      </c>
      <c r="J1780" s="14" t="n">
        <f aca="false">H1780*I1780</f>
        <v>33339.264</v>
      </c>
      <c r="K1780" s="8" t="s">
        <v>1879</v>
      </c>
      <c r="M1780" s="15" t="n">
        <v>22.12</v>
      </c>
    </row>
    <row r="1781" customFormat="false" ht="13.8" hidden="false" customHeight="false" outlineLevel="0" collapsed="false">
      <c r="A1781" s="8" t="s">
        <v>1874</v>
      </c>
      <c r="B1781" s="8" t="s">
        <v>190</v>
      </c>
      <c r="C1781" s="8" t="s">
        <v>191</v>
      </c>
      <c r="D1781" s="8" t="s">
        <v>40</v>
      </c>
      <c r="E1781" s="8" t="n">
        <v>7300</v>
      </c>
      <c r="F1781" s="8" t="n">
        <v>1644</v>
      </c>
      <c r="G1781" s="8" t="n">
        <v>32</v>
      </c>
      <c r="H1781" s="13" t="n">
        <f aca="false">(E1781/1000)*(F1781/1000)*(G1781/1000)*7850</f>
        <v>3014.70144</v>
      </c>
      <c r="I1781" s="8" t="n">
        <v>4</v>
      </c>
      <c r="J1781" s="14" t="n">
        <f aca="false">H1781*I1781</f>
        <v>12058.80576</v>
      </c>
      <c r="K1781" s="8" t="s">
        <v>1880</v>
      </c>
    </row>
    <row r="1782" customFormat="false" ht="13.8" hidden="false" customHeight="false" outlineLevel="0" collapsed="false">
      <c r="A1782" s="8" t="s">
        <v>1874</v>
      </c>
      <c r="B1782" s="8" t="s">
        <v>195</v>
      </c>
      <c r="C1782" s="8" t="s">
        <v>58</v>
      </c>
      <c r="D1782" s="8" t="s">
        <v>40</v>
      </c>
      <c r="E1782" s="8" t="n">
        <v>1560</v>
      </c>
      <c r="F1782" s="8" t="n">
        <v>1200</v>
      </c>
      <c r="G1782" s="8" t="n">
        <v>16</v>
      </c>
      <c r="H1782" s="13" t="n">
        <f aca="false">(E1782/1000)*(F1782/1000)*(G1782/1000)*7850</f>
        <v>235.1232</v>
      </c>
      <c r="I1782" s="8" t="n">
        <v>6</v>
      </c>
      <c r="J1782" s="14" t="n">
        <f aca="false">H1782*I1782</f>
        <v>1410.7392</v>
      </c>
      <c r="K1782" s="8" t="s">
        <v>1881</v>
      </c>
    </row>
    <row r="1783" customFormat="false" ht="13.8" hidden="false" customHeight="false" outlineLevel="0" collapsed="false">
      <c r="A1783" s="8" t="s">
        <v>1874</v>
      </c>
      <c r="B1783" s="8" t="s">
        <v>42</v>
      </c>
      <c r="C1783" s="8" t="s">
        <v>298</v>
      </c>
      <c r="D1783" s="8" t="s">
        <v>40</v>
      </c>
      <c r="E1783" s="8" t="n">
        <v>1576</v>
      </c>
      <c r="F1783" s="8" t="n">
        <v>1200</v>
      </c>
      <c r="G1783" s="8" t="n">
        <v>16</v>
      </c>
      <c r="H1783" s="13" t="n">
        <f aca="false">(E1783/1000)*(F1783/1000)*(G1783/1000)*7850</f>
        <v>237.53472</v>
      </c>
      <c r="I1783" s="8" t="n">
        <v>4</v>
      </c>
      <c r="J1783" s="14" t="n">
        <f aca="false">H1783*I1783</f>
        <v>950.13888</v>
      </c>
      <c r="K1783" s="8" t="s">
        <v>1882</v>
      </c>
    </row>
    <row r="1784" customFormat="false" ht="13.8" hidden="false" customHeight="false" outlineLevel="0" collapsed="false">
      <c r="A1784" s="8" t="s">
        <v>1874</v>
      </c>
      <c r="B1784" s="8" t="s">
        <v>42</v>
      </c>
      <c r="C1784" s="8" t="s">
        <v>196</v>
      </c>
      <c r="D1784" s="8" t="s">
        <v>40</v>
      </c>
      <c r="E1784" s="8" t="n">
        <v>1657</v>
      </c>
      <c r="F1784" s="8" t="n">
        <v>200</v>
      </c>
      <c r="G1784" s="8" t="n">
        <v>16</v>
      </c>
      <c r="H1784" s="13" t="n">
        <f aca="false">(E1784/1000)*(F1784/1000)*(G1784/1000)*7850</f>
        <v>41.62384</v>
      </c>
      <c r="I1784" s="8" t="n">
        <v>6</v>
      </c>
      <c r="J1784" s="14" t="n">
        <f aca="false">H1784*I1784</f>
        <v>249.74304</v>
      </c>
      <c r="K1784" s="8" t="s">
        <v>1883</v>
      </c>
    </row>
    <row r="1785" customFormat="false" ht="13.8" hidden="false" customHeight="false" outlineLevel="0" collapsed="false">
      <c r="A1785" s="8" t="s">
        <v>1874</v>
      </c>
      <c r="B1785" s="8" t="s">
        <v>42</v>
      </c>
      <c r="C1785" s="8" t="s">
        <v>68</v>
      </c>
      <c r="D1785" s="8" t="s">
        <v>40</v>
      </c>
      <c r="E1785" s="8" t="n">
        <v>600</v>
      </c>
      <c r="F1785" s="8" t="n">
        <v>400</v>
      </c>
      <c r="G1785" s="8" t="n">
        <v>16</v>
      </c>
      <c r="H1785" s="13" t="n">
        <f aca="false">(E1785/1000)*(F1785/1000)*(G1785/1000)*7850</f>
        <v>30.144</v>
      </c>
      <c r="I1785" s="8" t="n">
        <v>8</v>
      </c>
      <c r="J1785" s="14" t="n">
        <f aca="false">H1785*I1785</f>
        <v>241.152</v>
      </c>
      <c r="K1785" s="8" t="s">
        <v>1884</v>
      </c>
    </row>
    <row r="1786" customFormat="false" ht="13.8" hidden="false" customHeight="false" outlineLevel="0" collapsed="false">
      <c r="A1786" s="8" t="s">
        <v>1874</v>
      </c>
      <c r="B1786" s="8" t="s">
        <v>1885</v>
      </c>
      <c r="C1786" s="8" t="s">
        <v>199</v>
      </c>
      <c r="D1786" s="8" t="s">
        <v>341</v>
      </c>
      <c r="E1786" s="8" t="n">
        <v>7900</v>
      </c>
      <c r="F1786" s="8" t="n">
        <v>320</v>
      </c>
      <c r="G1786" s="8" t="n">
        <v>32</v>
      </c>
      <c r="H1786" s="13" t="n">
        <f aca="false">(E1786/1000)*(F1786/1000)*(G1786/1000)*7850</f>
        <v>635.0336</v>
      </c>
      <c r="I1786" s="8" t="n">
        <v>12</v>
      </c>
      <c r="J1786" s="14" t="n">
        <f aca="false">H1786*I1786</f>
        <v>7620.4032</v>
      </c>
      <c r="K1786" s="8" t="s">
        <v>1886</v>
      </c>
    </row>
    <row r="1787" customFormat="false" ht="13.8" hidden="false" customHeight="false" outlineLevel="0" collapsed="false">
      <c r="A1787" s="8" t="s">
        <v>1874</v>
      </c>
      <c r="B1787" s="8" t="s">
        <v>42</v>
      </c>
      <c r="C1787" s="8" t="s">
        <v>76</v>
      </c>
      <c r="D1787" s="8" t="s">
        <v>40</v>
      </c>
      <c r="E1787" s="8" t="n">
        <v>7100</v>
      </c>
      <c r="F1787" s="8" t="n">
        <v>240</v>
      </c>
      <c r="G1787" s="8" t="n">
        <v>20</v>
      </c>
      <c r="H1787" s="13" t="n">
        <f aca="false">(E1787/1000)*(F1787/1000)*(G1787/1000)*7850</f>
        <v>267.528</v>
      </c>
      <c r="I1787" s="8" t="n">
        <v>12</v>
      </c>
      <c r="J1787" s="14" t="n">
        <f aca="false">H1787*I1787</f>
        <v>3210.336</v>
      </c>
      <c r="K1787" s="8" t="s">
        <v>1887</v>
      </c>
    </row>
    <row r="1788" customFormat="false" ht="13.8" hidden="false" customHeight="false" outlineLevel="0" collapsed="false">
      <c r="A1788" s="8" t="s">
        <v>1874</v>
      </c>
      <c r="B1788" s="8" t="s">
        <v>256</v>
      </c>
      <c r="C1788" s="8" t="s">
        <v>96</v>
      </c>
      <c r="D1788" s="8" t="s">
        <v>40</v>
      </c>
      <c r="E1788" s="8" t="n">
        <v>7900</v>
      </c>
      <c r="F1788" s="8" t="n">
        <v>1850</v>
      </c>
      <c r="G1788" s="8" t="n">
        <v>24</v>
      </c>
      <c r="H1788" s="13" t="n">
        <f aca="false">(E1788/1000)*(F1788/1000)*(G1788/1000)*7850</f>
        <v>2753.466</v>
      </c>
      <c r="I1788" s="8" t="n">
        <v>2</v>
      </c>
      <c r="J1788" s="14" t="n">
        <f aca="false">H1788*I1788</f>
        <v>5506.932</v>
      </c>
      <c r="K1788" s="8" t="s">
        <v>1888</v>
      </c>
    </row>
    <row r="1789" customFormat="false" ht="13.8" hidden="false" customHeight="false" outlineLevel="0" collapsed="false">
      <c r="A1789" s="8" t="s">
        <v>1874</v>
      </c>
      <c r="B1789" s="8" t="s">
        <v>42</v>
      </c>
      <c r="C1789" s="8" t="s">
        <v>305</v>
      </c>
      <c r="D1789" s="8" t="s">
        <v>40</v>
      </c>
      <c r="E1789" s="8" t="n">
        <v>7100</v>
      </c>
      <c r="F1789" s="8" t="n">
        <v>1850</v>
      </c>
      <c r="G1789" s="8" t="n">
        <v>24</v>
      </c>
      <c r="H1789" s="13" t="n">
        <f aca="false">(E1789/1000)*(F1789/1000)*(G1789/1000)*7850</f>
        <v>2474.634</v>
      </c>
      <c r="I1789" s="8" t="n">
        <v>2</v>
      </c>
      <c r="J1789" s="14" t="n">
        <f aca="false">H1789*I1789</f>
        <v>4949.268</v>
      </c>
      <c r="K1789" s="8" t="s">
        <v>1889</v>
      </c>
    </row>
    <row r="1790" customFormat="false" ht="13.8" hidden="false" customHeight="false" outlineLevel="0" collapsed="false">
      <c r="A1790" s="8" t="s">
        <v>1874</v>
      </c>
      <c r="B1790" s="8" t="s">
        <v>260</v>
      </c>
      <c r="C1790" s="8" t="s">
        <v>100</v>
      </c>
      <c r="D1790" s="8" t="s">
        <v>40</v>
      </c>
      <c r="G1790" s="8" t="n">
        <v>24</v>
      </c>
      <c r="H1790" s="13" t="n">
        <f aca="false">M1790*(G1790/1000)*7850</f>
        <v>2360.652</v>
      </c>
      <c r="I1790" s="8" t="n">
        <v>2</v>
      </c>
      <c r="J1790" s="14" t="n">
        <f aca="false">H1790*I1790</f>
        <v>4721.304</v>
      </c>
      <c r="K1790" s="8" t="s">
        <v>1890</v>
      </c>
      <c r="M1790" s="15" t="n">
        <v>12.53</v>
      </c>
    </row>
    <row r="1791" customFormat="false" ht="13.8" hidden="false" customHeight="false" outlineLevel="0" collapsed="false">
      <c r="A1791" s="8" t="s">
        <v>1874</v>
      </c>
      <c r="B1791" s="8" t="s">
        <v>42</v>
      </c>
      <c r="C1791" s="8" t="s">
        <v>206</v>
      </c>
      <c r="D1791" s="8" t="s">
        <v>40</v>
      </c>
      <c r="G1791" s="8" t="n">
        <v>24</v>
      </c>
      <c r="H1791" s="13" t="n">
        <f aca="false">M1791*(G1791/1000)*7850</f>
        <v>1829.364</v>
      </c>
      <c r="I1791" s="8" t="n">
        <v>2</v>
      </c>
      <c r="J1791" s="14" t="n">
        <f aca="false">H1791*I1791</f>
        <v>3658.728</v>
      </c>
      <c r="K1791" s="8" t="s">
        <v>1891</v>
      </c>
      <c r="M1791" s="15" t="n">
        <v>9.71</v>
      </c>
    </row>
    <row r="1792" customFormat="false" ht="13.8" hidden="false" customHeight="false" outlineLevel="0" collapsed="false">
      <c r="A1792" s="8" t="s">
        <v>1874</v>
      </c>
      <c r="B1792" s="8" t="s">
        <v>105</v>
      </c>
      <c r="C1792" s="8" t="s">
        <v>103</v>
      </c>
      <c r="D1792" s="8" t="s">
        <v>40</v>
      </c>
      <c r="G1792" s="8" t="n">
        <v>44</v>
      </c>
      <c r="H1792" s="13" t="n">
        <f aca="false">M1792*(G1792/1000)*7850</f>
        <v>7153.234</v>
      </c>
      <c r="I1792" s="8" t="n">
        <v>4</v>
      </c>
      <c r="J1792" s="14" t="n">
        <f aca="false">H1792*I1792</f>
        <v>28612.936</v>
      </c>
      <c r="K1792" s="8" t="s">
        <v>1892</v>
      </c>
      <c r="M1792" s="15" t="n">
        <v>20.71</v>
      </c>
    </row>
    <row r="1793" customFormat="false" ht="13.8" hidden="false" customHeight="false" outlineLevel="0" collapsed="false">
      <c r="A1793" s="8" t="s">
        <v>1874</v>
      </c>
      <c r="B1793" s="8" t="s">
        <v>102</v>
      </c>
      <c r="C1793" s="8" t="s">
        <v>106</v>
      </c>
      <c r="D1793" s="8" t="s">
        <v>40</v>
      </c>
      <c r="E1793" s="8" t="n">
        <v>7300</v>
      </c>
      <c r="F1793" s="8" t="n">
        <v>1474</v>
      </c>
      <c r="G1793" s="8" t="n">
        <v>32</v>
      </c>
      <c r="H1793" s="13" t="n">
        <f aca="false">(E1793/1000)*(F1793/1000)*(G1793/1000)*7850</f>
        <v>2702.96224</v>
      </c>
      <c r="I1793" s="8" t="n">
        <v>4</v>
      </c>
      <c r="J1793" s="14" t="n">
        <f aca="false">H1793*I1793</f>
        <v>10811.84896</v>
      </c>
      <c r="K1793" s="8" t="s">
        <v>1893</v>
      </c>
    </row>
    <row r="1794" customFormat="false" ht="13.8" hidden="false" customHeight="false" outlineLevel="0" collapsed="false">
      <c r="A1794" s="8" t="s">
        <v>1874</v>
      </c>
      <c r="B1794" s="8" t="s">
        <v>110</v>
      </c>
      <c r="C1794" s="8" t="s">
        <v>108</v>
      </c>
      <c r="D1794" s="8" t="s">
        <v>40</v>
      </c>
      <c r="E1794" s="8" t="n">
        <v>1450</v>
      </c>
      <c r="F1794" s="8" t="n">
        <v>1200</v>
      </c>
      <c r="G1794" s="8" t="n">
        <v>16</v>
      </c>
      <c r="H1794" s="13" t="n">
        <f aca="false">(E1794/1000)*(F1794/1000)*(G1794/1000)*7850</f>
        <v>218.544</v>
      </c>
      <c r="I1794" s="8" t="n">
        <v>6</v>
      </c>
      <c r="J1794" s="14" t="n">
        <f aca="false">H1794*I1794</f>
        <v>1311.264</v>
      </c>
      <c r="K1794" s="8" t="s">
        <v>1894</v>
      </c>
    </row>
    <row r="1795" customFormat="false" ht="13.8" hidden="false" customHeight="false" outlineLevel="0" collapsed="false">
      <c r="A1795" s="8" t="s">
        <v>1874</v>
      </c>
      <c r="B1795" s="8" t="s">
        <v>42</v>
      </c>
      <c r="C1795" s="8" t="s">
        <v>112</v>
      </c>
      <c r="D1795" s="8" t="s">
        <v>40</v>
      </c>
      <c r="E1795" s="8" t="n">
        <v>1450</v>
      </c>
      <c r="F1795" s="8" t="n">
        <v>1200</v>
      </c>
      <c r="G1795" s="8" t="n">
        <v>16</v>
      </c>
      <c r="H1795" s="13" t="n">
        <f aca="false">(E1795/1000)*(F1795/1000)*(G1795/1000)*7850</f>
        <v>218.544</v>
      </c>
      <c r="I1795" s="8" t="n">
        <v>4</v>
      </c>
      <c r="J1795" s="14" t="n">
        <f aca="false">H1795*I1795</f>
        <v>874.176</v>
      </c>
      <c r="K1795" s="8" t="s">
        <v>1894</v>
      </c>
    </row>
    <row r="1796" customFormat="false" ht="13.8" hidden="false" customHeight="false" outlineLevel="0" collapsed="false">
      <c r="A1796" s="8" t="s">
        <v>1874</v>
      </c>
      <c r="B1796" s="8" t="s">
        <v>42</v>
      </c>
      <c r="C1796" s="8" t="s">
        <v>108</v>
      </c>
      <c r="D1796" s="8" t="s">
        <v>40</v>
      </c>
      <c r="E1796" s="8" t="n">
        <v>1657</v>
      </c>
      <c r="F1796" s="8" t="n">
        <v>200</v>
      </c>
      <c r="G1796" s="8" t="n">
        <v>16</v>
      </c>
      <c r="H1796" s="13" t="n">
        <f aca="false">(E1796/1000)*(F1796/1000)*(G1796/1000)*7850</f>
        <v>41.62384</v>
      </c>
      <c r="I1796" s="8" t="n">
        <v>10</v>
      </c>
      <c r="J1796" s="14" t="n">
        <f aca="false">H1796*I1796</f>
        <v>416.2384</v>
      </c>
      <c r="K1796" s="8" t="s">
        <v>1883</v>
      </c>
    </row>
    <row r="1797" customFormat="false" ht="13.8" hidden="false" customHeight="false" outlineLevel="0" collapsed="false">
      <c r="A1797" s="8" t="s">
        <v>1874</v>
      </c>
      <c r="B1797" s="8" t="s">
        <v>1765</v>
      </c>
      <c r="C1797" s="8" t="s">
        <v>114</v>
      </c>
      <c r="D1797" s="8" t="s">
        <v>289</v>
      </c>
      <c r="E1797" s="8" t="n">
        <v>7900</v>
      </c>
      <c r="F1797" s="8" t="n">
        <v>240</v>
      </c>
      <c r="G1797" s="8" t="n">
        <v>20</v>
      </c>
      <c r="H1797" s="13" t="n">
        <f aca="false">(E1797/1000)*(F1797/1000)*(G1797/1000)*7850</f>
        <v>297.672</v>
      </c>
      <c r="I1797" s="8" t="n">
        <v>8</v>
      </c>
      <c r="J1797" s="14" t="n">
        <f aca="false">H1797*I1797</f>
        <v>2381.376</v>
      </c>
      <c r="K1797" s="8" t="s">
        <v>1895</v>
      </c>
    </row>
    <row r="1798" customFormat="false" ht="13.8" hidden="false" customHeight="false" outlineLevel="0" collapsed="false">
      <c r="A1798" s="8" t="s">
        <v>1874</v>
      </c>
      <c r="B1798" s="8" t="s">
        <v>42</v>
      </c>
      <c r="C1798" s="8" t="s">
        <v>116</v>
      </c>
      <c r="D1798" s="8" t="s">
        <v>40</v>
      </c>
      <c r="E1798" s="8" t="n">
        <v>7100</v>
      </c>
      <c r="F1798" s="8" t="n">
        <v>320</v>
      </c>
      <c r="G1798" s="8" t="n">
        <v>32</v>
      </c>
      <c r="H1798" s="13" t="n">
        <f aca="false">(E1798/1000)*(F1798/1000)*(G1798/1000)*7850</f>
        <v>570.7264</v>
      </c>
      <c r="I1798" s="8" t="n">
        <v>8</v>
      </c>
      <c r="J1798" s="14" t="n">
        <f aca="false">H1798*I1798</f>
        <v>4565.8112</v>
      </c>
      <c r="K1798" s="8" t="s">
        <v>1896</v>
      </c>
    </row>
    <row r="1799" customFormat="false" ht="13.8" hidden="false" customHeight="false" outlineLevel="0" collapsed="false">
      <c r="A1799" s="8" t="s">
        <v>1874</v>
      </c>
      <c r="B1799" s="8" t="s">
        <v>42</v>
      </c>
      <c r="C1799" s="8" t="s">
        <v>118</v>
      </c>
      <c r="D1799" s="8" t="s">
        <v>40</v>
      </c>
      <c r="E1799" s="8" t="n">
        <v>15000</v>
      </c>
      <c r="F1799" s="8" t="n">
        <v>170</v>
      </c>
      <c r="G1799" s="8" t="n">
        <v>14</v>
      </c>
      <c r="H1799" s="13" t="n">
        <f aca="false">(E1799/1000)*(F1799/1000)*(G1799/1000)*7850</f>
        <v>280.245</v>
      </c>
      <c r="I1799" s="8" t="n">
        <v>2</v>
      </c>
      <c r="J1799" s="14" t="n">
        <f aca="false">H1799*I1799</f>
        <v>560.49</v>
      </c>
      <c r="K1799" s="8" t="s">
        <v>1897</v>
      </c>
    </row>
    <row r="1800" customFormat="false" ht="13.8" hidden="false" customHeight="false" outlineLevel="0" collapsed="false">
      <c r="A1800" s="8" t="s">
        <v>1874</v>
      </c>
      <c r="B1800" s="8" t="s">
        <v>272</v>
      </c>
      <c r="C1800" s="8" t="s">
        <v>125</v>
      </c>
      <c r="D1800" s="8" t="s">
        <v>40</v>
      </c>
      <c r="E1800" s="8" t="n">
        <v>11322</v>
      </c>
      <c r="F1800" s="8" t="n">
        <v>1200</v>
      </c>
      <c r="G1800" s="8" t="n">
        <v>36</v>
      </c>
      <c r="H1800" s="13" t="n">
        <f aca="false">(E1800/1000)*(F1800/1000)*(G1800/1000)*7850</f>
        <v>3839.51664</v>
      </c>
      <c r="I1800" s="8" t="n">
        <v>2</v>
      </c>
      <c r="J1800" s="14" t="n">
        <f aca="false">H1800*I1800</f>
        <v>7679.03328</v>
      </c>
      <c r="K1800" s="8" t="s">
        <v>1898</v>
      </c>
    </row>
    <row r="1801" customFormat="false" ht="13.8" hidden="false" customHeight="false" outlineLevel="0" collapsed="false">
      <c r="A1801" s="8" t="s">
        <v>1874</v>
      </c>
      <c r="B1801" s="8" t="s">
        <v>42</v>
      </c>
      <c r="C1801" s="8" t="s">
        <v>127</v>
      </c>
      <c r="D1801" s="8" t="s">
        <v>40</v>
      </c>
      <c r="E1801" s="8" t="n">
        <v>11622</v>
      </c>
      <c r="F1801" s="8" t="n">
        <v>1200</v>
      </c>
      <c r="G1801" s="8" t="n">
        <v>36</v>
      </c>
      <c r="H1801" s="13" t="n">
        <f aca="false">(E1801/1000)*(F1801/1000)*(G1801/1000)*7850</f>
        <v>3941.25264</v>
      </c>
      <c r="I1801" s="8" t="n">
        <v>2</v>
      </c>
      <c r="J1801" s="14" t="n">
        <f aca="false">H1801*I1801</f>
        <v>7882.50528</v>
      </c>
      <c r="K1801" s="8" t="s">
        <v>1899</v>
      </c>
    </row>
    <row r="1802" customFormat="false" ht="13.8" hidden="false" customHeight="false" outlineLevel="0" collapsed="false">
      <c r="A1802" s="8" t="s">
        <v>1874</v>
      </c>
      <c r="B1802" s="8" t="s">
        <v>42</v>
      </c>
      <c r="C1802" s="8" t="s">
        <v>128</v>
      </c>
      <c r="D1802" s="8" t="s">
        <v>40</v>
      </c>
      <c r="E1802" s="8" t="n">
        <v>7322</v>
      </c>
      <c r="F1802" s="8" t="n">
        <v>1360</v>
      </c>
      <c r="G1802" s="8" t="n">
        <v>36</v>
      </c>
      <c r="H1802" s="13" t="n">
        <f aca="false">(E1802/1000)*(F1802/1000)*(G1802/1000)*7850</f>
        <v>2814.108192</v>
      </c>
      <c r="I1802" s="8" t="n">
        <v>4</v>
      </c>
      <c r="J1802" s="14" t="n">
        <f aca="false">H1802*I1802</f>
        <v>11256.432768</v>
      </c>
      <c r="K1802" s="8" t="s">
        <v>1900</v>
      </c>
    </row>
    <row r="1803" customFormat="false" ht="13.8" hidden="false" customHeight="false" outlineLevel="0" collapsed="false">
      <c r="A1803" s="8" t="s">
        <v>1874</v>
      </c>
      <c r="B1803" s="8" t="s">
        <v>42</v>
      </c>
      <c r="C1803" s="8" t="s">
        <v>130</v>
      </c>
      <c r="D1803" s="8" t="s">
        <v>40</v>
      </c>
      <c r="E1803" s="8" t="n">
        <v>7322</v>
      </c>
      <c r="F1803" s="8" t="n">
        <v>320</v>
      </c>
      <c r="G1803" s="8" t="n">
        <v>32</v>
      </c>
      <c r="H1803" s="13" t="n">
        <f aca="false">(E1803/1000)*(F1803/1000)*(G1803/1000)*7850</f>
        <v>588.571648</v>
      </c>
      <c r="I1803" s="8" t="n">
        <v>4</v>
      </c>
      <c r="J1803" s="14" t="n">
        <f aca="false">H1803*I1803</f>
        <v>2354.286592</v>
      </c>
      <c r="K1803" s="8" t="s">
        <v>1901</v>
      </c>
    </row>
    <row r="1804" customFormat="false" ht="13.8" hidden="false" customHeight="false" outlineLevel="0" collapsed="false">
      <c r="A1804" s="8" t="s">
        <v>1874</v>
      </c>
      <c r="B1804" s="8" t="s">
        <v>42</v>
      </c>
      <c r="C1804" s="8" t="s">
        <v>134</v>
      </c>
      <c r="D1804" s="8" t="s">
        <v>40</v>
      </c>
      <c r="E1804" s="8" t="n">
        <v>10222</v>
      </c>
      <c r="F1804" s="8" t="n">
        <v>320</v>
      </c>
      <c r="G1804" s="8" t="n">
        <v>32</v>
      </c>
      <c r="H1804" s="13" t="n">
        <f aca="false">(E1804/1000)*(F1804/1000)*(G1804/1000)*7850</f>
        <v>821.685248</v>
      </c>
      <c r="I1804" s="8" t="n">
        <v>2</v>
      </c>
      <c r="J1804" s="14" t="n">
        <f aca="false">H1804*I1804</f>
        <v>1643.370496</v>
      </c>
      <c r="K1804" s="8" t="s">
        <v>1902</v>
      </c>
    </row>
    <row r="1805" customFormat="false" ht="13.8" hidden="false" customHeight="false" outlineLevel="0" collapsed="false">
      <c r="A1805" s="8" t="s">
        <v>1874</v>
      </c>
      <c r="B1805" s="8" t="s">
        <v>42</v>
      </c>
      <c r="C1805" s="8" t="s">
        <v>135</v>
      </c>
      <c r="D1805" s="8" t="s">
        <v>40</v>
      </c>
      <c r="E1805" s="8" t="n">
        <v>1200</v>
      </c>
      <c r="F1805" s="8" t="n">
        <v>1200</v>
      </c>
      <c r="G1805" s="8" t="n">
        <v>16</v>
      </c>
      <c r="H1805" s="13" t="n">
        <f aca="false">(E1805/1000)*(F1805/1000)*(G1805/1000)*7850</f>
        <v>180.864</v>
      </c>
      <c r="I1805" s="8" t="n">
        <v>6</v>
      </c>
      <c r="J1805" s="14" t="n">
        <f aca="false">H1805*I1805</f>
        <v>1085.184</v>
      </c>
      <c r="K1805" s="8" t="s">
        <v>1903</v>
      </c>
    </row>
    <row r="1806" customFormat="false" ht="13.8" hidden="false" customHeight="false" outlineLevel="0" collapsed="false">
      <c r="A1806" s="8" t="s">
        <v>1874</v>
      </c>
      <c r="B1806" s="8" t="s">
        <v>42</v>
      </c>
      <c r="C1806" s="8" t="s">
        <v>321</v>
      </c>
      <c r="D1806" s="8" t="s">
        <v>40</v>
      </c>
      <c r="E1806" s="8" t="n">
        <v>5440</v>
      </c>
      <c r="F1806" s="8" t="n">
        <v>1200</v>
      </c>
      <c r="G1806" s="8" t="n">
        <v>40</v>
      </c>
      <c r="H1806" s="13" t="n">
        <f aca="false">(E1806/1000)*(F1806/1000)*(G1806/1000)*7850</f>
        <v>2049.792</v>
      </c>
      <c r="I1806" s="8" t="n">
        <v>2</v>
      </c>
      <c r="J1806" s="14" t="n">
        <f aca="false">H1806*I1806</f>
        <v>4099.584</v>
      </c>
      <c r="K1806" s="8" t="s">
        <v>1904</v>
      </c>
    </row>
    <row r="1807" customFormat="false" ht="13.8" hidden="false" customHeight="false" outlineLevel="0" collapsed="false">
      <c r="A1807" s="8" t="s">
        <v>1874</v>
      </c>
      <c r="B1807" s="8" t="s">
        <v>42</v>
      </c>
      <c r="C1807" s="8" t="s">
        <v>374</v>
      </c>
      <c r="D1807" s="8" t="s">
        <v>40</v>
      </c>
      <c r="E1807" s="8" t="n">
        <v>5740</v>
      </c>
      <c r="F1807" s="8" t="n">
        <v>1200</v>
      </c>
      <c r="G1807" s="8" t="n">
        <v>40</v>
      </c>
      <c r="H1807" s="13" t="n">
        <f aca="false">(E1807/1000)*(F1807/1000)*(G1807/1000)*7850</f>
        <v>2162.832</v>
      </c>
      <c r="I1807" s="8" t="n">
        <v>2</v>
      </c>
      <c r="J1807" s="14" t="n">
        <f aca="false">H1807*I1807</f>
        <v>4325.664</v>
      </c>
      <c r="K1807" s="8" t="s">
        <v>1905</v>
      </c>
    </row>
    <row r="1808" customFormat="false" ht="13.8" hidden="false" customHeight="false" outlineLevel="0" collapsed="false">
      <c r="A1808" s="8" t="s">
        <v>1874</v>
      </c>
      <c r="B1808" s="8" t="s">
        <v>42</v>
      </c>
      <c r="C1808" s="8" t="s">
        <v>141</v>
      </c>
      <c r="D1808" s="8" t="s">
        <v>40</v>
      </c>
      <c r="E1808" s="8" t="n">
        <v>3640</v>
      </c>
      <c r="F1808" s="8" t="n">
        <v>1760</v>
      </c>
      <c r="G1808" s="8" t="n">
        <v>40</v>
      </c>
      <c r="H1808" s="13" t="n">
        <f aca="false">(E1808/1000)*(F1808/1000)*(G1808/1000)*7850</f>
        <v>2011.6096</v>
      </c>
      <c r="I1808" s="8" t="n">
        <v>4</v>
      </c>
      <c r="J1808" s="14" t="n">
        <f aca="false">H1808*I1808</f>
        <v>8046.4384</v>
      </c>
      <c r="K1808" s="8" t="s">
        <v>1906</v>
      </c>
    </row>
    <row r="1809" customFormat="false" ht="13.8" hidden="false" customHeight="false" outlineLevel="0" collapsed="false">
      <c r="A1809" s="8" t="s">
        <v>1874</v>
      </c>
      <c r="B1809" s="8" t="s">
        <v>42</v>
      </c>
      <c r="C1809" s="8" t="s">
        <v>143</v>
      </c>
      <c r="D1809" s="8" t="s">
        <v>40</v>
      </c>
      <c r="E1809" s="8" t="n">
        <v>3640</v>
      </c>
      <c r="F1809" s="8" t="n">
        <v>320</v>
      </c>
      <c r="G1809" s="8" t="n">
        <v>32</v>
      </c>
      <c r="H1809" s="13" t="n">
        <f aca="false">(E1809/1000)*(F1809/1000)*(G1809/1000)*7850</f>
        <v>292.59776</v>
      </c>
      <c r="I1809" s="8" t="n">
        <v>8</v>
      </c>
      <c r="J1809" s="14" t="n">
        <f aca="false">H1809*I1809</f>
        <v>2340.78208</v>
      </c>
      <c r="K1809" s="8" t="s">
        <v>1907</v>
      </c>
    </row>
    <row r="1810" customFormat="false" ht="13.8" hidden="false" customHeight="false" outlineLevel="0" collapsed="false">
      <c r="A1810" s="8" t="s">
        <v>1874</v>
      </c>
      <c r="B1810" s="8" t="s">
        <v>42</v>
      </c>
      <c r="C1810" s="8" t="s">
        <v>145</v>
      </c>
      <c r="D1810" s="8" t="s">
        <v>40</v>
      </c>
      <c r="E1810" s="8" t="n">
        <v>4740</v>
      </c>
      <c r="F1810" s="8" t="n">
        <v>320</v>
      </c>
      <c r="G1810" s="8" t="n">
        <v>32</v>
      </c>
      <c r="H1810" s="13" t="n">
        <f aca="false">(E1810/1000)*(F1810/1000)*(G1810/1000)*7850</f>
        <v>381.02016</v>
      </c>
      <c r="I1810" s="8" t="n">
        <v>2</v>
      </c>
      <c r="J1810" s="14" t="n">
        <f aca="false">H1810*I1810</f>
        <v>762.04032</v>
      </c>
      <c r="K1810" s="8" t="s">
        <v>1908</v>
      </c>
    </row>
    <row r="1811" customFormat="false" ht="13.8" hidden="false" customHeight="false" outlineLevel="0" collapsed="false">
      <c r="A1811" s="8" t="s">
        <v>1874</v>
      </c>
      <c r="B1811" s="8" t="s">
        <v>42</v>
      </c>
      <c r="C1811" s="8" t="s">
        <v>147</v>
      </c>
      <c r="D1811" s="8" t="s">
        <v>40</v>
      </c>
      <c r="E1811" s="8" t="n">
        <v>5040</v>
      </c>
      <c r="F1811" s="8" t="n">
        <v>320</v>
      </c>
      <c r="G1811" s="8" t="n">
        <v>32</v>
      </c>
      <c r="H1811" s="13" t="n">
        <f aca="false">(E1811/1000)*(F1811/1000)*(G1811/1000)*7850</f>
        <v>405.13536</v>
      </c>
      <c r="I1811" s="8" t="n">
        <v>2</v>
      </c>
      <c r="J1811" s="14" t="n">
        <f aca="false">H1811*I1811</f>
        <v>810.27072</v>
      </c>
      <c r="K1811" s="8" t="s">
        <v>1909</v>
      </c>
    </row>
    <row r="1812" customFormat="false" ht="13.8" hidden="false" customHeight="false" outlineLevel="0" collapsed="false">
      <c r="A1812" s="8" t="s">
        <v>1874</v>
      </c>
      <c r="B1812" s="8" t="s">
        <v>42</v>
      </c>
      <c r="C1812" s="8" t="s">
        <v>149</v>
      </c>
      <c r="D1812" s="8" t="s">
        <v>40</v>
      </c>
      <c r="E1812" s="8" t="n">
        <v>1200</v>
      </c>
      <c r="F1812" s="8" t="n">
        <v>1600</v>
      </c>
      <c r="G1812" s="8" t="n">
        <v>16</v>
      </c>
      <c r="H1812" s="13" t="n">
        <f aca="false">(E1812/1000)*(F1812/1000)*(G1812/1000)*7850</f>
        <v>241.152</v>
      </c>
      <c r="I1812" s="8" t="n">
        <v>4</v>
      </c>
      <c r="J1812" s="14" t="n">
        <f aca="false">H1812*I1812</f>
        <v>964.608</v>
      </c>
      <c r="K1812" s="8" t="s">
        <v>1910</v>
      </c>
    </row>
    <row r="1813" customFormat="false" ht="13.8" hidden="false" customHeight="false" outlineLevel="0" collapsed="false">
      <c r="A1813" s="8" t="s">
        <v>1874</v>
      </c>
      <c r="B1813" s="8" t="s">
        <v>171</v>
      </c>
      <c r="C1813" s="8" t="s">
        <v>150</v>
      </c>
      <c r="D1813" s="8" t="s">
        <v>341</v>
      </c>
      <c r="E1813" s="8" t="n">
        <v>5858</v>
      </c>
      <c r="F1813" s="8" t="n">
        <v>1200</v>
      </c>
      <c r="G1813" s="8" t="n">
        <v>40</v>
      </c>
      <c r="H1813" s="13" t="n">
        <f aca="false">(E1813/1000)*(F1813/1000)*(G1813/1000)*7850</f>
        <v>2207.2944</v>
      </c>
      <c r="I1813" s="8" t="n">
        <v>2</v>
      </c>
      <c r="J1813" s="14" t="n">
        <f aca="false">H1813*I1813</f>
        <v>4414.5888</v>
      </c>
      <c r="K1813" s="8" t="s">
        <v>1911</v>
      </c>
    </row>
    <row r="1814" customFormat="false" ht="13.8" hidden="false" customHeight="false" outlineLevel="0" collapsed="false">
      <c r="A1814" s="8" t="s">
        <v>1874</v>
      </c>
      <c r="B1814" s="8" t="s">
        <v>42</v>
      </c>
      <c r="C1814" s="8" t="s">
        <v>380</v>
      </c>
      <c r="D1814" s="8" t="s">
        <v>341</v>
      </c>
      <c r="E1814" s="8" t="n">
        <v>5858</v>
      </c>
      <c r="F1814" s="8" t="n">
        <v>1200</v>
      </c>
      <c r="G1814" s="8" t="n">
        <v>40</v>
      </c>
      <c r="H1814" s="13" t="n">
        <f aca="false">(E1814/1000)*(F1814/1000)*(G1814/1000)*7850</f>
        <v>2207.2944</v>
      </c>
      <c r="I1814" s="8" t="n">
        <v>2</v>
      </c>
      <c r="J1814" s="14" t="n">
        <f aca="false">H1814*I1814</f>
        <v>4414.5888</v>
      </c>
      <c r="K1814" s="8" t="s">
        <v>1911</v>
      </c>
    </row>
    <row r="1815" customFormat="false" ht="13.8" hidden="false" customHeight="false" outlineLevel="0" collapsed="false">
      <c r="A1815" s="8" t="s">
        <v>1874</v>
      </c>
      <c r="B1815" s="8" t="s">
        <v>42</v>
      </c>
      <c r="C1815" s="8" t="s">
        <v>155</v>
      </c>
      <c r="D1815" s="8" t="s">
        <v>341</v>
      </c>
      <c r="E1815" s="8" t="n">
        <v>3658</v>
      </c>
      <c r="F1815" s="8" t="n">
        <v>1360</v>
      </c>
      <c r="G1815" s="8" t="n">
        <v>40</v>
      </c>
      <c r="H1815" s="13" t="n">
        <f aca="false">(E1815/1000)*(F1815/1000)*(G1815/1000)*7850</f>
        <v>1562.11232</v>
      </c>
      <c r="I1815" s="8" t="n">
        <v>4</v>
      </c>
      <c r="J1815" s="14" t="n">
        <f aca="false">H1815*I1815</f>
        <v>6248.44928</v>
      </c>
      <c r="K1815" s="8" t="s">
        <v>1912</v>
      </c>
    </row>
    <row r="1816" customFormat="false" ht="13.8" hidden="false" customHeight="false" outlineLevel="0" collapsed="false">
      <c r="A1816" s="8" t="s">
        <v>1874</v>
      </c>
      <c r="B1816" s="8" t="s">
        <v>42</v>
      </c>
      <c r="C1816" s="8" t="s">
        <v>160</v>
      </c>
      <c r="D1816" s="8" t="s">
        <v>341</v>
      </c>
      <c r="E1816" s="8" t="n">
        <v>3658</v>
      </c>
      <c r="F1816" s="8" t="n">
        <v>320</v>
      </c>
      <c r="G1816" s="8" t="n">
        <v>32</v>
      </c>
      <c r="H1816" s="13" t="n">
        <f aca="false">(E1816/1000)*(F1816/1000)*(G1816/1000)*7850</f>
        <v>294.044672</v>
      </c>
      <c r="I1816" s="8" t="n">
        <v>4</v>
      </c>
      <c r="J1816" s="14" t="n">
        <f aca="false">H1816*I1816</f>
        <v>1176.178688</v>
      </c>
      <c r="K1816" s="8" t="s">
        <v>1913</v>
      </c>
    </row>
    <row r="1817" customFormat="false" ht="13.8" hidden="false" customHeight="false" outlineLevel="0" collapsed="false">
      <c r="A1817" s="8" t="s">
        <v>1874</v>
      </c>
      <c r="B1817" s="8" t="s">
        <v>42</v>
      </c>
      <c r="C1817" s="8" t="s">
        <v>226</v>
      </c>
      <c r="D1817" s="8" t="s">
        <v>341</v>
      </c>
      <c r="E1817" s="8" t="n">
        <v>5158</v>
      </c>
      <c r="F1817" s="8" t="n">
        <v>320</v>
      </c>
      <c r="G1817" s="8" t="n">
        <v>32</v>
      </c>
      <c r="H1817" s="13" t="n">
        <f aca="false">(E1817/1000)*(F1817/1000)*(G1817/1000)*7850</f>
        <v>414.620672</v>
      </c>
      <c r="I1817" s="8" t="n">
        <v>2</v>
      </c>
      <c r="J1817" s="14" t="n">
        <f aca="false">H1817*I1817</f>
        <v>829.241344</v>
      </c>
      <c r="K1817" s="8" t="s">
        <v>1914</v>
      </c>
    </row>
    <row r="1818" customFormat="false" ht="13.8" hidden="false" customHeight="false" outlineLevel="0" collapsed="false">
      <c r="A1818" s="8" t="s">
        <v>1874</v>
      </c>
      <c r="B1818" s="8" t="s">
        <v>42</v>
      </c>
      <c r="C1818" s="8" t="s">
        <v>165</v>
      </c>
      <c r="D1818" s="8" t="s">
        <v>341</v>
      </c>
      <c r="E1818" s="8" t="n">
        <v>5158</v>
      </c>
      <c r="F1818" s="8" t="n">
        <v>320</v>
      </c>
      <c r="G1818" s="8" t="n">
        <v>32</v>
      </c>
      <c r="H1818" s="13" t="n">
        <f aca="false">(E1818/1000)*(F1818/1000)*(G1818/1000)*7850</f>
        <v>414.620672</v>
      </c>
      <c r="I1818" s="8" t="n">
        <v>2</v>
      </c>
      <c r="J1818" s="14" t="n">
        <f aca="false">H1818*I1818</f>
        <v>829.241344</v>
      </c>
      <c r="K1818" s="8" t="s">
        <v>1914</v>
      </c>
    </row>
    <row r="1819" customFormat="false" ht="13.8" hidden="false" customHeight="false" outlineLevel="0" collapsed="false">
      <c r="A1819" s="8" t="s">
        <v>1874</v>
      </c>
      <c r="B1819" s="8" t="s">
        <v>42</v>
      </c>
      <c r="C1819" s="8" t="s">
        <v>158</v>
      </c>
      <c r="D1819" s="8" t="s">
        <v>341</v>
      </c>
      <c r="E1819" s="8" t="n">
        <v>1200</v>
      </c>
      <c r="F1819" s="8" t="n">
        <v>1200</v>
      </c>
      <c r="G1819" s="8" t="n">
        <v>16</v>
      </c>
      <c r="H1819" s="13" t="n">
        <f aca="false">(E1819/1000)*(F1819/1000)*(G1819/1000)*7850</f>
        <v>180.864</v>
      </c>
      <c r="I1819" s="8" t="n">
        <v>4</v>
      </c>
      <c r="J1819" s="14" t="n">
        <f aca="false">H1819*I1819</f>
        <v>723.456</v>
      </c>
      <c r="K1819" s="8" t="s">
        <v>1903</v>
      </c>
    </row>
    <row r="1820" customFormat="false" ht="13.8" hidden="false" customHeight="false" outlineLevel="0" collapsed="false">
      <c r="A1820" s="8" t="s">
        <v>1874</v>
      </c>
      <c r="B1820" s="8" t="s">
        <v>42</v>
      </c>
      <c r="C1820" s="8" t="s">
        <v>386</v>
      </c>
      <c r="D1820" s="8" t="s">
        <v>341</v>
      </c>
      <c r="E1820" s="8" t="n">
        <v>2100</v>
      </c>
      <c r="F1820" s="8" t="n">
        <v>320</v>
      </c>
      <c r="G1820" s="8" t="n">
        <v>32</v>
      </c>
      <c r="H1820" s="13" t="n">
        <f aca="false">(E1820/1000)*(F1820/1000)*(G1820/1000)*7850</f>
        <v>168.8064</v>
      </c>
      <c r="I1820" s="8" t="n">
        <v>8</v>
      </c>
      <c r="J1820" s="14" t="n">
        <f aca="false">H1820*I1820</f>
        <v>1350.4512</v>
      </c>
      <c r="K1820" s="8" t="s">
        <v>1915</v>
      </c>
    </row>
    <row r="1821" customFormat="false" ht="13.8" hidden="false" customHeight="false" outlineLevel="0" collapsed="false">
      <c r="A1821" s="8" t="s">
        <v>1874</v>
      </c>
      <c r="B1821" s="8" t="s">
        <v>42</v>
      </c>
      <c r="C1821" s="8" t="s">
        <v>388</v>
      </c>
      <c r="D1821" s="8" t="s">
        <v>341</v>
      </c>
      <c r="E1821" s="8" t="n">
        <v>2600</v>
      </c>
      <c r="F1821" s="8" t="n">
        <v>320</v>
      </c>
      <c r="G1821" s="8" t="n">
        <v>32</v>
      </c>
      <c r="H1821" s="13" t="n">
        <f aca="false">(E1821/1000)*(F1821/1000)*(G1821/1000)*7850</f>
        <v>208.9984</v>
      </c>
      <c r="I1821" s="8" t="n">
        <v>8</v>
      </c>
      <c r="J1821" s="14" t="n">
        <f aca="false">H1821*I1821</f>
        <v>1671.9872</v>
      </c>
      <c r="K1821" s="8" t="s">
        <v>1916</v>
      </c>
    </row>
    <row r="1822" customFormat="false" ht="13.8" hidden="false" customHeight="false" outlineLevel="0" collapsed="false">
      <c r="A1822" s="8" t="s">
        <v>1874</v>
      </c>
      <c r="B1822" s="8" t="s">
        <v>64</v>
      </c>
      <c r="C1822" s="8" t="s">
        <v>167</v>
      </c>
      <c r="D1822" s="8" t="s">
        <v>40</v>
      </c>
      <c r="E1822" s="8" t="n">
        <v>1560</v>
      </c>
      <c r="F1822" s="8" t="n">
        <v>602</v>
      </c>
      <c r="G1822" s="8" t="n">
        <v>14</v>
      </c>
      <c r="H1822" s="13" t="n">
        <f aca="false">(E1822/1000)*(F1822/1000)*(G1822/1000)*7850</f>
        <v>103.209288</v>
      </c>
      <c r="I1822" s="8" t="n">
        <v>6</v>
      </c>
      <c r="J1822" s="14" t="n">
        <f aca="false">H1822*I1822</f>
        <v>619.255728</v>
      </c>
      <c r="K1822" s="8" t="s">
        <v>1917</v>
      </c>
    </row>
    <row r="1823" customFormat="false" ht="13.8" hidden="false" customHeight="false" outlineLevel="0" collapsed="false">
      <c r="A1823" s="8" t="s">
        <v>1874</v>
      </c>
      <c r="B1823" s="8" t="s">
        <v>42</v>
      </c>
      <c r="C1823" s="8" t="s">
        <v>233</v>
      </c>
      <c r="D1823" s="8" t="s">
        <v>40</v>
      </c>
      <c r="E1823" s="8" t="n">
        <v>1576</v>
      </c>
      <c r="F1823" s="8" t="n">
        <v>618</v>
      </c>
      <c r="G1823" s="8" t="n">
        <v>14</v>
      </c>
      <c r="H1823" s="13" t="n">
        <f aca="false">(E1823/1000)*(F1823/1000)*(G1823/1000)*7850</f>
        <v>107.0390832</v>
      </c>
      <c r="I1823" s="8" t="n">
        <v>4</v>
      </c>
      <c r="J1823" s="14" t="n">
        <f aca="false">H1823*I1823</f>
        <v>428.1563328</v>
      </c>
      <c r="K1823" s="8" t="s">
        <v>1918</v>
      </c>
    </row>
    <row r="1824" customFormat="false" ht="13.8" hidden="false" customHeight="false" outlineLevel="0" collapsed="false">
      <c r="A1824" s="8" t="s">
        <v>1874</v>
      </c>
      <c r="B1824" s="8" t="s">
        <v>42</v>
      </c>
      <c r="C1824" s="8" t="s">
        <v>169</v>
      </c>
      <c r="D1824" s="8" t="s">
        <v>40</v>
      </c>
      <c r="G1824" s="8" t="n">
        <v>24</v>
      </c>
      <c r="H1824" s="13" t="n">
        <f aca="false">M1824*(G1824/1000)*7850</f>
        <v>86.664</v>
      </c>
      <c r="I1824" s="8" t="n">
        <v>6</v>
      </c>
      <c r="J1824" s="14" t="n">
        <f aca="false">H1824*I1824</f>
        <v>519.984</v>
      </c>
      <c r="K1824" s="8" t="s">
        <v>1919</v>
      </c>
      <c r="M1824" s="15" t="n">
        <v>0.46</v>
      </c>
    </row>
    <row r="1825" customFormat="false" ht="13.8" hidden="false" customHeight="false" outlineLevel="0" collapsed="false">
      <c r="A1825" s="8" t="s">
        <v>1874</v>
      </c>
      <c r="B1825" s="8" t="s">
        <v>42</v>
      </c>
      <c r="C1825" s="8" t="s">
        <v>236</v>
      </c>
      <c r="D1825" s="8" t="s">
        <v>289</v>
      </c>
      <c r="G1825" s="8" t="n">
        <v>24</v>
      </c>
      <c r="H1825" s="13" t="n">
        <f aca="false">M1825*(G1825/1000)*7850</f>
        <v>86.664</v>
      </c>
      <c r="I1825" s="8" t="n">
        <v>4</v>
      </c>
      <c r="J1825" s="14" t="n">
        <f aca="false">H1825*I1825</f>
        <v>346.656</v>
      </c>
      <c r="K1825" s="8" t="s">
        <v>1919</v>
      </c>
      <c r="M1825" s="15" t="n">
        <v>0.46</v>
      </c>
    </row>
    <row r="1826" customFormat="false" ht="13.8" hidden="false" customHeight="false" outlineLevel="0" collapsed="false">
      <c r="A1826" s="8" t="s">
        <v>1874</v>
      </c>
      <c r="B1826" s="8" t="s">
        <v>42</v>
      </c>
      <c r="C1826" s="8" t="s">
        <v>172</v>
      </c>
      <c r="D1826" s="8" t="s">
        <v>40</v>
      </c>
      <c r="E1826" s="8" t="n">
        <v>1450</v>
      </c>
      <c r="F1826" s="8" t="n">
        <v>606</v>
      </c>
      <c r="G1826" s="8" t="n">
        <v>14</v>
      </c>
      <c r="H1826" s="13" t="n">
        <f aca="false">(E1826/1000)*(F1826/1000)*(G1826/1000)*7850</f>
        <v>96.56913</v>
      </c>
      <c r="I1826" s="8" t="n">
        <v>6</v>
      </c>
      <c r="J1826" s="14" t="n">
        <f aca="false">H1826*I1826</f>
        <v>579.41478</v>
      </c>
      <c r="K1826" s="8" t="s">
        <v>1920</v>
      </c>
    </row>
    <row r="1827" customFormat="false" ht="13.8" hidden="false" customHeight="false" outlineLevel="0" collapsed="false">
      <c r="A1827" s="8" t="s">
        <v>1874</v>
      </c>
      <c r="B1827" s="8" t="s">
        <v>42</v>
      </c>
      <c r="C1827" s="8" t="s">
        <v>239</v>
      </c>
      <c r="D1827" s="8" t="s">
        <v>40</v>
      </c>
      <c r="E1827" s="8" t="n">
        <v>1450</v>
      </c>
      <c r="F1827" s="8" t="n">
        <v>618</v>
      </c>
      <c r="G1827" s="8" t="n">
        <v>14</v>
      </c>
      <c r="H1827" s="13" t="n">
        <f aca="false">(E1827/1000)*(F1827/1000)*(G1827/1000)*7850</f>
        <v>98.48139</v>
      </c>
      <c r="I1827" s="8" t="n">
        <v>4</v>
      </c>
      <c r="J1827" s="14" t="n">
        <f aca="false">H1827*I1827</f>
        <v>393.92556</v>
      </c>
      <c r="K1827" s="8" t="s">
        <v>1921</v>
      </c>
    </row>
    <row r="1828" customFormat="false" ht="13.8" hidden="false" customHeight="false" outlineLevel="0" collapsed="false">
      <c r="A1828" s="8" t="s">
        <v>1922</v>
      </c>
      <c r="B1828" s="8" t="s">
        <v>38</v>
      </c>
      <c r="C1828" s="8" t="s">
        <v>444</v>
      </c>
      <c r="D1828" s="8" t="s">
        <v>341</v>
      </c>
      <c r="G1828" s="8" t="n">
        <v>40</v>
      </c>
      <c r="H1828" s="13" t="n">
        <f aca="false">M1828*(G1828/1000)*7850</f>
        <v>3720.9</v>
      </c>
      <c r="I1828" s="8" t="n">
        <v>2</v>
      </c>
      <c r="J1828" s="14" t="n">
        <f aca="false">H1828*I1828</f>
        <v>7441.8</v>
      </c>
      <c r="K1828" s="8" t="s">
        <v>1923</v>
      </c>
      <c r="M1828" s="15" t="n">
        <v>11.85</v>
      </c>
    </row>
    <row r="1829" customFormat="false" ht="13.8" hidden="false" customHeight="false" outlineLevel="0" collapsed="false">
      <c r="A1829" s="8" t="s">
        <v>1922</v>
      </c>
      <c r="B1829" s="8" t="s">
        <v>42</v>
      </c>
      <c r="C1829" s="8" t="s">
        <v>243</v>
      </c>
      <c r="D1829" s="8" t="s">
        <v>341</v>
      </c>
      <c r="G1829" s="8" t="n">
        <v>40</v>
      </c>
      <c r="H1829" s="13" t="n">
        <f aca="false">M1829*(G1829/1000)*7850</f>
        <v>3262.46</v>
      </c>
      <c r="I1829" s="8" t="n">
        <v>2</v>
      </c>
      <c r="J1829" s="14" t="n">
        <f aca="false">H1829*I1829</f>
        <v>6524.92</v>
      </c>
      <c r="K1829" s="8" t="s">
        <v>1924</v>
      </c>
      <c r="M1829" s="15" t="n">
        <v>10.39</v>
      </c>
    </row>
    <row r="1830" customFormat="false" ht="13.8" hidden="false" customHeight="false" outlineLevel="0" collapsed="false">
      <c r="A1830" s="8" t="s">
        <v>1922</v>
      </c>
      <c r="B1830" s="8" t="s">
        <v>45</v>
      </c>
      <c r="C1830" s="8" t="s">
        <v>292</v>
      </c>
      <c r="D1830" s="8" t="s">
        <v>341</v>
      </c>
      <c r="E1830" s="8" t="n">
        <v>8050</v>
      </c>
      <c r="F1830" s="8" t="n">
        <v>1200</v>
      </c>
      <c r="G1830" s="8" t="n">
        <v>40</v>
      </c>
      <c r="H1830" s="13" t="n">
        <f aca="false">(E1830/1000)*(F1830/1000)*(G1830/1000)*7850</f>
        <v>3033.24</v>
      </c>
      <c r="I1830" s="8" t="n">
        <v>2</v>
      </c>
      <c r="J1830" s="14" t="n">
        <f aca="false">H1830*I1830</f>
        <v>6066.48</v>
      </c>
      <c r="K1830" s="8" t="s">
        <v>1925</v>
      </c>
    </row>
    <row r="1831" customFormat="false" ht="13.8" hidden="false" customHeight="false" outlineLevel="0" collapsed="false">
      <c r="A1831" s="8" t="s">
        <v>1922</v>
      </c>
      <c r="B1831" s="8" t="s">
        <v>42</v>
      </c>
      <c r="C1831" s="8" t="s">
        <v>185</v>
      </c>
      <c r="D1831" s="8" t="s">
        <v>341</v>
      </c>
      <c r="E1831" s="8" t="n">
        <v>6950</v>
      </c>
      <c r="F1831" s="8" t="n">
        <v>1200</v>
      </c>
      <c r="G1831" s="8" t="n">
        <v>40</v>
      </c>
      <c r="H1831" s="13" t="n">
        <f aca="false">(E1831/1000)*(F1831/1000)*(G1831/1000)*7850</f>
        <v>2618.76</v>
      </c>
      <c r="I1831" s="8" t="n">
        <v>2</v>
      </c>
      <c r="J1831" s="14" t="n">
        <f aca="false">H1831*I1831</f>
        <v>5237.52</v>
      </c>
      <c r="K1831" s="8" t="s">
        <v>1926</v>
      </c>
    </row>
    <row r="1832" customFormat="false" ht="13.8" hidden="false" customHeight="false" outlineLevel="0" collapsed="false">
      <c r="A1832" s="8" t="s">
        <v>1922</v>
      </c>
      <c r="B1832" s="8" t="s">
        <v>187</v>
      </c>
      <c r="C1832" s="8" t="s">
        <v>188</v>
      </c>
      <c r="D1832" s="8" t="s">
        <v>341</v>
      </c>
      <c r="G1832" s="8" t="n">
        <v>44</v>
      </c>
      <c r="H1832" s="13" t="n">
        <f aca="false">M1832*(G1832/1000)*7850</f>
        <v>7926.93</v>
      </c>
      <c r="I1832" s="8" t="n">
        <v>4</v>
      </c>
      <c r="J1832" s="14" t="n">
        <f aca="false">H1832*I1832</f>
        <v>31707.72</v>
      </c>
      <c r="K1832" s="8" t="s">
        <v>1927</v>
      </c>
      <c r="M1832" s="15" t="n">
        <v>22.95</v>
      </c>
    </row>
    <row r="1833" customFormat="false" ht="13.8" hidden="false" customHeight="false" outlineLevel="0" collapsed="false">
      <c r="A1833" s="8" t="s">
        <v>1922</v>
      </c>
      <c r="B1833" s="8" t="s">
        <v>190</v>
      </c>
      <c r="C1833" s="8" t="s">
        <v>191</v>
      </c>
      <c r="D1833" s="8" t="s">
        <v>341</v>
      </c>
      <c r="E1833" s="8" t="n">
        <v>7150</v>
      </c>
      <c r="F1833" s="8" t="n">
        <v>1628</v>
      </c>
      <c r="G1833" s="8" t="n">
        <v>48</v>
      </c>
      <c r="H1833" s="13" t="n">
        <f aca="false">(E1833/1000)*(F1833/1000)*(G1833/1000)*7850</f>
        <v>4386.02736</v>
      </c>
      <c r="I1833" s="8" t="n">
        <v>4</v>
      </c>
      <c r="J1833" s="14" t="n">
        <f aca="false">H1833*I1833</f>
        <v>17544.10944</v>
      </c>
      <c r="K1833" s="8" t="s">
        <v>1928</v>
      </c>
    </row>
    <row r="1834" customFormat="false" ht="13.8" hidden="false" customHeight="false" outlineLevel="0" collapsed="false">
      <c r="A1834" s="8" t="s">
        <v>1922</v>
      </c>
      <c r="B1834" s="8" t="s">
        <v>195</v>
      </c>
      <c r="C1834" s="8" t="s">
        <v>58</v>
      </c>
      <c r="D1834" s="8" t="s">
        <v>341</v>
      </c>
      <c r="E1834" s="8" t="n">
        <v>1560</v>
      </c>
      <c r="F1834" s="8" t="n">
        <v>1200</v>
      </c>
      <c r="G1834" s="8" t="n">
        <v>16</v>
      </c>
      <c r="H1834" s="13" t="n">
        <f aca="false">(E1834/1000)*(F1834/1000)*(G1834/1000)*7850</f>
        <v>235.1232</v>
      </c>
      <c r="I1834" s="8" t="n">
        <v>6</v>
      </c>
      <c r="J1834" s="14" t="n">
        <f aca="false">H1834*I1834</f>
        <v>1410.7392</v>
      </c>
      <c r="K1834" s="8" t="s">
        <v>1929</v>
      </c>
    </row>
    <row r="1835" customFormat="false" ht="13.8" hidden="false" customHeight="false" outlineLevel="0" collapsed="false">
      <c r="A1835" s="8" t="s">
        <v>1922</v>
      </c>
      <c r="B1835" s="8" t="s">
        <v>42</v>
      </c>
      <c r="C1835" s="8" t="s">
        <v>298</v>
      </c>
      <c r="D1835" s="8" t="s">
        <v>341</v>
      </c>
      <c r="E1835" s="8" t="n">
        <v>1560</v>
      </c>
      <c r="F1835" s="8" t="n">
        <v>1200</v>
      </c>
      <c r="G1835" s="8" t="n">
        <v>16</v>
      </c>
      <c r="H1835" s="13" t="n">
        <f aca="false">(E1835/1000)*(F1835/1000)*(G1835/1000)*7850</f>
        <v>235.1232</v>
      </c>
      <c r="I1835" s="8" t="n">
        <v>4</v>
      </c>
      <c r="J1835" s="14" t="n">
        <f aca="false">H1835*I1835</f>
        <v>940.4928</v>
      </c>
      <c r="K1835" s="8" t="s">
        <v>1929</v>
      </c>
    </row>
    <row r="1836" customFormat="false" ht="13.8" hidden="false" customHeight="false" outlineLevel="0" collapsed="false">
      <c r="A1836" s="8" t="s">
        <v>1922</v>
      </c>
      <c r="B1836" s="8" t="s">
        <v>42</v>
      </c>
      <c r="C1836" s="8" t="s">
        <v>1930</v>
      </c>
      <c r="D1836" s="8" t="s">
        <v>341</v>
      </c>
      <c r="E1836" s="8" t="n">
        <v>1657</v>
      </c>
      <c r="F1836" s="8" t="n">
        <v>200</v>
      </c>
      <c r="G1836" s="8" t="n">
        <v>16</v>
      </c>
      <c r="H1836" s="13" t="n">
        <f aca="false">(E1836/1000)*(F1836/1000)*(G1836/1000)*7850</f>
        <v>41.62384</v>
      </c>
      <c r="I1836" s="8" t="n">
        <v>6</v>
      </c>
      <c r="J1836" s="14" t="n">
        <f aca="false">H1836*I1836</f>
        <v>249.74304</v>
      </c>
      <c r="K1836" s="8" t="s">
        <v>1931</v>
      </c>
    </row>
    <row r="1837" customFormat="false" ht="13.8" hidden="false" customHeight="false" outlineLevel="0" collapsed="false">
      <c r="A1837" s="8" t="s">
        <v>1922</v>
      </c>
      <c r="B1837" s="8" t="s">
        <v>42</v>
      </c>
      <c r="C1837" s="8" t="s">
        <v>68</v>
      </c>
      <c r="D1837" s="8" t="s">
        <v>341</v>
      </c>
      <c r="E1837" s="8" t="n">
        <v>600</v>
      </c>
      <c r="F1837" s="8" t="n">
        <v>400</v>
      </c>
      <c r="G1837" s="8" t="n">
        <v>16</v>
      </c>
      <c r="H1837" s="13" t="n">
        <f aca="false">(E1837/1000)*(F1837/1000)*(G1837/1000)*7850</f>
        <v>30.144</v>
      </c>
      <c r="I1837" s="8" t="n">
        <v>8</v>
      </c>
      <c r="J1837" s="14" t="n">
        <f aca="false">H1837*I1837</f>
        <v>241.152</v>
      </c>
      <c r="K1837" s="8" t="s">
        <v>1932</v>
      </c>
    </row>
    <row r="1838" customFormat="false" ht="13.8" hidden="false" customHeight="false" outlineLevel="0" collapsed="false">
      <c r="A1838" s="8" t="s">
        <v>1922</v>
      </c>
      <c r="B1838" s="8" t="s">
        <v>80</v>
      </c>
      <c r="C1838" s="8" t="s">
        <v>199</v>
      </c>
      <c r="D1838" s="8" t="s">
        <v>341</v>
      </c>
      <c r="E1838" s="8" t="n">
        <v>8050</v>
      </c>
      <c r="F1838" s="8" t="n">
        <v>320</v>
      </c>
      <c r="G1838" s="8" t="n">
        <v>32</v>
      </c>
      <c r="H1838" s="13" t="n">
        <f aca="false">(E1838/1000)*(F1838/1000)*(G1838/1000)*7850</f>
        <v>647.0912</v>
      </c>
      <c r="I1838" s="8" t="n">
        <v>12</v>
      </c>
      <c r="J1838" s="14" t="n">
        <f aca="false">H1838*I1838</f>
        <v>7765.0944</v>
      </c>
      <c r="K1838" s="8" t="s">
        <v>1933</v>
      </c>
    </row>
    <row r="1839" customFormat="false" ht="13.8" hidden="false" customHeight="false" outlineLevel="0" collapsed="false">
      <c r="A1839" s="8" t="s">
        <v>1922</v>
      </c>
      <c r="B1839" s="8" t="s">
        <v>42</v>
      </c>
      <c r="C1839" s="8" t="s">
        <v>76</v>
      </c>
      <c r="D1839" s="8" t="s">
        <v>341</v>
      </c>
      <c r="E1839" s="8" t="n">
        <v>6950</v>
      </c>
      <c r="F1839" s="8" t="n">
        <v>320</v>
      </c>
      <c r="G1839" s="8" t="n">
        <v>32</v>
      </c>
      <c r="H1839" s="13" t="n">
        <f aca="false">(E1839/1000)*(F1839/1000)*(G1839/1000)*7850</f>
        <v>558.6688</v>
      </c>
      <c r="I1839" s="8" t="n">
        <v>12</v>
      </c>
      <c r="J1839" s="14" t="n">
        <f aca="false">H1839*I1839</f>
        <v>6704.0256</v>
      </c>
      <c r="K1839" s="8" t="s">
        <v>1934</v>
      </c>
    </row>
    <row r="1840" customFormat="false" ht="13.8" hidden="false" customHeight="false" outlineLevel="0" collapsed="false">
      <c r="A1840" s="8" t="s">
        <v>1922</v>
      </c>
      <c r="B1840" s="8" t="s">
        <v>256</v>
      </c>
      <c r="C1840" s="8" t="s">
        <v>96</v>
      </c>
      <c r="D1840" s="8" t="s">
        <v>341</v>
      </c>
      <c r="E1840" s="8" t="n">
        <v>8050</v>
      </c>
      <c r="F1840" s="8" t="n">
        <v>1850</v>
      </c>
      <c r="G1840" s="8" t="n">
        <v>32</v>
      </c>
      <c r="H1840" s="13" t="n">
        <f aca="false">(E1840/1000)*(F1840/1000)*(G1840/1000)*7850</f>
        <v>3740.996</v>
      </c>
      <c r="I1840" s="8" t="n">
        <v>2</v>
      </c>
      <c r="J1840" s="14" t="n">
        <f aca="false">H1840*I1840</f>
        <v>7481.992</v>
      </c>
      <c r="K1840" s="8" t="s">
        <v>1935</v>
      </c>
    </row>
    <row r="1841" customFormat="false" ht="13.8" hidden="false" customHeight="false" outlineLevel="0" collapsed="false">
      <c r="A1841" s="8" t="s">
        <v>1922</v>
      </c>
      <c r="B1841" s="8" t="s">
        <v>42</v>
      </c>
      <c r="C1841" s="8" t="s">
        <v>203</v>
      </c>
      <c r="D1841" s="8" t="s">
        <v>341</v>
      </c>
      <c r="E1841" s="8" t="n">
        <v>6950</v>
      </c>
      <c r="F1841" s="8" t="n">
        <v>1850</v>
      </c>
      <c r="G1841" s="8" t="n">
        <v>32</v>
      </c>
      <c r="H1841" s="13" t="n">
        <f aca="false">(E1841/1000)*(F1841/1000)*(G1841/1000)*7850</f>
        <v>3229.804</v>
      </c>
      <c r="I1841" s="8" t="n">
        <v>2</v>
      </c>
      <c r="J1841" s="14" t="n">
        <f aca="false">H1841*I1841</f>
        <v>6459.608</v>
      </c>
      <c r="K1841" s="8" t="s">
        <v>1936</v>
      </c>
    </row>
    <row r="1842" customFormat="false" ht="13.8" hidden="false" customHeight="false" outlineLevel="0" collapsed="false">
      <c r="A1842" s="8" t="s">
        <v>1922</v>
      </c>
      <c r="B1842" s="8" t="s">
        <v>260</v>
      </c>
      <c r="C1842" s="8" t="s">
        <v>100</v>
      </c>
      <c r="D1842" s="8" t="s">
        <v>341</v>
      </c>
      <c r="G1842" s="8" t="n">
        <v>32</v>
      </c>
      <c r="H1842" s="13" t="n">
        <f aca="false">M1842*(G1842/1000)*7850</f>
        <v>3147.536</v>
      </c>
      <c r="I1842" s="8" t="n">
        <v>2</v>
      </c>
      <c r="J1842" s="14" t="n">
        <f aca="false">H1842*I1842</f>
        <v>6295.072</v>
      </c>
      <c r="K1842" s="8" t="s">
        <v>1937</v>
      </c>
      <c r="M1842" s="15" t="n">
        <v>12.53</v>
      </c>
    </row>
    <row r="1843" customFormat="false" ht="13.8" hidden="false" customHeight="false" outlineLevel="0" collapsed="false">
      <c r="A1843" s="8" t="s">
        <v>1922</v>
      </c>
      <c r="B1843" s="8" t="s">
        <v>42</v>
      </c>
      <c r="C1843" s="8" t="s">
        <v>206</v>
      </c>
      <c r="D1843" s="8" t="s">
        <v>341</v>
      </c>
      <c r="G1843" s="8" t="n">
        <v>32</v>
      </c>
      <c r="H1843" s="13" t="n">
        <f aca="false">M1843*(G1843/1000)*7850</f>
        <v>2439.152</v>
      </c>
      <c r="I1843" s="8" t="n">
        <v>2</v>
      </c>
      <c r="J1843" s="14" t="n">
        <f aca="false">H1843*I1843</f>
        <v>4878.304</v>
      </c>
      <c r="K1843" s="8" t="s">
        <v>1938</v>
      </c>
      <c r="M1843" s="15" t="n">
        <v>9.71</v>
      </c>
    </row>
    <row r="1844" customFormat="false" ht="13.8" hidden="false" customHeight="false" outlineLevel="0" collapsed="false">
      <c r="A1844" s="8" t="s">
        <v>1922</v>
      </c>
      <c r="B1844" s="8" t="s">
        <v>105</v>
      </c>
      <c r="C1844" s="8" t="s">
        <v>103</v>
      </c>
      <c r="D1844" s="8" t="s">
        <v>341</v>
      </c>
      <c r="G1844" s="8" t="n">
        <v>44</v>
      </c>
      <c r="H1844" s="13" t="n">
        <f aca="false">M1844*(G1844/1000)*7850</f>
        <v>7788.77</v>
      </c>
      <c r="I1844" s="8" t="n">
        <v>4</v>
      </c>
      <c r="J1844" s="14" t="n">
        <f aca="false">H1844*I1844</f>
        <v>31155.08</v>
      </c>
      <c r="K1844" s="8" t="s">
        <v>1939</v>
      </c>
      <c r="M1844" s="15" t="n">
        <v>22.55</v>
      </c>
    </row>
    <row r="1845" customFormat="false" ht="13.8" hidden="false" customHeight="false" outlineLevel="0" collapsed="false">
      <c r="A1845" s="8" t="s">
        <v>1922</v>
      </c>
      <c r="B1845" s="8" t="s">
        <v>102</v>
      </c>
      <c r="C1845" s="8" t="s">
        <v>106</v>
      </c>
      <c r="D1845" s="8" t="s">
        <v>341</v>
      </c>
      <c r="E1845" s="8" t="n">
        <v>7150</v>
      </c>
      <c r="F1845" s="8" t="n">
        <v>1482</v>
      </c>
      <c r="G1845" s="8" t="n">
        <v>44</v>
      </c>
      <c r="H1845" s="13" t="n">
        <f aca="false">(E1845/1000)*(F1845/1000)*(G1845/1000)*7850</f>
        <v>3659.96202</v>
      </c>
      <c r="I1845" s="8" t="n">
        <v>4</v>
      </c>
      <c r="J1845" s="14" t="n">
        <f aca="false">H1845*I1845</f>
        <v>14639.84808</v>
      </c>
      <c r="K1845" s="8" t="s">
        <v>1940</v>
      </c>
    </row>
    <row r="1846" customFormat="false" ht="13.8" hidden="false" customHeight="false" outlineLevel="0" collapsed="false">
      <c r="A1846" s="8" t="s">
        <v>1922</v>
      </c>
      <c r="B1846" s="8" t="s">
        <v>110</v>
      </c>
      <c r="C1846" s="8" t="s">
        <v>108</v>
      </c>
      <c r="D1846" s="8" t="s">
        <v>341</v>
      </c>
      <c r="E1846" s="8" t="n">
        <v>1450</v>
      </c>
      <c r="F1846" s="8" t="n">
        <v>1200</v>
      </c>
      <c r="G1846" s="8" t="n">
        <v>16</v>
      </c>
      <c r="H1846" s="13" t="n">
        <f aca="false">(E1846/1000)*(F1846/1000)*(G1846/1000)*7850</f>
        <v>218.544</v>
      </c>
      <c r="I1846" s="8" t="n">
        <v>6</v>
      </c>
      <c r="J1846" s="14" t="n">
        <f aca="false">H1846*I1846</f>
        <v>1311.264</v>
      </c>
      <c r="K1846" s="8" t="s">
        <v>1941</v>
      </c>
    </row>
    <row r="1847" customFormat="false" ht="13.8" hidden="false" customHeight="false" outlineLevel="0" collapsed="false">
      <c r="A1847" s="8" t="s">
        <v>1922</v>
      </c>
      <c r="B1847" s="8" t="s">
        <v>42</v>
      </c>
      <c r="C1847" s="8" t="s">
        <v>112</v>
      </c>
      <c r="D1847" s="8" t="s">
        <v>341</v>
      </c>
      <c r="E1847" s="8" t="n">
        <v>1450</v>
      </c>
      <c r="F1847" s="8" t="n">
        <v>1200</v>
      </c>
      <c r="G1847" s="8" t="n">
        <v>16</v>
      </c>
      <c r="H1847" s="13" t="n">
        <f aca="false">(E1847/1000)*(F1847/1000)*(G1847/1000)*7850</f>
        <v>218.544</v>
      </c>
      <c r="I1847" s="8" t="n">
        <v>4</v>
      </c>
      <c r="J1847" s="14" t="n">
        <f aca="false">H1847*I1847</f>
        <v>874.176</v>
      </c>
      <c r="K1847" s="8" t="s">
        <v>1941</v>
      </c>
    </row>
    <row r="1848" customFormat="false" ht="13.8" hidden="false" customHeight="false" outlineLevel="0" collapsed="false">
      <c r="A1848" s="8" t="s">
        <v>1922</v>
      </c>
      <c r="B1848" s="8" t="s">
        <v>42</v>
      </c>
      <c r="C1848" s="8" t="s">
        <v>108</v>
      </c>
      <c r="D1848" s="8" t="s">
        <v>341</v>
      </c>
      <c r="E1848" s="8" t="n">
        <v>1657</v>
      </c>
      <c r="F1848" s="8" t="n">
        <v>200</v>
      </c>
      <c r="G1848" s="8" t="n">
        <v>16</v>
      </c>
      <c r="H1848" s="13" t="n">
        <f aca="false">(E1848/1000)*(F1848/1000)*(G1848/1000)*7850</f>
        <v>41.62384</v>
      </c>
      <c r="I1848" s="8" t="n">
        <v>10</v>
      </c>
      <c r="J1848" s="14" t="n">
        <f aca="false">H1848*I1848</f>
        <v>416.2384</v>
      </c>
      <c r="K1848" s="8" t="s">
        <v>1931</v>
      </c>
    </row>
    <row r="1849" customFormat="false" ht="13.8" hidden="false" customHeight="false" outlineLevel="0" collapsed="false">
      <c r="A1849" s="8" t="s">
        <v>1922</v>
      </c>
      <c r="B1849" s="8" t="s">
        <v>268</v>
      </c>
      <c r="C1849" s="8" t="s">
        <v>114</v>
      </c>
      <c r="D1849" s="8" t="s">
        <v>341</v>
      </c>
      <c r="E1849" s="8" t="n">
        <v>8050</v>
      </c>
      <c r="F1849" s="8" t="n">
        <v>320</v>
      </c>
      <c r="G1849" s="8" t="n">
        <v>32</v>
      </c>
      <c r="H1849" s="13" t="n">
        <f aca="false">(E1849/1000)*(F1849/1000)*(G1849/1000)*7850</f>
        <v>647.0912</v>
      </c>
      <c r="I1849" s="8" t="n">
        <v>8</v>
      </c>
      <c r="J1849" s="14" t="n">
        <f aca="false">H1849*I1849</f>
        <v>5176.7296</v>
      </c>
      <c r="K1849" s="8" t="s">
        <v>1942</v>
      </c>
    </row>
    <row r="1850" customFormat="false" ht="13.8" hidden="false" customHeight="false" outlineLevel="0" collapsed="false">
      <c r="A1850" s="8" t="s">
        <v>1922</v>
      </c>
      <c r="B1850" s="8" t="s">
        <v>42</v>
      </c>
      <c r="C1850" s="8" t="s">
        <v>116</v>
      </c>
      <c r="D1850" s="8" t="s">
        <v>341</v>
      </c>
      <c r="E1850" s="8" t="n">
        <v>6950</v>
      </c>
      <c r="F1850" s="8" t="n">
        <v>320</v>
      </c>
      <c r="G1850" s="8" t="n">
        <v>32</v>
      </c>
      <c r="H1850" s="13" t="n">
        <f aca="false">(E1850/1000)*(F1850/1000)*(G1850/1000)*7850</f>
        <v>558.6688</v>
      </c>
      <c r="I1850" s="8" t="n">
        <v>8</v>
      </c>
      <c r="J1850" s="14" t="n">
        <f aca="false">H1850*I1850</f>
        <v>4469.3504</v>
      </c>
      <c r="K1850" s="8" t="s">
        <v>1934</v>
      </c>
    </row>
    <row r="1851" customFormat="false" ht="13.8" hidden="false" customHeight="false" outlineLevel="0" collapsed="false">
      <c r="A1851" s="8" t="s">
        <v>1922</v>
      </c>
      <c r="B1851" s="8" t="s">
        <v>42</v>
      </c>
      <c r="C1851" s="8" t="s">
        <v>118</v>
      </c>
      <c r="D1851" s="8" t="s">
        <v>341</v>
      </c>
      <c r="E1851" s="8" t="n">
        <v>15000</v>
      </c>
      <c r="F1851" s="8" t="n">
        <v>170</v>
      </c>
      <c r="G1851" s="8" t="n">
        <v>14</v>
      </c>
      <c r="H1851" s="13" t="n">
        <f aca="false">(E1851/1000)*(F1851/1000)*(G1851/1000)*7850</f>
        <v>280.245</v>
      </c>
      <c r="I1851" s="8" t="n">
        <v>2</v>
      </c>
      <c r="J1851" s="14" t="n">
        <f aca="false">H1851*I1851</f>
        <v>560.49</v>
      </c>
      <c r="K1851" s="8" t="s">
        <v>1943</v>
      </c>
    </row>
    <row r="1852" customFormat="false" ht="13.8" hidden="false" customHeight="false" outlineLevel="0" collapsed="false">
      <c r="A1852" s="8" t="s">
        <v>1922</v>
      </c>
      <c r="B1852" s="8" t="s">
        <v>272</v>
      </c>
      <c r="C1852" s="8" t="s">
        <v>125</v>
      </c>
      <c r="D1852" s="8" t="s">
        <v>341</v>
      </c>
      <c r="E1852" s="8" t="n">
        <v>10875</v>
      </c>
      <c r="F1852" s="8" t="n">
        <v>1200</v>
      </c>
      <c r="G1852" s="8" t="n">
        <v>40</v>
      </c>
      <c r="H1852" s="13" t="n">
        <f aca="false">(E1852/1000)*(F1852/1000)*(G1852/1000)*7850</f>
        <v>4097.7</v>
      </c>
      <c r="I1852" s="8" t="n">
        <v>2</v>
      </c>
      <c r="J1852" s="14" t="n">
        <f aca="false">H1852*I1852</f>
        <v>8195.4</v>
      </c>
      <c r="K1852" s="8" t="s">
        <v>1944</v>
      </c>
    </row>
    <row r="1853" customFormat="false" ht="13.8" hidden="false" customHeight="false" outlineLevel="0" collapsed="false">
      <c r="A1853" s="8" t="s">
        <v>1922</v>
      </c>
      <c r="B1853" s="8" t="s">
        <v>42</v>
      </c>
      <c r="C1853" s="8" t="s">
        <v>127</v>
      </c>
      <c r="D1853" s="8" t="s">
        <v>341</v>
      </c>
      <c r="E1853" s="8" t="n">
        <v>11375</v>
      </c>
      <c r="F1853" s="8" t="n">
        <v>1200</v>
      </c>
      <c r="G1853" s="8" t="n">
        <v>40</v>
      </c>
      <c r="H1853" s="13" t="n">
        <f aca="false">(E1853/1000)*(F1853/1000)*(G1853/1000)*7850</f>
        <v>4286.1</v>
      </c>
      <c r="I1853" s="8" t="n">
        <v>2</v>
      </c>
      <c r="J1853" s="14" t="n">
        <f aca="false">H1853*I1853</f>
        <v>8572.2</v>
      </c>
      <c r="K1853" s="8" t="s">
        <v>1945</v>
      </c>
    </row>
    <row r="1854" customFormat="false" ht="13.8" hidden="false" customHeight="false" outlineLevel="0" collapsed="false">
      <c r="A1854" s="8" t="s">
        <v>1922</v>
      </c>
      <c r="B1854" s="8" t="s">
        <v>42</v>
      </c>
      <c r="C1854" s="8" t="s">
        <v>128</v>
      </c>
      <c r="D1854" s="8" t="s">
        <v>341</v>
      </c>
      <c r="E1854" s="8" t="n">
        <v>7275</v>
      </c>
      <c r="F1854" s="8" t="n">
        <v>1360</v>
      </c>
      <c r="G1854" s="8" t="n">
        <v>40</v>
      </c>
      <c r="H1854" s="13" t="n">
        <f aca="false">(E1854/1000)*(F1854/1000)*(G1854/1000)*7850</f>
        <v>3106.716</v>
      </c>
      <c r="I1854" s="8" t="n">
        <v>4</v>
      </c>
      <c r="J1854" s="14" t="n">
        <f aca="false">H1854*I1854</f>
        <v>12426.864</v>
      </c>
      <c r="K1854" s="8" t="s">
        <v>1946</v>
      </c>
    </row>
    <row r="1855" customFormat="false" ht="13.8" hidden="false" customHeight="false" outlineLevel="0" collapsed="false">
      <c r="A1855" s="8" t="s">
        <v>1922</v>
      </c>
      <c r="B1855" s="8" t="s">
        <v>42</v>
      </c>
      <c r="C1855" s="8" t="s">
        <v>130</v>
      </c>
      <c r="D1855" s="8" t="s">
        <v>341</v>
      </c>
      <c r="E1855" s="8" t="n">
        <v>7275</v>
      </c>
      <c r="F1855" s="8" t="n">
        <v>320</v>
      </c>
      <c r="G1855" s="8" t="n">
        <v>32</v>
      </c>
      <c r="H1855" s="13" t="n">
        <f aca="false">(E1855/1000)*(F1855/1000)*(G1855/1000)*7850</f>
        <v>584.7936</v>
      </c>
      <c r="I1855" s="8" t="n">
        <v>8</v>
      </c>
      <c r="J1855" s="14" t="n">
        <f aca="false">H1855*I1855</f>
        <v>4678.3488</v>
      </c>
      <c r="K1855" s="8" t="s">
        <v>1947</v>
      </c>
    </row>
    <row r="1856" customFormat="false" ht="13.8" hidden="false" customHeight="false" outlineLevel="0" collapsed="false">
      <c r="A1856" s="8" t="s">
        <v>1922</v>
      </c>
      <c r="B1856" s="8" t="s">
        <v>42</v>
      </c>
      <c r="C1856" s="8" t="s">
        <v>132</v>
      </c>
      <c r="D1856" s="8" t="s">
        <v>341</v>
      </c>
      <c r="E1856" s="8" t="n">
        <v>9475</v>
      </c>
      <c r="F1856" s="8" t="n">
        <v>320</v>
      </c>
      <c r="G1856" s="8" t="n">
        <v>32</v>
      </c>
      <c r="H1856" s="13" t="n">
        <f aca="false">(E1856/1000)*(F1856/1000)*(G1856/1000)*7850</f>
        <v>761.6384</v>
      </c>
      <c r="I1856" s="8" t="n">
        <v>2</v>
      </c>
      <c r="J1856" s="14" t="n">
        <f aca="false">H1856*I1856</f>
        <v>1523.2768</v>
      </c>
      <c r="K1856" s="8" t="s">
        <v>1948</v>
      </c>
    </row>
    <row r="1857" customFormat="false" ht="13.8" hidden="false" customHeight="false" outlineLevel="0" collapsed="false">
      <c r="A1857" s="8" t="s">
        <v>1922</v>
      </c>
      <c r="B1857" s="8" t="s">
        <v>42</v>
      </c>
      <c r="C1857" s="8" t="s">
        <v>134</v>
      </c>
      <c r="D1857" s="8" t="s">
        <v>341</v>
      </c>
      <c r="E1857" s="8" t="n">
        <v>9975</v>
      </c>
      <c r="F1857" s="8" t="n">
        <v>320</v>
      </c>
      <c r="G1857" s="8" t="n">
        <v>32</v>
      </c>
      <c r="H1857" s="13" t="n">
        <f aca="false">(E1857/1000)*(F1857/1000)*(G1857/1000)*7850</f>
        <v>801.8304</v>
      </c>
      <c r="I1857" s="8" t="n">
        <v>2</v>
      </c>
      <c r="J1857" s="14" t="n">
        <f aca="false">H1857*I1857</f>
        <v>1603.6608</v>
      </c>
      <c r="K1857" s="8" t="s">
        <v>1949</v>
      </c>
    </row>
    <row r="1858" customFormat="false" ht="13.8" hidden="false" customHeight="false" outlineLevel="0" collapsed="false">
      <c r="A1858" s="8" t="s">
        <v>1922</v>
      </c>
      <c r="B1858" s="8" t="s">
        <v>42</v>
      </c>
      <c r="C1858" s="8" t="s">
        <v>135</v>
      </c>
      <c r="D1858" s="8" t="s">
        <v>341</v>
      </c>
      <c r="E1858" s="8" t="n">
        <v>1200</v>
      </c>
      <c r="F1858" s="8" t="n">
        <v>1200</v>
      </c>
      <c r="G1858" s="8" t="n">
        <v>16</v>
      </c>
      <c r="H1858" s="13" t="n">
        <f aca="false">(E1858/1000)*(F1858/1000)*(G1858/1000)*7850</f>
        <v>180.864</v>
      </c>
      <c r="I1858" s="8" t="n">
        <v>6</v>
      </c>
      <c r="J1858" s="14" t="n">
        <f aca="false">H1858*I1858</f>
        <v>1085.184</v>
      </c>
      <c r="K1858" s="8" t="s">
        <v>1950</v>
      </c>
    </row>
    <row r="1859" customFormat="false" ht="13.8" hidden="false" customHeight="false" outlineLevel="0" collapsed="false">
      <c r="A1859" s="8" t="s">
        <v>1922</v>
      </c>
      <c r="B1859" s="8" t="s">
        <v>42</v>
      </c>
      <c r="C1859" s="8" t="s">
        <v>137</v>
      </c>
      <c r="D1859" s="8" t="s">
        <v>341</v>
      </c>
      <c r="E1859" s="8" t="n">
        <v>5429</v>
      </c>
      <c r="F1859" s="8" t="n">
        <v>1200</v>
      </c>
      <c r="G1859" s="8" t="n">
        <v>40</v>
      </c>
      <c r="H1859" s="13" t="n">
        <f aca="false">(E1859/1000)*(F1859/1000)*(G1859/1000)*7850</f>
        <v>2045.6472</v>
      </c>
      <c r="I1859" s="8" t="n">
        <v>2</v>
      </c>
      <c r="J1859" s="14" t="n">
        <f aca="false">H1859*I1859</f>
        <v>4091.2944</v>
      </c>
      <c r="K1859" s="8" t="s">
        <v>1951</v>
      </c>
    </row>
    <row r="1860" customFormat="false" ht="13.8" hidden="false" customHeight="false" outlineLevel="0" collapsed="false">
      <c r="A1860" s="8" t="s">
        <v>1922</v>
      </c>
      <c r="B1860" s="8" t="s">
        <v>42</v>
      </c>
      <c r="C1860" s="8" t="s">
        <v>374</v>
      </c>
      <c r="D1860" s="8" t="s">
        <v>341</v>
      </c>
      <c r="E1860" s="8" t="n">
        <v>5629</v>
      </c>
      <c r="F1860" s="8" t="n">
        <v>1200</v>
      </c>
      <c r="G1860" s="8" t="n">
        <v>40</v>
      </c>
      <c r="H1860" s="13" t="n">
        <f aca="false">(E1860/1000)*(F1860/1000)*(G1860/1000)*7850</f>
        <v>2121.0072</v>
      </c>
      <c r="I1860" s="8" t="n">
        <v>2</v>
      </c>
      <c r="J1860" s="14" t="n">
        <f aca="false">H1860*I1860</f>
        <v>4242.0144</v>
      </c>
      <c r="K1860" s="8" t="s">
        <v>1952</v>
      </c>
    </row>
    <row r="1861" customFormat="false" ht="13.8" hidden="false" customHeight="false" outlineLevel="0" collapsed="false">
      <c r="A1861" s="8" t="s">
        <v>1922</v>
      </c>
      <c r="B1861" s="8" t="s">
        <v>42</v>
      </c>
      <c r="C1861" s="8" t="s">
        <v>141</v>
      </c>
      <c r="D1861" s="8" t="s">
        <v>341</v>
      </c>
      <c r="E1861" s="8" t="n">
        <v>3629</v>
      </c>
      <c r="F1861" s="8" t="n">
        <v>1760</v>
      </c>
      <c r="G1861" s="8" t="n">
        <v>40</v>
      </c>
      <c r="H1861" s="13" t="n">
        <f aca="false">(E1861/1000)*(F1861/1000)*(G1861/1000)*7850</f>
        <v>2005.53056</v>
      </c>
      <c r="I1861" s="8" t="n">
        <v>4</v>
      </c>
      <c r="J1861" s="14" t="n">
        <f aca="false">H1861*I1861</f>
        <v>8022.12224</v>
      </c>
      <c r="K1861" s="8" t="s">
        <v>1953</v>
      </c>
    </row>
    <row r="1862" customFormat="false" ht="13.8" hidden="false" customHeight="false" outlineLevel="0" collapsed="false">
      <c r="A1862" s="8" t="s">
        <v>1922</v>
      </c>
      <c r="B1862" s="8" t="s">
        <v>42</v>
      </c>
      <c r="C1862" s="8" t="s">
        <v>143</v>
      </c>
      <c r="D1862" s="8" t="s">
        <v>341</v>
      </c>
      <c r="E1862" s="8" t="n">
        <v>3629</v>
      </c>
      <c r="F1862" s="8" t="n">
        <v>320</v>
      </c>
      <c r="G1862" s="8" t="n">
        <v>32</v>
      </c>
      <c r="H1862" s="13" t="n">
        <f aca="false">(E1862/1000)*(F1862/1000)*(G1862/1000)*7850</f>
        <v>291.713536</v>
      </c>
      <c r="I1862" s="8" t="n">
        <v>8</v>
      </c>
      <c r="J1862" s="14" t="n">
        <f aca="false">H1862*I1862</f>
        <v>2333.708288</v>
      </c>
      <c r="K1862" s="8" t="s">
        <v>1954</v>
      </c>
    </row>
    <row r="1863" customFormat="false" ht="13.8" hidden="false" customHeight="false" outlineLevel="0" collapsed="false">
      <c r="A1863" s="8" t="s">
        <v>1922</v>
      </c>
      <c r="B1863" s="8" t="s">
        <v>42</v>
      </c>
      <c r="C1863" s="8" t="s">
        <v>145</v>
      </c>
      <c r="D1863" s="8" t="s">
        <v>341</v>
      </c>
      <c r="E1863" s="8" t="n">
        <v>4729</v>
      </c>
      <c r="F1863" s="8" t="n">
        <v>320</v>
      </c>
      <c r="G1863" s="8" t="n">
        <v>32</v>
      </c>
      <c r="H1863" s="13" t="n">
        <f aca="false">(E1863/1000)*(F1863/1000)*(G1863/1000)*7850</f>
        <v>380.135936</v>
      </c>
      <c r="I1863" s="8" t="n">
        <v>2</v>
      </c>
      <c r="J1863" s="14" t="n">
        <f aca="false">H1863*I1863</f>
        <v>760.271872</v>
      </c>
      <c r="K1863" s="8" t="s">
        <v>1955</v>
      </c>
    </row>
    <row r="1864" customFormat="false" ht="13.8" hidden="false" customHeight="false" outlineLevel="0" collapsed="false">
      <c r="A1864" s="8" t="s">
        <v>1922</v>
      </c>
      <c r="B1864" s="8" t="s">
        <v>42</v>
      </c>
      <c r="C1864" s="8" t="s">
        <v>147</v>
      </c>
      <c r="D1864" s="8" t="s">
        <v>341</v>
      </c>
      <c r="E1864" s="8" t="n">
        <v>4929</v>
      </c>
      <c r="F1864" s="8" t="n">
        <v>320</v>
      </c>
      <c r="G1864" s="8" t="n">
        <v>32</v>
      </c>
      <c r="H1864" s="13" t="n">
        <f aca="false">(E1864/1000)*(F1864/1000)*(G1864/1000)*7850</f>
        <v>396.212736</v>
      </c>
      <c r="I1864" s="8" t="n">
        <v>2</v>
      </c>
      <c r="J1864" s="14" t="n">
        <f aca="false">H1864*I1864</f>
        <v>792.425472</v>
      </c>
      <c r="K1864" s="8" t="s">
        <v>1956</v>
      </c>
    </row>
    <row r="1865" customFormat="false" ht="13.8" hidden="false" customHeight="false" outlineLevel="0" collapsed="false">
      <c r="A1865" s="8" t="s">
        <v>1922</v>
      </c>
      <c r="B1865" s="8" t="s">
        <v>42</v>
      </c>
      <c r="C1865" s="8" t="s">
        <v>149</v>
      </c>
      <c r="D1865" s="8" t="s">
        <v>341</v>
      </c>
      <c r="E1865" s="8" t="n">
        <v>1200</v>
      </c>
      <c r="F1865" s="8" t="n">
        <v>1600</v>
      </c>
      <c r="G1865" s="8" t="n">
        <v>16</v>
      </c>
      <c r="H1865" s="13" t="n">
        <f aca="false">(E1865/1000)*(F1865/1000)*(G1865/1000)*7850</f>
        <v>241.152</v>
      </c>
      <c r="I1865" s="8" t="n">
        <v>6</v>
      </c>
      <c r="J1865" s="14" t="n">
        <f aca="false">H1865*I1865</f>
        <v>1446.912</v>
      </c>
      <c r="K1865" s="8" t="s">
        <v>1957</v>
      </c>
    </row>
    <row r="1866" customFormat="false" ht="13.8" hidden="false" customHeight="false" outlineLevel="0" collapsed="false">
      <c r="A1866" s="8" t="s">
        <v>1922</v>
      </c>
      <c r="B1866" s="8" t="s">
        <v>42</v>
      </c>
      <c r="C1866" s="8" t="s">
        <v>150</v>
      </c>
      <c r="D1866" s="8" t="s">
        <v>341</v>
      </c>
      <c r="E1866" s="8" t="n">
        <v>5640</v>
      </c>
      <c r="F1866" s="8" t="n">
        <v>1200</v>
      </c>
      <c r="G1866" s="8" t="n">
        <v>48</v>
      </c>
      <c r="H1866" s="13" t="n">
        <f aca="false">(E1866/1000)*(F1866/1000)*(G1866/1000)*7850</f>
        <v>2550.1824</v>
      </c>
      <c r="I1866" s="8" t="n">
        <v>2</v>
      </c>
      <c r="J1866" s="14" t="n">
        <f aca="false">H1866*I1866</f>
        <v>5100.3648</v>
      </c>
      <c r="K1866" s="8" t="s">
        <v>1958</v>
      </c>
    </row>
    <row r="1867" customFormat="false" ht="13.8" hidden="false" customHeight="false" outlineLevel="0" collapsed="false">
      <c r="A1867" s="8" t="s">
        <v>1922</v>
      </c>
      <c r="B1867" s="8" t="s">
        <v>171</v>
      </c>
      <c r="C1867" s="8" t="s">
        <v>380</v>
      </c>
      <c r="D1867" s="8" t="s">
        <v>341</v>
      </c>
      <c r="E1867" s="8" t="n">
        <v>5740</v>
      </c>
      <c r="F1867" s="8" t="n">
        <v>1200</v>
      </c>
      <c r="G1867" s="8" t="n">
        <v>48</v>
      </c>
      <c r="H1867" s="13" t="n">
        <f aca="false">(E1867/1000)*(F1867/1000)*(G1867/1000)*7850</f>
        <v>2595.3984</v>
      </c>
      <c r="I1867" s="8" t="n">
        <v>2</v>
      </c>
      <c r="J1867" s="14" t="n">
        <f aca="false">H1867*I1867</f>
        <v>5190.7968</v>
      </c>
      <c r="K1867" s="8" t="s">
        <v>1959</v>
      </c>
    </row>
    <row r="1868" customFormat="false" ht="13.8" hidden="false" customHeight="false" outlineLevel="0" collapsed="false">
      <c r="A1868" s="8" t="s">
        <v>1922</v>
      </c>
      <c r="B1868" s="8" t="s">
        <v>42</v>
      </c>
      <c r="C1868" s="8" t="s">
        <v>155</v>
      </c>
      <c r="D1868" s="8" t="s">
        <v>341</v>
      </c>
      <c r="E1868" s="8" t="n">
        <v>3640</v>
      </c>
      <c r="F1868" s="8" t="n">
        <v>1760</v>
      </c>
      <c r="G1868" s="8" t="n">
        <v>48</v>
      </c>
      <c r="H1868" s="13" t="n">
        <f aca="false">(E1868/1000)*(F1868/1000)*(G1868/1000)*7850</f>
        <v>2413.93152</v>
      </c>
      <c r="I1868" s="8" t="n">
        <v>4</v>
      </c>
      <c r="J1868" s="14" t="n">
        <f aca="false">H1868*I1868</f>
        <v>9655.72608</v>
      </c>
      <c r="K1868" s="8" t="s">
        <v>1960</v>
      </c>
    </row>
    <row r="1869" customFormat="false" ht="13.8" hidden="false" customHeight="false" outlineLevel="0" collapsed="false">
      <c r="A1869" s="8" t="s">
        <v>1922</v>
      </c>
      <c r="B1869" s="8" t="s">
        <v>42</v>
      </c>
      <c r="C1869" s="8" t="s">
        <v>160</v>
      </c>
      <c r="D1869" s="8" t="s">
        <v>341</v>
      </c>
      <c r="E1869" s="8" t="n">
        <v>3640</v>
      </c>
      <c r="F1869" s="8" t="n">
        <v>320</v>
      </c>
      <c r="G1869" s="8" t="n">
        <v>32</v>
      </c>
      <c r="H1869" s="13" t="n">
        <f aca="false">(E1869/1000)*(F1869/1000)*(G1869/1000)*7850</f>
        <v>292.59776</v>
      </c>
      <c r="I1869" s="8" t="n">
        <v>8</v>
      </c>
      <c r="J1869" s="14" t="n">
        <f aca="false">H1869*I1869</f>
        <v>2340.78208</v>
      </c>
      <c r="K1869" s="8" t="s">
        <v>1961</v>
      </c>
    </row>
    <row r="1870" customFormat="false" ht="13.8" hidden="false" customHeight="false" outlineLevel="0" collapsed="false">
      <c r="A1870" s="8" t="s">
        <v>1922</v>
      </c>
      <c r="B1870" s="8" t="s">
        <v>42</v>
      </c>
      <c r="C1870" s="8" t="s">
        <v>226</v>
      </c>
      <c r="D1870" s="8" t="s">
        <v>341</v>
      </c>
      <c r="E1870" s="8" t="n">
        <v>4940</v>
      </c>
      <c r="F1870" s="8" t="n">
        <v>320</v>
      </c>
      <c r="G1870" s="8" t="n">
        <v>32</v>
      </c>
      <c r="H1870" s="13" t="n">
        <f aca="false">(E1870/1000)*(F1870/1000)*(G1870/1000)*7850</f>
        <v>397.09696</v>
      </c>
      <c r="I1870" s="8" t="n">
        <v>2</v>
      </c>
      <c r="J1870" s="14" t="n">
        <f aca="false">H1870*I1870</f>
        <v>794.19392</v>
      </c>
      <c r="K1870" s="8" t="s">
        <v>1962</v>
      </c>
    </row>
    <row r="1871" customFormat="false" ht="13.8" hidden="false" customHeight="false" outlineLevel="0" collapsed="false">
      <c r="A1871" s="8" t="s">
        <v>1922</v>
      </c>
      <c r="B1871" s="8" t="s">
        <v>42</v>
      </c>
      <c r="C1871" s="8" t="s">
        <v>165</v>
      </c>
      <c r="D1871" s="8" t="s">
        <v>341</v>
      </c>
      <c r="E1871" s="8" t="n">
        <v>5040</v>
      </c>
      <c r="F1871" s="8" t="n">
        <v>320</v>
      </c>
      <c r="G1871" s="8" t="n">
        <v>32</v>
      </c>
      <c r="H1871" s="13" t="n">
        <f aca="false">(E1871/1000)*(F1871/1000)*(G1871/1000)*7850</f>
        <v>405.13536</v>
      </c>
      <c r="I1871" s="8" t="n">
        <v>2</v>
      </c>
      <c r="J1871" s="14" t="n">
        <f aca="false">H1871*I1871</f>
        <v>810.27072</v>
      </c>
      <c r="K1871" s="8" t="s">
        <v>1963</v>
      </c>
    </row>
    <row r="1872" customFormat="false" ht="13.8" hidden="false" customHeight="false" outlineLevel="0" collapsed="false">
      <c r="A1872" s="8" t="s">
        <v>1922</v>
      </c>
      <c r="B1872" s="8" t="s">
        <v>42</v>
      </c>
      <c r="C1872" s="8" t="s">
        <v>158</v>
      </c>
      <c r="D1872" s="8" t="s">
        <v>341</v>
      </c>
      <c r="E1872" s="8" t="n">
        <v>1200</v>
      </c>
      <c r="F1872" s="8" t="n">
        <v>1600</v>
      </c>
      <c r="G1872" s="8" t="n">
        <v>16</v>
      </c>
      <c r="H1872" s="13" t="n">
        <f aca="false">(E1872/1000)*(F1872/1000)*(G1872/1000)*7850</f>
        <v>241.152</v>
      </c>
      <c r="I1872" s="8" t="n">
        <v>6</v>
      </c>
      <c r="J1872" s="14" t="n">
        <f aca="false">H1872*I1872</f>
        <v>1446.912</v>
      </c>
      <c r="K1872" s="8" t="s">
        <v>1957</v>
      </c>
    </row>
    <row r="1873" customFormat="false" ht="13.8" hidden="false" customHeight="false" outlineLevel="0" collapsed="false">
      <c r="A1873" s="8" t="s">
        <v>1922</v>
      </c>
      <c r="B1873" s="8" t="s">
        <v>42</v>
      </c>
      <c r="C1873" s="8" t="s">
        <v>386</v>
      </c>
      <c r="D1873" s="8" t="s">
        <v>341</v>
      </c>
      <c r="E1873" s="8" t="n">
        <v>2100</v>
      </c>
      <c r="F1873" s="8" t="n">
        <v>320</v>
      </c>
      <c r="G1873" s="8" t="n">
        <v>32</v>
      </c>
      <c r="H1873" s="13" t="n">
        <f aca="false">(E1873/1000)*(F1873/1000)*(G1873/1000)*7850</f>
        <v>168.8064</v>
      </c>
      <c r="I1873" s="8" t="n">
        <v>16</v>
      </c>
      <c r="J1873" s="14" t="n">
        <f aca="false">H1873*I1873</f>
        <v>2700.9024</v>
      </c>
      <c r="K1873" s="8" t="s">
        <v>1964</v>
      </c>
    </row>
    <row r="1874" customFormat="false" ht="13.8" hidden="false" customHeight="false" outlineLevel="0" collapsed="false">
      <c r="A1874" s="8" t="s">
        <v>1922</v>
      </c>
      <c r="B1874" s="8" t="s">
        <v>42</v>
      </c>
      <c r="C1874" s="8" t="s">
        <v>388</v>
      </c>
      <c r="D1874" s="8" t="s">
        <v>341</v>
      </c>
      <c r="E1874" s="8" t="n">
        <v>2400</v>
      </c>
      <c r="F1874" s="8" t="n">
        <v>320</v>
      </c>
      <c r="G1874" s="8" t="n">
        <v>32</v>
      </c>
      <c r="H1874" s="13" t="n">
        <f aca="false">(E1874/1000)*(F1874/1000)*(G1874/1000)*7850</f>
        <v>192.9216</v>
      </c>
      <c r="I1874" s="8" t="n">
        <v>16</v>
      </c>
      <c r="J1874" s="14" t="n">
        <f aca="false">H1874*I1874</f>
        <v>3086.7456</v>
      </c>
      <c r="K1874" s="8" t="s">
        <v>1965</v>
      </c>
    </row>
    <row r="1875" customFormat="false" ht="13.8" hidden="false" customHeight="false" outlineLevel="0" collapsed="false">
      <c r="A1875" s="8" t="s">
        <v>1922</v>
      </c>
      <c r="B1875" s="8" t="s">
        <v>64</v>
      </c>
      <c r="C1875" s="8" t="s">
        <v>167</v>
      </c>
      <c r="D1875" s="8" t="s">
        <v>40</v>
      </c>
      <c r="E1875" s="8" t="n">
        <v>1560</v>
      </c>
      <c r="F1875" s="8" t="n">
        <v>606</v>
      </c>
      <c r="G1875" s="8" t="n">
        <v>14</v>
      </c>
      <c r="H1875" s="13" t="n">
        <f aca="false">(E1875/1000)*(F1875/1000)*(G1875/1000)*7850</f>
        <v>103.895064</v>
      </c>
      <c r="I1875" s="8" t="n">
        <v>6</v>
      </c>
      <c r="J1875" s="14" t="n">
        <f aca="false">H1875*I1875</f>
        <v>623.370384</v>
      </c>
      <c r="K1875" s="8" t="s">
        <v>1966</v>
      </c>
    </row>
    <row r="1876" customFormat="false" ht="13.8" hidden="false" customHeight="false" outlineLevel="0" collapsed="false">
      <c r="A1876" s="8" t="s">
        <v>1922</v>
      </c>
      <c r="B1876" s="8" t="s">
        <v>42</v>
      </c>
      <c r="C1876" s="8" t="s">
        <v>334</v>
      </c>
      <c r="D1876" s="8" t="s">
        <v>40</v>
      </c>
      <c r="E1876" s="8" t="n">
        <v>1560</v>
      </c>
      <c r="F1876" s="8" t="n">
        <v>602</v>
      </c>
      <c r="G1876" s="8" t="n">
        <v>14</v>
      </c>
      <c r="H1876" s="13" t="n">
        <f aca="false">(E1876/1000)*(F1876/1000)*(G1876/1000)*7850</f>
        <v>103.209288</v>
      </c>
      <c r="I1876" s="8" t="n">
        <v>4</v>
      </c>
      <c r="J1876" s="14" t="n">
        <f aca="false">H1876*I1876</f>
        <v>412.837152</v>
      </c>
      <c r="K1876" s="8" t="s">
        <v>1967</v>
      </c>
    </row>
    <row r="1877" customFormat="false" ht="13.8" hidden="false" customHeight="false" outlineLevel="0" collapsed="false">
      <c r="A1877" s="8" t="s">
        <v>1922</v>
      </c>
      <c r="B1877" s="8" t="s">
        <v>42</v>
      </c>
      <c r="C1877" s="8" t="s">
        <v>169</v>
      </c>
      <c r="D1877" s="8" t="s">
        <v>40</v>
      </c>
      <c r="G1877" s="8" t="n">
        <v>24</v>
      </c>
      <c r="H1877" s="13" t="n">
        <f aca="false">M1877*(G1877/1000)*7850</f>
        <v>86.664</v>
      </c>
      <c r="I1877" s="8" t="n">
        <v>6</v>
      </c>
      <c r="J1877" s="14" t="n">
        <f aca="false">H1877*I1877</f>
        <v>519.984</v>
      </c>
      <c r="K1877" s="8" t="s">
        <v>1968</v>
      </c>
      <c r="M1877" s="15" t="n">
        <v>0.46</v>
      </c>
    </row>
    <row r="1878" customFormat="false" ht="13.8" hidden="false" customHeight="false" outlineLevel="0" collapsed="false">
      <c r="A1878" s="8" t="s">
        <v>1922</v>
      </c>
      <c r="B1878" s="8" t="s">
        <v>42</v>
      </c>
      <c r="C1878" s="8" t="s">
        <v>236</v>
      </c>
      <c r="D1878" s="8" t="s">
        <v>40</v>
      </c>
      <c r="G1878" s="8" t="n">
        <v>24</v>
      </c>
      <c r="H1878" s="13" t="n">
        <f aca="false">M1878*(G1878/1000)*7850</f>
        <v>86.664</v>
      </c>
      <c r="I1878" s="8" t="n">
        <v>4</v>
      </c>
      <c r="J1878" s="14" t="n">
        <f aca="false">H1878*I1878</f>
        <v>346.656</v>
      </c>
      <c r="K1878" s="8" t="s">
        <v>1968</v>
      </c>
      <c r="M1878" s="15" t="n">
        <v>0.46</v>
      </c>
    </row>
    <row r="1879" customFormat="false" ht="13.8" hidden="false" customHeight="false" outlineLevel="0" collapsed="false">
      <c r="A1879" s="8" t="s">
        <v>1922</v>
      </c>
      <c r="B1879" s="8" t="s">
        <v>42</v>
      </c>
      <c r="C1879" s="8" t="s">
        <v>172</v>
      </c>
      <c r="D1879" s="8" t="s">
        <v>40</v>
      </c>
      <c r="E1879" s="8" t="n">
        <v>1450</v>
      </c>
      <c r="F1879" s="8" t="n">
        <v>606</v>
      </c>
      <c r="G1879" s="8" t="n">
        <v>14</v>
      </c>
      <c r="H1879" s="13" t="n">
        <f aca="false">(E1879/1000)*(F1879/1000)*(G1879/1000)*7850</f>
        <v>96.56913</v>
      </c>
      <c r="I1879" s="8" t="n">
        <v>6</v>
      </c>
      <c r="J1879" s="14" t="n">
        <f aca="false">H1879*I1879</f>
        <v>579.41478</v>
      </c>
      <c r="K1879" s="8" t="s">
        <v>1969</v>
      </c>
    </row>
    <row r="1880" customFormat="false" ht="13.8" hidden="false" customHeight="false" outlineLevel="0" collapsed="false">
      <c r="A1880" s="8" t="s">
        <v>1922</v>
      </c>
      <c r="B1880" s="8" t="s">
        <v>42</v>
      </c>
      <c r="C1880" s="8" t="s">
        <v>239</v>
      </c>
      <c r="D1880" s="8" t="s">
        <v>40</v>
      </c>
      <c r="E1880" s="8" t="n">
        <v>1450</v>
      </c>
      <c r="F1880" s="8" t="n">
        <v>606</v>
      </c>
      <c r="G1880" s="8" t="n">
        <v>14</v>
      </c>
      <c r="H1880" s="13" t="n">
        <f aca="false">(E1880/1000)*(F1880/1000)*(G1880/1000)*7850</f>
        <v>96.56913</v>
      </c>
      <c r="I1880" s="8" t="n">
        <v>4</v>
      </c>
      <c r="J1880" s="14" t="n">
        <f aca="false">H1880*I1880</f>
        <v>386.27652</v>
      </c>
      <c r="K1880" s="8" t="s">
        <v>1969</v>
      </c>
    </row>
    <row r="1881" customFormat="false" ht="13.8" hidden="false" customHeight="false" outlineLevel="0" collapsed="false">
      <c r="A1881" s="8" t="s">
        <v>1970</v>
      </c>
      <c r="B1881" s="8" t="s">
        <v>38</v>
      </c>
      <c r="C1881" s="8" t="s">
        <v>444</v>
      </c>
      <c r="D1881" s="8" t="s">
        <v>341</v>
      </c>
      <c r="G1881" s="8" t="n">
        <v>40</v>
      </c>
      <c r="H1881" s="13" t="n">
        <f aca="false">M1881*(G1881/1000)*7850</f>
        <v>3720.9</v>
      </c>
      <c r="I1881" s="8" t="n">
        <v>2</v>
      </c>
      <c r="J1881" s="14" t="n">
        <f aca="false">H1881*I1881</f>
        <v>7441.8</v>
      </c>
      <c r="K1881" s="8" t="s">
        <v>1971</v>
      </c>
      <c r="M1881" s="15" t="n">
        <v>11.85</v>
      </c>
    </row>
    <row r="1882" customFormat="false" ht="13.8" hidden="false" customHeight="false" outlineLevel="0" collapsed="false">
      <c r="A1882" s="8" t="s">
        <v>1970</v>
      </c>
      <c r="B1882" s="8" t="s">
        <v>42</v>
      </c>
      <c r="C1882" s="8" t="s">
        <v>181</v>
      </c>
      <c r="D1882" s="8" t="s">
        <v>341</v>
      </c>
      <c r="G1882" s="8" t="n">
        <v>40</v>
      </c>
      <c r="H1882" s="13" t="n">
        <f aca="false">M1882*(G1882/1000)*7850</f>
        <v>3265.6</v>
      </c>
      <c r="I1882" s="8" t="n">
        <v>2</v>
      </c>
      <c r="J1882" s="14" t="n">
        <f aca="false">H1882*I1882</f>
        <v>6531.2</v>
      </c>
      <c r="K1882" s="8" t="s">
        <v>1972</v>
      </c>
      <c r="M1882" s="15" t="n">
        <v>10.4</v>
      </c>
    </row>
    <row r="1883" customFormat="false" ht="13.8" hidden="false" customHeight="false" outlineLevel="0" collapsed="false">
      <c r="A1883" s="8" t="s">
        <v>1970</v>
      </c>
      <c r="B1883" s="8" t="s">
        <v>45</v>
      </c>
      <c r="C1883" s="8" t="s">
        <v>292</v>
      </c>
      <c r="D1883" s="8" t="s">
        <v>341</v>
      </c>
      <c r="E1883" s="8" t="n">
        <v>8050</v>
      </c>
      <c r="F1883" s="8" t="n">
        <v>1200</v>
      </c>
      <c r="G1883" s="8" t="n">
        <v>40</v>
      </c>
      <c r="H1883" s="13" t="n">
        <f aca="false">(E1883/1000)*(F1883/1000)*(G1883/1000)*7850</f>
        <v>3033.24</v>
      </c>
      <c r="I1883" s="8" t="n">
        <v>2</v>
      </c>
      <c r="J1883" s="14" t="n">
        <f aca="false">H1883*I1883</f>
        <v>6066.48</v>
      </c>
      <c r="K1883" s="8" t="s">
        <v>1973</v>
      </c>
    </row>
    <row r="1884" customFormat="false" ht="13.8" hidden="false" customHeight="false" outlineLevel="0" collapsed="false">
      <c r="A1884" s="8" t="s">
        <v>1970</v>
      </c>
      <c r="B1884" s="8" t="s">
        <v>42</v>
      </c>
      <c r="C1884" s="8" t="s">
        <v>185</v>
      </c>
      <c r="D1884" s="8" t="s">
        <v>341</v>
      </c>
      <c r="E1884" s="8" t="n">
        <v>6950</v>
      </c>
      <c r="F1884" s="8" t="n">
        <v>1200</v>
      </c>
      <c r="G1884" s="8" t="n">
        <v>40</v>
      </c>
      <c r="H1884" s="13" t="n">
        <f aca="false">(E1884/1000)*(F1884/1000)*(G1884/1000)*7850</f>
        <v>2618.76</v>
      </c>
      <c r="I1884" s="8" t="n">
        <v>2</v>
      </c>
      <c r="J1884" s="14" t="n">
        <f aca="false">H1884*I1884</f>
        <v>5237.52</v>
      </c>
      <c r="K1884" s="8" t="s">
        <v>1974</v>
      </c>
    </row>
    <row r="1885" customFormat="false" ht="13.8" hidden="false" customHeight="false" outlineLevel="0" collapsed="false">
      <c r="A1885" s="8" t="s">
        <v>1970</v>
      </c>
      <c r="B1885" s="8" t="s">
        <v>187</v>
      </c>
      <c r="C1885" s="8" t="s">
        <v>188</v>
      </c>
      <c r="D1885" s="8" t="s">
        <v>341</v>
      </c>
      <c r="G1885" s="8" t="n">
        <v>44</v>
      </c>
      <c r="H1885" s="13" t="n">
        <f aca="false">M1885*(G1885/1000)*7850</f>
        <v>7923.476</v>
      </c>
      <c r="I1885" s="8" t="n">
        <v>4</v>
      </c>
      <c r="J1885" s="14" t="n">
        <f aca="false">H1885*I1885</f>
        <v>31693.904</v>
      </c>
      <c r="K1885" s="8" t="s">
        <v>1975</v>
      </c>
      <c r="M1885" s="15" t="n">
        <v>22.94</v>
      </c>
    </row>
    <row r="1886" customFormat="false" ht="13.8" hidden="false" customHeight="false" outlineLevel="0" collapsed="false">
      <c r="A1886" s="8" t="s">
        <v>1970</v>
      </c>
      <c r="B1886" s="8" t="s">
        <v>190</v>
      </c>
      <c r="C1886" s="8" t="s">
        <v>191</v>
      </c>
      <c r="D1886" s="8" t="s">
        <v>341</v>
      </c>
      <c r="E1886" s="8" t="n">
        <v>7150</v>
      </c>
      <c r="F1886" s="8" t="n">
        <v>1628</v>
      </c>
      <c r="G1886" s="8" t="n">
        <v>48</v>
      </c>
      <c r="H1886" s="13" t="n">
        <f aca="false">(E1886/1000)*(F1886/1000)*(G1886/1000)*7850</f>
        <v>4386.02736</v>
      </c>
      <c r="I1886" s="8" t="n">
        <v>4</v>
      </c>
      <c r="J1886" s="14" t="n">
        <f aca="false">H1886*I1886</f>
        <v>17544.10944</v>
      </c>
      <c r="K1886" s="8" t="s">
        <v>1976</v>
      </c>
    </row>
    <row r="1887" customFormat="false" ht="13.8" hidden="false" customHeight="false" outlineLevel="0" collapsed="false">
      <c r="A1887" s="8" t="s">
        <v>1970</v>
      </c>
      <c r="B1887" s="8" t="s">
        <v>195</v>
      </c>
      <c r="C1887" s="8" t="s">
        <v>58</v>
      </c>
      <c r="D1887" s="8" t="s">
        <v>341</v>
      </c>
      <c r="E1887" s="8" t="n">
        <v>1560</v>
      </c>
      <c r="F1887" s="8" t="n">
        <v>1200</v>
      </c>
      <c r="G1887" s="8" t="n">
        <v>16</v>
      </c>
      <c r="H1887" s="13" t="n">
        <f aca="false">(E1887/1000)*(F1887/1000)*(G1887/1000)*7850</f>
        <v>235.1232</v>
      </c>
      <c r="I1887" s="8" t="n">
        <v>6</v>
      </c>
      <c r="J1887" s="14" t="n">
        <f aca="false">H1887*I1887</f>
        <v>1410.7392</v>
      </c>
      <c r="K1887" s="8" t="s">
        <v>1977</v>
      </c>
    </row>
    <row r="1888" customFormat="false" ht="13.8" hidden="false" customHeight="false" outlineLevel="0" collapsed="false">
      <c r="A1888" s="8" t="s">
        <v>1970</v>
      </c>
      <c r="B1888" s="8" t="s">
        <v>42</v>
      </c>
      <c r="C1888" s="8" t="s">
        <v>298</v>
      </c>
      <c r="D1888" s="8" t="s">
        <v>341</v>
      </c>
      <c r="E1888" s="8" t="n">
        <v>1560</v>
      </c>
      <c r="F1888" s="8" t="n">
        <v>1200</v>
      </c>
      <c r="G1888" s="8" t="n">
        <v>16</v>
      </c>
      <c r="H1888" s="13" t="n">
        <f aca="false">(E1888/1000)*(F1888/1000)*(G1888/1000)*7850</f>
        <v>235.1232</v>
      </c>
      <c r="I1888" s="8" t="n">
        <v>4</v>
      </c>
      <c r="J1888" s="14" t="n">
        <f aca="false">H1888*I1888</f>
        <v>940.4928</v>
      </c>
      <c r="K1888" s="8" t="s">
        <v>1977</v>
      </c>
    </row>
    <row r="1889" customFormat="false" ht="13.8" hidden="false" customHeight="false" outlineLevel="0" collapsed="false">
      <c r="A1889" s="8" t="s">
        <v>1970</v>
      </c>
      <c r="B1889" s="8" t="s">
        <v>42</v>
      </c>
      <c r="C1889" s="8" t="s">
        <v>196</v>
      </c>
      <c r="D1889" s="8" t="s">
        <v>341</v>
      </c>
      <c r="E1889" s="8" t="n">
        <v>1657</v>
      </c>
      <c r="F1889" s="8" t="n">
        <v>200</v>
      </c>
      <c r="G1889" s="8" t="n">
        <v>16</v>
      </c>
      <c r="H1889" s="13" t="n">
        <f aca="false">(E1889/1000)*(F1889/1000)*(G1889/1000)*7850</f>
        <v>41.62384</v>
      </c>
      <c r="I1889" s="8" t="n">
        <v>6</v>
      </c>
      <c r="J1889" s="14" t="n">
        <f aca="false">H1889*I1889</f>
        <v>249.74304</v>
      </c>
      <c r="K1889" s="8" t="s">
        <v>1978</v>
      </c>
    </row>
    <row r="1890" customFormat="false" ht="13.8" hidden="false" customHeight="false" outlineLevel="0" collapsed="false">
      <c r="A1890" s="8" t="s">
        <v>1970</v>
      </c>
      <c r="B1890" s="8" t="s">
        <v>42</v>
      </c>
      <c r="C1890" s="8" t="s">
        <v>68</v>
      </c>
      <c r="D1890" s="8" t="s">
        <v>341</v>
      </c>
      <c r="E1890" s="8" t="n">
        <v>600</v>
      </c>
      <c r="F1890" s="8" t="n">
        <v>400</v>
      </c>
      <c r="G1890" s="8" t="n">
        <v>16</v>
      </c>
      <c r="H1890" s="13" t="n">
        <f aca="false">(E1890/1000)*(F1890/1000)*(G1890/1000)*7850</f>
        <v>30.144</v>
      </c>
      <c r="I1890" s="8" t="n">
        <v>8</v>
      </c>
      <c r="J1890" s="14" t="n">
        <f aca="false">H1890*I1890</f>
        <v>241.152</v>
      </c>
      <c r="K1890" s="8" t="s">
        <v>1979</v>
      </c>
    </row>
    <row r="1891" customFormat="false" ht="13.8" hidden="false" customHeight="false" outlineLevel="0" collapsed="false">
      <c r="A1891" s="8" t="s">
        <v>1970</v>
      </c>
      <c r="B1891" s="8" t="s">
        <v>80</v>
      </c>
      <c r="C1891" s="8" t="s">
        <v>199</v>
      </c>
      <c r="D1891" s="8" t="s">
        <v>341</v>
      </c>
      <c r="E1891" s="8" t="n">
        <v>8050</v>
      </c>
      <c r="F1891" s="8" t="n">
        <v>320</v>
      </c>
      <c r="G1891" s="8" t="n">
        <v>32</v>
      </c>
      <c r="H1891" s="13" t="n">
        <f aca="false">(E1891/1000)*(F1891/1000)*(G1891/1000)*7850</f>
        <v>647.0912</v>
      </c>
      <c r="I1891" s="8" t="n">
        <v>12</v>
      </c>
      <c r="J1891" s="14" t="n">
        <f aca="false">H1891*I1891</f>
        <v>7765.0944</v>
      </c>
      <c r="K1891" s="8" t="s">
        <v>1980</v>
      </c>
    </row>
    <row r="1892" customFormat="false" ht="13.8" hidden="false" customHeight="false" outlineLevel="0" collapsed="false">
      <c r="A1892" s="8" t="s">
        <v>1970</v>
      </c>
      <c r="B1892" s="8" t="s">
        <v>42</v>
      </c>
      <c r="C1892" s="8" t="s">
        <v>76</v>
      </c>
      <c r="D1892" s="8" t="s">
        <v>341</v>
      </c>
      <c r="E1892" s="8" t="n">
        <v>6950</v>
      </c>
      <c r="F1892" s="8" t="n">
        <v>320</v>
      </c>
      <c r="G1892" s="8" t="n">
        <v>32</v>
      </c>
      <c r="H1892" s="13" t="n">
        <f aca="false">(E1892/1000)*(F1892/1000)*(G1892/1000)*7850</f>
        <v>558.6688</v>
      </c>
      <c r="I1892" s="8" t="n">
        <v>12</v>
      </c>
      <c r="J1892" s="14" t="n">
        <f aca="false">H1892*I1892</f>
        <v>6704.0256</v>
      </c>
      <c r="K1892" s="8" t="s">
        <v>1981</v>
      </c>
    </row>
    <row r="1893" customFormat="false" ht="13.8" hidden="false" customHeight="false" outlineLevel="0" collapsed="false">
      <c r="A1893" s="8" t="s">
        <v>1970</v>
      </c>
      <c r="B1893" s="8" t="s">
        <v>256</v>
      </c>
      <c r="C1893" s="8" t="s">
        <v>96</v>
      </c>
      <c r="D1893" s="8" t="s">
        <v>341</v>
      </c>
      <c r="E1893" s="8" t="n">
        <v>8050</v>
      </c>
      <c r="F1893" s="8" t="n">
        <v>1850</v>
      </c>
      <c r="G1893" s="8" t="n">
        <v>32</v>
      </c>
      <c r="H1893" s="13" t="n">
        <f aca="false">(E1893/1000)*(F1893/1000)*(G1893/1000)*7850</f>
        <v>3740.996</v>
      </c>
      <c r="I1893" s="8" t="n">
        <v>2</v>
      </c>
      <c r="J1893" s="14" t="n">
        <f aca="false">H1893*I1893</f>
        <v>7481.992</v>
      </c>
      <c r="K1893" s="8" t="s">
        <v>1982</v>
      </c>
    </row>
    <row r="1894" customFormat="false" ht="13.8" hidden="false" customHeight="false" outlineLevel="0" collapsed="false">
      <c r="A1894" s="8" t="s">
        <v>1970</v>
      </c>
      <c r="B1894" s="8" t="s">
        <v>42</v>
      </c>
      <c r="C1894" s="8" t="s">
        <v>305</v>
      </c>
      <c r="D1894" s="8" t="s">
        <v>341</v>
      </c>
      <c r="E1894" s="8" t="n">
        <v>6950</v>
      </c>
      <c r="F1894" s="8" t="n">
        <v>1850</v>
      </c>
      <c r="G1894" s="8" t="n">
        <v>32</v>
      </c>
      <c r="H1894" s="13" t="n">
        <f aca="false">(E1894/1000)*(F1894/1000)*(G1894/1000)*7850</f>
        <v>3229.804</v>
      </c>
      <c r="I1894" s="8" t="n">
        <v>2</v>
      </c>
      <c r="J1894" s="14" t="n">
        <f aca="false">H1894*I1894</f>
        <v>6459.608</v>
      </c>
      <c r="K1894" s="8" t="s">
        <v>1983</v>
      </c>
    </row>
    <row r="1895" customFormat="false" ht="13.8" hidden="false" customHeight="false" outlineLevel="0" collapsed="false">
      <c r="A1895" s="8" t="s">
        <v>1970</v>
      </c>
      <c r="B1895" s="8" t="s">
        <v>260</v>
      </c>
      <c r="C1895" s="8" t="s">
        <v>100</v>
      </c>
      <c r="D1895" s="8" t="s">
        <v>341</v>
      </c>
      <c r="G1895" s="8" t="n">
        <v>40</v>
      </c>
      <c r="H1895" s="13" t="n">
        <f aca="false">M1895*(G1895/1000)*7850</f>
        <v>4961.2</v>
      </c>
      <c r="I1895" s="8" t="n">
        <v>2</v>
      </c>
      <c r="J1895" s="14" t="n">
        <f aca="false">H1895*I1895</f>
        <v>9922.4</v>
      </c>
      <c r="K1895" s="8" t="s">
        <v>1984</v>
      </c>
      <c r="M1895" s="15" t="n">
        <v>15.8</v>
      </c>
    </row>
    <row r="1896" customFormat="false" ht="13.8" hidden="false" customHeight="false" outlineLevel="0" collapsed="false">
      <c r="A1896" s="8" t="s">
        <v>1970</v>
      </c>
      <c r="B1896" s="8" t="s">
        <v>42</v>
      </c>
      <c r="C1896" s="8" t="s">
        <v>206</v>
      </c>
      <c r="D1896" s="8" t="s">
        <v>341</v>
      </c>
      <c r="G1896" s="8" t="n">
        <v>32</v>
      </c>
      <c r="H1896" s="13" t="n">
        <f aca="false">M1896*(G1896/1000)*7850</f>
        <v>2612.48</v>
      </c>
      <c r="I1896" s="8" t="n">
        <v>2</v>
      </c>
      <c r="J1896" s="14" t="n">
        <f aca="false">H1896*I1896</f>
        <v>5224.96</v>
      </c>
      <c r="K1896" s="8" t="s">
        <v>1985</v>
      </c>
      <c r="M1896" s="15" t="n">
        <v>10.4</v>
      </c>
    </row>
    <row r="1897" customFormat="false" ht="13.8" hidden="false" customHeight="false" outlineLevel="0" collapsed="false">
      <c r="A1897" s="8" t="s">
        <v>1970</v>
      </c>
      <c r="B1897" s="8" t="s">
        <v>105</v>
      </c>
      <c r="C1897" s="8" t="s">
        <v>103</v>
      </c>
      <c r="D1897" s="8" t="s">
        <v>341</v>
      </c>
      <c r="G1897" s="8" t="n">
        <v>44</v>
      </c>
      <c r="H1897" s="13" t="n">
        <f aca="false">M1897*(G1897/1000)*7850</f>
        <v>7792.224</v>
      </c>
      <c r="I1897" s="8" t="n">
        <v>4</v>
      </c>
      <c r="J1897" s="14" t="n">
        <f aca="false">H1897*I1897</f>
        <v>31168.896</v>
      </c>
      <c r="K1897" s="8" t="s">
        <v>1986</v>
      </c>
      <c r="M1897" s="15" t="n">
        <v>22.56</v>
      </c>
    </row>
    <row r="1898" customFormat="false" ht="13.8" hidden="false" customHeight="false" outlineLevel="0" collapsed="false">
      <c r="A1898" s="8" t="s">
        <v>1970</v>
      </c>
      <c r="B1898" s="8" t="s">
        <v>102</v>
      </c>
      <c r="C1898" s="8" t="s">
        <v>106</v>
      </c>
      <c r="D1898" s="8" t="s">
        <v>341</v>
      </c>
      <c r="E1898" s="8" t="n">
        <v>7150</v>
      </c>
      <c r="F1898" s="8" t="n">
        <v>1482</v>
      </c>
      <c r="G1898" s="8" t="n">
        <v>44</v>
      </c>
      <c r="H1898" s="13" t="n">
        <f aca="false">(E1898/1000)*(F1898/1000)*(G1898/1000)*7850</f>
        <v>3659.96202</v>
      </c>
      <c r="I1898" s="8" t="n">
        <v>4</v>
      </c>
      <c r="J1898" s="14" t="n">
        <f aca="false">H1898*I1898</f>
        <v>14639.84808</v>
      </c>
      <c r="K1898" s="8" t="s">
        <v>1987</v>
      </c>
    </row>
    <row r="1899" customFormat="false" ht="13.8" hidden="false" customHeight="false" outlineLevel="0" collapsed="false">
      <c r="A1899" s="8" t="s">
        <v>1970</v>
      </c>
      <c r="B1899" s="8" t="s">
        <v>110</v>
      </c>
      <c r="C1899" s="8" t="s">
        <v>108</v>
      </c>
      <c r="D1899" s="8" t="s">
        <v>341</v>
      </c>
      <c r="E1899" s="8" t="n">
        <v>1450</v>
      </c>
      <c r="F1899" s="8" t="n">
        <v>1200</v>
      </c>
      <c r="G1899" s="8" t="n">
        <v>16</v>
      </c>
      <c r="H1899" s="13" t="n">
        <f aca="false">(E1899/1000)*(F1899/1000)*(G1899/1000)*7850</f>
        <v>218.544</v>
      </c>
      <c r="I1899" s="8" t="n">
        <v>6</v>
      </c>
      <c r="J1899" s="14" t="n">
        <f aca="false">H1899*I1899</f>
        <v>1311.264</v>
      </c>
      <c r="K1899" s="8" t="s">
        <v>1988</v>
      </c>
    </row>
    <row r="1900" customFormat="false" ht="13.8" hidden="false" customHeight="false" outlineLevel="0" collapsed="false">
      <c r="A1900" s="8" t="s">
        <v>1970</v>
      </c>
      <c r="B1900" s="8" t="s">
        <v>42</v>
      </c>
      <c r="C1900" s="8" t="s">
        <v>267</v>
      </c>
      <c r="D1900" s="8" t="s">
        <v>341</v>
      </c>
      <c r="E1900" s="8" t="n">
        <v>1450</v>
      </c>
      <c r="F1900" s="8" t="n">
        <v>1200</v>
      </c>
      <c r="G1900" s="8" t="n">
        <v>16</v>
      </c>
      <c r="H1900" s="13" t="n">
        <f aca="false">(E1900/1000)*(F1900/1000)*(G1900/1000)*7850</f>
        <v>218.544</v>
      </c>
      <c r="I1900" s="8" t="n">
        <v>4</v>
      </c>
      <c r="J1900" s="14" t="n">
        <f aca="false">H1900*I1900</f>
        <v>874.176</v>
      </c>
      <c r="K1900" s="8" t="s">
        <v>1988</v>
      </c>
    </row>
    <row r="1901" customFormat="false" ht="13.8" hidden="false" customHeight="false" outlineLevel="0" collapsed="false">
      <c r="A1901" s="8" t="s">
        <v>1970</v>
      </c>
      <c r="B1901" s="8" t="s">
        <v>42</v>
      </c>
      <c r="C1901" s="8" t="s">
        <v>108</v>
      </c>
      <c r="D1901" s="8" t="s">
        <v>341</v>
      </c>
      <c r="E1901" s="8" t="n">
        <v>1657</v>
      </c>
      <c r="F1901" s="8" t="n">
        <v>200</v>
      </c>
      <c r="G1901" s="8" t="n">
        <v>16</v>
      </c>
      <c r="H1901" s="13" t="n">
        <f aca="false">(E1901/1000)*(F1901/1000)*(G1901/1000)*7850</f>
        <v>41.62384</v>
      </c>
      <c r="I1901" s="8" t="n">
        <v>6</v>
      </c>
      <c r="J1901" s="14" t="n">
        <f aca="false">H1901*I1901</f>
        <v>249.74304</v>
      </c>
      <c r="K1901" s="8" t="s">
        <v>1989</v>
      </c>
    </row>
    <row r="1902" customFormat="false" ht="13.8" hidden="false" customHeight="false" outlineLevel="0" collapsed="false">
      <c r="A1902" s="8" t="s">
        <v>1970</v>
      </c>
      <c r="B1902" s="8" t="s">
        <v>314</v>
      </c>
      <c r="C1902" s="8" t="s">
        <v>114</v>
      </c>
      <c r="D1902" s="8" t="s">
        <v>341</v>
      </c>
      <c r="E1902" s="8" t="n">
        <v>8050</v>
      </c>
      <c r="F1902" s="8" t="n">
        <v>320</v>
      </c>
      <c r="G1902" s="8" t="n">
        <v>32</v>
      </c>
      <c r="H1902" s="13" t="n">
        <f aca="false">(E1902/1000)*(F1902/1000)*(G1902/1000)*7850</f>
        <v>647.0912</v>
      </c>
      <c r="I1902" s="8" t="n">
        <v>8</v>
      </c>
      <c r="J1902" s="14" t="n">
        <f aca="false">H1902*I1902</f>
        <v>5176.7296</v>
      </c>
      <c r="K1902" s="8" t="s">
        <v>1980</v>
      </c>
    </row>
    <row r="1903" customFormat="false" ht="13.8" hidden="false" customHeight="false" outlineLevel="0" collapsed="false">
      <c r="A1903" s="8" t="s">
        <v>1970</v>
      </c>
      <c r="B1903" s="8" t="s">
        <v>42</v>
      </c>
      <c r="C1903" s="8" t="s">
        <v>116</v>
      </c>
      <c r="D1903" s="8" t="s">
        <v>341</v>
      </c>
      <c r="E1903" s="8" t="n">
        <v>6950</v>
      </c>
      <c r="F1903" s="8" t="n">
        <v>320</v>
      </c>
      <c r="G1903" s="8" t="n">
        <v>32</v>
      </c>
      <c r="H1903" s="13" t="n">
        <f aca="false">(E1903/1000)*(F1903/1000)*(G1903/1000)*7850</f>
        <v>558.6688</v>
      </c>
      <c r="I1903" s="8" t="n">
        <v>8</v>
      </c>
      <c r="J1903" s="14" t="n">
        <f aca="false">H1903*I1903</f>
        <v>4469.3504</v>
      </c>
      <c r="K1903" s="8" t="s">
        <v>1981</v>
      </c>
    </row>
    <row r="1904" customFormat="false" ht="13.8" hidden="false" customHeight="false" outlineLevel="0" collapsed="false">
      <c r="A1904" s="8" t="s">
        <v>1970</v>
      </c>
      <c r="B1904" s="8" t="s">
        <v>42</v>
      </c>
      <c r="C1904" s="8" t="s">
        <v>118</v>
      </c>
      <c r="D1904" s="8" t="s">
        <v>341</v>
      </c>
      <c r="E1904" s="8" t="n">
        <v>15000</v>
      </c>
      <c r="F1904" s="8" t="n">
        <v>170</v>
      </c>
      <c r="G1904" s="8" t="n">
        <v>14</v>
      </c>
      <c r="H1904" s="13" t="n">
        <f aca="false">(E1904/1000)*(F1904/1000)*(G1904/1000)*7850</f>
        <v>280.245</v>
      </c>
      <c r="I1904" s="8" t="n">
        <v>2</v>
      </c>
      <c r="J1904" s="14" t="n">
        <f aca="false">H1904*I1904</f>
        <v>560.49</v>
      </c>
      <c r="K1904" s="8" t="s">
        <v>1990</v>
      </c>
    </row>
    <row r="1905" customFormat="false" ht="13.8" hidden="false" customHeight="false" outlineLevel="0" collapsed="false">
      <c r="A1905" s="8" t="s">
        <v>1970</v>
      </c>
      <c r="B1905" s="8" t="s">
        <v>272</v>
      </c>
      <c r="C1905" s="8" t="s">
        <v>125</v>
      </c>
      <c r="D1905" s="8" t="s">
        <v>341</v>
      </c>
      <c r="E1905" s="8" t="n">
        <v>11042</v>
      </c>
      <c r="F1905" s="8" t="n">
        <v>1200</v>
      </c>
      <c r="G1905" s="8" t="n">
        <v>40</v>
      </c>
      <c r="H1905" s="13" t="n">
        <f aca="false">(E1905/1000)*(F1905/1000)*(G1905/1000)*7850</f>
        <v>4160.6256</v>
      </c>
      <c r="I1905" s="8" t="n">
        <v>2</v>
      </c>
      <c r="J1905" s="14" t="n">
        <f aca="false">H1905*I1905</f>
        <v>8321.2512</v>
      </c>
      <c r="K1905" s="8" t="s">
        <v>1991</v>
      </c>
    </row>
    <row r="1906" customFormat="false" ht="13.8" hidden="false" customHeight="false" outlineLevel="0" collapsed="false">
      <c r="A1906" s="8" t="s">
        <v>1970</v>
      </c>
      <c r="B1906" s="8" t="s">
        <v>42</v>
      </c>
      <c r="C1906" s="8" t="s">
        <v>127</v>
      </c>
      <c r="D1906" s="8" t="s">
        <v>341</v>
      </c>
      <c r="E1906" s="8" t="n">
        <v>11342</v>
      </c>
      <c r="F1906" s="8" t="n">
        <v>1200</v>
      </c>
      <c r="G1906" s="8" t="n">
        <v>40</v>
      </c>
      <c r="H1906" s="13" t="n">
        <f aca="false">(E1906/1000)*(F1906/1000)*(G1906/1000)*7850</f>
        <v>4273.6656</v>
      </c>
      <c r="I1906" s="8" t="n">
        <v>2</v>
      </c>
      <c r="J1906" s="14" t="n">
        <f aca="false">H1906*I1906</f>
        <v>8547.3312</v>
      </c>
      <c r="K1906" s="8" t="s">
        <v>1992</v>
      </c>
    </row>
    <row r="1907" customFormat="false" ht="13.8" hidden="false" customHeight="false" outlineLevel="0" collapsed="false">
      <c r="A1907" s="8" t="s">
        <v>1970</v>
      </c>
      <c r="B1907" s="8" t="s">
        <v>42</v>
      </c>
      <c r="C1907" s="8" t="s">
        <v>128</v>
      </c>
      <c r="D1907" s="8" t="s">
        <v>341</v>
      </c>
      <c r="E1907" s="8" t="n">
        <v>7242</v>
      </c>
      <c r="F1907" s="8" t="n">
        <v>1760</v>
      </c>
      <c r="G1907" s="8" t="n">
        <v>40</v>
      </c>
      <c r="H1907" s="13" t="n">
        <f aca="false">(E1907/1000)*(F1907/1000)*(G1907/1000)*7850</f>
        <v>4002.21888</v>
      </c>
      <c r="I1907" s="8" t="n">
        <v>4</v>
      </c>
      <c r="J1907" s="14" t="n">
        <f aca="false">H1907*I1907</f>
        <v>16008.87552</v>
      </c>
      <c r="K1907" s="8" t="s">
        <v>1993</v>
      </c>
    </row>
    <row r="1908" customFormat="false" ht="13.8" hidden="false" customHeight="false" outlineLevel="0" collapsed="false">
      <c r="A1908" s="8" t="s">
        <v>1970</v>
      </c>
      <c r="B1908" s="8" t="s">
        <v>42</v>
      </c>
      <c r="C1908" s="8" t="s">
        <v>130</v>
      </c>
      <c r="D1908" s="8" t="s">
        <v>341</v>
      </c>
      <c r="E1908" s="8" t="n">
        <v>7242</v>
      </c>
      <c r="F1908" s="8" t="n">
        <v>320</v>
      </c>
      <c r="G1908" s="8" t="n">
        <v>32</v>
      </c>
      <c r="H1908" s="13" t="n">
        <f aca="false">(E1908/1000)*(F1908/1000)*(G1908/1000)*7850</f>
        <v>582.140928</v>
      </c>
      <c r="I1908" s="8" t="n">
        <v>8</v>
      </c>
      <c r="J1908" s="14" t="n">
        <f aca="false">H1908*I1908</f>
        <v>4657.127424</v>
      </c>
      <c r="K1908" s="8" t="s">
        <v>1994</v>
      </c>
    </row>
    <row r="1909" customFormat="false" ht="13.8" hidden="false" customHeight="false" outlineLevel="0" collapsed="false">
      <c r="A1909" s="8" t="s">
        <v>1970</v>
      </c>
      <c r="B1909" s="8" t="s">
        <v>42</v>
      </c>
      <c r="C1909" s="8" t="s">
        <v>132</v>
      </c>
      <c r="D1909" s="8" t="s">
        <v>341</v>
      </c>
      <c r="E1909" s="8" t="n">
        <v>9642</v>
      </c>
      <c r="F1909" s="8" t="n">
        <v>320</v>
      </c>
      <c r="G1909" s="8" t="n">
        <v>32</v>
      </c>
      <c r="H1909" s="13" t="n">
        <f aca="false">(E1909/1000)*(F1909/1000)*(G1909/1000)*7850</f>
        <v>775.062528</v>
      </c>
      <c r="I1909" s="8" t="n">
        <v>2</v>
      </c>
      <c r="J1909" s="14" t="n">
        <f aca="false">H1909*I1909</f>
        <v>1550.125056</v>
      </c>
      <c r="K1909" s="8" t="s">
        <v>1995</v>
      </c>
    </row>
    <row r="1910" customFormat="false" ht="13.8" hidden="false" customHeight="false" outlineLevel="0" collapsed="false">
      <c r="A1910" s="8" t="s">
        <v>1970</v>
      </c>
      <c r="B1910" s="8" t="s">
        <v>42</v>
      </c>
      <c r="C1910" s="8" t="s">
        <v>134</v>
      </c>
      <c r="D1910" s="8" t="s">
        <v>341</v>
      </c>
      <c r="E1910" s="8" t="n">
        <v>9942</v>
      </c>
      <c r="F1910" s="8" t="n">
        <v>320</v>
      </c>
      <c r="G1910" s="8" t="n">
        <v>32</v>
      </c>
      <c r="H1910" s="13" t="n">
        <f aca="false">(E1910/1000)*(F1910/1000)*(G1910/1000)*7850</f>
        <v>799.177728</v>
      </c>
      <c r="I1910" s="8" t="n">
        <v>2</v>
      </c>
      <c r="J1910" s="14" t="n">
        <f aca="false">H1910*I1910</f>
        <v>1598.355456</v>
      </c>
      <c r="K1910" s="8" t="s">
        <v>1996</v>
      </c>
    </row>
    <row r="1911" customFormat="false" ht="13.8" hidden="false" customHeight="false" outlineLevel="0" collapsed="false">
      <c r="A1911" s="8" t="s">
        <v>1970</v>
      </c>
      <c r="B1911" s="8" t="s">
        <v>42</v>
      </c>
      <c r="C1911" s="8" t="s">
        <v>135</v>
      </c>
      <c r="D1911" s="8" t="s">
        <v>341</v>
      </c>
      <c r="E1911" s="8" t="n">
        <v>1200</v>
      </c>
      <c r="F1911" s="8" t="n">
        <v>1600</v>
      </c>
      <c r="G1911" s="8" t="n">
        <v>16</v>
      </c>
      <c r="H1911" s="13" t="n">
        <f aca="false">(E1911/1000)*(F1911/1000)*(G1911/1000)*7850</f>
        <v>241.152</v>
      </c>
      <c r="I1911" s="8" t="n">
        <v>6</v>
      </c>
      <c r="J1911" s="14" t="n">
        <f aca="false">H1911*I1911</f>
        <v>1446.912</v>
      </c>
      <c r="K1911" s="8" t="s">
        <v>1997</v>
      </c>
    </row>
    <row r="1912" customFormat="false" ht="13.8" hidden="false" customHeight="false" outlineLevel="0" collapsed="false">
      <c r="A1912" s="8" t="s">
        <v>1970</v>
      </c>
      <c r="B1912" s="8" t="s">
        <v>42</v>
      </c>
      <c r="C1912" s="8" t="s">
        <v>137</v>
      </c>
      <c r="D1912" s="8" t="s">
        <v>40</v>
      </c>
      <c r="E1912" s="8" t="n">
        <v>5426</v>
      </c>
      <c r="F1912" s="8" t="n">
        <v>1200</v>
      </c>
      <c r="G1912" s="8" t="n">
        <v>36</v>
      </c>
      <c r="H1912" s="13" t="n">
        <f aca="false">(E1912/1000)*(F1912/1000)*(G1912/1000)*7850</f>
        <v>1840.06512</v>
      </c>
      <c r="I1912" s="8" t="n">
        <v>2</v>
      </c>
      <c r="J1912" s="14" t="n">
        <f aca="false">H1912*I1912</f>
        <v>3680.13024</v>
      </c>
      <c r="K1912" s="8" t="s">
        <v>1998</v>
      </c>
    </row>
    <row r="1913" customFormat="false" ht="13.8" hidden="false" customHeight="false" outlineLevel="0" collapsed="false">
      <c r="A1913" s="8" t="s">
        <v>1970</v>
      </c>
      <c r="B1913" s="8" t="s">
        <v>42</v>
      </c>
      <c r="C1913" s="8" t="s">
        <v>139</v>
      </c>
      <c r="D1913" s="8" t="s">
        <v>40</v>
      </c>
      <c r="E1913" s="8" t="n">
        <v>5726</v>
      </c>
      <c r="F1913" s="8" t="n">
        <v>1200</v>
      </c>
      <c r="G1913" s="8" t="n">
        <v>36</v>
      </c>
      <c r="H1913" s="13" t="n">
        <f aca="false">(E1913/1000)*(F1913/1000)*(G1913/1000)*7850</f>
        <v>1941.80112</v>
      </c>
      <c r="I1913" s="8" t="n">
        <v>2</v>
      </c>
      <c r="J1913" s="14" t="n">
        <f aca="false">H1913*I1913</f>
        <v>3883.60224</v>
      </c>
      <c r="K1913" s="8" t="s">
        <v>1999</v>
      </c>
    </row>
    <row r="1914" customFormat="false" ht="13.8" hidden="false" customHeight="false" outlineLevel="0" collapsed="false">
      <c r="A1914" s="8" t="s">
        <v>1970</v>
      </c>
      <c r="B1914" s="8" t="s">
        <v>42</v>
      </c>
      <c r="C1914" s="8" t="s">
        <v>141</v>
      </c>
      <c r="D1914" s="8" t="s">
        <v>40</v>
      </c>
      <c r="E1914" s="8" t="n">
        <v>3626</v>
      </c>
      <c r="F1914" s="8" t="n">
        <v>1360</v>
      </c>
      <c r="G1914" s="8" t="n">
        <v>36</v>
      </c>
      <c r="H1914" s="13" t="n">
        <f aca="false">(E1914/1000)*(F1914/1000)*(G1914/1000)*7850</f>
        <v>1393.602336</v>
      </c>
      <c r="I1914" s="8" t="n">
        <v>4</v>
      </c>
      <c r="J1914" s="14" t="n">
        <f aca="false">H1914*I1914</f>
        <v>5574.409344</v>
      </c>
      <c r="K1914" s="8" t="s">
        <v>2000</v>
      </c>
    </row>
    <row r="1915" customFormat="false" ht="13.8" hidden="false" customHeight="false" outlineLevel="0" collapsed="false">
      <c r="A1915" s="8" t="s">
        <v>1970</v>
      </c>
      <c r="B1915" s="8" t="s">
        <v>42</v>
      </c>
      <c r="C1915" s="8" t="s">
        <v>143</v>
      </c>
      <c r="D1915" s="8" t="s">
        <v>40</v>
      </c>
      <c r="E1915" s="8" t="n">
        <v>3626</v>
      </c>
      <c r="F1915" s="8" t="n">
        <v>320</v>
      </c>
      <c r="G1915" s="8" t="n">
        <v>32</v>
      </c>
      <c r="H1915" s="13" t="n">
        <f aca="false">(E1915/1000)*(F1915/1000)*(G1915/1000)*7850</f>
        <v>291.472384</v>
      </c>
      <c r="I1915" s="8" t="n">
        <v>4</v>
      </c>
      <c r="J1915" s="14" t="n">
        <f aca="false">H1915*I1915</f>
        <v>1165.889536</v>
      </c>
      <c r="K1915" s="8" t="s">
        <v>2001</v>
      </c>
    </row>
    <row r="1916" customFormat="false" ht="13.8" hidden="false" customHeight="false" outlineLevel="0" collapsed="false">
      <c r="A1916" s="8" t="s">
        <v>1970</v>
      </c>
      <c r="B1916" s="8" t="s">
        <v>42</v>
      </c>
      <c r="C1916" s="8" t="s">
        <v>326</v>
      </c>
      <c r="D1916" s="8" t="s">
        <v>40</v>
      </c>
      <c r="E1916" s="8" t="n">
        <v>4726</v>
      </c>
      <c r="F1916" s="8" t="n">
        <v>320</v>
      </c>
      <c r="G1916" s="8" t="n">
        <v>32</v>
      </c>
      <c r="H1916" s="13" t="n">
        <f aca="false">(E1916/1000)*(F1916/1000)*(G1916/1000)*7850</f>
        <v>379.894784</v>
      </c>
      <c r="I1916" s="8" t="n">
        <v>2</v>
      </c>
      <c r="J1916" s="14" t="n">
        <f aca="false">H1916*I1916</f>
        <v>759.789568</v>
      </c>
      <c r="K1916" s="8" t="s">
        <v>2002</v>
      </c>
    </row>
    <row r="1917" customFormat="false" ht="13.8" hidden="false" customHeight="false" outlineLevel="0" collapsed="false">
      <c r="A1917" s="8" t="s">
        <v>1970</v>
      </c>
      <c r="B1917" s="8" t="s">
        <v>42</v>
      </c>
      <c r="C1917" s="8" t="s">
        <v>147</v>
      </c>
      <c r="D1917" s="8" t="s">
        <v>40</v>
      </c>
      <c r="E1917" s="8" t="n">
        <v>5026</v>
      </c>
      <c r="F1917" s="8" t="n">
        <v>320</v>
      </c>
      <c r="G1917" s="8" t="n">
        <v>32</v>
      </c>
      <c r="H1917" s="13" t="n">
        <f aca="false">(E1917/1000)*(F1917/1000)*(G1917/1000)*7850</f>
        <v>404.009984</v>
      </c>
      <c r="I1917" s="8" t="n">
        <v>2</v>
      </c>
      <c r="J1917" s="14" t="n">
        <f aca="false">H1917*I1917</f>
        <v>808.019968</v>
      </c>
      <c r="K1917" s="8" t="s">
        <v>2003</v>
      </c>
    </row>
    <row r="1918" customFormat="false" ht="13.8" hidden="false" customHeight="false" outlineLevel="0" collapsed="false">
      <c r="A1918" s="8" t="s">
        <v>1970</v>
      </c>
      <c r="B1918" s="8" t="s">
        <v>42</v>
      </c>
      <c r="C1918" s="8" t="s">
        <v>149</v>
      </c>
      <c r="D1918" s="8" t="s">
        <v>40</v>
      </c>
      <c r="E1918" s="8" t="n">
        <v>1200</v>
      </c>
      <c r="F1918" s="8" t="n">
        <v>1200</v>
      </c>
      <c r="G1918" s="8" t="n">
        <v>16</v>
      </c>
      <c r="H1918" s="13" t="n">
        <f aca="false">(E1918/1000)*(F1918/1000)*(G1918/1000)*7850</f>
        <v>180.864</v>
      </c>
      <c r="I1918" s="8" t="n">
        <v>4</v>
      </c>
      <c r="J1918" s="14" t="n">
        <f aca="false">H1918*I1918</f>
        <v>723.456</v>
      </c>
      <c r="K1918" s="8" t="s">
        <v>2004</v>
      </c>
    </row>
    <row r="1919" customFormat="false" ht="13.8" hidden="false" customHeight="false" outlineLevel="0" collapsed="false">
      <c r="A1919" s="8" t="s">
        <v>1970</v>
      </c>
      <c r="B1919" s="8" t="s">
        <v>42</v>
      </c>
      <c r="C1919" s="8" t="s">
        <v>150</v>
      </c>
      <c r="D1919" s="8" t="s">
        <v>341</v>
      </c>
      <c r="E1919" s="8" t="n">
        <v>5629</v>
      </c>
      <c r="F1919" s="8" t="n">
        <v>1200</v>
      </c>
      <c r="G1919" s="8" t="n">
        <v>40</v>
      </c>
      <c r="H1919" s="13" t="n">
        <f aca="false">(E1919/1000)*(F1919/1000)*(G1919/1000)*7850</f>
        <v>2121.0072</v>
      </c>
      <c r="I1919" s="8" t="n">
        <v>2</v>
      </c>
      <c r="J1919" s="14" t="n">
        <f aca="false">H1919*I1919</f>
        <v>4242.0144</v>
      </c>
      <c r="K1919" s="8" t="s">
        <v>2005</v>
      </c>
    </row>
    <row r="1920" customFormat="false" ht="13.8" hidden="false" customHeight="false" outlineLevel="0" collapsed="false">
      <c r="A1920" s="8" t="s">
        <v>1970</v>
      </c>
      <c r="B1920" s="8" t="s">
        <v>171</v>
      </c>
      <c r="C1920" s="8" t="s">
        <v>380</v>
      </c>
      <c r="D1920" s="8" t="s">
        <v>341</v>
      </c>
      <c r="E1920" s="8" t="n">
        <v>5629</v>
      </c>
      <c r="F1920" s="8" t="n">
        <v>1200</v>
      </c>
      <c r="G1920" s="8" t="n">
        <v>40</v>
      </c>
      <c r="H1920" s="13" t="n">
        <f aca="false">(E1920/1000)*(F1920/1000)*(G1920/1000)*7850</f>
        <v>2121.0072</v>
      </c>
      <c r="I1920" s="8" t="n">
        <v>2</v>
      </c>
      <c r="J1920" s="14" t="n">
        <f aca="false">H1920*I1920</f>
        <v>4242.0144</v>
      </c>
      <c r="K1920" s="8" t="s">
        <v>2005</v>
      </c>
    </row>
    <row r="1921" customFormat="false" ht="13.8" hidden="false" customHeight="false" outlineLevel="0" collapsed="false">
      <c r="A1921" s="8" t="s">
        <v>1970</v>
      </c>
      <c r="B1921" s="8" t="s">
        <v>42</v>
      </c>
      <c r="C1921" s="8" t="s">
        <v>155</v>
      </c>
      <c r="D1921" s="8" t="s">
        <v>341</v>
      </c>
      <c r="E1921" s="8" t="n">
        <v>3629</v>
      </c>
      <c r="F1921" s="8" t="n">
        <v>1760</v>
      </c>
      <c r="G1921" s="8" t="n">
        <v>40</v>
      </c>
      <c r="H1921" s="13" t="n">
        <f aca="false">(E1921/1000)*(F1921/1000)*(G1921/1000)*7850</f>
        <v>2005.53056</v>
      </c>
      <c r="I1921" s="8" t="n">
        <v>4</v>
      </c>
      <c r="J1921" s="14" t="n">
        <f aca="false">H1921*I1921</f>
        <v>8022.12224</v>
      </c>
      <c r="K1921" s="8" t="s">
        <v>2006</v>
      </c>
    </row>
    <row r="1922" customFormat="false" ht="13.8" hidden="false" customHeight="false" outlineLevel="0" collapsed="false">
      <c r="A1922" s="8" t="s">
        <v>1970</v>
      </c>
      <c r="B1922" s="8" t="s">
        <v>42</v>
      </c>
      <c r="C1922" s="8" t="s">
        <v>160</v>
      </c>
      <c r="D1922" s="8" t="s">
        <v>341</v>
      </c>
      <c r="E1922" s="8" t="n">
        <v>3629</v>
      </c>
      <c r="F1922" s="8" t="n">
        <v>320</v>
      </c>
      <c r="G1922" s="8" t="n">
        <v>32</v>
      </c>
      <c r="H1922" s="13" t="n">
        <f aca="false">(E1922/1000)*(F1922/1000)*(G1922/1000)*7850</f>
        <v>291.713536</v>
      </c>
      <c r="I1922" s="8" t="n">
        <v>8</v>
      </c>
      <c r="J1922" s="14" t="n">
        <f aca="false">H1922*I1922</f>
        <v>2333.708288</v>
      </c>
      <c r="K1922" s="8" t="s">
        <v>2007</v>
      </c>
    </row>
    <row r="1923" customFormat="false" ht="13.8" hidden="false" customHeight="false" outlineLevel="0" collapsed="false">
      <c r="A1923" s="8" t="s">
        <v>1970</v>
      </c>
      <c r="B1923" s="8" t="s">
        <v>42</v>
      </c>
      <c r="C1923" s="8" t="s">
        <v>226</v>
      </c>
      <c r="D1923" s="8" t="s">
        <v>341</v>
      </c>
      <c r="E1923" s="8" t="n">
        <v>4229</v>
      </c>
      <c r="F1923" s="8" t="n">
        <v>320</v>
      </c>
      <c r="G1923" s="8" t="n">
        <v>32</v>
      </c>
      <c r="H1923" s="13" t="n">
        <f aca="false">(E1923/1000)*(F1923/1000)*(G1923/1000)*7850</f>
        <v>339.943936</v>
      </c>
      <c r="I1923" s="8" t="n">
        <v>2</v>
      </c>
      <c r="J1923" s="14" t="n">
        <f aca="false">H1923*I1923</f>
        <v>679.887872</v>
      </c>
      <c r="K1923" s="8" t="s">
        <v>2008</v>
      </c>
    </row>
    <row r="1924" customFormat="false" ht="13.8" hidden="false" customHeight="false" outlineLevel="0" collapsed="false">
      <c r="A1924" s="8" t="s">
        <v>1970</v>
      </c>
      <c r="B1924" s="8" t="s">
        <v>42</v>
      </c>
      <c r="C1924" s="8" t="s">
        <v>165</v>
      </c>
      <c r="D1924" s="8" t="s">
        <v>341</v>
      </c>
      <c r="E1924" s="8" t="n">
        <v>4229</v>
      </c>
      <c r="F1924" s="8" t="n">
        <v>320</v>
      </c>
      <c r="G1924" s="8" t="n">
        <v>32</v>
      </c>
      <c r="H1924" s="13" t="n">
        <f aca="false">(E1924/1000)*(F1924/1000)*(G1924/1000)*7850</f>
        <v>339.943936</v>
      </c>
      <c r="I1924" s="8" t="n">
        <v>2</v>
      </c>
      <c r="J1924" s="14" t="n">
        <f aca="false">H1924*I1924</f>
        <v>679.887872</v>
      </c>
      <c r="K1924" s="8" t="s">
        <v>2008</v>
      </c>
    </row>
    <row r="1925" customFormat="false" ht="13.8" hidden="false" customHeight="false" outlineLevel="0" collapsed="false">
      <c r="A1925" s="8" t="s">
        <v>1970</v>
      </c>
      <c r="B1925" s="8" t="s">
        <v>42</v>
      </c>
      <c r="C1925" s="8" t="s">
        <v>158</v>
      </c>
      <c r="D1925" s="8" t="s">
        <v>341</v>
      </c>
      <c r="E1925" s="8" t="n">
        <v>1200</v>
      </c>
      <c r="F1925" s="8" t="n">
        <v>1600</v>
      </c>
      <c r="G1925" s="8" t="n">
        <v>16</v>
      </c>
      <c r="H1925" s="13" t="n">
        <f aca="false">(E1925/1000)*(F1925/1000)*(G1925/1000)*7850</f>
        <v>241.152</v>
      </c>
      <c r="I1925" s="8" t="n">
        <v>4</v>
      </c>
      <c r="J1925" s="14" t="n">
        <f aca="false">H1925*I1925</f>
        <v>964.608</v>
      </c>
      <c r="K1925" s="8" t="s">
        <v>1997</v>
      </c>
    </row>
    <row r="1926" customFormat="false" ht="13.8" hidden="false" customHeight="false" outlineLevel="0" collapsed="false">
      <c r="A1926" s="8" t="s">
        <v>1970</v>
      </c>
      <c r="B1926" s="8" t="s">
        <v>42</v>
      </c>
      <c r="C1926" s="8" t="s">
        <v>386</v>
      </c>
      <c r="D1926" s="8" t="s">
        <v>341</v>
      </c>
      <c r="E1926" s="8" t="n">
        <v>2100</v>
      </c>
      <c r="F1926" s="8" t="n">
        <v>320</v>
      </c>
      <c r="G1926" s="8" t="n">
        <v>32</v>
      </c>
      <c r="H1926" s="13" t="n">
        <f aca="false">(E1926/1000)*(F1926/1000)*(G1926/1000)*7850</f>
        <v>168.8064</v>
      </c>
      <c r="I1926" s="8" t="n">
        <v>16</v>
      </c>
      <c r="J1926" s="14" t="n">
        <f aca="false">H1926*I1926</f>
        <v>2700.9024</v>
      </c>
      <c r="K1926" s="8" t="s">
        <v>2009</v>
      </c>
    </row>
    <row r="1927" customFormat="false" ht="13.8" hidden="false" customHeight="false" outlineLevel="0" collapsed="false">
      <c r="A1927" s="8" t="s">
        <v>1970</v>
      </c>
      <c r="B1927" s="8" t="s">
        <v>42</v>
      </c>
      <c r="C1927" s="8" t="s">
        <v>388</v>
      </c>
      <c r="D1927" s="8" t="s">
        <v>341</v>
      </c>
      <c r="E1927" s="8" t="n">
        <v>2400</v>
      </c>
      <c r="F1927" s="8" t="n">
        <v>320</v>
      </c>
      <c r="G1927" s="8" t="n">
        <v>32</v>
      </c>
      <c r="H1927" s="13" t="n">
        <f aca="false">(E1927/1000)*(F1927/1000)*(G1927/1000)*7850</f>
        <v>192.9216</v>
      </c>
      <c r="I1927" s="8" t="n">
        <v>16</v>
      </c>
      <c r="J1927" s="14" t="n">
        <f aca="false">H1927*I1927</f>
        <v>3086.7456</v>
      </c>
      <c r="K1927" s="8" t="s">
        <v>2010</v>
      </c>
    </row>
    <row r="1928" customFormat="false" ht="13.8" hidden="false" customHeight="false" outlineLevel="0" collapsed="false">
      <c r="A1928" s="8" t="s">
        <v>1970</v>
      </c>
      <c r="B1928" s="8" t="s">
        <v>64</v>
      </c>
      <c r="C1928" s="8" t="s">
        <v>167</v>
      </c>
      <c r="D1928" s="8" t="s">
        <v>40</v>
      </c>
      <c r="E1928" s="8" t="n">
        <v>1560</v>
      </c>
      <c r="F1928" s="8" t="n">
        <v>606</v>
      </c>
      <c r="G1928" s="8" t="n">
        <v>14</v>
      </c>
      <c r="H1928" s="13" t="n">
        <f aca="false">(E1928/1000)*(F1928/1000)*(G1928/1000)*7850</f>
        <v>103.895064</v>
      </c>
      <c r="I1928" s="8" t="n">
        <v>6</v>
      </c>
      <c r="J1928" s="14" t="n">
        <f aca="false">H1928*I1928</f>
        <v>623.370384</v>
      </c>
      <c r="K1928" s="8" t="s">
        <v>2011</v>
      </c>
    </row>
    <row r="1929" customFormat="false" ht="13.8" hidden="false" customHeight="false" outlineLevel="0" collapsed="false">
      <c r="A1929" s="8" t="s">
        <v>1970</v>
      </c>
      <c r="B1929" s="8" t="s">
        <v>42</v>
      </c>
      <c r="C1929" s="8" t="s">
        <v>334</v>
      </c>
      <c r="D1929" s="8" t="s">
        <v>40</v>
      </c>
      <c r="E1929" s="8" t="n">
        <v>1560</v>
      </c>
      <c r="F1929" s="8" t="n">
        <v>602</v>
      </c>
      <c r="G1929" s="8" t="n">
        <v>14</v>
      </c>
      <c r="H1929" s="13" t="n">
        <f aca="false">(E1929/1000)*(F1929/1000)*(G1929/1000)*7850</f>
        <v>103.209288</v>
      </c>
      <c r="I1929" s="8" t="n">
        <v>4</v>
      </c>
      <c r="J1929" s="14" t="n">
        <f aca="false">H1929*I1929</f>
        <v>412.837152</v>
      </c>
      <c r="K1929" s="8" t="s">
        <v>2012</v>
      </c>
    </row>
    <row r="1930" customFormat="false" ht="13.8" hidden="false" customHeight="false" outlineLevel="0" collapsed="false">
      <c r="A1930" s="8" t="s">
        <v>1970</v>
      </c>
      <c r="B1930" s="8" t="s">
        <v>42</v>
      </c>
      <c r="C1930" s="8" t="s">
        <v>169</v>
      </c>
      <c r="D1930" s="8" t="s">
        <v>40</v>
      </c>
      <c r="G1930" s="8" t="n">
        <v>24</v>
      </c>
      <c r="H1930" s="13" t="n">
        <f aca="false">M1930*(G1930/1000)*7850</f>
        <v>88.548</v>
      </c>
      <c r="I1930" s="8" t="n">
        <v>6</v>
      </c>
      <c r="J1930" s="14" t="n">
        <f aca="false">H1930*I1930</f>
        <v>531.288</v>
      </c>
      <c r="K1930" s="8" t="s">
        <v>2013</v>
      </c>
      <c r="M1930" s="15" t="n">
        <v>0.47</v>
      </c>
    </row>
    <row r="1931" customFormat="false" ht="13.8" hidden="false" customHeight="false" outlineLevel="0" collapsed="false">
      <c r="A1931" s="8" t="s">
        <v>1970</v>
      </c>
      <c r="B1931" s="8" t="s">
        <v>42</v>
      </c>
      <c r="C1931" s="8" t="s">
        <v>236</v>
      </c>
      <c r="D1931" s="8" t="s">
        <v>40</v>
      </c>
      <c r="G1931" s="8" t="n">
        <v>24</v>
      </c>
      <c r="H1931" s="13" t="n">
        <f aca="false">M1931*(G1931/1000)*7850</f>
        <v>90.432</v>
      </c>
      <c r="I1931" s="8" t="n">
        <v>4</v>
      </c>
      <c r="J1931" s="14" t="n">
        <f aca="false">H1931*I1931</f>
        <v>361.728</v>
      </c>
      <c r="K1931" s="8" t="s">
        <v>2014</v>
      </c>
      <c r="M1931" s="15" t="n">
        <v>0.48</v>
      </c>
    </row>
    <row r="1932" customFormat="false" ht="13.8" hidden="false" customHeight="false" outlineLevel="0" collapsed="false">
      <c r="A1932" s="8" t="s">
        <v>1970</v>
      </c>
      <c r="B1932" s="8" t="s">
        <v>42</v>
      </c>
      <c r="C1932" s="8" t="s">
        <v>172</v>
      </c>
      <c r="D1932" s="8" t="s">
        <v>40</v>
      </c>
      <c r="E1932" s="8" t="n">
        <v>1450</v>
      </c>
      <c r="F1932" s="8" t="n">
        <v>606</v>
      </c>
      <c r="G1932" s="8" t="n">
        <v>14</v>
      </c>
      <c r="H1932" s="13" t="n">
        <f aca="false">(E1932/1000)*(F1932/1000)*(G1932/1000)*7850</f>
        <v>96.56913</v>
      </c>
      <c r="I1932" s="8" t="n">
        <v>4</v>
      </c>
      <c r="J1932" s="14" t="n">
        <f aca="false">H1932*I1932</f>
        <v>386.27652</v>
      </c>
      <c r="K1932" s="8" t="s">
        <v>2015</v>
      </c>
    </row>
    <row r="1933" customFormat="false" ht="13.8" hidden="false" customHeight="false" outlineLevel="0" collapsed="false">
      <c r="A1933" s="8" t="s">
        <v>1970</v>
      </c>
      <c r="B1933" s="8" t="s">
        <v>42</v>
      </c>
      <c r="C1933" s="8" t="s">
        <v>239</v>
      </c>
      <c r="D1933" s="8" t="s">
        <v>40</v>
      </c>
      <c r="E1933" s="8" t="n">
        <v>1450</v>
      </c>
      <c r="F1933" s="8" t="n">
        <v>606</v>
      </c>
      <c r="G1933" s="8" t="n">
        <v>14</v>
      </c>
      <c r="H1933" s="13" t="n">
        <f aca="false">(E1933/1000)*(F1933/1000)*(G1933/1000)*7850</f>
        <v>96.56913</v>
      </c>
      <c r="I1933" s="8" t="n">
        <v>4</v>
      </c>
      <c r="J1933" s="14" t="n">
        <f aca="false">H1933*I1933</f>
        <v>386.27652</v>
      </c>
      <c r="K1933" s="8" t="s">
        <v>2015</v>
      </c>
    </row>
    <row r="1934" customFormat="false" ht="13.8" hidden="false" customHeight="false" outlineLevel="0" collapsed="false">
      <c r="A1934" s="8" t="s">
        <v>1970</v>
      </c>
      <c r="B1934" s="8" t="s">
        <v>492</v>
      </c>
      <c r="C1934" s="8" t="s">
        <v>78</v>
      </c>
      <c r="D1934" s="8" t="s">
        <v>341</v>
      </c>
      <c r="E1934" s="8" t="n">
        <v>1450</v>
      </c>
      <c r="F1934" s="8" t="n">
        <v>1200</v>
      </c>
      <c r="G1934" s="8" t="n">
        <v>32</v>
      </c>
      <c r="H1934" s="13" t="n">
        <f aca="false">(E1934/1000)*(F1934/1000)*(G1934/1000)*7850</f>
        <v>437.088</v>
      </c>
      <c r="I1934" s="8" t="n">
        <v>10</v>
      </c>
      <c r="J1934" s="14" t="n">
        <f aca="false">H1934*I1934</f>
        <v>4370.88</v>
      </c>
      <c r="K1934" s="8" t="s">
        <v>2016</v>
      </c>
    </row>
    <row r="1935" customFormat="false" ht="13.8" hidden="false" customHeight="false" outlineLevel="0" collapsed="false">
      <c r="A1935" s="8" t="s">
        <v>1970</v>
      </c>
      <c r="B1935" s="8" t="s">
        <v>42</v>
      </c>
      <c r="C1935" s="8" t="s">
        <v>82</v>
      </c>
      <c r="D1935" s="8" t="s">
        <v>341</v>
      </c>
      <c r="E1935" s="8" t="n">
        <v>1450</v>
      </c>
      <c r="F1935" s="8" t="n">
        <v>602</v>
      </c>
      <c r="G1935" s="8" t="n">
        <v>60</v>
      </c>
      <c r="H1935" s="13" t="n">
        <f aca="false">(E1935/1000)*(F1935/1000)*(G1935/1000)*7850</f>
        <v>411.1359</v>
      </c>
      <c r="I1935" s="8" t="n">
        <v>6</v>
      </c>
      <c r="J1935" s="14" t="n">
        <f aca="false">H1935*I1935</f>
        <v>2466.8154</v>
      </c>
      <c r="K1935" s="8" t="s">
        <v>2017</v>
      </c>
    </row>
    <row r="1936" customFormat="false" ht="13.8" hidden="false" customHeight="false" outlineLevel="0" collapsed="false">
      <c r="A1936" s="8" t="s">
        <v>1970</v>
      </c>
      <c r="B1936" s="8" t="s">
        <v>42</v>
      </c>
      <c r="C1936" s="8" t="s">
        <v>87</v>
      </c>
      <c r="D1936" s="8" t="s">
        <v>341</v>
      </c>
      <c r="E1936" s="8" t="n">
        <v>2800</v>
      </c>
      <c r="F1936" s="8" t="n">
        <v>2650</v>
      </c>
      <c r="G1936" s="8" t="n">
        <v>80</v>
      </c>
      <c r="H1936" s="13" t="n">
        <f aca="false">(E1936/1000)*(F1936/1000)*(G1936/1000)*7850</f>
        <v>4659.76</v>
      </c>
      <c r="I1936" s="8" t="n">
        <v>2</v>
      </c>
      <c r="J1936" s="14" t="n">
        <f aca="false">H1936*I1936</f>
        <v>9319.52</v>
      </c>
      <c r="K1936" s="8" t="s">
        <v>2018</v>
      </c>
    </row>
    <row r="1937" customFormat="false" ht="13.8" hidden="false" customHeight="false" outlineLevel="0" collapsed="false">
      <c r="A1937" s="8" t="s">
        <v>1970</v>
      </c>
      <c r="B1937" s="8" t="s">
        <v>42</v>
      </c>
      <c r="C1937" s="8" t="s">
        <v>90</v>
      </c>
      <c r="D1937" s="8" t="s">
        <v>341</v>
      </c>
      <c r="E1937" s="8" t="n">
        <v>1000</v>
      </c>
      <c r="F1937" s="8" t="n">
        <v>568</v>
      </c>
      <c r="G1937" s="8" t="n">
        <v>32</v>
      </c>
      <c r="H1937" s="13" t="n">
        <f aca="false">(E1937/1000)*(F1937/1000)*(G1937/1000)*7850</f>
        <v>142.6816</v>
      </c>
      <c r="I1937" s="8" t="n">
        <v>8</v>
      </c>
      <c r="J1937" s="14" t="n">
        <f aca="false">H1937*I1937</f>
        <v>1141.4528</v>
      </c>
      <c r="K1937" s="8" t="s">
        <v>2019</v>
      </c>
    </row>
    <row r="1938" customFormat="false" ht="13.8" hidden="false" customHeight="false" outlineLevel="0" collapsed="false">
      <c r="A1938" s="8" t="s">
        <v>1970</v>
      </c>
      <c r="B1938" s="8" t="s">
        <v>42</v>
      </c>
      <c r="C1938" s="8" t="s">
        <v>94</v>
      </c>
      <c r="D1938" s="8" t="s">
        <v>341</v>
      </c>
      <c r="E1938" s="8" t="n">
        <v>1350</v>
      </c>
      <c r="F1938" s="8" t="n">
        <v>570</v>
      </c>
      <c r="G1938" s="8" t="n">
        <v>32</v>
      </c>
      <c r="H1938" s="13" t="n">
        <f aca="false">(E1938/1000)*(F1938/1000)*(G1938/1000)*7850</f>
        <v>193.2984</v>
      </c>
      <c r="I1938" s="8" t="n">
        <v>14</v>
      </c>
      <c r="J1938" s="14" t="n">
        <f aca="false">H1938*I1938</f>
        <v>2706.1776</v>
      </c>
      <c r="K1938" s="8" t="s">
        <v>2020</v>
      </c>
    </row>
    <row r="1939" customFormat="false" ht="13.8" hidden="false" customHeight="false" outlineLevel="0" collapsed="false">
      <c r="A1939" s="8" t="s">
        <v>1970</v>
      </c>
      <c r="B1939" s="8" t="s">
        <v>42</v>
      </c>
      <c r="C1939" s="8" t="s">
        <v>1262</v>
      </c>
      <c r="D1939" s="8" t="s">
        <v>341</v>
      </c>
      <c r="E1939" s="8" t="n">
        <v>2960</v>
      </c>
      <c r="F1939" s="8" t="n">
        <v>650</v>
      </c>
      <c r="G1939" s="8" t="n">
        <v>32</v>
      </c>
      <c r="H1939" s="13" t="n">
        <f aca="false">(E1939/1000)*(F1939/1000)*(G1939/1000)*7850</f>
        <v>483.3088</v>
      </c>
      <c r="I1939" s="8" t="n">
        <v>2</v>
      </c>
      <c r="J1939" s="14" t="n">
        <f aca="false">H1939*I1939</f>
        <v>966.6176</v>
      </c>
      <c r="K1939" s="8" t="s">
        <v>2021</v>
      </c>
    </row>
    <row r="1940" customFormat="false" ht="13.8" hidden="false" customHeight="false" outlineLevel="0" collapsed="false">
      <c r="A1940" s="8" t="s">
        <v>2022</v>
      </c>
      <c r="B1940" s="8" t="s">
        <v>38</v>
      </c>
      <c r="C1940" s="8" t="s">
        <v>444</v>
      </c>
      <c r="D1940" s="8" t="s">
        <v>341</v>
      </c>
      <c r="G1940" s="8" t="n">
        <v>40</v>
      </c>
      <c r="H1940" s="13" t="n">
        <f aca="false">M1940*(G1940/1000)*7850</f>
        <v>3720.9</v>
      </c>
      <c r="I1940" s="8" t="n">
        <v>2</v>
      </c>
      <c r="J1940" s="14" t="n">
        <f aca="false">H1940*I1940</f>
        <v>7441.8</v>
      </c>
      <c r="K1940" s="8" t="s">
        <v>2023</v>
      </c>
      <c r="M1940" s="15" t="n">
        <v>11.85</v>
      </c>
    </row>
    <row r="1941" customFormat="false" ht="13.8" hidden="false" customHeight="false" outlineLevel="0" collapsed="false">
      <c r="A1941" s="8" t="s">
        <v>2022</v>
      </c>
      <c r="B1941" s="8" t="s">
        <v>42</v>
      </c>
      <c r="C1941" s="8" t="s">
        <v>243</v>
      </c>
      <c r="D1941" s="8" t="s">
        <v>341</v>
      </c>
      <c r="G1941" s="8" t="n">
        <v>40</v>
      </c>
      <c r="H1941" s="13" t="n">
        <f aca="false">M1941*(G1941/1000)*7850</f>
        <v>3262.46</v>
      </c>
      <c r="I1941" s="8" t="n">
        <v>2</v>
      </c>
      <c r="J1941" s="14" t="n">
        <f aca="false">H1941*I1941</f>
        <v>6524.92</v>
      </c>
      <c r="K1941" s="8" t="s">
        <v>2024</v>
      </c>
      <c r="M1941" s="15" t="n">
        <v>10.39</v>
      </c>
    </row>
    <row r="1942" customFormat="false" ht="13.8" hidden="false" customHeight="false" outlineLevel="0" collapsed="false">
      <c r="A1942" s="8" t="s">
        <v>2022</v>
      </c>
      <c r="B1942" s="8" t="s">
        <v>45</v>
      </c>
      <c r="C1942" s="8" t="s">
        <v>292</v>
      </c>
      <c r="D1942" s="8" t="s">
        <v>341</v>
      </c>
      <c r="E1942" s="8" t="n">
        <v>7900</v>
      </c>
      <c r="F1942" s="8" t="n">
        <v>1200</v>
      </c>
      <c r="G1942" s="8" t="n">
        <v>40</v>
      </c>
      <c r="H1942" s="13" t="n">
        <f aca="false">(E1942/1000)*(F1942/1000)*(G1942/1000)*7850</f>
        <v>2976.72</v>
      </c>
      <c r="I1942" s="8" t="n">
        <v>2</v>
      </c>
      <c r="J1942" s="14" t="n">
        <f aca="false">H1942*I1942</f>
        <v>5953.44</v>
      </c>
      <c r="K1942" s="8" t="s">
        <v>2025</v>
      </c>
    </row>
    <row r="1943" customFormat="false" ht="13.8" hidden="false" customHeight="false" outlineLevel="0" collapsed="false">
      <c r="A1943" s="8" t="s">
        <v>2022</v>
      </c>
      <c r="B1943" s="8" t="s">
        <v>42</v>
      </c>
      <c r="C1943" s="8" t="s">
        <v>185</v>
      </c>
      <c r="D1943" s="8" t="s">
        <v>341</v>
      </c>
      <c r="E1943" s="8" t="n">
        <v>6950</v>
      </c>
      <c r="F1943" s="8" t="n">
        <v>1200</v>
      </c>
      <c r="G1943" s="8" t="n">
        <v>40</v>
      </c>
      <c r="H1943" s="13" t="n">
        <f aca="false">(E1943/1000)*(F1943/1000)*(G1943/1000)*7850</f>
        <v>2618.76</v>
      </c>
      <c r="I1943" s="8" t="n">
        <v>2</v>
      </c>
      <c r="J1943" s="14" t="n">
        <f aca="false">H1943*I1943</f>
        <v>5237.52</v>
      </c>
      <c r="K1943" s="8" t="s">
        <v>2026</v>
      </c>
    </row>
    <row r="1944" customFormat="false" ht="13.8" hidden="false" customHeight="false" outlineLevel="0" collapsed="false">
      <c r="A1944" s="8" t="s">
        <v>2022</v>
      </c>
      <c r="B1944" s="8" t="s">
        <v>187</v>
      </c>
      <c r="C1944" s="8" t="s">
        <v>188</v>
      </c>
      <c r="D1944" s="8" t="s">
        <v>341</v>
      </c>
      <c r="G1944" s="8" t="n">
        <v>48</v>
      </c>
      <c r="H1944" s="13" t="n">
        <f aca="false">M1944*(G1944/1000)*7850</f>
        <v>8022.072</v>
      </c>
      <c r="I1944" s="8" t="n">
        <v>4</v>
      </c>
      <c r="J1944" s="14" t="n">
        <f aca="false">H1944*I1944</f>
        <v>32088.288</v>
      </c>
      <c r="K1944" s="8" t="s">
        <v>2027</v>
      </c>
      <c r="M1944" s="15" t="n">
        <v>21.29</v>
      </c>
    </row>
    <row r="1945" customFormat="false" ht="13.8" hidden="false" customHeight="false" outlineLevel="0" collapsed="false">
      <c r="A1945" s="8" t="s">
        <v>2022</v>
      </c>
      <c r="B1945" s="8" t="s">
        <v>190</v>
      </c>
      <c r="C1945" s="8" t="s">
        <v>50</v>
      </c>
      <c r="D1945" s="8" t="s">
        <v>341</v>
      </c>
      <c r="E1945" s="8" t="n">
        <v>7150</v>
      </c>
      <c r="F1945" s="8" t="n">
        <v>1628</v>
      </c>
      <c r="G1945" s="8" t="n">
        <v>48</v>
      </c>
      <c r="H1945" s="13" t="n">
        <f aca="false">(E1945/1000)*(F1945/1000)*(G1945/1000)*7850</f>
        <v>4386.02736</v>
      </c>
      <c r="I1945" s="8" t="n">
        <v>4</v>
      </c>
      <c r="J1945" s="14" t="n">
        <f aca="false">H1945*I1945</f>
        <v>17544.10944</v>
      </c>
      <c r="K1945" s="8" t="s">
        <v>2028</v>
      </c>
    </row>
    <row r="1946" customFormat="false" ht="13.8" hidden="false" customHeight="false" outlineLevel="0" collapsed="false">
      <c r="A1946" s="8" t="s">
        <v>2022</v>
      </c>
      <c r="B1946" s="8" t="s">
        <v>195</v>
      </c>
      <c r="C1946" s="8" t="s">
        <v>58</v>
      </c>
      <c r="D1946" s="8" t="s">
        <v>341</v>
      </c>
      <c r="E1946" s="8" t="n">
        <v>1560</v>
      </c>
      <c r="F1946" s="8" t="n">
        <v>1200</v>
      </c>
      <c r="G1946" s="8" t="n">
        <v>16</v>
      </c>
      <c r="H1946" s="13" t="n">
        <f aca="false">(E1946/1000)*(F1946/1000)*(G1946/1000)*7850</f>
        <v>235.1232</v>
      </c>
      <c r="I1946" s="8" t="n">
        <v>6</v>
      </c>
      <c r="J1946" s="14" t="n">
        <f aca="false">H1946*I1946</f>
        <v>1410.7392</v>
      </c>
      <c r="K1946" s="8" t="s">
        <v>2029</v>
      </c>
    </row>
    <row r="1947" customFormat="false" ht="13.8" hidden="false" customHeight="false" outlineLevel="0" collapsed="false">
      <c r="A1947" s="8" t="s">
        <v>2022</v>
      </c>
      <c r="B1947" s="8" t="s">
        <v>42</v>
      </c>
      <c r="C1947" s="8" t="s">
        <v>298</v>
      </c>
      <c r="D1947" s="8" t="s">
        <v>341</v>
      </c>
      <c r="E1947" s="8" t="n">
        <v>1560</v>
      </c>
      <c r="F1947" s="8" t="n">
        <v>1200</v>
      </c>
      <c r="G1947" s="8" t="n">
        <v>16</v>
      </c>
      <c r="H1947" s="13" t="n">
        <f aca="false">(E1947/1000)*(F1947/1000)*(G1947/1000)*7850</f>
        <v>235.1232</v>
      </c>
      <c r="I1947" s="8" t="n">
        <v>4</v>
      </c>
      <c r="J1947" s="14" t="n">
        <f aca="false">H1947*I1947</f>
        <v>940.4928</v>
      </c>
      <c r="K1947" s="8" t="s">
        <v>2029</v>
      </c>
    </row>
    <row r="1948" customFormat="false" ht="13.8" hidden="false" customHeight="false" outlineLevel="0" collapsed="false">
      <c r="A1948" s="8" t="s">
        <v>2022</v>
      </c>
      <c r="B1948" s="8" t="s">
        <v>42</v>
      </c>
      <c r="C1948" s="8" t="s">
        <v>196</v>
      </c>
      <c r="D1948" s="8" t="s">
        <v>341</v>
      </c>
      <c r="E1948" s="8" t="n">
        <v>1657</v>
      </c>
      <c r="F1948" s="8" t="n">
        <v>200</v>
      </c>
      <c r="G1948" s="8" t="n">
        <v>16</v>
      </c>
      <c r="H1948" s="13" t="n">
        <f aca="false">(E1948/1000)*(F1948/1000)*(G1948/1000)*7850</f>
        <v>41.62384</v>
      </c>
      <c r="I1948" s="8" t="n">
        <v>6</v>
      </c>
      <c r="J1948" s="14" t="n">
        <f aca="false">H1948*I1948</f>
        <v>249.74304</v>
      </c>
      <c r="K1948" s="8" t="s">
        <v>2030</v>
      </c>
    </row>
    <row r="1949" customFormat="false" ht="13.8" hidden="false" customHeight="false" outlineLevel="0" collapsed="false">
      <c r="A1949" s="8" t="s">
        <v>2022</v>
      </c>
      <c r="B1949" s="8" t="s">
        <v>42</v>
      </c>
      <c r="C1949" s="8" t="s">
        <v>68</v>
      </c>
      <c r="D1949" s="8" t="s">
        <v>341</v>
      </c>
      <c r="E1949" s="8" t="n">
        <v>600</v>
      </c>
      <c r="F1949" s="8" t="n">
        <v>400</v>
      </c>
      <c r="G1949" s="8" t="n">
        <v>16</v>
      </c>
      <c r="H1949" s="13" t="n">
        <f aca="false">(E1949/1000)*(F1949/1000)*(G1949/1000)*7850</f>
        <v>30.144</v>
      </c>
      <c r="I1949" s="8" t="n">
        <v>8</v>
      </c>
      <c r="J1949" s="14" t="n">
        <f aca="false">H1949*I1949</f>
        <v>241.152</v>
      </c>
      <c r="K1949" s="8" t="s">
        <v>2031</v>
      </c>
    </row>
    <row r="1950" customFormat="false" ht="13.8" hidden="false" customHeight="false" outlineLevel="0" collapsed="false">
      <c r="A1950" s="8" t="s">
        <v>2022</v>
      </c>
      <c r="B1950" s="8" t="s">
        <v>80</v>
      </c>
      <c r="C1950" s="8" t="s">
        <v>199</v>
      </c>
      <c r="D1950" s="8" t="s">
        <v>341</v>
      </c>
      <c r="E1950" s="8" t="n">
        <v>7900</v>
      </c>
      <c r="F1950" s="8" t="n">
        <v>320</v>
      </c>
      <c r="G1950" s="8" t="n">
        <v>32</v>
      </c>
      <c r="H1950" s="13" t="n">
        <f aca="false">(E1950/1000)*(F1950/1000)*(G1950/1000)*7850</f>
        <v>635.0336</v>
      </c>
      <c r="I1950" s="8" t="n">
        <v>12</v>
      </c>
      <c r="J1950" s="14" t="n">
        <f aca="false">H1950*I1950</f>
        <v>7620.4032</v>
      </c>
      <c r="K1950" s="8" t="s">
        <v>2032</v>
      </c>
    </row>
    <row r="1951" customFormat="false" ht="13.8" hidden="false" customHeight="false" outlineLevel="0" collapsed="false">
      <c r="A1951" s="8" t="s">
        <v>2022</v>
      </c>
      <c r="B1951" s="8" t="s">
        <v>42</v>
      </c>
      <c r="C1951" s="8" t="s">
        <v>76</v>
      </c>
      <c r="D1951" s="8" t="s">
        <v>341</v>
      </c>
      <c r="E1951" s="8" t="n">
        <v>6950</v>
      </c>
      <c r="F1951" s="8" t="n">
        <v>320</v>
      </c>
      <c r="G1951" s="8" t="n">
        <v>32</v>
      </c>
      <c r="H1951" s="13" t="n">
        <f aca="false">(E1951/1000)*(F1951/1000)*(G1951/1000)*7850</f>
        <v>558.6688</v>
      </c>
      <c r="I1951" s="8" t="n">
        <v>12</v>
      </c>
      <c r="J1951" s="14" t="n">
        <f aca="false">H1951*I1951</f>
        <v>6704.0256</v>
      </c>
      <c r="K1951" s="8" t="s">
        <v>2033</v>
      </c>
    </row>
    <row r="1952" customFormat="false" ht="13.8" hidden="false" customHeight="false" outlineLevel="0" collapsed="false">
      <c r="A1952" s="8" t="s">
        <v>2022</v>
      </c>
      <c r="B1952" s="8" t="s">
        <v>256</v>
      </c>
      <c r="C1952" s="8" t="s">
        <v>96</v>
      </c>
      <c r="D1952" s="8" t="s">
        <v>341</v>
      </c>
      <c r="E1952" s="8" t="n">
        <v>8050</v>
      </c>
      <c r="F1952" s="8" t="n">
        <v>1850</v>
      </c>
      <c r="G1952" s="8" t="n">
        <v>32</v>
      </c>
      <c r="H1952" s="13" t="n">
        <f aca="false">(E1952/1000)*(F1952/1000)*(G1952/1000)*7850</f>
        <v>3740.996</v>
      </c>
      <c r="I1952" s="8" t="n">
        <v>2</v>
      </c>
      <c r="J1952" s="14" t="n">
        <f aca="false">H1952*I1952</f>
        <v>7481.992</v>
      </c>
      <c r="K1952" s="8" t="s">
        <v>2034</v>
      </c>
    </row>
    <row r="1953" customFormat="false" ht="13.8" hidden="false" customHeight="false" outlineLevel="0" collapsed="false">
      <c r="A1953" s="8" t="s">
        <v>2022</v>
      </c>
      <c r="B1953" s="8" t="s">
        <v>42</v>
      </c>
      <c r="C1953" s="8" t="s">
        <v>203</v>
      </c>
      <c r="D1953" s="8" t="s">
        <v>40</v>
      </c>
      <c r="E1953" s="8" t="n">
        <v>7100</v>
      </c>
      <c r="F1953" s="8" t="n">
        <v>1850</v>
      </c>
      <c r="G1953" s="8" t="n">
        <v>24</v>
      </c>
      <c r="H1953" s="13" t="n">
        <f aca="false">(E1953/1000)*(F1953/1000)*(G1953/1000)*7850</f>
        <v>2474.634</v>
      </c>
      <c r="I1953" s="8" t="n">
        <v>2</v>
      </c>
      <c r="J1953" s="14" t="n">
        <f aca="false">H1953*I1953</f>
        <v>4949.268</v>
      </c>
      <c r="K1953" s="8" t="s">
        <v>2035</v>
      </c>
    </row>
    <row r="1954" customFormat="false" ht="13.8" hidden="false" customHeight="false" outlineLevel="0" collapsed="false">
      <c r="A1954" s="8" t="s">
        <v>2022</v>
      </c>
      <c r="B1954" s="8" t="s">
        <v>260</v>
      </c>
      <c r="C1954" s="8" t="s">
        <v>307</v>
      </c>
      <c r="D1954" s="8" t="s">
        <v>341</v>
      </c>
      <c r="G1954" s="8" t="n">
        <v>32</v>
      </c>
      <c r="H1954" s="13" t="n">
        <f aca="false">M1954*(G1954/1000)*7850</f>
        <v>3147.536</v>
      </c>
      <c r="I1954" s="8" t="n">
        <v>2</v>
      </c>
      <c r="J1954" s="14" t="n">
        <f aca="false">H1954*I1954</f>
        <v>6295.072</v>
      </c>
      <c r="K1954" s="8" t="s">
        <v>2036</v>
      </c>
      <c r="M1954" s="15" t="n">
        <v>12.53</v>
      </c>
    </row>
    <row r="1955" customFormat="false" ht="13.8" hidden="false" customHeight="false" outlineLevel="0" collapsed="false">
      <c r="A1955" s="8" t="s">
        <v>2022</v>
      </c>
      <c r="B1955" s="8" t="s">
        <v>42</v>
      </c>
      <c r="C1955" s="8" t="s">
        <v>206</v>
      </c>
      <c r="D1955" s="8" t="s">
        <v>40</v>
      </c>
      <c r="G1955" s="8" t="n">
        <v>24</v>
      </c>
      <c r="H1955" s="13" t="n">
        <f aca="false">M1955*(G1955/1000)*7850</f>
        <v>1829.364</v>
      </c>
      <c r="I1955" s="8" t="n">
        <v>2</v>
      </c>
      <c r="J1955" s="14" t="n">
        <f aca="false">H1955*I1955</f>
        <v>3658.728</v>
      </c>
      <c r="K1955" s="8" t="s">
        <v>2037</v>
      </c>
      <c r="M1955" s="15" t="n">
        <v>9.71</v>
      </c>
    </row>
    <row r="1956" customFormat="false" ht="13.8" hidden="false" customHeight="false" outlineLevel="0" collapsed="false">
      <c r="A1956" s="8" t="s">
        <v>2022</v>
      </c>
      <c r="B1956" s="8" t="s">
        <v>105</v>
      </c>
      <c r="C1956" s="8" t="s">
        <v>103</v>
      </c>
      <c r="D1956" s="8" t="s">
        <v>341</v>
      </c>
      <c r="G1956" s="8" t="n">
        <v>48</v>
      </c>
      <c r="H1956" s="13" t="n">
        <f aca="false">M1956*(G1956/1000)*7850</f>
        <v>7803.528</v>
      </c>
      <c r="I1956" s="8" t="n">
        <v>4</v>
      </c>
      <c r="J1956" s="14" t="n">
        <f aca="false">H1956*I1956</f>
        <v>31214.112</v>
      </c>
      <c r="K1956" s="8" t="s">
        <v>2038</v>
      </c>
      <c r="M1956" s="15" t="n">
        <v>20.71</v>
      </c>
    </row>
    <row r="1957" customFormat="false" ht="13.8" hidden="false" customHeight="false" outlineLevel="0" collapsed="false">
      <c r="A1957" s="8" t="s">
        <v>2022</v>
      </c>
      <c r="B1957" s="8" t="s">
        <v>102</v>
      </c>
      <c r="C1957" s="8" t="s">
        <v>106</v>
      </c>
      <c r="D1957" s="8" t="s">
        <v>40</v>
      </c>
      <c r="E1957" s="8" t="n">
        <v>7300</v>
      </c>
      <c r="F1957" s="8" t="n">
        <v>1474</v>
      </c>
      <c r="G1957" s="8" t="n">
        <v>32</v>
      </c>
      <c r="H1957" s="13" t="n">
        <f aca="false">(E1957/1000)*(F1957/1000)*(G1957/1000)*7850</f>
        <v>2702.96224</v>
      </c>
      <c r="I1957" s="8" t="n">
        <v>4</v>
      </c>
      <c r="J1957" s="14" t="n">
        <f aca="false">H1957*I1957</f>
        <v>10811.84896</v>
      </c>
      <c r="K1957" s="8" t="s">
        <v>2039</v>
      </c>
    </row>
    <row r="1958" customFormat="false" ht="13.8" hidden="false" customHeight="false" outlineLevel="0" collapsed="false">
      <c r="A1958" s="8" t="s">
        <v>2022</v>
      </c>
      <c r="B1958" s="8" t="s">
        <v>110</v>
      </c>
      <c r="C1958" s="8" t="s">
        <v>108</v>
      </c>
      <c r="D1958" s="8" t="s">
        <v>40</v>
      </c>
      <c r="E1958" s="8" t="n">
        <v>1450</v>
      </c>
      <c r="F1958" s="8" t="n">
        <v>1200</v>
      </c>
      <c r="G1958" s="8" t="n">
        <v>16</v>
      </c>
      <c r="H1958" s="13" t="n">
        <f aca="false">(E1958/1000)*(F1958/1000)*(G1958/1000)*7850</f>
        <v>218.544</v>
      </c>
      <c r="I1958" s="8" t="n">
        <v>6</v>
      </c>
      <c r="J1958" s="14" t="n">
        <f aca="false">H1958*I1958</f>
        <v>1311.264</v>
      </c>
      <c r="K1958" s="8" t="s">
        <v>2040</v>
      </c>
    </row>
    <row r="1959" customFormat="false" ht="13.8" hidden="false" customHeight="false" outlineLevel="0" collapsed="false">
      <c r="A1959" s="8" t="s">
        <v>2022</v>
      </c>
      <c r="B1959" s="8" t="s">
        <v>42</v>
      </c>
      <c r="C1959" s="8" t="s">
        <v>112</v>
      </c>
      <c r="D1959" s="8" t="s">
        <v>40</v>
      </c>
      <c r="E1959" s="8" t="n">
        <v>1450</v>
      </c>
      <c r="F1959" s="8" t="n">
        <v>1200</v>
      </c>
      <c r="G1959" s="8" t="n">
        <v>16</v>
      </c>
      <c r="H1959" s="13" t="n">
        <f aca="false">(E1959/1000)*(F1959/1000)*(G1959/1000)*7850</f>
        <v>218.544</v>
      </c>
      <c r="I1959" s="8" t="n">
        <v>4</v>
      </c>
      <c r="J1959" s="14" t="n">
        <f aca="false">H1959*I1959</f>
        <v>874.176</v>
      </c>
      <c r="K1959" s="8" t="s">
        <v>2040</v>
      </c>
    </row>
    <row r="1960" customFormat="false" ht="13.8" hidden="false" customHeight="false" outlineLevel="0" collapsed="false">
      <c r="A1960" s="8" t="s">
        <v>2022</v>
      </c>
      <c r="B1960" s="8" t="s">
        <v>42</v>
      </c>
      <c r="C1960" s="8" t="s">
        <v>108</v>
      </c>
      <c r="D1960" s="8" t="s">
        <v>40</v>
      </c>
      <c r="E1960" s="8" t="n">
        <v>1657</v>
      </c>
      <c r="F1960" s="8" t="n">
        <v>200</v>
      </c>
      <c r="G1960" s="8" t="n">
        <v>16</v>
      </c>
      <c r="H1960" s="13" t="n">
        <f aca="false">(E1960/1000)*(F1960/1000)*(G1960/1000)*7850</f>
        <v>41.62384</v>
      </c>
      <c r="I1960" s="8" t="n">
        <v>6</v>
      </c>
      <c r="J1960" s="14" t="n">
        <f aca="false">H1960*I1960</f>
        <v>249.74304</v>
      </c>
      <c r="K1960" s="8" t="s">
        <v>2041</v>
      </c>
    </row>
    <row r="1961" customFormat="false" ht="13.8" hidden="false" customHeight="false" outlineLevel="0" collapsed="false">
      <c r="A1961" s="8" t="s">
        <v>2022</v>
      </c>
      <c r="B1961" s="8" t="s">
        <v>665</v>
      </c>
      <c r="C1961" s="8" t="s">
        <v>114</v>
      </c>
      <c r="D1961" s="8" t="s">
        <v>341</v>
      </c>
      <c r="E1961" s="8" t="n">
        <v>8050</v>
      </c>
      <c r="F1961" s="8" t="n">
        <v>320</v>
      </c>
      <c r="G1961" s="8" t="n">
        <v>32</v>
      </c>
      <c r="H1961" s="13" t="n">
        <f aca="false">(E1961/1000)*(F1961/1000)*(G1961/1000)*7850</f>
        <v>647.0912</v>
      </c>
      <c r="I1961" s="8" t="n">
        <v>8</v>
      </c>
      <c r="J1961" s="14" t="n">
        <f aca="false">H1961*I1961</f>
        <v>5176.7296</v>
      </c>
      <c r="K1961" s="8" t="s">
        <v>2042</v>
      </c>
    </row>
    <row r="1962" customFormat="false" ht="13.8" hidden="false" customHeight="false" outlineLevel="0" collapsed="false">
      <c r="A1962" s="8" t="s">
        <v>2022</v>
      </c>
      <c r="B1962" s="8" t="s">
        <v>42</v>
      </c>
      <c r="C1962" s="8" t="s">
        <v>116</v>
      </c>
      <c r="D1962" s="8" t="s">
        <v>40</v>
      </c>
      <c r="E1962" s="8" t="n">
        <v>7100</v>
      </c>
      <c r="F1962" s="8" t="n">
        <v>320</v>
      </c>
      <c r="G1962" s="8" t="n">
        <v>32</v>
      </c>
      <c r="H1962" s="13" t="n">
        <f aca="false">(E1962/1000)*(F1962/1000)*(G1962/1000)*7850</f>
        <v>570.7264</v>
      </c>
      <c r="I1962" s="8" t="n">
        <v>8</v>
      </c>
      <c r="J1962" s="14" t="n">
        <f aca="false">H1962*I1962</f>
        <v>4565.8112</v>
      </c>
      <c r="K1962" s="8" t="s">
        <v>2043</v>
      </c>
    </row>
    <row r="1963" customFormat="false" ht="13.8" hidden="false" customHeight="false" outlineLevel="0" collapsed="false">
      <c r="A1963" s="8" t="s">
        <v>2022</v>
      </c>
      <c r="B1963" s="8" t="s">
        <v>42</v>
      </c>
      <c r="C1963" s="8" t="s">
        <v>118</v>
      </c>
      <c r="D1963" s="8" t="s">
        <v>40</v>
      </c>
      <c r="E1963" s="8" t="n">
        <v>15150</v>
      </c>
      <c r="F1963" s="8" t="n">
        <v>170</v>
      </c>
      <c r="G1963" s="8" t="n">
        <v>14</v>
      </c>
      <c r="H1963" s="13" t="n">
        <f aca="false">(E1963/1000)*(F1963/1000)*(G1963/1000)*7850</f>
        <v>283.04745</v>
      </c>
      <c r="I1963" s="8" t="n">
        <v>2</v>
      </c>
      <c r="J1963" s="14" t="n">
        <f aca="false">H1963*I1963</f>
        <v>566.0949</v>
      </c>
      <c r="K1963" s="8" t="s">
        <v>2044</v>
      </c>
    </row>
    <row r="1964" customFormat="false" ht="13.8" hidden="false" customHeight="false" outlineLevel="0" collapsed="false">
      <c r="A1964" s="8" t="s">
        <v>2022</v>
      </c>
      <c r="B1964" s="8" t="s">
        <v>42</v>
      </c>
      <c r="C1964" s="8" t="s">
        <v>127</v>
      </c>
      <c r="D1964" s="8" t="s">
        <v>40</v>
      </c>
      <c r="E1964" s="8" t="n">
        <v>11423</v>
      </c>
      <c r="F1964" s="8" t="n">
        <v>1200</v>
      </c>
      <c r="G1964" s="8" t="n">
        <v>36</v>
      </c>
      <c r="H1964" s="13" t="n">
        <f aca="false">(E1964/1000)*(F1964/1000)*(G1964/1000)*7850</f>
        <v>3873.76776</v>
      </c>
      <c r="I1964" s="8" t="n">
        <v>2</v>
      </c>
      <c r="J1964" s="14" t="n">
        <f aca="false">H1964*I1964</f>
        <v>7747.53552</v>
      </c>
      <c r="K1964" s="8" t="s">
        <v>2045</v>
      </c>
    </row>
    <row r="1965" customFormat="false" ht="13.8" hidden="false" customHeight="false" outlineLevel="0" collapsed="false">
      <c r="A1965" s="8" t="s">
        <v>2022</v>
      </c>
      <c r="B1965" s="8" t="s">
        <v>42</v>
      </c>
      <c r="C1965" s="8" t="s">
        <v>128</v>
      </c>
      <c r="D1965" s="8" t="s">
        <v>40</v>
      </c>
      <c r="E1965" s="8" t="n">
        <v>7223</v>
      </c>
      <c r="F1965" s="8" t="n">
        <v>1360</v>
      </c>
      <c r="G1965" s="8" t="n">
        <v>36</v>
      </c>
      <c r="H1965" s="13" t="n">
        <f aca="false">(E1965/1000)*(F1965/1000)*(G1965/1000)*7850</f>
        <v>2776.058928</v>
      </c>
      <c r="I1965" s="8" t="n">
        <v>4</v>
      </c>
      <c r="J1965" s="14" t="n">
        <f aca="false">H1965*I1965</f>
        <v>11104.235712</v>
      </c>
      <c r="K1965" s="8" t="s">
        <v>2046</v>
      </c>
    </row>
    <row r="1966" customFormat="false" ht="13.8" hidden="false" customHeight="false" outlineLevel="0" collapsed="false">
      <c r="A1966" s="8" t="s">
        <v>2022</v>
      </c>
      <c r="B1966" s="8" t="s">
        <v>42</v>
      </c>
      <c r="C1966" s="8" t="s">
        <v>130</v>
      </c>
      <c r="D1966" s="8" t="s">
        <v>40</v>
      </c>
      <c r="E1966" s="8" t="n">
        <v>7223</v>
      </c>
      <c r="F1966" s="8" t="n">
        <v>320</v>
      </c>
      <c r="G1966" s="8" t="n">
        <v>32</v>
      </c>
      <c r="H1966" s="13" t="n">
        <f aca="false">(E1966/1000)*(F1966/1000)*(G1966/1000)*7850</f>
        <v>580.613632</v>
      </c>
      <c r="I1966" s="8" t="n">
        <v>4</v>
      </c>
      <c r="J1966" s="14" t="n">
        <f aca="false">H1966*I1966</f>
        <v>2322.454528</v>
      </c>
      <c r="K1966" s="8" t="s">
        <v>2047</v>
      </c>
    </row>
    <row r="1967" customFormat="false" ht="13.8" hidden="false" customHeight="false" outlineLevel="0" collapsed="false">
      <c r="A1967" s="8" t="s">
        <v>2022</v>
      </c>
      <c r="B1967" s="8" t="s">
        <v>42</v>
      </c>
      <c r="C1967" s="8" t="s">
        <v>134</v>
      </c>
      <c r="D1967" s="8" t="s">
        <v>40</v>
      </c>
      <c r="E1967" s="8" t="n">
        <v>10023</v>
      </c>
      <c r="F1967" s="8" t="n">
        <v>320</v>
      </c>
      <c r="G1967" s="8" t="n">
        <v>32</v>
      </c>
      <c r="H1967" s="13" t="n">
        <f aca="false">(E1967/1000)*(F1967/1000)*(G1967/1000)*7850</f>
        <v>805.688832</v>
      </c>
      <c r="I1967" s="8" t="n">
        <v>2</v>
      </c>
      <c r="J1967" s="14" t="n">
        <f aca="false">H1967*I1967</f>
        <v>1611.377664</v>
      </c>
      <c r="K1967" s="8" t="s">
        <v>2048</v>
      </c>
    </row>
    <row r="1968" customFormat="false" ht="13.8" hidden="false" customHeight="false" outlineLevel="0" collapsed="false">
      <c r="A1968" s="8" t="s">
        <v>2022</v>
      </c>
      <c r="B1968" s="8" t="s">
        <v>42</v>
      </c>
      <c r="C1968" s="8" t="s">
        <v>135</v>
      </c>
      <c r="D1968" s="8" t="s">
        <v>40</v>
      </c>
      <c r="E1968" s="8" t="n">
        <v>1200</v>
      </c>
      <c r="F1968" s="8" t="n">
        <v>1200</v>
      </c>
      <c r="G1968" s="8" t="n">
        <v>16</v>
      </c>
      <c r="H1968" s="13" t="n">
        <f aca="false">(E1968/1000)*(F1968/1000)*(G1968/1000)*7850</f>
        <v>180.864</v>
      </c>
      <c r="I1968" s="8" t="n">
        <v>6</v>
      </c>
      <c r="J1968" s="14" t="n">
        <f aca="false">H1968*I1968</f>
        <v>1085.184</v>
      </c>
      <c r="K1968" s="8" t="s">
        <v>2049</v>
      </c>
    </row>
    <row r="1969" customFormat="false" ht="13.8" hidden="false" customHeight="false" outlineLevel="0" collapsed="false">
      <c r="A1969" s="8" t="s">
        <v>2022</v>
      </c>
      <c r="B1969" s="8" t="s">
        <v>42</v>
      </c>
      <c r="C1969" s="8" t="s">
        <v>137</v>
      </c>
      <c r="D1969" s="8" t="s">
        <v>40</v>
      </c>
      <c r="E1969" s="8" t="n">
        <v>5629</v>
      </c>
      <c r="F1969" s="8" t="n">
        <v>1200</v>
      </c>
      <c r="G1969" s="8" t="n">
        <v>36</v>
      </c>
      <c r="H1969" s="13" t="n">
        <f aca="false">(E1969/1000)*(F1969/1000)*(G1969/1000)*7850</f>
        <v>1908.90648</v>
      </c>
      <c r="I1969" s="8" t="n">
        <v>2</v>
      </c>
      <c r="J1969" s="14" t="n">
        <f aca="false">H1969*I1969</f>
        <v>3817.81296</v>
      </c>
      <c r="K1969" s="8" t="s">
        <v>2050</v>
      </c>
    </row>
    <row r="1970" customFormat="false" ht="13.8" hidden="false" customHeight="false" outlineLevel="0" collapsed="false">
      <c r="A1970" s="8" t="s">
        <v>2022</v>
      </c>
      <c r="B1970" s="8" t="s">
        <v>42</v>
      </c>
      <c r="C1970" s="8" t="s">
        <v>141</v>
      </c>
      <c r="D1970" s="8" t="s">
        <v>40</v>
      </c>
      <c r="E1970" s="8" t="n">
        <v>3629</v>
      </c>
      <c r="F1970" s="8" t="n">
        <v>1360</v>
      </c>
      <c r="G1970" s="8" t="n">
        <v>36</v>
      </c>
      <c r="H1970" s="13" t="n">
        <f aca="false">(E1970/1000)*(F1970/1000)*(G1970/1000)*7850</f>
        <v>1394.755344</v>
      </c>
      <c r="I1970" s="8" t="n">
        <v>4</v>
      </c>
      <c r="J1970" s="14" t="n">
        <f aca="false">H1970*I1970</f>
        <v>5579.021376</v>
      </c>
      <c r="K1970" s="8" t="s">
        <v>2051</v>
      </c>
    </row>
    <row r="1971" customFormat="false" ht="13.8" hidden="false" customHeight="false" outlineLevel="0" collapsed="false">
      <c r="A1971" s="8" t="s">
        <v>2022</v>
      </c>
      <c r="B1971" s="8" t="s">
        <v>42</v>
      </c>
      <c r="C1971" s="8" t="s">
        <v>143</v>
      </c>
      <c r="D1971" s="8" t="s">
        <v>40</v>
      </c>
      <c r="E1971" s="8" t="n">
        <v>3629</v>
      </c>
      <c r="F1971" s="8" t="n">
        <v>320</v>
      </c>
      <c r="G1971" s="8" t="n">
        <v>32</v>
      </c>
      <c r="H1971" s="13" t="n">
        <f aca="false">(E1971/1000)*(F1971/1000)*(G1971/1000)*7850</f>
        <v>291.713536</v>
      </c>
      <c r="I1971" s="8" t="n">
        <v>8</v>
      </c>
      <c r="J1971" s="14" t="n">
        <f aca="false">H1971*I1971</f>
        <v>2333.708288</v>
      </c>
      <c r="K1971" s="8" t="s">
        <v>2052</v>
      </c>
    </row>
    <row r="1972" customFormat="false" ht="13.8" hidden="false" customHeight="false" outlineLevel="0" collapsed="false">
      <c r="A1972" s="8" t="s">
        <v>2022</v>
      </c>
      <c r="B1972" s="8" t="s">
        <v>42</v>
      </c>
      <c r="C1972" s="8" t="s">
        <v>326</v>
      </c>
      <c r="D1972" s="8" t="s">
        <v>40</v>
      </c>
      <c r="E1972" s="8" t="n">
        <v>4929</v>
      </c>
      <c r="F1972" s="8" t="n">
        <v>320</v>
      </c>
      <c r="G1972" s="8" t="n">
        <v>32</v>
      </c>
      <c r="H1972" s="13" t="n">
        <f aca="false">(E1972/1000)*(F1972/1000)*(G1972/1000)*7850</f>
        <v>396.212736</v>
      </c>
      <c r="I1972" s="8" t="n">
        <v>2</v>
      </c>
      <c r="J1972" s="14" t="n">
        <f aca="false">H1972*I1972</f>
        <v>792.425472</v>
      </c>
      <c r="K1972" s="8" t="s">
        <v>2053</v>
      </c>
    </row>
    <row r="1973" customFormat="false" ht="13.8" hidden="false" customHeight="false" outlineLevel="0" collapsed="false">
      <c r="A1973" s="8" t="s">
        <v>2022</v>
      </c>
      <c r="B1973" s="8" t="s">
        <v>42</v>
      </c>
      <c r="C1973" s="8" t="s">
        <v>147</v>
      </c>
      <c r="D1973" s="8" t="s">
        <v>40</v>
      </c>
      <c r="E1973" s="8" t="n">
        <v>4929</v>
      </c>
      <c r="F1973" s="8" t="n">
        <v>320</v>
      </c>
      <c r="G1973" s="8" t="n">
        <v>32</v>
      </c>
      <c r="H1973" s="13" t="n">
        <f aca="false">(E1973/1000)*(F1973/1000)*(G1973/1000)*7850</f>
        <v>396.212736</v>
      </c>
      <c r="I1973" s="8" t="n">
        <v>2</v>
      </c>
      <c r="J1973" s="14" t="n">
        <f aca="false">H1973*I1973</f>
        <v>792.425472</v>
      </c>
      <c r="K1973" s="8" t="s">
        <v>2053</v>
      </c>
    </row>
    <row r="1974" customFormat="false" ht="13.8" hidden="false" customHeight="false" outlineLevel="0" collapsed="false">
      <c r="A1974" s="8" t="s">
        <v>2022</v>
      </c>
      <c r="B1974" s="8" t="s">
        <v>42</v>
      </c>
      <c r="C1974" s="8" t="s">
        <v>149</v>
      </c>
      <c r="D1974" s="8" t="s">
        <v>40</v>
      </c>
      <c r="E1974" s="8" t="n">
        <v>1200</v>
      </c>
      <c r="F1974" s="8" t="n">
        <v>1200</v>
      </c>
      <c r="G1974" s="8" t="n">
        <v>16</v>
      </c>
      <c r="H1974" s="13" t="n">
        <f aca="false">(E1974/1000)*(F1974/1000)*(G1974/1000)*7850</f>
        <v>180.864</v>
      </c>
      <c r="I1974" s="8" t="n">
        <v>6</v>
      </c>
      <c r="J1974" s="14" t="n">
        <f aca="false">H1974*I1974</f>
        <v>1085.184</v>
      </c>
      <c r="K1974" s="8" t="s">
        <v>2049</v>
      </c>
    </row>
    <row r="1975" customFormat="false" ht="13.8" hidden="false" customHeight="false" outlineLevel="0" collapsed="false">
      <c r="A1975" s="8" t="s">
        <v>2022</v>
      </c>
      <c r="B1975" s="8" t="s">
        <v>42</v>
      </c>
      <c r="C1975" s="8" t="s">
        <v>150</v>
      </c>
      <c r="D1975" s="8" t="s">
        <v>40</v>
      </c>
      <c r="E1975" s="8" t="n">
        <v>5826</v>
      </c>
      <c r="F1975" s="8" t="n">
        <v>1200</v>
      </c>
      <c r="G1975" s="8" t="n">
        <v>36</v>
      </c>
      <c r="H1975" s="13" t="n">
        <f aca="false">(E1975/1000)*(F1975/1000)*(G1975/1000)*7850</f>
        <v>1975.71312</v>
      </c>
      <c r="I1975" s="8" t="n">
        <v>2</v>
      </c>
      <c r="J1975" s="14" t="n">
        <f aca="false">H1975*I1975</f>
        <v>3951.42624</v>
      </c>
      <c r="K1975" s="8" t="s">
        <v>2054</v>
      </c>
    </row>
    <row r="1976" customFormat="false" ht="13.8" hidden="false" customHeight="false" outlineLevel="0" collapsed="false">
      <c r="A1976" s="8" t="s">
        <v>2022</v>
      </c>
      <c r="B1976" s="8" t="s">
        <v>42</v>
      </c>
      <c r="C1976" s="8" t="s">
        <v>380</v>
      </c>
      <c r="D1976" s="8" t="s">
        <v>40</v>
      </c>
      <c r="E1976" s="8" t="n">
        <v>5626</v>
      </c>
      <c r="F1976" s="8" t="n">
        <v>1200</v>
      </c>
      <c r="G1976" s="8" t="n">
        <v>36</v>
      </c>
      <c r="H1976" s="13" t="n">
        <f aca="false">(E1976/1000)*(F1976/1000)*(G1976/1000)*7850</f>
        <v>1907.88912</v>
      </c>
      <c r="I1976" s="8" t="n">
        <v>2</v>
      </c>
      <c r="J1976" s="14" t="n">
        <f aca="false">H1976*I1976</f>
        <v>3815.77824</v>
      </c>
      <c r="K1976" s="8" t="s">
        <v>2055</v>
      </c>
    </row>
    <row r="1977" customFormat="false" ht="13.8" hidden="false" customHeight="false" outlineLevel="0" collapsed="false">
      <c r="A1977" s="8" t="s">
        <v>2022</v>
      </c>
      <c r="B1977" s="8" t="s">
        <v>42</v>
      </c>
      <c r="C1977" s="8" t="s">
        <v>155</v>
      </c>
      <c r="D1977" s="8" t="s">
        <v>40</v>
      </c>
      <c r="E1977" s="8" t="n">
        <v>3626</v>
      </c>
      <c r="F1977" s="8" t="n">
        <v>1360</v>
      </c>
      <c r="G1977" s="8" t="n">
        <v>36</v>
      </c>
      <c r="H1977" s="13" t="n">
        <f aca="false">(E1977/1000)*(F1977/1000)*(G1977/1000)*7850</f>
        <v>1393.602336</v>
      </c>
      <c r="I1977" s="8" t="n">
        <v>4</v>
      </c>
      <c r="J1977" s="14" t="n">
        <f aca="false">H1977*I1977</f>
        <v>5574.409344</v>
      </c>
      <c r="K1977" s="8" t="s">
        <v>2056</v>
      </c>
    </row>
    <row r="1978" customFormat="false" ht="13.8" hidden="false" customHeight="false" outlineLevel="0" collapsed="false">
      <c r="A1978" s="8" t="s">
        <v>2022</v>
      </c>
      <c r="B1978" s="8" t="s">
        <v>42</v>
      </c>
      <c r="C1978" s="8" t="s">
        <v>160</v>
      </c>
      <c r="D1978" s="8" t="s">
        <v>40</v>
      </c>
      <c r="E1978" s="8" t="n">
        <v>3626</v>
      </c>
      <c r="F1978" s="8" t="n">
        <v>320</v>
      </c>
      <c r="G1978" s="8" t="n">
        <v>32</v>
      </c>
      <c r="H1978" s="13" t="n">
        <f aca="false">(E1978/1000)*(F1978/1000)*(G1978/1000)*7850</f>
        <v>291.472384</v>
      </c>
      <c r="I1978" s="8" t="n">
        <v>8</v>
      </c>
      <c r="J1978" s="14" t="n">
        <f aca="false">H1978*I1978</f>
        <v>2331.779072</v>
      </c>
      <c r="K1978" s="8" t="s">
        <v>2057</v>
      </c>
    </row>
    <row r="1979" customFormat="false" ht="13.8" hidden="false" customHeight="false" outlineLevel="0" collapsed="false">
      <c r="A1979" s="8" t="s">
        <v>2022</v>
      </c>
      <c r="B1979" s="8" t="s">
        <v>42</v>
      </c>
      <c r="C1979" s="8" t="s">
        <v>226</v>
      </c>
      <c r="D1979" s="8" t="s">
        <v>40</v>
      </c>
      <c r="E1979" s="8" t="n">
        <v>5126</v>
      </c>
      <c r="F1979" s="8" t="n">
        <v>320</v>
      </c>
      <c r="G1979" s="8" t="n">
        <v>32</v>
      </c>
      <c r="H1979" s="13" t="n">
        <f aca="false">(E1979/1000)*(F1979/1000)*(G1979/1000)*7850</f>
        <v>412.048384</v>
      </c>
      <c r="I1979" s="8" t="n">
        <v>2</v>
      </c>
      <c r="J1979" s="14" t="n">
        <f aca="false">H1979*I1979</f>
        <v>824.096768</v>
      </c>
      <c r="K1979" s="8" t="s">
        <v>2058</v>
      </c>
    </row>
    <row r="1980" customFormat="false" ht="13.8" hidden="false" customHeight="false" outlineLevel="0" collapsed="false">
      <c r="A1980" s="8" t="s">
        <v>2022</v>
      </c>
      <c r="B1980" s="8" t="s">
        <v>42</v>
      </c>
      <c r="C1980" s="8" t="s">
        <v>165</v>
      </c>
      <c r="D1980" s="8" t="s">
        <v>40</v>
      </c>
      <c r="E1980" s="8" t="n">
        <v>4926</v>
      </c>
      <c r="F1980" s="8" t="n">
        <v>320</v>
      </c>
      <c r="G1980" s="8" t="n">
        <v>32</v>
      </c>
      <c r="H1980" s="13" t="n">
        <f aca="false">(E1980/1000)*(F1980/1000)*(G1980/1000)*7850</f>
        <v>395.971584</v>
      </c>
      <c r="I1980" s="8" t="n">
        <v>2</v>
      </c>
      <c r="J1980" s="14" t="n">
        <f aca="false">H1980*I1980</f>
        <v>791.943168</v>
      </c>
      <c r="K1980" s="8" t="s">
        <v>2059</v>
      </c>
    </row>
    <row r="1981" customFormat="false" ht="13.8" hidden="false" customHeight="false" outlineLevel="0" collapsed="false">
      <c r="A1981" s="8" t="s">
        <v>2022</v>
      </c>
      <c r="B1981" s="8" t="s">
        <v>42</v>
      </c>
      <c r="C1981" s="8" t="s">
        <v>158</v>
      </c>
      <c r="D1981" s="8" t="s">
        <v>40</v>
      </c>
      <c r="E1981" s="8" t="n">
        <v>1200</v>
      </c>
      <c r="F1981" s="8" t="n">
        <v>1200</v>
      </c>
      <c r="G1981" s="8" t="n">
        <v>16</v>
      </c>
      <c r="H1981" s="13" t="n">
        <f aca="false">(E1981/1000)*(F1981/1000)*(G1981/1000)*7850</f>
        <v>180.864</v>
      </c>
      <c r="I1981" s="8" t="n">
        <v>6</v>
      </c>
      <c r="J1981" s="14" t="n">
        <f aca="false">H1981*I1981</f>
        <v>1085.184</v>
      </c>
      <c r="K1981" s="8" t="s">
        <v>2049</v>
      </c>
    </row>
    <row r="1982" customFormat="false" ht="13.8" hidden="false" customHeight="false" outlineLevel="0" collapsed="false">
      <c r="A1982" s="8" t="s">
        <v>2022</v>
      </c>
      <c r="B1982" s="8" t="s">
        <v>42</v>
      </c>
      <c r="C1982" s="8" t="s">
        <v>637</v>
      </c>
      <c r="D1982" s="8" t="s">
        <v>40</v>
      </c>
      <c r="E1982" s="8" t="n">
        <v>2400</v>
      </c>
      <c r="F1982" s="8" t="n">
        <v>320</v>
      </c>
      <c r="G1982" s="8" t="n">
        <v>32</v>
      </c>
      <c r="H1982" s="13" t="n">
        <f aca="false">(E1982/1000)*(F1982/1000)*(G1982/1000)*7850</f>
        <v>192.9216</v>
      </c>
      <c r="I1982" s="8" t="n">
        <v>12</v>
      </c>
      <c r="J1982" s="14" t="n">
        <f aca="false">H1982*I1982</f>
        <v>2315.0592</v>
      </c>
      <c r="K1982" s="8" t="s">
        <v>2060</v>
      </c>
    </row>
    <row r="1983" customFormat="false" ht="13.8" hidden="false" customHeight="false" outlineLevel="0" collapsed="false">
      <c r="A1983" s="8" t="s">
        <v>2022</v>
      </c>
      <c r="B1983" s="8" t="s">
        <v>64</v>
      </c>
      <c r="C1983" s="8" t="s">
        <v>167</v>
      </c>
      <c r="D1983" s="8" t="s">
        <v>40</v>
      </c>
      <c r="E1983" s="8" t="n">
        <v>1560</v>
      </c>
      <c r="F1983" s="8" t="n">
        <v>602</v>
      </c>
      <c r="G1983" s="8" t="n">
        <v>14</v>
      </c>
      <c r="H1983" s="13" t="n">
        <f aca="false">(E1983/1000)*(F1983/1000)*(G1983/1000)*7850</f>
        <v>103.209288</v>
      </c>
      <c r="I1983" s="8" t="n">
        <v>6</v>
      </c>
      <c r="J1983" s="14" t="n">
        <f aca="false">H1983*I1983</f>
        <v>619.255728</v>
      </c>
      <c r="K1983" s="8" t="s">
        <v>2061</v>
      </c>
    </row>
    <row r="1984" customFormat="false" ht="13.8" hidden="false" customHeight="false" outlineLevel="0" collapsed="false">
      <c r="A1984" s="8" t="s">
        <v>2022</v>
      </c>
      <c r="B1984" s="8" t="s">
        <v>42</v>
      </c>
      <c r="C1984" s="8" t="s">
        <v>233</v>
      </c>
      <c r="D1984" s="8" t="s">
        <v>40</v>
      </c>
      <c r="E1984" s="8" t="n">
        <v>1560</v>
      </c>
      <c r="F1984" s="8" t="n">
        <v>602</v>
      </c>
      <c r="G1984" s="8" t="n">
        <v>14</v>
      </c>
      <c r="H1984" s="13" t="n">
        <f aca="false">(E1984/1000)*(F1984/1000)*(G1984/1000)*7850</f>
        <v>103.209288</v>
      </c>
      <c r="I1984" s="8" t="n">
        <v>4</v>
      </c>
      <c r="J1984" s="14" t="n">
        <f aca="false">H1984*I1984</f>
        <v>412.837152</v>
      </c>
      <c r="K1984" s="8" t="s">
        <v>2061</v>
      </c>
    </row>
    <row r="1985" customFormat="false" ht="13.8" hidden="false" customHeight="false" outlineLevel="0" collapsed="false">
      <c r="A1985" s="8" t="s">
        <v>2022</v>
      </c>
      <c r="B1985" s="8" t="s">
        <v>42</v>
      </c>
      <c r="C1985" s="8" t="s">
        <v>169</v>
      </c>
      <c r="D1985" s="8" t="s">
        <v>40</v>
      </c>
      <c r="G1985" s="8" t="n">
        <v>24</v>
      </c>
      <c r="H1985" s="13" t="n">
        <f aca="false">M1985*(G1985/1000)*7850</f>
        <v>86.664</v>
      </c>
      <c r="I1985" s="8" t="n">
        <v>6</v>
      </c>
      <c r="J1985" s="14" t="n">
        <f aca="false">H1985*I1985</f>
        <v>519.984</v>
      </c>
      <c r="K1985" s="8" t="s">
        <v>2062</v>
      </c>
      <c r="M1985" s="15" t="n">
        <v>0.46</v>
      </c>
    </row>
    <row r="1986" customFormat="false" ht="13.8" hidden="false" customHeight="false" outlineLevel="0" collapsed="false">
      <c r="A1986" s="8" t="s">
        <v>2022</v>
      </c>
      <c r="B1986" s="8" t="s">
        <v>42</v>
      </c>
      <c r="C1986" s="8" t="s">
        <v>236</v>
      </c>
      <c r="D1986" s="8" t="s">
        <v>40</v>
      </c>
      <c r="G1986" s="8" t="n">
        <v>24</v>
      </c>
      <c r="H1986" s="13" t="n">
        <f aca="false">M1986*(G1986/1000)*7850</f>
        <v>88.548</v>
      </c>
      <c r="I1986" s="8" t="n">
        <v>4</v>
      </c>
      <c r="J1986" s="14" t="n">
        <f aca="false">H1986*I1986</f>
        <v>354.192</v>
      </c>
      <c r="K1986" s="8" t="s">
        <v>2063</v>
      </c>
      <c r="M1986" s="15" t="n">
        <v>0.47</v>
      </c>
    </row>
    <row r="1987" customFormat="false" ht="13.8" hidden="false" customHeight="false" outlineLevel="0" collapsed="false">
      <c r="A1987" s="8" t="s">
        <v>2022</v>
      </c>
      <c r="B1987" s="8" t="s">
        <v>42</v>
      </c>
      <c r="C1987" s="8" t="s">
        <v>172</v>
      </c>
      <c r="D1987" s="8" t="s">
        <v>40</v>
      </c>
      <c r="E1987" s="8" t="n">
        <v>1450</v>
      </c>
      <c r="F1987" s="8" t="n">
        <v>602</v>
      </c>
      <c r="G1987" s="8" t="n">
        <v>14</v>
      </c>
      <c r="H1987" s="13" t="n">
        <f aca="false">(E1987/1000)*(F1987/1000)*(G1987/1000)*7850</f>
        <v>95.93171</v>
      </c>
      <c r="I1987" s="8" t="n">
        <v>6</v>
      </c>
      <c r="J1987" s="14" t="n">
        <f aca="false">H1987*I1987</f>
        <v>575.59026</v>
      </c>
      <c r="K1987" s="8" t="s">
        <v>2064</v>
      </c>
    </row>
    <row r="1988" customFormat="false" ht="13.8" hidden="false" customHeight="false" outlineLevel="0" collapsed="false">
      <c r="A1988" s="8" t="s">
        <v>2022</v>
      </c>
      <c r="B1988" s="8" t="s">
        <v>42</v>
      </c>
      <c r="C1988" s="8" t="s">
        <v>239</v>
      </c>
      <c r="D1988" s="8" t="s">
        <v>40</v>
      </c>
      <c r="E1988" s="8" t="n">
        <v>1450</v>
      </c>
      <c r="F1988" s="8" t="n">
        <v>618</v>
      </c>
      <c r="G1988" s="8" t="n">
        <v>14</v>
      </c>
      <c r="H1988" s="13" t="n">
        <f aca="false">(E1988/1000)*(F1988/1000)*(G1988/1000)*7850</f>
        <v>98.48139</v>
      </c>
      <c r="I1988" s="8" t="n">
        <v>4</v>
      </c>
      <c r="J1988" s="14" t="n">
        <f aca="false">H1988*I1988</f>
        <v>393.92556</v>
      </c>
      <c r="K1988" s="8" t="s">
        <v>2065</v>
      </c>
    </row>
    <row r="1989" customFormat="false" ht="13.8" hidden="false" customHeight="false" outlineLevel="0" collapsed="false">
      <c r="A1989" s="8" t="s">
        <v>2066</v>
      </c>
      <c r="B1989" s="8" t="s">
        <v>38</v>
      </c>
      <c r="C1989" s="8" t="s">
        <v>179</v>
      </c>
      <c r="D1989" s="8" t="s">
        <v>40</v>
      </c>
      <c r="G1989" s="8" t="n">
        <v>20</v>
      </c>
      <c r="H1989" s="13" t="n">
        <f aca="false">M1989*(G1989/1000)*7850</f>
        <v>1860.45</v>
      </c>
      <c r="I1989" s="8" t="n">
        <v>2</v>
      </c>
      <c r="J1989" s="14" t="n">
        <f aca="false">H1989*I1989</f>
        <v>3720.9</v>
      </c>
      <c r="K1989" s="8" t="s">
        <v>2067</v>
      </c>
      <c r="M1989" s="15" t="n">
        <v>11.85</v>
      </c>
    </row>
    <row r="1990" customFormat="false" ht="13.8" hidden="false" customHeight="false" outlineLevel="0" collapsed="false">
      <c r="A1990" s="8" t="s">
        <v>2066</v>
      </c>
      <c r="B1990" s="8" t="s">
        <v>42</v>
      </c>
      <c r="C1990" s="8" t="s">
        <v>243</v>
      </c>
      <c r="D1990" s="8" t="s">
        <v>40</v>
      </c>
      <c r="G1990" s="8" t="n">
        <v>24</v>
      </c>
      <c r="H1990" s="13" t="n">
        <f aca="false">M1990*(G1990/1000)*7850</f>
        <v>1957.476</v>
      </c>
      <c r="I1990" s="8" t="n">
        <v>2</v>
      </c>
      <c r="J1990" s="14" t="n">
        <f aca="false">H1990*I1990</f>
        <v>3914.952</v>
      </c>
      <c r="K1990" s="8" t="s">
        <v>2068</v>
      </c>
      <c r="M1990" s="15" t="n">
        <v>10.39</v>
      </c>
    </row>
    <row r="1991" customFormat="false" ht="13.8" hidden="false" customHeight="false" outlineLevel="0" collapsed="false">
      <c r="A1991" s="8" t="s">
        <v>2066</v>
      </c>
      <c r="B1991" s="8" t="s">
        <v>45</v>
      </c>
      <c r="C1991" s="8" t="s">
        <v>183</v>
      </c>
      <c r="D1991" s="8" t="s">
        <v>40</v>
      </c>
      <c r="E1991" s="8" t="n">
        <v>7900</v>
      </c>
      <c r="F1991" s="8" t="n">
        <v>1200</v>
      </c>
      <c r="G1991" s="8" t="n">
        <v>20</v>
      </c>
      <c r="H1991" s="13" t="n">
        <f aca="false">(E1991/1000)*(F1991/1000)*(G1991/1000)*7850</f>
        <v>1488.36</v>
      </c>
      <c r="I1991" s="8" t="n">
        <v>2</v>
      </c>
      <c r="J1991" s="14" t="n">
        <f aca="false">H1991*I1991</f>
        <v>2976.72</v>
      </c>
      <c r="K1991" s="8" t="s">
        <v>2069</v>
      </c>
    </row>
    <row r="1992" customFormat="false" ht="13.8" hidden="false" customHeight="false" outlineLevel="0" collapsed="false">
      <c r="A1992" s="8" t="s">
        <v>2066</v>
      </c>
      <c r="B1992" s="8" t="s">
        <v>42</v>
      </c>
      <c r="C1992" s="8" t="s">
        <v>345</v>
      </c>
      <c r="D1992" s="8" t="s">
        <v>40</v>
      </c>
      <c r="E1992" s="8" t="n">
        <v>7100</v>
      </c>
      <c r="F1992" s="8" t="n">
        <v>1200</v>
      </c>
      <c r="G1992" s="8" t="n">
        <v>24</v>
      </c>
      <c r="H1992" s="13" t="n">
        <f aca="false">(E1992/1000)*(F1992/1000)*(G1992/1000)*7850</f>
        <v>1605.168</v>
      </c>
      <c r="I1992" s="8" t="n">
        <v>2</v>
      </c>
      <c r="J1992" s="14" t="n">
        <f aca="false">H1992*I1992</f>
        <v>3210.336</v>
      </c>
      <c r="K1992" s="8" t="s">
        <v>2070</v>
      </c>
    </row>
    <row r="1993" customFormat="false" ht="13.8" hidden="false" customHeight="false" outlineLevel="0" collapsed="false">
      <c r="A1993" s="8" t="s">
        <v>2066</v>
      </c>
      <c r="B1993" s="8" t="s">
        <v>187</v>
      </c>
      <c r="C1993" s="8" t="s">
        <v>188</v>
      </c>
      <c r="D1993" s="8" t="s">
        <v>40</v>
      </c>
      <c r="G1993" s="8" t="n">
        <v>40</v>
      </c>
      <c r="H1993" s="13" t="n">
        <f aca="false">M1993*(G1993/1000)*7850</f>
        <v>6399.32</v>
      </c>
      <c r="I1993" s="8" t="n">
        <v>4</v>
      </c>
      <c r="J1993" s="14" t="n">
        <f aca="false">H1993*I1993</f>
        <v>25597.28</v>
      </c>
      <c r="K1993" s="8" t="s">
        <v>2071</v>
      </c>
      <c r="M1993" s="15" t="n">
        <v>20.38</v>
      </c>
    </row>
    <row r="1994" customFormat="false" ht="13.8" hidden="false" customHeight="false" outlineLevel="0" collapsed="false">
      <c r="A1994" s="8" t="s">
        <v>2066</v>
      </c>
      <c r="B1994" s="8" t="s">
        <v>190</v>
      </c>
      <c r="C1994" s="8" t="s">
        <v>191</v>
      </c>
      <c r="D1994" s="8" t="s">
        <v>40</v>
      </c>
      <c r="E1994" s="8" t="n">
        <v>7300</v>
      </c>
      <c r="F1994" s="8" t="n">
        <v>1644</v>
      </c>
      <c r="G1994" s="8" t="n">
        <v>32</v>
      </c>
      <c r="H1994" s="13" t="n">
        <f aca="false">(E1994/1000)*(F1994/1000)*(G1994/1000)*7850</f>
        <v>3014.70144</v>
      </c>
      <c r="I1994" s="8" t="n">
        <v>4</v>
      </c>
      <c r="J1994" s="14" t="n">
        <f aca="false">H1994*I1994</f>
        <v>12058.80576</v>
      </c>
      <c r="K1994" s="8" t="s">
        <v>2072</v>
      </c>
    </row>
    <row r="1995" customFormat="false" ht="13.8" hidden="false" customHeight="false" outlineLevel="0" collapsed="false">
      <c r="A1995" s="8" t="s">
        <v>2066</v>
      </c>
      <c r="B1995" s="8" t="s">
        <v>195</v>
      </c>
      <c r="C1995" s="8" t="s">
        <v>58</v>
      </c>
      <c r="D1995" s="8" t="s">
        <v>40</v>
      </c>
      <c r="E1995" s="8" t="n">
        <v>1580</v>
      </c>
      <c r="F1995" s="8" t="n">
        <v>1200</v>
      </c>
      <c r="G1995" s="8" t="n">
        <v>16</v>
      </c>
      <c r="H1995" s="13" t="n">
        <f aca="false">(E1995/1000)*(F1995/1000)*(G1995/1000)*7850</f>
        <v>238.1376</v>
      </c>
      <c r="I1995" s="8" t="n">
        <v>6</v>
      </c>
      <c r="J1995" s="14" t="n">
        <f aca="false">H1995*I1995</f>
        <v>1428.8256</v>
      </c>
      <c r="K1995" s="8" t="s">
        <v>2073</v>
      </c>
    </row>
    <row r="1996" customFormat="false" ht="13.8" hidden="false" customHeight="false" outlineLevel="0" collapsed="false">
      <c r="A1996" s="8" t="s">
        <v>2066</v>
      </c>
      <c r="B1996" s="8" t="s">
        <v>42</v>
      </c>
      <c r="C1996" s="8" t="s">
        <v>298</v>
      </c>
      <c r="D1996" s="8" t="s">
        <v>40</v>
      </c>
      <c r="E1996" s="8" t="n">
        <v>1576</v>
      </c>
      <c r="F1996" s="8" t="n">
        <v>1200</v>
      </c>
      <c r="G1996" s="8" t="n">
        <v>16</v>
      </c>
      <c r="H1996" s="13" t="n">
        <f aca="false">(E1996/1000)*(F1996/1000)*(G1996/1000)*7850</f>
        <v>237.53472</v>
      </c>
      <c r="I1996" s="8" t="n">
        <v>4</v>
      </c>
      <c r="J1996" s="14" t="n">
        <f aca="false">H1996*I1996</f>
        <v>950.13888</v>
      </c>
      <c r="K1996" s="8" t="s">
        <v>2074</v>
      </c>
    </row>
    <row r="1997" customFormat="false" ht="13.8" hidden="false" customHeight="false" outlineLevel="0" collapsed="false">
      <c r="A1997" s="8" t="s">
        <v>2066</v>
      </c>
      <c r="B1997" s="8" t="s">
        <v>42</v>
      </c>
      <c r="C1997" s="8" t="s">
        <v>196</v>
      </c>
      <c r="D1997" s="8" t="s">
        <v>40</v>
      </c>
      <c r="E1997" s="8" t="n">
        <v>1657</v>
      </c>
      <c r="F1997" s="8" t="n">
        <v>200</v>
      </c>
      <c r="G1997" s="8" t="n">
        <v>16</v>
      </c>
      <c r="H1997" s="13" t="n">
        <f aca="false">(E1997/1000)*(F1997/1000)*(G1997/1000)*7850</f>
        <v>41.62384</v>
      </c>
      <c r="I1997" s="8" t="n">
        <v>6</v>
      </c>
      <c r="J1997" s="14" t="n">
        <f aca="false">H1997*I1997</f>
        <v>249.74304</v>
      </c>
      <c r="K1997" s="8" t="s">
        <v>2075</v>
      </c>
    </row>
    <row r="1998" customFormat="false" ht="13.8" hidden="false" customHeight="false" outlineLevel="0" collapsed="false">
      <c r="A1998" s="8" t="s">
        <v>2066</v>
      </c>
      <c r="B1998" s="8" t="s">
        <v>42</v>
      </c>
      <c r="C1998" s="8" t="s">
        <v>68</v>
      </c>
      <c r="D1998" s="8" t="s">
        <v>40</v>
      </c>
      <c r="E1998" s="8" t="n">
        <v>600</v>
      </c>
      <c r="F1998" s="8" t="n">
        <v>400</v>
      </c>
      <c r="G1998" s="8" t="n">
        <v>16</v>
      </c>
      <c r="H1998" s="13" t="n">
        <f aca="false">(E1998/1000)*(F1998/1000)*(G1998/1000)*7850</f>
        <v>30.144</v>
      </c>
      <c r="I1998" s="8" t="n">
        <v>8</v>
      </c>
      <c r="J1998" s="14" t="n">
        <f aca="false">H1998*I1998</f>
        <v>241.152</v>
      </c>
      <c r="K1998" s="8" t="s">
        <v>2076</v>
      </c>
    </row>
    <row r="1999" customFormat="false" ht="13.8" hidden="false" customHeight="false" outlineLevel="0" collapsed="false">
      <c r="A1999" s="8" t="s">
        <v>2066</v>
      </c>
      <c r="B1999" s="8" t="s">
        <v>253</v>
      </c>
      <c r="C1999" s="8" t="s">
        <v>199</v>
      </c>
      <c r="D1999" s="8" t="s">
        <v>40</v>
      </c>
      <c r="E1999" s="8" t="n">
        <v>7900</v>
      </c>
      <c r="F1999" s="8" t="n">
        <v>320</v>
      </c>
      <c r="G1999" s="8" t="n">
        <v>32</v>
      </c>
      <c r="H1999" s="13" t="n">
        <f aca="false">(E1999/1000)*(F1999/1000)*(G1999/1000)*7850</f>
        <v>635.0336</v>
      </c>
      <c r="I1999" s="8" t="n">
        <v>12</v>
      </c>
      <c r="J1999" s="14" t="n">
        <f aca="false">H1999*I1999</f>
        <v>7620.4032</v>
      </c>
      <c r="K1999" s="8" t="s">
        <v>2077</v>
      </c>
    </row>
    <row r="2000" customFormat="false" ht="13.8" hidden="false" customHeight="false" outlineLevel="0" collapsed="false">
      <c r="A2000" s="8" t="s">
        <v>2066</v>
      </c>
      <c r="B2000" s="8" t="s">
        <v>42</v>
      </c>
      <c r="C2000" s="8" t="s">
        <v>987</v>
      </c>
      <c r="D2000" s="8" t="s">
        <v>40</v>
      </c>
      <c r="E2000" s="8" t="n">
        <v>7100</v>
      </c>
      <c r="F2000" s="8" t="n">
        <v>240</v>
      </c>
      <c r="G2000" s="8" t="n">
        <v>20</v>
      </c>
      <c r="H2000" s="13" t="n">
        <f aca="false">(E2000/1000)*(F2000/1000)*(G2000/1000)*7850</f>
        <v>267.528</v>
      </c>
      <c r="I2000" s="8" t="n">
        <v>12</v>
      </c>
      <c r="J2000" s="14" t="n">
        <f aca="false">H2000*I2000</f>
        <v>3210.336</v>
      </c>
      <c r="K2000" s="8" t="s">
        <v>2078</v>
      </c>
    </row>
    <row r="2001" customFormat="false" ht="13.8" hidden="false" customHeight="false" outlineLevel="0" collapsed="false">
      <c r="A2001" s="8" t="s">
        <v>2066</v>
      </c>
      <c r="B2001" s="8" t="s">
        <v>256</v>
      </c>
      <c r="C2001" s="8" t="s">
        <v>96</v>
      </c>
      <c r="D2001" s="8" t="s">
        <v>40</v>
      </c>
      <c r="E2001" s="8" t="n">
        <v>7900</v>
      </c>
      <c r="F2001" s="8" t="n">
        <v>1850</v>
      </c>
      <c r="G2001" s="8" t="n">
        <v>20</v>
      </c>
      <c r="H2001" s="13" t="n">
        <f aca="false">(E2001/1000)*(F2001/1000)*(G2001/1000)*7850</f>
        <v>2294.555</v>
      </c>
      <c r="I2001" s="8" t="n">
        <v>2</v>
      </c>
      <c r="J2001" s="14" t="n">
        <f aca="false">H2001*I2001</f>
        <v>4589.11</v>
      </c>
      <c r="K2001" s="8" t="s">
        <v>2079</v>
      </c>
    </row>
    <row r="2002" customFormat="false" ht="13.8" hidden="false" customHeight="false" outlineLevel="0" collapsed="false">
      <c r="A2002" s="8" t="s">
        <v>2066</v>
      </c>
      <c r="B2002" s="8" t="s">
        <v>42</v>
      </c>
      <c r="C2002" s="8" t="s">
        <v>305</v>
      </c>
      <c r="D2002" s="8" t="s">
        <v>40</v>
      </c>
      <c r="E2002" s="8" t="n">
        <v>7100</v>
      </c>
      <c r="F2002" s="8" t="n">
        <v>1850</v>
      </c>
      <c r="G2002" s="8" t="n">
        <v>20</v>
      </c>
      <c r="H2002" s="13" t="n">
        <f aca="false">(E2002/1000)*(F2002/1000)*(G2002/1000)*7850</f>
        <v>2062.195</v>
      </c>
      <c r="I2002" s="8" t="n">
        <v>2</v>
      </c>
      <c r="J2002" s="14" t="n">
        <f aca="false">H2002*I2002</f>
        <v>4124.39</v>
      </c>
      <c r="K2002" s="8" t="s">
        <v>2080</v>
      </c>
    </row>
    <row r="2003" customFormat="false" ht="13.8" hidden="false" customHeight="false" outlineLevel="0" collapsed="false">
      <c r="A2003" s="8" t="s">
        <v>2066</v>
      </c>
      <c r="B2003" s="8" t="s">
        <v>260</v>
      </c>
      <c r="C2003" s="8" t="s">
        <v>100</v>
      </c>
      <c r="D2003" s="8" t="s">
        <v>40</v>
      </c>
      <c r="G2003" s="8" t="n">
        <v>20</v>
      </c>
      <c r="H2003" s="13" t="n">
        <f aca="false">M2003*(G2003/1000)*7850</f>
        <v>1967.21</v>
      </c>
      <c r="I2003" s="8" t="n">
        <v>2</v>
      </c>
      <c r="J2003" s="14" t="n">
        <f aca="false">H2003*I2003</f>
        <v>3934.42</v>
      </c>
      <c r="K2003" s="8" t="s">
        <v>2081</v>
      </c>
      <c r="M2003" s="15" t="n">
        <v>12.53</v>
      </c>
    </row>
    <row r="2004" customFormat="false" ht="13.8" hidden="false" customHeight="false" outlineLevel="0" collapsed="false">
      <c r="A2004" s="8" t="s">
        <v>2066</v>
      </c>
      <c r="B2004" s="8" t="s">
        <v>42</v>
      </c>
      <c r="C2004" s="8" t="s">
        <v>206</v>
      </c>
      <c r="D2004" s="8" t="s">
        <v>40</v>
      </c>
      <c r="G2004" s="8" t="n">
        <v>20</v>
      </c>
      <c r="H2004" s="13" t="n">
        <f aca="false">M2004*(G2004/1000)*7850</f>
        <v>1524.47</v>
      </c>
      <c r="I2004" s="8" t="n">
        <v>2</v>
      </c>
      <c r="J2004" s="14" t="n">
        <f aca="false">H2004*I2004</f>
        <v>3048.94</v>
      </c>
      <c r="K2004" s="8" t="s">
        <v>2082</v>
      </c>
      <c r="M2004" s="15" t="n">
        <v>9.71</v>
      </c>
    </row>
    <row r="2005" customFormat="false" ht="13.8" hidden="false" customHeight="false" outlineLevel="0" collapsed="false">
      <c r="A2005" s="8" t="s">
        <v>2066</v>
      </c>
      <c r="B2005" s="8" t="s">
        <v>105</v>
      </c>
      <c r="C2005" s="8" t="s">
        <v>103</v>
      </c>
      <c r="D2005" s="8" t="s">
        <v>40</v>
      </c>
      <c r="G2005" s="8" t="n">
        <v>40</v>
      </c>
      <c r="H2005" s="13" t="n">
        <f aca="false">M2005*(G2005/1000)*7850</f>
        <v>6502.94</v>
      </c>
      <c r="I2005" s="8" t="n">
        <v>4</v>
      </c>
      <c r="J2005" s="14" t="n">
        <f aca="false">H2005*I2005</f>
        <v>26011.76</v>
      </c>
      <c r="K2005" s="8" t="s">
        <v>2083</v>
      </c>
      <c r="M2005" s="15" t="n">
        <v>20.71</v>
      </c>
    </row>
    <row r="2006" customFormat="false" ht="13.8" hidden="false" customHeight="false" outlineLevel="0" collapsed="false">
      <c r="A2006" s="8" t="s">
        <v>2066</v>
      </c>
      <c r="B2006" s="8" t="s">
        <v>102</v>
      </c>
      <c r="C2006" s="8" t="s">
        <v>106</v>
      </c>
      <c r="D2006" s="8" t="s">
        <v>40</v>
      </c>
      <c r="E2006" s="8" t="n">
        <v>7300</v>
      </c>
      <c r="F2006" s="8" t="n">
        <v>1470</v>
      </c>
      <c r="G2006" s="8" t="n">
        <v>24</v>
      </c>
      <c r="H2006" s="13" t="n">
        <f aca="false">(E2006/1000)*(F2006/1000)*(G2006/1000)*7850</f>
        <v>2021.7204</v>
      </c>
      <c r="I2006" s="8" t="n">
        <v>4</v>
      </c>
      <c r="J2006" s="14" t="n">
        <f aca="false">H2006*I2006</f>
        <v>8086.8816</v>
      </c>
      <c r="K2006" s="8" t="s">
        <v>2084</v>
      </c>
    </row>
    <row r="2007" customFormat="false" ht="13.8" hidden="false" customHeight="false" outlineLevel="0" collapsed="false">
      <c r="A2007" s="8" t="s">
        <v>2066</v>
      </c>
      <c r="B2007" s="8" t="s">
        <v>110</v>
      </c>
      <c r="C2007" s="8" t="s">
        <v>108</v>
      </c>
      <c r="D2007" s="8" t="s">
        <v>40</v>
      </c>
      <c r="E2007" s="8" t="n">
        <v>1450</v>
      </c>
      <c r="F2007" s="8" t="n">
        <v>1200</v>
      </c>
      <c r="G2007" s="8" t="n">
        <v>16</v>
      </c>
      <c r="H2007" s="13" t="n">
        <f aca="false">(E2007/1000)*(F2007/1000)*(G2007/1000)*7850</f>
        <v>218.544</v>
      </c>
      <c r="I2007" s="8" t="n">
        <v>6</v>
      </c>
      <c r="J2007" s="14" t="n">
        <f aca="false">H2007*I2007</f>
        <v>1311.264</v>
      </c>
      <c r="K2007" s="8" t="s">
        <v>2085</v>
      </c>
    </row>
    <row r="2008" customFormat="false" ht="13.8" hidden="false" customHeight="false" outlineLevel="0" collapsed="false">
      <c r="A2008" s="8" t="s">
        <v>2066</v>
      </c>
      <c r="B2008" s="8" t="s">
        <v>42</v>
      </c>
      <c r="C2008" s="8" t="s">
        <v>112</v>
      </c>
      <c r="D2008" s="8" t="s">
        <v>40</v>
      </c>
      <c r="E2008" s="8" t="n">
        <v>1450</v>
      </c>
      <c r="F2008" s="8" t="n">
        <v>1200</v>
      </c>
      <c r="G2008" s="8" t="n">
        <v>16</v>
      </c>
      <c r="H2008" s="13" t="n">
        <f aca="false">(E2008/1000)*(F2008/1000)*(G2008/1000)*7850</f>
        <v>218.544</v>
      </c>
      <c r="I2008" s="8" t="n">
        <v>4</v>
      </c>
      <c r="J2008" s="14" t="n">
        <f aca="false">H2008*I2008</f>
        <v>874.176</v>
      </c>
      <c r="K2008" s="8" t="s">
        <v>2085</v>
      </c>
    </row>
    <row r="2009" customFormat="false" ht="13.8" hidden="false" customHeight="false" outlineLevel="0" collapsed="false">
      <c r="A2009" s="8" t="s">
        <v>2066</v>
      </c>
      <c r="B2009" s="8" t="s">
        <v>42</v>
      </c>
      <c r="C2009" s="8" t="s">
        <v>211</v>
      </c>
      <c r="D2009" s="8" t="s">
        <v>40</v>
      </c>
      <c r="E2009" s="8" t="n">
        <v>1657</v>
      </c>
      <c r="F2009" s="8" t="n">
        <v>200</v>
      </c>
      <c r="G2009" s="8" t="n">
        <v>16</v>
      </c>
      <c r="H2009" s="13" t="n">
        <f aca="false">(E2009/1000)*(F2009/1000)*(G2009/1000)*7850</f>
        <v>41.62384</v>
      </c>
      <c r="I2009" s="8" t="n">
        <v>6</v>
      </c>
      <c r="J2009" s="14" t="n">
        <f aca="false">H2009*I2009</f>
        <v>249.74304</v>
      </c>
      <c r="K2009" s="8" t="s">
        <v>2086</v>
      </c>
    </row>
    <row r="2010" customFormat="false" ht="13.8" hidden="false" customHeight="false" outlineLevel="0" collapsed="false">
      <c r="A2010" s="8" t="s">
        <v>2066</v>
      </c>
      <c r="B2010" s="8" t="s">
        <v>268</v>
      </c>
      <c r="C2010" s="8" t="s">
        <v>114</v>
      </c>
      <c r="D2010" s="8" t="s">
        <v>40</v>
      </c>
      <c r="E2010" s="8" t="n">
        <v>7900</v>
      </c>
      <c r="F2010" s="8" t="n">
        <v>320</v>
      </c>
      <c r="G2010" s="8" t="n">
        <v>32</v>
      </c>
      <c r="H2010" s="13" t="n">
        <f aca="false">(E2010/1000)*(F2010/1000)*(G2010/1000)*7850</f>
        <v>635.0336</v>
      </c>
      <c r="I2010" s="8" t="n">
        <v>8</v>
      </c>
      <c r="J2010" s="14" t="n">
        <f aca="false">H2010*I2010</f>
        <v>5080.2688</v>
      </c>
      <c r="K2010" s="8" t="s">
        <v>2077</v>
      </c>
    </row>
    <row r="2011" customFormat="false" ht="13.8" hidden="false" customHeight="false" outlineLevel="0" collapsed="false">
      <c r="A2011" s="8" t="s">
        <v>2066</v>
      </c>
      <c r="B2011" s="8" t="s">
        <v>42</v>
      </c>
      <c r="C2011" s="8" t="s">
        <v>116</v>
      </c>
      <c r="D2011" s="8" t="s">
        <v>40</v>
      </c>
      <c r="E2011" s="8" t="n">
        <v>7100</v>
      </c>
      <c r="F2011" s="8" t="n">
        <v>240</v>
      </c>
      <c r="G2011" s="8" t="n">
        <v>20</v>
      </c>
      <c r="H2011" s="13" t="n">
        <f aca="false">(E2011/1000)*(F2011/1000)*(G2011/1000)*7850</f>
        <v>267.528</v>
      </c>
      <c r="I2011" s="8" t="n">
        <v>8</v>
      </c>
      <c r="J2011" s="14" t="n">
        <f aca="false">H2011*I2011</f>
        <v>2140.224</v>
      </c>
      <c r="K2011" s="8" t="s">
        <v>2078</v>
      </c>
    </row>
    <row r="2012" customFormat="false" ht="13.8" hidden="false" customHeight="false" outlineLevel="0" collapsed="false">
      <c r="A2012" s="8" t="s">
        <v>2066</v>
      </c>
      <c r="B2012" s="8" t="s">
        <v>42</v>
      </c>
      <c r="C2012" s="8" t="s">
        <v>118</v>
      </c>
      <c r="D2012" s="8" t="s">
        <v>40</v>
      </c>
      <c r="E2012" s="8" t="n">
        <v>15000</v>
      </c>
      <c r="F2012" s="8" t="n">
        <v>170</v>
      </c>
      <c r="G2012" s="8" t="n">
        <v>14</v>
      </c>
      <c r="H2012" s="13" t="n">
        <f aca="false">(E2012/1000)*(F2012/1000)*(G2012/1000)*7850</f>
        <v>280.245</v>
      </c>
      <c r="I2012" s="8" t="n">
        <v>2</v>
      </c>
      <c r="J2012" s="14" t="n">
        <f aca="false">H2012*I2012</f>
        <v>560.49</v>
      </c>
      <c r="K2012" s="8" t="s">
        <v>2087</v>
      </c>
    </row>
    <row r="2013" customFormat="false" ht="13.8" hidden="false" customHeight="false" outlineLevel="0" collapsed="false">
      <c r="A2013" s="8" t="s">
        <v>2066</v>
      </c>
      <c r="B2013" s="8" t="s">
        <v>272</v>
      </c>
      <c r="C2013" s="8" t="s">
        <v>125</v>
      </c>
      <c r="D2013" s="8" t="s">
        <v>40</v>
      </c>
      <c r="E2013" s="8" t="n">
        <v>11418</v>
      </c>
      <c r="F2013" s="8" t="n">
        <v>1200</v>
      </c>
      <c r="G2013" s="8" t="n">
        <v>36</v>
      </c>
      <c r="H2013" s="13" t="n">
        <f aca="false">(E2013/1000)*(F2013/1000)*(G2013/1000)*7850</f>
        <v>3872.07216</v>
      </c>
      <c r="I2013" s="8" t="n">
        <v>2</v>
      </c>
      <c r="J2013" s="14" t="n">
        <f aca="false">H2013*I2013</f>
        <v>7744.14432</v>
      </c>
      <c r="K2013" s="8" t="s">
        <v>2088</v>
      </c>
    </row>
    <row r="2014" customFormat="false" ht="13.8" hidden="false" customHeight="false" outlineLevel="0" collapsed="false">
      <c r="A2014" s="8" t="s">
        <v>2066</v>
      </c>
      <c r="B2014" s="8" t="s">
        <v>42</v>
      </c>
      <c r="C2014" s="8" t="s">
        <v>467</v>
      </c>
      <c r="D2014" s="8" t="s">
        <v>40</v>
      </c>
      <c r="E2014" s="8" t="n">
        <v>11618</v>
      </c>
      <c r="F2014" s="8" t="n">
        <v>1200</v>
      </c>
      <c r="G2014" s="8" t="n">
        <v>36</v>
      </c>
      <c r="H2014" s="13" t="n">
        <f aca="false">(E2014/1000)*(F2014/1000)*(G2014/1000)*7850</f>
        <v>3939.89616</v>
      </c>
      <c r="I2014" s="8" t="n">
        <v>2</v>
      </c>
      <c r="J2014" s="14" t="n">
        <f aca="false">H2014*I2014</f>
        <v>7879.79232</v>
      </c>
      <c r="K2014" s="8" t="s">
        <v>2089</v>
      </c>
    </row>
    <row r="2015" customFormat="false" ht="13.8" hidden="false" customHeight="false" outlineLevel="0" collapsed="false">
      <c r="A2015" s="8" t="s">
        <v>2066</v>
      </c>
      <c r="B2015" s="8" t="s">
        <v>42</v>
      </c>
      <c r="C2015" s="8" t="s">
        <v>128</v>
      </c>
      <c r="D2015" s="8" t="s">
        <v>40</v>
      </c>
      <c r="E2015" s="8" t="n">
        <v>7218</v>
      </c>
      <c r="F2015" s="8" t="n">
        <v>1360</v>
      </c>
      <c r="G2015" s="8" t="n">
        <v>36</v>
      </c>
      <c r="H2015" s="13" t="n">
        <f aca="false">(E2015/1000)*(F2015/1000)*(G2015/1000)*7850</f>
        <v>2774.137248</v>
      </c>
      <c r="I2015" s="8" t="n">
        <v>4</v>
      </c>
      <c r="J2015" s="14" t="n">
        <f aca="false">H2015*I2015</f>
        <v>11096.548992</v>
      </c>
      <c r="K2015" s="8" t="s">
        <v>2090</v>
      </c>
    </row>
    <row r="2016" customFormat="false" ht="13.8" hidden="false" customHeight="false" outlineLevel="0" collapsed="false">
      <c r="A2016" s="8" t="s">
        <v>2066</v>
      </c>
      <c r="B2016" s="8" t="s">
        <v>42</v>
      </c>
      <c r="C2016" s="8" t="s">
        <v>130</v>
      </c>
      <c r="D2016" s="8" t="s">
        <v>40</v>
      </c>
      <c r="E2016" s="8" t="n">
        <v>7218</v>
      </c>
      <c r="F2016" s="8" t="n">
        <v>320</v>
      </c>
      <c r="G2016" s="8" t="n">
        <v>32</v>
      </c>
      <c r="H2016" s="13" t="n">
        <f aca="false">(E2016/1000)*(F2016/1000)*(G2016/1000)*7850</f>
        <v>580.211712</v>
      </c>
      <c r="I2016" s="8" t="n">
        <v>4</v>
      </c>
      <c r="J2016" s="14" t="n">
        <f aca="false">H2016*I2016</f>
        <v>2320.846848</v>
      </c>
      <c r="K2016" s="8" t="s">
        <v>2091</v>
      </c>
    </row>
    <row r="2017" customFormat="false" ht="13.8" hidden="false" customHeight="false" outlineLevel="0" collapsed="false">
      <c r="A2017" s="8" t="s">
        <v>2066</v>
      </c>
      <c r="B2017" s="8" t="s">
        <v>42</v>
      </c>
      <c r="C2017" s="8" t="s">
        <v>620</v>
      </c>
      <c r="D2017" s="8" t="s">
        <v>40</v>
      </c>
      <c r="E2017" s="8" t="n">
        <v>10018</v>
      </c>
      <c r="F2017" s="8" t="n">
        <v>320</v>
      </c>
      <c r="G2017" s="8" t="n">
        <v>32</v>
      </c>
      <c r="H2017" s="13" t="n">
        <f aca="false">(E2017/1000)*(F2017/1000)*(G2017/1000)*7850</f>
        <v>805.286912</v>
      </c>
      <c r="I2017" s="8" t="n">
        <v>2</v>
      </c>
      <c r="J2017" s="14" t="n">
        <f aca="false">H2017*I2017</f>
        <v>1610.573824</v>
      </c>
      <c r="K2017" s="8" t="s">
        <v>2092</v>
      </c>
    </row>
    <row r="2018" customFormat="false" ht="13.8" hidden="false" customHeight="false" outlineLevel="0" collapsed="false">
      <c r="A2018" s="8" t="s">
        <v>2066</v>
      </c>
      <c r="B2018" s="8" t="s">
        <v>42</v>
      </c>
      <c r="C2018" s="8" t="s">
        <v>134</v>
      </c>
      <c r="D2018" s="8" t="s">
        <v>40</v>
      </c>
      <c r="E2018" s="8" t="n">
        <v>10218</v>
      </c>
      <c r="F2018" s="8" t="n">
        <v>320</v>
      </c>
      <c r="G2018" s="8" t="n">
        <v>32</v>
      </c>
      <c r="H2018" s="13" t="n">
        <f aca="false">(E2018/1000)*(F2018/1000)*(G2018/1000)*7850</f>
        <v>821.363712</v>
      </c>
      <c r="I2018" s="8" t="n">
        <v>2</v>
      </c>
      <c r="J2018" s="14" t="n">
        <f aca="false">H2018*I2018</f>
        <v>1642.727424</v>
      </c>
      <c r="K2018" s="8" t="s">
        <v>2093</v>
      </c>
    </row>
    <row r="2019" customFormat="false" ht="13.8" hidden="false" customHeight="false" outlineLevel="0" collapsed="false">
      <c r="A2019" s="8" t="s">
        <v>2066</v>
      </c>
      <c r="B2019" s="8" t="s">
        <v>42</v>
      </c>
      <c r="C2019" s="8" t="s">
        <v>135</v>
      </c>
      <c r="D2019" s="8" t="s">
        <v>40</v>
      </c>
      <c r="E2019" s="8" t="n">
        <v>1200</v>
      </c>
      <c r="F2019" s="8" t="n">
        <v>1200</v>
      </c>
      <c r="G2019" s="8" t="n">
        <v>16</v>
      </c>
      <c r="H2019" s="13" t="n">
        <f aca="false">(E2019/1000)*(F2019/1000)*(G2019/1000)*7850</f>
        <v>180.864</v>
      </c>
      <c r="I2019" s="8" t="n">
        <v>6</v>
      </c>
      <c r="J2019" s="14" t="n">
        <f aca="false">H2019*I2019</f>
        <v>1085.184</v>
      </c>
      <c r="K2019" s="8" t="s">
        <v>2094</v>
      </c>
    </row>
    <row r="2020" customFormat="false" ht="13.8" hidden="false" customHeight="false" outlineLevel="0" collapsed="false">
      <c r="A2020" s="8" t="s">
        <v>2066</v>
      </c>
      <c r="B2020" s="8" t="s">
        <v>42</v>
      </c>
      <c r="C2020" s="8" t="s">
        <v>321</v>
      </c>
      <c r="D2020" s="8" t="s">
        <v>40</v>
      </c>
      <c r="E2020" s="8" t="n">
        <v>3640</v>
      </c>
      <c r="F2020" s="8" t="n">
        <v>900</v>
      </c>
      <c r="G2020" s="8" t="n">
        <v>36</v>
      </c>
      <c r="H2020" s="13" t="n">
        <f aca="false">(E2020/1000)*(F2020/1000)*(G2020/1000)*7850</f>
        <v>925.7976</v>
      </c>
      <c r="I2020" s="8" t="n">
        <v>4</v>
      </c>
      <c r="J2020" s="14" t="n">
        <f aca="false">H2020*I2020</f>
        <v>3703.1904</v>
      </c>
      <c r="K2020" s="8" t="s">
        <v>2095</v>
      </c>
    </row>
    <row r="2021" customFormat="false" ht="13.8" hidden="false" customHeight="false" outlineLevel="0" collapsed="false">
      <c r="A2021" s="8" t="s">
        <v>2066</v>
      </c>
      <c r="B2021" s="8" t="s">
        <v>42</v>
      </c>
      <c r="C2021" s="8" t="s">
        <v>141</v>
      </c>
      <c r="D2021" s="8" t="s">
        <v>40</v>
      </c>
      <c r="E2021" s="8" t="n">
        <v>5940</v>
      </c>
      <c r="F2021" s="8" t="n">
        <v>1200</v>
      </c>
      <c r="G2021" s="8" t="n">
        <v>32</v>
      </c>
      <c r="H2021" s="13" t="n">
        <f aca="false">(E2021/1000)*(F2021/1000)*(G2021/1000)*7850</f>
        <v>1790.5536</v>
      </c>
      <c r="I2021" s="8" t="n">
        <v>2</v>
      </c>
      <c r="J2021" s="14" t="n">
        <f aca="false">H2021*I2021</f>
        <v>3581.1072</v>
      </c>
      <c r="K2021" s="8" t="s">
        <v>2096</v>
      </c>
    </row>
    <row r="2022" customFormat="false" ht="13.8" hidden="false" customHeight="false" outlineLevel="0" collapsed="false">
      <c r="A2022" s="8" t="s">
        <v>2066</v>
      </c>
      <c r="B2022" s="8" t="s">
        <v>42</v>
      </c>
      <c r="C2022" s="8" t="s">
        <v>143</v>
      </c>
      <c r="D2022" s="8" t="s">
        <v>40</v>
      </c>
      <c r="E2022" s="8" t="n">
        <v>5240</v>
      </c>
      <c r="F2022" s="8" t="n">
        <v>240</v>
      </c>
      <c r="G2022" s="8" t="n">
        <v>24</v>
      </c>
      <c r="H2022" s="13" t="n">
        <f aca="false">(E2022/1000)*(F2022/1000)*(G2022/1000)*7850</f>
        <v>236.93184</v>
      </c>
      <c r="I2022" s="8" t="n">
        <v>4</v>
      </c>
      <c r="J2022" s="14" t="n">
        <f aca="false">H2022*I2022</f>
        <v>947.72736</v>
      </c>
      <c r="K2022" s="8" t="s">
        <v>2097</v>
      </c>
    </row>
    <row r="2023" customFormat="false" ht="13.8" hidden="false" customHeight="false" outlineLevel="0" collapsed="false">
      <c r="A2023" s="8" t="s">
        <v>2066</v>
      </c>
      <c r="B2023" s="8" t="s">
        <v>42</v>
      </c>
      <c r="C2023" s="8" t="s">
        <v>1600</v>
      </c>
      <c r="D2023" s="8" t="s">
        <v>40</v>
      </c>
      <c r="E2023" s="8" t="n">
        <v>5829</v>
      </c>
      <c r="F2023" s="8" t="n">
        <v>1200</v>
      </c>
      <c r="G2023" s="8" t="n">
        <v>36</v>
      </c>
      <c r="H2023" s="13" t="n">
        <f aca="false">(E2023/1000)*(F2023/1000)*(G2023/1000)*7850</f>
        <v>1976.73048</v>
      </c>
      <c r="I2023" s="8" t="n">
        <v>2</v>
      </c>
      <c r="J2023" s="14" t="n">
        <f aca="false">H2023*I2023</f>
        <v>3953.46096</v>
      </c>
      <c r="K2023" s="8" t="s">
        <v>2098</v>
      </c>
    </row>
    <row r="2024" customFormat="false" ht="13.8" hidden="false" customHeight="false" outlineLevel="0" collapsed="false">
      <c r="A2024" s="8" t="s">
        <v>2066</v>
      </c>
      <c r="B2024" s="8" t="s">
        <v>42</v>
      </c>
      <c r="C2024" s="8" t="s">
        <v>380</v>
      </c>
      <c r="D2024" s="8" t="s">
        <v>40</v>
      </c>
      <c r="E2024" s="8" t="n">
        <v>5429</v>
      </c>
      <c r="F2024" s="8" t="n">
        <v>1200</v>
      </c>
      <c r="G2024" s="8" t="n">
        <v>36</v>
      </c>
      <c r="H2024" s="13" t="n">
        <f aca="false">(E2024/1000)*(F2024/1000)*(G2024/1000)*7850</f>
        <v>1841.08248</v>
      </c>
      <c r="I2024" s="8" t="n">
        <v>2</v>
      </c>
      <c r="J2024" s="14" t="n">
        <f aca="false">H2024*I2024</f>
        <v>3682.16496</v>
      </c>
      <c r="K2024" s="8" t="s">
        <v>2099</v>
      </c>
    </row>
    <row r="2025" customFormat="false" ht="13.8" hidden="false" customHeight="false" outlineLevel="0" collapsed="false">
      <c r="A2025" s="8" t="s">
        <v>2066</v>
      </c>
      <c r="B2025" s="8" t="s">
        <v>42</v>
      </c>
      <c r="C2025" s="8" t="s">
        <v>155</v>
      </c>
      <c r="D2025" s="8" t="s">
        <v>40</v>
      </c>
      <c r="E2025" s="8" t="n">
        <v>3629</v>
      </c>
      <c r="F2025" s="8" t="n">
        <v>1360</v>
      </c>
      <c r="G2025" s="8" t="n">
        <v>36</v>
      </c>
      <c r="H2025" s="13" t="n">
        <f aca="false">(E2025/1000)*(F2025/1000)*(G2025/1000)*7850</f>
        <v>1394.755344</v>
      </c>
      <c r="I2025" s="8" t="n">
        <v>4</v>
      </c>
      <c r="J2025" s="14" t="n">
        <f aca="false">H2025*I2025</f>
        <v>5579.021376</v>
      </c>
      <c r="K2025" s="8" t="s">
        <v>2100</v>
      </c>
    </row>
    <row r="2026" customFormat="false" ht="13.8" hidden="false" customHeight="false" outlineLevel="0" collapsed="false">
      <c r="A2026" s="8" t="s">
        <v>2066</v>
      </c>
      <c r="B2026" s="8" t="s">
        <v>171</v>
      </c>
      <c r="C2026" s="8" t="s">
        <v>160</v>
      </c>
      <c r="D2026" s="8" t="s">
        <v>40</v>
      </c>
      <c r="E2026" s="8" t="n">
        <v>3629</v>
      </c>
      <c r="F2026" s="8" t="n">
        <v>320</v>
      </c>
      <c r="G2026" s="8" t="n">
        <v>32</v>
      </c>
      <c r="H2026" s="13" t="n">
        <f aca="false">(E2026/1000)*(F2026/1000)*(G2026/1000)*7850</f>
        <v>291.713536</v>
      </c>
      <c r="I2026" s="8" t="n">
        <v>4</v>
      </c>
      <c r="J2026" s="14" t="n">
        <f aca="false">H2026*I2026</f>
        <v>1166.854144</v>
      </c>
      <c r="K2026" s="8" t="s">
        <v>2101</v>
      </c>
    </row>
    <row r="2027" customFormat="false" ht="13.8" hidden="false" customHeight="false" outlineLevel="0" collapsed="false">
      <c r="A2027" s="8" t="s">
        <v>2066</v>
      </c>
      <c r="B2027" s="8" t="s">
        <v>42</v>
      </c>
      <c r="C2027" s="8" t="s">
        <v>163</v>
      </c>
      <c r="D2027" s="8" t="s">
        <v>40</v>
      </c>
      <c r="E2027" s="8" t="n">
        <v>5129</v>
      </c>
      <c r="F2027" s="8" t="n">
        <v>320</v>
      </c>
      <c r="G2027" s="8" t="n">
        <v>32</v>
      </c>
      <c r="H2027" s="13" t="n">
        <f aca="false">(E2027/1000)*(F2027/1000)*(G2027/1000)*7850</f>
        <v>412.289536</v>
      </c>
      <c r="I2027" s="8" t="n">
        <v>2</v>
      </c>
      <c r="J2027" s="14" t="n">
        <f aca="false">H2027*I2027</f>
        <v>824.579072</v>
      </c>
      <c r="K2027" s="8" t="s">
        <v>2102</v>
      </c>
    </row>
    <row r="2028" customFormat="false" ht="13.8" hidden="false" customHeight="false" outlineLevel="0" collapsed="false">
      <c r="A2028" s="8" t="s">
        <v>2066</v>
      </c>
      <c r="B2028" s="8" t="s">
        <v>42</v>
      </c>
      <c r="C2028" s="8" t="s">
        <v>165</v>
      </c>
      <c r="D2028" s="8" t="s">
        <v>40</v>
      </c>
      <c r="E2028" s="8" t="n">
        <v>4729</v>
      </c>
      <c r="F2028" s="8" t="n">
        <v>320</v>
      </c>
      <c r="G2028" s="8" t="n">
        <v>32</v>
      </c>
      <c r="H2028" s="13" t="n">
        <f aca="false">(E2028/1000)*(F2028/1000)*(G2028/1000)*7850</f>
        <v>380.135936</v>
      </c>
      <c r="I2028" s="8" t="n">
        <v>2</v>
      </c>
      <c r="J2028" s="14" t="n">
        <f aca="false">H2028*I2028</f>
        <v>760.271872</v>
      </c>
      <c r="K2028" s="8" t="s">
        <v>2103</v>
      </c>
    </row>
    <row r="2029" customFormat="false" ht="13.8" hidden="false" customHeight="false" outlineLevel="0" collapsed="false">
      <c r="A2029" s="8" t="s">
        <v>2066</v>
      </c>
      <c r="B2029" s="8" t="s">
        <v>42</v>
      </c>
      <c r="C2029" s="8" t="s">
        <v>158</v>
      </c>
      <c r="D2029" s="8" t="s">
        <v>40</v>
      </c>
      <c r="E2029" s="8" t="n">
        <v>1200</v>
      </c>
      <c r="F2029" s="8" t="n">
        <v>1200</v>
      </c>
      <c r="G2029" s="8" t="n">
        <v>16</v>
      </c>
      <c r="H2029" s="13" t="n">
        <f aca="false">(E2029/1000)*(F2029/1000)*(G2029/1000)*7850</f>
        <v>180.864</v>
      </c>
      <c r="I2029" s="8" t="n">
        <v>6</v>
      </c>
      <c r="J2029" s="14" t="n">
        <f aca="false">H2029*I2029</f>
        <v>1085.184</v>
      </c>
      <c r="K2029" s="8" t="s">
        <v>2094</v>
      </c>
    </row>
    <row r="2030" customFormat="false" ht="13.8" hidden="false" customHeight="false" outlineLevel="0" collapsed="false">
      <c r="A2030" s="8" t="s">
        <v>2066</v>
      </c>
      <c r="B2030" s="8" t="s">
        <v>42</v>
      </c>
      <c r="C2030" s="8" t="s">
        <v>386</v>
      </c>
      <c r="D2030" s="8" t="s">
        <v>40</v>
      </c>
      <c r="E2030" s="8" t="n">
        <v>2300</v>
      </c>
      <c r="F2030" s="8" t="n">
        <v>320</v>
      </c>
      <c r="G2030" s="8" t="n">
        <v>32</v>
      </c>
      <c r="H2030" s="13" t="n">
        <f aca="false">(E2030/1000)*(F2030/1000)*(G2030/1000)*7850</f>
        <v>184.8832</v>
      </c>
      <c r="I2030" s="8" t="n">
        <v>4</v>
      </c>
      <c r="J2030" s="14" t="n">
        <f aca="false">H2030*I2030</f>
        <v>739.5328</v>
      </c>
      <c r="K2030" s="8" t="s">
        <v>2104</v>
      </c>
    </row>
    <row r="2031" customFormat="false" ht="13.8" hidden="false" customHeight="false" outlineLevel="0" collapsed="false">
      <c r="A2031" s="8" t="s">
        <v>2066</v>
      </c>
      <c r="B2031" s="8" t="s">
        <v>42</v>
      </c>
      <c r="C2031" s="8" t="s">
        <v>388</v>
      </c>
      <c r="D2031" s="8" t="s">
        <v>40</v>
      </c>
      <c r="E2031" s="8" t="n">
        <v>2600</v>
      </c>
      <c r="F2031" s="8" t="n">
        <v>320</v>
      </c>
      <c r="G2031" s="8" t="n">
        <v>32</v>
      </c>
      <c r="H2031" s="13" t="n">
        <f aca="false">(E2031/1000)*(F2031/1000)*(G2031/1000)*7850</f>
        <v>208.9984</v>
      </c>
      <c r="I2031" s="8" t="n">
        <v>8</v>
      </c>
      <c r="J2031" s="14" t="n">
        <f aca="false">H2031*I2031</f>
        <v>1671.9872</v>
      </c>
      <c r="K2031" s="8" t="s">
        <v>2105</v>
      </c>
    </row>
    <row r="2032" customFormat="false" ht="13.8" hidden="false" customHeight="false" outlineLevel="0" collapsed="false">
      <c r="A2032" s="8" t="s">
        <v>2066</v>
      </c>
      <c r="B2032" s="8" t="s">
        <v>64</v>
      </c>
      <c r="C2032" s="8" t="s">
        <v>167</v>
      </c>
      <c r="D2032" s="8" t="s">
        <v>40</v>
      </c>
      <c r="E2032" s="8" t="n">
        <v>1580</v>
      </c>
      <c r="F2032" s="8" t="n">
        <v>610</v>
      </c>
      <c r="G2032" s="8" t="n">
        <v>14</v>
      </c>
      <c r="H2032" s="13" t="n">
        <f aca="false">(E2032/1000)*(F2032/1000)*(G2032/1000)*7850</f>
        <v>105.92162</v>
      </c>
      <c r="I2032" s="8" t="n">
        <v>6</v>
      </c>
      <c r="J2032" s="14" t="n">
        <f aca="false">H2032*I2032</f>
        <v>635.52972</v>
      </c>
      <c r="K2032" s="8" t="s">
        <v>2106</v>
      </c>
    </row>
    <row r="2033" customFormat="false" ht="13.8" hidden="false" customHeight="false" outlineLevel="0" collapsed="false">
      <c r="A2033" s="8" t="s">
        <v>2066</v>
      </c>
      <c r="B2033" s="8" t="s">
        <v>42</v>
      </c>
      <c r="C2033" s="8" t="s">
        <v>334</v>
      </c>
      <c r="D2033" s="8" t="s">
        <v>40</v>
      </c>
      <c r="E2033" s="8" t="n">
        <v>1576</v>
      </c>
      <c r="F2033" s="8" t="n">
        <v>618</v>
      </c>
      <c r="G2033" s="8" t="n">
        <v>14</v>
      </c>
      <c r="H2033" s="13" t="n">
        <f aca="false">(E2033/1000)*(F2033/1000)*(G2033/1000)*7850</f>
        <v>107.0390832</v>
      </c>
      <c r="I2033" s="8" t="n">
        <v>4</v>
      </c>
      <c r="J2033" s="14" t="n">
        <f aca="false">H2033*I2033</f>
        <v>428.1563328</v>
      </c>
      <c r="K2033" s="8" t="s">
        <v>2107</v>
      </c>
    </row>
    <row r="2034" customFormat="false" ht="13.8" hidden="false" customHeight="false" outlineLevel="0" collapsed="false">
      <c r="A2034" s="8" t="s">
        <v>2066</v>
      </c>
      <c r="B2034" s="8" t="s">
        <v>42</v>
      </c>
      <c r="C2034" s="8" t="s">
        <v>169</v>
      </c>
      <c r="D2034" s="8" t="s">
        <v>40</v>
      </c>
      <c r="G2034" s="8" t="n">
        <v>24</v>
      </c>
      <c r="H2034" s="13" t="n">
        <f aca="false">M2034*(G2034/1000)*7850</f>
        <v>88.548</v>
      </c>
      <c r="I2034" s="8" t="n">
        <v>6</v>
      </c>
      <c r="J2034" s="14" t="n">
        <f aca="false">H2034*I2034</f>
        <v>531.288</v>
      </c>
      <c r="K2034" s="8" t="s">
        <v>2108</v>
      </c>
      <c r="M2034" s="15" t="n">
        <v>0.47</v>
      </c>
    </row>
    <row r="2035" customFormat="false" ht="13.8" hidden="false" customHeight="false" outlineLevel="0" collapsed="false">
      <c r="A2035" s="8" t="s">
        <v>2066</v>
      </c>
      <c r="B2035" s="8" t="s">
        <v>42</v>
      </c>
      <c r="C2035" s="8" t="s">
        <v>236</v>
      </c>
      <c r="D2035" s="8" t="s">
        <v>40</v>
      </c>
      <c r="G2035" s="8" t="n">
        <v>24</v>
      </c>
      <c r="H2035" s="13" t="n">
        <f aca="false">M2035*(G2035/1000)*7850</f>
        <v>90.432</v>
      </c>
      <c r="I2035" s="8" t="n">
        <v>4</v>
      </c>
      <c r="J2035" s="14" t="n">
        <f aca="false">H2035*I2035</f>
        <v>361.728</v>
      </c>
      <c r="K2035" s="8" t="s">
        <v>2109</v>
      </c>
      <c r="M2035" s="15" t="n">
        <v>0.48</v>
      </c>
    </row>
    <row r="2036" customFormat="false" ht="13.8" hidden="false" customHeight="false" outlineLevel="0" collapsed="false">
      <c r="A2036" s="8" t="s">
        <v>2066</v>
      </c>
      <c r="B2036" s="8" t="s">
        <v>42</v>
      </c>
      <c r="C2036" s="8" t="s">
        <v>172</v>
      </c>
      <c r="D2036" s="8" t="s">
        <v>40</v>
      </c>
      <c r="E2036" s="8" t="n">
        <v>1450</v>
      </c>
      <c r="F2036" s="8" t="n">
        <v>610</v>
      </c>
      <c r="G2036" s="8" t="n">
        <v>14</v>
      </c>
      <c r="H2036" s="13" t="n">
        <f aca="false">(E2036/1000)*(F2036/1000)*(G2036/1000)*7850</f>
        <v>97.20655</v>
      </c>
      <c r="I2036" s="8" t="n">
        <v>6</v>
      </c>
      <c r="J2036" s="14" t="n">
        <f aca="false">H2036*I2036</f>
        <v>583.2393</v>
      </c>
      <c r="K2036" s="8" t="s">
        <v>2110</v>
      </c>
    </row>
    <row r="2037" customFormat="false" ht="13.8" hidden="false" customHeight="false" outlineLevel="0" collapsed="false">
      <c r="A2037" s="8" t="s">
        <v>2066</v>
      </c>
      <c r="B2037" s="8" t="s">
        <v>42</v>
      </c>
      <c r="C2037" s="8" t="s">
        <v>239</v>
      </c>
      <c r="D2037" s="8" t="s">
        <v>40</v>
      </c>
      <c r="E2037" s="8" t="n">
        <v>1450</v>
      </c>
      <c r="F2037" s="8" t="n">
        <v>626</v>
      </c>
      <c r="G2037" s="8" t="n">
        <v>14</v>
      </c>
      <c r="H2037" s="13" t="n">
        <f aca="false">(E2037/1000)*(F2037/1000)*(G2037/1000)*7850</f>
        <v>99.75623</v>
      </c>
      <c r="I2037" s="8" t="n">
        <v>4</v>
      </c>
      <c r="J2037" s="14" t="n">
        <f aca="false">H2037*I2037</f>
        <v>399.02492</v>
      </c>
      <c r="K2037" s="8" t="s">
        <v>2111</v>
      </c>
    </row>
    <row r="2038" customFormat="false" ht="13.8" hidden="false" customHeight="false" outlineLevel="0" collapsed="false">
      <c r="A2038" s="8" t="s">
        <v>2112</v>
      </c>
      <c r="B2038" s="8" t="s">
        <v>38</v>
      </c>
      <c r="C2038" s="8" t="s">
        <v>444</v>
      </c>
      <c r="D2038" s="8" t="s">
        <v>40</v>
      </c>
      <c r="G2038" s="8" t="n">
        <v>20</v>
      </c>
      <c r="H2038" s="13" t="n">
        <f aca="false">M2038*(G2038/1000)*7850</f>
        <v>1860.45</v>
      </c>
      <c r="I2038" s="8" t="n">
        <v>2</v>
      </c>
      <c r="J2038" s="14" t="n">
        <f aca="false">H2038*I2038</f>
        <v>3720.9</v>
      </c>
      <c r="K2038" s="8" t="s">
        <v>2113</v>
      </c>
      <c r="M2038" s="15" t="n">
        <v>11.85</v>
      </c>
    </row>
    <row r="2039" customFormat="false" ht="13.8" hidden="false" customHeight="false" outlineLevel="0" collapsed="false">
      <c r="A2039" s="8" t="s">
        <v>2112</v>
      </c>
      <c r="B2039" s="8" t="s">
        <v>42</v>
      </c>
      <c r="C2039" s="8" t="s">
        <v>243</v>
      </c>
      <c r="D2039" s="8" t="s">
        <v>40</v>
      </c>
      <c r="G2039" s="8" t="n">
        <v>20</v>
      </c>
      <c r="H2039" s="13" t="n">
        <f aca="false">M2039*(G2039/1000)*7850</f>
        <v>1631.23</v>
      </c>
      <c r="I2039" s="8" t="n">
        <v>2</v>
      </c>
      <c r="J2039" s="14" t="n">
        <f aca="false">H2039*I2039</f>
        <v>3262.46</v>
      </c>
      <c r="K2039" s="8" t="s">
        <v>2114</v>
      </c>
      <c r="M2039" s="15" t="n">
        <v>10.39</v>
      </c>
    </row>
    <row r="2040" customFormat="false" ht="13.8" hidden="false" customHeight="false" outlineLevel="0" collapsed="false">
      <c r="A2040" s="8" t="s">
        <v>2112</v>
      </c>
      <c r="B2040" s="8" t="s">
        <v>45</v>
      </c>
      <c r="C2040" s="8" t="s">
        <v>292</v>
      </c>
      <c r="D2040" s="8" t="s">
        <v>289</v>
      </c>
      <c r="E2040" s="8" t="n">
        <v>7900</v>
      </c>
      <c r="F2040" s="8" t="n">
        <v>1200</v>
      </c>
      <c r="G2040" s="8" t="n">
        <v>20</v>
      </c>
      <c r="H2040" s="13" t="n">
        <f aca="false">(E2040/1000)*(F2040/1000)*(G2040/1000)*7850</f>
        <v>1488.36</v>
      </c>
      <c r="I2040" s="8" t="n">
        <v>2</v>
      </c>
      <c r="J2040" s="14" t="n">
        <f aca="false">H2040*I2040</f>
        <v>2976.72</v>
      </c>
      <c r="K2040" s="8" t="s">
        <v>2115</v>
      </c>
    </row>
    <row r="2041" customFormat="false" ht="13.8" hidden="false" customHeight="false" outlineLevel="0" collapsed="false">
      <c r="A2041" s="8" t="s">
        <v>2112</v>
      </c>
      <c r="B2041" s="8" t="s">
        <v>42</v>
      </c>
      <c r="C2041" s="8" t="s">
        <v>185</v>
      </c>
      <c r="D2041" s="8" t="s">
        <v>40</v>
      </c>
      <c r="E2041" s="8" t="n">
        <v>7300</v>
      </c>
      <c r="F2041" s="8" t="n">
        <v>1200</v>
      </c>
      <c r="G2041" s="8" t="n">
        <v>20</v>
      </c>
      <c r="H2041" s="13" t="n">
        <f aca="false">(E2041/1000)*(F2041/1000)*(G2041/1000)*7850</f>
        <v>1375.32</v>
      </c>
      <c r="I2041" s="8" t="n">
        <v>2</v>
      </c>
      <c r="J2041" s="14" t="n">
        <f aca="false">H2041*I2041</f>
        <v>2750.64</v>
      </c>
      <c r="K2041" s="8" t="s">
        <v>2116</v>
      </c>
    </row>
    <row r="2042" customFormat="false" ht="13.8" hidden="false" customHeight="false" outlineLevel="0" collapsed="false">
      <c r="A2042" s="8" t="s">
        <v>2112</v>
      </c>
      <c r="B2042" s="8" t="s">
        <v>187</v>
      </c>
      <c r="C2042" s="8" t="s">
        <v>188</v>
      </c>
      <c r="D2042" s="8" t="s">
        <v>40</v>
      </c>
      <c r="G2042" s="8" t="n">
        <v>40</v>
      </c>
      <c r="H2042" s="13" t="n">
        <f aca="false">M2042*(G2042/1000)*7850</f>
        <v>6044.5</v>
      </c>
      <c r="I2042" s="8" t="n">
        <v>4</v>
      </c>
      <c r="J2042" s="14" t="n">
        <f aca="false">H2042*I2042</f>
        <v>24178</v>
      </c>
      <c r="K2042" s="8" t="s">
        <v>2117</v>
      </c>
      <c r="M2042" s="15" t="n">
        <v>19.25</v>
      </c>
    </row>
    <row r="2043" customFormat="false" ht="13.8" hidden="false" customHeight="false" outlineLevel="0" collapsed="false">
      <c r="A2043" s="8" t="s">
        <v>2112</v>
      </c>
      <c r="B2043" s="8" t="s">
        <v>190</v>
      </c>
      <c r="C2043" s="8" t="s">
        <v>50</v>
      </c>
      <c r="D2043" s="8" t="s">
        <v>40</v>
      </c>
      <c r="E2043" s="8" t="n">
        <v>7300</v>
      </c>
      <c r="F2043" s="8" t="n">
        <v>1648</v>
      </c>
      <c r="G2043" s="8" t="n">
        <v>20</v>
      </c>
      <c r="H2043" s="13" t="n">
        <f aca="false">(E2043/1000)*(F2043/1000)*(G2043/1000)*7850</f>
        <v>1888.7728</v>
      </c>
      <c r="I2043" s="8" t="n">
        <v>4</v>
      </c>
      <c r="J2043" s="14" t="n">
        <f aca="false">H2043*I2043</f>
        <v>7555.0912</v>
      </c>
      <c r="K2043" s="8" t="s">
        <v>2118</v>
      </c>
    </row>
    <row r="2044" customFormat="false" ht="13.8" hidden="false" customHeight="false" outlineLevel="0" collapsed="false">
      <c r="A2044" s="8" t="s">
        <v>2112</v>
      </c>
      <c r="B2044" s="8" t="s">
        <v>195</v>
      </c>
      <c r="C2044" s="8" t="s">
        <v>58</v>
      </c>
      <c r="D2044" s="8" t="s">
        <v>40</v>
      </c>
      <c r="E2044" s="8" t="n">
        <v>1580</v>
      </c>
      <c r="F2044" s="8" t="n">
        <v>1200</v>
      </c>
      <c r="G2044" s="8" t="n">
        <v>16</v>
      </c>
      <c r="H2044" s="13" t="n">
        <f aca="false">(E2044/1000)*(F2044/1000)*(G2044/1000)*7850</f>
        <v>238.1376</v>
      </c>
      <c r="I2044" s="8" t="n">
        <v>6</v>
      </c>
      <c r="J2044" s="14" t="n">
        <f aca="false">H2044*I2044</f>
        <v>1428.8256</v>
      </c>
      <c r="K2044" s="8" t="s">
        <v>2119</v>
      </c>
    </row>
    <row r="2045" customFormat="false" ht="13.8" hidden="false" customHeight="false" outlineLevel="0" collapsed="false">
      <c r="A2045" s="8" t="s">
        <v>2112</v>
      </c>
      <c r="B2045" s="8" t="s">
        <v>42</v>
      </c>
      <c r="C2045" s="8" t="s">
        <v>298</v>
      </c>
      <c r="D2045" s="8" t="s">
        <v>40</v>
      </c>
      <c r="E2045" s="8" t="n">
        <v>1580</v>
      </c>
      <c r="F2045" s="8" t="n">
        <v>1200</v>
      </c>
      <c r="G2045" s="8" t="n">
        <v>16</v>
      </c>
      <c r="H2045" s="13" t="n">
        <f aca="false">(E2045/1000)*(F2045/1000)*(G2045/1000)*7850</f>
        <v>238.1376</v>
      </c>
      <c r="I2045" s="8" t="n">
        <v>4</v>
      </c>
      <c r="J2045" s="14" t="n">
        <f aca="false">H2045*I2045</f>
        <v>952.5504</v>
      </c>
      <c r="K2045" s="8" t="s">
        <v>2119</v>
      </c>
    </row>
    <row r="2046" customFormat="false" ht="13.8" hidden="false" customHeight="false" outlineLevel="0" collapsed="false">
      <c r="A2046" s="8" t="s">
        <v>2112</v>
      </c>
      <c r="B2046" s="8" t="s">
        <v>42</v>
      </c>
      <c r="C2046" s="8" t="s">
        <v>299</v>
      </c>
      <c r="D2046" s="8" t="s">
        <v>40</v>
      </c>
      <c r="E2046" s="8" t="n">
        <v>1657</v>
      </c>
      <c r="F2046" s="8" t="n">
        <v>200</v>
      </c>
      <c r="G2046" s="8" t="n">
        <v>16</v>
      </c>
      <c r="H2046" s="13" t="n">
        <f aca="false">(E2046/1000)*(F2046/1000)*(G2046/1000)*7850</f>
        <v>41.62384</v>
      </c>
      <c r="I2046" s="8" t="n">
        <v>6</v>
      </c>
      <c r="J2046" s="14" t="n">
        <f aca="false">H2046*I2046</f>
        <v>249.74304</v>
      </c>
      <c r="K2046" s="8" t="s">
        <v>2120</v>
      </c>
    </row>
    <row r="2047" customFormat="false" ht="13.8" hidden="false" customHeight="false" outlineLevel="0" collapsed="false">
      <c r="A2047" s="8" t="s">
        <v>2112</v>
      </c>
      <c r="B2047" s="8" t="s">
        <v>42</v>
      </c>
      <c r="C2047" s="8" t="s">
        <v>68</v>
      </c>
      <c r="D2047" s="8" t="s">
        <v>40</v>
      </c>
      <c r="E2047" s="8" t="n">
        <v>600</v>
      </c>
      <c r="F2047" s="8" t="n">
        <v>400</v>
      </c>
      <c r="G2047" s="8" t="n">
        <v>16</v>
      </c>
      <c r="H2047" s="13" t="n">
        <f aca="false">(E2047/1000)*(F2047/1000)*(G2047/1000)*7850</f>
        <v>30.144</v>
      </c>
      <c r="I2047" s="8" t="n">
        <v>8</v>
      </c>
      <c r="J2047" s="14" t="n">
        <f aca="false">H2047*I2047</f>
        <v>241.152</v>
      </c>
      <c r="K2047" s="8" t="s">
        <v>2121</v>
      </c>
    </row>
    <row r="2048" customFormat="false" ht="13.8" hidden="false" customHeight="false" outlineLevel="0" collapsed="false">
      <c r="A2048" s="8" t="s">
        <v>2112</v>
      </c>
      <c r="B2048" s="8" t="s">
        <v>80</v>
      </c>
      <c r="C2048" s="8" t="s">
        <v>199</v>
      </c>
      <c r="D2048" s="8" t="s">
        <v>40</v>
      </c>
      <c r="E2048" s="8" t="n">
        <v>7900</v>
      </c>
      <c r="F2048" s="8" t="n">
        <v>240</v>
      </c>
      <c r="G2048" s="8" t="n">
        <v>20</v>
      </c>
      <c r="H2048" s="13" t="n">
        <f aca="false">(E2048/1000)*(F2048/1000)*(G2048/1000)*7850</f>
        <v>297.672</v>
      </c>
      <c r="I2048" s="8" t="n">
        <v>8</v>
      </c>
      <c r="J2048" s="14" t="n">
        <f aca="false">H2048*I2048</f>
        <v>2381.376</v>
      </c>
      <c r="K2048" s="8" t="s">
        <v>2122</v>
      </c>
    </row>
    <row r="2049" customFormat="false" ht="13.8" hidden="false" customHeight="false" outlineLevel="0" collapsed="false">
      <c r="A2049" s="8" t="s">
        <v>2112</v>
      </c>
      <c r="B2049" s="8" t="s">
        <v>42</v>
      </c>
      <c r="C2049" s="8" t="s">
        <v>2123</v>
      </c>
      <c r="D2049" s="8" t="s">
        <v>40</v>
      </c>
      <c r="E2049" s="8" t="n">
        <v>7300</v>
      </c>
      <c r="F2049" s="8" t="n">
        <v>240</v>
      </c>
      <c r="G2049" s="8" t="n">
        <v>20</v>
      </c>
      <c r="H2049" s="13" t="n">
        <f aca="false">(E2049/1000)*(F2049/1000)*(G2049/1000)*7850</f>
        <v>275.064</v>
      </c>
      <c r="I2049" s="8" t="n">
        <v>4</v>
      </c>
      <c r="J2049" s="14" t="n">
        <f aca="false">H2049*I2049</f>
        <v>1100.256</v>
      </c>
      <c r="K2049" s="8" t="s">
        <v>2124</v>
      </c>
    </row>
    <row r="2050" customFormat="false" ht="13.8" hidden="false" customHeight="false" outlineLevel="0" collapsed="false">
      <c r="A2050" s="8" t="s">
        <v>2112</v>
      </c>
      <c r="B2050" s="8" t="s">
        <v>42</v>
      </c>
      <c r="C2050" s="8" t="s">
        <v>76</v>
      </c>
      <c r="D2050" s="8" t="s">
        <v>40</v>
      </c>
      <c r="E2050" s="8" t="n">
        <v>7300</v>
      </c>
      <c r="F2050" s="8" t="n">
        <v>240</v>
      </c>
      <c r="G2050" s="8" t="n">
        <v>20</v>
      </c>
      <c r="H2050" s="13" t="n">
        <f aca="false">(E2050/1000)*(F2050/1000)*(G2050/1000)*7850</f>
        <v>275.064</v>
      </c>
      <c r="I2050" s="8" t="n">
        <v>12</v>
      </c>
      <c r="J2050" s="14" t="n">
        <f aca="false">H2050*I2050</f>
        <v>3300.768</v>
      </c>
      <c r="K2050" s="8" t="s">
        <v>2124</v>
      </c>
    </row>
    <row r="2051" customFormat="false" ht="13.8" hidden="false" customHeight="false" outlineLevel="0" collapsed="false">
      <c r="A2051" s="8" t="s">
        <v>2112</v>
      </c>
      <c r="B2051" s="8" t="s">
        <v>256</v>
      </c>
      <c r="C2051" s="8" t="s">
        <v>96</v>
      </c>
      <c r="D2051" s="8" t="s">
        <v>40</v>
      </c>
      <c r="E2051" s="8" t="n">
        <v>7900</v>
      </c>
      <c r="F2051" s="8" t="n">
        <v>1850</v>
      </c>
      <c r="G2051" s="8" t="n">
        <v>20</v>
      </c>
      <c r="H2051" s="13" t="n">
        <f aca="false">(E2051/1000)*(F2051/1000)*(G2051/1000)*7850</f>
        <v>2294.555</v>
      </c>
      <c r="I2051" s="8" t="n">
        <v>2</v>
      </c>
      <c r="J2051" s="14" t="n">
        <f aca="false">H2051*I2051</f>
        <v>4589.11</v>
      </c>
      <c r="K2051" s="8" t="s">
        <v>2125</v>
      </c>
    </row>
    <row r="2052" customFormat="false" ht="13.8" hidden="false" customHeight="false" outlineLevel="0" collapsed="false">
      <c r="A2052" s="8" t="s">
        <v>2112</v>
      </c>
      <c r="B2052" s="8" t="s">
        <v>42</v>
      </c>
      <c r="C2052" s="8" t="s">
        <v>203</v>
      </c>
      <c r="D2052" s="8" t="s">
        <v>40</v>
      </c>
      <c r="E2052" s="8" t="n">
        <v>7100</v>
      </c>
      <c r="F2052" s="8" t="n">
        <v>1850</v>
      </c>
      <c r="G2052" s="8" t="n">
        <v>20</v>
      </c>
      <c r="H2052" s="13" t="n">
        <f aca="false">(E2052/1000)*(F2052/1000)*(G2052/1000)*7850</f>
        <v>2062.195</v>
      </c>
      <c r="I2052" s="8" t="n">
        <v>2</v>
      </c>
      <c r="J2052" s="14" t="n">
        <f aca="false">H2052*I2052</f>
        <v>4124.39</v>
      </c>
      <c r="K2052" s="8" t="s">
        <v>2126</v>
      </c>
    </row>
    <row r="2053" customFormat="false" ht="13.8" hidden="false" customHeight="false" outlineLevel="0" collapsed="false">
      <c r="A2053" s="8" t="s">
        <v>2112</v>
      </c>
      <c r="B2053" s="8" t="s">
        <v>260</v>
      </c>
      <c r="C2053" s="8" t="s">
        <v>307</v>
      </c>
      <c r="D2053" s="8" t="s">
        <v>40</v>
      </c>
      <c r="G2053" s="8" t="n">
        <v>20</v>
      </c>
      <c r="H2053" s="13" t="n">
        <f aca="false">M2053*(G2053/1000)*7850</f>
        <v>1967.21</v>
      </c>
      <c r="I2053" s="8" t="n">
        <v>2</v>
      </c>
      <c r="J2053" s="14" t="n">
        <f aca="false">H2053*I2053</f>
        <v>3934.42</v>
      </c>
      <c r="K2053" s="8" t="s">
        <v>2127</v>
      </c>
      <c r="M2053" s="15" t="n">
        <v>12.53</v>
      </c>
    </row>
    <row r="2054" customFormat="false" ht="13.8" hidden="false" customHeight="false" outlineLevel="0" collapsed="false">
      <c r="A2054" s="8" t="s">
        <v>2112</v>
      </c>
      <c r="B2054" s="8" t="s">
        <v>42</v>
      </c>
      <c r="C2054" s="8" t="s">
        <v>206</v>
      </c>
      <c r="D2054" s="8" t="s">
        <v>40</v>
      </c>
      <c r="G2054" s="8" t="n">
        <v>20</v>
      </c>
      <c r="H2054" s="13" t="n">
        <f aca="false">M2054*(G2054/1000)*7850</f>
        <v>1524.47</v>
      </c>
      <c r="I2054" s="8" t="n">
        <v>2</v>
      </c>
      <c r="J2054" s="14" t="n">
        <f aca="false">H2054*I2054</f>
        <v>3048.94</v>
      </c>
      <c r="K2054" s="8" t="s">
        <v>2128</v>
      </c>
      <c r="M2054" s="15" t="n">
        <v>9.71</v>
      </c>
    </row>
    <row r="2055" customFormat="false" ht="13.8" hidden="false" customHeight="false" outlineLevel="0" collapsed="false">
      <c r="A2055" s="8" t="s">
        <v>2112</v>
      </c>
      <c r="B2055" s="8" t="s">
        <v>105</v>
      </c>
      <c r="C2055" s="8" t="s">
        <v>103</v>
      </c>
      <c r="D2055" s="8" t="s">
        <v>40</v>
      </c>
      <c r="G2055" s="8" t="n">
        <v>40</v>
      </c>
      <c r="H2055" s="13" t="n">
        <f aca="false">M2055*(G2055/1000)*7850</f>
        <v>5771.32</v>
      </c>
      <c r="I2055" s="8" t="n">
        <v>4</v>
      </c>
      <c r="J2055" s="14" t="n">
        <f aca="false">H2055*I2055</f>
        <v>23085.28</v>
      </c>
      <c r="K2055" s="8" t="s">
        <v>2129</v>
      </c>
      <c r="M2055" s="15" t="n">
        <v>18.38</v>
      </c>
    </row>
    <row r="2056" customFormat="false" ht="13.8" hidden="false" customHeight="false" outlineLevel="0" collapsed="false">
      <c r="A2056" s="8" t="s">
        <v>2112</v>
      </c>
      <c r="B2056" s="8" t="s">
        <v>102</v>
      </c>
      <c r="C2056" s="8" t="s">
        <v>264</v>
      </c>
      <c r="D2056" s="8" t="s">
        <v>40</v>
      </c>
      <c r="E2056" s="8" t="n">
        <v>7300</v>
      </c>
      <c r="F2056" s="8" t="n">
        <v>1470</v>
      </c>
      <c r="G2056" s="8" t="n">
        <v>24</v>
      </c>
      <c r="H2056" s="13" t="n">
        <f aca="false">(E2056/1000)*(F2056/1000)*(G2056/1000)*7850</f>
        <v>2021.7204</v>
      </c>
      <c r="I2056" s="8" t="n">
        <v>4</v>
      </c>
      <c r="J2056" s="14" t="n">
        <f aca="false">H2056*I2056</f>
        <v>8086.8816</v>
      </c>
      <c r="K2056" s="8" t="s">
        <v>2130</v>
      </c>
    </row>
    <row r="2057" customFormat="false" ht="13.8" hidden="false" customHeight="false" outlineLevel="0" collapsed="false">
      <c r="A2057" s="8" t="s">
        <v>2112</v>
      </c>
      <c r="B2057" s="8" t="s">
        <v>110</v>
      </c>
      <c r="C2057" s="8" t="s">
        <v>108</v>
      </c>
      <c r="D2057" s="8" t="s">
        <v>40</v>
      </c>
      <c r="E2057" s="8" t="n">
        <v>1450</v>
      </c>
      <c r="F2057" s="8" t="n">
        <v>1200</v>
      </c>
      <c r="G2057" s="8" t="n">
        <v>16</v>
      </c>
      <c r="H2057" s="13" t="n">
        <f aca="false">(E2057/1000)*(F2057/1000)*(G2057/1000)*7850</f>
        <v>218.544</v>
      </c>
      <c r="I2057" s="8" t="n">
        <v>6</v>
      </c>
      <c r="J2057" s="14" t="n">
        <f aca="false">H2057*I2057</f>
        <v>1311.264</v>
      </c>
      <c r="K2057" s="8" t="s">
        <v>2131</v>
      </c>
    </row>
    <row r="2058" customFormat="false" ht="13.8" hidden="false" customHeight="false" outlineLevel="0" collapsed="false">
      <c r="A2058" s="8" t="s">
        <v>2112</v>
      </c>
      <c r="B2058" s="8" t="s">
        <v>42</v>
      </c>
      <c r="C2058" s="8" t="s">
        <v>112</v>
      </c>
      <c r="D2058" s="8" t="s">
        <v>40</v>
      </c>
      <c r="E2058" s="8" t="n">
        <v>1450</v>
      </c>
      <c r="F2058" s="8" t="n">
        <v>1200</v>
      </c>
      <c r="G2058" s="8" t="n">
        <v>16</v>
      </c>
      <c r="H2058" s="13" t="n">
        <f aca="false">(E2058/1000)*(F2058/1000)*(G2058/1000)*7850</f>
        <v>218.544</v>
      </c>
      <c r="I2058" s="8" t="n">
        <v>4</v>
      </c>
      <c r="J2058" s="14" t="n">
        <f aca="false">H2058*I2058</f>
        <v>874.176</v>
      </c>
      <c r="K2058" s="8" t="s">
        <v>2131</v>
      </c>
    </row>
    <row r="2059" customFormat="false" ht="13.8" hidden="false" customHeight="false" outlineLevel="0" collapsed="false">
      <c r="A2059" s="8" t="s">
        <v>2112</v>
      </c>
      <c r="B2059" s="8" t="s">
        <v>42</v>
      </c>
      <c r="C2059" s="8" t="s">
        <v>313</v>
      </c>
      <c r="D2059" s="8" t="s">
        <v>40</v>
      </c>
      <c r="E2059" s="8" t="n">
        <v>1657</v>
      </c>
      <c r="F2059" s="8" t="n">
        <v>200</v>
      </c>
      <c r="G2059" s="8" t="n">
        <v>16</v>
      </c>
      <c r="H2059" s="13" t="n">
        <f aca="false">(E2059/1000)*(F2059/1000)*(G2059/1000)*7850</f>
        <v>41.62384</v>
      </c>
      <c r="I2059" s="8" t="n">
        <v>6</v>
      </c>
      <c r="J2059" s="14" t="n">
        <f aca="false">H2059*I2059</f>
        <v>249.74304</v>
      </c>
      <c r="K2059" s="8" t="s">
        <v>2132</v>
      </c>
    </row>
    <row r="2060" customFormat="false" ht="13.8" hidden="false" customHeight="false" outlineLevel="0" collapsed="false">
      <c r="A2060" s="8" t="s">
        <v>2112</v>
      </c>
      <c r="B2060" s="8" t="s">
        <v>314</v>
      </c>
      <c r="C2060" s="8" t="s">
        <v>114</v>
      </c>
      <c r="D2060" s="8" t="s">
        <v>40</v>
      </c>
      <c r="E2060" s="8" t="n">
        <v>7900</v>
      </c>
      <c r="F2060" s="8" t="n">
        <v>240</v>
      </c>
      <c r="G2060" s="8" t="n">
        <v>20</v>
      </c>
      <c r="H2060" s="13" t="n">
        <f aca="false">(E2060/1000)*(F2060/1000)*(G2060/1000)*7850</f>
        <v>297.672</v>
      </c>
      <c r="I2060" s="8" t="n">
        <v>8</v>
      </c>
      <c r="J2060" s="14" t="n">
        <f aca="false">H2060*I2060</f>
        <v>2381.376</v>
      </c>
      <c r="K2060" s="8" t="s">
        <v>2122</v>
      </c>
    </row>
    <row r="2061" customFormat="false" ht="13.8" hidden="false" customHeight="false" outlineLevel="0" collapsed="false">
      <c r="A2061" s="8" t="s">
        <v>2112</v>
      </c>
      <c r="B2061" s="8" t="s">
        <v>42</v>
      </c>
      <c r="C2061" s="8" t="s">
        <v>116</v>
      </c>
      <c r="D2061" s="8" t="s">
        <v>40</v>
      </c>
      <c r="E2061" s="8" t="n">
        <v>7100</v>
      </c>
      <c r="F2061" s="8" t="n">
        <v>240</v>
      </c>
      <c r="G2061" s="8" t="n">
        <v>20</v>
      </c>
      <c r="H2061" s="13" t="n">
        <f aca="false">(E2061/1000)*(F2061/1000)*(G2061/1000)*7850</f>
        <v>267.528</v>
      </c>
      <c r="I2061" s="8" t="n">
        <v>8</v>
      </c>
      <c r="J2061" s="14" t="n">
        <f aca="false">H2061*I2061</f>
        <v>2140.224</v>
      </c>
      <c r="K2061" s="8" t="s">
        <v>2133</v>
      </c>
    </row>
    <row r="2062" customFormat="false" ht="13.8" hidden="false" customHeight="false" outlineLevel="0" collapsed="false">
      <c r="A2062" s="8" t="s">
        <v>2112</v>
      </c>
      <c r="B2062" s="8" t="s">
        <v>42</v>
      </c>
      <c r="C2062" s="8" t="s">
        <v>118</v>
      </c>
      <c r="D2062" s="8" t="s">
        <v>40</v>
      </c>
      <c r="E2062" s="8" t="n">
        <v>15000</v>
      </c>
      <c r="F2062" s="8" t="n">
        <v>170</v>
      </c>
      <c r="G2062" s="8" t="n">
        <v>14</v>
      </c>
      <c r="H2062" s="13" t="n">
        <f aca="false">(E2062/1000)*(F2062/1000)*(G2062/1000)*7850</f>
        <v>280.245</v>
      </c>
      <c r="I2062" s="8" t="n">
        <v>2</v>
      </c>
      <c r="J2062" s="14" t="n">
        <f aca="false">H2062*I2062</f>
        <v>560.49</v>
      </c>
      <c r="K2062" s="8" t="s">
        <v>2134</v>
      </c>
    </row>
    <row r="2063" customFormat="false" ht="13.8" hidden="false" customHeight="false" outlineLevel="0" collapsed="false">
      <c r="A2063" s="8" t="s">
        <v>2112</v>
      </c>
      <c r="B2063" s="8" t="s">
        <v>272</v>
      </c>
      <c r="C2063" s="8" t="s">
        <v>125</v>
      </c>
      <c r="D2063" s="8" t="s">
        <v>40</v>
      </c>
      <c r="E2063" s="8" t="n">
        <v>7227</v>
      </c>
      <c r="F2063" s="8" t="n">
        <v>900</v>
      </c>
      <c r="G2063" s="8" t="n">
        <v>36</v>
      </c>
      <c r="H2063" s="13" t="n">
        <f aca="false">(E2063/1000)*(F2063/1000)*(G2063/1000)*7850</f>
        <v>1838.11518</v>
      </c>
      <c r="I2063" s="8" t="n">
        <v>4</v>
      </c>
      <c r="J2063" s="14" t="n">
        <f aca="false">H2063*I2063</f>
        <v>7352.46072</v>
      </c>
      <c r="K2063" s="8" t="s">
        <v>2135</v>
      </c>
    </row>
    <row r="2064" customFormat="false" ht="13.8" hidden="false" customHeight="false" outlineLevel="0" collapsed="false">
      <c r="A2064" s="8" t="s">
        <v>2112</v>
      </c>
      <c r="B2064" s="8" t="s">
        <v>42</v>
      </c>
      <c r="C2064" s="8" t="s">
        <v>128</v>
      </c>
      <c r="D2064" s="8" t="s">
        <v>40</v>
      </c>
      <c r="E2064" s="8" t="n">
        <v>12027</v>
      </c>
      <c r="F2064" s="8" t="n">
        <v>1200</v>
      </c>
      <c r="G2064" s="8" t="n">
        <v>32</v>
      </c>
      <c r="H2064" s="13" t="n">
        <f aca="false">(E2064/1000)*(F2064/1000)*(G2064/1000)*7850</f>
        <v>3625.41888</v>
      </c>
      <c r="I2064" s="8" t="n">
        <v>2</v>
      </c>
      <c r="J2064" s="14" t="n">
        <f aca="false">H2064*I2064</f>
        <v>7250.83776</v>
      </c>
      <c r="K2064" s="8" t="s">
        <v>2136</v>
      </c>
    </row>
    <row r="2065" customFormat="false" ht="13.8" hidden="false" customHeight="false" outlineLevel="0" collapsed="false">
      <c r="A2065" s="8" t="s">
        <v>2112</v>
      </c>
      <c r="B2065" s="8" t="s">
        <v>42</v>
      </c>
      <c r="C2065" s="8" t="s">
        <v>130</v>
      </c>
      <c r="D2065" s="8" t="s">
        <v>40</v>
      </c>
      <c r="E2065" s="8" t="n">
        <v>10627</v>
      </c>
      <c r="F2065" s="8" t="n">
        <v>240</v>
      </c>
      <c r="G2065" s="8" t="n">
        <v>24</v>
      </c>
      <c r="H2065" s="13" t="n">
        <f aca="false">(E2065/1000)*(F2065/1000)*(G2065/1000)*7850</f>
        <v>480.510432</v>
      </c>
      <c r="I2065" s="8" t="n">
        <v>4</v>
      </c>
      <c r="J2065" s="14" t="n">
        <f aca="false">H2065*I2065</f>
        <v>1922.041728</v>
      </c>
      <c r="K2065" s="8" t="s">
        <v>2137</v>
      </c>
    </row>
    <row r="2066" customFormat="false" ht="13.8" hidden="false" customHeight="false" outlineLevel="0" collapsed="false">
      <c r="A2066" s="8" t="s">
        <v>2112</v>
      </c>
      <c r="B2066" s="8" t="s">
        <v>42</v>
      </c>
      <c r="C2066" s="8" t="s">
        <v>137</v>
      </c>
      <c r="D2066" s="8" t="s">
        <v>40</v>
      </c>
      <c r="E2066" s="8" t="n">
        <v>3657</v>
      </c>
      <c r="F2066" s="8" t="n">
        <v>900</v>
      </c>
      <c r="G2066" s="8" t="n">
        <v>36</v>
      </c>
      <c r="H2066" s="13" t="n">
        <f aca="false">(E2066/1000)*(F2066/1000)*(G2066/1000)*7850</f>
        <v>930.12138</v>
      </c>
      <c r="I2066" s="8" t="n">
        <v>4</v>
      </c>
      <c r="J2066" s="14" t="n">
        <f aca="false">H2066*I2066</f>
        <v>3720.48552</v>
      </c>
      <c r="K2066" s="8" t="s">
        <v>2138</v>
      </c>
    </row>
    <row r="2067" customFormat="false" ht="13.8" hidden="false" customHeight="false" outlineLevel="0" collapsed="false">
      <c r="A2067" s="8" t="s">
        <v>2112</v>
      </c>
      <c r="B2067" s="8" t="s">
        <v>42</v>
      </c>
      <c r="C2067" s="8" t="s">
        <v>141</v>
      </c>
      <c r="D2067" s="8" t="s">
        <v>40</v>
      </c>
      <c r="E2067" s="8" t="n">
        <v>5957</v>
      </c>
      <c r="F2067" s="8" t="n">
        <v>1200</v>
      </c>
      <c r="G2067" s="8" t="n">
        <v>32</v>
      </c>
      <c r="H2067" s="13" t="n">
        <f aca="false">(E2067/1000)*(F2067/1000)*(G2067/1000)*7850</f>
        <v>1795.67808</v>
      </c>
      <c r="I2067" s="8" t="n">
        <v>2</v>
      </c>
      <c r="J2067" s="14" t="n">
        <f aca="false">H2067*I2067</f>
        <v>3591.35616</v>
      </c>
      <c r="K2067" s="8" t="s">
        <v>2139</v>
      </c>
    </row>
    <row r="2068" customFormat="false" ht="13.8" hidden="false" customHeight="false" outlineLevel="0" collapsed="false">
      <c r="A2068" s="8" t="s">
        <v>2112</v>
      </c>
      <c r="B2068" s="8" t="s">
        <v>42</v>
      </c>
      <c r="C2068" s="8" t="s">
        <v>143</v>
      </c>
      <c r="D2068" s="8" t="s">
        <v>40</v>
      </c>
      <c r="E2068" s="8" t="n">
        <v>5257</v>
      </c>
      <c r="F2068" s="8" t="n">
        <v>240</v>
      </c>
      <c r="G2068" s="8" t="n">
        <v>24</v>
      </c>
      <c r="H2068" s="13" t="n">
        <f aca="false">(E2068/1000)*(F2068/1000)*(G2068/1000)*7850</f>
        <v>237.700512</v>
      </c>
      <c r="I2068" s="8" t="n">
        <v>4</v>
      </c>
      <c r="J2068" s="14" t="n">
        <f aca="false">H2068*I2068</f>
        <v>950.802048</v>
      </c>
      <c r="K2068" s="8" t="s">
        <v>2140</v>
      </c>
    </row>
    <row r="2069" customFormat="false" ht="13.8" hidden="false" customHeight="false" outlineLevel="0" collapsed="false">
      <c r="A2069" s="8" t="s">
        <v>2112</v>
      </c>
      <c r="B2069" s="8" t="s">
        <v>42</v>
      </c>
      <c r="C2069" s="8" t="s">
        <v>150</v>
      </c>
      <c r="D2069" s="8" t="s">
        <v>40</v>
      </c>
      <c r="E2069" s="8" t="n">
        <v>3640</v>
      </c>
      <c r="F2069" s="8" t="n">
        <v>900</v>
      </c>
      <c r="G2069" s="8" t="n">
        <v>36</v>
      </c>
      <c r="H2069" s="13" t="n">
        <f aca="false">(E2069/1000)*(F2069/1000)*(G2069/1000)*7850</f>
        <v>925.7976</v>
      </c>
      <c r="I2069" s="8" t="n">
        <v>4</v>
      </c>
      <c r="J2069" s="14" t="n">
        <f aca="false">H2069*I2069</f>
        <v>3703.1904</v>
      </c>
      <c r="K2069" s="8" t="s">
        <v>2141</v>
      </c>
    </row>
    <row r="2070" customFormat="false" ht="13.8" hidden="false" customHeight="false" outlineLevel="0" collapsed="false">
      <c r="A2070" s="8" t="s">
        <v>2112</v>
      </c>
      <c r="B2070" s="8" t="s">
        <v>42</v>
      </c>
      <c r="C2070" s="8" t="s">
        <v>155</v>
      </c>
      <c r="D2070" s="8" t="s">
        <v>40</v>
      </c>
      <c r="E2070" s="8" t="n">
        <v>6240</v>
      </c>
      <c r="F2070" s="8" t="n">
        <v>1200</v>
      </c>
      <c r="G2070" s="8" t="n">
        <v>32</v>
      </c>
      <c r="H2070" s="13" t="n">
        <f aca="false">(E2070/1000)*(F2070/1000)*(G2070/1000)*7850</f>
        <v>1880.9856</v>
      </c>
      <c r="I2070" s="8" t="n">
        <v>2</v>
      </c>
      <c r="J2070" s="14" t="n">
        <f aca="false">H2070*I2070</f>
        <v>3761.9712</v>
      </c>
      <c r="K2070" s="8" t="s">
        <v>2142</v>
      </c>
    </row>
    <row r="2071" customFormat="false" ht="13.8" hidden="false" customHeight="false" outlineLevel="0" collapsed="false">
      <c r="A2071" s="8" t="s">
        <v>2112</v>
      </c>
      <c r="B2071" s="8" t="s">
        <v>42</v>
      </c>
      <c r="C2071" s="8" t="s">
        <v>160</v>
      </c>
      <c r="D2071" s="8" t="s">
        <v>40</v>
      </c>
      <c r="E2071" s="8" t="n">
        <v>5540</v>
      </c>
      <c r="F2071" s="8" t="n">
        <v>240</v>
      </c>
      <c r="G2071" s="8" t="n">
        <v>24</v>
      </c>
      <c r="H2071" s="13" t="n">
        <f aca="false">(E2071/1000)*(F2071/1000)*(G2071/1000)*7850</f>
        <v>250.49664</v>
      </c>
      <c r="I2071" s="8" t="n">
        <v>4</v>
      </c>
      <c r="J2071" s="14" t="n">
        <f aca="false">H2071*I2071</f>
        <v>1001.98656</v>
      </c>
      <c r="K2071" s="8" t="s">
        <v>2143</v>
      </c>
    </row>
    <row r="2072" customFormat="false" ht="13.8" hidden="false" customHeight="false" outlineLevel="0" collapsed="false">
      <c r="A2072" s="8" t="s">
        <v>2112</v>
      </c>
      <c r="B2072" s="8" t="s">
        <v>171</v>
      </c>
      <c r="C2072" s="8" t="s">
        <v>158</v>
      </c>
      <c r="D2072" s="8" t="s">
        <v>40</v>
      </c>
      <c r="E2072" s="8" t="n">
        <v>878</v>
      </c>
      <c r="F2072" s="8" t="n">
        <v>1200</v>
      </c>
      <c r="G2072" s="8" t="n">
        <v>20</v>
      </c>
      <c r="H2072" s="13" t="n">
        <f aca="false">(E2072/1000)*(F2072/1000)*(G2072/1000)*7850</f>
        <v>165.4152</v>
      </c>
      <c r="I2072" s="8" t="n">
        <v>2</v>
      </c>
      <c r="J2072" s="14" t="n">
        <f aca="false">H2072*I2072</f>
        <v>330.8304</v>
      </c>
      <c r="K2072" s="8" t="s">
        <v>2144</v>
      </c>
    </row>
    <row r="2073" customFormat="false" ht="13.8" hidden="false" customHeight="false" outlineLevel="0" collapsed="false">
      <c r="A2073" s="8" t="s">
        <v>2112</v>
      </c>
      <c r="B2073" s="8" t="s">
        <v>42</v>
      </c>
      <c r="C2073" s="8" t="s">
        <v>386</v>
      </c>
      <c r="D2073" s="8" t="s">
        <v>40</v>
      </c>
      <c r="E2073" s="8" t="n">
        <v>1030</v>
      </c>
      <c r="F2073" s="8" t="n">
        <v>1200</v>
      </c>
      <c r="G2073" s="8" t="n">
        <v>20</v>
      </c>
      <c r="H2073" s="13" t="n">
        <f aca="false">(E2073/1000)*(F2073/1000)*(G2073/1000)*7850</f>
        <v>194.052</v>
      </c>
      <c r="I2073" s="8" t="n">
        <v>2</v>
      </c>
      <c r="J2073" s="14" t="n">
        <f aca="false">H2073*I2073</f>
        <v>388.104</v>
      </c>
      <c r="K2073" s="8" t="s">
        <v>2145</v>
      </c>
    </row>
    <row r="2074" customFormat="false" ht="13.8" hidden="false" customHeight="false" outlineLevel="0" collapsed="false">
      <c r="A2074" s="8" t="s">
        <v>2112</v>
      </c>
      <c r="B2074" s="8" t="s">
        <v>64</v>
      </c>
      <c r="C2074" s="8" t="s">
        <v>167</v>
      </c>
      <c r="D2074" s="8" t="s">
        <v>40</v>
      </c>
      <c r="E2074" s="8" t="n">
        <v>1580</v>
      </c>
      <c r="F2074" s="8" t="n">
        <v>610</v>
      </c>
      <c r="G2074" s="8" t="n">
        <v>14</v>
      </c>
      <c r="H2074" s="13" t="n">
        <f aca="false">(E2074/1000)*(F2074/1000)*(G2074/1000)*7850</f>
        <v>105.92162</v>
      </c>
      <c r="I2074" s="8" t="n">
        <v>6</v>
      </c>
      <c r="J2074" s="14" t="n">
        <f aca="false">H2074*I2074</f>
        <v>635.52972</v>
      </c>
      <c r="K2074" s="8" t="s">
        <v>2146</v>
      </c>
    </row>
    <row r="2075" customFormat="false" ht="13.8" hidden="false" customHeight="false" outlineLevel="0" collapsed="false">
      <c r="A2075" s="8" t="s">
        <v>2112</v>
      </c>
      <c r="B2075" s="8" t="s">
        <v>42</v>
      </c>
      <c r="C2075" s="8" t="s">
        <v>334</v>
      </c>
      <c r="D2075" s="8" t="s">
        <v>40</v>
      </c>
      <c r="E2075" s="8" t="n">
        <v>1580</v>
      </c>
      <c r="F2075" s="8" t="n">
        <v>630</v>
      </c>
      <c r="G2075" s="8" t="n">
        <v>14</v>
      </c>
      <c r="H2075" s="13" t="n">
        <f aca="false">(E2075/1000)*(F2075/1000)*(G2075/1000)*7850</f>
        <v>109.39446</v>
      </c>
      <c r="I2075" s="8" t="n">
        <v>4</v>
      </c>
      <c r="J2075" s="14" t="n">
        <f aca="false">H2075*I2075</f>
        <v>437.57784</v>
      </c>
      <c r="K2075" s="8" t="s">
        <v>2147</v>
      </c>
    </row>
    <row r="2076" customFormat="false" ht="13.8" hidden="false" customHeight="false" outlineLevel="0" collapsed="false">
      <c r="A2076" s="8" t="s">
        <v>2112</v>
      </c>
      <c r="B2076" s="8" t="s">
        <v>42</v>
      </c>
      <c r="C2076" s="8" t="s">
        <v>169</v>
      </c>
      <c r="D2076" s="8" t="s">
        <v>40</v>
      </c>
      <c r="G2076" s="8" t="n">
        <v>24</v>
      </c>
      <c r="H2076" s="13" t="n">
        <f aca="false">M2076*(G2076/1000)*7850</f>
        <v>88.548</v>
      </c>
      <c r="I2076" s="8" t="n">
        <v>6</v>
      </c>
      <c r="J2076" s="14" t="n">
        <f aca="false">H2076*I2076</f>
        <v>531.288</v>
      </c>
      <c r="K2076" s="8" t="s">
        <v>2148</v>
      </c>
      <c r="M2076" s="15" t="n">
        <v>0.47</v>
      </c>
    </row>
    <row r="2077" customFormat="false" ht="13.8" hidden="false" customHeight="false" outlineLevel="0" collapsed="false">
      <c r="A2077" s="8" t="s">
        <v>2112</v>
      </c>
      <c r="B2077" s="8" t="s">
        <v>42</v>
      </c>
      <c r="C2077" s="8" t="s">
        <v>684</v>
      </c>
      <c r="D2077" s="8" t="s">
        <v>40</v>
      </c>
      <c r="G2077" s="8" t="n">
        <v>24</v>
      </c>
      <c r="H2077" s="13" t="n">
        <f aca="false">M2077*(G2077/1000)*7850</f>
        <v>90.432</v>
      </c>
      <c r="I2077" s="8" t="n">
        <v>4</v>
      </c>
      <c r="J2077" s="14" t="n">
        <f aca="false">H2077*I2077</f>
        <v>361.728</v>
      </c>
      <c r="K2077" s="8" t="s">
        <v>2149</v>
      </c>
      <c r="M2077" s="15" t="n">
        <v>0.48</v>
      </c>
    </row>
    <row r="2078" customFormat="false" ht="13.8" hidden="false" customHeight="false" outlineLevel="0" collapsed="false">
      <c r="A2078" s="8" t="s">
        <v>2112</v>
      </c>
      <c r="B2078" s="8" t="s">
        <v>42</v>
      </c>
      <c r="C2078" s="8" t="s">
        <v>172</v>
      </c>
      <c r="D2078" s="8" t="s">
        <v>40</v>
      </c>
      <c r="E2078" s="8" t="n">
        <v>1450</v>
      </c>
      <c r="F2078" s="8" t="n">
        <v>610</v>
      </c>
      <c r="G2078" s="8" t="n">
        <v>14</v>
      </c>
      <c r="H2078" s="13" t="n">
        <f aca="false">(E2078/1000)*(F2078/1000)*(G2078/1000)*7850</f>
        <v>97.20655</v>
      </c>
      <c r="I2078" s="8" t="n">
        <v>6</v>
      </c>
      <c r="J2078" s="14" t="n">
        <f aca="false">H2078*I2078</f>
        <v>583.2393</v>
      </c>
      <c r="K2078" s="8" t="s">
        <v>2150</v>
      </c>
    </row>
    <row r="2079" customFormat="false" ht="13.8" hidden="false" customHeight="false" outlineLevel="0" collapsed="false">
      <c r="A2079" s="8" t="s">
        <v>2112</v>
      </c>
      <c r="B2079" s="8" t="s">
        <v>42</v>
      </c>
      <c r="C2079" s="8" t="s">
        <v>687</v>
      </c>
      <c r="D2079" s="8" t="s">
        <v>40</v>
      </c>
      <c r="E2079" s="8" t="n">
        <v>1450</v>
      </c>
      <c r="F2079" s="8" t="n">
        <v>626</v>
      </c>
      <c r="G2079" s="8" t="n">
        <v>14</v>
      </c>
      <c r="H2079" s="13" t="n">
        <f aca="false">(E2079/1000)*(F2079/1000)*(G2079/1000)*7850</f>
        <v>99.75623</v>
      </c>
      <c r="I2079" s="8" t="n">
        <v>4</v>
      </c>
      <c r="J2079" s="14" t="n">
        <f aca="false">H2079*I2079</f>
        <v>399.02492</v>
      </c>
      <c r="K2079" s="8" t="s">
        <v>2151</v>
      </c>
    </row>
    <row r="2080" customFormat="false" ht="13.8" hidden="false" customHeight="false" outlineLevel="0" collapsed="false">
      <c r="A2080" s="8" t="s">
        <v>2152</v>
      </c>
      <c r="B2080" s="8" t="s">
        <v>38</v>
      </c>
      <c r="C2080" s="8" t="s">
        <v>179</v>
      </c>
      <c r="D2080" s="8" t="s">
        <v>40</v>
      </c>
      <c r="G2080" s="8" t="n">
        <v>20</v>
      </c>
      <c r="H2080" s="13" t="n">
        <f aca="false">M2080*(G2080/1000)*7850</f>
        <v>1860.45</v>
      </c>
      <c r="I2080" s="8" t="n">
        <v>2</v>
      </c>
      <c r="J2080" s="14" t="n">
        <f aca="false">H2080*I2080</f>
        <v>3720.9</v>
      </c>
      <c r="K2080" s="8" t="s">
        <v>2153</v>
      </c>
      <c r="M2080" s="15" t="n">
        <v>11.85</v>
      </c>
    </row>
    <row r="2081" customFormat="false" ht="13.8" hidden="false" customHeight="false" outlineLevel="0" collapsed="false">
      <c r="A2081" s="8" t="s">
        <v>2152</v>
      </c>
      <c r="B2081" s="8" t="s">
        <v>42</v>
      </c>
      <c r="C2081" s="8" t="s">
        <v>243</v>
      </c>
      <c r="D2081" s="8" t="s">
        <v>40</v>
      </c>
      <c r="G2081" s="8" t="n">
        <v>20</v>
      </c>
      <c r="H2081" s="13" t="n">
        <f aca="false">M2081*(G2081/1000)*7850</f>
        <v>2009.6</v>
      </c>
      <c r="I2081" s="8" t="n">
        <v>2</v>
      </c>
      <c r="J2081" s="14" t="n">
        <f aca="false">H2081*I2081</f>
        <v>4019.2</v>
      </c>
      <c r="K2081" s="8" t="s">
        <v>2154</v>
      </c>
      <c r="M2081" s="15" t="n">
        <v>12.8</v>
      </c>
    </row>
    <row r="2082" customFormat="false" ht="13.8" hidden="false" customHeight="false" outlineLevel="0" collapsed="false">
      <c r="A2082" s="8" t="s">
        <v>2152</v>
      </c>
      <c r="B2082" s="8" t="s">
        <v>45</v>
      </c>
      <c r="C2082" s="8" t="s">
        <v>292</v>
      </c>
      <c r="D2082" s="8" t="s">
        <v>40</v>
      </c>
      <c r="E2082" s="8" t="n">
        <v>7900</v>
      </c>
      <c r="F2082" s="8" t="n">
        <v>1200</v>
      </c>
      <c r="G2082" s="8" t="n">
        <v>20</v>
      </c>
      <c r="H2082" s="13" t="n">
        <f aca="false">(E2082/1000)*(F2082/1000)*(G2082/1000)*7850</f>
        <v>1488.36</v>
      </c>
      <c r="I2082" s="8" t="n">
        <v>2</v>
      </c>
      <c r="J2082" s="14" t="n">
        <f aca="false">H2082*I2082</f>
        <v>2976.72</v>
      </c>
      <c r="K2082" s="8" t="s">
        <v>2155</v>
      </c>
    </row>
    <row r="2083" customFormat="false" ht="13.8" hidden="false" customHeight="false" outlineLevel="0" collapsed="false">
      <c r="A2083" s="8" t="s">
        <v>2152</v>
      </c>
      <c r="B2083" s="8" t="s">
        <v>42</v>
      </c>
      <c r="C2083" s="8" t="s">
        <v>345</v>
      </c>
      <c r="D2083" s="8" t="s">
        <v>40</v>
      </c>
      <c r="E2083" s="8" t="n">
        <v>8800</v>
      </c>
      <c r="F2083" s="8" t="n">
        <v>1200</v>
      </c>
      <c r="G2083" s="8" t="n">
        <v>20</v>
      </c>
      <c r="H2083" s="13" t="n">
        <f aca="false">(E2083/1000)*(F2083/1000)*(G2083/1000)*7850</f>
        <v>1657.92</v>
      </c>
      <c r="I2083" s="8" t="n">
        <v>2</v>
      </c>
      <c r="J2083" s="14" t="n">
        <f aca="false">H2083*I2083</f>
        <v>3315.84</v>
      </c>
      <c r="K2083" s="8" t="s">
        <v>2156</v>
      </c>
    </row>
    <row r="2084" customFormat="false" ht="13.8" hidden="false" customHeight="false" outlineLevel="0" collapsed="false">
      <c r="A2084" s="8" t="s">
        <v>2152</v>
      </c>
      <c r="B2084" s="8" t="s">
        <v>187</v>
      </c>
      <c r="C2084" s="8" t="s">
        <v>188</v>
      </c>
      <c r="D2084" s="8" t="s">
        <v>40</v>
      </c>
      <c r="G2084" s="8" t="n">
        <v>40</v>
      </c>
      <c r="H2084" s="13" t="n">
        <f aca="false">M2084*(G2084/1000)*7850</f>
        <v>6031.94</v>
      </c>
      <c r="I2084" s="8" t="n">
        <v>4</v>
      </c>
      <c r="J2084" s="14" t="n">
        <f aca="false">H2084*I2084</f>
        <v>24127.76</v>
      </c>
      <c r="K2084" s="8" t="s">
        <v>2157</v>
      </c>
      <c r="M2084" s="15" t="n">
        <v>19.21</v>
      </c>
    </row>
    <row r="2085" customFormat="false" ht="13.8" hidden="false" customHeight="false" outlineLevel="0" collapsed="false">
      <c r="A2085" s="8" t="s">
        <v>2152</v>
      </c>
      <c r="B2085" s="8" t="s">
        <v>190</v>
      </c>
      <c r="C2085" s="8" t="s">
        <v>191</v>
      </c>
      <c r="D2085" s="8" t="s">
        <v>40</v>
      </c>
      <c r="E2085" s="8" t="n">
        <v>8800</v>
      </c>
      <c r="F2085" s="8" t="n">
        <v>1648</v>
      </c>
      <c r="G2085" s="8" t="n">
        <v>20</v>
      </c>
      <c r="H2085" s="13" t="n">
        <f aca="false">(E2085/1000)*(F2085/1000)*(G2085/1000)*7850</f>
        <v>2276.8768</v>
      </c>
      <c r="I2085" s="8" t="n">
        <v>4</v>
      </c>
      <c r="J2085" s="14" t="n">
        <f aca="false">H2085*I2085</f>
        <v>9107.5072</v>
      </c>
      <c r="K2085" s="8" t="s">
        <v>2158</v>
      </c>
    </row>
    <row r="2086" customFormat="false" ht="13.8" hidden="false" customHeight="false" outlineLevel="0" collapsed="false">
      <c r="A2086" s="8" t="s">
        <v>2152</v>
      </c>
      <c r="B2086" s="8" t="s">
        <v>195</v>
      </c>
      <c r="C2086" s="8" t="s">
        <v>58</v>
      </c>
      <c r="D2086" s="8" t="s">
        <v>40</v>
      </c>
      <c r="E2086" s="8" t="n">
        <v>1580</v>
      </c>
      <c r="F2086" s="8" t="n">
        <v>1200</v>
      </c>
      <c r="G2086" s="8" t="n">
        <v>16</v>
      </c>
      <c r="H2086" s="13" t="n">
        <f aca="false">(E2086/1000)*(F2086/1000)*(G2086/1000)*7850</f>
        <v>238.1376</v>
      </c>
      <c r="I2086" s="8" t="n">
        <v>6</v>
      </c>
      <c r="J2086" s="14" t="n">
        <f aca="false">H2086*I2086</f>
        <v>1428.8256</v>
      </c>
      <c r="K2086" s="8" t="s">
        <v>2159</v>
      </c>
    </row>
    <row r="2087" customFormat="false" ht="13.8" hidden="false" customHeight="false" outlineLevel="0" collapsed="false">
      <c r="A2087" s="8" t="s">
        <v>2152</v>
      </c>
      <c r="B2087" s="8" t="s">
        <v>42</v>
      </c>
      <c r="C2087" s="8" t="s">
        <v>194</v>
      </c>
      <c r="D2087" s="8" t="s">
        <v>40</v>
      </c>
      <c r="E2087" s="8" t="n">
        <v>1580</v>
      </c>
      <c r="F2087" s="8" t="n">
        <v>1200</v>
      </c>
      <c r="G2087" s="8" t="n">
        <v>16</v>
      </c>
      <c r="H2087" s="13" t="n">
        <f aca="false">(E2087/1000)*(F2087/1000)*(G2087/1000)*7850</f>
        <v>238.1376</v>
      </c>
      <c r="I2087" s="8" t="n">
        <v>4</v>
      </c>
      <c r="J2087" s="14" t="n">
        <f aca="false">H2087*I2087</f>
        <v>952.5504</v>
      </c>
      <c r="K2087" s="8" t="s">
        <v>2159</v>
      </c>
    </row>
    <row r="2088" customFormat="false" ht="13.8" hidden="false" customHeight="false" outlineLevel="0" collapsed="false">
      <c r="A2088" s="8" t="s">
        <v>2152</v>
      </c>
      <c r="B2088" s="8" t="s">
        <v>42</v>
      </c>
      <c r="C2088" s="8" t="s">
        <v>196</v>
      </c>
      <c r="D2088" s="8" t="s">
        <v>40</v>
      </c>
      <c r="E2088" s="8" t="n">
        <v>1657</v>
      </c>
      <c r="F2088" s="8" t="n">
        <v>200</v>
      </c>
      <c r="G2088" s="8" t="n">
        <v>16</v>
      </c>
      <c r="H2088" s="13" t="n">
        <f aca="false">(E2088/1000)*(F2088/1000)*(G2088/1000)*7850</f>
        <v>41.62384</v>
      </c>
      <c r="I2088" s="8" t="n">
        <v>6</v>
      </c>
      <c r="J2088" s="14" t="n">
        <f aca="false">H2088*I2088</f>
        <v>249.74304</v>
      </c>
      <c r="K2088" s="8" t="s">
        <v>2160</v>
      </c>
    </row>
    <row r="2089" customFormat="false" ht="13.8" hidden="false" customHeight="false" outlineLevel="0" collapsed="false">
      <c r="A2089" s="8" t="s">
        <v>2152</v>
      </c>
      <c r="B2089" s="8" t="s">
        <v>42</v>
      </c>
      <c r="C2089" s="8" t="s">
        <v>68</v>
      </c>
      <c r="D2089" s="8" t="s">
        <v>40</v>
      </c>
      <c r="E2089" s="8" t="n">
        <v>600</v>
      </c>
      <c r="F2089" s="8" t="n">
        <v>400</v>
      </c>
      <c r="G2089" s="8" t="n">
        <v>16</v>
      </c>
      <c r="H2089" s="13" t="n">
        <f aca="false">(E2089/1000)*(F2089/1000)*(G2089/1000)*7850</f>
        <v>30.144</v>
      </c>
      <c r="I2089" s="8" t="n">
        <v>8</v>
      </c>
      <c r="J2089" s="14" t="n">
        <f aca="false">H2089*I2089</f>
        <v>241.152</v>
      </c>
      <c r="K2089" s="8" t="s">
        <v>2161</v>
      </c>
    </row>
    <row r="2090" customFormat="false" ht="13.8" hidden="false" customHeight="false" outlineLevel="0" collapsed="false">
      <c r="A2090" s="8" t="s">
        <v>2152</v>
      </c>
      <c r="B2090" s="8" t="s">
        <v>80</v>
      </c>
      <c r="C2090" s="8" t="s">
        <v>72</v>
      </c>
      <c r="D2090" s="8" t="s">
        <v>40</v>
      </c>
      <c r="E2090" s="8" t="n">
        <v>7900</v>
      </c>
      <c r="F2090" s="8" t="n">
        <v>240</v>
      </c>
      <c r="G2090" s="8" t="n">
        <v>20</v>
      </c>
      <c r="H2090" s="13" t="n">
        <f aca="false">(E2090/1000)*(F2090/1000)*(G2090/1000)*7850</f>
        <v>297.672</v>
      </c>
      <c r="I2090" s="8" t="n">
        <v>12</v>
      </c>
      <c r="J2090" s="14" t="n">
        <f aca="false">H2090*I2090</f>
        <v>3572.064</v>
      </c>
      <c r="K2090" s="8" t="s">
        <v>2162</v>
      </c>
    </row>
    <row r="2091" customFormat="false" ht="13.8" hidden="false" customHeight="false" outlineLevel="0" collapsed="false">
      <c r="A2091" s="8" t="s">
        <v>2152</v>
      </c>
      <c r="B2091" s="8" t="s">
        <v>42</v>
      </c>
      <c r="C2091" s="8" t="s">
        <v>76</v>
      </c>
      <c r="D2091" s="8" t="s">
        <v>40</v>
      </c>
      <c r="E2091" s="8" t="n">
        <v>8800</v>
      </c>
      <c r="F2091" s="8" t="n">
        <v>240</v>
      </c>
      <c r="G2091" s="8" t="n">
        <v>20</v>
      </c>
      <c r="H2091" s="13" t="n">
        <f aca="false">(E2091/1000)*(F2091/1000)*(G2091/1000)*7850</f>
        <v>331.584</v>
      </c>
      <c r="I2091" s="8" t="n">
        <v>12</v>
      </c>
      <c r="J2091" s="14" t="n">
        <f aca="false">H2091*I2091</f>
        <v>3979.008</v>
      </c>
      <c r="K2091" s="8" t="s">
        <v>2163</v>
      </c>
    </row>
    <row r="2092" customFormat="false" ht="13.8" hidden="false" customHeight="false" outlineLevel="0" collapsed="false">
      <c r="A2092" s="8" t="s">
        <v>2152</v>
      </c>
      <c r="B2092" s="8" t="s">
        <v>256</v>
      </c>
      <c r="C2092" s="8" t="s">
        <v>257</v>
      </c>
      <c r="D2092" s="8" t="s">
        <v>40</v>
      </c>
      <c r="E2092" s="8" t="n">
        <v>7900</v>
      </c>
      <c r="F2092" s="8" t="n">
        <v>1850</v>
      </c>
      <c r="G2092" s="8" t="n">
        <v>20</v>
      </c>
      <c r="H2092" s="13" t="n">
        <f aca="false">(E2092/1000)*(F2092/1000)*(G2092/1000)*7850</f>
        <v>2294.555</v>
      </c>
      <c r="I2092" s="8" t="n">
        <v>2</v>
      </c>
      <c r="J2092" s="14" t="n">
        <f aca="false">H2092*I2092</f>
        <v>4589.11</v>
      </c>
      <c r="K2092" s="8" t="s">
        <v>2164</v>
      </c>
    </row>
    <row r="2093" customFormat="false" ht="13.8" hidden="false" customHeight="false" outlineLevel="0" collapsed="false">
      <c r="A2093" s="8" t="s">
        <v>2152</v>
      </c>
      <c r="B2093" s="8" t="s">
        <v>42</v>
      </c>
      <c r="C2093" s="8" t="s">
        <v>305</v>
      </c>
      <c r="D2093" s="8" t="s">
        <v>40</v>
      </c>
      <c r="E2093" s="8" t="n">
        <v>10100</v>
      </c>
      <c r="F2093" s="8" t="n">
        <v>1850</v>
      </c>
      <c r="G2093" s="8" t="n">
        <v>20</v>
      </c>
      <c r="H2093" s="13" t="n">
        <f aca="false">(E2093/1000)*(F2093/1000)*(G2093/1000)*7850</f>
        <v>2933.545</v>
      </c>
      <c r="I2093" s="8" t="n">
        <v>2</v>
      </c>
      <c r="J2093" s="14" t="n">
        <f aca="false">H2093*I2093</f>
        <v>5867.09</v>
      </c>
      <c r="K2093" s="8" t="s">
        <v>2165</v>
      </c>
    </row>
    <row r="2094" customFormat="false" ht="13.8" hidden="false" customHeight="false" outlineLevel="0" collapsed="false">
      <c r="A2094" s="8" t="s">
        <v>2152</v>
      </c>
      <c r="B2094" s="8" t="s">
        <v>260</v>
      </c>
      <c r="C2094" s="8" t="s">
        <v>307</v>
      </c>
      <c r="D2094" s="8" t="s">
        <v>40</v>
      </c>
      <c r="G2094" s="8" t="n">
        <v>20</v>
      </c>
      <c r="H2094" s="13" t="n">
        <f aca="false">M2094*(G2094/1000)*7850</f>
        <v>1967.21</v>
      </c>
      <c r="I2094" s="8" t="n">
        <v>2</v>
      </c>
      <c r="J2094" s="14" t="n">
        <f aca="false">H2094*I2094</f>
        <v>3934.42</v>
      </c>
      <c r="K2094" s="8" t="s">
        <v>2166</v>
      </c>
      <c r="M2094" s="15" t="n">
        <v>12.53</v>
      </c>
    </row>
    <row r="2095" customFormat="false" ht="13.8" hidden="false" customHeight="false" outlineLevel="0" collapsed="false">
      <c r="A2095" s="8" t="s">
        <v>2152</v>
      </c>
      <c r="B2095" s="8" t="s">
        <v>42</v>
      </c>
      <c r="C2095" s="8" t="s">
        <v>206</v>
      </c>
      <c r="D2095" s="8" t="s">
        <v>40</v>
      </c>
      <c r="G2095" s="8" t="n">
        <v>20</v>
      </c>
      <c r="H2095" s="13" t="n">
        <f aca="false">M2095*(G2095/1000)*7850</f>
        <v>2223.12</v>
      </c>
      <c r="I2095" s="8" t="n">
        <v>2</v>
      </c>
      <c r="J2095" s="14" t="n">
        <f aca="false">H2095*I2095</f>
        <v>4446.24</v>
      </c>
      <c r="K2095" s="8" t="s">
        <v>2167</v>
      </c>
      <c r="M2095" s="15" t="n">
        <v>14.16</v>
      </c>
    </row>
    <row r="2096" customFormat="false" ht="13.8" hidden="false" customHeight="false" outlineLevel="0" collapsed="false">
      <c r="A2096" s="8" t="s">
        <v>2152</v>
      </c>
      <c r="B2096" s="8" t="s">
        <v>105</v>
      </c>
      <c r="C2096" s="8" t="s">
        <v>103</v>
      </c>
      <c r="D2096" s="8" t="s">
        <v>40</v>
      </c>
      <c r="G2096" s="8" t="n">
        <v>40</v>
      </c>
      <c r="H2096" s="13" t="n">
        <f aca="false">M2096*(G2096/1000)*7850</f>
        <v>5771.32</v>
      </c>
      <c r="I2096" s="8" t="n">
        <v>4</v>
      </c>
      <c r="J2096" s="14" t="n">
        <f aca="false">H2096*I2096</f>
        <v>23085.28</v>
      </c>
      <c r="K2096" s="8" t="s">
        <v>2168</v>
      </c>
      <c r="M2096" s="15" t="n">
        <v>18.38</v>
      </c>
    </row>
    <row r="2097" customFormat="false" ht="13.8" hidden="false" customHeight="false" outlineLevel="0" collapsed="false">
      <c r="A2097" s="8" t="s">
        <v>2152</v>
      </c>
      <c r="B2097" s="8" t="s">
        <v>102</v>
      </c>
      <c r="C2097" s="8" t="s">
        <v>264</v>
      </c>
      <c r="D2097" s="8" t="s">
        <v>40</v>
      </c>
      <c r="E2097" s="8" t="n">
        <v>10300</v>
      </c>
      <c r="F2097" s="8" t="n">
        <v>1470</v>
      </c>
      <c r="G2097" s="8" t="n">
        <v>24</v>
      </c>
      <c r="H2097" s="13" t="n">
        <f aca="false">(E2097/1000)*(F2097/1000)*(G2097/1000)*7850</f>
        <v>2852.5644</v>
      </c>
      <c r="I2097" s="8" t="n">
        <v>4</v>
      </c>
      <c r="J2097" s="14" t="n">
        <f aca="false">H2097*I2097</f>
        <v>11410.2576</v>
      </c>
      <c r="K2097" s="8" t="s">
        <v>2169</v>
      </c>
    </row>
    <row r="2098" customFormat="false" ht="13.8" hidden="false" customHeight="false" outlineLevel="0" collapsed="false">
      <c r="A2098" s="8" t="s">
        <v>2152</v>
      </c>
      <c r="B2098" s="8" t="s">
        <v>110</v>
      </c>
      <c r="C2098" s="8" t="s">
        <v>108</v>
      </c>
      <c r="D2098" s="8" t="s">
        <v>40</v>
      </c>
      <c r="E2098" s="8" t="n">
        <v>1450</v>
      </c>
      <c r="F2098" s="8" t="n">
        <v>1200</v>
      </c>
      <c r="G2098" s="8" t="n">
        <v>16</v>
      </c>
      <c r="H2098" s="13" t="n">
        <f aca="false">(E2098/1000)*(F2098/1000)*(G2098/1000)*7850</f>
        <v>218.544</v>
      </c>
      <c r="I2098" s="8" t="n">
        <v>6</v>
      </c>
      <c r="J2098" s="14" t="n">
        <f aca="false">H2098*I2098</f>
        <v>1311.264</v>
      </c>
      <c r="K2098" s="8" t="s">
        <v>2170</v>
      </c>
    </row>
    <row r="2099" customFormat="false" ht="13.8" hidden="false" customHeight="false" outlineLevel="0" collapsed="false">
      <c r="A2099" s="8" t="s">
        <v>2152</v>
      </c>
      <c r="B2099" s="8" t="s">
        <v>42</v>
      </c>
      <c r="C2099" s="8" t="s">
        <v>267</v>
      </c>
      <c r="D2099" s="8" t="s">
        <v>40</v>
      </c>
      <c r="E2099" s="8" t="n">
        <v>1450</v>
      </c>
      <c r="F2099" s="8" t="n">
        <v>1200</v>
      </c>
      <c r="G2099" s="8" t="n">
        <v>16</v>
      </c>
      <c r="H2099" s="13" t="n">
        <f aca="false">(E2099/1000)*(F2099/1000)*(G2099/1000)*7850</f>
        <v>218.544</v>
      </c>
      <c r="I2099" s="8" t="n">
        <v>4</v>
      </c>
      <c r="J2099" s="14" t="n">
        <f aca="false">H2099*I2099</f>
        <v>874.176</v>
      </c>
      <c r="K2099" s="8" t="s">
        <v>2170</v>
      </c>
    </row>
    <row r="2100" customFormat="false" ht="13.8" hidden="false" customHeight="false" outlineLevel="0" collapsed="false">
      <c r="A2100" s="8" t="s">
        <v>2152</v>
      </c>
      <c r="B2100" s="8" t="s">
        <v>42</v>
      </c>
      <c r="C2100" s="8" t="s">
        <v>313</v>
      </c>
      <c r="D2100" s="8" t="s">
        <v>40</v>
      </c>
      <c r="E2100" s="8" t="n">
        <v>1657</v>
      </c>
      <c r="F2100" s="8" t="n">
        <v>200</v>
      </c>
      <c r="G2100" s="8" t="n">
        <v>16</v>
      </c>
      <c r="H2100" s="13" t="n">
        <f aca="false">(E2100/1000)*(F2100/1000)*(G2100/1000)*7850</f>
        <v>41.62384</v>
      </c>
      <c r="I2100" s="8" t="n">
        <v>6</v>
      </c>
      <c r="J2100" s="14" t="n">
        <f aca="false">H2100*I2100</f>
        <v>249.74304</v>
      </c>
      <c r="K2100" s="8" t="s">
        <v>2171</v>
      </c>
    </row>
    <row r="2101" customFormat="false" ht="13.8" hidden="false" customHeight="false" outlineLevel="0" collapsed="false">
      <c r="A2101" s="8" t="s">
        <v>2152</v>
      </c>
      <c r="B2101" s="8" t="s">
        <v>314</v>
      </c>
      <c r="C2101" s="8" t="s">
        <v>666</v>
      </c>
      <c r="D2101" s="8" t="s">
        <v>40</v>
      </c>
      <c r="E2101" s="8" t="n">
        <v>7900</v>
      </c>
      <c r="F2101" s="8" t="n">
        <v>240</v>
      </c>
      <c r="G2101" s="8" t="n">
        <v>20</v>
      </c>
      <c r="H2101" s="13" t="n">
        <f aca="false">(E2101/1000)*(F2101/1000)*(G2101/1000)*7850</f>
        <v>297.672</v>
      </c>
      <c r="I2101" s="8" t="n">
        <v>8</v>
      </c>
      <c r="J2101" s="14" t="n">
        <f aca="false">H2101*I2101</f>
        <v>2381.376</v>
      </c>
      <c r="K2101" s="8" t="s">
        <v>2162</v>
      </c>
    </row>
    <row r="2102" customFormat="false" ht="13.8" hidden="false" customHeight="false" outlineLevel="0" collapsed="false">
      <c r="A2102" s="8" t="s">
        <v>2152</v>
      </c>
      <c r="B2102" s="8" t="s">
        <v>42</v>
      </c>
      <c r="C2102" s="8" t="s">
        <v>116</v>
      </c>
      <c r="D2102" s="8" t="s">
        <v>40</v>
      </c>
      <c r="E2102" s="8" t="n">
        <v>10100</v>
      </c>
      <c r="F2102" s="8" t="n">
        <v>240</v>
      </c>
      <c r="G2102" s="8" t="n">
        <v>20</v>
      </c>
      <c r="H2102" s="13" t="n">
        <f aca="false">(E2102/1000)*(F2102/1000)*(G2102/1000)*7850</f>
        <v>380.568</v>
      </c>
      <c r="I2102" s="8" t="n">
        <v>8</v>
      </c>
      <c r="J2102" s="14" t="n">
        <f aca="false">H2102*I2102</f>
        <v>3044.544</v>
      </c>
      <c r="K2102" s="8" t="s">
        <v>2172</v>
      </c>
    </row>
    <row r="2103" customFormat="false" ht="13.8" hidden="false" customHeight="false" outlineLevel="0" collapsed="false">
      <c r="A2103" s="8" t="s">
        <v>2152</v>
      </c>
      <c r="B2103" s="8" t="s">
        <v>42</v>
      </c>
      <c r="C2103" s="8" t="s">
        <v>118</v>
      </c>
      <c r="D2103" s="8" t="s">
        <v>40</v>
      </c>
      <c r="E2103" s="8" t="n">
        <v>18000</v>
      </c>
      <c r="F2103" s="8" t="n">
        <v>170</v>
      </c>
      <c r="G2103" s="8" t="n">
        <v>14</v>
      </c>
      <c r="H2103" s="13" t="n">
        <f aca="false">(E2103/1000)*(F2103/1000)*(G2103/1000)*7850</f>
        <v>336.294</v>
      </c>
      <c r="I2103" s="8" t="n">
        <v>2</v>
      </c>
      <c r="J2103" s="14" t="n">
        <f aca="false">H2103*I2103</f>
        <v>672.588</v>
      </c>
      <c r="K2103" s="8" t="s">
        <v>2173</v>
      </c>
    </row>
    <row r="2104" customFormat="false" ht="13.8" hidden="false" customHeight="false" outlineLevel="0" collapsed="false">
      <c r="A2104" s="8" t="s">
        <v>2152</v>
      </c>
      <c r="B2104" s="8" t="s">
        <v>272</v>
      </c>
      <c r="C2104" s="8" t="s">
        <v>125</v>
      </c>
      <c r="D2104" s="8" t="s">
        <v>40</v>
      </c>
      <c r="E2104" s="8" t="n">
        <v>8075</v>
      </c>
      <c r="F2104" s="8" t="n">
        <v>900</v>
      </c>
      <c r="G2104" s="8" t="n">
        <v>36</v>
      </c>
      <c r="H2104" s="13" t="n">
        <f aca="false">(E2104/1000)*(F2104/1000)*(G2104/1000)*7850</f>
        <v>2053.7955</v>
      </c>
      <c r="I2104" s="8" t="n">
        <v>4</v>
      </c>
      <c r="J2104" s="14" t="n">
        <f aca="false">H2104*I2104</f>
        <v>8215.182</v>
      </c>
      <c r="K2104" s="8" t="s">
        <v>2174</v>
      </c>
    </row>
    <row r="2105" customFormat="false" ht="13.8" hidden="false" customHeight="false" outlineLevel="0" collapsed="false">
      <c r="A2105" s="8" t="s">
        <v>2152</v>
      </c>
      <c r="B2105" s="8" t="s">
        <v>42</v>
      </c>
      <c r="C2105" s="8" t="s">
        <v>128</v>
      </c>
      <c r="D2105" s="8" t="s">
        <v>40</v>
      </c>
      <c r="E2105" s="8" t="n">
        <v>12975</v>
      </c>
      <c r="F2105" s="8" t="n">
        <v>1200</v>
      </c>
      <c r="G2105" s="8" t="n">
        <v>32</v>
      </c>
      <c r="H2105" s="13" t="n">
        <f aca="false">(E2105/1000)*(F2105/1000)*(G2105/1000)*7850</f>
        <v>3911.184</v>
      </c>
      <c r="I2105" s="8" t="n">
        <v>2</v>
      </c>
      <c r="J2105" s="14" t="n">
        <f aca="false">H2105*I2105</f>
        <v>7822.368</v>
      </c>
      <c r="K2105" s="8" t="s">
        <v>2175</v>
      </c>
    </row>
    <row r="2106" customFormat="false" ht="13.8" hidden="false" customHeight="false" outlineLevel="0" collapsed="false">
      <c r="A2106" s="8" t="s">
        <v>2152</v>
      </c>
      <c r="B2106" s="8" t="s">
        <v>42</v>
      </c>
      <c r="C2106" s="8" t="s">
        <v>130</v>
      </c>
      <c r="D2106" s="8" t="s">
        <v>40</v>
      </c>
      <c r="E2106" s="8" t="n">
        <v>11575</v>
      </c>
      <c r="F2106" s="8" t="n">
        <v>240</v>
      </c>
      <c r="G2106" s="8" t="n">
        <v>24</v>
      </c>
      <c r="H2106" s="13" t="n">
        <f aca="false">(E2106/1000)*(F2106/1000)*(G2106/1000)*7850</f>
        <v>523.3752</v>
      </c>
      <c r="I2106" s="8" t="n">
        <v>4</v>
      </c>
      <c r="J2106" s="14" t="n">
        <f aca="false">H2106*I2106</f>
        <v>2093.5008</v>
      </c>
      <c r="K2106" s="8" t="s">
        <v>2176</v>
      </c>
    </row>
    <row r="2107" customFormat="false" ht="13.8" hidden="false" customHeight="false" outlineLevel="0" collapsed="false">
      <c r="A2107" s="8" t="s">
        <v>2152</v>
      </c>
      <c r="B2107" s="8" t="s">
        <v>42</v>
      </c>
      <c r="C2107" s="8" t="s">
        <v>137</v>
      </c>
      <c r="D2107" s="8" t="s">
        <v>40</v>
      </c>
      <c r="E2107" s="8" t="n">
        <v>4054</v>
      </c>
      <c r="F2107" s="8" t="n">
        <v>900</v>
      </c>
      <c r="G2107" s="8" t="n">
        <v>36</v>
      </c>
      <c r="H2107" s="13" t="n">
        <f aca="false">(E2107/1000)*(F2107/1000)*(G2107/1000)*7850</f>
        <v>1031.09436</v>
      </c>
      <c r="I2107" s="8" t="n">
        <v>4</v>
      </c>
      <c r="J2107" s="14" t="n">
        <f aca="false">H2107*I2107</f>
        <v>4124.37744</v>
      </c>
      <c r="K2107" s="8" t="s">
        <v>2177</v>
      </c>
    </row>
    <row r="2108" customFormat="false" ht="13.8" hidden="false" customHeight="false" outlineLevel="0" collapsed="false">
      <c r="A2108" s="8" t="s">
        <v>2152</v>
      </c>
      <c r="B2108" s="8" t="s">
        <v>42</v>
      </c>
      <c r="C2108" s="8" t="s">
        <v>141</v>
      </c>
      <c r="D2108" s="8" t="s">
        <v>40</v>
      </c>
      <c r="E2108" s="8" t="n">
        <v>6404</v>
      </c>
      <c r="F2108" s="8" t="n">
        <v>1200</v>
      </c>
      <c r="G2108" s="8" t="n">
        <v>32</v>
      </c>
      <c r="H2108" s="13" t="n">
        <f aca="false">(E2108/1000)*(F2108/1000)*(G2108/1000)*7850</f>
        <v>1930.42176</v>
      </c>
      <c r="I2108" s="8" t="n">
        <v>2</v>
      </c>
      <c r="J2108" s="14" t="n">
        <f aca="false">H2108*I2108</f>
        <v>3860.84352</v>
      </c>
      <c r="K2108" s="8" t="s">
        <v>2178</v>
      </c>
    </row>
    <row r="2109" customFormat="false" ht="13.8" hidden="false" customHeight="false" outlineLevel="0" collapsed="false">
      <c r="A2109" s="8" t="s">
        <v>2152</v>
      </c>
      <c r="B2109" s="8" t="s">
        <v>42</v>
      </c>
      <c r="C2109" s="8" t="s">
        <v>143</v>
      </c>
      <c r="D2109" s="8" t="s">
        <v>40</v>
      </c>
      <c r="E2109" s="8" t="n">
        <v>5704</v>
      </c>
      <c r="F2109" s="8" t="n">
        <v>240</v>
      </c>
      <c r="G2109" s="8" t="n">
        <v>24</v>
      </c>
      <c r="H2109" s="13" t="n">
        <f aca="false">(E2109/1000)*(F2109/1000)*(G2109/1000)*7850</f>
        <v>257.912064</v>
      </c>
      <c r="I2109" s="8" t="n">
        <v>4</v>
      </c>
      <c r="J2109" s="14" t="n">
        <f aca="false">H2109*I2109</f>
        <v>1031.648256</v>
      </c>
      <c r="K2109" s="8" t="s">
        <v>2179</v>
      </c>
    </row>
    <row r="2110" customFormat="false" ht="13.8" hidden="false" customHeight="false" outlineLevel="0" collapsed="false">
      <c r="A2110" s="8" t="s">
        <v>2152</v>
      </c>
      <c r="B2110" s="8" t="s">
        <v>42</v>
      </c>
      <c r="C2110" s="8" t="s">
        <v>221</v>
      </c>
      <c r="D2110" s="8" t="s">
        <v>40</v>
      </c>
      <c r="E2110" s="8" t="n">
        <v>3657</v>
      </c>
      <c r="F2110" s="8" t="n">
        <v>900</v>
      </c>
      <c r="G2110" s="8" t="n">
        <v>36</v>
      </c>
      <c r="H2110" s="13" t="n">
        <f aca="false">(E2110/1000)*(F2110/1000)*(G2110/1000)*7850</f>
        <v>930.12138</v>
      </c>
      <c r="I2110" s="8" t="n">
        <v>4</v>
      </c>
      <c r="J2110" s="14" t="n">
        <f aca="false">H2110*I2110</f>
        <v>3720.48552</v>
      </c>
      <c r="K2110" s="8" t="s">
        <v>2180</v>
      </c>
    </row>
    <row r="2111" customFormat="false" ht="13.8" hidden="false" customHeight="false" outlineLevel="0" collapsed="false">
      <c r="A2111" s="8" t="s">
        <v>2152</v>
      </c>
      <c r="B2111" s="8" t="s">
        <v>42</v>
      </c>
      <c r="C2111" s="8" t="s">
        <v>155</v>
      </c>
      <c r="D2111" s="8" t="s">
        <v>40</v>
      </c>
      <c r="E2111" s="8" t="n">
        <v>6257</v>
      </c>
      <c r="F2111" s="8" t="n">
        <v>1200</v>
      </c>
      <c r="G2111" s="8" t="n">
        <v>32</v>
      </c>
      <c r="H2111" s="13" t="n">
        <f aca="false">(E2111/1000)*(F2111/1000)*(G2111/1000)*7850</f>
        <v>1886.11008</v>
      </c>
      <c r="I2111" s="8" t="n">
        <v>2</v>
      </c>
      <c r="J2111" s="14" t="n">
        <f aca="false">H2111*I2111</f>
        <v>3772.22016</v>
      </c>
      <c r="K2111" s="8" t="s">
        <v>2181</v>
      </c>
    </row>
    <row r="2112" customFormat="false" ht="13.8" hidden="false" customHeight="false" outlineLevel="0" collapsed="false">
      <c r="A2112" s="8" t="s">
        <v>2152</v>
      </c>
      <c r="B2112" s="8" t="s">
        <v>42</v>
      </c>
      <c r="C2112" s="8" t="s">
        <v>160</v>
      </c>
      <c r="D2112" s="8" t="s">
        <v>40</v>
      </c>
      <c r="E2112" s="8" t="n">
        <v>5557</v>
      </c>
      <c r="F2112" s="8" t="n">
        <v>240</v>
      </c>
      <c r="G2112" s="8" t="n">
        <v>24</v>
      </c>
      <c r="H2112" s="13" t="n">
        <f aca="false">(E2112/1000)*(F2112/1000)*(G2112/1000)*7850</f>
        <v>251.265312</v>
      </c>
      <c r="I2112" s="8" t="n">
        <v>4</v>
      </c>
      <c r="J2112" s="14" t="n">
        <f aca="false">H2112*I2112</f>
        <v>1005.061248</v>
      </c>
      <c r="K2112" s="8" t="s">
        <v>2182</v>
      </c>
    </row>
    <row r="2113" customFormat="false" ht="13.8" hidden="false" customHeight="false" outlineLevel="0" collapsed="false">
      <c r="A2113" s="8" t="s">
        <v>2152</v>
      </c>
      <c r="B2113" s="8" t="s">
        <v>171</v>
      </c>
      <c r="C2113" s="8" t="s">
        <v>158</v>
      </c>
      <c r="D2113" s="8" t="s">
        <v>40</v>
      </c>
      <c r="E2113" s="8" t="n">
        <v>904</v>
      </c>
      <c r="F2113" s="8" t="n">
        <v>1200</v>
      </c>
      <c r="G2113" s="8" t="n">
        <v>20</v>
      </c>
      <c r="H2113" s="13" t="n">
        <f aca="false">(E2113/1000)*(F2113/1000)*(G2113/1000)*7850</f>
        <v>170.3136</v>
      </c>
      <c r="I2113" s="8" t="n">
        <v>2</v>
      </c>
      <c r="J2113" s="14" t="n">
        <f aca="false">H2113*I2113</f>
        <v>340.6272</v>
      </c>
      <c r="K2113" s="8" t="s">
        <v>2183</v>
      </c>
    </row>
    <row r="2114" customFormat="false" ht="13.8" hidden="false" customHeight="false" outlineLevel="0" collapsed="false">
      <c r="A2114" s="8" t="s">
        <v>2152</v>
      </c>
      <c r="B2114" s="8" t="s">
        <v>42</v>
      </c>
      <c r="C2114" s="8" t="s">
        <v>386</v>
      </c>
      <c r="D2114" s="8" t="s">
        <v>40</v>
      </c>
      <c r="E2114" s="8" t="n">
        <v>1114</v>
      </c>
      <c r="F2114" s="8" t="n">
        <v>1200</v>
      </c>
      <c r="G2114" s="8" t="n">
        <v>20</v>
      </c>
      <c r="H2114" s="13" t="n">
        <f aca="false">(E2114/1000)*(F2114/1000)*(G2114/1000)*7850</f>
        <v>209.8776</v>
      </c>
      <c r="I2114" s="8" t="n">
        <v>2</v>
      </c>
      <c r="J2114" s="14" t="n">
        <f aca="false">H2114*I2114</f>
        <v>419.7552</v>
      </c>
      <c r="K2114" s="8" t="s">
        <v>2184</v>
      </c>
    </row>
    <row r="2115" customFormat="false" ht="13.8" hidden="false" customHeight="false" outlineLevel="0" collapsed="false">
      <c r="A2115" s="8" t="s">
        <v>2152</v>
      </c>
      <c r="B2115" s="8" t="s">
        <v>64</v>
      </c>
      <c r="C2115" s="8" t="s">
        <v>167</v>
      </c>
      <c r="D2115" s="8" t="s">
        <v>40</v>
      </c>
      <c r="E2115" s="8" t="n">
        <v>1580</v>
      </c>
      <c r="F2115" s="8" t="n">
        <v>610</v>
      </c>
      <c r="G2115" s="8" t="n">
        <v>14</v>
      </c>
      <c r="H2115" s="13" t="n">
        <f aca="false">(E2115/1000)*(F2115/1000)*(G2115/1000)*7850</f>
        <v>105.92162</v>
      </c>
      <c r="I2115" s="8" t="n">
        <v>6</v>
      </c>
      <c r="J2115" s="14" t="n">
        <f aca="false">H2115*I2115</f>
        <v>635.52972</v>
      </c>
      <c r="K2115" s="8" t="s">
        <v>2185</v>
      </c>
    </row>
    <row r="2116" customFormat="false" ht="13.8" hidden="false" customHeight="false" outlineLevel="0" collapsed="false">
      <c r="A2116" s="8" t="s">
        <v>2152</v>
      </c>
      <c r="B2116" s="8" t="s">
        <v>42</v>
      </c>
      <c r="C2116" s="8" t="s">
        <v>334</v>
      </c>
      <c r="D2116" s="8" t="s">
        <v>40</v>
      </c>
      <c r="E2116" s="8" t="n">
        <v>1580</v>
      </c>
      <c r="F2116" s="8" t="n">
        <v>630</v>
      </c>
      <c r="G2116" s="8" t="n">
        <v>14</v>
      </c>
      <c r="H2116" s="13" t="n">
        <f aca="false">(E2116/1000)*(F2116/1000)*(G2116/1000)*7850</f>
        <v>109.39446</v>
      </c>
      <c r="I2116" s="8" t="n">
        <v>6</v>
      </c>
      <c r="J2116" s="14" t="n">
        <f aca="false">H2116*I2116</f>
        <v>656.36676</v>
      </c>
      <c r="K2116" s="8" t="s">
        <v>2186</v>
      </c>
    </row>
    <row r="2117" customFormat="false" ht="13.8" hidden="false" customHeight="false" outlineLevel="0" collapsed="false">
      <c r="A2117" s="8" t="s">
        <v>2152</v>
      </c>
      <c r="B2117" s="8" t="s">
        <v>42</v>
      </c>
      <c r="C2117" s="8" t="s">
        <v>169</v>
      </c>
      <c r="D2117" s="8" t="s">
        <v>40</v>
      </c>
      <c r="G2117" s="8" t="n">
        <v>24</v>
      </c>
      <c r="H2117" s="13" t="n">
        <f aca="false">M2117*(G2117/1000)*7850</f>
        <v>88.548</v>
      </c>
      <c r="I2117" s="8" t="n">
        <v>6</v>
      </c>
      <c r="J2117" s="14" t="n">
        <f aca="false">H2117*I2117</f>
        <v>531.288</v>
      </c>
      <c r="K2117" s="8" t="s">
        <v>2187</v>
      </c>
      <c r="M2117" s="15" t="n">
        <v>0.47</v>
      </c>
    </row>
    <row r="2118" customFormat="false" ht="13.8" hidden="false" customHeight="false" outlineLevel="0" collapsed="false">
      <c r="A2118" s="8" t="s">
        <v>2152</v>
      </c>
      <c r="B2118" s="8" t="s">
        <v>42</v>
      </c>
      <c r="C2118" s="8" t="s">
        <v>236</v>
      </c>
      <c r="D2118" s="8" t="s">
        <v>40</v>
      </c>
      <c r="G2118" s="8" t="n">
        <v>24</v>
      </c>
      <c r="H2118" s="13" t="n">
        <f aca="false">M2118*(G2118/1000)*7850</f>
        <v>90.432</v>
      </c>
      <c r="I2118" s="8" t="n">
        <v>6</v>
      </c>
      <c r="J2118" s="14" t="n">
        <f aca="false">H2118*I2118</f>
        <v>542.592</v>
      </c>
      <c r="K2118" s="8" t="s">
        <v>2188</v>
      </c>
      <c r="M2118" s="15" t="n">
        <v>0.48</v>
      </c>
    </row>
    <row r="2119" customFormat="false" ht="13.8" hidden="false" customHeight="false" outlineLevel="0" collapsed="false">
      <c r="A2119" s="8" t="s">
        <v>2152</v>
      </c>
      <c r="B2119" s="8" t="s">
        <v>42</v>
      </c>
      <c r="C2119" s="8" t="s">
        <v>172</v>
      </c>
      <c r="D2119" s="8" t="s">
        <v>40</v>
      </c>
      <c r="E2119" s="8" t="n">
        <v>1450</v>
      </c>
      <c r="F2119" s="8" t="n">
        <v>610</v>
      </c>
      <c r="G2119" s="8" t="n">
        <v>14</v>
      </c>
      <c r="H2119" s="13" t="n">
        <f aca="false">(E2119/1000)*(F2119/1000)*(G2119/1000)*7850</f>
        <v>97.20655</v>
      </c>
      <c r="I2119" s="8" t="n">
        <v>6</v>
      </c>
      <c r="J2119" s="14" t="n">
        <f aca="false">H2119*I2119</f>
        <v>583.2393</v>
      </c>
      <c r="K2119" s="8" t="s">
        <v>2189</v>
      </c>
    </row>
    <row r="2120" customFormat="false" ht="13.8" hidden="false" customHeight="false" outlineLevel="0" collapsed="false">
      <c r="A2120" s="8" t="s">
        <v>2152</v>
      </c>
      <c r="B2120" s="8" t="s">
        <v>42</v>
      </c>
      <c r="C2120" s="8" t="s">
        <v>687</v>
      </c>
      <c r="D2120" s="8" t="s">
        <v>40</v>
      </c>
      <c r="E2120" s="8" t="n">
        <v>1450</v>
      </c>
      <c r="F2120" s="8" t="n">
        <v>626</v>
      </c>
      <c r="G2120" s="8" t="n">
        <v>14</v>
      </c>
      <c r="H2120" s="13" t="n">
        <f aca="false">(E2120/1000)*(F2120/1000)*(G2120/1000)*7850</f>
        <v>99.75623</v>
      </c>
      <c r="I2120" s="8" t="n">
        <v>6</v>
      </c>
      <c r="J2120" s="14" t="n">
        <f aca="false">H2120*I2120</f>
        <v>598.53738</v>
      </c>
      <c r="K2120" s="8" t="s">
        <v>2190</v>
      </c>
    </row>
    <row r="2121" customFormat="false" ht="13.8" hidden="false" customHeight="false" outlineLevel="0" collapsed="false">
      <c r="A2121" s="8" t="s">
        <v>2191</v>
      </c>
      <c r="B2121" s="8" t="s">
        <v>38</v>
      </c>
      <c r="C2121" s="8" t="s">
        <v>39</v>
      </c>
      <c r="D2121" s="8" t="s">
        <v>40</v>
      </c>
      <c r="G2121" s="8" t="n">
        <v>20</v>
      </c>
      <c r="H2121" s="13" t="n">
        <f aca="false">M2121*(G2121/1000)*7850</f>
        <v>5559.37</v>
      </c>
      <c r="I2121" s="8" t="n">
        <v>2</v>
      </c>
      <c r="J2121" s="14" t="n">
        <f aca="false">H2121*I2121</f>
        <v>11118.74</v>
      </c>
      <c r="K2121" s="8" t="s">
        <v>2192</v>
      </c>
      <c r="M2121" s="15" t="n">
        <v>35.41</v>
      </c>
    </row>
    <row r="2122" customFormat="false" ht="13.8" hidden="false" customHeight="false" outlineLevel="0" collapsed="false">
      <c r="A2122" s="8" t="s">
        <v>2191</v>
      </c>
      <c r="B2122" s="8" t="s">
        <v>1144</v>
      </c>
      <c r="C2122" s="8" t="s">
        <v>167</v>
      </c>
      <c r="D2122" s="8" t="s">
        <v>40</v>
      </c>
      <c r="E2122" s="8" t="n">
        <v>3150</v>
      </c>
      <c r="F2122" s="8" t="n">
        <v>320</v>
      </c>
      <c r="G2122" s="8" t="n">
        <v>32</v>
      </c>
      <c r="H2122" s="13" t="n">
        <f aca="false">(E2122/1000)*(F2122/1000)*(G2122/1000)*7850</f>
        <v>253.2096</v>
      </c>
      <c r="I2122" s="8" t="n">
        <v>4</v>
      </c>
      <c r="J2122" s="14" t="n">
        <f aca="false">H2122*I2122</f>
        <v>1012.8384</v>
      </c>
      <c r="K2122" s="8" t="s">
        <v>2193</v>
      </c>
    </row>
    <row r="2123" customFormat="false" ht="13.8" hidden="false" customHeight="false" outlineLevel="0" collapsed="false">
      <c r="A2123" s="8" t="s">
        <v>2191</v>
      </c>
      <c r="B2123" s="8" t="s">
        <v>45</v>
      </c>
      <c r="C2123" s="8" t="s">
        <v>46</v>
      </c>
      <c r="D2123" s="8" t="s">
        <v>40</v>
      </c>
      <c r="E2123" s="8" t="n">
        <v>23700</v>
      </c>
      <c r="F2123" s="8" t="n">
        <v>1200</v>
      </c>
      <c r="G2123" s="8" t="n">
        <v>20</v>
      </c>
      <c r="H2123" s="13" t="n">
        <f aca="false">(E2123/1000)*(F2123/1000)*(G2123/1000)*7850</f>
        <v>4465.08</v>
      </c>
      <c r="I2123" s="8" t="n">
        <v>2</v>
      </c>
      <c r="J2123" s="14" t="n">
        <f aca="false">H2123*I2123</f>
        <v>8930.16</v>
      </c>
      <c r="K2123" s="8" t="s">
        <v>2194</v>
      </c>
    </row>
    <row r="2124" customFormat="false" ht="13.8" hidden="false" customHeight="false" outlineLevel="0" collapsed="false">
      <c r="A2124" s="8" t="s">
        <v>2191</v>
      </c>
      <c r="B2124" s="8" t="s">
        <v>42</v>
      </c>
      <c r="C2124" s="8" t="s">
        <v>169</v>
      </c>
      <c r="D2124" s="8" t="s">
        <v>289</v>
      </c>
      <c r="E2124" s="8" t="n">
        <v>2800</v>
      </c>
      <c r="F2124" s="8" t="n">
        <v>320</v>
      </c>
      <c r="G2124" s="8" t="n">
        <v>32</v>
      </c>
      <c r="H2124" s="13" t="n">
        <f aca="false">(E2124/1000)*(F2124/1000)*(G2124/1000)*7850</f>
        <v>225.0752</v>
      </c>
      <c r="I2124" s="8" t="n">
        <v>4</v>
      </c>
      <c r="J2124" s="14" t="n">
        <f aca="false">H2124*I2124</f>
        <v>900.3008</v>
      </c>
      <c r="K2124" s="8" t="s">
        <v>2195</v>
      </c>
    </row>
    <row r="2125" customFormat="false" ht="13.8" hidden="false" customHeight="false" outlineLevel="0" collapsed="false">
      <c r="A2125" s="8" t="s">
        <v>2191</v>
      </c>
      <c r="B2125" s="8" t="s">
        <v>190</v>
      </c>
      <c r="C2125" s="8" t="s">
        <v>188</v>
      </c>
      <c r="D2125" s="8" t="s">
        <v>40</v>
      </c>
      <c r="G2125" s="8" t="n">
        <v>20</v>
      </c>
      <c r="H2125" s="13" t="n">
        <f aca="false">M2125*(G2125/1000)*7850</f>
        <v>2664.29</v>
      </c>
      <c r="I2125" s="8" t="n">
        <v>4</v>
      </c>
      <c r="J2125" s="14" t="n">
        <f aca="false">H2125*I2125</f>
        <v>10657.16</v>
      </c>
      <c r="K2125" s="8" t="s">
        <v>2196</v>
      </c>
      <c r="M2125" s="15" t="n">
        <v>16.97</v>
      </c>
    </row>
    <row r="2126" customFormat="false" ht="13.8" hidden="false" customHeight="false" outlineLevel="0" collapsed="false">
      <c r="A2126" s="8" t="s">
        <v>2191</v>
      </c>
      <c r="B2126" s="8" t="s">
        <v>42</v>
      </c>
      <c r="C2126" s="8" t="s">
        <v>172</v>
      </c>
      <c r="D2126" s="8" t="s">
        <v>40</v>
      </c>
      <c r="E2126" s="8" t="n">
        <v>750</v>
      </c>
      <c r="F2126" s="8" t="n">
        <v>320</v>
      </c>
      <c r="G2126" s="8" t="n">
        <v>28</v>
      </c>
      <c r="H2126" s="13" t="n">
        <f aca="false">(E2126/1000)*(F2126/1000)*(G2126/1000)*7850</f>
        <v>52.752</v>
      </c>
      <c r="I2126" s="8" t="n">
        <v>4</v>
      </c>
      <c r="J2126" s="14" t="n">
        <f aca="false">H2126*I2126</f>
        <v>211.008</v>
      </c>
      <c r="K2126" s="8" t="s">
        <v>2197</v>
      </c>
    </row>
    <row r="2127" customFormat="false" ht="13.8" hidden="false" customHeight="false" outlineLevel="0" collapsed="false">
      <c r="A2127" s="8" t="s">
        <v>2191</v>
      </c>
      <c r="B2127" s="8" t="s">
        <v>187</v>
      </c>
      <c r="C2127" s="8" t="s">
        <v>50</v>
      </c>
      <c r="D2127" s="8" t="s">
        <v>40</v>
      </c>
      <c r="G2127" s="8" t="n">
        <v>28</v>
      </c>
      <c r="H2127" s="13" t="n">
        <f aca="false">M2127*(G2127/1000)*7850</f>
        <v>2354.058</v>
      </c>
      <c r="I2127" s="8" t="n">
        <v>4</v>
      </c>
      <c r="J2127" s="14" t="n">
        <f aca="false">H2127*I2127</f>
        <v>9416.232</v>
      </c>
      <c r="K2127" s="8" t="s">
        <v>2198</v>
      </c>
      <c r="M2127" s="15" t="n">
        <v>10.71</v>
      </c>
    </row>
    <row r="2128" customFormat="false" ht="13.8" hidden="false" customHeight="false" outlineLevel="0" collapsed="false">
      <c r="A2128" s="8" t="s">
        <v>2191</v>
      </c>
      <c r="B2128" s="8" t="s">
        <v>42</v>
      </c>
      <c r="C2128" s="8" t="s">
        <v>174</v>
      </c>
      <c r="D2128" s="8" t="s">
        <v>40</v>
      </c>
      <c r="E2128" s="8" t="n">
        <v>2300</v>
      </c>
      <c r="F2128" s="8" t="n">
        <v>320</v>
      </c>
      <c r="G2128" s="8" t="n">
        <v>32</v>
      </c>
      <c r="H2128" s="13" t="n">
        <f aca="false">(E2128/1000)*(F2128/1000)*(G2128/1000)*7850</f>
        <v>184.8832</v>
      </c>
      <c r="I2128" s="8" t="n">
        <v>4</v>
      </c>
      <c r="J2128" s="14" t="n">
        <f aca="false">H2128*I2128</f>
        <v>739.5328</v>
      </c>
      <c r="K2128" s="8" t="s">
        <v>2199</v>
      </c>
    </row>
    <row r="2129" customFormat="false" ht="13.8" hidden="false" customHeight="false" outlineLevel="0" collapsed="false">
      <c r="A2129" s="8" t="s">
        <v>2191</v>
      </c>
      <c r="B2129" s="8" t="s">
        <v>42</v>
      </c>
      <c r="C2129" s="8" t="s">
        <v>54</v>
      </c>
      <c r="D2129" s="8" t="s">
        <v>40</v>
      </c>
      <c r="G2129" s="8" t="n">
        <v>40</v>
      </c>
      <c r="H2129" s="13" t="n">
        <f aca="false">M2129*(G2129/1000)*7850</f>
        <v>6531.2</v>
      </c>
      <c r="I2129" s="8" t="n">
        <v>4</v>
      </c>
      <c r="J2129" s="14" t="n">
        <f aca="false">H2129*I2129</f>
        <v>26124.8</v>
      </c>
      <c r="K2129" s="8" t="s">
        <v>2200</v>
      </c>
      <c r="M2129" s="15" t="n">
        <v>20.8</v>
      </c>
    </row>
    <row r="2130" customFormat="false" ht="13.8" hidden="false" customHeight="false" outlineLevel="0" collapsed="false">
      <c r="A2130" s="8" t="s">
        <v>2191</v>
      </c>
      <c r="B2130" s="8" t="s">
        <v>42</v>
      </c>
      <c r="C2130" s="8" t="s">
        <v>176</v>
      </c>
      <c r="D2130" s="8" t="s">
        <v>40</v>
      </c>
      <c r="E2130" s="8" t="n">
        <v>2300</v>
      </c>
      <c r="F2130" s="8" t="n">
        <v>320</v>
      </c>
      <c r="G2130" s="8" t="n">
        <v>32</v>
      </c>
      <c r="H2130" s="13" t="n">
        <f aca="false">(E2130/1000)*(F2130/1000)*(G2130/1000)*7850</f>
        <v>184.8832</v>
      </c>
      <c r="I2130" s="8" t="n">
        <v>4</v>
      </c>
      <c r="J2130" s="14" t="n">
        <f aca="false">H2130*I2130</f>
        <v>739.5328</v>
      </c>
      <c r="K2130" s="8" t="s">
        <v>2199</v>
      </c>
    </row>
    <row r="2131" customFormat="false" ht="13.8" hidden="false" customHeight="false" outlineLevel="0" collapsed="false">
      <c r="A2131" s="8" t="s">
        <v>2191</v>
      </c>
      <c r="B2131" s="8" t="s">
        <v>195</v>
      </c>
      <c r="C2131" s="8" t="s">
        <v>298</v>
      </c>
      <c r="D2131" s="8" t="s">
        <v>40</v>
      </c>
      <c r="E2131" s="8" t="n">
        <v>1580</v>
      </c>
      <c r="F2131" s="8" t="n">
        <v>1200</v>
      </c>
      <c r="G2131" s="8" t="n">
        <v>16</v>
      </c>
      <c r="H2131" s="13" t="n">
        <f aca="false">(E2131/1000)*(F2131/1000)*(G2131/1000)*7850</f>
        <v>238.1376</v>
      </c>
      <c r="I2131" s="8" t="n">
        <v>12</v>
      </c>
      <c r="J2131" s="14" t="n">
        <f aca="false">H2131*I2131</f>
        <v>2857.6512</v>
      </c>
      <c r="K2131" s="8" t="s">
        <v>2201</v>
      </c>
    </row>
    <row r="2132" customFormat="false" ht="13.8" hidden="false" customHeight="false" outlineLevel="0" collapsed="false">
      <c r="A2132" s="8" t="s">
        <v>2191</v>
      </c>
      <c r="B2132" s="8" t="s">
        <v>42</v>
      </c>
      <c r="C2132" s="8" t="s">
        <v>1155</v>
      </c>
      <c r="D2132" s="8" t="s">
        <v>289</v>
      </c>
      <c r="E2132" s="8" t="n">
        <v>2600</v>
      </c>
      <c r="F2132" s="8" t="n">
        <v>320</v>
      </c>
      <c r="G2132" s="8" t="n">
        <v>32</v>
      </c>
      <c r="H2132" s="13" t="n">
        <f aca="false">(E2132/1000)*(F2132/1000)*(G2132/1000)*7850</f>
        <v>208.9984</v>
      </c>
      <c r="I2132" s="8" t="n">
        <v>6</v>
      </c>
      <c r="J2132" s="14" t="n">
        <f aca="false">H2132*I2132</f>
        <v>1253.9904</v>
      </c>
      <c r="K2132" s="8" t="s">
        <v>2202</v>
      </c>
    </row>
    <row r="2133" customFormat="false" ht="13.8" hidden="false" customHeight="false" outlineLevel="0" collapsed="false">
      <c r="A2133" s="8" t="s">
        <v>2191</v>
      </c>
      <c r="B2133" s="8" t="s">
        <v>42</v>
      </c>
      <c r="C2133" s="8" t="s">
        <v>2203</v>
      </c>
      <c r="D2133" s="8" t="s">
        <v>40</v>
      </c>
      <c r="E2133" s="8" t="n">
        <v>1580</v>
      </c>
      <c r="F2133" s="8" t="n">
        <v>1200</v>
      </c>
      <c r="G2133" s="8" t="n">
        <v>16</v>
      </c>
      <c r="H2133" s="13" t="n">
        <f aca="false">(E2133/1000)*(F2133/1000)*(G2133/1000)*7850</f>
        <v>238.1376</v>
      </c>
      <c r="I2133" s="8" t="n">
        <v>6</v>
      </c>
      <c r="J2133" s="14" t="n">
        <f aca="false">H2133*I2133</f>
        <v>1428.8256</v>
      </c>
      <c r="K2133" s="8" t="s">
        <v>2204</v>
      </c>
    </row>
    <row r="2134" customFormat="false" ht="13.8" hidden="false" customHeight="false" outlineLevel="0" collapsed="false">
      <c r="A2134" s="8" t="s">
        <v>2191</v>
      </c>
      <c r="B2134" s="8" t="s">
        <v>272</v>
      </c>
      <c r="C2134" s="8" t="s">
        <v>1157</v>
      </c>
      <c r="D2134" s="8" t="s">
        <v>40</v>
      </c>
      <c r="E2134" s="8" t="n">
        <v>3904</v>
      </c>
      <c r="F2134" s="8" t="n">
        <v>900</v>
      </c>
      <c r="G2134" s="8" t="n">
        <v>36</v>
      </c>
      <c r="H2134" s="13" t="n">
        <f aca="false">(E2134/1000)*(F2134/1000)*(G2134/1000)*7850</f>
        <v>992.94336</v>
      </c>
      <c r="I2134" s="8" t="n">
        <v>4</v>
      </c>
      <c r="J2134" s="14" t="n">
        <f aca="false">H2134*I2134</f>
        <v>3971.77344</v>
      </c>
      <c r="K2134" s="8" t="s">
        <v>2205</v>
      </c>
    </row>
    <row r="2135" customFormat="false" ht="13.8" hidden="false" customHeight="false" outlineLevel="0" collapsed="false">
      <c r="A2135" s="8" t="s">
        <v>2191</v>
      </c>
      <c r="B2135" s="8" t="s">
        <v>42</v>
      </c>
      <c r="C2135" s="8" t="s">
        <v>196</v>
      </c>
      <c r="D2135" s="8" t="s">
        <v>40</v>
      </c>
      <c r="E2135" s="8" t="n">
        <v>1657</v>
      </c>
      <c r="F2135" s="8" t="n">
        <v>200</v>
      </c>
      <c r="G2135" s="8" t="n">
        <v>16</v>
      </c>
      <c r="H2135" s="13" t="n">
        <f aca="false">(E2135/1000)*(F2135/1000)*(G2135/1000)*7850</f>
        <v>41.62384</v>
      </c>
      <c r="I2135" s="8" t="n">
        <v>14</v>
      </c>
      <c r="J2135" s="14" t="n">
        <f aca="false">H2135*I2135</f>
        <v>582.73376</v>
      </c>
      <c r="K2135" s="8" t="s">
        <v>2206</v>
      </c>
    </row>
    <row r="2136" customFormat="false" ht="13.8" hidden="false" customHeight="false" outlineLevel="0" collapsed="false">
      <c r="A2136" s="8" t="s">
        <v>2191</v>
      </c>
      <c r="B2136" s="8" t="s">
        <v>42</v>
      </c>
      <c r="C2136" s="8" t="s">
        <v>1159</v>
      </c>
      <c r="D2136" s="8" t="s">
        <v>40</v>
      </c>
      <c r="E2136" s="8" t="n">
        <v>6504</v>
      </c>
      <c r="F2136" s="8" t="n">
        <v>1200</v>
      </c>
      <c r="G2136" s="8" t="n">
        <v>32</v>
      </c>
      <c r="H2136" s="13" t="n">
        <f aca="false">(E2136/1000)*(F2136/1000)*(G2136/1000)*7850</f>
        <v>1960.56576</v>
      </c>
      <c r="I2136" s="8" t="n">
        <v>2</v>
      </c>
      <c r="J2136" s="14" t="n">
        <f aca="false">H2136*I2136</f>
        <v>3921.13152</v>
      </c>
      <c r="K2136" s="8" t="s">
        <v>2207</v>
      </c>
    </row>
    <row r="2137" customFormat="false" ht="13.8" hidden="false" customHeight="false" outlineLevel="0" collapsed="false">
      <c r="A2137" s="8" t="s">
        <v>2191</v>
      </c>
      <c r="B2137" s="8" t="s">
        <v>42</v>
      </c>
      <c r="C2137" s="8" t="s">
        <v>1162</v>
      </c>
      <c r="D2137" s="8" t="s">
        <v>40</v>
      </c>
      <c r="E2137" s="8" t="n">
        <v>5804</v>
      </c>
      <c r="F2137" s="8" t="n">
        <v>240</v>
      </c>
      <c r="G2137" s="8" t="n">
        <v>24</v>
      </c>
      <c r="H2137" s="13" t="n">
        <f aca="false">(E2137/1000)*(F2137/1000)*(G2137/1000)*7850</f>
        <v>262.433664</v>
      </c>
      <c r="I2137" s="8" t="n">
        <v>4</v>
      </c>
      <c r="J2137" s="14" t="n">
        <f aca="false">H2137*I2137</f>
        <v>1049.734656</v>
      </c>
      <c r="K2137" s="8" t="s">
        <v>2208</v>
      </c>
    </row>
    <row r="2138" customFormat="false" ht="13.8" hidden="false" customHeight="false" outlineLevel="0" collapsed="false">
      <c r="A2138" s="8" t="s">
        <v>2191</v>
      </c>
      <c r="B2138" s="8" t="s">
        <v>42</v>
      </c>
      <c r="C2138" s="8" t="s">
        <v>68</v>
      </c>
      <c r="D2138" s="8" t="s">
        <v>40</v>
      </c>
      <c r="E2138" s="8" t="n">
        <v>600</v>
      </c>
      <c r="F2138" s="8" t="n">
        <v>400</v>
      </c>
      <c r="G2138" s="8" t="n">
        <v>16</v>
      </c>
      <c r="H2138" s="13" t="n">
        <f aca="false">(E2138/1000)*(F2138/1000)*(G2138/1000)*7850</f>
        <v>30.144</v>
      </c>
      <c r="I2138" s="8" t="n">
        <v>8</v>
      </c>
      <c r="J2138" s="14" t="n">
        <f aca="false">H2138*I2138</f>
        <v>241.152</v>
      </c>
      <c r="K2138" s="8" t="s">
        <v>2209</v>
      </c>
    </row>
    <row r="2139" customFormat="false" ht="13.8" hidden="false" customHeight="false" outlineLevel="0" collapsed="false">
      <c r="A2139" s="8" t="s">
        <v>2191</v>
      </c>
      <c r="B2139" s="8" t="s">
        <v>64</v>
      </c>
      <c r="C2139" s="8" t="s">
        <v>43</v>
      </c>
      <c r="D2139" s="8" t="s">
        <v>40</v>
      </c>
      <c r="E2139" s="8" t="n">
        <v>1580</v>
      </c>
      <c r="F2139" s="8" t="n">
        <v>610</v>
      </c>
      <c r="G2139" s="8" t="n">
        <v>16</v>
      </c>
      <c r="H2139" s="13" t="n">
        <f aca="false">(E2139/1000)*(F2139/1000)*(G2139/1000)*7850</f>
        <v>121.05328</v>
      </c>
      <c r="I2139" s="8" t="n">
        <v>6</v>
      </c>
      <c r="J2139" s="14" t="n">
        <f aca="false">H2139*I2139</f>
        <v>726.31968</v>
      </c>
      <c r="K2139" s="8" t="s">
        <v>2210</v>
      </c>
    </row>
    <row r="2140" customFormat="false" ht="13.8" hidden="false" customHeight="false" outlineLevel="0" collapsed="false">
      <c r="A2140" s="8" t="s">
        <v>2191</v>
      </c>
      <c r="B2140" s="8" t="s">
        <v>253</v>
      </c>
      <c r="C2140" s="8" t="s">
        <v>72</v>
      </c>
      <c r="D2140" s="8" t="s">
        <v>40</v>
      </c>
      <c r="E2140" s="8" t="n">
        <v>5651</v>
      </c>
      <c r="F2140" s="8" t="n">
        <v>240</v>
      </c>
      <c r="G2140" s="8" t="n">
        <v>20</v>
      </c>
      <c r="H2140" s="13" t="n">
        <f aca="false">(E2140/1000)*(F2140/1000)*(G2140/1000)*7850</f>
        <v>212.92968</v>
      </c>
      <c r="I2140" s="8" t="n">
        <v>8</v>
      </c>
      <c r="J2140" s="14" t="n">
        <f aca="false">H2140*I2140</f>
        <v>1703.43744</v>
      </c>
      <c r="K2140" s="8" t="s">
        <v>2211</v>
      </c>
    </row>
    <row r="2141" customFormat="false" ht="13.8" hidden="false" customHeight="false" outlineLevel="0" collapsed="false">
      <c r="A2141" s="8" t="s">
        <v>2191</v>
      </c>
      <c r="B2141" s="8" t="s">
        <v>42</v>
      </c>
      <c r="C2141" s="8" t="s">
        <v>1167</v>
      </c>
      <c r="D2141" s="8" t="s">
        <v>40</v>
      </c>
      <c r="E2141" s="8" t="n">
        <v>1580</v>
      </c>
      <c r="F2141" s="8" t="n">
        <v>622</v>
      </c>
      <c r="G2141" s="8" t="n">
        <v>16</v>
      </c>
      <c r="H2141" s="13" t="n">
        <f aca="false">(E2141/1000)*(F2141/1000)*(G2141/1000)*7850</f>
        <v>123.434656</v>
      </c>
      <c r="I2141" s="8" t="n">
        <v>6</v>
      </c>
      <c r="J2141" s="14" t="n">
        <f aca="false">H2141*I2141</f>
        <v>740.607936</v>
      </c>
      <c r="K2141" s="8" t="s">
        <v>2212</v>
      </c>
    </row>
    <row r="2142" customFormat="false" ht="13.8" hidden="false" customHeight="false" outlineLevel="0" collapsed="false">
      <c r="A2142" s="8" t="s">
        <v>2191</v>
      </c>
      <c r="B2142" s="8" t="s">
        <v>42</v>
      </c>
      <c r="C2142" s="8" t="s">
        <v>76</v>
      </c>
      <c r="D2142" s="8" t="s">
        <v>40</v>
      </c>
      <c r="E2142" s="8" t="n">
        <v>7700</v>
      </c>
      <c r="F2142" s="8" t="n">
        <v>240</v>
      </c>
      <c r="G2142" s="8" t="n">
        <v>20</v>
      </c>
      <c r="H2142" s="13" t="n">
        <f aca="false">(E2142/1000)*(F2142/1000)*(G2142/1000)*7850</f>
        <v>290.136</v>
      </c>
      <c r="I2142" s="8" t="n">
        <v>8</v>
      </c>
      <c r="J2142" s="14" t="n">
        <f aca="false">H2142*I2142</f>
        <v>2321.088</v>
      </c>
      <c r="K2142" s="8" t="s">
        <v>2213</v>
      </c>
    </row>
    <row r="2143" customFormat="false" ht="13.8" hidden="false" customHeight="false" outlineLevel="0" collapsed="false">
      <c r="A2143" s="8" t="s">
        <v>2191</v>
      </c>
      <c r="B2143" s="8" t="s">
        <v>42</v>
      </c>
      <c r="C2143" s="8" t="s">
        <v>2214</v>
      </c>
      <c r="D2143" s="8" t="s">
        <v>289</v>
      </c>
      <c r="E2143" s="8" t="n">
        <v>1580</v>
      </c>
      <c r="F2143" s="8" t="n">
        <v>630</v>
      </c>
      <c r="G2143" s="8" t="n">
        <v>16</v>
      </c>
      <c r="H2143" s="13" t="n">
        <f aca="false">(E2143/1000)*(F2143/1000)*(G2143/1000)*7850</f>
        <v>125.02224</v>
      </c>
      <c r="I2143" s="8" t="n">
        <v>6</v>
      </c>
      <c r="J2143" s="14" t="n">
        <f aca="false">H2143*I2143</f>
        <v>750.13344</v>
      </c>
      <c r="K2143" s="8" t="s">
        <v>2215</v>
      </c>
    </row>
    <row r="2144" customFormat="false" ht="13.8" hidden="false" customHeight="false" outlineLevel="0" collapsed="false">
      <c r="A2144" s="8" t="s">
        <v>2191</v>
      </c>
      <c r="B2144" s="8" t="s">
        <v>42</v>
      </c>
      <c r="C2144" s="8" t="s">
        <v>81</v>
      </c>
      <c r="D2144" s="8" t="s">
        <v>40</v>
      </c>
      <c r="E2144" s="8" t="n">
        <v>70300</v>
      </c>
      <c r="F2144" s="8" t="n">
        <v>240</v>
      </c>
      <c r="G2144" s="8" t="n">
        <v>20</v>
      </c>
      <c r="H2144" s="13" t="n">
        <f aca="false">(E2144/1000)*(F2144/1000)*(G2144/1000)*7850</f>
        <v>2648.904</v>
      </c>
      <c r="I2144" s="8" t="n">
        <v>8</v>
      </c>
      <c r="J2144" s="14" t="n">
        <f aca="false">H2144*I2144</f>
        <v>21191.232</v>
      </c>
      <c r="K2144" s="8" t="s">
        <v>2216</v>
      </c>
    </row>
    <row r="2145" customFormat="false" ht="13.8" hidden="false" customHeight="false" outlineLevel="0" collapsed="false">
      <c r="A2145" s="8" t="s">
        <v>2191</v>
      </c>
      <c r="B2145" s="8" t="s">
        <v>42</v>
      </c>
      <c r="C2145" s="8" t="s">
        <v>56</v>
      </c>
      <c r="D2145" s="8" t="s">
        <v>40</v>
      </c>
      <c r="G2145" s="8" t="n">
        <v>24</v>
      </c>
      <c r="H2145" s="13" t="n">
        <f aca="false">M2145*(G2145/1000)*7850</f>
        <v>88.548</v>
      </c>
      <c r="I2145" s="8" t="n">
        <v>6</v>
      </c>
      <c r="J2145" s="14" t="n">
        <f aca="false">H2145*I2145</f>
        <v>531.288</v>
      </c>
      <c r="K2145" s="8" t="s">
        <v>2217</v>
      </c>
      <c r="M2145" s="15" t="n">
        <v>0.47</v>
      </c>
    </row>
    <row r="2146" customFormat="false" ht="13.8" hidden="false" customHeight="false" outlineLevel="0" collapsed="false">
      <c r="A2146" s="8" t="s">
        <v>2191</v>
      </c>
      <c r="B2146" s="8" t="s">
        <v>42</v>
      </c>
      <c r="C2146" s="8" t="s">
        <v>1172</v>
      </c>
      <c r="D2146" s="8" t="s">
        <v>40</v>
      </c>
      <c r="E2146" s="8" t="n">
        <v>23650</v>
      </c>
      <c r="F2146" s="8" t="n">
        <v>240</v>
      </c>
      <c r="G2146" s="8" t="n">
        <v>20</v>
      </c>
      <c r="H2146" s="13" t="n">
        <f aca="false">(E2146/1000)*(F2146/1000)*(G2146/1000)*7850</f>
        <v>891.132</v>
      </c>
      <c r="I2146" s="8" t="n">
        <v>2</v>
      </c>
      <c r="J2146" s="14" t="n">
        <f aca="false">H2146*I2146</f>
        <v>1782.264</v>
      </c>
      <c r="K2146" s="8" t="s">
        <v>2218</v>
      </c>
    </row>
    <row r="2147" customFormat="false" ht="13.8" hidden="false" customHeight="false" outlineLevel="0" collapsed="false">
      <c r="A2147" s="8" t="s">
        <v>2191</v>
      </c>
      <c r="B2147" s="8" t="s">
        <v>42</v>
      </c>
      <c r="C2147" s="8" t="s">
        <v>56</v>
      </c>
      <c r="D2147" s="8" t="s">
        <v>289</v>
      </c>
      <c r="G2147" s="8" t="n">
        <v>24</v>
      </c>
      <c r="H2147" s="13" t="n">
        <f aca="false">M2147*(G2147/1000)*7850</f>
        <v>90.432</v>
      </c>
      <c r="I2147" s="8" t="n">
        <v>8</v>
      </c>
      <c r="J2147" s="14" t="n">
        <f aca="false">H2147*I2147</f>
        <v>723.456</v>
      </c>
      <c r="K2147" s="8" t="s">
        <v>2219</v>
      </c>
      <c r="M2147" s="15" t="n">
        <v>0.48</v>
      </c>
    </row>
    <row r="2148" customFormat="false" ht="13.8" hidden="false" customHeight="false" outlineLevel="0" collapsed="false">
      <c r="A2148" s="8" t="s">
        <v>2191</v>
      </c>
      <c r="B2148" s="8" t="s">
        <v>42</v>
      </c>
      <c r="C2148" s="8" t="s">
        <v>89</v>
      </c>
      <c r="D2148" s="8" t="s">
        <v>40</v>
      </c>
      <c r="E2148" s="8" t="n">
        <v>23650</v>
      </c>
      <c r="F2148" s="8" t="n">
        <v>240</v>
      </c>
      <c r="G2148" s="8" t="n">
        <v>20</v>
      </c>
      <c r="H2148" s="13" t="n">
        <f aca="false">(E2148/1000)*(F2148/1000)*(G2148/1000)*7850</f>
        <v>891.132</v>
      </c>
      <c r="I2148" s="8" t="n">
        <v>2</v>
      </c>
      <c r="J2148" s="14" t="n">
        <f aca="false">H2148*I2148</f>
        <v>1782.264</v>
      </c>
      <c r="K2148" s="8" t="s">
        <v>2220</v>
      </c>
    </row>
    <row r="2149" customFormat="false" ht="13.8" hidden="false" customHeight="false" outlineLevel="0" collapsed="false">
      <c r="A2149" s="8" t="s">
        <v>2191</v>
      </c>
      <c r="B2149" s="8" t="s">
        <v>42</v>
      </c>
      <c r="C2149" s="8" t="s">
        <v>65</v>
      </c>
      <c r="D2149" s="8" t="s">
        <v>40</v>
      </c>
      <c r="G2149" s="8" t="n">
        <v>24</v>
      </c>
      <c r="H2149" s="13" t="n">
        <f aca="false">M2149*(G2149/1000)*7850</f>
        <v>182.748</v>
      </c>
      <c r="I2149" s="8" t="n">
        <v>2</v>
      </c>
      <c r="J2149" s="14" t="n">
        <f aca="false">H2149*I2149</f>
        <v>365.496</v>
      </c>
      <c r="K2149" s="8" t="s">
        <v>2221</v>
      </c>
      <c r="M2149" s="15" t="n">
        <v>0.97</v>
      </c>
    </row>
    <row r="2150" customFormat="false" ht="13.8" hidden="false" customHeight="false" outlineLevel="0" collapsed="false">
      <c r="A2150" s="8" t="s">
        <v>2191</v>
      </c>
      <c r="B2150" s="8" t="s">
        <v>256</v>
      </c>
      <c r="C2150" s="8" t="s">
        <v>92</v>
      </c>
      <c r="D2150" s="8" t="s">
        <v>40</v>
      </c>
      <c r="E2150" s="8" t="n">
        <v>4809</v>
      </c>
      <c r="F2150" s="8" t="n">
        <v>1850</v>
      </c>
      <c r="G2150" s="8" t="n">
        <v>20</v>
      </c>
      <c r="H2150" s="13" t="n">
        <f aca="false">(E2150/1000)*(F2150/1000)*(G2150/1000)*7850</f>
        <v>1396.77405</v>
      </c>
      <c r="I2150" s="8" t="n">
        <v>2</v>
      </c>
      <c r="J2150" s="14" t="n">
        <f aca="false">H2150*I2150</f>
        <v>2793.5481</v>
      </c>
      <c r="K2150" s="8" t="s">
        <v>2222</v>
      </c>
    </row>
    <row r="2151" customFormat="false" ht="13.8" hidden="false" customHeight="false" outlineLevel="0" collapsed="false">
      <c r="A2151" s="8" t="s">
        <v>2191</v>
      </c>
      <c r="B2151" s="8" t="s">
        <v>42</v>
      </c>
      <c r="C2151" s="8" t="s">
        <v>70</v>
      </c>
      <c r="D2151" s="8" t="s">
        <v>40</v>
      </c>
      <c r="E2151" s="8" t="n">
        <v>1450</v>
      </c>
      <c r="F2151" s="8" t="n">
        <v>626</v>
      </c>
      <c r="G2151" s="8" t="n">
        <v>16</v>
      </c>
      <c r="H2151" s="13" t="n">
        <f aca="false">(E2151/1000)*(F2151/1000)*(G2151/1000)*7850</f>
        <v>114.00712</v>
      </c>
      <c r="I2151" s="8" t="n">
        <v>6</v>
      </c>
      <c r="J2151" s="14" t="n">
        <f aca="false">H2151*I2151</f>
        <v>684.04272</v>
      </c>
      <c r="K2151" s="8" t="s">
        <v>2223</v>
      </c>
    </row>
    <row r="2152" customFormat="false" ht="13.8" hidden="false" customHeight="false" outlineLevel="0" collapsed="false">
      <c r="A2152" s="8" t="s">
        <v>2191</v>
      </c>
      <c r="B2152" s="8" t="s">
        <v>42</v>
      </c>
      <c r="C2152" s="8" t="s">
        <v>96</v>
      </c>
      <c r="D2152" s="8" t="s">
        <v>40</v>
      </c>
      <c r="E2152" s="8" t="n">
        <v>17804</v>
      </c>
      <c r="F2152" s="8" t="n">
        <v>1850</v>
      </c>
      <c r="G2152" s="8" t="n">
        <v>20</v>
      </c>
      <c r="H2152" s="13" t="n">
        <f aca="false">(E2152/1000)*(F2152/1000)*(G2152/1000)*7850</f>
        <v>5171.1718</v>
      </c>
      <c r="I2152" s="8" t="n">
        <v>2</v>
      </c>
      <c r="J2152" s="14" t="n">
        <f aca="false">H2152*I2152</f>
        <v>10342.3436</v>
      </c>
      <c r="K2152" s="8" t="s">
        <v>2224</v>
      </c>
    </row>
    <row r="2153" customFormat="false" ht="13.8" hidden="false" customHeight="false" outlineLevel="0" collapsed="false">
      <c r="A2153" s="8" t="s">
        <v>2191</v>
      </c>
      <c r="B2153" s="8" t="s">
        <v>42</v>
      </c>
      <c r="C2153" s="8" t="s">
        <v>2225</v>
      </c>
      <c r="D2153" s="8" t="s">
        <v>40</v>
      </c>
      <c r="E2153" s="8" t="n">
        <v>1450</v>
      </c>
      <c r="F2153" s="8" t="n">
        <v>610</v>
      </c>
      <c r="G2153" s="8" t="n">
        <v>16</v>
      </c>
      <c r="H2153" s="13" t="n">
        <f aca="false">(E2153/1000)*(F2153/1000)*(G2153/1000)*7850</f>
        <v>111.0932</v>
      </c>
      <c r="I2153" s="8" t="n">
        <v>12</v>
      </c>
      <c r="J2153" s="14" t="n">
        <f aca="false">H2153*I2153</f>
        <v>1333.1184</v>
      </c>
      <c r="K2153" s="8" t="s">
        <v>2226</v>
      </c>
    </row>
    <row r="2154" customFormat="false" ht="13.8" hidden="false" customHeight="false" outlineLevel="0" collapsed="false">
      <c r="A2154" s="8" t="s">
        <v>2191</v>
      </c>
      <c r="B2154" s="8" t="s">
        <v>260</v>
      </c>
      <c r="C2154" s="8" t="s">
        <v>98</v>
      </c>
      <c r="D2154" s="8" t="s">
        <v>40</v>
      </c>
      <c r="G2154" s="8" t="n">
        <v>36</v>
      </c>
      <c r="H2154" s="13" t="n">
        <f aca="false">M2154*(G2154/1000)*7850</f>
        <v>2749.698</v>
      </c>
      <c r="I2154" s="8" t="n">
        <v>2</v>
      </c>
      <c r="J2154" s="14" t="n">
        <f aca="false">H2154*I2154</f>
        <v>5499.396</v>
      </c>
      <c r="K2154" s="8" t="s">
        <v>2227</v>
      </c>
      <c r="M2154" s="15" t="n">
        <v>9.73</v>
      </c>
    </row>
    <row r="2155" customFormat="false" ht="13.8" hidden="false" customHeight="false" outlineLevel="0" collapsed="false">
      <c r="A2155" s="8" t="s">
        <v>2191</v>
      </c>
      <c r="B2155" s="8" t="s">
        <v>1251</v>
      </c>
      <c r="C2155" s="8" t="s">
        <v>2228</v>
      </c>
      <c r="D2155" s="8" t="s">
        <v>40</v>
      </c>
      <c r="E2155" s="8" t="n">
        <v>1450</v>
      </c>
      <c r="F2155" s="8" t="n">
        <v>1200</v>
      </c>
      <c r="G2155" s="8" t="n">
        <v>32</v>
      </c>
      <c r="H2155" s="13" t="n">
        <f aca="false">(E2155/1000)*(F2155/1000)*(G2155/1000)*7850</f>
        <v>437.088</v>
      </c>
      <c r="I2155" s="8" t="n">
        <v>8</v>
      </c>
      <c r="J2155" s="14" t="n">
        <f aca="false">H2155*I2155</f>
        <v>3496.704</v>
      </c>
      <c r="K2155" s="8" t="s">
        <v>2229</v>
      </c>
    </row>
    <row r="2156" customFormat="false" ht="13.8" hidden="false" customHeight="false" outlineLevel="0" collapsed="false">
      <c r="A2156" s="8" t="s">
        <v>2191</v>
      </c>
      <c r="B2156" s="8" t="s">
        <v>42</v>
      </c>
      <c r="C2156" s="8" t="s">
        <v>307</v>
      </c>
      <c r="D2156" s="8" t="s">
        <v>40</v>
      </c>
      <c r="G2156" s="8" t="n">
        <v>20</v>
      </c>
      <c r="H2156" s="13" t="n">
        <f aca="false">M2156*(G2156/1000)*7850</f>
        <v>4092.99</v>
      </c>
      <c r="I2156" s="8" t="n">
        <v>2</v>
      </c>
      <c r="J2156" s="14" t="n">
        <f aca="false">H2156*I2156</f>
        <v>8185.98</v>
      </c>
      <c r="K2156" s="8" t="s">
        <v>2230</v>
      </c>
      <c r="M2156" s="15" t="n">
        <v>26.07</v>
      </c>
    </row>
    <row r="2157" customFormat="false" ht="13.8" hidden="false" customHeight="false" outlineLevel="0" collapsed="false">
      <c r="A2157" s="8" t="s">
        <v>2191</v>
      </c>
      <c r="B2157" s="8" t="s">
        <v>42</v>
      </c>
      <c r="C2157" s="8" t="s">
        <v>82</v>
      </c>
      <c r="D2157" s="8" t="s">
        <v>40</v>
      </c>
      <c r="E2157" s="8" t="n">
        <v>502</v>
      </c>
      <c r="F2157" s="8" t="n">
        <v>240</v>
      </c>
      <c r="G2157" s="8" t="n">
        <v>20</v>
      </c>
      <c r="H2157" s="13" t="n">
        <f aca="false">(E2157/1000)*(F2157/1000)*(G2157/1000)*7850</f>
        <v>18.91536</v>
      </c>
      <c r="I2157" s="8" t="n">
        <v>2</v>
      </c>
      <c r="J2157" s="14" t="n">
        <f aca="false">H2157*I2157</f>
        <v>37.83072</v>
      </c>
      <c r="K2157" s="8" t="s">
        <v>2231</v>
      </c>
    </row>
    <row r="2158" customFormat="false" ht="13.8" hidden="false" customHeight="false" outlineLevel="0" collapsed="false">
      <c r="A2158" s="8" t="s">
        <v>2191</v>
      </c>
      <c r="B2158" s="8" t="s">
        <v>102</v>
      </c>
      <c r="C2158" s="8" t="s">
        <v>103</v>
      </c>
      <c r="D2158" s="8" t="s">
        <v>40</v>
      </c>
      <c r="E2158" s="8" t="n">
        <v>10103</v>
      </c>
      <c r="F2158" s="8" t="n">
        <v>1470</v>
      </c>
      <c r="G2158" s="8" t="n">
        <v>24</v>
      </c>
      <c r="H2158" s="13" t="n">
        <f aca="false">(E2158/1000)*(F2158/1000)*(G2158/1000)*7850</f>
        <v>2798.005644</v>
      </c>
      <c r="I2158" s="8" t="n">
        <v>4</v>
      </c>
      <c r="J2158" s="14" t="n">
        <f aca="false">H2158*I2158</f>
        <v>11192.022576</v>
      </c>
      <c r="K2158" s="8" t="s">
        <v>2232</v>
      </c>
    </row>
    <row r="2159" customFormat="false" ht="13.8" hidden="false" customHeight="false" outlineLevel="0" collapsed="false">
      <c r="A2159" s="8" t="s">
        <v>2191</v>
      </c>
      <c r="B2159" s="8" t="s">
        <v>42</v>
      </c>
      <c r="C2159" s="8" t="s">
        <v>87</v>
      </c>
      <c r="D2159" s="8" t="s">
        <v>289</v>
      </c>
      <c r="E2159" s="8" t="n">
        <v>1800</v>
      </c>
      <c r="F2159" s="8" t="n">
        <v>1800</v>
      </c>
      <c r="G2159" s="8" t="n">
        <v>80</v>
      </c>
      <c r="H2159" s="13" t="n">
        <f aca="false">(E2159/1000)*(F2159/1000)*(G2159/1000)*7850</f>
        <v>2034.72</v>
      </c>
      <c r="I2159" s="8" t="n">
        <v>2</v>
      </c>
      <c r="J2159" s="14" t="n">
        <f aca="false">H2159*I2159</f>
        <v>4069.44</v>
      </c>
      <c r="K2159" s="8" t="s">
        <v>2233</v>
      </c>
    </row>
    <row r="2160" customFormat="false" ht="13.8" hidden="false" customHeight="false" outlineLevel="0" collapsed="false">
      <c r="A2160" s="8" t="s">
        <v>2191</v>
      </c>
      <c r="B2160" s="8" t="s">
        <v>105</v>
      </c>
      <c r="C2160" s="8" t="s">
        <v>106</v>
      </c>
      <c r="D2160" s="8" t="s">
        <v>40</v>
      </c>
      <c r="G2160" s="8" t="n">
        <v>40</v>
      </c>
      <c r="H2160" s="13" t="n">
        <f aca="false">M2160*(G2160/1000)*7850</f>
        <v>5212.4</v>
      </c>
      <c r="I2160" s="8" t="n">
        <v>4</v>
      </c>
      <c r="J2160" s="14" t="n">
        <f aca="false">H2160*I2160</f>
        <v>20849.6</v>
      </c>
      <c r="K2160" s="8" t="s">
        <v>2234</v>
      </c>
      <c r="M2160" s="15" t="n">
        <v>16.6</v>
      </c>
    </row>
    <row r="2161" customFormat="false" ht="13.8" hidden="false" customHeight="false" outlineLevel="0" collapsed="false">
      <c r="A2161" s="8" t="s">
        <v>2191</v>
      </c>
      <c r="B2161" s="8" t="s">
        <v>42</v>
      </c>
      <c r="C2161" s="8" t="s">
        <v>90</v>
      </c>
      <c r="D2161" s="8" t="s">
        <v>40</v>
      </c>
      <c r="E2161" s="8" t="n">
        <v>1000</v>
      </c>
      <c r="F2161" s="8" t="n">
        <v>568</v>
      </c>
      <c r="G2161" s="8" t="n">
        <v>32</v>
      </c>
      <c r="H2161" s="13" t="n">
        <f aca="false">(E2161/1000)*(F2161/1000)*(G2161/1000)*7850</f>
        <v>142.6816</v>
      </c>
      <c r="I2161" s="8" t="n">
        <v>6</v>
      </c>
      <c r="J2161" s="14" t="n">
        <f aca="false">H2161*I2161</f>
        <v>856.0896</v>
      </c>
      <c r="K2161" s="8" t="s">
        <v>2235</v>
      </c>
    </row>
    <row r="2162" customFormat="false" ht="13.8" hidden="false" customHeight="false" outlineLevel="0" collapsed="false">
      <c r="A2162" s="8" t="s">
        <v>2191</v>
      </c>
      <c r="B2162" s="8" t="s">
        <v>42</v>
      </c>
      <c r="C2162" s="8" t="s">
        <v>2236</v>
      </c>
      <c r="D2162" s="8" t="s">
        <v>40</v>
      </c>
      <c r="G2162" s="8" t="n">
        <v>40</v>
      </c>
      <c r="H2162" s="13" t="n">
        <f aca="false">M2162*(G2162/1000)*7850</f>
        <v>6688.2</v>
      </c>
      <c r="I2162" s="8" t="n">
        <v>4</v>
      </c>
      <c r="J2162" s="14" t="n">
        <f aca="false">H2162*I2162</f>
        <v>26752.8</v>
      </c>
      <c r="K2162" s="8" t="s">
        <v>2237</v>
      </c>
      <c r="M2162" s="15" t="n">
        <v>21.3</v>
      </c>
    </row>
    <row r="2163" customFormat="false" ht="13.8" hidden="false" customHeight="false" outlineLevel="0" collapsed="false">
      <c r="A2163" s="8" t="s">
        <v>2191</v>
      </c>
      <c r="B2163" s="8" t="s">
        <v>42</v>
      </c>
      <c r="C2163" s="8" t="s">
        <v>94</v>
      </c>
      <c r="D2163" s="8" t="s">
        <v>40</v>
      </c>
      <c r="E2163" s="8" t="n">
        <v>1350</v>
      </c>
      <c r="F2163" s="8" t="n">
        <v>570</v>
      </c>
      <c r="G2163" s="8" t="n">
        <v>32</v>
      </c>
      <c r="H2163" s="13" t="n">
        <f aca="false">(E2163/1000)*(F2163/1000)*(G2163/1000)*7850</f>
        <v>193.2984</v>
      </c>
      <c r="I2163" s="8" t="n">
        <v>12</v>
      </c>
      <c r="J2163" s="14" t="n">
        <f aca="false">H2163*I2163</f>
        <v>2319.5808</v>
      </c>
      <c r="K2163" s="8" t="s">
        <v>2238</v>
      </c>
    </row>
    <row r="2164" customFormat="false" ht="13.8" hidden="false" customHeight="false" outlineLevel="0" collapsed="false">
      <c r="A2164" s="8" t="s">
        <v>2191</v>
      </c>
      <c r="B2164" s="8" t="s">
        <v>110</v>
      </c>
      <c r="C2164" s="8" t="s">
        <v>108</v>
      </c>
      <c r="D2164" s="8" t="s">
        <v>40</v>
      </c>
      <c r="E2164" s="8" t="n">
        <v>1450</v>
      </c>
      <c r="F2164" s="8" t="n">
        <v>1200</v>
      </c>
      <c r="G2164" s="8" t="n">
        <v>16</v>
      </c>
      <c r="H2164" s="13" t="n">
        <f aca="false">(E2164/1000)*(F2164/1000)*(G2164/1000)*7850</f>
        <v>218.544</v>
      </c>
      <c r="I2164" s="8" t="n">
        <v>2</v>
      </c>
      <c r="J2164" s="14" t="n">
        <f aca="false">H2164*I2164</f>
        <v>437.088</v>
      </c>
      <c r="K2164" s="8" t="s">
        <v>2239</v>
      </c>
    </row>
    <row r="2165" customFormat="false" ht="13.8" hidden="false" customHeight="false" outlineLevel="0" collapsed="false">
      <c r="A2165" s="8" t="s">
        <v>2191</v>
      </c>
      <c r="B2165" s="8" t="s">
        <v>42</v>
      </c>
      <c r="C2165" s="8" t="s">
        <v>1262</v>
      </c>
      <c r="D2165" s="8" t="s">
        <v>40</v>
      </c>
      <c r="E2165" s="8" t="n">
        <v>2200</v>
      </c>
      <c r="F2165" s="8" t="n">
        <v>650</v>
      </c>
      <c r="G2165" s="8" t="n">
        <v>32</v>
      </c>
      <c r="H2165" s="13" t="n">
        <f aca="false">(E2165/1000)*(F2165/1000)*(G2165/1000)*7850</f>
        <v>359.216</v>
      </c>
      <c r="I2165" s="8" t="n">
        <v>2</v>
      </c>
      <c r="J2165" s="14" t="n">
        <f aca="false">H2165*I2165</f>
        <v>718.432</v>
      </c>
      <c r="K2165" s="8" t="s">
        <v>2240</v>
      </c>
    </row>
    <row r="2166" customFormat="false" ht="13.8" hidden="false" customHeight="false" outlineLevel="0" collapsed="false">
      <c r="A2166" s="8" t="s">
        <v>2191</v>
      </c>
      <c r="B2166" s="8" t="s">
        <v>42</v>
      </c>
      <c r="C2166" s="8" t="s">
        <v>313</v>
      </c>
      <c r="D2166" s="8" t="s">
        <v>40</v>
      </c>
      <c r="E2166" s="8" t="n">
        <v>1657</v>
      </c>
      <c r="F2166" s="8" t="n">
        <v>200</v>
      </c>
      <c r="G2166" s="8" t="n">
        <v>16</v>
      </c>
      <c r="H2166" s="13" t="n">
        <f aca="false">(E2166/1000)*(F2166/1000)*(G2166/1000)*7850</f>
        <v>41.62384</v>
      </c>
      <c r="I2166" s="8" t="n">
        <v>10</v>
      </c>
      <c r="J2166" s="14" t="n">
        <f aca="false">H2166*I2166</f>
        <v>416.2384</v>
      </c>
      <c r="K2166" s="8" t="s">
        <v>2241</v>
      </c>
    </row>
    <row r="2167" customFormat="false" ht="13.8" hidden="false" customHeight="false" outlineLevel="0" collapsed="false">
      <c r="A2167" s="8" t="s">
        <v>2191</v>
      </c>
      <c r="B2167" s="8" t="s">
        <v>42</v>
      </c>
      <c r="C2167" s="8" t="s">
        <v>112</v>
      </c>
      <c r="D2167" s="8" t="s">
        <v>40</v>
      </c>
      <c r="E2167" s="8" t="n">
        <v>1450</v>
      </c>
      <c r="F2167" s="8" t="n">
        <v>1200</v>
      </c>
      <c r="G2167" s="8" t="n">
        <v>16</v>
      </c>
      <c r="H2167" s="13" t="n">
        <f aca="false">(E2167/1000)*(F2167/1000)*(G2167/1000)*7850</f>
        <v>218.544</v>
      </c>
      <c r="I2167" s="8" t="n">
        <v>12</v>
      </c>
      <c r="J2167" s="14" t="n">
        <f aca="false">H2167*I2167</f>
        <v>2622.528</v>
      </c>
      <c r="K2167" s="8" t="s">
        <v>2242</v>
      </c>
    </row>
    <row r="2168" customFormat="false" ht="13.8" hidden="false" customHeight="false" outlineLevel="0" collapsed="false">
      <c r="A2168" s="8" t="s">
        <v>2191</v>
      </c>
      <c r="B2168" s="8" t="s">
        <v>314</v>
      </c>
      <c r="C2168" s="8" t="s">
        <v>2243</v>
      </c>
      <c r="D2168" s="8" t="s">
        <v>40</v>
      </c>
      <c r="E2168" s="8" t="n">
        <v>2792</v>
      </c>
      <c r="F2168" s="8" t="n">
        <v>320</v>
      </c>
      <c r="G2168" s="8" t="n">
        <v>32</v>
      </c>
      <c r="H2168" s="13" t="n">
        <f aca="false">(E2168/1000)*(F2168/1000)*(G2168/1000)*7850</f>
        <v>224.432128</v>
      </c>
      <c r="I2168" s="8" t="n">
        <v>4</v>
      </c>
      <c r="J2168" s="14" t="n">
        <f aca="false">H2168*I2168</f>
        <v>897.728512</v>
      </c>
      <c r="K2168" s="8" t="s">
        <v>2244</v>
      </c>
    </row>
    <row r="2169" customFormat="false" ht="13.8" hidden="false" customHeight="false" outlineLevel="0" collapsed="false">
      <c r="A2169" s="8" t="s">
        <v>2191</v>
      </c>
      <c r="B2169" s="8" t="s">
        <v>42</v>
      </c>
      <c r="C2169" s="8" t="s">
        <v>116</v>
      </c>
      <c r="D2169" s="8" t="s">
        <v>40</v>
      </c>
      <c r="E2169" s="8" t="n">
        <v>10103</v>
      </c>
      <c r="F2169" s="8" t="n">
        <v>240</v>
      </c>
      <c r="G2169" s="8" t="n">
        <v>20</v>
      </c>
      <c r="H2169" s="13" t="n">
        <f aca="false">(E2169/1000)*(F2169/1000)*(G2169/1000)*7850</f>
        <v>380.68104</v>
      </c>
      <c r="I2169" s="8" t="n">
        <v>4</v>
      </c>
      <c r="J2169" s="14" t="n">
        <f aca="false">H2169*I2169</f>
        <v>1522.72416</v>
      </c>
      <c r="K2169" s="8" t="s">
        <v>2245</v>
      </c>
    </row>
    <row r="2170" customFormat="false" ht="13.8" hidden="false" customHeight="false" outlineLevel="0" collapsed="false">
      <c r="A2170" s="8" t="s">
        <v>2191</v>
      </c>
      <c r="B2170" s="8" t="s">
        <v>42</v>
      </c>
      <c r="C2170" s="8" t="s">
        <v>118</v>
      </c>
      <c r="D2170" s="8" t="s">
        <v>40</v>
      </c>
      <c r="E2170" s="8" t="n">
        <v>7700</v>
      </c>
      <c r="F2170" s="8" t="n">
        <v>240</v>
      </c>
      <c r="G2170" s="8" t="n">
        <v>20</v>
      </c>
      <c r="H2170" s="13" t="n">
        <f aca="false">(E2170/1000)*(F2170/1000)*(G2170/1000)*7850</f>
        <v>290.136</v>
      </c>
      <c r="I2170" s="8" t="n">
        <v>4</v>
      </c>
      <c r="J2170" s="14" t="n">
        <f aca="false">H2170*I2170</f>
        <v>1160.544</v>
      </c>
      <c r="K2170" s="8" t="s">
        <v>2246</v>
      </c>
    </row>
    <row r="2171" customFormat="false" ht="13.8" hidden="false" customHeight="false" outlineLevel="0" collapsed="false">
      <c r="A2171" s="8" t="s">
        <v>2191</v>
      </c>
      <c r="B2171" s="8" t="s">
        <v>42</v>
      </c>
      <c r="C2171" s="8" t="s">
        <v>120</v>
      </c>
      <c r="D2171" s="8" t="s">
        <v>40</v>
      </c>
      <c r="E2171" s="8" t="n">
        <v>17803</v>
      </c>
      <c r="F2171" s="8" t="n">
        <v>240</v>
      </c>
      <c r="G2171" s="8" t="n">
        <v>20</v>
      </c>
      <c r="H2171" s="13" t="n">
        <f aca="false">(E2171/1000)*(F2171/1000)*(G2171/1000)*7850</f>
        <v>670.81704</v>
      </c>
      <c r="I2171" s="8" t="n">
        <v>4</v>
      </c>
      <c r="J2171" s="14" t="n">
        <f aca="false">H2171*I2171</f>
        <v>2683.26816</v>
      </c>
      <c r="K2171" s="8" t="s">
        <v>2247</v>
      </c>
    </row>
    <row r="2172" customFormat="false" ht="13.8" hidden="false" customHeight="false" outlineLevel="0" collapsed="false">
      <c r="A2172" s="8" t="s">
        <v>2191</v>
      </c>
      <c r="B2172" s="8" t="s">
        <v>42</v>
      </c>
      <c r="C2172" s="8" t="s">
        <v>2248</v>
      </c>
      <c r="D2172" s="8" t="s">
        <v>40</v>
      </c>
      <c r="E2172" s="8" t="n">
        <v>2983</v>
      </c>
      <c r="F2172" s="8" t="n">
        <v>320</v>
      </c>
      <c r="G2172" s="8" t="n">
        <v>32</v>
      </c>
      <c r="H2172" s="13" t="n">
        <f aca="false">(E2172/1000)*(F2172/1000)*(G2172/1000)*7850</f>
        <v>239.785472</v>
      </c>
      <c r="I2172" s="8" t="n">
        <v>4</v>
      </c>
      <c r="J2172" s="14" t="n">
        <f aca="false">H2172*I2172</f>
        <v>959.141888</v>
      </c>
      <c r="K2172" s="8" t="s">
        <v>2249</v>
      </c>
    </row>
    <row r="2173" customFormat="false" ht="13.8" hidden="false" customHeight="false" outlineLevel="0" collapsed="false">
      <c r="A2173" s="8" t="s">
        <v>2191</v>
      </c>
      <c r="B2173" s="8" t="s">
        <v>42</v>
      </c>
      <c r="C2173" s="8" t="s">
        <v>123</v>
      </c>
      <c r="D2173" s="8" t="s">
        <v>40</v>
      </c>
      <c r="E2173" s="8" t="n">
        <v>20592</v>
      </c>
      <c r="F2173" s="8" t="n">
        <v>170</v>
      </c>
      <c r="G2173" s="8" t="n">
        <v>14</v>
      </c>
      <c r="H2173" s="13" t="n">
        <f aca="false">(E2173/1000)*(F2173/1000)*(G2173/1000)*7850</f>
        <v>384.720336</v>
      </c>
      <c r="I2173" s="8" t="n">
        <v>2</v>
      </c>
      <c r="J2173" s="14" t="n">
        <f aca="false">H2173*I2173</f>
        <v>769.440672</v>
      </c>
      <c r="K2173" s="8" t="s">
        <v>2250</v>
      </c>
    </row>
    <row r="2174" customFormat="false" ht="13.8" hidden="false" customHeight="false" outlineLevel="0" collapsed="false">
      <c r="A2174" s="8" t="s">
        <v>2191</v>
      </c>
      <c r="B2174" s="8" t="s">
        <v>272</v>
      </c>
      <c r="C2174" s="8" t="s">
        <v>125</v>
      </c>
      <c r="D2174" s="8" t="s">
        <v>40</v>
      </c>
      <c r="E2174" s="8" t="n">
        <v>11768</v>
      </c>
      <c r="F2174" s="8" t="n">
        <v>1200</v>
      </c>
      <c r="G2174" s="8" t="n">
        <v>36</v>
      </c>
      <c r="H2174" s="13" t="n">
        <f aca="false">(E2174/1000)*(F2174/1000)*(G2174/1000)*7850</f>
        <v>3990.76416</v>
      </c>
      <c r="I2174" s="8" t="n">
        <v>2</v>
      </c>
      <c r="J2174" s="14" t="n">
        <f aca="false">H2174*I2174</f>
        <v>7981.52832</v>
      </c>
      <c r="K2174" s="8" t="s">
        <v>2251</v>
      </c>
    </row>
    <row r="2175" customFormat="false" ht="13.8" hidden="false" customHeight="false" outlineLevel="0" collapsed="false">
      <c r="A2175" s="8" t="s">
        <v>2191</v>
      </c>
      <c r="B2175" s="8" t="s">
        <v>42</v>
      </c>
      <c r="C2175" s="8" t="s">
        <v>127</v>
      </c>
      <c r="D2175" s="8" t="s">
        <v>40</v>
      </c>
      <c r="E2175" s="8" t="n">
        <v>12368</v>
      </c>
      <c r="F2175" s="8" t="n">
        <v>1200</v>
      </c>
      <c r="G2175" s="8" t="n">
        <v>36</v>
      </c>
      <c r="H2175" s="13" t="n">
        <f aca="false">(E2175/1000)*(F2175/1000)*(G2175/1000)*7850</f>
        <v>4194.23616</v>
      </c>
      <c r="I2175" s="8" t="n">
        <v>2</v>
      </c>
      <c r="J2175" s="14" t="n">
        <f aca="false">H2175*I2175</f>
        <v>8388.47232</v>
      </c>
      <c r="K2175" s="8" t="s">
        <v>2252</v>
      </c>
    </row>
    <row r="2176" customFormat="false" ht="13.8" hidden="false" customHeight="false" outlineLevel="0" collapsed="false">
      <c r="A2176" s="8" t="s">
        <v>2191</v>
      </c>
      <c r="B2176" s="8" t="s">
        <v>42</v>
      </c>
      <c r="C2176" s="8" t="s">
        <v>128</v>
      </c>
      <c r="D2176" s="8" t="s">
        <v>40</v>
      </c>
      <c r="E2176" s="8" t="n">
        <v>7568</v>
      </c>
      <c r="F2176" s="8" t="n">
        <v>1360</v>
      </c>
      <c r="G2176" s="8" t="n">
        <v>36</v>
      </c>
      <c r="H2176" s="13" t="n">
        <f aca="false">(E2176/1000)*(F2176/1000)*(G2176/1000)*7850</f>
        <v>2908.654848</v>
      </c>
      <c r="I2176" s="8" t="n">
        <v>4</v>
      </c>
      <c r="J2176" s="14" t="n">
        <f aca="false">H2176*I2176</f>
        <v>11634.619392</v>
      </c>
      <c r="K2176" s="8" t="s">
        <v>2253</v>
      </c>
    </row>
    <row r="2177" customFormat="false" ht="13.8" hidden="false" customHeight="false" outlineLevel="0" collapsed="false">
      <c r="A2177" s="8" t="s">
        <v>2191</v>
      </c>
      <c r="B2177" s="8" t="s">
        <v>42</v>
      </c>
      <c r="C2177" s="8" t="s">
        <v>130</v>
      </c>
      <c r="D2177" s="8" t="s">
        <v>40</v>
      </c>
      <c r="E2177" s="8" t="n">
        <v>7568</v>
      </c>
      <c r="F2177" s="8" t="n">
        <v>320</v>
      </c>
      <c r="G2177" s="8" t="n">
        <v>32</v>
      </c>
      <c r="H2177" s="13" t="n">
        <f aca="false">(E2177/1000)*(F2177/1000)*(G2177/1000)*7850</f>
        <v>608.346112</v>
      </c>
      <c r="I2177" s="8" t="n">
        <v>4</v>
      </c>
      <c r="J2177" s="14" t="n">
        <f aca="false">H2177*I2177</f>
        <v>2433.384448</v>
      </c>
      <c r="K2177" s="8" t="s">
        <v>2254</v>
      </c>
    </row>
    <row r="2178" customFormat="false" ht="13.8" hidden="false" customHeight="false" outlineLevel="0" collapsed="false">
      <c r="A2178" s="8" t="s">
        <v>2191</v>
      </c>
      <c r="B2178" s="8" t="s">
        <v>42</v>
      </c>
      <c r="C2178" s="8" t="s">
        <v>620</v>
      </c>
      <c r="D2178" s="8" t="s">
        <v>40</v>
      </c>
      <c r="E2178" s="8" t="n">
        <v>10368</v>
      </c>
      <c r="F2178" s="8" t="n">
        <v>320</v>
      </c>
      <c r="G2178" s="8" t="n">
        <v>32</v>
      </c>
      <c r="H2178" s="13" t="n">
        <f aca="false">(E2178/1000)*(F2178/1000)*(G2178/1000)*7850</f>
        <v>833.421312</v>
      </c>
      <c r="I2178" s="8" t="n">
        <v>2</v>
      </c>
      <c r="J2178" s="14" t="n">
        <f aca="false">H2178*I2178</f>
        <v>1666.842624</v>
      </c>
      <c r="K2178" s="8" t="s">
        <v>2255</v>
      </c>
    </row>
    <row r="2179" customFormat="false" ht="13.8" hidden="false" customHeight="false" outlineLevel="0" collapsed="false">
      <c r="A2179" s="8" t="s">
        <v>2191</v>
      </c>
      <c r="B2179" s="8" t="s">
        <v>42</v>
      </c>
      <c r="C2179" s="8" t="s">
        <v>134</v>
      </c>
      <c r="D2179" s="8" t="s">
        <v>40</v>
      </c>
      <c r="E2179" s="8" t="n">
        <v>10968</v>
      </c>
      <c r="F2179" s="8" t="n">
        <v>320</v>
      </c>
      <c r="G2179" s="8" t="n">
        <v>32</v>
      </c>
      <c r="H2179" s="13" t="n">
        <f aca="false">(E2179/1000)*(F2179/1000)*(G2179/1000)*7850</f>
        <v>881.651712</v>
      </c>
      <c r="I2179" s="8" t="n">
        <v>2</v>
      </c>
      <c r="J2179" s="14" t="n">
        <f aca="false">H2179*I2179</f>
        <v>1763.303424</v>
      </c>
      <c r="K2179" s="8" t="s">
        <v>2256</v>
      </c>
    </row>
    <row r="2180" customFormat="false" ht="13.8" hidden="false" customHeight="false" outlineLevel="0" collapsed="false">
      <c r="A2180" s="8" t="s">
        <v>2191</v>
      </c>
      <c r="B2180" s="8" t="s">
        <v>42</v>
      </c>
      <c r="C2180" s="8" t="s">
        <v>135</v>
      </c>
      <c r="D2180" s="8" t="s">
        <v>40</v>
      </c>
      <c r="E2180" s="8" t="n">
        <v>1200</v>
      </c>
      <c r="F2180" s="8" t="n">
        <v>1200</v>
      </c>
      <c r="G2180" s="8" t="n">
        <v>16</v>
      </c>
      <c r="H2180" s="13" t="n">
        <f aca="false">(E2180/1000)*(F2180/1000)*(G2180/1000)*7850</f>
        <v>180.864</v>
      </c>
      <c r="I2180" s="8" t="n">
        <v>6</v>
      </c>
      <c r="J2180" s="14" t="n">
        <f aca="false">H2180*I2180</f>
        <v>1085.184</v>
      </c>
      <c r="K2180" s="8" t="s">
        <v>2257</v>
      </c>
    </row>
    <row r="2181" customFormat="false" ht="13.8" hidden="false" customHeight="false" outlineLevel="0" collapsed="false">
      <c r="A2181" s="8" t="s">
        <v>2191</v>
      </c>
      <c r="B2181" s="8" t="s">
        <v>42</v>
      </c>
      <c r="C2181" s="8" t="s">
        <v>323</v>
      </c>
      <c r="D2181" s="8" t="s">
        <v>40</v>
      </c>
      <c r="E2181" s="8" t="n">
        <v>12317</v>
      </c>
      <c r="F2181" s="8" t="n">
        <v>1200</v>
      </c>
      <c r="G2181" s="8" t="n">
        <v>36</v>
      </c>
      <c r="H2181" s="13" t="n">
        <f aca="false">(E2181/1000)*(F2181/1000)*(G2181/1000)*7850</f>
        <v>4176.94104</v>
      </c>
      <c r="I2181" s="8" t="n">
        <v>2</v>
      </c>
      <c r="J2181" s="14" t="n">
        <f aca="false">H2181*I2181</f>
        <v>8353.88208</v>
      </c>
      <c r="K2181" s="8" t="s">
        <v>2258</v>
      </c>
    </row>
    <row r="2182" customFormat="false" ht="13.8" hidden="false" customHeight="false" outlineLevel="0" collapsed="false">
      <c r="A2182" s="8" t="s">
        <v>2191</v>
      </c>
      <c r="B2182" s="8" t="s">
        <v>42</v>
      </c>
      <c r="C2182" s="8" t="s">
        <v>141</v>
      </c>
      <c r="D2182" s="8" t="s">
        <v>40</v>
      </c>
      <c r="E2182" s="8" t="n">
        <v>7717</v>
      </c>
      <c r="F2182" s="8" t="n">
        <v>1360</v>
      </c>
      <c r="G2182" s="8" t="n">
        <v>36</v>
      </c>
      <c r="H2182" s="13" t="n">
        <f aca="false">(E2182/1000)*(F2182/1000)*(G2182/1000)*7850</f>
        <v>2965.920912</v>
      </c>
      <c r="I2182" s="8" t="n">
        <v>4</v>
      </c>
      <c r="J2182" s="14" t="n">
        <f aca="false">H2182*I2182</f>
        <v>11863.683648</v>
      </c>
      <c r="K2182" s="8" t="s">
        <v>2259</v>
      </c>
    </row>
    <row r="2183" customFormat="false" ht="13.8" hidden="false" customHeight="false" outlineLevel="0" collapsed="false">
      <c r="A2183" s="8" t="s">
        <v>2191</v>
      </c>
      <c r="B2183" s="8" t="s">
        <v>42</v>
      </c>
      <c r="C2183" s="8" t="s">
        <v>143</v>
      </c>
      <c r="D2183" s="8" t="s">
        <v>40</v>
      </c>
      <c r="E2183" s="8" t="n">
        <v>7717</v>
      </c>
      <c r="F2183" s="8" t="n">
        <v>320</v>
      </c>
      <c r="G2183" s="8" t="n">
        <v>32</v>
      </c>
      <c r="H2183" s="13" t="n">
        <f aca="false">(E2183/1000)*(F2183/1000)*(G2183/1000)*7850</f>
        <v>620.323328</v>
      </c>
      <c r="I2183" s="8" t="n">
        <v>4</v>
      </c>
      <c r="J2183" s="14" t="n">
        <f aca="false">H2183*I2183</f>
        <v>2481.293312</v>
      </c>
      <c r="K2183" s="8" t="s">
        <v>2260</v>
      </c>
    </row>
    <row r="2184" customFormat="false" ht="13.8" hidden="false" customHeight="false" outlineLevel="0" collapsed="false">
      <c r="A2184" s="8" t="s">
        <v>2191</v>
      </c>
      <c r="B2184" s="8" t="s">
        <v>42</v>
      </c>
      <c r="C2184" s="8" t="s">
        <v>326</v>
      </c>
      <c r="D2184" s="8" t="s">
        <v>40</v>
      </c>
      <c r="E2184" s="8" t="n">
        <v>11217</v>
      </c>
      <c r="F2184" s="8" t="n">
        <v>320</v>
      </c>
      <c r="G2184" s="8" t="n">
        <v>32</v>
      </c>
      <c r="H2184" s="13" t="n">
        <f aca="false">(E2184/1000)*(F2184/1000)*(G2184/1000)*7850</f>
        <v>901.667328</v>
      </c>
      <c r="I2184" s="8" t="n">
        <v>2</v>
      </c>
      <c r="J2184" s="14" t="n">
        <f aca="false">H2184*I2184</f>
        <v>1803.334656</v>
      </c>
      <c r="K2184" s="8" t="s">
        <v>2261</v>
      </c>
    </row>
    <row r="2185" customFormat="false" ht="13.8" hidden="false" customHeight="false" outlineLevel="0" collapsed="false">
      <c r="A2185" s="8" t="s">
        <v>2191</v>
      </c>
      <c r="B2185" s="8" t="s">
        <v>42</v>
      </c>
      <c r="C2185" s="8" t="s">
        <v>147</v>
      </c>
      <c r="D2185" s="8" t="s">
        <v>40</v>
      </c>
      <c r="E2185" s="8" t="n">
        <v>11617</v>
      </c>
      <c r="F2185" s="8" t="n">
        <v>320</v>
      </c>
      <c r="G2185" s="8" t="n">
        <v>32</v>
      </c>
      <c r="H2185" s="13" t="n">
        <f aca="false">(E2185/1000)*(F2185/1000)*(G2185/1000)*7850</f>
        <v>933.820928</v>
      </c>
      <c r="I2185" s="8" t="n">
        <v>2</v>
      </c>
      <c r="J2185" s="14" t="n">
        <f aca="false">H2185*I2185</f>
        <v>1867.641856</v>
      </c>
      <c r="K2185" s="8" t="s">
        <v>2262</v>
      </c>
    </row>
    <row r="2186" customFormat="false" ht="13.8" hidden="false" customHeight="false" outlineLevel="0" collapsed="false">
      <c r="A2186" s="8" t="s">
        <v>2191</v>
      </c>
      <c r="B2186" s="8" t="s">
        <v>1212</v>
      </c>
      <c r="C2186" s="8" t="s">
        <v>150</v>
      </c>
      <c r="D2186" s="8" t="s">
        <v>40</v>
      </c>
      <c r="E2186" s="8" t="n">
        <v>10637</v>
      </c>
      <c r="F2186" s="8" t="n">
        <v>1200</v>
      </c>
      <c r="G2186" s="8" t="n">
        <v>20</v>
      </c>
      <c r="H2186" s="13" t="n">
        <f aca="false">(E2186/1000)*(F2186/1000)*(G2186/1000)*7850</f>
        <v>2004.0108</v>
      </c>
      <c r="I2186" s="8" t="n">
        <v>2</v>
      </c>
      <c r="J2186" s="14" t="n">
        <f aca="false">H2186*I2186</f>
        <v>4008.0216</v>
      </c>
      <c r="K2186" s="8" t="s">
        <v>2263</v>
      </c>
    </row>
    <row r="2187" customFormat="false" ht="13.8" hidden="false" customHeight="false" outlineLevel="0" collapsed="false">
      <c r="A2187" s="8" t="s">
        <v>2191</v>
      </c>
      <c r="B2187" s="8" t="s">
        <v>2264</v>
      </c>
      <c r="C2187" s="8" t="s">
        <v>155</v>
      </c>
      <c r="D2187" s="8" t="s">
        <v>40</v>
      </c>
      <c r="E2187" s="8" t="n">
        <v>6737</v>
      </c>
      <c r="F2187" s="8" t="n">
        <v>1500</v>
      </c>
      <c r="G2187" s="8" t="n">
        <v>20</v>
      </c>
      <c r="H2187" s="13" t="n">
        <f aca="false">(E2187/1000)*(F2187/1000)*(G2187/1000)*7850</f>
        <v>1586.5635</v>
      </c>
      <c r="I2187" s="8" t="n">
        <v>4</v>
      </c>
      <c r="J2187" s="14" t="n">
        <f aca="false">H2187*I2187</f>
        <v>6346.254</v>
      </c>
      <c r="K2187" s="8" t="s">
        <v>2265</v>
      </c>
    </row>
    <row r="2188" customFormat="false" ht="13.8" hidden="false" customHeight="false" outlineLevel="0" collapsed="false">
      <c r="A2188" s="8" t="s">
        <v>2191</v>
      </c>
      <c r="B2188" s="8" t="s">
        <v>157</v>
      </c>
      <c r="C2188" s="8" t="s">
        <v>158</v>
      </c>
      <c r="D2188" s="8" t="s">
        <v>40</v>
      </c>
      <c r="E2188" s="8" t="n">
        <v>1400</v>
      </c>
      <c r="F2188" s="8" t="n">
        <v>1200</v>
      </c>
      <c r="G2188" s="8" t="n">
        <v>16</v>
      </c>
      <c r="H2188" s="13" t="n">
        <f aca="false">(E2188/1000)*(F2188/1000)*(G2188/1000)*7850</f>
        <v>211.008</v>
      </c>
      <c r="I2188" s="8" t="n">
        <v>6</v>
      </c>
      <c r="J2188" s="14" t="n">
        <f aca="false">H2188*I2188</f>
        <v>1266.048</v>
      </c>
      <c r="K2188" s="8" t="s">
        <v>2266</v>
      </c>
    </row>
    <row r="2189" customFormat="false" ht="13.8" hidden="false" customHeight="false" outlineLevel="0" collapsed="false">
      <c r="A2189" s="8" t="s">
        <v>2191</v>
      </c>
      <c r="B2189" s="8" t="s">
        <v>1217</v>
      </c>
      <c r="C2189" s="8" t="s">
        <v>160</v>
      </c>
      <c r="D2189" s="8" t="s">
        <v>40</v>
      </c>
      <c r="E2189" s="8" t="n">
        <v>6737</v>
      </c>
      <c r="F2189" s="8" t="n">
        <v>190</v>
      </c>
      <c r="G2189" s="8" t="n">
        <v>16</v>
      </c>
      <c r="H2189" s="13" t="n">
        <f aca="false">(E2189/1000)*(F2189/1000)*(G2189/1000)*7850</f>
        <v>160.771768</v>
      </c>
      <c r="I2189" s="8" t="n">
        <v>4</v>
      </c>
      <c r="J2189" s="14" t="n">
        <f aca="false">H2189*I2189</f>
        <v>643.087072</v>
      </c>
      <c r="K2189" s="8" t="s">
        <v>2267</v>
      </c>
    </row>
    <row r="2190" customFormat="false" ht="13.8" hidden="false" customHeight="false" outlineLevel="0" collapsed="false">
      <c r="A2190" s="8" t="s">
        <v>2191</v>
      </c>
      <c r="B2190" s="8" t="s">
        <v>42</v>
      </c>
      <c r="C2190" s="8" t="s">
        <v>2268</v>
      </c>
      <c r="D2190" s="8" t="s">
        <v>40</v>
      </c>
      <c r="E2190" s="8" t="n">
        <v>9237</v>
      </c>
      <c r="F2190" s="8" t="n">
        <v>190</v>
      </c>
      <c r="G2190" s="8" t="n">
        <v>16</v>
      </c>
      <c r="H2190" s="13" t="n">
        <f aca="false">(E2190/1000)*(F2190/1000)*(G2190/1000)*7850</f>
        <v>220.431768</v>
      </c>
      <c r="I2190" s="8" t="n">
        <v>2</v>
      </c>
      <c r="J2190" s="14" t="n">
        <f aca="false">H2190*I2190</f>
        <v>440.863536</v>
      </c>
      <c r="K2190" s="8" t="s">
        <v>2269</v>
      </c>
    </row>
    <row r="2191" customFormat="false" ht="13.8" hidden="false" customHeight="false" outlineLevel="0" collapsed="false">
      <c r="A2191" s="8" t="s">
        <v>2191</v>
      </c>
      <c r="B2191" s="8" t="s">
        <v>42</v>
      </c>
      <c r="C2191" s="8" t="s">
        <v>165</v>
      </c>
      <c r="D2191" s="8" t="s">
        <v>40</v>
      </c>
      <c r="E2191" s="8" t="n">
        <v>7687</v>
      </c>
      <c r="F2191" s="8" t="n">
        <v>190</v>
      </c>
      <c r="G2191" s="8" t="n">
        <v>16</v>
      </c>
      <c r="H2191" s="13" t="n">
        <f aca="false">(E2191/1000)*(F2191/1000)*(G2191/1000)*7850</f>
        <v>183.442568</v>
      </c>
      <c r="I2191" s="8" t="n">
        <v>2</v>
      </c>
      <c r="J2191" s="14" t="n">
        <f aca="false">H2191*I2191</f>
        <v>366.885136</v>
      </c>
      <c r="K2191" s="8" t="s">
        <v>2270</v>
      </c>
    </row>
    <row r="2192" customFormat="false" ht="13.8" hidden="false" customHeight="false" outlineLevel="0" collapsed="false">
      <c r="A2192" s="8" t="s">
        <v>2271</v>
      </c>
      <c r="B2192" s="8" t="s">
        <v>2272</v>
      </c>
      <c r="C2192" s="8" t="s">
        <v>14</v>
      </c>
      <c r="D2192" s="8" t="s">
        <v>2273</v>
      </c>
      <c r="H2192" s="13" t="n">
        <v>110530.4</v>
      </c>
      <c r="I2192" s="8" t="n">
        <v>1</v>
      </c>
      <c r="J2192" s="14" t="n">
        <f aca="false">H2192*I2192</f>
        <v>110530.4</v>
      </c>
      <c r="K2192" s="8" t="s">
        <v>2274</v>
      </c>
    </row>
    <row r="2193" customFormat="false" ht="13.8" hidden="false" customHeight="false" outlineLevel="0" collapsed="false">
      <c r="A2193" s="8"/>
      <c r="B2193" s="8" t="s">
        <v>2275</v>
      </c>
      <c r="J2193" s="14" t="n">
        <f aca="false">SUM(J4:J2192)</f>
        <v>7353434.7246736</v>
      </c>
    </row>
    <row r="2194" customFormat="false" ht="13.8" hidden="false" customHeight="false" outlineLevel="0" collapsed="false"/>
    <row r="2195" customFormat="false" ht="13.8" hidden="false" customHeight="false" outlineLevel="0" collapsed="false">
      <c r="A2195" s="8"/>
      <c r="B2195" s="8" t="s">
        <v>2276</v>
      </c>
      <c r="N2195" s="15" t="n">
        <f aca="false">SUMIF($G$4:$G$2191,N$3,$J$4:$J$2191)</f>
        <v>0</v>
      </c>
      <c r="O2195" s="15" t="n">
        <f aca="false">SUMIF($G$4:$G$2191,O$3,$J$4:$J$2191)</f>
        <v>0</v>
      </c>
      <c r="P2195" s="15" t="n">
        <f aca="false">SUMIF($G$4:$G$2191,P$3,$J$4:$J$2191)</f>
        <v>0</v>
      </c>
      <c r="Q2195" s="15" t="n">
        <f aca="false">SUMIF($G$4:$G$2191,Q$3,$J$4:$J$2191)</f>
        <v>117874.4116984</v>
      </c>
      <c r="R2195" s="15" t="n">
        <f aca="false">SUMIF($G$4:$G$2191,R$3,$J$4:$J$2191)</f>
        <v>282166.37856</v>
      </c>
      <c r="S2195" s="15" t="n">
        <f aca="false">SUMIF($G$4:$G$2191,S$3,$J$4:$J$2191)</f>
        <v>840746.578436</v>
      </c>
      <c r="T2195" s="15" t="n">
        <f aca="false">SUMIF($G$4:$G$2191,T$3,$J$4:$J$2191)</f>
        <v>597136.788024</v>
      </c>
      <c r="U2195" s="15" t="n">
        <f aca="false">SUMIF($G$4:$G$2191,U$3,$J$4:$J$2191)</f>
        <v>120224.4456</v>
      </c>
      <c r="V2195" s="15" t="n">
        <f aca="false">SUMIF($G$4:$G$2191,V$3,$J$4:$J$2191)</f>
        <v>1317895.3675072</v>
      </c>
      <c r="W2195" s="15" t="n">
        <f aca="false">SUMIF($G$4:$G$2191,W$3,$J$4:$J$2191)</f>
        <v>994751.174808</v>
      </c>
      <c r="X2195" s="15" t="n">
        <f aca="false">SUMIF($G$4:$G$2191,X$3,$J$4:$J$2191)</f>
        <v>1603068.54576</v>
      </c>
      <c r="Y2195" s="15" t="n">
        <f aca="false">SUMIF($G$4:$G$2191,Y$3,$J$4:$J$2191)</f>
        <v>771857.7342256</v>
      </c>
      <c r="Z2195" s="15" t="n">
        <f aca="false">SUMIF($G$4:$G$2191,Z$3,$J$4:$J$2191)</f>
        <v>547061.5292544</v>
      </c>
      <c r="AA2195" s="15" t="n">
        <f aca="false">SUMIF($G$4:$G$2191,AA$3,$J$4:$J$2191)</f>
        <v>4933.6308</v>
      </c>
      <c r="AB2195" s="15" t="n">
        <f aca="false">SUMIF($G$4:$G$2191,AB$3,$J$4:$J$2191)</f>
        <v>20083.44</v>
      </c>
      <c r="AC2195" s="15" t="n">
        <f aca="false">SUMIF($G$4:$G$2191,AC$3,$J$4:$J$2191)</f>
        <v>25104.3</v>
      </c>
      <c r="AD2195" s="15" t="n">
        <f aca="false">SUM(N2195:AC2195)</f>
        <v>7242904.3246736</v>
      </c>
    </row>
    <row r="2196" customFormat="false" ht="13.8" hidden="false" customHeight="false" outlineLevel="0" collapsed="false"/>
    <row r="2197" customFormat="false" ht="13.8" hidden="false" customHeight="false" outlineLevel="0" collapsed="false">
      <c r="A2197" s="8"/>
      <c r="B2197" s="8" t="s">
        <v>2277</v>
      </c>
    </row>
    <row r="2198" customFormat="false" ht="13.8" hidden="false" customHeight="false" outlineLevel="0" collapsed="false">
      <c r="A2198" s="8" t="s">
        <v>2278</v>
      </c>
      <c r="B2198" s="8" t="s">
        <v>2279</v>
      </c>
      <c r="C2198" s="8" t="s">
        <v>147</v>
      </c>
      <c r="D2198" s="8" t="s">
        <v>40</v>
      </c>
      <c r="K2198" s="8" t="s">
        <v>2280</v>
      </c>
    </row>
    <row r="2199" customFormat="false" ht="13.8" hidden="false" customHeight="false" outlineLevel="0" collapsed="false">
      <c r="A2199" s="8" t="s">
        <v>2281</v>
      </c>
      <c r="B2199" s="8" t="s">
        <v>2279</v>
      </c>
      <c r="C2199" s="8" t="s">
        <v>313</v>
      </c>
      <c r="D2199" s="8" t="s">
        <v>40</v>
      </c>
      <c r="K2199" s="8" t="s">
        <v>2282</v>
      </c>
    </row>
    <row r="2200" customFormat="false" ht="13.8" hidden="false" customHeight="false" outlineLevel="0" collapsed="false">
      <c r="A2200" s="8" t="s">
        <v>2283</v>
      </c>
      <c r="B2200" s="8" t="s">
        <v>2279</v>
      </c>
      <c r="C2200" s="8" t="s">
        <v>134</v>
      </c>
      <c r="D2200" s="8" t="s">
        <v>40</v>
      </c>
      <c r="K2200" s="8" t="s">
        <v>2284</v>
      </c>
    </row>
    <row r="2201" customFormat="false" ht="13.8" hidden="false" customHeight="false" outlineLevel="0" collapsed="false">
      <c r="A2201" s="8" t="s">
        <v>2285</v>
      </c>
      <c r="B2201" s="8" t="s">
        <v>2279</v>
      </c>
      <c r="C2201" s="8" t="s">
        <v>108</v>
      </c>
      <c r="D2201" s="8" t="s">
        <v>40</v>
      </c>
      <c r="K2201" s="8" t="s">
        <v>2286</v>
      </c>
    </row>
    <row r="2202" customFormat="false" ht="13.8" hidden="false" customHeight="false" outlineLevel="0" collapsed="false">
      <c r="A2202" s="8" t="s">
        <v>2285</v>
      </c>
      <c r="B2202" s="8" t="s">
        <v>2279</v>
      </c>
      <c r="C2202" s="8" t="s">
        <v>137</v>
      </c>
      <c r="D2202" s="8" t="s">
        <v>40</v>
      </c>
      <c r="K2202" s="8" t="s">
        <v>2287</v>
      </c>
    </row>
    <row r="2203" customFormat="false" ht="13.8" hidden="false" customHeight="false" outlineLevel="0" collapsed="false">
      <c r="A2203" s="8" t="s">
        <v>2288</v>
      </c>
      <c r="B2203" s="8" t="s">
        <v>2279</v>
      </c>
      <c r="C2203" s="8" t="s">
        <v>125</v>
      </c>
      <c r="D2203" s="8" t="s">
        <v>40</v>
      </c>
      <c r="K2203" s="8" t="s">
        <v>2289</v>
      </c>
    </row>
    <row r="2204" customFormat="false" ht="13.8" hidden="false" customHeight="false" outlineLevel="0" collapsed="false">
      <c r="A2204" s="8" t="s">
        <v>2290</v>
      </c>
      <c r="B2204" s="8" t="s">
        <v>2279</v>
      </c>
      <c r="C2204" s="8" t="s">
        <v>150</v>
      </c>
      <c r="D2204" s="8" t="s">
        <v>341</v>
      </c>
      <c r="K2204" s="8" t="s">
        <v>2291</v>
      </c>
    </row>
    <row r="2205" customFormat="false" ht="13.8" hidden="false" customHeight="false" outlineLevel="0" collapsed="false">
      <c r="A2205" s="8" t="s">
        <v>2292</v>
      </c>
      <c r="B2205" s="8" t="s">
        <v>2293</v>
      </c>
      <c r="C2205" s="8" t="s">
        <v>2203</v>
      </c>
      <c r="D2205" s="8" t="s">
        <v>2294</v>
      </c>
      <c r="G2205" s="8" t="n">
        <v>4</v>
      </c>
      <c r="K2205" s="8" t="s">
        <v>2295</v>
      </c>
    </row>
    <row r="2206" customFormat="false" ht="13.8" hidden="false" customHeight="false" outlineLevel="0" collapsed="false">
      <c r="A2206" s="8" t="s">
        <v>2296</v>
      </c>
      <c r="B2206" s="8" t="s">
        <v>2293</v>
      </c>
      <c r="C2206" s="8" t="s">
        <v>2203</v>
      </c>
      <c r="D2206" s="8" t="s">
        <v>2294</v>
      </c>
      <c r="G2206" s="8" t="n">
        <v>4</v>
      </c>
      <c r="K2206" s="8" t="s">
        <v>2295</v>
      </c>
    </row>
    <row r="2207" customFormat="false" ht="13.8" hidden="false" customHeight="false" outlineLevel="0" collapsed="false">
      <c r="A2207" s="8" t="s">
        <v>2297</v>
      </c>
      <c r="B2207" s="8" t="s">
        <v>2293</v>
      </c>
      <c r="C2207" s="8" t="s">
        <v>2203</v>
      </c>
      <c r="D2207" s="8" t="s">
        <v>2294</v>
      </c>
      <c r="G2207" s="8" t="n">
        <v>4</v>
      </c>
      <c r="K2207" s="8" t="s">
        <v>2295</v>
      </c>
    </row>
    <row r="2208" customFormat="false" ht="13.8" hidden="false" customHeight="false" outlineLevel="0" collapsed="false">
      <c r="A2208" s="8" t="s">
        <v>2298</v>
      </c>
      <c r="B2208" s="8" t="s">
        <v>2293</v>
      </c>
      <c r="C2208" s="8" t="s">
        <v>2203</v>
      </c>
      <c r="D2208" s="8" t="s">
        <v>2294</v>
      </c>
      <c r="G2208" s="8" t="n">
        <v>4</v>
      </c>
      <c r="K2208" s="8" t="s">
        <v>2295</v>
      </c>
    </row>
    <row r="2209" customFormat="false" ht="13.8" hidden="false" customHeight="false" outlineLevel="0" collapsed="false">
      <c r="A2209" s="8" t="s">
        <v>2299</v>
      </c>
      <c r="B2209" s="8" t="s">
        <v>2293</v>
      </c>
      <c r="C2209" s="8" t="s">
        <v>2203</v>
      </c>
      <c r="D2209" s="8" t="s">
        <v>2294</v>
      </c>
      <c r="G2209" s="8" t="n">
        <v>4</v>
      </c>
      <c r="K2209" s="8" t="s">
        <v>2295</v>
      </c>
    </row>
    <row r="2210" customFormat="false" ht="13.8" hidden="false" customHeight="false" outlineLevel="0" collapsed="false">
      <c r="A2210" s="8" t="s">
        <v>2278</v>
      </c>
      <c r="B2210" s="8" t="s">
        <v>2293</v>
      </c>
      <c r="C2210" s="8" t="s">
        <v>2203</v>
      </c>
      <c r="D2210" s="8" t="s">
        <v>2294</v>
      </c>
      <c r="G2210" s="8" t="n">
        <v>4</v>
      </c>
      <c r="K2210" s="8" t="s">
        <v>2295</v>
      </c>
    </row>
    <row r="2211" customFormat="false" ht="13.8" hidden="false" customHeight="false" outlineLevel="0" collapsed="false">
      <c r="A2211" s="8" t="s">
        <v>2300</v>
      </c>
      <c r="B2211" s="8" t="s">
        <v>2293</v>
      </c>
      <c r="C2211" s="8" t="s">
        <v>2203</v>
      </c>
      <c r="D2211" s="8" t="s">
        <v>2294</v>
      </c>
      <c r="G2211" s="8" t="n">
        <v>4</v>
      </c>
      <c r="K2211" s="8" t="s">
        <v>2295</v>
      </c>
    </row>
    <row r="2212" customFormat="false" ht="13.8" hidden="false" customHeight="false" outlineLevel="0" collapsed="false">
      <c r="A2212" s="8" t="s">
        <v>2301</v>
      </c>
      <c r="B2212" s="8" t="s">
        <v>2293</v>
      </c>
      <c r="C2212" s="8" t="s">
        <v>2203</v>
      </c>
      <c r="D2212" s="8" t="s">
        <v>2294</v>
      </c>
      <c r="G2212" s="8" t="n">
        <v>4</v>
      </c>
      <c r="K2212" s="8" t="s">
        <v>2295</v>
      </c>
    </row>
    <row r="2213" customFormat="false" ht="13.8" hidden="false" customHeight="false" outlineLevel="0" collapsed="false">
      <c r="A2213" s="8" t="s">
        <v>2302</v>
      </c>
      <c r="B2213" s="8" t="s">
        <v>2293</v>
      </c>
      <c r="C2213" s="8" t="s">
        <v>2203</v>
      </c>
      <c r="D2213" s="8" t="s">
        <v>2294</v>
      </c>
      <c r="G2213" s="8" t="n">
        <v>4</v>
      </c>
      <c r="K2213" s="8" t="s">
        <v>2295</v>
      </c>
    </row>
    <row r="2214" customFormat="false" ht="13.8" hidden="false" customHeight="false" outlineLevel="0" collapsed="false">
      <c r="A2214" s="8" t="s">
        <v>2281</v>
      </c>
      <c r="B2214" s="8" t="s">
        <v>2293</v>
      </c>
      <c r="C2214" s="8" t="s">
        <v>2203</v>
      </c>
      <c r="D2214" s="8" t="s">
        <v>2294</v>
      </c>
      <c r="G2214" s="8" t="n">
        <v>4</v>
      </c>
      <c r="K2214" s="8" t="s">
        <v>2295</v>
      </c>
    </row>
    <row r="2215" customFormat="false" ht="13.8" hidden="false" customHeight="false" outlineLevel="0" collapsed="false">
      <c r="A2215" s="8" t="s">
        <v>2303</v>
      </c>
      <c r="B2215" s="8" t="s">
        <v>2293</v>
      </c>
      <c r="C2215" s="8" t="s">
        <v>2203</v>
      </c>
      <c r="D2215" s="8" t="s">
        <v>2294</v>
      </c>
      <c r="G2215" s="8" t="n">
        <v>4</v>
      </c>
      <c r="K2215" s="8" t="s">
        <v>2304</v>
      </c>
    </row>
    <row r="2216" customFormat="false" ht="13.8" hidden="false" customHeight="false" outlineLevel="0" collapsed="false">
      <c r="A2216" s="8" t="s">
        <v>2305</v>
      </c>
      <c r="B2216" s="8" t="s">
        <v>2293</v>
      </c>
      <c r="C2216" s="8" t="s">
        <v>2203</v>
      </c>
      <c r="D2216" s="8" t="s">
        <v>2294</v>
      </c>
      <c r="G2216" s="8" t="n">
        <v>4</v>
      </c>
      <c r="K2216" s="8" t="s">
        <v>2295</v>
      </c>
    </row>
    <row r="2217" customFormat="false" ht="13.8" hidden="false" customHeight="false" outlineLevel="0" collapsed="false">
      <c r="A2217" s="8" t="s">
        <v>2306</v>
      </c>
      <c r="B2217" s="8" t="s">
        <v>2293</v>
      </c>
      <c r="C2217" s="8" t="s">
        <v>2203</v>
      </c>
      <c r="D2217" s="8" t="s">
        <v>2294</v>
      </c>
      <c r="G2217" s="8" t="n">
        <v>4</v>
      </c>
      <c r="K2217" s="8" t="s">
        <v>2295</v>
      </c>
    </row>
    <row r="2218" customFormat="false" ht="13.8" hidden="false" customHeight="false" outlineLevel="0" collapsed="false">
      <c r="A2218" s="8" t="s">
        <v>2307</v>
      </c>
      <c r="B2218" s="8" t="s">
        <v>2293</v>
      </c>
      <c r="C2218" s="8" t="s">
        <v>2203</v>
      </c>
      <c r="D2218" s="8" t="s">
        <v>2294</v>
      </c>
      <c r="G2218" s="8" t="n">
        <v>4</v>
      </c>
      <c r="K2218" s="8" t="s">
        <v>2295</v>
      </c>
    </row>
    <row r="2219" customFormat="false" ht="13.8" hidden="false" customHeight="false" outlineLevel="0" collapsed="false">
      <c r="A2219" s="8" t="s">
        <v>2283</v>
      </c>
      <c r="B2219" s="8" t="s">
        <v>2293</v>
      </c>
      <c r="C2219" s="8" t="s">
        <v>2203</v>
      </c>
      <c r="D2219" s="8" t="s">
        <v>2294</v>
      </c>
      <c r="G2219" s="8" t="n">
        <v>4</v>
      </c>
      <c r="K2219" s="8" t="s">
        <v>2295</v>
      </c>
    </row>
    <row r="2220" customFormat="false" ht="13.8" hidden="false" customHeight="false" outlineLevel="0" collapsed="false">
      <c r="A2220" s="8" t="s">
        <v>2308</v>
      </c>
      <c r="B2220" s="8" t="s">
        <v>2293</v>
      </c>
      <c r="C2220" s="8" t="s">
        <v>2203</v>
      </c>
      <c r="D2220" s="8" t="s">
        <v>2294</v>
      </c>
      <c r="G2220" s="8" t="n">
        <v>4</v>
      </c>
      <c r="K2220" s="8" t="s">
        <v>2295</v>
      </c>
    </row>
    <row r="2221" customFormat="false" ht="13.8" hidden="false" customHeight="false" outlineLevel="0" collapsed="false">
      <c r="A2221" s="8" t="s">
        <v>2309</v>
      </c>
      <c r="B2221" s="8" t="s">
        <v>2293</v>
      </c>
      <c r="C2221" s="8" t="s">
        <v>2203</v>
      </c>
      <c r="D2221" s="8" t="s">
        <v>2294</v>
      </c>
      <c r="G2221" s="8" t="n">
        <v>4</v>
      </c>
      <c r="K2221" s="8" t="s">
        <v>2295</v>
      </c>
    </row>
    <row r="2222" customFormat="false" ht="13.8" hidden="false" customHeight="false" outlineLevel="0" collapsed="false">
      <c r="A2222" s="8" t="s">
        <v>2285</v>
      </c>
      <c r="B2222" s="8" t="s">
        <v>2293</v>
      </c>
      <c r="C2222" s="8" t="s">
        <v>2203</v>
      </c>
      <c r="D2222" s="8" t="s">
        <v>2294</v>
      </c>
      <c r="G2222" s="8" t="n">
        <v>4</v>
      </c>
      <c r="K2222" s="8" t="s">
        <v>2295</v>
      </c>
    </row>
    <row r="2223" customFormat="false" ht="13.8" hidden="false" customHeight="false" outlineLevel="0" collapsed="false">
      <c r="A2223" s="8" t="s">
        <v>2310</v>
      </c>
      <c r="B2223" s="8" t="s">
        <v>2293</v>
      </c>
      <c r="C2223" s="8" t="s">
        <v>2203</v>
      </c>
      <c r="D2223" s="8" t="s">
        <v>2294</v>
      </c>
      <c r="G2223" s="8" t="n">
        <v>4</v>
      </c>
      <c r="K2223" s="8" t="s">
        <v>2295</v>
      </c>
    </row>
    <row r="2224" customFormat="false" ht="13.8" hidden="false" customHeight="false" outlineLevel="0" collapsed="false">
      <c r="A2224" s="8" t="s">
        <v>2311</v>
      </c>
      <c r="B2224" s="8" t="s">
        <v>2293</v>
      </c>
      <c r="C2224" s="8" t="s">
        <v>2203</v>
      </c>
      <c r="D2224" s="8" t="s">
        <v>2294</v>
      </c>
      <c r="G2224" s="8" t="n">
        <v>4</v>
      </c>
      <c r="K2224" s="8" t="s">
        <v>2312</v>
      </c>
    </row>
    <row r="2225" customFormat="false" ht="13.8" hidden="false" customHeight="false" outlineLevel="0" collapsed="false">
      <c r="A2225" s="8" t="s">
        <v>2313</v>
      </c>
      <c r="B2225" s="8" t="s">
        <v>2293</v>
      </c>
      <c r="C2225" s="8" t="s">
        <v>2203</v>
      </c>
      <c r="D2225" s="8" t="s">
        <v>2294</v>
      </c>
      <c r="G2225" s="8" t="n">
        <v>4</v>
      </c>
      <c r="K2225" s="8" t="s">
        <v>2295</v>
      </c>
    </row>
    <row r="2226" customFormat="false" ht="13.8" hidden="false" customHeight="false" outlineLevel="0" collapsed="false">
      <c r="A2226" s="8" t="s">
        <v>2314</v>
      </c>
      <c r="B2226" s="8" t="s">
        <v>2293</v>
      </c>
      <c r="C2226" s="8" t="s">
        <v>2203</v>
      </c>
      <c r="D2226" s="8" t="s">
        <v>2294</v>
      </c>
      <c r="G2226" s="8" t="n">
        <v>4</v>
      </c>
      <c r="K2226" s="8" t="s">
        <v>2295</v>
      </c>
    </row>
    <row r="2227" customFormat="false" ht="13.8" hidden="false" customHeight="false" outlineLevel="0" collapsed="false">
      <c r="A2227" s="8" t="s">
        <v>2314</v>
      </c>
      <c r="B2227" s="8" t="s">
        <v>2293</v>
      </c>
      <c r="C2227" s="8" t="s">
        <v>2203</v>
      </c>
      <c r="D2227" s="8" t="s">
        <v>40</v>
      </c>
      <c r="G2227" s="8" t="n">
        <v>4</v>
      </c>
      <c r="K2227" s="8" t="s">
        <v>2315</v>
      </c>
    </row>
    <row r="2228" customFormat="false" ht="13.8" hidden="false" customHeight="false" outlineLevel="0" collapsed="false">
      <c r="A2228" s="8" t="s">
        <v>2288</v>
      </c>
      <c r="B2228" s="8" t="s">
        <v>2293</v>
      </c>
      <c r="C2228" s="8" t="s">
        <v>2203</v>
      </c>
      <c r="D2228" s="8" t="s">
        <v>40</v>
      </c>
      <c r="G2228" s="8" t="n">
        <v>4</v>
      </c>
      <c r="K2228" s="8" t="s">
        <v>2316</v>
      </c>
    </row>
    <row r="2229" customFormat="false" ht="13.8" hidden="false" customHeight="false" outlineLevel="0" collapsed="false">
      <c r="A2229" s="8" t="s">
        <v>2317</v>
      </c>
      <c r="B2229" s="8" t="s">
        <v>2293</v>
      </c>
      <c r="C2229" s="8" t="s">
        <v>2203</v>
      </c>
      <c r="D2229" s="8" t="s">
        <v>40</v>
      </c>
      <c r="G2229" s="8" t="n">
        <v>4</v>
      </c>
      <c r="K2229" s="8" t="s">
        <v>2316</v>
      </c>
    </row>
    <row r="2230" customFormat="false" ht="13.8" hidden="false" customHeight="false" outlineLevel="0" collapsed="false">
      <c r="A2230" s="8" t="s">
        <v>2318</v>
      </c>
      <c r="B2230" s="8" t="s">
        <v>2293</v>
      </c>
      <c r="C2230" s="8" t="s">
        <v>2203</v>
      </c>
      <c r="D2230" s="8" t="s">
        <v>40</v>
      </c>
      <c r="G2230" s="8" t="n">
        <v>4</v>
      </c>
      <c r="K2230" s="8" t="s">
        <v>2316</v>
      </c>
    </row>
    <row r="2231" customFormat="false" ht="13.8" hidden="false" customHeight="false" outlineLevel="0" collapsed="false">
      <c r="A2231" s="8" t="s">
        <v>2319</v>
      </c>
      <c r="B2231" s="8" t="s">
        <v>2293</v>
      </c>
      <c r="C2231" s="8" t="s">
        <v>2203</v>
      </c>
      <c r="D2231" s="8" t="s">
        <v>40</v>
      </c>
      <c r="G2231" s="8" t="n">
        <v>4</v>
      </c>
      <c r="K2231" s="8" t="s">
        <v>2316</v>
      </c>
    </row>
    <row r="2232" customFormat="false" ht="13.8" hidden="false" customHeight="false" outlineLevel="0" collapsed="false">
      <c r="A2232" s="8" t="s">
        <v>2320</v>
      </c>
      <c r="B2232" s="8" t="s">
        <v>2293</v>
      </c>
      <c r="C2232" s="8" t="s">
        <v>2203</v>
      </c>
      <c r="D2232" s="8" t="s">
        <v>40</v>
      </c>
      <c r="G2232" s="8" t="n">
        <v>4</v>
      </c>
      <c r="K2232" s="8" t="s">
        <v>2316</v>
      </c>
    </row>
    <row r="2233" customFormat="false" ht="13.8" hidden="false" customHeight="false" outlineLevel="0" collapsed="false">
      <c r="A2233" s="8" t="s">
        <v>2321</v>
      </c>
      <c r="B2233" s="8" t="s">
        <v>2293</v>
      </c>
      <c r="C2233" s="8" t="s">
        <v>2203</v>
      </c>
      <c r="D2233" s="8" t="s">
        <v>341</v>
      </c>
      <c r="G2233" s="8" t="n">
        <v>4</v>
      </c>
      <c r="K2233" s="8" t="s">
        <v>2316</v>
      </c>
    </row>
    <row r="2234" customFormat="false" ht="13.8" hidden="false" customHeight="false" outlineLevel="0" collapsed="false">
      <c r="A2234" s="8" t="s">
        <v>2290</v>
      </c>
      <c r="B2234" s="8" t="s">
        <v>2293</v>
      </c>
      <c r="C2234" s="8" t="s">
        <v>2203</v>
      </c>
      <c r="D2234" s="8" t="s">
        <v>341</v>
      </c>
      <c r="G2234" s="8" t="n">
        <v>4</v>
      </c>
      <c r="K2234" s="8" t="s">
        <v>2316</v>
      </c>
    </row>
    <row r="2235" customFormat="false" ht="13.8" hidden="false" customHeight="false" outlineLevel="0" collapsed="false">
      <c r="A2235" s="8" t="s">
        <v>2322</v>
      </c>
      <c r="B2235" s="8" t="s">
        <v>2293</v>
      </c>
      <c r="C2235" s="8" t="s">
        <v>2203</v>
      </c>
      <c r="D2235" s="8" t="s">
        <v>40</v>
      </c>
      <c r="G2235" s="8" t="n">
        <v>4</v>
      </c>
      <c r="K2235" s="8" t="s">
        <v>2316</v>
      </c>
    </row>
    <row r="2236" customFormat="false" ht="13.8" hidden="false" customHeight="false" outlineLevel="0" collapsed="false">
      <c r="A2236" s="8" t="s">
        <v>2323</v>
      </c>
      <c r="B2236" s="8" t="s">
        <v>2293</v>
      </c>
      <c r="C2236" s="8" t="s">
        <v>2203</v>
      </c>
      <c r="D2236" s="8" t="s">
        <v>40</v>
      </c>
      <c r="G2236" s="8" t="n">
        <v>4</v>
      </c>
      <c r="K2236" s="8" t="s">
        <v>2316</v>
      </c>
    </row>
    <row r="2237" customFormat="false" ht="13.8" hidden="false" customHeight="false" outlineLevel="0" collapsed="false">
      <c r="A2237" s="8" t="s">
        <v>2324</v>
      </c>
      <c r="B2237" s="8" t="s">
        <v>2293</v>
      </c>
      <c r="C2237" s="8" t="s">
        <v>2203</v>
      </c>
      <c r="D2237" s="8" t="s">
        <v>40</v>
      </c>
      <c r="G2237" s="8" t="n">
        <v>4</v>
      </c>
      <c r="K2237" s="8" t="s">
        <v>2316</v>
      </c>
    </row>
    <row r="2238" customFormat="false" ht="13.8" hidden="false" customHeight="false" outlineLevel="0" collapsed="false">
      <c r="A2238" s="8" t="s">
        <v>2325</v>
      </c>
      <c r="B2238" s="8" t="s">
        <v>2293</v>
      </c>
      <c r="C2238" s="8" t="s">
        <v>2203</v>
      </c>
      <c r="D2238" s="8" t="s">
        <v>40</v>
      </c>
      <c r="G2238" s="8" t="n">
        <v>4</v>
      </c>
      <c r="K2238" s="8" t="s">
        <v>2316</v>
      </c>
    </row>
    <row r="2239" customFormat="false" ht="13.8" hidden="false" customHeight="false" outlineLevel="0" collapsed="false">
      <c r="A2239" s="8" t="s">
        <v>2326</v>
      </c>
      <c r="B2239" s="8" t="s">
        <v>2293</v>
      </c>
      <c r="C2239" s="8" t="s">
        <v>2203</v>
      </c>
      <c r="D2239" s="8" t="s">
        <v>40</v>
      </c>
      <c r="G2239" s="8" t="n">
        <v>4</v>
      </c>
      <c r="K2239" s="8" t="s">
        <v>2316</v>
      </c>
    </row>
    <row r="2240" customFormat="false" ht="13.8" hidden="false" customHeight="false" outlineLevel="0" collapsed="false">
      <c r="A2240" s="8" t="s">
        <v>2327</v>
      </c>
      <c r="B2240" s="8" t="s">
        <v>2293</v>
      </c>
      <c r="C2240" s="8" t="s">
        <v>2203</v>
      </c>
      <c r="D2240" s="8" t="s">
        <v>40</v>
      </c>
      <c r="G2240" s="8" t="n">
        <v>4</v>
      </c>
      <c r="K2240" s="8" t="s">
        <v>2328</v>
      </c>
    </row>
    <row r="2241" customFormat="false" ht="13.8" hidden="false" customHeight="false" outlineLevel="0" collapsed="false">
      <c r="A2241" s="8" t="s">
        <v>2329</v>
      </c>
      <c r="B2241" s="8" t="s">
        <v>2293</v>
      </c>
      <c r="C2241" s="8" t="s">
        <v>2203</v>
      </c>
      <c r="D2241" s="8" t="s">
        <v>40</v>
      </c>
      <c r="G2241" s="8" t="n">
        <v>4</v>
      </c>
      <c r="K2241" s="8" t="s">
        <v>2316</v>
      </c>
    </row>
    <row r="2242" customFormat="false" ht="13.8" hidden="false" customHeight="false" outlineLevel="0" collapsed="false">
      <c r="A2242" s="8" t="s">
        <v>2330</v>
      </c>
      <c r="B2242" s="8" t="s">
        <v>2293</v>
      </c>
      <c r="C2242" s="8" t="s">
        <v>2203</v>
      </c>
      <c r="D2242" s="8" t="s">
        <v>40</v>
      </c>
      <c r="G2242" s="8" t="n">
        <v>4</v>
      </c>
      <c r="K2242" s="8" t="s">
        <v>2316</v>
      </c>
    </row>
    <row r="2243" customFormat="false" ht="13.8" hidden="false" customHeight="false" outlineLevel="0" collapsed="false">
      <c r="A2243" s="8" t="s">
        <v>2331</v>
      </c>
      <c r="B2243" s="8" t="s">
        <v>2293</v>
      </c>
      <c r="C2243" s="8" t="s">
        <v>2203</v>
      </c>
      <c r="D2243" s="8" t="s">
        <v>341</v>
      </c>
      <c r="G2243" s="8" t="n">
        <v>4</v>
      </c>
      <c r="K2243" s="8" t="s">
        <v>2316</v>
      </c>
    </row>
    <row r="2244" customFormat="false" ht="13.8" hidden="false" customHeight="false" outlineLevel="0" collapsed="false">
      <c r="A2244" s="8" t="s">
        <v>2332</v>
      </c>
      <c r="B2244" s="8" t="s">
        <v>2293</v>
      </c>
      <c r="C2244" s="8" t="s">
        <v>2203</v>
      </c>
      <c r="D2244" s="8" t="s">
        <v>341</v>
      </c>
      <c r="G2244" s="8" t="n">
        <v>4</v>
      </c>
      <c r="K2244" s="8" t="s">
        <v>2316</v>
      </c>
    </row>
    <row r="2245" customFormat="false" ht="13.8" hidden="false" customHeight="false" outlineLevel="0" collapsed="false">
      <c r="A2245" s="8" t="s">
        <v>2333</v>
      </c>
      <c r="B2245" s="8" t="s">
        <v>2293</v>
      </c>
      <c r="C2245" s="8" t="s">
        <v>2203</v>
      </c>
      <c r="D2245" s="8" t="s">
        <v>341</v>
      </c>
      <c r="G2245" s="8" t="n">
        <v>4</v>
      </c>
      <c r="K2245" s="8" t="s">
        <v>2316</v>
      </c>
    </row>
    <row r="2246" customFormat="false" ht="13.8" hidden="false" customHeight="false" outlineLevel="0" collapsed="false">
      <c r="A2246" s="8" t="s">
        <v>2334</v>
      </c>
      <c r="B2246" s="8" t="s">
        <v>2293</v>
      </c>
      <c r="C2246" s="8" t="s">
        <v>2335</v>
      </c>
      <c r="D2246" s="8" t="s">
        <v>40</v>
      </c>
      <c r="G2246" s="8" t="n">
        <v>4</v>
      </c>
      <c r="K2246" s="8" t="s">
        <v>2316</v>
      </c>
    </row>
    <row r="2247" customFormat="false" ht="13.8" hidden="false" customHeight="false" outlineLevel="0" collapsed="false">
      <c r="A2247" s="8" t="s">
        <v>2336</v>
      </c>
      <c r="B2247" s="8" t="s">
        <v>2293</v>
      </c>
      <c r="C2247" s="8" t="s">
        <v>2203</v>
      </c>
      <c r="D2247" s="8" t="s">
        <v>40</v>
      </c>
      <c r="G2247" s="8" t="n">
        <v>4</v>
      </c>
      <c r="K2247" s="8" t="s">
        <v>2316</v>
      </c>
    </row>
    <row r="2248" customFormat="false" ht="13.8" hidden="false" customHeight="false" outlineLevel="0" collapsed="false">
      <c r="A2248" s="8" t="s">
        <v>2337</v>
      </c>
      <c r="B2248" s="8" t="s">
        <v>2293</v>
      </c>
      <c r="C2248" s="8" t="s">
        <v>2203</v>
      </c>
      <c r="D2248" s="8" t="s">
        <v>40</v>
      </c>
      <c r="G2248" s="8" t="n">
        <v>4</v>
      </c>
      <c r="K2248" s="8" t="s">
        <v>2316</v>
      </c>
    </row>
    <row r="2249" customFormat="false" ht="13.8" hidden="false" customHeight="false" outlineLevel="0" collapsed="false">
      <c r="A2249" s="8" t="s">
        <v>2338</v>
      </c>
      <c r="B2249" s="8" t="s">
        <v>2293</v>
      </c>
      <c r="C2249" s="8" t="s">
        <v>2203</v>
      </c>
      <c r="D2249" s="8" t="s">
        <v>40</v>
      </c>
      <c r="G2249" s="8" t="n">
        <v>4</v>
      </c>
      <c r="K2249" s="8" t="s">
        <v>2328</v>
      </c>
    </row>
  </sheetData>
  <autoFilter ref="A3:W434">
    <filterColumn colId="6">
      <filters>
        <filter val="20"/>
      </filters>
    </filterColumn>
  </autoFilter>
  <mergeCells count="7">
    <mergeCell ref="A1:K1"/>
    <mergeCell ref="A2:A3"/>
    <mergeCell ref="B2:B3"/>
    <mergeCell ref="C2:C3"/>
    <mergeCell ref="D2:D3"/>
    <mergeCell ref="K2:K3"/>
    <mergeCell ref="L2:L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D14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K2" activeCellId="0" sqref="K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7" width="5.73"/>
    <col collapsed="false" customWidth="true" hidden="false" outlineLevel="0" max="2" min="2" style="17" width="6.64"/>
    <col collapsed="false" customWidth="true" hidden="false" outlineLevel="0" max="3" min="3" style="17" width="6.82"/>
    <col collapsed="false" customWidth="true" hidden="false" outlineLevel="0" max="7" min="4" style="17" width="7.82"/>
    <col collapsed="false" customWidth="true" hidden="false" outlineLevel="0" max="8" min="8" style="17" width="6"/>
    <col collapsed="false" customWidth="true" hidden="false" outlineLevel="0" max="9" min="9" style="17" width="7.82"/>
    <col collapsed="false" customWidth="true" hidden="false" outlineLevel="0" max="10" min="10" style="17" width="7.27"/>
    <col collapsed="false" customWidth="false" hidden="false" outlineLevel="0" max="12" min="11" style="17" width="9"/>
    <col collapsed="false" customWidth="true" hidden="false" outlineLevel="0" max="27" min="13" style="17" width="7.82"/>
    <col collapsed="false" customWidth="false" hidden="false" outlineLevel="0" max="16384" min="28" style="17" width="9"/>
  </cols>
  <sheetData>
    <row r="1" customFormat="false" ht="27" hidden="false" customHeight="true" outlineLevel="0" collapsed="false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="21" customFormat="true" ht="19.5" hidden="false" customHeight="true" outlineLevel="0" collapsed="false">
      <c r="A2" s="19" t="s">
        <v>25</v>
      </c>
      <c r="B2" s="19" t="s">
        <v>26</v>
      </c>
      <c r="C2" s="19" t="s">
        <v>27</v>
      </c>
      <c r="D2" s="19" t="s">
        <v>28</v>
      </c>
      <c r="E2" s="19" t="s">
        <v>29</v>
      </c>
      <c r="F2" s="19" t="s">
        <v>30</v>
      </c>
      <c r="G2" s="19" t="s">
        <v>31</v>
      </c>
      <c r="H2" s="19" t="s">
        <v>33</v>
      </c>
      <c r="I2" s="19" t="s">
        <v>32</v>
      </c>
      <c r="J2" s="19" t="s">
        <v>2339</v>
      </c>
      <c r="K2" s="19" t="s">
        <v>34</v>
      </c>
      <c r="L2" s="19" t="s">
        <v>6</v>
      </c>
      <c r="M2" s="20" t="s">
        <v>35</v>
      </c>
      <c r="N2" s="19"/>
      <c r="O2" s="19"/>
      <c r="Y2" s="19"/>
      <c r="Z2" s="19"/>
      <c r="AA2" s="19"/>
    </row>
    <row r="3" s="21" customFormat="true" ht="19.5" hidden="false" customHeight="true" outlineLevel="0" collapsed="false">
      <c r="A3" s="19"/>
      <c r="B3" s="19"/>
      <c r="C3" s="19"/>
      <c r="D3" s="19"/>
      <c r="E3" s="19" t="s">
        <v>36</v>
      </c>
      <c r="F3" s="19" t="s">
        <v>36</v>
      </c>
      <c r="G3" s="19" t="s">
        <v>36</v>
      </c>
      <c r="H3" s="19"/>
      <c r="I3" s="19" t="s">
        <v>11</v>
      </c>
      <c r="J3" s="19"/>
      <c r="K3" s="19" t="s">
        <v>11</v>
      </c>
      <c r="L3" s="19"/>
      <c r="N3" s="19" t="n">
        <v>8</v>
      </c>
      <c r="O3" s="19" t="n">
        <v>10</v>
      </c>
      <c r="P3" s="19" t="n">
        <v>12</v>
      </c>
      <c r="Q3" s="19" t="n">
        <v>14</v>
      </c>
      <c r="R3" s="19" t="n">
        <v>16</v>
      </c>
      <c r="S3" s="19" t="n">
        <v>20</v>
      </c>
      <c r="T3" s="19" t="n">
        <v>24</v>
      </c>
      <c r="U3" s="19" t="n">
        <v>28</v>
      </c>
      <c r="V3" s="19" t="n">
        <v>32</v>
      </c>
      <c r="W3" s="19" t="n">
        <v>36</v>
      </c>
      <c r="X3" s="19" t="n">
        <v>40</v>
      </c>
      <c r="Y3" s="11" t="n">
        <v>44</v>
      </c>
      <c r="Z3" s="19" t="n">
        <v>48</v>
      </c>
      <c r="AA3" s="19" t="n">
        <v>60</v>
      </c>
      <c r="AB3" s="12" t="n">
        <v>80</v>
      </c>
      <c r="AC3" s="12" t="n">
        <v>100</v>
      </c>
      <c r="AD3" s="19" t="s">
        <v>9</v>
      </c>
    </row>
    <row r="4" s="21" customFormat="true" ht="19.5" hidden="false" customHeight="true" outlineLevel="0" collapsed="false">
      <c r="A4" s="19" t="s">
        <v>2340</v>
      </c>
      <c r="B4" s="22" t="s">
        <v>2341</v>
      </c>
      <c r="C4" s="19" t="s">
        <v>2342</v>
      </c>
      <c r="D4" s="19" t="s">
        <v>40</v>
      </c>
      <c r="E4" s="19" t="n">
        <v>17503</v>
      </c>
      <c r="F4" s="19" t="n">
        <v>600</v>
      </c>
      <c r="G4" s="19" t="n">
        <v>20</v>
      </c>
      <c r="H4" s="19" t="n">
        <v>1</v>
      </c>
      <c r="I4" s="20" t="n">
        <f aca="false">IF(M4="",(E4/1000)*(F4/1000)*(G4/1000)*7850,M4*(G4/1000)*7850)</f>
        <v>1648.7826</v>
      </c>
      <c r="J4" s="19" t="n">
        <v>228</v>
      </c>
      <c r="K4" s="20" t="n">
        <f aca="false">I4*J4</f>
        <v>375922.4328</v>
      </c>
      <c r="L4" s="19"/>
      <c r="M4" s="20"/>
      <c r="N4" s="19"/>
      <c r="O4" s="23"/>
      <c r="P4" s="23"/>
      <c r="Q4" s="23"/>
      <c r="R4" s="23"/>
      <c r="S4" s="23"/>
      <c r="T4" s="24"/>
      <c r="U4" s="23"/>
      <c r="V4" s="23"/>
      <c r="W4" s="24"/>
      <c r="X4" s="23"/>
      <c r="Y4" s="23"/>
      <c r="Z4" s="23"/>
      <c r="AA4" s="19"/>
    </row>
    <row r="5" s="21" customFormat="true" ht="19.5" hidden="false" customHeight="true" outlineLevel="0" collapsed="false">
      <c r="A5" s="19" t="s">
        <v>2340</v>
      </c>
      <c r="B5" s="22" t="s">
        <v>2343</v>
      </c>
      <c r="C5" s="19" t="s">
        <v>2344</v>
      </c>
      <c r="D5" s="19" t="s">
        <v>40</v>
      </c>
      <c r="E5" s="19" t="n">
        <v>17500</v>
      </c>
      <c r="F5" s="19" t="n">
        <v>1955</v>
      </c>
      <c r="G5" s="19" t="n">
        <v>14</v>
      </c>
      <c r="H5" s="19" t="n">
        <v>1</v>
      </c>
      <c r="I5" s="20" t="n">
        <f aca="false">IF(M5="",(E5/1000)*(F5/1000)*(G5/1000)*7850,M5*(G5/1000)*7850)</f>
        <v>3407.999</v>
      </c>
      <c r="J5" s="19" t="n">
        <v>228</v>
      </c>
      <c r="K5" s="20" t="n">
        <f aca="false">I5*J5</f>
        <v>777023.772</v>
      </c>
      <c r="L5" s="19" t="s">
        <v>2345</v>
      </c>
      <c r="M5" s="20" t="n">
        <v>31.01</v>
      </c>
      <c r="T5" s="25"/>
      <c r="W5" s="25"/>
    </row>
    <row r="6" s="21" customFormat="true" ht="19.5" hidden="false" customHeight="true" outlineLevel="0" collapsed="false">
      <c r="A6" s="19" t="s">
        <v>2340</v>
      </c>
      <c r="B6" s="22" t="s">
        <v>2346</v>
      </c>
      <c r="C6" s="19" t="s">
        <v>2347</v>
      </c>
      <c r="D6" s="19" t="s">
        <v>40</v>
      </c>
      <c r="E6" s="19" t="n">
        <v>17500</v>
      </c>
      <c r="F6" s="19" t="n">
        <v>700</v>
      </c>
      <c r="G6" s="19" t="n">
        <v>24</v>
      </c>
      <c r="H6" s="19" t="n">
        <v>1</v>
      </c>
      <c r="I6" s="20" t="n">
        <f aca="false">IF(M6="",(E6/1000)*(F6/1000)*(G6/1000)*7850,M6*(G6/1000)*7850)</f>
        <v>2307.9</v>
      </c>
      <c r="J6" s="19" t="n">
        <v>228</v>
      </c>
      <c r="K6" s="20" t="n">
        <f aca="false">I6*J6</f>
        <v>526201.2</v>
      </c>
      <c r="L6" s="19"/>
      <c r="M6" s="20"/>
      <c r="T6" s="25"/>
      <c r="W6" s="25"/>
    </row>
    <row r="7" s="21" customFormat="true" ht="19.5" hidden="false" customHeight="true" outlineLevel="0" collapsed="false">
      <c r="A7" s="19" t="s">
        <v>2340</v>
      </c>
      <c r="B7" s="22" t="s">
        <v>2348</v>
      </c>
      <c r="C7" s="19" t="s">
        <v>2349</v>
      </c>
      <c r="D7" s="19" t="s">
        <v>40</v>
      </c>
      <c r="E7" s="19" t="n">
        <v>1510</v>
      </c>
      <c r="F7" s="19" t="n">
        <v>150</v>
      </c>
      <c r="G7" s="19" t="n">
        <v>12</v>
      </c>
      <c r="H7" s="19" t="n">
        <v>1</v>
      </c>
      <c r="I7" s="20" t="n">
        <f aca="false">IF(M7="",(E7/1000)*(F7/1000)*(G7/1000)*7850,M7*(G7/1000)*7850)</f>
        <v>19.782</v>
      </c>
      <c r="J7" s="19" t="n">
        <v>4560</v>
      </c>
      <c r="K7" s="20" t="n">
        <f aca="false">I7*J7</f>
        <v>90205.92</v>
      </c>
      <c r="L7" s="19" t="s">
        <v>2350</v>
      </c>
      <c r="M7" s="20" t="n">
        <v>0.21</v>
      </c>
      <c r="T7" s="25"/>
      <c r="W7" s="25"/>
    </row>
    <row r="8" s="21" customFormat="true" ht="19.5" hidden="false" customHeight="true" outlineLevel="0" collapsed="false">
      <c r="A8" s="19" t="s">
        <v>2340</v>
      </c>
      <c r="B8" s="22" t="s">
        <v>2348</v>
      </c>
      <c r="C8" s="19" t="s">
        <v>2351</v>
      </c>
      <c r="D8" s="19" t="s">
        <v>40</v>
      </c>
      <c r="E8" s="19" t="n">
        <v>1632</v>
      </c>
      <c r="F8" s="19" t="n">
        <v>293</v>
      </c>
      <c r="G8" s="19" t="n">
        <v>12</v>
      </c>
      <c r="H8" s="19" t="n">
        <v>1</v>
      </c>
      <c r="I8" s="20" t="n">
        <f aca="false">IF(M8="",(E8/1000)*(F8/1000)*(G8/1000)*7850,M8*(G8/1000)*7850)</f>
        <v>31.086</v>
      </c>
      <c r="J8" s="19" t="n">
        <v>456</v>
      </c>
      <c r="K8" s="20" t="n">
        <f aca="false">I8*J8</f>
        <v>14175.216</v>
      </c>
      <c r="L8" s="19" t="s">
        <v>2352</v>
      </c>
      <c r="M8" s="20" t="n">
        <v>0.33</v>
      </c>
      <c r="T8" s="25"/>
      <c r="W8" s="25"/>
    </row>
    <row r="9" s="21" customFormat="true" ht="19.5" hidden="false" customHeight="true" outlineLevel="0" collapsed="false">
      <c r="A9" s="19" t="s">
        <v>2340</v>
      </c>
      <c r="B9" s="22" t="s">
        <v>2353</v>
      </c>
      <c r="C9" s="19" t="s">
        <v>2354</v>
      </c>
      <c r="D9" s="19" t="s">
        <v>40</v>
      </c>
      <c r="E9" s="19" t="n">
        <v>2380</v>
      </c>
      <c r="F9" s="19" t="n">
        <v>600</v>
      </c>
      <c r="G9" s="19" t="n">
        <v>12</v>
      </c>
      <c r="H9" s="19" t="n">
        <v>1</v>
      </c>
      <c r="I9" s="20" t="n">
        <f aca="false">IF(M9="",(E9/1000)*(F9/1000)*(G9/1000)*7850,M9*(G9/1000)*7850)</f>
        <v>134.706</v>
      </c>
      <c r="J9" s="19" t="n">
        <v>202</v>
      </c>
      <c r="K9" s="20" t="n">
        <f aca="false">I9*J9</f>
        <v>27210.612</v>
      </c>
      <c r="L9" s="19" t="s">
        <v>2355</v>
      </c>
      <c r="M9" s="20" t="n">
        <v>1.43</v>
      </c>
      <c r="T9" s="25"/>
      <c r="W9" s="25"/>
    </row>
    <row r="10" s="21" customFormat="true" ht="19.5" hidden="false" customHeight="true" outlineLevel="0" collapsed="false">
      <c r="A10" s="19" t="s">
        <v>2340</v>
      </c>
      <c r="B10" s="22" t="s">
        <v>2353</v>
      </c>
      <c r="C10" s="19" t="s">
        <v>2356</v>
      </c>
      <c r="D10" s="19" t="s">
        <v>40</v>
      </c>
      <c r="E10" s="19" t="n">
        <v>2180</v>
      </c>
      <c r="F10" s="19" t="n">
        <v>600</v>
      </c>
      <c r="G10" s="19" t="n">
        <v>12</v>
      </c>
      <c r="H10" s="19" t="n">
        <v>1</v>
      </c>
      <c r="I10" s="20" t="n">
        <f aca="false">IF(M10="",(E10/1000)*(F10/1000)*(G10/1000)*7850,M10*(G10/1000)*7850)</f>
        <v>123.402</v>
      </c>
      <c r="J10" s="19" t="n">
        <v>20</v>
      </c>
      <c r="K10" s="20" t="n">
        <f aca="false">I10*J10</f>
        <v>2468.04</v>
      </c>
      <c r="L10" s="19" t="s">
        <v>2357</v>
      </c>
      <c r="M10" s="20" t="n">
        <v>1.31</v>
      </c>
      <c r="T10" s="25"/>
      <c r="W10" s="25"/>
    </row>
    <row r="11" s="21" customFormat="true" ht="19.5" hidden="false" customHeight="true" outlineLevel="0" collapsed="false">
      <c r="A11" s="19" t="s">
        <v>2340</v>
      </c>
      <c r="B11" s="22" t="s">
        <v>2353</v>
      </c>
      <c r="C11" s="19" t="s">
        <v>2358</v>
      </c>
      <c r="D11" s="19" t="s">
        <v>40</v>
      </c>
      <c r="E11" s="19" t="n">
        <v>1880</v>
      </c>
      <c r="F11" s="19" t="n">
        <v>600</v>
      </c>
      <c r="G11" s="19" t="n">
        <v>12</v>
      </c>
      <c r="H11" s="19" t="n">
        <v>1</v>
      </c>
      <c r="I11" s="20" t="n">
        <f aca="false">IF(M11="",(E11/1000)*(F11/1000)*(G11/1000)*7850,M11*(G11/1000)*7850)</f>
        <v>106.446</v>
      </c>
      <c r="J11" s="19" t="n">
        <v>4</v>
      </c>
      <c r="K11" s="20" t="n">
        <f aca="false">I11*J11</f>
        <v>425.784</v>
      </c>
      <c r="L11" s="19" t="s">
        <v>2359</v>
      </c>
      <c r="M11" s="20" t="n">
        <v>1.13</v>
      </c>
      <c r="T11" s="25"/>
      <c r="W11" s="25"/>
    </row>
    <row r="12" s="21" customFormat="true" ht="19.5" hidden="false" customHeight="true" outlineLevel="0" collapsed="false">
      <c r="A12" s="19" t="s">
        <v>2340</v>
      </c>
      <c r="B12" s="22" t="s">
        <v>2353</v>
      </c>
      <c r="C12" s="19" t="s">
        <v>2360</v>
      </c>
      <c r="D12" s="19" t="s">
        <v>40</v>
      </c>
      <c r="E12" s="19" t="n">
        <v>1472</v>
      </c>
      <c r="F12" s="19" t="n">
        <v>600</v>
      </c>
      <c r="G12" s="19" t="n">
        <v>12</v>
      </c>
      <c r="H12" s="19" t="n">
        <v>1</v>
      </c>
      <c r="I12" s="20" t="n">
        <f aca="false">IF(M12="",(E12/1000)*(F12/1000)*(G12/1000)*7850,M12*(G12/1000)*7850)</f>
        <v>82.896</v>
      </c>
      <c r="J12" s="19" t="n">
        <v>4</v>
      </c>
      <c r="K12" s="20" t="n">
        <f aca="false">I12*J12</f>
        <v>331.584</v>
      </c>
      <c r="L12" s="19" t="s">
        <v>2361</v>
      </c>
      <c r="M12" s="20" t="n">
        <v>0.88</v>
      </c>
      <c r="T12" s="25"/>
      <c r="W12" s="25"/>
    </row>
    <row r="13" s="21" customFormat="true" ht="19.5" hidden="false" customHeight="true" outlineLevel="0" collapsed="false">
      <c r="A13" s="19" t="s">
        <v>2340</v>
      </c>
      <c r="B13" s="22" t="s">
        <v>2362</v>
      </c>
      <c r="C13" s="19" t="s">
        <v>2363</v>
      </c>
      <c r="D13" s="19" t="s">
        <v>40</v>
      </c>
      <c r="E13" s="19" t="n">
        <v>2380</v>
      </c>
      <c r="F13" s="19" t="n">
        <v>500</v>
      </c>
      <c r="G13" s="19" t="n">
        <v>12</v>
      </c>
      <c r="H13" s="19" t="n">
        <v>1</v>
      </c>
      <c r="I13" s="20" t="n">
        <f aca="false">IF(M13="",(E13/1000)*(F13/1000)*(G13/1000)*7850,M13*(G13/1000)*7850)</f>
        <v>112.098</v>
      </c>
      <c r="J13" s="19" t="n">
        <v>202</v>
      </c>
      <c r="K13" s="20" t="n">
        <f aca="false">I13*J13</f>
        <v>22643.796</v>
      </c>
      <c r="L13" s="19" t="s">
        <v>2364</v>
      </c>
      <c r="M13" s="20" t="n">
        <v>1.19</v>
      </c>
      <c r="T13" s="25"/>
      <c r="W13" s="25"/>
    </row>
    <row r="14" s="21" customFormat="true" ht="19.5" hidden="false" customHeight="true" outlineLevel="0" collapsed="false">
      <c r="A14" s="19" t="s">
        <v>2340</v>
      </c>
      <c r="B14" s="22" t="s">
        <v>2362</v>
      </c>
      <c r="C14" s="19" t="s">
        <v>2365</v>
      </c>
      <c r="D14" s="19" t="s">
        <v>40</v>
      </c>
      <c r="E14" s="19" t="n">
        <v>2180</v>
      </c>
      <c r="F14" s="19" t="n">
        <v>500</v>
      </c>
      <c r="G14" s="19" t="n">
        <v>12</v>
      </c>
      <c r="H14" s="19" t="n">
        <v>1</v>
      </c>
      <c r="I14" s="20" t="n">
        <f aca="false">IF(M14="",(E14/1000)*(F14/1000)*(G14/1000)*7850,M14*(G14/1000)*7850)</f>
        <v>102.678</v>
      </c>
      <c r="J14" s="19" t="n">
        <v>20</v>
      </c>
      <c r="K14" s="20" t="n">
        <f aca="false">I14*J14</f>
        <v>2053.56</v>
      </c>
      <c r="L14" s="19" t="s">
        <v>2366</v>
      </c>
      <c r="M14" s="20" t="n">
        <v>1.09</v>
      </c>
      <c r="T14" s="25"/>
      <c r="W14" s="25"/>
    </row>
    <row r="15" s="21" customFormat="true" ht="19.5" hidden="false" customHeight="true" outlineLevel="0" collapsed="false">
      <c r="A15" s="19" t="s">
        <v>2340</v>
      </c>
      <c r="B15" s="22" t="s">
        <v>2362</v>
      </c>
      <c r="C15" s="19" t="s">
        <v>2367</v>
      </c>
      <c r="D15" s="19" t="s">
        <v>40</v>
      </c>
      <c r="E15" s="19" t="n">
        <v>1880</v>
      </c>
      <c r="F15" s="19" t="n">
        <v>500</v>
      </c>
      <c r="G15" s="19" t="n">
        <v>12</v>
      </c>
      <c r="H15" s="19" t="n">
        <v>1</v>
      </c>
      <c r="I15" s="20" t="n">
        <f aca="false">IF(M15="",(E15/1000)*(F15/1000)*(G15/1000)*7850,M15*(G15/1000)*7850)</f>
        <v>88.548</v>
      </c>
      <c r="J15" s="19" t="n">
        <v>4</v>
      </c>
      <c r="K15" s="20" t="n">
        <f aca="false">I15*J15</f>
        <v>354.192</v>
      </c>
      <c r="L15" s="19" t="s">
        <v>2368</v>
      </c>
      <c r="M15" s="20" t="n">
        <v>0.94</v>
      </c>
      <c r="T15" s="25"/>
      <c r="W15" s="25"/>
    </row>
    <row r="16" s="21" customFormat="true" ht="19.5" hidden="false" customHeight="true" outlineLevel="0" collapsed="false">
      <c r="A16" s="19" t="s">
        <v>2340</v>
      </c>
      <c r="B16" s="22" t="s">
        <v>2362</v>
      </c>
      <c r="C16" s="19" t="s">
        <v>2369</v>
      </c>
      <c r="D16" s="19" t="s">
        <v>40</v>
      </c>
      <c r="E16" s="19" t="n">
        <v>1472</v>
      </c>
      <c r="F16" s="19" t="n">
        <v>500</v>
      </c>
      <c r="G16" s="19" t="n">
        <v>12</v>
      </c>
      <c r="H16" s="19" t="n">
        <v>1</v>
      </c>
      <c r="I16" s="20" t="n">
        <f aca="false">IF(M16="",(E16/1000)*(F16/1000)*(G16/1000)*7850,M16*(G16/1000)*7850)</f>
        <v>69.708</v>
      </c>
      <c r="J16" s="19" t="n">
        <v>4</v>
      </c>
      <c r="K16" s="20" t="n">
        <f aca="false">I16*J16</f>
        <v>278.832</v>
      </c>
      <c r="L16" s="19" t="s">
        <v>2370</v>
      </c>
      <c r="M16" s="20" t="n">
        <v>0.74</v>
      </c>
      <c r="T16" s="25"/>
      <c r="W16" s="25"/>
    </row>
    <row r="17" s="21" customFormat="true" ht="19.5" hidden="false" customHeight="true" outlineLevel="0" collapsed="false">
      <c r="A17" s="19" t="s">
        <v>2340</v>
      </c>
      <c r="B17" s="22" t="s">
        <v>2371</v>
      </c>
      <c r="C17" s="19" t="s">
        <v>2372</v>
      </c>
      <c r="D17" s="19" t="s">
        <v>40</v>
      </c>
      <c r="E17" s="19" t="n">
        <v>2380</v>
      </c>
      <c r="F17" s="19" t="n">
        <v>300</v>
      </c>
      <c r="G17" s="19" t="n">
        <v>12</v>
      </c>
      <c r="H17" s="19" t="n">
        <v>1</v>
      </c>
      <c r="I17" s="20" t="n">
        <f aca="false">IF(M17="",(E17/1000)*(F17/1000)*(G17/1000)*7850,M17*(G17/1000)*7850)</f>
        <v>66.882</v>
      </c>
      <c r="J17" s="19" t="n">
        <v>202</v>
      </c>
      <c r="K17" s="20" t="n">
        <f aca="false">I17*J17</f>
        <v>13510.164</v>
      </c>
      <c r="L17" s="19" t="s">
        <v>2373</v>
      </c>
      <c r="M17" s="20" t="n">
        <v>0.71</v>
      </c>
      <c r="T17" s="25"/>
      <c r="W17" s="25"/>
    </row>
    <row r="18" s="21" customFormat="true" ht="19.5" hidden="true" customHeight="true" outlineLevel="0" collapsed="false">
      <c r="A18" s="19" t="s">
        <v>2340</v>
      </c>
      <c r="B18" s="22" t="s">
        <v>2371</v>
      </c>
      <c r="C18" s="19" t="s">
        <v>2374</v>
      </c>
      <c r="D18" s="19" t="s">
        <v>40</v>
      </c>
      <c r="E18" s="19" t="n">
        <v>2180</v>
      </c>
      <c r="F18" s="19" t="n">
        <v>300</v>
      </c>
      <c r="G18" s="19" t="n">
        <v>12</v>
      </c>
      <c r="H18" s="19" t="n">
        <v>1</v>
      </c>
      <c r="I18" s="20" t="n">
        <f aca="false">IF(M18="",(E18/1000)*(F18/1000)*(G18/1000)*7850,M18*(G18/1000)*7850)</f>
        <v>61.23</v>
      </c>
      <c r="J18" s="19" t="n">
        <v>20</v>
      </c>
      <c r="K18" s="20" t="n">
        <f aca="false">I18*J18</f>
        <v>1224.6</v>
      </c>
      <c r="L18" s="19" t="s">
        <v>2375</v>
      </c>
      <c r="M18" s="20" t="n">
        <v>0.65</v>
      </c>
      <c r="T18" s="25"/>
      <c r="W18" s="25"/>
    </row>
    <row r="19" s="21" customFormat="true" ht="19.5" hidden="true" customHeight="true" outlineLevel="0" collapsed="false">
      <c r="A19" s="19" t="s">
        <v>2340</v>
      </c>
      <c r="B19" s="22" t="s">
        <v>2371</v>
      </c>
      <c r="C19" s="19" t="s">
        <v>2376</v>
      </c>
      <c r="D19" s="19" t="s">
        <v>40</v>
      </c>
      <c r="E19" s="19" t="n">
        <v>1880</v>
      </c>
      <c r="F19" s="19" t="n">
        <v>300</v>
      </c>
      <c r="G19" s="19" t="n">
        <v>12</v>
      </c>
      <c r="H19" s="19" t="n">
        <v>1</v>
      </c>
      <c r="I19" s="20" t="n">
        <f aca="false">IF(M19="",(E19/1000)*(F19/1000)*(G19/1000)*7850,M19*(G19/1000)*7850)</f>
        <v>52.752</v>
      </c>
      <c r="J19" s="19" t="n">
        <v>4</v>
      </c>
      <c r="K19" s="20" t="n">
        <f aca="false">I19*J19</f>
        <v>211.008</v>
      </c>
      <c r="L19" s="19" t="s">
        <v>2377</v>
      </c>
      <c r="M19" s="20" t="n">
        <v>0.56</v>
      </c>
      <c r="T19" s="25"/>
      <c r="W19" s="25"/>
    </row>
    <row r="20" s="21" customFormat="true" ht="19.5" hidden="true" customHeight="true" outlineLevel="0" collapsed="false">
      <c r="A20" s="19" t="s">
        <v>2340</v>
      </c>
      <c r="B20" s="22" t="s">
        <v>2371</v>
      </c>
      <c r="C20" s="19" t="s">
        <v>2378</v>
      </c>
      <c r="D20" s="19" t="s">
        <v>40</v>
      </c>
      <c r="E20" s="19" t="n">
        <v>1472</v>
      </c>
      <c r="F20" s="19" t="n">
        <v>300</v>
      </c>
      <c r="G20" s="19" t="n">
        <v>12</v>
      </c>
      <c r="H20" s="19" t="n">
        <v>1</v>
      </c>
      <c r="I20" s="20" t="n">
        <f aca="false">IF(M20="",(E20/1000)*(F20/1000)*(G20/1000)*7850,M20*(G20/1000)*7850)</f>
        <v>41.448</v>
      </c>
      <c r="J20" s="19" t="n">
        <v>4</v>
      </c>
      <c r="K20" s="20" t="n">
        <f aca="false">I20*J20</f>
        <v>165.792</v>
      </c>
      <c r="L20" s="19" t="s">
        <v>2379</v>
      </c>
      <c r="M20" s="20" t="n">
        <v>0.44</v>
      </c>
      <c r="T20" s="25"/>
      <c r="W20" s="25"/>
    </row>
    <row r="21" s="21" customFormat="true" ht="19.5" hidden="false" customHeight="true" outlineLevel="0" collapsed="false">
      <c r="A21" s="19" t="s">
        <v>2340</v>
      </c>
      <c r="B21" s="22" t="s">
        <v>2380</v>
      </c>
      <c r="C21" s="19" t="s">
        <v>2381</v>
      </c>
      <c r="D21" s="19" t="s">
        <v>40</v>
      </c>
      <c r="E21" s="19" t="n">
        <v>17503</v>
      </c>
      <c r="F21" s="19" t="n">
        <v>1758</v>
      </c>
      <c r="G21" s="19" t="n">
        <v>20</v>
      </c>
      <c r="H21" s="19" t="n">
        <v>1</v>
      </c>
      <c r="I21" s="20" t="n">
        <f aca="false">IF(M21="",(E21/1000)*(F21/1000)*(G21/1000)*7850,M21*(G21/1000)*7850)</f>
        <v>4149.51</v>
      </c>
      <c r="J21" s="19" t="n">
        <v>4</v>
      </c>
      <c r="K21" s="20" t="n">
        <f aca="false">I21*J21</f>
        <v>16598.04</v>
      </c>
      <c r="L21" s="19" t="s">
        <v>2382</v>
      </c>
      <c r="M21" s="20" t="n">
        <v>26.43</v>
      </c>
      <c r="T21" s="25"/>
      <c r="W21" s="25"/>
    </row>
    <row r="22" s="21" customFormat="true" ht="19.5" hidden="false" customHeight="true" outlineLevel="0" collapsed="false">
      <c r="A22" s="19" t="s">
        <v>2340</v>
      </c>
      <c r="B22" s="22" t="s">
        <v>2383</v>
      </c>
      <c r="C22" s="19" t="s">
        <v>2384</v>
      </c>
      <c r="D22" s="19" t="s">
        <v>40</v>
      </c>
      <c r="E22" s="19" t="n">
        <v>17500</v>
      </c>
      <c r="F22" s="19" t="n">
        <v>1955</v>
      </c>
      <c r="G22" s="19" t="n">
        <v>20</v>
      </c>
      <c r="H22" s="19" t="n">
        <v>1</v>
      </c>
      <c r="I22" s="20" t="n">
        <f aca="false">IF(M22="",(E22/1000)*(F22/1000)*(G22/1000)*7850,M22*(G22/1000)*7850)</f>
        <v>4868.57</v>
      </c>
      <c r="J22" s="19" t="n">
        <v>4</v>
      </c>
      <c r="K22" s="20" t="n">
        <f aca="false">I22*J22</f>
        <v>19474.28</v>
      </c>
      <c r="L22" s="19" t="s">
        <v>2345</v>
      </c>
      <c r="M22" s="20" t="n">
        <v>31.01</v>
      </c>
      <c r="T22" s="25"/>
      <c r="W22" s="25"/>
    </row>
    <row r="23" s="21" customFormat="true" ht="19.5" hidden="true" customHeight="true" outlineLevel="0" collapsed="false">
      <c r="A23" s="19" t="s">
        <v>2340</v>
      </c>
      <c r="B23" s="22" t="s">
        <v>2383</v>
      </c>
      <c r="C23" s="19" t="s">
        <v>2385</v>
      </c>
      <c r="D23" s="19" t="s">
        <v>40</v>
      </c>
      <c r="E23" s="19" t="n">
        <v>17500</v>
      </c>
      <c r="F23" s="19" t="n">
        <v>1955</v>
      </c>
      <c r="G23" s="19" t="n">
        <v>20</v>
      </c>
      <c r="H23" s="19" t="n">
        <v>1</v>
      </c>
      <c r="I23" s="20" t="n">
        <f aca="false">IF(M23="",(E23/1000)*(F23/1000)*(G23/1000)*7850,M23*(G23/1000)*7850)</f>
        <v>4797.92</v>
      </c>
      <c r="J23" s="19" t="n">
        <v>4</v>
      </c>
      <c r="K23" s="20" t="n">
        <f aca="false">I23*J23</f>
        <v>19191.68</v>
      </c>
      <c r="L23" s="19" t="s">
        <v>2386</v>
      </c>
      <c r="M23" s="20" t="n">
        <v>30.56</v>
      </c>
      <c r="T23" s="26"/>
      <c r="W23" s="26"/>
    </row>
    <row r="24" s="21" customFormat="true" ht="19.5" hidden="false" customHeight="true" outlineLevel="0" collapsed="false">
      <c r="A24" s="19" t="s">
        <v>2340</v>
      </c>
      <c r="B24" s="22" t="s">
        <v>2387</v>
      </c>
      <c r="C24" s="19" t="s">
        <v>2388</v>
      </c>
      <c r="D24" s="19" t="s">
        <v>40</v>
      </c>
      <c r="E24" s="19" t="n">
        <v>17500</v>
      </c>
      <c r="F24" s="19" t="n">
        <v>1500</v>
      </c>
      <c r="G24" s="19" t="n">
        <v>24</v>
      </c>
      <c r="H24" s="19" t="n">
        <v>1</v>
      </c>
      <c r="I24" s="20" t="n">
        <f aca="false">IF(M24="",(E24/1000)*(F24/1000)*(G24/1000)*7850,M24*(G24/1000)*7850)</f>
        <v>4945.5</v>
      </c>
      <c r="J24" s="19" t="n">
        <v>4</v>
      </c>
      <c r="K24" s="20" t="n">
        <f aca="false">I24*J24</f>
        <v>19782</v>
      </c>
      <c r="L24" s="19"/>
      <c r="M24" s="20"/>
      <c r="N24" s="27"/>
      <c r="O24" s="27"/>
      <c r="P24" s="27"/>
      <c r="Q24" s="27"/>
      <c r="R24" s="27"/>
      <c r="S24" s="27"/>
      <c r="T24" s="28"/>
      <c r="U24" s="27"/>
      <c r="V24" s="27"/>
      <c r="W24" s="28"/>
      <c r="X24" s="27"/>
      <c r="Y24" s="27"/>
      <c r="Z24" s="26"/>
      <c r="AA24" s="27"/>
    </row>
    <row r="25" s="21" customFormat="true" ht="19.5" hidden="false" customHeight="true" outlineLevel="0" collapsed="false">
      <c r="A25" s="19" t="s">
        <v>2340</v>
      </c>
      <c r="B25" s="22" t="s">
        <v>2389</v>
      </c>
      <c r="C25" s="19" t="s">
        <v>2390</v>
      </c>
      <c r="D25" s="19" t="s">
        <v>40</v>
      </c>
      <c r="E25" s="19" t="n">
        <v>1510</v>
      </c>
      <c r="F25" s="19" t="n">
        <v>220</v>
      </c>
      <c r="G25" s="19" t="n">
        <v>16</v>
      </c>
      <c r="H25" s="19" t="n">
        <v>1</v>
      </c>
      <c r="I25" s="20" t="n">
        <f aca="false">IF(M25="",(E25/1000)*(F25/1000)*(G25/1000)*7850,M25*(G25/1000)*7850)</f>
        <v>38.936</v>
      </c>
      <c r="J25" s="19" t="n">
        <v>48</v>
      </c>
      <c r="K25" s="20" t="n">
        <f aca="false">I25*J25</f>
        <v>1868.928</v>
      </c>
      <c r="L25" s="19" t="s">
        <v>2391</v>
      </c>
      <c r="M25" s="20" t="n">
        <v>0.31</v>
      </c>
      <c r="T25" s="28"/>
      <c r="W25" s="28"/>
    </row>
    <row r="26" s="21" customFormat="true" ht="19.5" hidden="true" customHeight="true" outlineLevel="0" collapsed="false">
      <c r="A26" s="19" t="s">
        <v>2340</v>
      </c>
      <c r="B26" s="22" t="s">
        <v>2389</v>
      </c>
      <c r="C26" s="19" t="s">
        <v>2392</v>
      </c>
      <c r="D26" s="19" t="s">
        <v>40</v>
      </c>
      <c r="E26" s="19" t="n">
        <v>1396</v>
      </c>
      <c r="F26" s="19" t="n">
        <v>1782</v>
      </c>
      <c r="G26" s="19" t="n">
        <v>12</v>
      </c>
      <c r="H26" s="19" t="n">
        <v>1</v>
      </c>
      <c r="I26" s="20" t="n">
        <f aca="false">IF(M26="",(E26/1000)*(F26/1000)*(G26/1000)*7850,M26*(G26/1000)*7850)</f>
        <v>210.066</v>
      </c>
      <c r="J26" s="19" t="n">
        <v>20</v>
      </c>
      <c r="K26" s="20" t="n">
        <f aca="false">I26*J26</f>
        <v>4201.32</v>
      </c>
      <c r="L26" s="19" t="s">
        <v>2393</v>
      </c>
      <c r="M26" s="20" t="n">
        <v>2.23</v>
      </c>
      <c r="T26" s="28"/>
      <c r="W26" s="28"/>
    </row>
    <row r="27" s="21" customFormat="true" ht="19.5" hidden="true" customHeight="true" outlineLevel="0" collapsed="false">
      <c r="A27" s="19" t="s">
        <v>2340</v>
      </c>
      <c r="B27" s="22" t="s">
        <v>2394</v>
      </c>
      <c r="C27" s="19" t="s">
        <v>2395</v>
      </c>
      <c r="D27" s="19" t="s">
        <v>40</v>
      </c>
      <c r="E27" s="19" t="n">
        <v>2018</v>
      </c>
      <c r="F27" s="19" t="n">
        <v>160</v>
      </c>
      <c r="G27" s="19" t="n">
        <v>12</v>
      </c>
      <c r="H27" s="19" t="n">
        <v>1</v>
      </c>
      <c r="I27" s="20" t="n">
        <f aca="false">IF(M27="",(E27/1000)*(F27/1000)*(G27/1000)*7850,M27*(G27/1000)*7850)</f>
        <v>30.415296</v>
      </c>
      <c r="J27" s="19" t="n">
        <v>20</v>
      </c>
      <c r="K27" s="20" t="n">
        <f aca="false">I27*J27</f>
        <v>608.30592</v>
      </c>
      <c r="L27" s="19" t="s">
        <v>2396</v>
      </c>
      <c r="M27" s="20"/>
      <c r="T27" s="28"/>
      <c r="W27" s="28"/>
    </row>
    <row r="28" s="21" customFormat="true" ht="19.5" hidden="true" customHeight="true" outlineLevel="0" collapsed="false">
      <c r="A28" s="19" t="s">
        <v>2340</v>
      </c>
      <c r="B28" s="22" t="s">
        <v>2397</v>
      </c>
      <c r="C28" s="19" t="s">
        <v>2398</v>
      </c>
      <c r="D28" s="19" t="s">
        <v>40</v>
      </c>
      <c r="E28" s="19" t="n">
        <v>784</v>
      </c>
      <c r="F28" s="19" t="n">
        <v>292</v>
      </c>
      <c r="G28" s="19" t="n">
        <v>12</v>
      </c>
      <c r="H28" s="19" t="n">
        <v>1</v>
      </c>
      <c r="I28" s="20" t="n">
        <f aca="false">IF(M28="",(E28/1000)*(F28/1000)*(G28/1000)*7850,M28*(G28/1000)*7850)</f>
        <v>18.84</v>
      </c>
      <c r="J28" s="19" t="n">
        <v>4</v>
      </c>
      <c r="K28" s="20" t="n">
        <f aca="false">I28*J28</f>
        <v>75.36</v>
      </c>
      <c r="L28" s="19" t="s">
        <v>2399</v>
      </c>
      <c r="M28" s="20" t="n">
        <v>0.2</v>
      </c>
      <c r="T28" s="28"/>
      <c r="W28" s="28"/>
    </row>
    <row r="29" s="21" customFormat="true" ht="19.5" hidden="true" customHeight="true" outlineLevel="0" collapsed="false">
      <c r="A29" s="19" t="s">
        <v>2340</v>
      </c>
      <c r="B29" s="22" t="s">
        <v>2400</v>
      </c>
      <c r="C29" s="19" t="s">
        <v>2401</v>
      </c>
      <c r="D29" s="19" t="s">
        <v>40</v>
      </c>
      <c r="E29" s="19" t="n">
        <v>1374</v>
      </c>
      <c r="F29" s="19" t="n">
        <v>300</v>
      </c>
      <c r="G29" s="19" t="n">
        <v>14</v>
      </c>
      <c r="H29" s="19" t="n">
        <v>1</v>
      </c>
      <c r="I29" s="20" t="n">
        <f aca="false">IF(M29="",(E29/1000)*(F29/1000)*(G29/1000)*7850,M29*(G29/1000)*7850)</f>
        <v>45.30078</v>
      </c>
      <c r="J29" s="19" t="n">
        <v>236</v>
      </c>
      <c r="K29" s="20" t="n">
        <f aca="false">I29*J29</f>
        <v>10690.98408</v>
      </c>
      <c r="L29" s="19" t="s">
        <v>2402</v>
      </c>
      <c r="M29" s="20"/>
      <c r="T29" s="27"/>
      <c r="W29" s="27"/>
    </row>
    <row r="30" s="21" customFormat="true" ht="19.5" hidden="false" customHeight="true" outlineLevel="0" collapsed="false">
      <c r="A30" s="19" t="s">
        <v>2340</v>
      </c>
      <c r="B30" s="22" t="s">
        <v>2403</v>
      </c>
      <c r="C30" s="19" t="s">
        <v>2404</v>
      </c>
      <c r="D30" s="19" t="s">
        <v>40</v>
      </c>
      <c r="E30" s="19" t="n">
        <v>400</v>
      </c>
      <c r="F30" s="19" t="n">
        <v>330</v>
      </c>
      <c r="G30" s="19" t="n">
        <v>12</v>
      </c>
      <c r="H30" s="19" t="n">
        <v>1</v>
      </c>
      <c r="I30" s="20" t="n">
        <f aca="false">IF(M30="",(E30/1000)*(F30/1000)*(G30/1000)*7850,M30*(G30/1000)*7850)</f>
        <v>12.246</v>
      </c>
      <c r="J30" s="19" t="n">
        <v>920</v>
      </c>
      <c r="K30" s="20" t="n">
        <f aca="false">I30*J30</f>
        <v>11266.32</v>
      </c>
      <c r="L30" s="19" t="s">
        <v>2405</v>
      </c>
      <c r="M30" s="20" t="n">
        <v>0.13</v>
      </c>
      <c r="N30" s="27"/>
      <c r="O30" s="27"/>
      <c r="P30" s="27"/>
      <c r="Q30" s="27"/>
      <c r="R30" s="27"/>
      <c r="S30" s="27"/>
      <c r="T30" s="28"/>
      <c r="U30" s="27"/>
      <c r="V30" s="27"/>
      <c r="W30" s="28"/>
      <c r="X30" s="27"/>
      <c r="Y30" s="27"/>
      <c r="Z30" s="26"/>
      <c r="AA30" s="27"/>
    </row>
    <row r="31" s="21" customFormat="true" ht="19.5" hidden="false" customHeight="true" outlineLevel="0" collapsed="false">
      <c r="A31" s="19" t="s">
        <v>2340</v>
      </c>
      <c r="B31" s="22" t="s">
        <v>2406</v>
      </c>
      <c r="C31" s="19" t="s">
        <v>2407</v>
      </c>
      <c r="D31" s="19" t="s">
        <v>40</v>
      </c>
      <c r="E31" s="19" t="n">
        <v>1840</v>
      </c>
      <c r="F31" s="19" t="n">
        <v>340</v>
      </c>
      <c r="G31" s="19" t="n">
        <v>10</v>
      </c>
      <c r="H31" s="19" t="n">
        <v>1</v>
      </c>
      <c r="I31" s="20" t="n">
        <f aca="false">IF(M31="",(E31/1000)*(F31/1000)*(G31/1000)*7850,M31*(G31/1000)*7850)</f>
        <v>49.1096</v>
      </c>
      <c r="J31" s="19" t="n">
        <v>456</v>
      </c>
      <c r="K31" s="20" t="n">
        <f aca="false">I31*J31</f>
        <v>22393.9776</v>
      </c>
      <c r="L31" s="19"/>
      <c r="M31" s="20"/>
      <c r="T31" s="28"/>
      <c r="W31" s="28"/>
    </row>
    <row r="32" s="21" customFormat="true" ht="19.5" hidden="true" customHeight="true" outlineLevel="0" collapsed="false">
      <c r="A32" s="19" t="s">
        <v>2340</v>
      </c>
      <c r="B32" s="22" t="s">
        <v>2406</v>
      </c>
      <c r="C32" s="19" t="s">
        <v>2408</v>
      </c>
      <c r="D32" s="19" t="s">
        <v>40</v>
      </c>
      <c r="E32" s="19" t="n">
        <v>1440</v>
      </c>
      <c r="F32" s="19" t="n">
        <v>340</v>
      </c>
      <c r="G32" s="19" t="n">
        <v>10</v>
      </c>
      <c r="H32" s="19" t="n">
        <v>1</v>
      </c>
      <c r="I32" s="20" t="n">
        <f aca="false">IF(M32="",(E32/1000)*(F32/1000)*(G32/1000)*7850,M32*(G32/1000)*7850)</f>
        <v>38.4336</v>
      </c>
      <c r="J32" s="19" t="n">
        <v>456</v>
      </c>
      <c r="K32" s="20" t="n">
        <f aca="false">I32*J32</f>
        <v>17525.7216</v>
      </c>
      <c r="L32" s="19"/>
      <c r="M32" s="20"/>
      <c r="T32" s="28"/>
      <c r="W32" s="28"/>
    </row>
    <row r="33" s="21" customFormat="true" ht="19.5" hidden="true" customHeight="true" outlineLevel="0" collapsed="false">
      <c r="A33" s="19" t="s">
        <v>2340</v>
      </c>
      <c r="B33" s="22" t="s">
        <v>2406</v>
      </c>
      <c r="C33" s="19" t="s">
        <v>2409</v>
      </c>
      <c r="D33" s="19" t="s">
        <v>40</v>
      </c>
      <c r="E33" s="19" t="n">
        <v>1840</v>
      </c>
      <c r="F33" s="19" t="n">
        <v>340</v>
      </c>
      <c r="G33" s="19" t="n">
        <v>14</v>
      </c>
      <c r="H33" s="19" t="n">
        <v>1</v>
      </c>
      <c r="I33" s="20" t="n">
        <f aca="false">IF(M33="",(E33/1000)*(F33/1000)*(G33/1000)*7850,M33*(G33/1000)*7850)</f>
        <v>68.75344</v>
      </c>
      <c r="J33" s="19" t="n">
        <v>16</v>
      </c>
      <c r="K33" s="20" t="n">
        <f aca="false">I33*J33</f>
        <v>1100.05504</v>
      </c>
      <c r="L33" s="19"/>
      <c r="M33" s="20"/>
      <c r="T33" s="28"/>
      <c r="W33" s="28"/>
    </row>
    <row r="34" s="21" customFormat="true" ht="19.5" hidden="true" customHeight="true" outlineLevel="0" collapsed="false">
      <c r="A34" s="19" t="s">
        <v>2340</v>
      </c>
      <c r="B34" s="22" t="s">
        <v>2406</v>
      </c>
      <c r="C34" s="19" t="s">
        <v>2410</v>
      </c>
      <c r="D34" s="19" t="s">
        <v>40</v>
      </c>
      <c r="E34" s="19" t="n">
        <v>1440</v>
      </c>
      <c r="F34" s="19" t="n">
        <v>340</v>
      </c>
      <c r="G34" s="19" t="n">
        <v>14</v>
      </c>
      <c r="H34" s="19" t="n">
        <v>1</v>
      </c>
      <c r="I34" s="20" t="n">
        <f aca="false">IF(M34="",(E34/1000)*(F34/1000)*(G34/1000)*7850,M34*(G34/1000)*7850)</f>
        <v>53.80704</v>
      </c>
      <c r="J34" s="19" t="n">
        <v>16</v>
      </c>
      <c r="K34" s="20" t="n">
        <f aca="false">I34*J34</f>
        <v>860.91264</v>
      </c>
      <c r="L34" s="19"/>
      <c r="M34" s="20"/>
      <c r="T34" s="28"/>
      <c r="W34" s="28"/>
    </row>
    <row r="35" s="21" customFormat="true" ht="19.5" hidden="true" customHeight="true" outlineLevel="0" collapsed="false">
      <c r="A35" s="19" t="s">
        <v>2340</v>
      </c>
      <c r="B35" s="22" t="s">
        <v>2411</v>
      </c>
      <c r="C35" s="19" t="s">
        <v>14</v>
      </c>
      <c r="D35" s="19" t="s">
        <v>40</v>
      </c>
      <c r="E35" s="19"/>
      <c r="F35" s="19"/>
      <c r="G35" s="19"/>
      <c r="H35" s="19" t="n">
        <v>1</v>
      </c>
      <c r="I35" s="20" t="n">
        <v>30002.9</v>
      </c>
      <c r="J35" s="19" t="n">
        <v>1</v>
      </c>
      <c r="K35" s="20" t="n">
        <f aca="false">I35*J35</f>
        <v>30002.9</v>
      </c>
      <c r="L35" s="19" t="s">
        <v>15</v>
      </c>
      <c r="T35" s="27"/>
      <c r="W35" s="27"/>
    </row>
    <row r="36" s="21" customFormat="true" ht="19.5" hidden="false" customHeight="true" outlineLevel="0" collapsed="false">
      <c r="A36" s="19" t="s">
        <v>2340</v>
      </c>
      <c r="B36" s="22" t="s">
        <v>2412</v>
      </c>
      <c r="C36" s="19" t="s">
        <v>17</v>
      </c>
      <c r="D36" s="19" t="s">
        <v>2413</v>
      </c>
      <c r="E36" s="19"/>
      <c r="F36" s="19"/>
      <c r="G36" s="19"/>
      <c r="H36" s="19" t="n">
        <v>1</v>
      </c>
      <c r="I36" s="20" t="n">
        <v>512.8</v>
      </c>
      <c r="J36" s="19" t="n">
        <v>1</v>
      </c>
      <c r="K36" s="20" t="n">
        <f aca="false">I36*J36</f>
        <v>512.8</v>
      </c>
      <c r="L36" s="19" t="s">
        <v>2414</v>
      </c>
      <c r="M36" s="27"/>
      <c r="N36" s="27"/>
      <c r="O36" s="27"/>
      <c r="P36" s="27"/>
      <c r="Q36" s="27"/>
      <c r="R36" s="27"/>
      <c r="S36" s="27"/>
      <c r="T36" s="28"/>
      <c r="U36" s="27"/>
      <c r="V36" s="27"/>
      <c r="W36" s="28"/>
      <c r="X36" s="27"/>
      <c r="Y36" s="27"/>
      <c r="Z36" s="26"/>
      <c r="AA36" s="27"/>
    </row>
    <row r="37" s="21" customFormat="true" ht="19.5" hidden="false" customHeight="true" outlineLevel="0" collapsed="false">
      <c r="A37" s="19"/>
      <c r="B37" s="22" t="s">
        <v>2275</v>
      </c>
      <c r="C37" s="19"/>
      <c r="D37" s="19"/>
      <c r="E37" s="19"/>
      <c r="F37" s="19"/>
      <c r="G37" s="19"/>
      <c r="H37" s="19"/>
      <c r="I37" s="20"/>
      <c r="J37" s="19"/>
      <c r="K37" s="20" t="n">
        <f aca="false">SUM(K4:K36)</f>
        <v>2030560.08968</v>
      </c>
      <c r="L37" s="19"/>
      <c r="T37" s="28"/>
      <c r="W37" s="28"/>
    </row>
    <row r="38" s="21" customFormat="true" ht="19.5" hidden="true" customHeight="true" outlineLevel="0" collapsed="false">
      <c r="A38" s="19"/>
      <c r="B38" s="22" t="s">
        <v>2276</v>
      </c>
      <c r="C38" s="19"/>
      <c r="D38" s="19"/>
      <c r="E38" s="19"/>
      <c r="F38" s="19"/>
      <c r="G38" s="19"/>
      <c r="H38" s="19"/>
      <c r="I38" s="20"/>
      <c r="J38" s="19"/>
      <c r="K38" s="20"/>
      <c r="L38" s="19"/>
      <c r="N38" s="19" t="n">
        <f aca="false">SUMIF($G$4:$G$36,N$3,$K$4:$K$36)</f>
        <v>0</v>
      </c>
      <c r="O38" s="19" t="n">
        <f aca="false">SUMIF($G$4:$G$36,O$3,$K$4:$K$36)</f>
        <v>39919.6992</v>
      </c>
      <c r="P38" s="19" t="n">
        <f aca="false">SUMIF($G$4:$G$36,P$3,$K$4:$K$36)</f>
        <v>191410.40592</v>
      </c>
      <c r="Q38" s="19" t="n">
        <f aca="false">SUMIF($G$4:$G$36,Q$3,$K$4:$K$36)</f>
        <v>789675.72376</v>
      </c>
      <c r="R38" s="19" t="n">
        <f aca="false">SUMIF($G$4:$G$36,R$3,$K$4:$K$36)</f>
        <v>1868.928</v>
      </c>
      <c r="S38" s="19" t="n">
        <f aca="false">SUMIF($G$4:$G$36,S$3,$K$4:$K$36)</f>
        <v>431186.4328</v>
      </c>
      <c r="T38" s="19" t="n">
        <f aca="false">SUMIF($G$4:$G$36,T$3,$K$4:$K$36)</f>
        <v>545983.2</v>
      </c>
      <c r="U38" s="19" t="n">
        <f aca="false">SUMIF($G$4:$G$36,U$3,$K$4:$K$36)</f>
        <v>0</v>
      </c>
      <c r="V38" s="19" t="n">
        <f aca="false">SUMIF($G$4:$G$36,V$3,$K$4:$K$36)</f>
        <v>0</v>
      </c>
      <c r="W38" s="19" t="n">
        <f aca="false">SUMIF($G$4:$G$36,W$3,$K$4:$K$36)</f>
        <v>0</v>
      </c>
      <c r="X38" s="19" t="n">
        <f aca="false">SUMIF($G$4:$G$36,X$3,$K$4:$K$36)</f>
        <v>0</v>
      </c>
      <c r="Y38" s="19" t="n">
        <f aca="false">SUMIF($G$4:$G$36,Y$3,$K$4:$K$36)</f>
        <v>0</v>
      </c>
      <c r="Z38" s="19" t="n">
        <f aca="false">SUMIF($G$4:$G$36,Z$3,$K$4:$K$36)</f>
        <v>0</v>
      </c>
      <c r="AA38" s="19" t="n">
        <f aca="false">SUMIF($G$4:$G$36,AA$3,$K$4:$K$36)</f>
        <v>0</v>
      </c>
      <c r="AB38" s="19" t="n">
        <f aca="false">SUMIF($G$4:$G$36,AB$3,$K$4:$K$36)</f>
        <v>0</v>
      </c>
      <c r="AC38" s="19" t="n">
        <f aca="false">SUMIF($G$4:$G$36,AC$3,$K$4:$K$36)</f>
        <v>0</v>
      </c>
      <c r="AD38" s="19" t="n">
        <f aca="false">SUM(N38:AC38)</f>
        <v>2000044.38968</v>
      </c>
    </row>
    <row r="39" s="21" customFormat="true" ht="19.5" hidden="true" customHeight="true" outlineLevel="0" collapsed="false">
      <c r="C39" s="19"/>
      <c r="D39" s="19"/>
      <c r="E39" s="19"/>
      <c r="F39" s="19"/>
      <c r="G39" s="19"/>
      <c r="H39" s="19"/>
      <c r="I39" s="20"/>
      <c r="J39" s="19"/>
      <c r="K39" s="20"/>
      <c r="L39" s="19"/>
      <c r="T39" s="28"/>
      <c r="W39" s="28"/>
    </row>
    <row r="40" s="21" customFormat="true" ht="19.5" hidden="true" customHeight="true" outlineLevel="0" collapsed="false">
      <c r="C40" s="19"/>
      <c r="D40" s="19"/>
      <c r="E40" s="19"/>
      <c r="F40" s="19"/>
      <c r="G40" s="19"/>
      <c r="H40" s="19"/>
      <c r="I40" s="20"/>
      <c r="J40" s="19"/>
      <c r="K40" s="20"/>
      <c r="L40" s="19"/>
      <c r="T40" s="28"/>
      <c r="W40" s="28"/>
    </row>
    <row r="41" s="21" customFormat="true" ht="19.5" hidden="true" customHeight="true" outlineLevel="0" collapsed="false">
      <c r="B41" s="19"/>
      <c r="D41" s="19"/>
      <c r="E41" s="19"/>
      <c r="F41" s="19"/>
      <c r="G41" s="19"/>
      <c r="H41" s="19"/>
      <c r="I41" s="29"/>
      <c r="J41" s="19"/>
      <c r="K41" s="20"/>
      <c r="L41" s="19"/>
      <c r="T41" s="27"/>
      <c r="W41" s="27"/>
    </row>
    <row r="42" s="21" customFormat="true" ht="19.5" hidden="false" customHeight="true" outlineLevel="0" collapsed="false">
      <c r="A42" s="19"/>
      <c r="B42" s="22"/>
      <c r="C42" s="19"/>
      <c r="D42" s="19"/>
      <c r="E42" s="19"/>
      <c r="F42" s="19"/>
      <c r="G42" s="19"/>
      <c r="H42" s="19"/>
      <c r="I42" s="20"/>
      <c r="J42" s="19"/>
      <c r="K42" s="20"/>
      <c r="L42" s="19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6"/>
      <c r="AA42" s="27"/>
    </row>
    <row r="43" s="21" customFormat="true" ht="19.5" hidden="true" customHeight="true" outlineLevel="0" collapsed="false">
      <c r="C43" s="19"/>
      <c r="D43" s="19"/>
      <c r="E43" s="19"/>
      <c r="F43" s="19"/>
      <c r="G43" s="19"/>
      <c r="H43" s="19"/>
      <c r="I43" s="20"/>
      <c r="J43" s="19"/>
      <c r="K43" s="20"/>
      <c r="L43" s="19"/>
    </row>
    <row r="44" s="21" customFormat="true" ht="19.5" hidden="true" customHeight="true" outlineLevel="0" collapsed="false">
      <c r="C44" s="19"/>
      <c r="D44" s="19"/>
      <c r="E44" s="19"/>
      <c r="F44" s="19"/>
      <c r="G44" s="19"/>
      <c r="H44" s="19"/>
      <c r="I44" s="20"/>
      <c r="J44" s="19"/>
      <c r="K44" s="20"/>
      <c r="L44" s="19"/>
    </row>
    <row r="45" s="21" customFormat="true" ht="19.5" hidden="true" customHeight="true" outlineLevel="0" collapsed="false">
      <c r="C45" s="19"/>
      <c r="D45" s="19"/>
      <c r="E45" s="19"/>
      <c r="F45" s="19"/>
      <c r="G45" s="19"/>
      <c r="H45" s="19"/>
      <c r="I45" s="20"/>
      <c r="J45" s="19"/>
      <c r="K45" s="20"/>
      <c r="L45" s="19"/>
    </row>
    <row r="46" s="21" customFormat="true" ht="19.5" hidden="true" customHeight="true" outlineLevel="0" collapsed="false">
      <c r="C46" s="19"/>
      <c r="D46" s="19"/>
      <c r="E46" s="19"/>
      <c r="F46" s="19"/>
      <c r="G46" s="19"/>
      <c r="H46" s="19"/>
      <c r="I46" s="20"/>
      <c r="J46" s="19"/>
      <c r="K46" s="20"/>
      <c r="L46" s="19"/>
    </row>
    <row r="47" s="21" customFormat="true" ht="19.5" hidden="true" customHeight="true" outlineLevel="0" collapsed="false">
      <c r="C47" s="19"/>
      <c r="D47" s="19"/>
      <c r="E47" s="19"/>
      <c r="F47" s="19"/>
      <c r="G47" s="19"/>
      <c r="H47" s="19"/>
      <c r="I47" s="20"/>
      <c r="J47" s="19"/>
      <c r="K47" s="20"/>
      <c r="L47" s="19"/>
    </row>
    <row r="48" s="21" customFormat="true" ht="19.5" hidden="false" customHeight="true" outlineLevel="0" collapsed="false">
      <c r="C48" s="19"/>
      <c r="D48" s="19"/>
      <c r="E48" s="19"/>
      <c r="F48" s="19"/>
      <c r="G48" s="19"/>
      <c r="H48" s="19"/>
      <c r="I48" s="20"/>
      <c r="J48" s="19"/>
      <c r="K48" s="20"/>
      <c r="L48" s="19"/>
    </row>
    <row r="49" s="21" customFormat="true" ht="19.5" hidden="true" customHeight="true" outlineLevel="0" collapsed="false">
      <c r="C49" s="19"/>
      <c r="D49" s="19"/>
      <c r="E49" s="19"/>
      <c r="F49" s="19"/>
      <c r="G49" s="19"/>
      <c r="H49" s="19"/>
      <c r="I49" s="20"/>
      <c r="J49" s="19"/>
      <c r="K49" s="20"/>
      <c r="L49" s="19"/>
    </row>
    <row r="50" s="21" customFormat="true" ht="19.5" hidden="true" customHeight="true" outlineLevel="0" collapsed="false">
      <c r="C50" s="19"/>
      <c r="D50" s="19"/>
      <c r="E50" s="19"/>
      <c r="F50" s="19"/>
      <c r="G50" s="19"/>
      <c r="H50" s="19"/>
      <c r="I50" s="20"/>
      <c r="J50" s="19"/>
      <c r="K50" s="20"/>
      <c r="L50" s="19"/>
    </row>
    <row r="51" s="21" customFormat="true" ht="19.5" hidden="true" customHeight="true" outlineLevel="0" collapsed="false">
      <c r="C51" s="19"/>
      <c r="D51" s="19"/>
      <c r="E51" s="19"/>
      <c r="F51" s="19"/>
      <c r="G51" s="19"/>
      <c r="H51" s="19"/>
      <c r="I51" s="20"/>
      <c r="J51" s="19"/>
      <c r="K51" s="20"/>
      <c r="L51" s="19"/>
    </row>
    <row r="52" s="21" customFormat="true" ht="19.5" hidden="true" customHeight="true" outlineLevel="0" collapsed="false">
      <c r="C52" s="19"/>
      <c r="D52" s="19"/>
      <c r="E52" s="19"/>
      <c r="F52" s="19"/>
      <c r="G52" s="19"/>
      <c r="H52" s="19"/>
      <c r="I52" s="20"/>
      <c r="J52" s="19"/>
      <c r="K52" s="20"/>
      <c r="L52" s="19"/>
    </row>
    <row r="53" s="21" customFormat="true" ht="19.5" hidden="true" customHeight="true" outlineLevel="0" collapsed="false">
      <c r="B53" s="19"/>
      <c r="D53" s="19"/>
      <c r="E53" s="19"/>
      <c r="F53" s="19"/>
      <c r="G53" s="19"/>
      <c r="H53" s="19"/>
      <c r="I53" s="29"/>
      <c r="J53" s="19"/>
      <c r="K53" s="20"/>
      <c r="L53" s="19"/>
    </row>
    <row r="54" s="21" customFormat="true" ht="19.5" hidden="true" customHeight="true" outlineLevel="0" collapsed="false">
      <c r="A54" s="19"/>
      <c r="B54" s="22"/>
      <c r="C54" s="19"/>
      <c r="D54" s="19"/>
      <c r="E54" s="19"/>
      <c r="F54" s="19"/>
      <c r="G54" s="19"/>
      <c r="H54" s="19"/>
      <c r="I54" s="20"/>
      <c r="J54" s="19"/>
      <c r="K54" s="20"/>
      <c r="L54" s="19"/>
      <c r="M54" s="27"/>
      <c r="N54" s="27"/>
      <c r="O54" s="27"/>
      <c r="P54" s="27"/>
      <c r="Q54" s="27"/>
      <c r="R54" s="27"/>
      <c r="S54" s="27"/>
      <c r="T54" s="28"/>
      <c r="U54" s="27"/>
      <c r="V54" s="27"/>
      <c r="W54" s="28"/>
      <c r="X54" s="27"/>
      <c r="Y54" s="27"/>
      <c r="Z54" s="26"/>
      <c r="AA54" s="27"/>
    </row>
    <row r="55" s="21" customFormat="true" ht="19.5" hidden="true" customHeight="true" outlineLevel="0" collapsed="false">
      <c r="C55" s="19"/>
      <c r="D55" s="19"/>
      <c r="E55" s="19"/>
      <c r="F55" s="19"/>
      <c r="G55" s="19"/>
      <c r="H55" s="19"/>
      <c r="I55" s="20"/>
      <c r="J55" s="19"/>
      <c r="K55" s="20"/>
      <c r="L55" s="19"/>
      <c r="T55" s="28"/>
      <c r="W55" s="28"/>
    </row>
    <row r="56" s="21" customFormat="true" ht="19.5" hidden="true" customHeight="true" outlineLevel="0" collapsed="false">
      <c r="C56" s="19"/>
      <c r="D56" s="19"/>
      <c r="E56" s="19"/>
      <c r="F56" s="19"/>
      <c r="G56" s="19"/>
      <c r="H56" s="19"/>
      <c r="I56" s="20"/>
      <c r="J56" s="19"/>
      <c r="K56" s="20"/>
      <c r="L56" s="19"/>
      <c r="T56" s="28"/>
      <c r="W56" s="28"/>
    </row>
    <row r="57" s="21" customFormat="true" ht="19.5" hidden="true" customHeight="true" outlineLevel="0" collapsed="false">
      <c r="B57" s="19"/>
      <c r="D57" s="19"/>
      <c r="E57" s="19"/>
      <c r="F57" s="19"/>
      <c r="G57" s="19"/>
      <c r="H57" s="19"/>
      <c r="I57" s="29"/>
      <c r="J57" s="19"/>
      <c r="K57" s="20"/>
      <c r="L57" s="19"/>
      <c r="T57" s="27"/>
      <c r="W57" s="27"/>
    </row>
    <row r="58" s="21" customFormat="true" ht="19.5" hidden="true" customHeight="true" outlineLevel="0" collapsed="false">
      <c r="A58" s="19"/>
      <c r="B58" s="22"/>
      <c r="C58" s="19"/>
      <c r="D58" s="19"/>
      <c r="E58" s="19"/>
      <c r="F58" s="19"/>
      <c r="G58" s="19"/>
      <c r="H58" s="19"/>
      <c r="I58" s="20"/>
      <c r="J58" s="19"/>
      <c r="K58" s="20"/>
      <c r="L58" s="19"/>
      <c r="M58" s="27"/>
      <c r="N58" s="27"/>
      <c r="O58" s="27"/>
      <c r="P58" s="27"/>
      <c r="Q58" s="27"/>
      <c r="R58" s="27"/>
      <c r="S58" s="27"/>
      <c r="T58" s="28"/>
      <c r="U58" s="27"/>
      <c r="V58" s="27"/>
      <c r="W58" s="28"/>
      <c r="X58" s="27"/>
      <c r="Y58" s="27"/>
      <c r="Z58" s="26"/>
      <c r="AA58" s="27"/>
    </row>
    <row r="59" s="21" customFormat="true" ht="19.5" hidden="true" customHeight="true" outlineLevel="0" collapsed="false">
      <c r="C59" s="19"/>
      <c r="D59" s="19"/>
      <c r="E59" s="19"/>
      <c r="F59" s="19"/>
      <c r="G59" s="19"/>
      <c r="H59" s="19"/>
      <c r="I59" s="20"/>
      <c r="J59" s="19"/>
      <c r="K59" s="20"/>
      <c r="L59" s="19"/>
      <c r="T59" s="28"/>
      <c r="W59" s="28"/>
    </row>
    <row r="60" s="21" customFormat="true" ht="19.5" hidden="true" customHeight="true" outlineLevel="0" collapsed="false">
      <c r="C60" s="19"/>
      <c r="D60" s="19"/>
      <c r="E60" s="19"/>
      <c r="F60" s="19"/>
      <c r="G60" s="19"/>
      <c r="H60" s="19"/>
      <c r="I60" s="20"/>
      <c r="J60" s="19"/>
      <c r="K60" s="20"/>
      <c r="L60" s="19"/>
      <c r="T60" s="28"/>
      <c r="W60" s="28"/>
    </row>
    <row r="61" s="21" customFormat="true" ht="19.5" hidden="true" customHeight="true" outlineLevel="0" collapsed="false">
      <c r="B61" s="19"/>
      <c r="D61" s="19"/>
      <c r="E61" s="19"/>
      <c r="F61" s="19"/>
      <c r="G61" s="19"/>
      <c r="H61" s="19"/>
      <c r="I61" s="29"/>
      <c r="J61" s="19"/>
      <c r="K61" s="20"/>
      <c r="L61" s="19"/>
      <c r="T61" s="27"/>
      <c r="W61" s="27"/>
    </row>
    <row r="62" s="21" customFormat="true" ht="19.5" hidden="true" customHeight="true" outlineLevel="0" collapsed="false">
      <c r="A62" s="19"/>
      <c r="B62" s="22"/>
      <c r="C62" s="19"/>
      <c r="D62" s="19"/>
      <c r="E62" s="19"/>
      <c r="F62" s="19"/>
      <c r="G62" s="19"/>
      <c r="H62" s="19"/>
      <c r="I62" s="20"/>
      <c r="J62" s="19"/>
      <c r="K62" s="20"/>
      <c r="L62" s="19"/>
      <c r="M62" s="27"/>
      <c r="N62" s="27"/>
      <c r="O62" s="27"/>
      <c r="P62" s="27"/>
      <c r="Q62" s="27"/>
      <c r="R62" s="27"/>
      <c r="S62" s="27"/>
      <c r="T62" s="28"/>
      <c r="U62" s="27"/>
      <c r="V62" s="27"/>
      <c r="W62" s="28"/>
      <c r="X62" s="27"/>
      <c r="Y62" s="27"/>
      <c r="Z62" s="26"/>
      <c r="AA62" s="27"/>
    </row>
    <row r="63" s="21" customFormat="true" ht="19.5" hidden="true" customHeight="true" outlineLevel="0" collapsed="false">
      <c r="C63" s="19"/>
      <c r="D63" s="19"/>
      <c r="E63" s="19"/>
      <c r="F63" s="19"/>
      <c r="G63" s="19"/>
      <c r="H63" s="19"/>
      <c r="I63" s="20"/>
      <c r="J63" s="19"/>
      <c r="K63" s="20"/>
      <c r="L63" s="19"/>
      <c r="T63" s="28"/>
      <c r="W63" s="28"/>
    </row>
    <row r="64" s="21" customFormat="true" ht="19.5" hidden="true" customHeight="true" outlineLevel="0" collapsed="false">
      <c r="C64" s="19"/>
      <c r="D64" s="19"/>
      <c r="E64" s="19"/>
      <c r="F64" s="19"/>
      <c r="G64" s="19"/>
      <c r="H64" s="19"/>
      <c r="I64" s="20"/>
      <c r="J64" s="19"/>
      <c r="K64" s="20"/>
      <c r="L64" s="19"/>
      <c r="T64" s="28"/>
      <c r="W64" s="28"/>
    </row>
    <row r="65" s="21" customFormat="true" ht="19.5" hidden="true" customHeight="true" outlineLevel="0" collapsed="false">
      <c r="B65" s="19"/>
      <c r="D65" s="19"/>
      <c r="E65" s="19"/>
      <c r="F65" s="19"/>
      <c r="G65" s="19"/>
      <c r="H65" s="19"/>
      <c r="I65" s="29"/>
      <c r="J65" s="19"/>
      <c r="K65" s="20"/>
      <c r="L65" s="19"/>
      <c r="T65" s="27"/>
      <c r="W65" s="27"/>
    </row>
    <row r="66" s="21" customFormat="true" ht="19.5" hidden="false" customHeight="true" outlineLevel="0" collapsed="false">
      <c r="A66" s="19"/>
      <c r="B66" s="22"/>
      <c r="C66" s="19"/>
      <c r="D66" s="19"/>
      <c r="E66" s="19"/>
      <c r="F66" s="19"/>
      <c r="G66" s="19"/>
      <c r="H66" s="19"/>
      <c r="I66" s="20"/>
      <c r="J66" s="19"/>
      <c r="K66" s="20"/>
      <c r="L66" s="19"/>
      <c r="M66" s="27"/>
      <c r="N66" s="27"/>
      <c r="O66" s="27"/>
      <c r="P66" s="27"/>
      <c r="Q66" s="27"/>
      <c r="R66" s="27"/>
      <c r="S66" s="27"/>
      <c r="T66" s="28"/>
      <c r="U66" s="27"/>
      <c r="V66" s="27"/>
      <c r="W66" s="28"/>
      <c r="X66" s="27"/>
      <c r="Y66" s="27"/>
      <c r="Z66" s="26"/>
      <c r="AA66" s="27"/>
    </row>
    <row r="67" s="21" customFormat="true" ht="19.5" hidden="true" customHeight="true" outlineLevel="0" collapsed="false">
      <c r="C67" s="19"/>
      <c r="D67" s="19"/>
      <c r="E67" s="19"/>
      <c r="F67" s="19"/>
      <c r="G67" s="19"/>
      <c r="H67" s="19"/>
      <c r="I67" s="20"/>
      <c r="J67" s="19"/>
      <c r="K67" s="20"/>
      <c r="L67" s="19"/>
      <c r="T67" s="28"/>
      <c r="W67" s="28"/>
    </row>
    <row r="68" s="21" customFormat="true" ht="19.5" hidden="true" customHeight="true" outlineLevel="0" collapsed="false">
      <c r="C68" s="19"/>
      <c r="D68" s="19"/>
      <c r="E68" s="19"/>
      <c r="F68" s="19"/>
      <c r="G68" s="19"/>
      <c r="H68" s="19"/>
      <c r="I68" s="20"/>
      <c r="J68" s="19"/>
      <c r="K68" s="20"/>
      <c r="L68" s="19"/>
      <c r="T68" s="28"/>
      <c r="W68" s="28"/>
    </row>
    <row r="69" s="21" customFormat="true" ht="19.5" hidden="true" customHeight="true" outlineLevel="0" collapsed="false">
      <c r="B69" s="19"/>
      <c r="D69" s="19"/>
      <c r="E69" s="19"/>
      <c r="F69" s="19"/>
      <c r="G69" s="19"/>
      <c r="H69" s="19"/>
      <c r="I69" s="29"/>
      <c r="J69" s="19"/>
      <c r="K69" s="20"/>
      <c r="L69" s="19"/>
      <c r="T69" s="27"/>
      <c r="W69" s="27"/>
    </row>
    <row r="70" s="21" customFormat="true" ht="19.5" hidden="false" customHeight="true" outlineLevel="0" collapsed="false">
      <c r="A70" s="19"/>
      <c r="B70" s="22"/>
      <c r="C70" s="19"/>
      <c r="D70" s="19"/>
      <c r="E70" s="19"/>
      <c r="F70" s="19"/>
      <c r="G70" s="19"/>
      <c r="H70" s="19"/>
      <c r="I70" s="20"/>
      <c r="J70" s="19"/>
      <c r="K70" s="20"/>
      <c r="L70" s="19"/>
      <c r="M70" s="27"/>
      <c r="N70" s="27"/>
      <c r="O70" s="27"/>
      <c r="P70" s="27"/>
      <c r="Q70" s="27"/>
      <c r="R70" s="27"/>
      <c r="S70" s="27"/>
      <c r="T70" s="28"/>
      <c r="U70" s="27"/>
      <c r="V70" s="27"/>
      <c r="W70" s="28"/>
      <c r="X70" s="27"/>
      <c r="Y70" s="27"/>
      <c r="Z70" s="26"/>
      <c r="AA70" s="27"/>
    </row>
    <row r="71" s="21" customFormat="true" ht="19.5" hidden="true" customHeight="true" outlineLevel="0" collapsed="false">
      <c r="C71" s="19"/>
      <c r="D71" s="19"/>
      <c r="E71" s="19"/>
      <c r="F71" s="19"/>
      <c r="G71" s="19"/>
      <c r="H71" s="19"/>
      <c r="I71" s="20"/>
      <c r="J71" s="19"/>
      <c r="K71" s="20"/>
      <c r="L71" s="19"/>
      <c r="T71" s="28"/>
      <c r="W71" s="28"/>
    </row>
    <row r="72" s="21" customFormat="true" ht="19.5" hidden="true" customHeight="true" outlineLevel="0" collapsed="false">
      <c r="C72" s="19"/>
      <c r="D72" s="19"/>
      <c r="E72" s="19"/>
      <c r="F72" s="19"/>
      <c r="G72" s="19"/>
      <c r="H72" s="19"/>
      <c r="I72" s="20"/>
      <c r="J72" s="19"/>
      <c r="K72" s="20"/>
      <c r="L72" s="19"/>
      <c r="T72" s="28"/>
      <c r="W72" s="28"/>
    </row>
    <row r="73" s="21" customFormat="true" ht="19.5" hidden="true" customHeight="true" outlineLevel="0" collapsed="false">
      <c r="B73" s="19"/>
      <c r="D73" s="19"/>
      <c r="E73" s="19"/>
      <c r="F73" s="19"/>
      <c r="G73" s="19"/>
      <c r="H73" s="19"/>
      <c r="I73" s="29"/>
      <c r="J73" s="19"/>
      <c r="K73" s="20"/>
      <c r="L73" s="19"/>
      <c r="T73" s="27"/>
      <c r="W73" s="27"/>
    </row>
    <row r="74" s="21" customFormat="true" ht="19.5" hidden="false" customHeight="true" outlineLevel="0" collapsed="false">
      <c r="A74" s="19"/>
      <c r="B74" s="22"/>
      <c r="C74" s="19"/>
      <c r="D74" s="19"/>
      <c r="E74" s="19"/>
      <c r="F74" s="19"/>
      <c r="G74" s="19"/>
      <c r="H74" s="19"/>
      <c r="I74" s="20"/>
      <c r="J74" s="19"/>
      <c r="K74" s="20"/>
      <c r="L74" s="19"/>
      <c r="M74" s="27"/>
      <c r="N74" s="27"/>
      <c r="O74" s="27"/>
      <c r="P74" s="27"/>
      <c r="Q74" s="27"/>
      <c r="R74" s="27"/>
      <c r="S74" s="27"/>
      <c r="T74" s="28"/>
      <c r="U74" s="27"/>
      <c r="V74" s="27"/>
      <c r="W74" s="28"/>
      <c r="X74" s="27"/>
      <c r="Y74" s="27"/>
      <c r="Z74" s="26"/>
      <c r="AA74" s="27"/>
    </row>
    <row r="75" s="21" customFormat="true" ht="19.5" hidden="true" customHeight="true" outlineLevel="0" collapsed="false">
      <c r="C75" s="19"/>
      <c r="D75" s="19"/>
      <c r="E75" s="19"/>
      <c r="F75" s="19"/>
      <c r="G75" s="19"/>
      <c r="H75" s="19"/>
      <c r="I75" s="20"/>
      <c r="J75" s="19"/>
      <c r="K75" s="20"/>
      <c r="L75" s="19"/>
      <c r="T75" s="28"/>
      <c r="W75" s="28"/>
    </row>
    <row r="76" s="21" customFormat="true" ht="19.5" hidden="true" customHeight="true" outlineLevel="0" collapsed="false">
      <c r="C76" s="19"/>
      <c r="D76" s="19"/>
      <c r="E76" s="19"/>
      <c r="F76" s="19"/>
      <c r="G76" s="19"/>
      <c r="H76" s="19"/>
      <c r="I76" s="20"/>
      <c r="J76" s="19"/>
      <c r="K76" s="20"/>
      <c r="L76" s="19"/>
      <c r="T76" s="28"/>
      <c r="W76" s="28"/>
    </row>
    <row r="77" s="21" customFormat="true" ht="19.5" hidden="true" customHeight="true" outlineLevel="0" collapsed="false">
      <c r="B77" s="19"/>
      <c r="D77" s="19"/>
      <c r="E77" s="19"/>
      <c r="F77" s="19"/>
      <c r="G77" s="19"/>
      <c r="H77" s="19"/>
      <c r="I77" s="29"/>
      <c r="J77" s="19"/>
      <c r="K77" s="20"/>
      <c r="L77" s="19"/>
      <c r="T77" s="27"/>
      <c r="W77" s="27"/>
    </row>
    <row r="78" s="21" customFormat="true" ht="19.5" hidden="true" customHeight="true" outlineLevel="0" collapsed="false">
      <c r="A78" s="19"/>
      <c r="B78" s="22"/>
      <c r="C78" s="19"/>
      <c r="D78" s="19"/>
      <c r="E78" s="19"/>
      <c r="F78" s="19"/>
      <c r="G78" s="19"/>
      <c r="H78" s="19"/>
      <c r="I78" s="20"/>
      <c r="J78" s="30"/>
      <c r="K78" s="20"/>
      <c r="L78" s="19"/>
      <c r="M78" s="27"/>
      <c r="N78" s="27"/>
      <c r="O78" s="27"/>
      <c r="P78" s="27"/>
      <c r="Q78" s="27"/>
      <c r="R78" s="27"/>
      <c r="S78" s="27"/>
      <c r="T78" s="28"/>
      <c r="U78" s="27"/>
      <c r="V78" s="27"/>
      <c r="W78" s="28"/>
      <c r="X78" s="27"/>
      <c r="Y78" s="27"/>
      <c r="Z78" s="26"/>
      <c r="AA78" s="27"/>
    </row>
    <row r="79" s="21" customFormat="true" ht="19.5" hidden="true" customHeight="true" outlineLevel="0" collapsed="false">
      <c r="C79" s="19"/>
      <c r="D79" s="19"/>
      <c r="E79" s="19"/>
      <c r="F79" s="19"/>
      <c r="G79" s="19"/>
      <c r="H79" s="19"/>
      <c r="I79" s="20"/>
      <c r="J79" s="30"/>
      <c r="K79" s="20"/>
      <c r="L79" s="19"/>
      <c r="T79" s="28"/>
      <c r="W79" s="28"/>
    </row>
    <row r="80" s="21" customFormat="true" ht="19.5" hidden="true" customHeight="true" outlineLevel="0" collapsed="false">
      <c r="B80" s="19"/>
      <c r="D80" s="19"/>
      <c r="E80" s="19"/>
      <c r="F80" s="19"/>
      <c r="G80" s="19"/>
      <c r="H80" s="19"/>
      <c r="I80" s="29"/>
      <c r="J80" s="19"/>
      <c r="K80" s="20"/>
      <c r="L80" s="19"/>
      <c r="T80" s="27"/>
      <c r="W80" s="27"/>
    </row>
    <row r="81" s="21" customFormat="true" ht="19.5" hidden="true" customHeight="true" outlineLevel="0" collapsed="false">
      <c r="A81" s="19"/>
      <c r="B81" s="22"/>
      <c r="C81" s="19"/>
      <c r="D81" s="19"/>
      <c r="E81" s="19"/>
      <c r="F81" s="19"/>
      <c r="G81" s="19"/>
      <c r="H81" s="19"/>
      <c r="I81" s="20"/>
      <c r="J81" s="19"/>
      <c r="K81" s="20"/>
      <c r="L81" s="19"/>
      <c r="M81" s="27"/>
      <c r="N81" s="27"/>
      <c r="O81" s="27"/>
      <c r="P81" s="27"/>
      <c r="Q81" s="27"/>
      <c r="R81" s="27"/>
      <c r="S81" s="27"/>
      <c r="T81" s="28"/>
      <c r="U81" s="27"/>
      <c r="V81" s="27"/>
      <c r="W81" s="28"/>
      <c r="X81" s="27"/>
      <c r="Y81" s="27"/>
      <c r="Z81" s="26"/>
      <c r="AA81" s="27"/>
    </row>
    <row r="82" s="21" customFormat="true" ht="19.5" hidden="true" customHeight="true" outlineLevel="0" collapsed="false">
      <c r="C82" s="19"/>
      <c r="D82" s="19"/>
      <c r="E82" s="19"/>
      <c r="F82" s="19"/>
      <c r="G82" s="19"/>
      <c r="H82" s="19"/>
      <c r="I82" s="20"/>
      <c r="J82" s="19"/>
      <c r="K82" s="20"/>
      <c r="L82" s="19"/>
      <c r="T82" s="28"/>
      <c r="W82" s="28"/>
    </row>
    <row r="83" s="21" customFormat="true" ht="19.5" hidden="true" customHeight="true" outlineLevel="0" collapsed="false">
      <c r="B83" s="19"/>
      <c r="D83" s="19"/>
      <c r="E83" s="19"/>
      <c r="F83" s="19"/>
      <c r="G83" s="19"/>
      <c r="H83" s="19"/>
      <c r="I83" s="20"/>
      <c r="J83" s="19"/>
      <c r="K83" s="20"/>
      <c r="L83" s="19"/>
      <c r="T83" s="27"/>
      <c r="W83" s="27"/>
    </row>
    <row r="84" s="21" customFormat="true" ht="19.5" hidden="true" customHeight="true" outlineLevel="0" collapsed="false">
      <c r="A84" s="19"/>
      <c r="B84" s="22"/>
      <c r="C84" s="19"/>
      <c r="D84" s="19"/>
      <c r="E84" s="19"/>
      <c r="F84" s="19"/>
      <c r="G84" s="19"/>
      <c r="H84" s="19"/>
      <c r="I84" s="20"/>
      <c r="J84" s="19"/>
      <c r="K84" s="20"/>
      <c r="L84" s="19"/>
      <c r="M84" s="27"/>
      <c r="N84" s="27"/>
      <c r="O84" s="27"/>
      <c r="P84" s="27"/>
      <c r="Q84" s="27"/>
      <c r="R84" s="27"/>
      <c r="S84" s="27"/>
      <c r="T84" s="28"/>
      <c r="U84" s="27"/>
      <c r="V84" s="27"/>
      <c r="W84" s="28"/>
      <c r="X84" s="27"/>
      <c r="Y84" s="27"/>
      <c r="Z84" s="26"/>
      <c r="AA84" s="27"/>
    </row>
    <row r="85" s="21" customFormat="true" ht="19.5" hidden="true" customHeight="true" outlineLevel="0" collapsed="false">
      <c r="C85" s="19"/>
      <c r="D85" s="19"/>
      <c r="E85" s="19"/>
      <c r="F85" s="19"/>
      <c r="G85" s="19"/>
      <c r="H85" s="19"/>
      <c r="I85" s="20"/>
      <c r="J85" s="19"/>
      <c r="K85" s="20"/>
      <c r="L85" s="19"/>
      <c r="T85" s="28"/>
      <c r="W85" s="28"/>
    </row>
    <row r="86" s="21" customFormat="true" ht="19.5" hidden="true" customHeight="true" outlineLevel="0" collapsed="false">
      <c r="B86" s="19"/>
      <c r="D86" s="19"/>
      <c r="E86" s="19"/>
      <c r="F86" s="19"/>
      <c r="G86" s="19"/>
      <c r="H86" s="19"/>
      <c r="I86" s="20"/>
      <c r="J86" s="19"/>
      <c r="K86" s="20"/>
      <c r="L86" s="19"/>
      <c r="T86" s="27"/>
      <c r="W86" s="27"/>
    </row>
    <row r="87" s="21" customFormat="true" ht="19.5" hidden="false" customHeight="true" outlineLevel="0" collapsed="false">
      <c r="A87" s="19"/>
      <c r="B87" s="22"/>
      <c r="C87" s="19"/>
      <c r="D87" s="19"/>
      <c r="E87" s="19"/>
      <c r="F87" s="19"/>
      <c r="G87" s="19"/>
      <c r="H87" s="19"/>
      <c r="I87" s="20"/>
      <c r="J87" s="19"/>
      <c r="K87" s="20"/>
      <c r="L87" s="19"/>
      <c r="M87" s="27"/>
      <c r="N87" s="27"/>
      <c r="O87" s="27"/>
      <c r="P87" s="27"/>
      <c r="Q87" s="27"/>
      <c r="R87" s="27"/>
      <c r="S87" s="27"/>
      <c r="T87" s="28"/>
      <c r="U87" s="27"/>
      <c r="V87" s="27"/>
      <c r="W87" s="28"/>
      <c r="X87" s="27"/>
      <c r="Y87" s="27"/>
      <c r="Z87" s="26"/>
      <c r="AA87" s="27"/>
    </row>
    <row r="88" s="21" customFormat="true" ht="19.5" hidden="false" customHeight="true" outlineLevel="0" collapsed="false">
      <c r="C88" s="19"/>
      <c r="D88" s="19"/>
      <c r="E88" s="19"/>
      <c r="F88" s="19"/>
      <c r="G88" s="19"/>
      <c r="H88" s="19"/>
      <c r="I88" s="31"/>
      <c r="J88" s="30"/>
      <c r="K88" s="20"/>
      <c r="L88" s="19"/>
      <c r="T88" s="28"/>
      <c r="W88" s="28"/>
    </row>
    <row r="89" s="21" customFormat="true" ht="19.5" hidden="true" customHeight="true" outlineLevel="0" collapsed="false">
      <c r="B89" s="19"/>
      <c r="D89" s="19"/>
      <c r="E89" s="19"/>
      <c r="F89" s="19"/>
      <c r="G89" s="19"/>
      <c r="H89" s="19"/>
      <c r="I89" s="20"/>
      <c r="J89" s="19"/>
      <c r="K89" s="20"/>
      <c r="L89" s="19"/>
      <c r="T89" s="27"/>
      <c r="W89" s="27"/>
    </row>
    <row r="90" s="21" customFormat="true" ht="19.5" hidden="true" customHeight="true" outlineLevel="0" collapsed="false">
      <c r="A90" s="19"/>
      <c r="B90" s="22"/>
      <c r="C90" s="19"/>
      <c r="D90" s="19"/>
      <c r="E90" s="19"/>
      <c r="F90" s="19"/>
      <c r="G90" s="19"/>
      <c r="H90" s="19"/>
      <c r="I90" s="20"/>
      <c r="J90" s="19"/>
      <c r="K90" s="20"/>
      <c r="L90" s="19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6"/>
      <c r="AA90" s="27"/>
    </row>
    <row r="91" s="21" customFormat="true" ht="19.5" hidden="false" customHeight="true" outlineLevel="0" collapsed="false">
      <c r="C91" s="19"/>
      <c r="D91" s="19"/>
      <c r="E91" s="19"/>
      <c r="F91" s="19"/>
      <c r="G91" s="19"/>
      <c r="H91" s="19"/>
      <c r="I91" s="20"/>
      <c r="J91" s="19"/>
      <c r="K91" s="20"/>
      <c r="L91" s="19"/>
    </row>
    <row r="92" s="21" customFormat="true" ht="19.5" hidden="false" customHeight="true" outlineLevel="0" collapsed="false">
      <c r="C92" s="19"/>
      <c r="D92" s="19"/>
      <c r="E92" s="19"/>
      <c r="F92" s="19"/>
      <c r="G92" s="19"/>
      <c r="H92" s="19"/>
      <c r="I92" s="20"/>
      <c r="J92" s="19"/>
      <c r="K92" s="20"/>
      <c r="L92" s="19"/>
    </row>
    <row r="93" s="21" customFormat="true" ht="19.5" hidden="false" customHeight="true" outlineLevel="0" collapsed="false">
      <c r="C93" s="19"/>
      <c r="D93" s="19"/>
      <c r="E93" s="19"/>
      <c r="F93" s="19"/>
      <c r="G93" s="19"/>
      <c r="H93" s="19"/>
      <c r="I93" s="20"/>
      <c r="J93" s="19"/>
      <c r="K93" s="20"/>
      <c r="L93" s="19"/>
    </row>
    <row r="94" s="21" customFormat="true" ht="19.5" hidden="true" customHeight="true" outlineLevel="0" collapsed="false">
      <c r="C94" s="19"/>
      <c r="D94" s="19"/>
      <c r="E94" s="19"/>
      <c r="F94" s="19"/>
      <c r="G94" s="19"/>
      <c r="H94" s="19"/>
      <c r="I94" s="31"/>
      <c r="J94" s="19"/>
      <c r="K94" s="20"/>
      <c r="L94" s="19"/>
    </row>
    <row r="95" s="21" customFormat="true" ht="19.5" hidden="true" customHeight="true" outlineLevel="0" collapsed="false">
      <c r="C95" s="19"/>
      <c r="D95" s="19"/>
      <c r="E95" s="19"/>
      <c r="F95" s="19"/>
      <c r="G95" s="19"/>
      <c r="H95" s="19"/>
      <c r="I95" s="20"/>
      <c r="J95" s="19"/>
      <c r="K95" s="20"/>
      <c r="L95" s="19"/>
    </row>
    <row r="96" s="21" customFormat="true" ht="19.5" hidden="false" customHeight="true" outlineLevel="0" collapsed="false">
      <c r="C96" s="19"/>
      <c r="D96" s="19"/>
      <c r="E96" s="19"/>
      <c r="F96" s="19"/>
      <c r="G96" s="19"/>
      <c r="H96" s="19"/>
      <c r="I96" s="20"/>
      <c r="J96" s="19"/>
      <c r="K96" s="20"/>
      <c r="L96" s="19"/>
    </row>
    <row r="97" s="21" customFormat="true" ht="19.5" hidden="false" customHeight="true" outlineLevel="0" collapsed="false">
      <c r="C97" s="19"/>
      <c r="D97" s="19"/>
      <c r="E97" s="19"/>
      <c r="F97" s="19"/>
      <c r="G97" s="19"/>
      <c r="H97" s="19"/>
      <c r="I97" s="20"/>
      <c r="J97" s="19"/>
      <c r="K97" s="20"/>
      <c r="L97" s="19"/>
    </row>
    <row r="98" s="21" customFormat="true" ht="19.5" hidden="false" customHeight="true" outlineLevel="0" collapsed="false">
      <c r="C98" s="19"/>
      <c r="D98" s="19"/>
      <c r="E98" s="19"/>
      <c r="F98" s="19"/>
      <c r="G98" s="19"/>
      <c r="H98" s="19"/>
      <c r="I98" s="20"/>
      <c r="J98" s="19"/>
      <c r="K98" s="20"/>
      <c r="L98" s="19"/>
    </row>
    <row r="99" s="21" customFormat="true" ht="19.5" hidden="true" customHeight="true" outlineLevel="0" collapsed="false">
      <c r="B99" s="19"/>
      <c r="D99" s="19"/>
      <c r="E99" s="19"/>
      <c r="F99" s="19"/>
      <c r="G99" s="19"/>
      <c r="H99" s="19"/>
      <c r="I99" s="29"/>
      <c r="J99" s="19"/>
      <c r="K99" s="20"/>
      <c r="L99" s="19"/>
    </row>
    <row r="100" s="21" customFormat="true" ht="19.5" hidden="true" customHeight="true" outlineLevel="0" collapsed="false">
      <c r="A100" s="19"/>
      <c r="B100" s="22"/>
      <c r="C100" s="19"/>
      <c r="D100" s="19"/>
      <c r="E100" s="19"/>
      <c r="F100" s="19"/>
      <c r="G100" s="19"/>
      <c r="H100" s="19"/>
      <c r="I100" s="20"/>
      <c r="J100" s="19"/>
      <c r="K100" s="20"/>
      <c r="L100" s="19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6"/>
      <c r="AA100" s="27"/>
    </row>
    <row r="101" s="21" customFormat="true" ht="19.5" hidden="false" customHeight="true" outlineLevel="0" collapsed="false">
      <c r="C101" s="19"/>
      <c r="D101" s="19"/>
      <c r="E101" s="19"/>
      <c r="F101" s="19"/>
      <c r="G101" s="19"/>
      <c r="H101" s="19"/>
      <c r="I101" s="20"/>
      <c r="J101" s="19"/>
      <c r="K101" s="20"/>
      <c r="L101" s="19"/>
    </row>
    <row r="102" s="21" customFormat="true" ht="19.5" hidden="false" customHeight="true" outlineLevel="0" collapsed="false">
      <c r="C102" s="19"/>
      <c r="D102" s="19"/>
      <c r="E102" s="19"/>
      <c r="F102" s="19"/>
      <c r="G102" s="19"/>
      <c r="H102" s="19"/>
      <c r="I102" s="20"/>
      <c r="J102" s="19"/>
      <c r="K102" s="20"/>
      <c r="L102" s="19"/>
    </row>
    <row r="103" s="21" customFormat="true" ht="19.5" hidden="false" customHeight="true" outlineLevel="0" collapsed="false">
      <c r="C103" s="19"/>
      <c r="D103" s="19"/>
      <c r="E103" s="19"/>
      <c r="F103" s="19"/>
      <c r="G103" s="19"/>
      <c r="H103" s="19"/>
      <c r="I103" s="20"/>
      <c r="J103" s="19"/>
      <c r="K103" s="20"/>
      <c r="L103" s="19"/>
    </row>
    <row r="104" s="21" customFormat="true" ht="19.5" hidden="true" customHeight="true" outlineLevel="0" collapsed="false">
      <c r="C104" s="19"/>
      <c r="D104" s="19"/>
      <c r="E104" s="19"/>
      <c r="F104" s="19"/>
      <c r="G104" s="19"/>
      <c r="H104" s="19"/>
      <c r="I104" s="20"/>
      <c r="J104" s="19"/>
      <c r="K104" s="20"/>
      <c r="L104" s="19"/>
    </row>
    <row r="105" s="21" customFormat="true" ht="19.5" hidden="true" customHeight="true" outlineLevel="0" collapsed="false">
      <c r="C105" s="19"/>
      <c r="D105" s="19"/>
      <c r="E105" s="19"/>
      <c r="F105" s="19"/>
      <c r="G105" s="19"/>
      <c r="H105" s="19"/>
      <c r="I105" s="20"/>
      <c r="J105" s="19"/>
      <c r="K105" s="20"/>
      <c r="L105" s="19"/>
    </row>
    <row r="106" s="21" customFormat="true" ht="19.5" hidden="true" customHeight="true" outlineLevel="0" collapsed="false">
      <c r="C106" s="19"/>
      <c r="D106" s="19"/>
      <c r="E106" s="19"/>
      <c r="F106" s="19"/>
      <c r="G106" s="19"/>
      <c r="H106" s="19"/>
      <c r="I106" s="20"/>
      <c r="J106" s="19"/>
      <c r="K106" s="20"/>
      <c r="L106" s="19"/>
    </row>
    <row r="107" s="21" customFormat="true" ht="19.5" hidden="true" customHeight="true" outlineLevel="0" collapsed="false">
      <c r="B107" s="19"/>
      <c r="D107" s="19"/>
      <c r="E107" s="19"/>
      <c r="F107" s="19"/>
      <c r="G107" s="19"/>
      <c r="H107" s="19"/>
      <c r="I107" s="29"/>
      <c r="J107" s="19"/>
      <c r="K107" s="20"/>
      <c r="L107" s="19"/>
    </row>
    <row r="108" s="21" customFormat="true" ht="19.5" hidden="true" customHeight="true" outlineLevel="0" collapsed="false">
      <c r="A108" s="19"/>
      <c r="B108" s="22"/>
      <c r="C108" s="19"/>
      <c r="D108" s="19"/>
      <c r="E108" s="19"/>
      <c r="F108" s="19"/>
      <c r="G108" s="19"/>
      <c r="H108" s="19"/>
      <c r="I108" s="20"/>
      <c r="J108" s="19"/>
      <c r="K108" s="20"/>
      <c r="L108" s="19"/>
      <c r="M108" s="27"/>
      <c r="N108" s="27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7"/>
      <c r="Z108" s="26"/>
      <c r="AA108" s="27"/>
    </row>
    <row r="109" s="21" customFormat="true" ht="19.5" hidden="false" customHeight="true" outlineLevel="0" collapsed="false">
      <c r="C109" s="19"/>
      <c r="D109" s="19"/>
      <c r="E109" s="19"/>
      <c r="F109" s="19"/>
      <c r="G109" s="19"/>
      <c r="H109" s="19"/>
      <c r="I109" s="20"/>
      <c r="J109" s="19"/>
      <c r="K109" s="20"/>
      <c r="L109" s="19"/>
    </row>
    <row r="110" s="21" customFormat="true" ht="19.5" hidden="false" customHeight="true" outlineLevel="0" collapsed="false">
      <c r="C110" s="19"/>
      <c r="D110" s="19"/>
      <c r="E110" s="19"/>
      <c r="F110" s="19"/>
      <c r="G110" s="19"/>
      <c r="H110" s="19"/>
      <c r="I110" s="20"/>
      <c r="J110" s="19"/>
      <c r="K110" s="20"/>
      <c r="L110" s="19"/>
    </row>
    <row r="111" s="21" customFormat="true" ht="19.5" hidden="false" customHeight="true" outlineLevel="0" collapsed="false">
      <c r="C111" s="19"/>
      <c r="D111" s="19"/>
      <c r="E111" s="19"/>
      <c r="F111" s="19"/>
      <c r="G111" s="19"/>
      <c r="H111" s="19"/>
      <c r="I111" s="20"/>
      <c r="J111" s="19"/>
      <c r="K111" s="20"/>
      <c r="L111" s="19"/>
    </row>
    <row r="112" s="21" customFormat="true" ht="19.5" hidden="false" customHeight="true" outlineLevel="0" collapsed="false">
      <c r="C112" s="19"/>
      <c r="D112" s="19"/>
      <c r="E112" s="19"/>
      <c r="F112" s="19"/>
      <c r="G112" s="19"/>
      <c r="H112" s="19"/>
      <c r="I112" s="20"/>
      <c r="J112" s="19"/>
      <c r="K112" s="20"/>
      <c r="L112" s="19"/>
    </row>
    <row r="113" s="21" customFormat="true" ht="19.5" hidden="false" customHeight="true" outlineLevel="0" collapsed="false">
      <c r="C113" s="19"/>
      <c r="D113" s="19"/>
      <c r="E113" s="19"/>
      <c r="F113" s="19"/>
      <c r="G113" s="19"/>
      <c r="H113" s="19"/>
      <c r="I113" s="20"/>
      <c r="J113" s="19"/>
      <c r="K113" s="20"/>
      <c r="L113" s="19"/>
    </row>
    <row r="114" s="21" customFormat="true" ht="19.5" hidden="true" customHeight="true" outlineLevel="0" collapsed="false">
      <c r="C114" s="19"/>
      <c r="D114" s="19"/>
      <c r="E114" s="19"/>
      <c r="F114" s="19"/>
      <c r="G114" s="19"/>
      <c r="H114" s="19"/>
      <c r="I114" s="20"/>
      <c r="J114" s="19"/>
      <c r="K114" s="20"/>
      <c r="L114" s="19"/>
    </row>
    <row r="115" s="21" customFormat="true" ht="19.5" hidden="true" customHeight="true" outlineLevel="0" collapsed="false">
      <c r="C115" s="19"/>
      <c r="D115" s="19"/>
      <c r="E115" s="19"/>
      <c r="F115" s="19"/>
      <c r="G115" s="19"/>
      <c r="H115" s="19"/>
      <c r="I115" s="20"/>
      <c r="J115" s="19"/>
      <c r="K115" s="20"/>
      <c r="L115" s="19"/>
    </row>
    <row r="116" s="21" customFormat="true" ht="19.5" hidden="true" customHeight="true" outlineLevel="0" collapsed="false">
      <c r="B116" s="19"/>
      <c r="D116" s="19"/>
      <c r="E116" s="19"/>
      <c r="F116" s="19"/>
      <c r="G116" s="19"/>
      <c r="H116" s="19"/>
      <c r="I116" s="29"/>
      <c r="J116" s="19"/>
      <c r="K116" s="20"/>
      <c r="L116" s="19"/>
    </row>
    <row r="117" s="21" customFormat="true" ht="19.5" hidden="true" customHeight="true" outlineLevel="0" collapsed="false">
      <c r="A117" s="19"/>
      <c r="B117" s="22"/>
      <c r="C117" s="19"/>
      <c r="D117" s="19"/>
      <c r="E117" s="30"/>
      <c r="F117" s="19"/>
      <c r="G117" s="19"/>
      <c r="H117" s="19"/>
      <c r="I117" s="20"/>
      <c r="J117" s="19"/>
      <c r="K117" s="20"/>
      <c r="L117" s="19"/>
      <c r="M117" s="27"/>
      <c r="N117" s="27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7"/>
      <c r="Z117" s="26"/>
      <c r="AA117" s="27"/>
    </row>
    <row r="118" s="21" customFormat="true" ht="19.5" hidden="false" customHeight="true" outlineLevel="0" collapsed="false">
      <c r="C118" s="19"/>
      <c r="D118" s="19"/>
      <c r="E118" s="19"/>
      <c r="F118" s="19"/>
      <c r="G118" s="19"/>
      <c r="H118" s="19"/>
      <c r="I118" s="20"/>
      <c r="J118" s="19"/>
      <c r="K118" s="20"/>
      <c r="L118" s="19"/>
    </row>
    <row r="119" s="21" customFormat="true" ht="19.5" hidden="false" customHeight="true" outlineLevel="0" collapsed="false">
      <c r="C119" s="19"/>
      <c r="D119" s="19"/>
      <c r="E119" s="19"/>
      <c r="F119" s="19"/>
      <c r="G119" s="19"/>
      <c r="H119" s="19"/>
      <c r="I119" s="20"/>
      <c r="J119" s="19"/>
      <c r="K119" s="20"/>
      <c r="L119" s="19"/>
    </row>
    <row r="120" s="21" customFormat="true" ht="19.5" hidden="false" customHeight="true" outlineLevel="0" collapsed="false">
      <c r="C120" s="19"/>
      <c r="D120" s="19"/>
      <c r="E120" s="19"/>
      <c r="F120" s="19"/>
      <c r="G120" s="19"/>
      <c r="H120" s="19"/>
      <c r="I120" s="20"/>
      <c r="J120" s="19"/>
      <c r="K120" s="20"/>
      <c r="L120" s="19"/>
    </row>
    <row r="121" s="21" customFormat="true" ht="19.5" hidden="false" customHeight="true" outlineLevel="0" collapsed="false">
      <c r="C121" s="19"/>
      <c r="D121" s="19"/>
      <c r="E121" s="30"/>
      <c r="F121" s="19"/>
      <c r="G121" s="19"/>
      <c r="H121" s="19"/>
      <c r="I121" s="20"/>
      <c r="J121" s="19"/>
      <c r="K121" s="20"/>
      <c r="L121" s="19"/>
    </row>
    <row r="122" s="21" customFormat="true" ht="19.5" hidden="false" customHeight="true" outlineLevel="0" collapsed="false">
      <c r="C122" s="19"/>
      <c r="D122" s="19"/>
      <c r="E122" s="30"/>
      <c r="F122" s="19"/>
      <c r="G122" s="19"/>
      <c r="H122" s="19"/>
      <c r="I122" s="20"/>
      <c r="J122" s="19"/>
      <c r="K122" s="20"/>
      <c r="L122" s="19"/>
    </row>
    <row r="123" s="21" customFormat="true" ht="19.5" hidden="true" customHeight="true" outlineLevel="0" collapsed="false">
      <c r="C123" s="19"/>
      <c r="D123" s="19"/>
      <c r="E123" s="19"/>
      <c r="F123" s="19"/>
      <c r="G123" s="19"/>
      <c r="H123" s="19"/>
      <c r="I123" s="20"/>
      <c r="J123" s="19"/>
      <c r="K123" s="20"/>
      <c r="L123" s="19"/>
    </row>
    <row r="124" s="21" customFormat="true" ht="19.5" hidden="true" customHeight="true" outlineLevel="0" collapsed="false">
      <c r="B124" s="19"/>
      <c r="D124" s="19"/>
      <c r="E124" s="19"/>
      <c r="F124" s="19"/>
      <c r="G124" s="19"/>
      <c r="H124" s="19"/>
      <c r="I124" s="29"/>
      <c r="J124" s="19"/>
      <c r="K124" s="20"/>
      <c r="L124" s="19"/>
    </row>
    <row r="125" s="21" customFormat="true" ht="19.5" hidden="true" customHeight="true" outlineLevel="0" collapsed="false">
      <c r="A125" s="19"/>
      <c r="B125" s="22"/>
      <c r="C125" s="19"/>
      <c r="D125" s="19"/>
      <c r="E125" s="19"/>
      <c r="F125" s="19"/>
      <c r="G125" s="19"/>
      <c r="H125" s="19"/>
      <c r="I125" s="20"/>
      <c r="J125" s="19"/>
      <c r="K125" s="20"/>
      <c r="L125" s="19"/>
      <c r="M125" s="2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7"/>
      <c r="Z125" s="26"/>
      <c r="AA125" s="27"/>
    </row>
    <row r="126" s="21" customFormat="true" ht="19.5" hidden="true" customHeight="true" outlineLevel="0" collapsed="false">
      <c r="C126" s="19"/>
      <c r="D126" s="19"/>
      <c r="E126" s="19"/>
      <c r="F126" s="19"/>
      <c r="G126" s="19"/>
      <c r="H126" s="19"/>
      <c r="I126" s="20"/>
      <c r="J126" s="19"/>
      <c r="K126" s="20"/>
      <c r="L126" s="19"/>
    </row>
    <row r="127" s="21" customFormat="true" ht="19.5" hidden="true" customHeight="true" outlineLevel="0" collapsed="false">
      <c r="C127" s="19"/>
      <c r="D127" s="19"/>
      <c r="E127" s="19"/>
      <c r="F127" s="19"/>
      <c r="G127" s="19"/>
      <c r="H127" s="19"/>
      <c r="I127" s="20"/>
      <c r="J127" s="19"/>
      <c r="K127" s="20"/>
      <c r="L127" s="19"/>
    </row>
    <row r="128" s="21" customFormat="true" ht="19.5" hidden="true" customHeight="true" outlineLevel="0" collapsed="false">
      <c r="C128" s="19"/>
      <c r="D128" s="19"/>
      <c r="E128" s="19"/>
      <c r="F128" s="19"/>
      <c r="G128" s="19"/>
      <c r="H128" s="19"/>
      <c r="I128" s="20"/>
      <c r="J128" s="19"/>
      <c r="K128" s="20"/>
      <c r="L128" s="19"/>
    </row>
    <row r="129" s="21" customFormat="true" ht="19.5" hidden="true" customHeight="true" outlineLevel="0" collapsed="false">
      <c r="C129" s="19"/>
      <c r="D129" s="19"/>
      <c r="E129" s="19"/>
      <c r="F129" s="19"/>
      <c r="G129" s="19"/>
      <c r="H129" s="19"/>
      <c r="I129" s="20"/>
      <c r="J129" s="19"/>
      <c r="K129" s="20"/>
      <c r="L129" s="19"/>
    </row>
    <row r="130" s="21" customFormat="true" ht="19.5" hidden="true" customHeight="true" outlineLevel="0" collapsed="false">
      <c r="C130" s="19"/>
      <c r="D130" s="19"/>
      <c r="E130" s="19"/>
      <c r="F130" s="19"/>
      <c r="G130" s="19"/>
      <c r="H130" s="19"/>
      <c r="I130" s="20"/>
      <c r="J130" s="19"/>
      <c r="K130" s="20"/>
      <c r="L130" s="19"/>
    </row>
    <row r="131" s="21" customFormat="true" ht="19.5" hidden="true" customHeight="true" outlineLevel="0" collapsed="false">
      <c r="B131" s="19"/>
      <c r="D131" s="19"/>
      <c r="E131" s="19"/>
      <c r="F131" s="19"/>
      <c r="G131" s="19"/>
      <c r="H131" s="19"/>
      <c r="I131" s="29"/>
      <c r="J131" s="19"/>
      <c r="K131" s="20"/>
      <c r="L131" s="19"/>
    </row>
    <row r="132" s="21" customFormat="true" ht="19.5" hidden="true" customHeight="true" outlineLevel="0" collapsed="false">
      <c r="A132" s="19"/>
      <c r="B132" s="22"/>
      <c r="C132" s="19"/>
      <c r="D132" s="19"/>
      <c r="E132" s="19"/>
      <c r="F132" s="19"/>
      <c r="G132" s="19"/>
      <c r="H132" s="19"/>
      <c r="I132" s="20"/>
      <c r="J132" s="19"/>
      <c r="K132" s="20"/>
      <c r="L132" s="19"/>
      <c r="M132" s="2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7"/>
      <c r="Z132" s="26"/>
      <c r="AA132" s="27"/>
    </row>
    <row r="133" s="21" customFormat="true" ht="19.5" hidden="true" customHeight="true" outlineLevel="0" collapsed="false">
      <c r="C133" s="19"/>
      <c r="D133" s="19"/>
      <c r="E133" s="19"/>
      <c r="F133" s="19"/>
      <c r="G133" s="19"/>
      <c r="H133" s="19"/>
      <c r="I133" s="20"/>
      <c r="J133" s="19"/>
      <c r="K133" s="20"/>
      <c r="L133" s="19"/>
    </row>
    <row r="134" s="21" customFormat="true" ht="19.5" hidden="true" customHeight="true" outlineLevel="0" collapsed="false">
      <c r="C134" s="19"/>
      <c r="D134" s="19"/>
      <c r="E134" s="19"/>
      <c r="F134" s="19"/>
      <c r="G134" s="19"/>
      <c r="H134" s="19"/>
      <c r="I134" s="20"/>
      <c r="J134" s="19"/>
      <c r="K134" s="20"/>
      <c r="L134" s="19"/>
    </row>
    <row r="135" s="21" customFormat="true" ht="19.5" hidden="true" customHeight="true" outlineLevel="0" collapsed="false">
      <c r="C135" s="19"/>
      <c r="D135" s="19"/>
      <c r="E135" s="19"/>
      <c r="F135" s="19"/>
      <c r="G135" s="19"/>
      <c r="H135" s="19"/>
      <c r="I135" s="20"/>
      <c r="J135" s="19"/>
      <c r="K135" s="20"/>
      <c r="L135" s="19"/>
    </row>
    <row r="136" s="21" customFormat="true" ht="19.5" hidden="true" customHeight="true" outlineLevel="0" collapsed="false">
      <c r="C136" s="19"/>
      <c r="D136" s="19"/>
      <c r="E136" s="19"/>
      <c r="F136" s="19"/>
      <c r="G136" s="19"/>
      <c r="H136" s="19"/>
      <c r="I136" s="20"/>
      <c r="J136" s="19"/>
      <c r="K136" s="20"/>
      <c r="L136" s="19"/>
    </row>
    <row r="137" s="21" customFormat="true" ht="19.5" hidden="true" customHeight="true" outlineLevel="0" collapsed="false">
      <c r="C137" s="19"/>
      <c r="D137" s="19"/>
      <c r="E137" s="19"/>
      <c r="F137" s="19"/>
      <c r="G137" s="19"/>
      <c r="H137" s="19"/>
      <c r="I137" s="20"/>
      <c r="J137" s="19"/>
      <c r="K137" s="20"/>
      <c r="L137" s="19"/>
    </row>
    <row r="138" s="21" customFormat="true" ht="19.5" hidden="true" customHeight="true" outlineLevel="0" collapsed="false">
      <c r="B138" s="19"/>
      <c r="D138" s="19"/>
      <c r="E138" s="19"/>
      <c r="F138" s="19"/>
      <c r="G138" s="19"/>
      <c r="H138" s="19"/>
      <c r="I138" s="29"/>
      <c r="J138" s="19"/>
      <c r="K138" s="20"/>
      <c r="L138" s="19"/>
    </row>
    <row r="139" s="21" customFormat="true" ht="25.5" hidden="true" customHeight="true" outlineLevel="0" collapsed="false">
      <c r="A139" s="32"/>
      <c r="D139" s="32"/>
      <c r="E139" s="32"/>
      <c r="F139" s="32"/>
      <c r="G139" s="32"/>
      <c r="H139" s="32"/>
      <c r="I139" s="32"/>
      <c r="J139" s="19"/>
      <c r="K139" s="20"/>
      <c r="L139" s="19"/>
      <c r="M139" s="19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19"/>
    </row>
    <row r="140" s="21" customFormat="true" ht="25.5" hidden="true" customHeight="true" outlineLevel="0" collapsed="false">
      <c r="A140" s="32"/>
      <c r="D140" s="32"/>
      <c r="E140" s="32"/>
      <c r="F140" s="33"/>
      <c r="G140" s="33"/>
      <c r="H140" s="33"/>
      <c r="I140" s="33"/>
      <c r="J140" s="19"/>
      <c r="K140" s="20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23"/>
      <c r="AA140" s="19"/>
    </row>
    <row r="141" s="21" customFormat="true" ht="19.5" hidden="tru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29"/>
      <c r="J141" s="19"/>
      <c r="K141" s="20"/>
      <c r="L141" s="19"/>
      <c r="M141" s="19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19"/>
      <c r="Z141" s="19"/>
      <c r="AA141" s="19"/>
    </row>
    <row r="142" s="21" customFormat="true" ht="19.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29"/>
      <c r="J142" s="19"/>
      <c r="K142" s="20"/>
      <c r="L142" s="19"/>
    </row>
  </sheetData>
  <autoFilter ref="A3:AA141">
    <filterColumn colId="6">
      <filters>
        <filter val="20"/>
      </filters>
    </filterColumn>
  </autoFilter>
  <mergeCells count="7">
    <mergeCell ref="A1:L1"/>
    <mergeCell ref="A2:A3"/>
    <mergeCell ref="B2:B3"/>
    <mergeCell ref="C2:C3"/>
    <mergeCell ref="D2:D3"/>
    <mergeCell ref="J2:J3"/>
    <mergeCell ref="L2:L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J30" activeCellId="0" sqref="J30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7" width="7.09"/>
    <col collapsed="false" customWidth="true" hidden="false" outlineLevel="0" max="2" min="2" style="7" width="7.18"/>
    <col collapsed="false" customWidth="true" hidden="false" outlineLevel="0" max="18" min="14" style="7" width="7.36"/>
  </cols>
  <sheetData>
    <row r="1" customFormat="false" ht="25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4" hidden="false" customHeight="true" outlineLevel="0" collapsed="false">
      <c r="A2" s="19" t="s">
        <v>25</v>
      </c>
      <c r="B2" s="19" t="s">
        <v>26</v>
      </c>
      <c r="C2" s="19" t="s">
        <v>27</v>
      </c>
      <c r="D2" s="19" t="s">
        <v>28</v>
      </c>
      <c r="E2" s="19" t="s">
        <v>29</v>
      </c>
      <c r="F2" s="19" t="s">
        <v>30</v>
      </c>
      <c r="G2" s="19" t="s">
        <v>31</v>
      </c>
      <c r="H2" s="19" t="s">
        <v>33</v>
      </c>
      <c r="I2" s="19" t="s">
        <v>32</v>
      </c>
      <c r="J2" s="19" t="s">
        <v>2339</v>
      </c>
      <c r="K2" s="19" t="s">
        <v>34</v>
      </c>
      <c r="L2" s="19" t="s">
        <v>6</v>
      </c>
      <c r="M2" s="19"/>
      <c r="N2" s="19"/>
      <c r="S2" s="19"/>
      <c r="T2" s="19"/>
      <c r="U2" s="19"/>
    </row>
    <row r="3" customFormat="false" ht="24" hidden="false" customHeight="true" outlineLevel="0" collapsed="false">
      <c r="A3" s="19"/>
      <c r="B3" s="19"/>
      <c r="C3" s="19"/>
      <c r="D3" s="19"/>
      <c r="E3" s="19" t="s">
        <v>36</v>
      </c>
      <c r="F3" s="19" t="s">
        <v>36</v>
      </c>
      <c r="G3" s="19" t="s">
        <v>36</v>
      </c>
      <c r="H3" s="19"/>
      <c r="I3" s="19" t="s">
        <v>11</v>
      </c>
      <c r="J3" s="19"/>
      <c r="K3" s="19" t="s">
        <v>11</v>
      </c>
      <c r="L3" s="19"/>
      <c r="N3" s="19"/>
      <c r="O3" s="19"/>
      <c r="P3" s="19"/>
      <c r="Q3" s="19"/>
      <c r="R3" s="19"/>
      <c r="T3" s="19"/>
      <c r="U3" s="19"/>
    </row>
    <row r="4" customFormat="false" ht="22.5" hidden="false" customHeight="true" outlineLevel="0" collapsed="false">
      <c r="A4" s="19" t="s">
        <v>2340</v>
      </c>
      <c r="B4" s="22" t="s">
        <v>19</v>
      </c>
      <c r="C4" s="19" t="s">
        <v>17</v>
      </c>
      <c r="D4" s="19" t="s">
        <v>2415</v>
      </c>
      <c r="E4" s="19"/>
      <c r="F4" s="19"/>
      <c r="G4" s="19"/>
      <c r="H4" s="19"/>
      <c r="I4" s="20"/>
      <c r="J4" s="19"/>
      <c r="K4" s="20"/>
      <c r="L4" s="19" t="s">
        <v>2416</v>
      </c>
      <c r="M4" s="27"/>
      <c r="N4" s="26"/>
      <c r="O4" s="26"/>
      <c r="P4" s="26"/>
      <c r="Q4" s="26"/>
      <c r="R4" s="26"/>
      <c r="S4" s="27"/>
      <c r="T4" s="26"/>
      <c r="U4" s="27"/>
    </row>
    <row r="5" customFormat="false" ht="22.5" hidden="false" customHeight="true" outlineLevel="0" collapsed="false">
      <c r="C5" s="19"/>
      <c r="D5" s="19"/>
      <c r="E5" s="19"/>
      <c r="F5" s="19"/>
      <c r="G5" s="19"/>
      <c r="H5" s="19"/>
      <c r="I5" s="20"/>
      <c r="J5" s="19"/>
      <c r="K5" s="20"/>
      <c r="L5" s="19"/>
    </row>
    <row r="6" customFormat="false" ht="22.5" hidden="false" customHeight="true" outlineLevel="0" collapsed="false">
      <c r="B6" s="19"/>
      <c r="D6" s="19"/>
      <c r="E6" s="19"/>
      <c r="F6" s="19"/>
      <c r="G6" s="19"/>
      <c r="H6" s="19"/>
      <c r="I6" s="29"/>
      <c r="J6" s="19"/>
      <c r="K6" s="20"/>
      <c r="L6" s="19"/>
    </row>
    <row r="7" customFormat="false" ht="25.5" hidden="false" customHeight="true" outlineLevel="0" collapsed="false">
      <c r="A7" s="32"/>
      <c r="D7" s="32"/>
      <c r="E7" s="32"/>
      <c r="F7" s="32"/>
      <c r="G7" s="32"/>
      <c r="H7" s="32"/>
      <c r="I7" s="32"/>
      <c r="J7" s="34"/>
      <c r="K7" s="34"/>
      <c r="L7" s="34"/>
    </row>
    <row r="8" customFormat="false" ht="25.5" hidden="false" customHeight="true" outlineLevel="0" collapsed="false">
      <c r="A8" s="32"/>
      <c r="D8" s="32"/>
      <c r="E8" s="32"/>
      <c r="F8" s="33"/>
      <c r="G8" s="33"/>
      <c r="H8" s="33"/>
      <c r="I8" s="33"/>
      <c r="J8" s="34"/>
      <c r="K8" s="34"/>
      <c r="L8" s="34"/>
    </row>
  </sheetData>
  <mergeCells count="7">
    <mergeCell ref="A1:L1"/>
    <mergeCell ref="A2:A3"/>
    <mergeCell ref="B2:B3"/>
    <mergeCell ref="C2:C3"/>
    <mergeCell ref="D2:D3"/>
    <mergeCell ref="J2:J3"/>
    <mergeCell ref="L2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7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I20" activeCellId="0" sqref="I20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7" width="7.09"/>
    <col collapsed="false" customWidth="true" hidden="false" outlineLevel="0" max="2" min="2" style="7" width="7.18"/>
    <col collapsed="false" customWidth="true" hidden="false" outlineLevel="0" max="18" min="14" style="7" width="7.36"/>
  </cols>
  <sheetData>
    <row r="1" customFormat="false" ht="25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4" hidden="false" customHeight="true" outlineLevel="0" collapsed="false">
      <c r="A2" s="19" t="s">
        <v>25</v>
      </c>
      <c r="B2" s="19" t="s">
        <v>26</v>
      </c>
      <c r="C2" s="19" t="s">
        <v>27</v>
      </c>
      <c r="D2" s="19" t="s">
        <v>28</v>
      </c>
      <c r="E2" s="19" t="s">
        <v>29</v>
      </c>
      <c r="F2" s="19" t="s">
        <v>30</v>
      </c>
      <c r="G2" s="19" t="s">
        <v>31</v>
      </c>
      <c r="H2" s="19" t="s">
        <v>33</v>
      </c>
      <c r="I2" s="19" t="s">
        <v>32</v>
      </c>
      <c r="J2" s="19" t="s">
        <v>2339</v>
      </c>
      <c r="K2" s="19" t="s">
        <v>34</v>
      </c>
      <c r="L2" s="19" t="s">
        <v>6</v>
      </c>
      <c r="M2" s="19"/>
      <c r="N2" s="19"/>
      <c r="S2" s="19"/>
      <c r="T2" s="19"/>
      <c r="U2" s="19"/>
    </row>
    <row r="3" customFormat="false" ht="24" hidden="false" customHeight="true" outlineLevel="0" collapsed="false">
      <c r="A3" s="19"/>
      <c r="B3" s="19"/>
      <c r="C3" s="19"/>
      <c r="D3" s="19"/>
      <c r="E3" s="19" t="s">
        <v>36</v>
      </c>
      <c r="F3" s="19" t="s">
        <v>36</v>
      </c>
      <c r="G3" s="19" t="s">
        <v>36</v>
      </c>
      <c r="H3" s="19"/>
      <c r="I3" s="19" t="s">
        <v>11</v>
      </c>
      <c r="J3" s="19"/>
      <c r="K3" s="19" t="s">
        <v>11</v>
      </c>
      <c r="L3" s="19"/>
      <c r="N3" s="19" t="n">
        <v>8</v>
      </c>
      <c r="O3" s="19" t="n">
        <v>10</v>
      </c>
      <c r="P3" s="19" t="n">
        <v>12</v>
      </c>
      <c r="Q3" s="19" t="n">
        <v>14</v>
      </c>
      <c r="R3" s="19" t="n">
        <v>16</v>
      </c>
      <c r="S3" s="11" t="n">
        <v>20</v>
      </c>
      <c r="T3" s="19" t="n">
        <v>24</v>
      </c>
      <c r="U3" s="19" t="n">
        <v>28</v>
      </c>
      <c r="V3" s="12" t="n">
        <v>32</v>
      </c>
      <c r="W3" s="12" t="n">
        <v>36</v>
      </c>
      <c r="X3" s="12" t="n">
        <v>40</v>
      </c>
      <c r="Y3" s="12" t="n">
        <v>44</v>
      </c>
      <c r="Z3" s="12" t="n">
        <v>48</v>
      </c>
      <c r="AA3" s="12" t="n">
        <v>60</v>
      </c>
      <c r="AB3" s="12" t="n">
        <v>80</v>
      </c>
      <c r="AC3" s="12" t="n">
        <v>100</v>
      </c>
      <c r="AD3" s="19" t="s">
        <v>9</v>
      </c>
    </row>
    <row r="4" customFormat="false" ht="22.5" hidden="false" customHeight="true" outlineLevel="0" collapsed="false">
      <c r="A4" s="19" t="s">
        <v>2340</v>
      </c>
      <c r="B4" s="22" t="s">
        <v>2417</v>
      </c>
      <c r="C4" s="19" t="s">
        <v>2418</v>
      </c>
      <c r="D4" s="19" t="s">
        <v>2419</v>
      </c>
      <c r="E4" s="19"/>
      <c r="F4" s="19"/>
      <c r="G4" s="19"/>
      <c r="H4" s="19" t="n">
        <v>1</v>
      </c>
      <c r="I4" s="20" t="n">
        <v>250569.2</v>
      </c>
      <c r="J4" s="19" t="n">
        <v>1</v>
      </c>
      <c r="K4" s="20" t="n">
        <f aca="false">I4*J4</f>
        <v>250569.2</v>
      </c>
      <c r="L4" s="19" t="s">
        <v>2420</v>
      </c>
      <c r="M4" s="27"/>
      <c r="N4" s="26"/>
      <c r="O4" s="26"/>
      <c r="P4" s="26"/>
      <c r="Q4" s="26"/>
      <c r="R4" s="26"/>
      <c r="S4" s="27"/>
      <c r="T4" s="26"/>
      <c r="U4" s="27"/>
    </row>
    <row r="5" customFormat="false" ht="22.5" hidden="false" customHeight="true" outlineLevel="0" collapsed="false">
      <c r="A5" s="19" t="s">
        <v>2340</v>
      </c>
      <c r="B5" s="22" t="s">
        <v>2421</v>
      </c>
      <c r="C5" s="19" t="s">
        <v>2422</v>
      </c>
      <c r="D5" s="19" t="s">
        <v>2419</v>
      </c>
      <c r="E5" s="19"/>
      <c r="F5" s="19"/>
      <c r="G5" s="19"/>
      <c r="H5" s="19" t="n">
        <v>1</v>
      </c>
      <c r="I5" s="20" t="n">
        <v>314</v>
      </c>
      <c r="J5" s="19" t="n">
        <v>1</v>
      </c>
      <c r="K5" s="20" t="n">
        <f aca="false">I5*J5</f>
        <v>314</v>
      </c>
      <c r="L5" s="19" t="s">
        <v>2420</v>
      </c>
    </row>
    <row r="6" customFormat="false" ht="22.5" hidden="false" customHeight="true" outlineLevel="0" collapsed="false">
      <c r="A6" s="19" t="s">
        <v>2340</v>
      </c>
      <c r="B6" s="22" t="s">
        <v>2423</v>
      </c>
      <c r="C6" s="19" t="s">
        <v>2424</v>
      </c>
      <c r="D6" s="19" t="s">
        <v>2294</v>
      </c>
      <c r="E6" s="19"/>
      <c r="F6" s="19"/>
      <c r="G6" s="19"/>
      <c r="H6" s="19" t="n">
        <v>1</v>
      </c>
      <c r="I6" s="20" t="n">
        <v>65513.5</v>
      </c>
      <c r="J6" s="19" t="n">
        <v>1</v>
      </c>
      <c r="K6" s="20" t="n">
        <f aca="false">I6*J6</f>
        <v>65513.5</v>
      </c>
      <c r="L6" s="19" t="s">
        <v>2425</v>
      </c>
    </row>
    <row r="7" customFormat="false" ht="22.5" hidden="false" customHeight="true" outlineLevel="0" collapsed="false">
      <c r="A7" s="19" t="s">
        <v>2340</v>
      </c>
      <c r="B7" s="22" t="s">
        <v>2426</v>
      </c>
      <c r="C7" s="19" t="s">
        <v>2427</v>
      </c>
      <c r="D7" s="19" t="s">
        <v>40</v>
      </c>
      <c r="E7" s="19"/>
      <c r="F7" s="19"/>
      <c r="G7" s="19" t="n">
        <v>20</v>
      </c>
      <c r="H7" s="19" t="n">
        <v>1</v>
      </c>
      <c r="I7" s="20" t="n">
        <v>1753.2</v>
      </c>
      <c r="J7" s="19" t="n">
        <v>1</v>
      </c>
      <c r="K7" s="20" t="n">
        <f aca="false">I7*J7</f>
        <v>1753.2</v>
      </c>
      <c r="L7" s="19"/>
    </row>
    <row r="8" customFormat="false" ht="22.5" hidden="false" customHeight="true" outlineLevel="0" collapsed="false">
      <c r="A8" s="19" t="s">
        <v>2340</v>
      </c>
      <c r="B8" s="22" t="s">
        <v>2426</v>
      </c>
      <c r="C8" s="19" t="s">
        <v>2428</v>
      </c>
      <c r="D8" s="19" t="s">
        <v>40</v>
      </c>
      <c r="E8" s="19"/>
      <c r="F8" s="19"/>
      <c r="G8" s="19" t="n">
        <v>16</v>
      </c>
      <c r="H8" s="19" t="n">
        <v>1</v>
      </c>
      <c r="I8" s="20" t="n">
        <v>1623.4</v>
      </c>
      <c r="J8" s="19" t="n">
        <v>1</v>
      </c>
      <c r="K8" s="20" t="n">
        <f aca="false">I8*J8</f>
        <v>1623.4</v>
      </c>
      <c r="L8" s="19"/>
    </row>
    <row r="9" customFormat="false" ht="22.5" hidden="false" customHeight="true" outlineLevel="0" collapsed="false">
      <c r="A9" s="19"/>
      <c r="B9" s="22" t="s">
        <v>2275</v>
      </c>
      <c r="D9" s="19"/>
      <c r="E9" s="19"/>
      <c r="F9" s="19"/>
      <c r="G9" s="19"/>
      <c r="H9" s="19"/>
      <c r="I9" s="29"/>
      <c r="J9" s="19"/>
      <c r="K9" s="20" t="n">
        <f aca="false">SUM(K4:K8)</f>
        <v>319773.3</v>
      </c>
      <c r="L9" s="19"/>
    </row>
    <row r="10" customFormat="false" ht="25.5" hidden="false" customHeight="true" outlineLevel="0" collapsed="false">
      <c r="A10" s="19"/>
      <c r="B10" s="22" t="s">
        <v>2276</v>
      </c>
      <c r="D10" s="32"/>
      <c r="E10" s="32"/>
      <c r="F10" s="32"/>
      <c r="G10" s="32"/>
      <c r="H10" s="32"/>
      <c r="I10" s="32"/>
      <c r="J10" s="34"/>
      <c r="K10" s="34"/>
      <c r="L10" s="34"/>
      <c r="N10" s="26" t="n">
        <f aca="false">SUMIF($G$4:$G$8,N$3,$K$4:$K$8)</f>
        <v>0</v>
      </c>
      <c r="O10" s="26" t="n">
        <f aca="false">SUMIF($G$4:$G$8,O$3,$K$4:$K$8)</f>
        <v>0</v>
      </c>
      <c r="P10" s="26" t="n">
        <f aca="false">SUMIF($G$4:$G$8,P$3,$K$4:$K$8)</f>
        <v>0</v>
      </c>
      <c r="Q10" s="26" t="n">
        <f aca="false">SUMIF($G$4:$G$8,Q$3,$K$4:$K$8)</f>
        <v>0</v>
      </c>
      <c r="R10" s="26" t="n">
        <f aca="false">SUMIF($G$4:$G$8,R$3,$K$4:$K$8)</f>
        <v>1623.4</v>
      </c>
      <c r="S10" s="26" t="n">
        <f aca="false">SUMIF($G$4:$G$8,S$3,$K$4:$K$8)</f>
        <v>1753.2</v>
      </c>
      <c r="T10" s="26" t="n">
        <f aca="false">SUMIF($G$4:$G$8,T$3,$K$4:$K$8)</f>
        <v>0</v>
      </c>
      <c r="U10" s="26" t="n">
        <f aca="false">SUMIF($G$4:$G$8,U$3,$K$4:$K$8)</f>
        <v>0</v>
      </c>
      <c r="V10" s="26" t="n">
        <f aca="false">SUMIF($G$4:$G$8,V$3,$K$4:$K$8)</f>
        <v>0</v>
      </c>
      <c r="W10" s="26" t="n">
        <f aca="false">SUMIF($G$4:$G$8,W$3,$K$4:$K$8)</f>
        <v>0</v>
      </c>
      <c r="X10" s="26" t="n">
        <f aca="false">SUMIF($G$4:$G$8,X$3,$K$4:$K$8)</f>
        <v>0</v>
      </c>
      <c r="Y10" s="26" t="n">
        <f aca="false">SUMIF($G$4:$G$8,Y$3,$K$4:$K$8)</f>
        <v>0</v>
      </c>
      <c r="Z10" s="26" t="n">
        <f aca="false">SUMIF($G$4:$G$8,Z$3,$K$4:$K$8)</f>
        <v>0</v>
      </c>
      <c r="AA10" s="26" t="n">
        <f aca="false">SUMIF($G$4:$G$8,AA$3,$K$4:$K$8)</f>
        <v>0</v>
      </c>
      <c r="AB10" s="26" t="n">
        <f aca="false">SUMIF($G$4:$G$8,AB$3,$K$4:$K$8)</f>
        <v>0</v>
      </c>
      <c r="AC10" s="26" t="n">
        <f aca="false">SUMIF($G$4:$G$8,AC$3,$K$4:$K$8)</f>
        <v>0</v>
      </c>
      <c r="AD10" s="26" t="n">
        <f aca="false">SUM(N10:AC10)</f>
        <v>3376.6</v>
      </c>
    </row>
    <row r="11" customFormat="false" ht="25.5" hidden="false" customHeight="true" outlineLevel="0" collapsed="false">
      <c r="A11" s="32"/>
      <c r="D11" s="32"/>
      <c r="E11" s="32"/>
      <c r="F11" s="33"/>
      <c r="G11" s="33"/>
      <c r="H11" s="33"/>
      <c r="I11" s="33"/>
      <c r="J11" s="34"/>
      <c r="K11" s="34"/>
      <c r="L11" s="34"/>
    </row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</sheetData>
  <mergeCells count="7">
    <mergeCell ref="A1:L1"/>
    <mergeCell ref="A2:A3"/>
    <mergeCell ref="B2:B3"/>
    <mergeCell ref="C2:C3"/>
    <mergeCell ref="D2:D3"/>
    <mergeCell ref="J2:J3"/>
    <mergeCell ref="L2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>曹毅</dc:creator>
  <dc:description/>
  <dc:language>zh-CN</dc:language>
  <cp:lastModifiedBy>张伟</cp:lastModifiedBy>
  <dcterms:modified xsi:type="dcterms:W3CDTF">2026-10-18T13:40:05Z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465ABB43A53C453B8E57A7E9BA2456AD_13</vt:lpwstr>
  </property>
  <property fmtid="{D5CDD505-2E9C-101B-9397-08002B2CF9AE}" pid="4" name="KSOProductBuildVer">
    <vt:lpwstr>2052-12.1.0.28505</vt:lpwstr>
  </property>
  <property fmtid="{D5CDD505-2E9C-101B-9397-08002B2CF9AE}" pid="5" name="KSOReadingLayout">
    <vt:bool>1</vt:bool>
  </property>
</Properties>
</file>