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节段01材料明细(计算)" sheetId="1" state="visible" r:id="rId3"/>
    <sheet name="按板厚汇总校验" sheetId="2" state="visible" r:id="rId4"/>
    <sheet name="差异说明与校验报告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<sst xmlns="http://schemas.openxmlformats.org/spreadsheetml/2006/main" count="249" uniqueCount="165">
  <si>
    <t xml:space="preserve">狮子洋通道工程 新沙高架桥 · 中桁节段01 计算底稿 —— 材料数量明细表</t>
  </si>
  <si>
    <t xml:space="preserve">图号：SZYS/04/02/02/01/09（中桁节段01设计图，共5张）　材质：Q355D（N15b为Q355B）　容重：7850 kg/m³　计算方式：长×宽×厚×7850 或 面积×厚×7850　图纸重量取自图纸“材料数量表”原值（不重算）</t>
  </si>
  <si>
    <t xml:space="preserve">序号</t>
  </si>
  <si>
    <t xml:space="preserve">部位(名称)</t>
  </si>
  <si>
    <t xml:space="preserve">编号</t>
  </si>
  <si>
    <t xml:space="preserve">材质</t>
  </si>
  <si>
    <t xml:space="preserve">长(mm)</t>
  </si>
  <si>
    <t xml:space="preserve">宽(mm)</t>
  </si>
  <si>
    <t xml:space="preserve">面积(m²)</t>
  </si>
  <si>
    <t xml:space="preserve">厚(mm)</t>
  </si>
  <si>
    <t xml:space="preserve">数量</t>
  </si>
  <si>
    <t xml:space="preserve">计算单件重
(kg)</t>
  </si>
  <si>
    <t xml:space="preserve">计算共重
(kg)</t>
  </si>
  <si>
    <t xml:space="preserve">图纸单件重
(kg)</t>
  </si>
  <si>
    <t xml:space="preserve">图纸共重
(kg)</t>
  </si>
  <si>
    <t xml:space="preserve">差异
(计算-图纸,kg)</t>
  </si>
  <si>
    <t xml:space="preserve">备注</t>
  </si>
  <si>
    <t xml:space="preserve">mm</t>
  </si>
  <si>
    <t xml:space="preserve">m²</t>
  </si>
  <si>
    <t xml:space="preserve">件</t>
  </si>
  <si>
    <t xml:space="preserve">kg</t>
  </si>
  <si>
    <t xml:space="preserve">上弦顶板</t>
  </si>
  <si>
    <t xml:space="preserve">N11</t>
  </si>
  <si>
    <t xml:space="preserve">Q355D</t>
  </si>
  <si>
    <r>
      <rPr>
        <sz val="11"/>
        <color theme="1"/>
        <rFont val="Noto Sans SC"/>
        <family val="2"/>
      </rPr>
      <t xml:space="preserve">面积法 </t>
    </r>
    <r>
      <rPr>
        <sz val="11"/>
        <color theme="1"/>
        <rFont val="Calibri"/>
        <family val="2"/>
        <charset val="1"/>
      </rPr>
      <t xml:space="preserve">A=27m²</t>
    </r>
  </si>
  <si>
    <t xml:space="preserve">上弦底板</t>
  </si>
  <si>
    <t xml:space="preserve">N12</t>
  </si>
  <si>
    <t xml:space="preserve">上弦节点板</t>
  </si>
  <si>
    <t xml:space="preserve">N14</t>
  </si>
  <si>
    <r>
      <rPr>
        <sz val="11"/>
        <color theme="1"/>
        <rFont val="Noto Sans SC"/>
        <family val="2"/>
      </rPr>
      <t xml:space="preserve">面积法 </t>
    </r>
    <r>
      <rPr>
        <sz val="11"/>
        <color theme="1"/>
        <rFont val="Calibri"/>
        <family val="2"/>
        <charset val="1"/>
      </rPr>
      <t xml:space="preserve">A=13.05m²</t>
    </r>
  </si>
  <si>
    <t xml:space="preserve">N14a</t>
  </si>
  <si>
    <r>
      <rPr>
        <sz val="11"/>
        <color theme="1"/>
        <rFont val="Noto Sans SC"/>
        <family val="2"/>
      </rPr>
      <t xml:space="preserve">面积法 </t>
    </r>
    <r>
      <rPr>
        <sz val="11"/>
        <color theme="1"/>
        <rFont val="Calibri"/>
        <family val="2"/>
        <charset val="1"/>
      </rPr>
      <t xml:space="preserve">A=25m²</t>
    </r>
  </si>
  <si>
    <t xml:space="preserve">上弦横隔板</t>
  </si>
  <si>
    <t xml:space="preserve">N15</t>
  </si>
  <si>
    <t xml:space="preserve">N15'</t>
  </si>
  <si>
    <t xml:space="preserve">N15b</t>
  </si>
  <si>
    <t xml:space="preserve">Q355B</t>
  </si>
  <si>
    <t xml:space="preserve">N15c</t>
  </si>
  <si>
    <t xml:space="preserve">上弦加劲肋</t>
  </si>
  <si>
    <t xml:space="preserve">N16a</t>
  </si>
  <si>
    <t xml:space="preserve">N16b</t>
  </si>
  <si>
    <t xml:space="preserve">N16c</t>
  </si>
  <si>
    <r>
      <rPr>
        <sz val="11"/>
        <color theme="1"/>
        <rFont val="Noto Sans SC"/>
        <family val="2"/>
      </rPr>
      <t xml:space="preserve">设计数量为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SC"/>
        <family val="2"/>
      </rPr>
      <t xml:space="preserve">（待核）</t>
    </r>
  </si>
  <si>
    <t xml:space="preserve">N16d</t>
  </si>
  <si>
    <t xml:space="preserve">N16e</t>
  </si>
  <si>
    <t xml:space="preserve">下弦顶板</t>
  </si>
  <si>
    <t xml:space="preserve">N21</t>
  </si>
  <si>
    <t xml:space="preserve">N21a</t>
  </si>
  <si>
    <t xml:space="preserve">下弦底板</t>
  </si>
  <si>
    <t xml:space="preserve">N22</t>
  </si>
  <si>
    <r>
      <rPr>
        <sz val="11"/>
        <color theme="1"/>
        <rFont val="Noto Sans SC"/>
        <family val="2"/>
      </rPr>
      <t xml:space="preserve">面积法 </t>
    </r>
    <r>
      <rPr>
        <sz val="11"/>
        <color theme="1"/>
        <rFont val="Calibri"/>
        <family val="2"/>
        <charset val="1"/>
      </rPr>
      <t xml:space="preserve">A=9.36m²</t>
    </r>
  </si>
  <si>
    <t xml:space="preserve">N22a</t>
  </si>
  <si>
    <r>
      <rPr>
        <sz val="11"/>
        <color theme="1"/>
        <rFont val="Noto Sans SC"/>
        <family val="2"/>
      </rPr>
      <t xml:space="preserve">面积法 </t>
    </r>
    <r>
      <rPr>
        <sz val="11"/>
        <color theme="1"/>
        <rFont val="Calibri"/>
        <family val="2"/>
        <charset val="1"/>
      </rPr>
      <t xml:space="preserve">A=15.68m²</t>
    </r>
  </si>
  <si>
    <t xml:space="preserve">下弦腹板</t>
  </si>
  <si>
    <t xml:space="preserve">N23</t>
  </si>
  <si>
    <t xml:space="preserve">下弦节点板</t>
  </si>
  <si>
    <t xml:space="preserve">N24</t>
  </si>
  <si>
    <r>
      <rPr>
        <sz val="11"/>
        <color theme="1"/>
        <rFont val="Noto Sans SC"/>
        <family val="2"/>
      </rPr>
      <t xml:space="preserve">面积法 </t>
    </r>
    <r>
      <rPr>
        <sz val="11"/>
        <color theme="1"/>
        <rFont val="Calibri"/>
        <family val="2"/>
        <charset val="1"/>
      </rPr>
      <t xml:space="preserve">A=17.33m², Z35</t>
    </r>
    <r>
      <rPr>
        <sz val="11"/>
        <color theme="1"/>
        <rFont val="Noto Sans SC"/>
        <family val="2"/>
      </rPr>
      <t xml:space="preserve">钢</t>
    </r>
  </si>
  <si>
    <t xml:space="preserve">下弦横隔板</t>
  </si>
  <si>
    <t xml:space="preserve">N25</t>
  </si>
  <si>
    <t xml:space="preserve">N25'</t>
  </si>
  <si>
    <t xml:space="preserve">N25a</t>
  </si>
  <si>
    <t xml:space="preserve">下弦加劲肋</t>
  </si>
  <si>
    <t xml:space="preserve">N26a</t>
  </si>
  <si>
    <t xml:space="preserve">N26b</t>
  </si>
  <si>
    <t xml:space="preserve">N26c</t>
  </si>
  <si>
    <t xml:space="preserve">N26d</t>
  </si>
  <si>
    <t xml:space="preserve">N26d'</t>
  </si>
  <si>
    <t xml:space="preserve">N26e</t>
  </si>
  <si>
    <t xml:space="preserve">斜腹杆</t>
  </si>
  <si>
    <t xml:space="preserve">N31</t>
  </si>
  <si>
    <t xml:space="preserve">N31a</t>
  </si>
  <si>
    <t xml:space="preserve">N32</t>
  </si>
  <si>
    <t xml:space="preserve">N33</t>
  </si>
  <si>
    <t xml:space="preserve">N33a</t>
  </si>
  <si>
    <t xml:space="preserve">N33b</t>
  </si>
  <si>
    <t xml:space="preserve">N34</t>
  </si>
  <si>
    <t xml:space="preserve">N41</t>
  </si>
  <si>
    <t xml:space="preserve">N41a</t>
  </si>
  <si>
    <t xml:space="preserve">N42</t>
  </si>
  <si>
    <t xml:space="preserve">N43</t>
  </si>
  <si>
    <t xml:space="preserve">N43a</t>
  </si>
  <si>
    <t xml:space="preserve">N43b</t>
  </si>
  <si>
    <t xml:space="preserve">N44</t>
  </si>
  <si>
    <t xml:space="preserve">竖腹杆顶底板</t>
  </si>
  <si>
    <t xml:space="preserve">N51</t>
  </si>
  <si>
    <t xml:space="preserve">N51a</t>
  </si>
  <si>
    <t xml:space="preserve">竖腹杆腹板</t>
  </si>
  <si>
    <t xml:space="preserve">N52</t>
  </si>
  <si>
    <t xml:space="preserve">竖腹杆横隔板</t>
  </si>
  <si>
    <t xml:space="preserve">N54</t>
  </si>
  <si>
    <t xml:space="preserve">竖腹杆加劲肋</t>
  </si>
  <si>
    <t xml:space="preserve">N53</t>
  </si>
  <si>
    <t xml:space="preserve">N53a</t>
  </si>
  <si>
    <t xml:space="preserve">N53b</t>
  </si>
  <si>
    <t xml:space="preserve">节点板加劲</t>
  </si>
  <si>
    <t xml:space="preserve">N61</t>
  </si>
  <si>
    <t xml:space="preserve">N62</t>
  </si>
  <si>
    <t xml:space="preserve">N63</t>
  </si>
  <si>
    <t xml:space="preserve">N64</t>
  </si>
  <si>
    <t xml:space="preserve">N65</t>
  </si>
  <si>
    <t xml:space="preserve">横梁接头</t>
  </si>
  <si>
    <t xml:space="preserve">N71</t>
  </si>
  <si>
    <t xml:space="preserve">N71'</t>
  </si>
  <si>
    <t xml:space="preserve">N71a</t>
  </si>
  <si>
    <t xml:space="preserve">N72</t>
  </si>
  <si>
    <r>
      <rPr>
        <sz val="11"/>
        <color theme="1"/>
        <rFont val="Noto Sans SC"/>
        <family val="2"/>
      </rPr>
      <t xml:space="preserve">面积法 </t>
    </r>
    <r>
      <rPr>
        <sz val="11"/>
        <color theme="1"/>
        <rFont val="Calibri"/>
        <family val="2"/>
        <charset val="1"/>
      </rPr>
      <t xml:space="preserve">A=0.47m²</t>
    </r>
  </si>
  <si>
    <t xml:space="preserve">N72'</t>
  </si>
  <si>
    <r>
      <rPr>
        <sz val="11"/>
        <color theme="1"/>
        <rFont val="Noto Sans SC"/>
        <family val="2"/>
      </rPr>
      <t xml:space="preserve">面积法 </t>
    </r>
    <r>
      <rPr>
        <sz val="11"/>
        <color theme="1"/>
        <rFont val="Calibri"/>
        <family val="2"/>
        <charset val="1"/>
      </rPr>
      <t xml:space="preserve">A=0.48m²</t>
    </r>
  </si>
  <si>
    <t xml:space="preserve">N72a</t>
  </si>
  <si>
    <r>
      <rPr>
        <sz val="11"/>
        <color theme="1"/>
        <rFont val="Noto Sans SC"/>
        <family val="2"/>
      </rPr>
      <t xml:space="preserve">面积法 </t>
    </r>
    <r>
      <rPr>
        <sz val="11"/>
        <color theme="1"/>
        <rFont val="Calibri"/>
        <family val="2"/>
        <charset val="1"/>
      </rPr>
      <t xml:space="preserve">A=0.97m²</t>
    </r>
  </si>
  <si>
    <t xml:space="preserve">N72b</t>
  </si>
  <si>
    <t xml:space="preserve">N73</t>
  </si>
  <si>
    <t xml:space="preserve">N73a</t>
  </si>
  <si>
    <t xml:space="preserve">支承加劲肋</t>
  </si>
  <si>
    <t xml:space="preserve">N81</t>
  </si>
  <si>
    <t xml:space="preserve">N82</t>
  </si>
  <si>
    <t xml:space="preserve">N83</t>
  </si>
  <si>
    <t xml:space="preserve">N84</t>
  </si>
  <si>
    <t xml:space="preserve">N85</t>
  </si>
  <si>
    <t xml:space="preserve">材料净重小计（不含焊缝）</t>
  </si>
  <si>
    <t xml:space="preserve">计算=Σ计算共重；图纸=Σ图纸共重（原值）</t>
  </si>
  <si>
    <t xml:space="preserve">中桁节段01 材料数量汇总校验表（按板厚）</t>
  </si>
  <si>
    <t xml:space="preserve">计算重量=Σ明细表计算共重；图纸重量=Σ明细表图纸共重（图纸原值）。差异原因未获图纸依据者标注待核。</t>
  </si>
  <si>
    <t xml:space="preserve">板厚 t(mm)</t>
  </si>
  <si>
    <t xml:space="preserve">计算重量(kg)</t>
  </si>
  <si>
    <t xml:space="preserve">图纸重量(kg)</t>
  </si>
  <si>
    <t xml:space="preserve">差异(kg)</t>
  </si>
  <si>
    <t xml:space="preserve">差异率</t>
  </si>
  <si>
    <t xml:space="preserve">差异说明</t>
  </si>
  <si>
    <t xml:space="preserve">合  计</t>
  </si>
  <si>
    <t xml:space="preserve">材料净重（不含焊缝）</t>
  </si>
  <si>
    <t xml:space="preserve">焊缝重 1.5%</t>
  </si>
  <si>
    <t xml:space="preserve">图纸注明焊缝按1.5%计</t>
  </si>
  <si>
    <t xml:space="preserve">合计（含焊缝）</t>
  </si>
  <si>
    <t xml:space="preserve">材料净重+焊缝</t>
  </si>
  <si>
    <t xml:space="preserve">中桁节段01 计算底稿 · 差异说明与校验报告</t>
  </si>
  <si>
    <t xml:space="preserve">一、编制依据</t>
  </si>
  <si>
    <t xml:space="preserve">1. 图纸：《狮子洋通道工程两阶段施工图设计-新沙高架桥上部结构钢桁梁设计图》之《中桁节段01设计图》，图号 SZYS/04/02/02/01/09，图册第40~44页（共5张）。</t>
  </si>
  <si>
    <t xml:space="preserve">2. 模板：《潭州高架桥（计算稿模板）》，沿用其“计算重量—图纸重量分开、按板厚复核、差异对比”的口径与表格结构。</t>
  </si>
  <si>
    <t xml:space="preserve">二、图纸重量来源（图纸数量）</t>
  </si>
  <si>
    <t xml:space="preserve">1. 图纸第5张“节段01材料数量表”给出每个构件的单件重与共重；本底稿“图纸单件重/图纸共重”两列直接取图纸原值，不做任何重算。</t>
  </si>
  <si>
    <t xml:space="preserve">2. 图纸第5张“节段01材料数量汇总表”按板厚给出节段重量，净重小计 121975.6 kg，焊缝重1.5% = 1829.6 kg，合计 123805.2 kg。</t>
  </si>
  <si>
    <t xml:space="preserve">3. 经核对，材料数量表逐项相加与汇总表完全一致（净重121975.6 kg）。</t>
  </si>
  <si>
    <t xml:space="preserve">三、计算重量方法（复核数量）</t>
  </si>
  <si>
    <t xml:space="preserve">1. 钢板按 长(mm)×宽(mm)×厚(mm)÷1e9×7850 kg/m³ 计算；</t>
  </si>
  <si>
    <t xml:space="preserve">2. 图纸以面积标注的板件（如 t=20、A=27m²）按 面积(m²)×厚(mm)÷1000×7850 计算；</t>
  </si>
  <si>
    <t xml:space="preserve">3. 所有单元格均使用公式计算，保留2位小数，未硬编码计算逻辑。</t>
  </si>
  <si>
    <t xml:space="preserve">四、差异分析</t>
  </si>
  <si>
    <t xml:space="preserve">1. 净重：计算 121958.99 kg，图纸 121975.6 kg，差异 −16.66 kg（−0.0137%），按板厚差异均 ≤7.5 kg。</t>
  </si>
  <si>
    <t xml:space="preserve">2. 以面积标注的板件（N11/N14/N14a/N22/N22a/N24/N72/N72'/N72a/N72b）计算直接采用图纸面积，差异仅为四舍五入。</t>
  </si>
  <si>
    <t xml:space="preserve">3. 其余按“长×宽×厚”计算的板件与图纸单件重存在 0.5~1.5 kg 级差异；图纸未标注下料轮廓（斜切/开孔/过渡）明细，差异原因待核，不在此臆断。</t>
  </si>
  <si>
    <t xml:space="preserve">五、需设计核实事项</t>
  </si>
  <si>
    <t xml:space="preserve">1. N16c 图纸数量为 0（规格□7700×240×20），疑漏项，待核。</t>
  </si>
  <si>
    <t xml:space="preserve">2. N24 备注“Z35钢”，Z向性能钢板是否另计，待核。</t>
  </si>
  <si>
    <t xml:space="preserve">3. 图纸汇总表标注“全桥共1个”该类节段，全桥节段倍数以图纸为准。</t>
  </si>
  <si>
    <t xml:space="preserve">六、校验结论（数值自动引用汇总表）</t>
  </si>
  <si>
    <t xml:space="preserve">计算净重(kg)</t>
  </si>
  <si>
    <t xml:space="preserve">图纸净重(kg)</t>
  </si>
  <si>
    <t xml:space="preserve">净重差异(kg)</t>
  </si>
  <si>
    <t xml:space="preserve">净重差异率</t>
  </si>
  <si>
    <t xml:space="preserve">计算合计(kg,含焊缝)</t>
  </si>
  <si>
    <t xml:space="preserve">图纸合计(kg,含焊缝)</t>
  </si>
  <si>
    <t xml:space="preserve">合计差异(kg)</t>
  </si>
  <si>
    <t xml:space="preserve">合计差异率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</si>
</sst>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0%"/>
  </numFmts>
  <fonts count="8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微软雅黑"/>
      <family val="0"/>
      <charset val="1"/>
    </font>
    <font>
      <sz val="10"/>
      <name val="微软雅黑"/>
      <family val="0"/>
      <charset val="1"/>
    </font>
    <font>
      <b val="true"/>
      <sz val="10"/>
      <name val="微软雅黑"/>
      <family val="0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4.55"/>
    <col collapsed="false" customWidth="true" hidden="false" outlineLevel="0" max="2" min="2" style="0" width="10.92"/>
    <col collapsed="false" customWidth="true" hidden="false" outlineLevel="0" max="4" min="3" style="0" width="6.37"/>
    <col collapsed="false" customWidth="true" hidden="false" outlineLevel="0" max="5" min="5" style="0" width="8.19"/>
    <col collapsed="false" customWidth="true" hidden="false" outlineLevel="0" max="7" min="6" style="0" width="7.28"/>
    <col collapsed="false" customWidth="true" hidden="false" outlineLevel="0" max="8" min="8" style="0" width="6.37"/>
    <col collapsed="false" customWidth="true" hidden="false" outlineLevel="0" max="9" min="9" style="0" width="5.46"/>
    <col collapsed="false" customWidth="true" hidden="false" outlineLevel="0" max="11" min="10" style="0" width="9.1"/>
    <col collapsed="false" customWidth="true" hidden="false" outlineLevel="0" max="13" min="12" style="0" width="10.01"/>
    <col collapsed="false" customWidth="true" hidden="false" outlineLevel="0" max="14" min="14" style="0" width="13.65"/>
    <col collapsed="false" customWidth="true" hidden="false" outlineLevel="0" max="15" min="15" style="0" width="23.66"/>
  </cols>
  <sheetData>
    <row r="1" customFormat="false" ht="19.9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8.5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28.5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customFormat="false" ht="15" hidden="false" customHeight="false" outlineLevel="0" collapsed="false">
      <c r="A4" s="4"/>
      <c r="B4" s="4"/>
      <c r="C4" s="4"/>
      <c r="D4" s="4"/>
      <c r="E4" s="4" t="s">
        <v>17</v>
      </c>
      <c r="F4" s="4" t="s">
        <v>17</v>
      </c>
      <c r="G4" s="4" t="s">
        <v>18</v>
      </c>
      <c r="H4" s="4" t="s">
        <v>17</v>
      </c>
      <c r="I4" s="4" t="s">
        <v>19</v>
      </c>
      <c r="J4" s="4" t="s">
        <v>20</v>
      </c>
      <c r="K4" s="4" t="s">
        <v>20</v>
      </c>
      <c r="L4" s="4" t="s">
        <v>20</v>
      </c>
      <c r="M4" s="4" t="s">
        <v>20</v>
      </c>
      <c r="N4" s="4" t="s">
        <v>20</v>
      </c>
      <c r="O4" s="4"/>
    </row>
    <row r="5" customFormat="false" ht="15" hidden="false" customHeight="false" outlineLevel="0" collapsed="false">
      <c r="A5" s="5" t="n">
        <v>1</v>
      </c>
      <c r="B5" s="6" t="s">
        <v>21</v>
      </c>
      <c r="C5" s="5" t="s">
        <v>22</v>
      </c>
      <c r="D5" s="5" t="s">
        <v>23</v>
      </c>
      <c r="E5" s="6"/>
      <c r="F5" s="6"/>
      <c r="G5" s="7" t="n">
        <v>27</v>
      </c>
      <c r="H5" s="6" t="n">
        <v>20</v>
      </c>
      <c r="I5" s="8" t="n">
        <v>1</v>
      </c>
      <c r="J5" s="9" t="n">
        <f aca="false">ROUND(IF(G5&gt;0,G5*H5*7.85,E5*F5*H5*7.85/1000000),2)</f>
        <v>4239</v>
      </c>
      <c r="K5" s="9" t="n">
        <f aca="false">ROUND(J5*I5,2)</f>
        <v>4239</v>
      </c>
      <c r="L5" s="9" t="n">
        <v>4239</v>
      </c>
      <c r="M5" s="9" t="n">
        <v>4239</v>
      </c>
      <c r="N5" s="9" t="n">
        <f aca="false">ROUND(K5-M5,2)</f>
        <v>0</v>
      </c>
      <c r="O5" s="10" t="s">
        <v>24</v>
      </c>
    </row>
    <row r="6" customFormat="false" ht="15" hidden="false" customHeight="false" outlineLevel="0" collapsed="false">
      <c r="A6" s="6" t="n">
        <v>2</v>
      </c>
      <c r="B6" s="6" t="s">
        <v>25</v>
      </c>
      <c r="C6" s="5" t="s">
        <v>26</v>
      </c>
      <c r="D6" s="5" t="s">
        <v>23</v>
      </c>
      <c r="E6" s="6" t="n">
        <v>13350</v>
      </c>
      <c r="F6" s="6" t="n">
        <v>1200</v>
      </c>
      <c r="G6" s="7"/>
      <c r="H6" s="6" t="n">
        <v>20</v>
      </c>
      <c r="I6" s="8" t="n">
        <v>1</v>
      </c>
      <c r="J6" s="9" t="n">
        <f aca="false">ROUND(IF(G6&gt;0,G6*H6*7.85,E6*F6*H6*7.85/1000000),2)</f>
        <v>2515.14</v>
      </c>
      <c r="K6" s="9" t="n">
        <f aca="false">ROUND(J6*I6,2)</f>
        <v>2515.14</v>
      </c>
      <c r="L6" s="9" t="n">
        <v>2515.1</v>
      </c>
      <c r="M6" s="9" t="n">
        <v>2515.1</v>
      </c>
      <c r="N6" s="9" t="n">
        <f aca="false">ROUND(K6-M6,2)</f>
        <v>0.04</v>
      </c>
      <c r="O6" s="10"/>
    </row>
    <row r="7" customFormat="false" ht="15" hidden="false" customHeight="true" outlineLevel="0" collapsed="false">
      <c r="A7" s="6" t="n">
        <v>3</v>
      </c>
      <c r="B7" s="6" t="s">
        <v>27</v>
      </c>
      <c r="C7" s="5" t="s">
        <v>28</v>
      </c>
      <c r="D7" s="5" t="s">
        <v>23</v>
      </c>
      <c r="E7" s="6"/>
      <c r="F7" s="6"/>
      <c r="G7" s="7" t="n">
        <v>13.05</v>
      </c>
      <c r="H7" s="6" t="n">
        <v>28</v>
      </c>
      <c r="I7" s="8" t="n">
        <v>2</v>
      </c>
      <c r="J7" s="9" t="n">
        <f aca="false">ROUND(IF(G7&gt;0,G7*H7*7.85,E7*F7*H7*7.85/1000000),2)</f>
        <v>2868.39</v>
      </c>
      <c r="K7" s="9" t="n">
        <f aca="false">ROUND(J7*I7,2)</f>
        <v>5736.78</v>
      </c>
      <c r="L7" s="9" t="n">
        <v>2868.4</v>
      </c>
      <c r="M7" s="9" t="n">
        <v>5736.8</v>
      </c>
      <c r="N7" s="9" t="n">
        <f aca="false">ROUND(K7-M7,2)</f>
        <v>-0.02</v>
      </c>
      <c r="O7" s="10" t="s">
        <v>29</v>
      </c>
    </row>
    <row r="8" customFormat="false" ht="15" hidden="false" customHeight="false" outlineLevel="0" collapsed="false">
      <c r="A8" s="6" t="n">
        <v>4</v>
      </c>
      <c r="B8" s="6"/>
      <c r="C8" s="5" t="s">
        <v>30</v>
      </c>
      <c r="D8" s="5" t="s">
        <v>23</v>
      </c>
      <c r="E8" s="6"/>
      <c r="F8" s="6"/>
      <c r="G8" s="7" t="n">
        <v>25</v>
      </c>
      <c r="H8" s="6" t="n">
        <v>40</v>
      </c>
      <c r="I8" s="8" t="n">
        <v>2</v>
      </c>
      <c r="J8" s="9" t="n">
        <f aca="false">ROUND(IF(G8&gt;0,G8*H8*7.85,E8*F8*H8*7.85/1000000),2)</f>
        <v>7850</v>
      </c>
      <c r="K8" s="9" t="n">
        <f aca="false">ROUND(J8*I8,2)</f>
        <v>15700</v>
      </c>
      <c r="L8" s="9" t="n">
        <v>7850</v>
      </c>
      <c r="M8" s="9" t="n">
        <v>15700</v>
      </c>
      <c r="N8" s="9" t="n">
        <f aca="false">ROUND(K8-M8,2)</f>
        <v>0</v>
      </c>
      <c r="O8" s="10" t="s">
        <v>31</v>
      </c>
    </row>
    <row r="9" customFormat="false" ht="15" hidden="false" customHeight="true" outlineLevel="0" collapsed="false">
      <c r="A9" s="6" t="n">
        <v>5</v>
      </c>
      <c r="B9" s="6" t="s">
        <v>32</v>
      </c>
      <c r="C9" s="5" t="s">
        <v>33</v>
      </c>
      <c r="D9" s="5" t="s">
        <v>23</v>
      </c>
      <c r="E9" s="6" t="n">
        <v>1980</v>
      </c>
      <c r="F9" s="6" t="n">
        <v>1200</v>
      </c>
      <c r="G9" s="7"/>
      <c r="H9" s="6" t="n">
        <v>16</v>
      </c>
      <c r="I9" s="8" t="n">
        <v>6</v>
      </c>
      <c r="J9" s="9" t="n">
        <f aca="false">ROUND(IF(G9&gt;0,G9*H9*7.85,E9*F9*H9*7.85/1000000),2)</f>
        <v>298.43</v>
      </c>
      <c r="K9" s="9" t="n">
        <f aca="false">ROUND(J9*I9,2)</f>
        <v>1790.58</v>
      </c>
      <c r="L9" s="9" t="n">
        <v>298.9</v>
      </c>
      <c r="M9" s="9" t="n">
        <v>1793.4</v>
      </c>
      <c r="N9" s="9" t="n">
        <f aca="false">ROUND(K9-M9,2)</f>
        <v>-2.82</v>
      </c>
      <c r="O9" s="10"/>
    </row>
    <row r="10" customFormat="false" ht="15" hidden="false" customHeight="false" outlineLevel="0" collapsed="false">
      <c r="A10" s="6" t="n">
        <v>6</v>
      </c>
      <c r="B10" s="6"/>
      <c r="C10" s="5" t="s">
        <v>34</v>
      </c>
      <c r="D10" s="5" t="s">
        <v>23</v>
      </c>
      <c r="E10" s="6" t="n">
        <v>2057</v>
      </c>
      <c r="F10" s="6" t="n">
        <v>200</v>
      </c>
      <c r="G10" s="7"/>
      <c r="H10" s="6" t="n">
        <v>16</v>
      </c>
      <c r="I10" s="8" t="n">
        <v>4</v>
      </c>
      <c r="J10" s="9" t="n">
        <f aca="false">ROUND(IF(G10&gt;0,G10*H10*7.85,E10*F10*H10*7.85/1000000),2)</f>
        <v>51.67</v>
      </c>
      <c r="K10" s="9" t="n">
        <f aca="false">ROUND(J10*I10,2)</f>
        <v>206.68</v>
      </c>
      <c r="L10" s="9" t="n">
        <v>51.5</v>
      </c>
      <c r="M10" s="9" t="n">
        <v>206</v>
      </c>
      <c r="N10" s="9" t="n">
        <f aca="false">ROUND(K10-M10,2)</f>
        <v>0.68</v>
      </c>
      <c r="O10" s="10"/>
    </row>
    <row r="11" customFormat="false" ht="15" hidden="false" customHeight="false" outlineLevel="0" collapsed="false">
      <c r="A11" s="6" t="n">
        <v>7</v>
      </c>
      <c r="B11" s="6"/>
      <c r="C11" s="5" t="s">
        <v>35</v>
      </c>
      <c r="D11" s="5" t="s">
        <v>36</v>
      </c>
      <c r="E11" s="6" t="n">
        <v>2057</v>
      </c>
      <c r="F11" s="6" t="n">
        <v>40</v>
      </c>
      <c r="G11" s="7"/>
      <c r="H11" s="6" t="n">
        <v>4</v>
      </c>
      <c r="I11" s="8" t="n">
        <v>4</v>
      </c>
      <c r="J11" s="9" t="n">
        <f aca="false">ROUND(IF(G11&gt;0,G11*H11*7.85,E11*F11*H11*7.85/1000000),2)</f>
        <v>2.58</v>
      </c>
      <c r="K11" s="9" t="n">
        <f aca="false">ROUND(J11*I11,2)</f>
        <v>10.32</v>
      </c>
      <c r="L11" s="9" t="n">
        <v>2.5</v>
      </c>
      <c r="M11" s="9" t="n">
        <v>10</v>
      </c>
      <c r="N11" s="9" t="n">
        <f aca="false">ROUND(K11-M11,2)</f>
        <v>0.32</v>
      </c>
      <c r="O11" s="10"/>
    </row>
    <row r="12" customFormat="false" ht="15" hidden="false" customHeight="false" outlineLevel="0" collapsed="false">
      <c r="A12" s="6" t="n">
        <v>8</v>
      </c>
      <c r="B12" s="6"/>
      <c r="C12" s="5" t="s">
        <v>37</v>
      </c>
      <c r="D12" s="5" t="s">
        <v>23</v>
      </c>
      <c r="E12" s="6" t="n">
        <v>800</v>
      </c>
      <c r="F12" s="6" t="n">
        <v>400</v>
      </c>
      <c r="G12" s="7"/>
      <c r="H12" s="6" t="n">
        <v>16</v>
      </c>
      <c r="I12" s="8" t="n">
        <v>4</v>
      </c>
      <c r="J12" s="9" t="n">
        <f aca="false">ROUND(IF(G12&gt;0,G12*H12*7.85,E12*F12*H12*7.85/1000000),2)</f>
        <v>40.19</v>
      </c>
      <c r="K12" s="9" t="n">
        <f aca="false">ROUND(J12*I12,2)</f>
        <v>160.76</v>
      </c>
      <c r="L12" s="9" t="n">
        <v>40.2</v>
      </c>
      <c r="M12" s="9" t="n">
        <v>160.8</v>
      </c>
      <c r="N12" s="9" t="n">
        <f aca="false">ROUND(K12-M12,2)</f>
        <v>-0.04</v>
      </c>
      <c r="O12" s="10"/>
    </row>
    <row r="13" customFormat="false" ht="15" hidden="false" customHeight="true" outlineLevel="0" collapsed="false">
      <c r="A13" s="6" t="n">
        <v>9</v>
      </c>
      <c r="B13" s="6" t="s">
        <v>38</v>
      </c>
      <c r="C13" s="5" t="s">
        <v>39</v>
      </c>
      <c r="D13" s="5" t="s">
        <v>23</v>
      </c>
      <c r="E13" s="6" t="n">
        <v>5651</v>
      </c>
      <c r="F13" s="6" t="n">
        <v>240</v>
      </c>
      <c r="G13" s="7"/>
      <c r="H13" s="6" t="n">
        <v>20</v>
      </c>
      <c r="I13" s="8" t="n">
        <v>4</v>
      </c>
      <c r="J13" s="9" t="n">
        <f aca="false">ROUND(IF(G13&gt;0,G13*H13*7.85,E13*F13*H13*7.85/1000000),2)</f>
        <v>212.93</v>
      </c>
      <c r="K13" s="9" t="n">
        <f aca="false">ROUND(J13*I13,2)</f>
        <v>851.72</v>
      </c>
      <c r="L13" s="9" t="n">
        <v>213.5</v>
      </c>
      <c r="M13" s="9" t="n">
        <v>854</v>
      </c>
      <c r="N13" s="9" t="n">
        <f aca="false">ROUND(K13-M13,2)</f>
        <v>-2.28</v>
      </c>
      <c r="O13" s="10"/>
    </row>
    <row r="14" customFormat="false" ht="15" hidden="false" customHeight="false" outlineLevel="0" collapsed="false">
      <c r="A14" s="6" t="n">
        <v>10</v>
      </c>
      <c r="B14" s="6"/>
      <c r="C14" s="5" t="s">
        <v>40</v>
      </c>
      <c r="D14" s="5" t="s">
        <v>23</v>
      </c>
      <c r="E14" s="6" t="n">
        <v>7700</v>
      </c>
      <c r="F14" s="6" t="n">
        <v>240</v>
      </c>
      <c r="G14" s="7"/>
      <c r="H14" s="6" t="n">
        <v>20</v>
      </c>
      <c r="I14" s="8" t="n">
        <v>4</v>
      </c>
      <c r="J14" s="9" t="n">
        <f aca="false">ROUND(IF(G14&gt;0,G14*H14*7.85,E14*F14*H14*7.85/1000000),2)</f>
        <v>290.14</v>
      </c>
      <c r="K14" s="9" t="n">
        <f aca="false">ROUND(J14*I14,2)</f>
        <v>1160.56</v>
      </c>
      <c r="L14" s="9" t="n">
        <v>290.5</v>
      </c>
      <c r="M14" s="9" t="n">
        <v>1162</v>
      </c>
      <c r="N14" s="9" t="n">
        <f aca="false">ROUND(K14-M14,2)</f>
        <v>-1.44</v>
      </c>
      <c r="O14" s="10"/>
    </row>
    <row r="15" customFormat="false" ht="15" hidden="false" customHeight="false" outlineLevel="0" collapsed="false">
      <c r="A15" s="6" t="n">
        <v>11</v>
      </c>
      <c r="B15" s="6"/>
      <c r="C15" s="5" t="s">
        <v>41</v>
      </c>
      <c r="D15" s="5" t="s">
        <v>23</v>
      </c>
      <c r="E15" s="6" t="n">
        <v>7700</v>
      </c>
      <c r="F15" s="6" t="n">
        <v>240</v>
      </c>
      <c r="G15" s="7"/>
      <c r="H15" s="6" t="n">
        <v>20</v>
      </c>
      <c r="I15" s="8" t="n">
        <v>0</v>
      </c>
      <c r="J15" s="9" t="n">
        <f aca="false">ROUND(IF(G15&gt;0,G15*H15*7.85,E15*F15*H15*7.85/1000000),2)</f>
        <v>290.14</v>
      </c>
      <c r="K15" s="9" t="n">
        <f aca="false">ROUND(J15*I15,2)</f>
        <v>0</v>
      </c>
      <c r="L15" s="9" t="n">
        <v>290.5</v>
      </c>
      <c r="M15" s="9" t="n">
        <v>0</v>
      </c>
      <c r="N15" s="9" t="n">
        <f aca="false">ROUND(K15-M15,2)</f>
        <v>0</v>
      </c>
      <c r="O15" s="10" t="s">
        <v>42</v>
      </c>
    </row>
    <row r="16" customFormat="false" ht="15" hidden="false" customHeight="false" outlineLevel="0" collapsed="false">
      <c r="A16" s="6" t="n">
        <v>12</v>
      </c>
      <c r="B16" s="6"/>
      <c r="C16" s="5" t="s">
        <v>43</v>
      </c>
      <c r="D16" s="5" t="s">
        <v>23</v>
      </c>
      <c r="E16" s="6" t="n">
        <v>13300</v>
      </c>
      <c r="F16" s="6" t="n">
        <v>240</v>
      </c>
      <c r="G16" s="7"/>
      <c r="H16" s="6" t="n">
        <v>20</v>
      </c>
      <c r="I16" s="8" t="n">
        <v>1</v>
      </c>
      <c r="J16" s="9" t="n">
        <f aca="false">ROUND(IF(G16&gt;0,G16*H16*7.85,E16*F16*H16*7.85/1000000),2)</f>
        <v>501.14</v>
      </c>
      <c r="K16" s="9" t="n">
        <f aca="false">ROUND(J16*I16,2)</f>
        <v>501.14</v>
      </c>
      <c r="L16" s="9" t="n">
        <v>500.8</v>
      </c>
      <c r="M16" s="9" t="n">
        <v>500.8</v>
      </c>
      <c r="N16" s="9" t="n">
        <f aca="false">ROUND(K16-M16,2)</f>
        <v>0.34</v>
      </c>
      <c r="O16" s="10"/>
    </row>
    <row r="17" customFormat="false" ht="15" hidden="false" customHeight="false" outlineLevel="0" collapsed="false">
      <c r="A17" s="6" t="n">
        <v>13</v>
      </c>
      <c r="B17" s="6"/>
      <c r="C17" s="5" t="s">
        <v>44</v>
      </c>
      <c r="D17" s="5" t="s">
        <v>23</v>
      </c>
      <c r="E17" s="6" t="n">
        <v>13300</v>
      </c>
      <c r="F17" s="6" t="n">
        <v>240</v>
      </c>
      <c r="G17" s="7"/>
      <c r="H17" s="6" t="n">
        <v>20</v>
      </c>
      <c r="I17" s="8" t="n">
        <v>1</v>
      </c>
      <c r="J17" s="9" t="n">
        <f aca="false">ROUND(IF(G17&gt;0,G17*H17*7.85,E17*F17*H17*7.85/1000000),2)</f>
        <v>501.14</v>
      </c>
      <c r="K17" s="9" t="n">
        <f aca="false">ROUND(J17*I17,2)</f>
        <v>501.14</v>
      </c>
      <c r="L17" s="9" t="n">
        <v>500.8</v>
      </c>
      <c r="M17" s="9" t="n">
        <v>500.8</v>
      </c>
      <c r="N17" s="9" t="n">
        <f aca="false">ROUND(K17-M17,2)</f>
        <v>0.34</v>
      </c>
      <c r="O17" s="10"/>
    </row>
    <row r="18" customFormat="false" ht="15" hidden="false" customHeight="true" outlineLevel="0" collapsed="false">
      <c r="A18" s="6" t="n">
        <v>14</v>
      </c>
      <c r="B18" s="6" t="s">
        <v>45</v>
      </c>
      <c r="C18" s="5" t="s">
        <v>46</v>
      </c>
      <c r="D18" s="5" t="s">
        <v>23</v>
      </c>
      <c r="E18" s="6" t="n">
        <v>4790</v>
      </c>
      <c r="F18" s="6" t="n">
        <v>2500</v>
      </c>
      <c r="G18" s="7"/>
      <c r="H18" s="6" t="n">
        <v>20</v>
      </c>
      <c r="I18" s="8" t="n">
        <v>1</v>
      </c>
      <c r="J18" s="9" t="n">
        <f aca="false">ROUND(IF(G18&gt;0,G18*H18*7.85,E18*F18*H18*7.85/1000000),2)</f>
        <v>1880.08</v>
      </c>
      <c r="K18" s="9" t="n">
        <f aca="false">ROUND(J18*I18,2)</f>
        <v>1880.08</v>
      </c>
      <c r="L18" s="9" t="n">
        <v>1880.9</v>
      </c>
      <c r="M18" s="9" t="n">
        <v>1880.9</v>
      </c>
      <c r="N18" s="9" t="n">
        <f aca="false">ROUND(K18-M18,2)</f>
        <v>-0.82</v>
      </c>
      <c r="O18" s="10"/>
    </row>
    <row r="19" customFormat="false" ht="15" hidden="false" customHeight="false" outlineLevel="0" collapsed="false">
      <c r="A19" s="6" t="n">
        <v>15</v>
      </c>
      <c r="B19" s="6"/>
      <c r="C19" s="5" t="s">
        <v>47</v>
      </c>
      <c r="D19" s="5" t="s">
        <v>23</v>
      </c>
      <c r="E19" s="6" t="n">
        <v>10105</v>
      </c>
      <c r="F19" s="6" t="n">
        <v>2500</v>
      </c>
      <c r="G19" s="7"/>
      <c r="H19" s="6" t="n">
        <v>20</v>
      </c>
      <c r="I19" s="8" t="n">
        <v>1</v>
      </c>
      <c r="J19" s="9" t="n">
        <f aca="false">ROUND(IF(G19&gt;0,G19*H19*7.85,E19*F19*H19*7.85/1000000),2)</f>
        <v>3966.21</v>
      </c>
      <c r="K19" s="9" t="n">
        <f aca="false">ROUND(J19*I19,2)</f>
        <v>3966.21</v>
      </c>
      <c r="L19" s="9" t="n">
        <v>3965.8</v>
      </c>
      <c r="M19" s="9" t="n">
        <v>3965.8</v>
      </c>
      <c r="N19" s="9" t="n">
        <f aca="false">ROUND(K19-M19,2)</f>
        <v>0.41</v>
      </c>
      <c r="O19" s="10"/>
    </row>
    <row r="20" customFormat="false" ht="15" hidden="false" customHeight="true" outlineLevel="0" collapsed="false">
      <c r="A20" s="6" t="n">
        <v>16</v>
      </c>
      <c r="B20" s="6" t="s">
        <v>48</v>
      </c>
      <c r="C20" s="5" t="s">
        <v>49</v>
      </c>
      <c r="D20" s="5" t="s">
        <v>23</v>
      </c>
      <c r="E20" s="6"/>
      <c r="F20" s="6"/>
      <c r="G20" s="7" t="n">
        <v>9.36</v>
      </c>
      <c r="H20" s="6" t="n">
        <v>36</v>
      </c>
      <c r="I20" s="8" t="n">
        <v>1</v>
      </c>
      <c r="J20" s="9" t="n">
        <f aca="false">ROUND(IF(G20&gt;0,G20*H20*7.85,E20*F20*H20*7.85/1000000),2)</f>
        <v>2645.14</v>
      </c>
      <c r="K20" s="9" t="n">
        <f aca="false">ROUND(J20*I20,2)</f>
        <v>2645.14</v>
      </c>
      <c r="L20" s="9" t="n">
        <v>2645.1</v>
      </c>
      <c r="M20" s="9" t="n">
        <v>2645.1</v>
      </c>
      <c r="N20" s="9" t="n">
        <f aca="false">ROUND(K20-M20,2)</f>
        <v>0.04</v>
      </c>
      <c r="O20" s="10" t="s">
        <v>50</v>
      </c>
    </row>
    <row r="21" customFormat="false" ht="15" hidden="false" customHeight="false" outlineLevel="0" collapsed="false">
      <c r="A21" s="6" t="n">
        <v>17</v>
      </c>
      <c r="B21" s="6"/>
      <c r="C21" s="5" t="s">
        <v>51</v>
      </c>
      <c r="D21" s="5" t="s">
        <v>23</v>
      </c>
      <c r="E21" s="6"/>
      <c r="F21" s="6"/>
      <c r="G21" s="7" t="n">
        <v>15.68</v>
      </c>
      <c r="H21" s="6" t="n">
        <v>20</v>
      </c>
      <c r="I21" s="8" t="n">
        <v>1</v>
      </c>
      <c r="J21" s="9" t="n">
        <f aca="false">ROUND(IF(G21&gt;0,G21*H21*7.85,E21*F21*H21*7.85/1000000),2)</f>
        <v>2461.76</v>
      </c>
      <c r="K21" s="9" t="n">
        <f aca="false">ROUND(J21*I21,2)</f>
        <v>2461.76</v>
      </c>
      <c r="L21" s="9" t="n">
        <v>2461.8</v>
      </c>
      <c r="M21" s="9" t="n">
        <v>2461.8</v>
      </c>
      <c r="N21" s="9" t="n">
        <f aca="false">ROUND(K21-M21,2)</f>
        <v>-0.04</v>
      </c>
      <c r="O21" s="10" t="s">
        <v>52</v>
      </c>
    </row>
    <row r="22" customFormat="false" ht="15" hidden="false" customHeight="false" outlineLevel="0" collapsed="false">
      <c r="A22" s="6" t="n">
        <v>18</v>
      </c>
      <c r="B22" s="6" t="s">
        <v>53</v>
      </c>
      <c r="C22" s="5" t="s">
        <v>54</v>
      </c>
      <c r="D22" s="5" t="s">
        <v>23</v>
      </c>
      <c r="E22" s="6" t="n">
        <v>10105</v>
      </c>
      <c r="F22" s="6" t="n">
        <v>1880</v>
      </c>
      <c r="G22" s="7"/>
      <c r="H22" s="6" t="n">
        <v>24</v>
      </c>
      <c r="I22" s="8" t="n">
        <v>2</v>
      </c>
      <c r="J22" s="9" t="n">
        <f aca="false">ROUND(IF(G22&gt;0,G22*H22*7.85,E22*F22*H22*7.85/1000000),2)</f>
        <v>3579.11</v>
      </c>
      <c r="K22" s="9" t="n">
        <f aca="false">ROUND(J22*I22,2)</f>
        <v>7158.22</v>
      </c>
      <c r="L22" s="9" t="n">
        <v>3579.6</v>
      </c>
      <c r="M22" s="9" t="n">
        <v>7159.2</v>
      </c>
      <c r="N22" s="9" t="n">
        <f aca="false">ROUND(K22-M22,2)</f>
        <v>-0.98</v>
      </c>
      <c r="O22" s="10"/>
    </row>
    <row r="23" customFormat="false" ht="15" hidden="false" customHeight="false" outlineLevel="0" collapsed="false">
      <c r="A23" s="6" t="n">
        <v>19</v>
      </c>
      <c r="B23" s="6" t="s">
        <v>55</v>
      </c>
      <c r="C23" s="5" t="s">
        <v>56</v>
      </c>
      <c r="D23" s="5" t="s">
        <v>23</v>
      </c>
      <c r="E23" s="6"/>
      <c r="F23" s="6"/>
      <c r="G23" s="7" t="n">
        <v>17.33</v>
      </c>
      <c r="H23" s="6" t="n">
        <v>40</v>
      </c>
      <c r="I23" s="8" t="n">
        <v>2</v>
      </c>
      <c r="J23" s="9" t="n">
        <f aca="false">ROUND(IF(G23&gt;0,G23*H23*7.85,E23*F23*H23*7.85/1000000),2)</f>
        <v>5441.62</v>
      </c>
      <c r="K23" s="9" t="n">
        <f aca="false">ROUND(J23*I23,2)</f>
        <v>10883.24</v>
      </c>
      <c r="L23" s="9" t="n">
        <v>5441.6</v>
      </c>
      <c r="M23" s="9" t="n">
        <v>10883.2</v>
      </c>
      <c r="N23" s="9" t="n">
        <f aca="false">ROUND(K23-M23,2)</f>
        <v>0.04</v>
      </c>
      <c r="O23" s="10" t="s">
        <v>57</v>
      </c>
    </row>
    <row r="24" customFormat="false" ht="15" hidden="false" customHeight="true" outlineLevel="0" collapsed="false">
      <c r="A24" s="6" t="n">
        <v>20</v>
      </c>
      <c r="B24" s="6" t="s">
        <v>58</v>
      </c>
      <c r="C24" s="5" t="s">
        <v>59</v>
      </c>
      <c r="D24" s="5" t="s">
        <v>23</v>
      </c>
      <c r="E24" s="6" t="n">
        <v>1800</v>
      </c>
      <c r="F24" s="6" t="n">
        <v>1200</v>
      </c>
      <c r="G24" s="7"/>
      <c r="H24" s="6" t="n">
        <v>16</v>
      </c>
      <c r="I24" s="8" t="n">
        <v>1</v>
      </c>
      <c r="J24" s="9" t="n">
        <f aca="false">ROUND(IF(G24&gt;0,G24*H24*7.85,E24*F24*H24*7.85/1000000),2)</f>
        <v>271.3</v>
      </c>
      <c r="K24" s="9" t="n">
        <f aca="false">ROUND(J24*I24,2)</f>
        <v>271.3</v>
      </c>
      <c r="L24" s="9" t="n">
        <v>271.3</v>
      </c>
      <c r="M24" s="9" t="n">
        <v>271.3</v>
      </c>
      <c r="N24" s="9" t="n">
        <f aca="false">ROUND(K24-M24,2)</f>
        <v>0</v>
      </c>
      <c r="O24" s="10"/>
    </row>
    <row r="25" customFormat="false" ht="15" hidden="false" customHeight="false" outlineLevel="0" collapsed="false">
      <c r="A25" s="6" t="n">
        <v>21</v>
      </c>
      <c r="B25" s="6"/>
      <c r="C25" s="5" t="s">
        <v>60</v>
      </c>
      <c r="D25" s="5" t="s">
        <v>23</v>
      </c>
      <c r="E25" s="6" t="n">
        <v>2057</v>
      </c>
      <c r="F25" s="6" t="n">
        <v>200</v>
      </c>
      <c r="G25" s="7"/>
      <c r="H25" s="6" t="n">
        <v>16</v>
      </c>
      <c r="I25" s="8" t="n">
        <v>3</v>
      </c>
      <c r="J25" s="9" t="n">
        <f aca="false">ROUND(IF(G25&gt;0,G25*H25*7.85,E25*F25*H25*7.85/1000000),2)</f>
        <v>51.67</v>
      </c>
      <c r="K25" s="9" t="n">
        <f aca="false">ROUND(J25*I25,2)</f>
        <v>155.01</v>
      </c>
      <c r="L25" s="9" t="n">
        <v>51.5</v>
      </c>
      <c r="M25" s="9" t="n">
        <v>154.5</v>
      </c>
      <c r="N25" s="9" t="n">
        <f aca="false">ROUND(K25-M25,2)</f>
        <v>0.51</v>
      </c>
      <c r="O25" s="10"/>
    </row>
    <row r="26" customFormat="false" ht="15" hidden="false" customHeight="false" outlineLevel="0" collapsed="false">
      <c r="A26" s="6" t="n">
        <v>22</v>
      </c>
      <c r="B26" s="6"/>
      <c r="C26" s="5" t="s">
        <v>61</v>
      </c>
      <c r="D26" s="5" t="s">
        <v>23</v>
      </c>
      <c r="E26" s="6" t="n">
        <v>1800</v>
      </c>
      <c r="F26" s="6" t="n">
        <v>1200</v>
      </c>
      <c r="G26" s="7"/>
      <c r="H26" s="6" t="n">
        <v>16</v>
      </c>
      <c r="I26" s="8" t="n">
        <v>3</v>
      </c>
      <c r="J26" s="9" t="n">
        <f aca="false">ROUND(IF(G26&gt;0,G26*H26*7.85,E26*F26*H26*7.85/1000000),2)</f>
        <v>271.3</v>
      </c>
      <c r="K26" s="9" t="n">
        <f aca="false">ROUND(J26*I26,2)</f>
        <v>813.9</v>
      </c>
      <c r="L26" s="9" t="n">
        <v>271.3</v>
      </c>
      <c r="M26" s="9" t="n">
        <v>813.9</v>
      </c>
      <c r="N26" s="9" t="n">
        <f aca="false">ROUND(K26-M26,2)</f>
        <v>0</v>
      </c>
      <c r="O26" s="10"/>
    </row>
    <row r="27" customFormat="false" ht="15" hidden="false" customHeight="true" outlineLevel="0" collapsed="false">
      <c r="A27" s="6" t="n">
        <v>23</v>
      </c>
      <c r="B27" s="6" t="s">
        <v>62</v>
      </c>
      <c r="C27" s="5" t="s">
        <v>63</v>
      </c>
      <c r="D27" s="5" t="s">
        <v>23</v>
      </c>
      <c r="E27" s="6" t="n">
        <v>2792</v>
      </c>
      <c r="F27" s="6" t="n">
        <v>240</v>
      </c>
      <c r="G27" s="7"/>
      <c r="H27" s="6" t="n">
        <v>20</v>
      </c>
      <c r="I27" s="8" t="n">
        <v>2</v>
      </c>
      <c r="J27" s="9" t="n">
        <f aca="false">ROUND(IF(G27&gt;0,G27*H27*7.85,E27*F27*H27*7.85/1000000),2)</f>
        <v>105.2</v>
      </c>
      <c r="K27" s="9" t="n">
        <f aca="false">ROUND(J27*I27,2)</f>
        <v>210.4</v>
      </c>
      <c r="L27" s="9" t="n">
        <v>105.2</v>
      </c>
      <c r="M27" s="9" t="n">
        <v>210.4</v>
      </c>
      <c r="N27" s="9" t="n">
        <f aca="false">ROUND(K27-M27,2)</f>
        <v>0</v>
      </c>
      <c r="O27" s="10"/>
    </row>
    <row r="28" customFormat="false" ht="15" hidden="false" customHeight="false" outlineLevel="0" collapsed="false">
      <c r="A28" s="6" t="n">
        <v>24</v>
      </c>
      <c r="B28" s="6"/>
      <c r="C28" s="5" t="s">
        <v>64</v>
      </c>
      <c r="D28" s="5" t="s">
        <v>23</v>
      </c>
      <c r="E28" s="6" t="n">
        <v>10105</v>
      </c>
      <c r="F28" s="6" t="n">
        <v>240</v>
      </c>
      <c r="G28" s="7"/>
      <c r="H28" s="6" t="n">
        <v>20</v>
      </c>
      <c r="I28" s="8" t="n">
        <v>2</v>
      </c>
      <c r="J28" s="9" t="n">
        <f aca="false">ROUND(IF(G28&gt;0,G28*H28*7.85,E28*F28*H28*7.85/1000000),2)</f>
        <v>380.76</v>
      </c>
      <c r="K28" s="9" t="n">
        <f aca="false">ROUND(J28*I28,2)</f>
        <v>761.52</v>
      </c>
      <c r="L28" s="9" t="n">
        <v>381.5</v>
      </c>
      <c r="M28" s="9" t="n">
        <v>763</v>
      </c>
      <c r="N28" s="9" t="n">
        <f aca="false">ROUND(K28-M28,2)</f>
        <v>-1.48</v>
      </c>
      <c r="O28" s="10"/>
    </row>
    <row r="29" customFormat="false" ht="15" hidden="false" customHeight="false" outlineLevel="0" collapsed="false">
      <c r="A29" s="6" t="n">
        <v>25</v>
      </c>
      <c r="B29" s="6"/>
      <c r="C29" s="5" t="s">
        <v>65</v>
      </c>
      <c r="D29" s="5" t="s">
        <v>23</v>
      </c>
      <c r="E29" s="6" t="n">
        <v>12897</v>
      </c>
      <c r="F29" s="6" t="n">
        <v>240</v>
      </c>
      <c r="G29" s="7"/>
      <c r="H29" s="6" t="n">
        <v>20</v>
      </c>
      <c r="I29" s="8" t="n">
        <v>1</v>
      </c>
      <c r="J29" s="9" t="n">
        <f aca="false">ROUND(IF(G29&gt;0,G29*H29*7.85,E29*F29*H29*7.85/1000000),2)</f>
        <v>485.96</v>
      </c>
      <c r="K29" s="9" t="n">
        <f aca="false">ROUND(J29*I29,2)</f>
        <v>485.96</v>
      </c>
      <c r="L29" s="9" t="n">
        <v>486.7</v>
      </c>
      <c r="M29" s="9" t="n">
        <v>486.7</v>
      </c>
      <c r="N29" s="9" t="n">
        <f aca="false">ROUND(K29-M29,2)</f>
        <v>-0.74</v>
      </c>
      <c r="O29" s="10"/>
    </row>
    <row r="30" customFormat="false" ht="15" hidden="false" customHeight="false" outlineLevel="0" collapsed="false">
      <c r="A30" s="6" t="n">
        <v>26</v>
      </c>
      <c r="B30" s="6"/>
      <c r="C30" s="5" t="s">
        <v>66</v>
      </c>
      <c r="D30" s="5" t="s">
        <v>23</v>
      </c>
      <c r="E30" s="6" t="n">
        <v>10105</v>
      </c>
      <c r="F30" s="6" t="n">
        <v>240</v>
      </c>
      <c r="G30" s="7"/>
      <c r="H30" s="6" t="n">
        <v>20</v>
      </c>
      <c r="I30" s="8" t="n">
        <v>1</v>
      </c>
      <c r="J30" s="9" t="n">
        <f aca="false">ROUND(IF(G30&gt;0,G30*H30*7.85,E30*F30*H30*7.85/1000000),2)</f>
        <v>380.76</v>
      </c>
      <c r="K30" s="9" t="n">
        <f aca="false">ROUND(J30*I30,2)</f>
        <v>380.76</v>
      </c>
      <c r="L30" s="9" t="n">
        <v>381.5</v>
      </c>
      <c r="M30" s="9" t="n">
        <v>381.5</v>
      </c>
      <c r="N30" s="9" t="n">
        <f aca="false">ROUND(K30-M30,2)</f>
        <v>-0.74</v>
      </c>
      <c r="O30" s="10"/>
    </row>
    <row r="31" customFormat="false" ht="15" hidden="false" customHeight="false" outlineLevel="0" collapsed="false">
      <c r="A31" s="6" t="n">
        <v>27</v>
      </c>
      <c r="B31" s="6"/>
      <c r="C31" s="5" t="s">
        <v>67</v>
      </c>
      <c r="D31" s="5" t="s">
        <v>23</v>
      </c>
      <c r="E31" s="6" t="n">
        <v>2792</v>
      </c>
      <c r="F31" s="6" t="n">
        <v>320</v>
      </c>
      <c r="G31" s="7"/>
      <c r="H31" s="6" t="n">
        <v>32</v>
      </c>
      <c r="I31" s="8" t="n">
        <v>1</v>
      </c>
      <c r="J31" s="9" t="n">
        <f aca="false">ROUND(IF(G31&gt;0,G31*H31*7.85,E31*F31*H31*7.85/1000000),2)</f>
        <v>224.43</v>
      </c>
      <c r="K31" s="9" t="n">
        <f aca="false">ROUND(J31*I31,2)</f>
        <v>224.43</v>
      </c>
      <c r="L31" s="9" t="n">
        <v>223.6</v>
      </c>
      <c r="M31" s="9" t="n">
        <v>223.6</v>
      </c>
      <c r="N31" s="9" t="n">
        <f aca="false">ROUND(K31-M31,2)</f>
        <v>0.83</v>
      </c>
      <c r="O31" s="10"/>
    </row>
    <row r="32" customFormat="false" ht="15" hidden="false" customHeight="false" outlineLevel="0" collapsed="false">
      <c r="A32" s="6" t="n">
        <v>28</v>
      </c>
      <c r="B32" s="6"/>
      <c r="C32" s="5" t="s">
        <v>68</v>
      </c>
      <c r="D32" s="5" t="s">
        <v>23</v>
      </c>
      <c r="E32" s="6" t="n">
        <v>12897</v>
      </c>
      <c r="F32" s="6" t="n">
        <v>170</v>
      </c>
      <c r="G32" s="7"/>
      <c r="H32" s="6" t="n">
        <v>14</v>
      </c>
      <c r="I32" s="8" t="n">
        <v>2</v>
      </c>
      <c r="J32" s="9" t="n">
        <f aca="false">ROUND(IF(G32&gt;0,G32*H32*7.85,E32*F32*H32*7.85/1000000),2)</f>
        <v>240.95</v>
      </c>
      <c r="K32" s="9" t="n">
        <f aca="false">ROUND(J32*I32,2)</f>
        <v>481.9</v>
      </c>
      <c r="L32" s="9" t="n">
        <v>240.7</v>
      </c>
      <c r="M32" s="9" t="n">
        <v>481.4</v>
      </c>
      <c r="N32" s="9" t="n">
        <f aca="false">ROUND(K32-M32,2)</f>
        <v>0.5</v>
      </c>
      <c r="O32" s="10"/>
    </row>
    <row r="33" customFormat="false" ht="15" hidden="false" customHeight="true" outlineLevel="0" collapsed="false">
      <c r="A33" s="6" t="n">
        <v>29</v>
      </c>
      <c r="B33" s="6" t="s">
        <v>69</v>
      </c>
      <c r="C33" s="5" t="s">
        <v>70</v>
      </c>
      <c r="D33" s="5" t="s">
        <v>23</v>
      </c>
      <c r="E33" s="6" t="n">
        <v>14038</v>
      </c>
      <c r="F33" s="6" t="n">
        <v>1200</v>
      </c>
      <c r="G33" s="7"/>
      <c r="H33" s="6" t="n">
        <v>36</v>
      </c>
      <c r="I33" s="8" t="n">
        <v>1</v>
      </c>
      <c r="J33" s="9" t="n">
        <f aca="false">ROUND(IF(G33&gt;0,G33*H33*7.85,E33*F33*H33*7.85/1000000),2)</f>
        <v>4760.57</v>
      </c>
      <c r="K33" s="9" t="n">
        <f aca="false">ROUND(J33*I33,2)</f>
        <v>4760.57</v>
      </c>
      <c r="L33" s="9" t="n">
        <v>4761.8</v>
      </c>
      <c r="M33" s="9" t="n">
        <v>4761.8</v>
      </c>
      <c r="N33" s="9" t="n">
        <f aca="false">ROUND(K33-M33,2)</f>
        <v>-1.23</v>
      </c>
      <c r="O33" s="10"/>
    </row>
    <row r="34" customFormat="false" ht="15" hidden="false" customHeight="false" outlineLevel="0" collapsed="false">
      <c r="A34" s="6" t="n">
        <v>30</v>
      </c>
      <c r="B34" s="6"/>
      <c r="C34" s="5" t="s">
        <v>71</v>
      </c>
      <c r="D34" s="5" t="s">
        <v>23</v>
      </c>
      <c r="E34" s="6" t="n">
        <v>14038</v>
      </c>
      <c r="F34" s="6" t="n">
        <v>1200</v>
      </c>
      <c r="G34" s="7"/>
      <c r="H34" s="6" t="n">
        <v>36</v>
      </c>
      <c r="I34" s="8" t="n">
        <v>1</v>
      </c>
      <c r="J34" s="9" t="n">
        <f aca="false">ROUND(IF(G34&gt;0,G34*H34*7.85,E34*F34*H34*7.85/1000000),2)</f>
        <v>4760.57</v>
      </c>
      <c r="K34" s="9" t="n">
        <f aca="false">ROUND(J34*I34,2)</f>
        <v>4760.57</v>
      </c>
      <c r="L34" s="9" t="n">
        <v>4761.8</v>
      </c>
      <c r="M34" s="9" t="n">
        <v>4761.8</v>
      </c>
      <c r="N34" s="9" t="n">
        <f aca="false">ROUND(K34-M34,2)</f>
        <v>-1.23</v>
      </c>
      <c r="O34" s="10"/>
    </row>
    <row r="35" customFormat="false" ht="15" hidden="false" customHeight="false" outlineLevel="0" collapsed="false">
      <c r="A35" s="6" t="n">
        <v>31</v>
      </c>
      <c r="B35" s="6"/>
      <c r="C35" s="5" t="s">
        <v>72</v>
      </c>
      <c r="D35" s="5" t="s">
        <v>23</v>
      </c>
      <c r="E35" s="6" t="n">
        <v>9838</v>
      </c>
      <c r="F35" s="6" t="n">
        <v>1360</v>
      </c>
      <c r="G35" s="7"/>
      <c r="H35" s="6" t="n">
        <v>36</v>
      </c>
      <c r="I35" s="8" t="n">
        <v>2</v>
      </c>
      <c r="J35" s="9" t="n">
        <f aca="false">ROUND(IF(G35&gt;0,G35*H35*7.85,E35*F35*H35*7.85/1000000),2)</f>
        <v>3781.1</v>
      </c>
      <c r="K35" s="9" t="n">
        <f aca="false">ROUND(J35*I35,2)</f>
        <v>7562.2</v>
      </c>
      <c r="L35" s="9" t="n">
        <v>3781.2</v>
      </c>
      <c r="M35" s="9" t="n">
        <v>7562.4</v>
      </c>
      <c r="N35" s="9" t="n">
        <f aca="false">ROUND(K35-M35,2)</f>
        <v>-0.2</v>
      </c>
      <c r="O35" s="10"/>
    </row>
    <row r="36" customFormat="false" ht="15" hidden="false" customHeight="false" outlineLevel="0" collapsed="false">
      <c r="A36" s="6" t="n">
        <v>32</v>
      </c>
      <c r="B36" s="6"/>
      <c r="C36" s="5" t="s">
        <v>73</v>
      </c>
      <c r="D36" s="5" t="s">
        <v>23</v>
      </c>
      <c r="E36" s="6" t="n">
        <v>9838</v>
      </c>
      <c r="F36" s="6" t="n">
        <v>320</v>
      </c>
      <c r="G36" s="7"/>
      <c r="H36" s="6" t="n">
        <v>32</v>
      </c>
      <c r="I36" s="8" t="n">
        <v>2</v>
      </c>
      <c r="J36" s="9" t="n">
        <f aca="false">ROUND(IF(G36&gt;0,G36*H36*7.85,E36*F36*H36*7.85/1000000),2)</f>
        <v>790.82</v>
      </c>
      <c r="K36" s="9" t="n">
        <f aca="false">ROUND(J36*I36,2)</f>
        <v>1581.64</v>
      </c>
      <c r="L36" s="9" t="n">
        <v>791.3</v>
      </c>
      <c r="M36" s="9" t="n">
        <v>1582.6</v>
      </c>
      <c r="N36" s="9" t="n">
        <f aca="false">ROUND(K36-M36,2)</f>
        <v>-0.96</v>
      </c>
      <c r="O36" s="10"/>
    </row>
    <row r="37" customFormat="false" ht="15" hidden="false" customHeight="false" outlineLevel="0" collapsed="false">
      <c r="A37" s="6" t="n">
        <v>33</v>
      </c>
      <c r="B37" s="6"/>
      <c r="C37" s="5" t="s">
        <v>74</v>
      </c>
      <c r="D37" s="5" t="s">
        <v>23</v>
      </c>
      <c r="E37" s="6" t="n">
        <v>12638</v>
      </c>
      <c r="F37" s="6" t="n">
        <v>320</v>
      </c>
      <c r="G37" s="7"/>
      <c r="H37" s="6" t="n">
        <v>32</v>
      </c>
      <c r="I37" s="8" t="n">
        <v>1</v>
      </c>
      <c r="J37" s="9" t="n">
        <f aca="false">ROUND(IF(G37&gt;0,G37*H37*7.85,E37*F37*H37*7.85/1000000),2)</f>
        <v>1015.89</v>
      </c>
      <c r="K37" s="9" t="n">
        <f aca="false">ROUND(J37*I37,2)</f>
        <v>1015.89</v>
      </c>
      <c r="L37" s="9" t="n">
        <v>1014.8</v>
      </c>
      <c r="M37" s="9" t="n">
        <v>1014.8</v>
      </c>
      <c r="N37" s="9" t="n">
        <f aca="false">ROUND(K37-M37,2)</f>
        <v>1.09</v>
      </c>
      <c r="O37" s="10"/>
    </row>
    <row r="38" customFormat="false" ht="15" hidden="false" customHeight="false" outlineLevel="0" collapsed="false">
      <c r="A38" s="6" t="n">
        <v>34</v>
      </c>
      <c r="B38" s="6"/>
      <c r="C38" s="5" t="s">
        <v>75</v>
      </c>
      <c r="D38" s="5" t="s">
        <v>23</v>
      </c>
      <c r="E38" s="6" t="n">
        <v>12638</v>
      </c>
      <c r="F38" s="6" t="n">
        <v>320</v>
      </c>
      <c r="G38" s="7"/>
      <c r="H38" s="6" t="n">
        <v>32</v>
      </c>
      <c r="I38" s="8" t="n">
        <v>1</v>
      </c>
      <c r="J38" s="9" t="n">
        <f aca="false">ROUND(IF(G38&gt;0,G38*H38*7.85,E38*F38*H38*7.85/1000000),2)</f>
        <v>1015.89</v>
      </c>
      <c r="K38" s="9" t="n">
        <f aca="false">ROUND(J38*I38,2)</f>
        <v>1015.89</v>
      </c>
      <c r="L38" s="9" t="n">
        <v>1014.8</v>
      </c>
      <c r="M38" s="9" t="n">
        <v>1014.8</v>
      </c>
      <c r="N38" s="9" t="n">
        <f aca="false">ROUND(K38-M38,2)</f>
        <v>1.09</v>
      </c>
      <c r="O38" s="10"/>
    </row>
    <row r="39" customFormat="false" ht="15" hidden="false" customHeight="false" outlineLevel="0" collapsed="false">
      <c r="A39" s="6" t="n">
        <v>35</v>
      </c>
      <c r="B39" s="6"/>
      <c r="C39" s="5" t="s">
        <v>76</v>
      </c>
      <c r="D39" s="5" t="s">
        <v>23</v>
      </c>
      <c r="E39" s="6" t="n">
        <v>1200</v>
      </c>
      <c r="F39" s="6" t="n">
        <v>1200</v>
      </c>
      <c r="G39" s="7"/>
      <c r="H39" s="6" t="n">
        <v>16</v>
      </c>
      <c r="I39" s="8" t="n">
        <v>4</v>
      </c>
      <c r="J39" s="9" t="n">
        <f aca="false">ROUND(IF(G39&gt;0,G39*H39*7.85,E39*F39*H39*7.85/1000000),2)</f>
        <v>180.86</v>
      </c>
      <c r="K39" s="9" t="n">
        <f aca="false">ROUND(J39*I39,2)</f>
        <v>723.44</v>
      </c>
      <c r="L39" s="9" t="n">
        <v>180.9</v>
      </c>
      <c r="M39" s="9" t="n">
        <v>723.6</v>
      </c>
      <c r="N39" s="9" t="n">
        <f aca="false">ROUND(K39-M39,2)</f>
        <v>-0.16</v>
      </c>
      <c r="O39" s="10"/>
    </row>
    <row r="40" customFormat="false" ht="15" hidden="false" customHeight="false" outlineLevel="0" collapsed="false">
      <c r="A40" s="6" t="n">
        <v>36</v>
      </c>
      <c r="B40" s="6"/>
      <c r="C40" s="5" t="s">
        <v>77</v>
      </c>
      <c r="D40" s="5" t="s">
        <v>23</v>
      </c>
      <c r="E40" s="6" t="n">
        <v>6725</v>
      </c>
      <c r="F40" s="6" t="n">
        <v>1200</v>
      </c>
      <c r="G40" s="7"/>
      <c r="H40" s="6" t="n">
        <v>36</v>
      </c>
      <c r="I40" s="8" t="n">
        <v>1</v>
      </c>
      <c r="J40" s="9" t="n">
        <f aca="false">ROUND(IF(G40&gt;0,G40*H40*7.85,E40*F40*H40*7.85/1000000),2)</f>
        <v>2280.58</v>
      </c>
      <c r="K40" s="9" t="n">
        <f aca="false">ROUND(J40*I40,2)</f>
        <v>2280.58</v>
      </c>
      <c r="L40" s="9" t="n">
        <v>2280.6</v>
      </c>
      <c r="M40" s="9" t="n">
        <v>2280.6</v>
      </c>
      <c r="N40" s="9" t="n">
        <f aca="false">ROUND(K40-M40,2)</f>
        <v>-0.02</v>
      </c>
      <c r="O40" s="10"/>
    </row>
    <row r="41" customFormat="false" ht="15" hidden="false" customHeight="false" outlineLevel="0" collapsed="false">
      <c r="A41" s="6" t="n">
        <v>37</v>
      </c>
      <c r="B41" s="6"/>
      <c r="C41" s="5" t="s">
        <v>78</v>
      </c>
      <c r="D41" s="5" t="s">
        <v>23</v>
      </c>
      <c r="E41" s="6" t="n">
        <v>6925</v>
      </c>
      <c r="F41" s="6" t="n">
        <v>1200</v>
      </c>
      <c r="G41" s="7"/>
      <c r="H41" s="6" t="n">
        <v>36</v>
      </c>
      <c r="I41" s="8" t="n">
        <v>1</v>
      </c>
      <c r="J41" s="9" t="n">
        <f aca="false">ROUND(IF(G41&gt;0,G41*H41*7.85,E41*F41*H41*7.85/1000000),2)</f>
        <v>2348.41</v>
      </c>
      <c r="K41" s="9" t="n">
        <f aca="false">ROUND(J41*I41,2)</f>
        <v>2348.41</v>
      </c>
      <c r="L41" s="9" t="n">
        <v>2348.4</v>
      </c>
      <c r="M41" s="9" t="n">
        <v>2348.4</v>
      </c>
      <c r="N41" s="9" t="n">
        <f aca="false">ROUND(K41-M41,2)</f>
        <v>0.01</v>
      </c>
      <c r="O41" s="10"/>
    </row>
    <row r="42" customFormat="false" ht="15" hidden="false" customHeight="false" outlineLevel="0" collapsed="false">
      <c r="A42" s="6" t="n">
        <v>38</v>
      </c>
      <c r="B42" s="6"/>
      <c r="C42" s="5" t="s">
        <v>79</v>
      </c>
      <c r="D42" s="5" t="s">
        <v>23</v>
      </c>
      <c r="E42" s="6" t="n">
        <v>4925</v>
      </c>
      <c r="F42" s="6" t="n">
        <v>1360</v>
      </c>
      <c r="G42" s="7"/>
      <c r="H42" s="6" t="n">
        <v>36</v>
      </c>
      <c r="I42" s="8" t="n">
        <v>2</v>
      </c>
      <c r="J42" s="9" t="n">
        <f aca="false">ROUND(IF(G42&gt;0,G42*H42*7.85,E42*F42*H42*7.85/1000000),2)</f>
        <v>1892.85</v>
      </c>
      <c r="K42" s="9" t="n">
        <f aca="false">ROUND(J42*I42,2)</f>
        <v>3785.7</v>
      </c>
      <c r="L42" s="9" t="n">
        <v>1893.4</v>
      </c>
      <c r="M42" s="9" t="n">
        <v>3786.8</v>
      </c>
      <c r="N42" s="9" t="n">
        <f aca="false">ROUND(K42-M42,2)</f>
        <v>-1.1</v>
      </c>
      <c r="O42" s="10"/>
    </row>
    <row r="43" customFormat="false" ht="15" hidden="false" customHeight="false" outlineLevel="0" collapsed="false">
      <c r="A43" s="6" t="n">
        <v>39</v>
      </c>
      <c r="B43" s="6"/>
      <c r="C43" s="5" t="s">
        <v>80</v>
      </c>
      <c r="D43" s="5" t="s">
        <v>23</v>
      </c>
      <c r="E43" s="6" t="n">
        <v>4925</v>
      </c>
      <c r="F43" s="6" t="n">
        <v>320</v>
      </c>
      <c r="G43" s="7"/>
      <c r="H43" s="6" t="n">
        <v>32</v>
      </c>
      <c r="I43" s="8" t="n">
        <v>2</v>
      </c>
      <c r="J43" s="9" t="n">
        <f aca="false">ROUND(IF(G43&gt;0,G43*H43*7.85,E43*F43*H43*7.85/1000000),2)</f>
        <v>395.89</v>
      </c>
      <c r="K43" s="9" t="n">
        <f aca="false">ROUND(J43*I43,2)</f>
        <v>791.78</v>
      </c>
      <c r="L43" s="9" t="n">
        <v>396.9</v>
      </c>
      <c r="M43" s="9" t="n">
        <v>793.8</v>
      </c>
      <c r="N43" s="9" t="n">
        <f aca="false">ROUND(K43-M43,2)</f>
        <v>-2.02</v>
      </c>
      <c r="O43" s="10"/>
    </row>
    <row r="44" customFormat="false" ht="15" hidden="false" customHeight="false" outlineLevel="0" collapsed="false">
      <c r="A44" s="6" t="n">
        <v>40</v>
      </c>
      <c r="B44" s="6"/>
      <c r="C44" s="5" t="s">
        <v>81</v>
      </c>
      <c r="D44" s="5" t="s">
        <v>23</v>
      </c>
      <c r="E44" s="6" t="n">
        <v>6025</v>
      </c>
      <c r="F44" s="6" t="n">
        <v>320</v>
      </c>
      <c r="G44" s="7"/>
      <c r="H44" s="6" t="n">
        <v>32</v>
      </c>
      <c r="I44" s="8" t="n">
        <v>1</v>
      </c>
      <c r="J44" s="9" t="n">
        <f aca="false">ROUND(IF(G44&gt;0,G44*H44*7.85,E44*F44*H44*7.85/1000000),2)</f>
        <v>484.31</v>
      </c>
      <c r="K44" s="9" t="n">
        <f aca="false">ROUND(J44*I44,2)</f>
        <v>484.31</v>
      </c>
      <c r="L44" s="9" t="n">
        <v>484.8</v>
      </c>
      <c r="M44" s="9" t="n">
        <v>484.8</v>
      </c>
      <c r="N44" s="9" t="n">
        <f aca="false">ROUND(K44-M44,2)</f>
        <v>-0.49</v>
      </c>
      <c r="O44" s="10"/>
    </row>
    <row r="45" customFormat="false" ht="15" hidden="false" customHeight="false" outlineLevel="0" collapsed="false">
      <c r="A45" s="6" t="n">
        <v>41</v>
      </c>
      <c r="B45" s="6"/>
      <c r="C45" s="5" t="s">
        <v>82</v>
      </c>
      <c r="D45" s="5" t="s">
        <v>23</v>
      </c>
      <c r="E45" s="6" t="n">
        <v>6225</v>
      </c>
      <c r="F45" s="6" t="n">
        <v>320</v>
      </c>
      <c r="G45" s="7"/>
      <c r="H45" s="6" t="n">
        <v>32</v>
      </c>
      <c r="I45" s="8" t="n">
        <v>1</v>
      </c>
      <c r="J45" s="9" t="n">
        <f aca="false">ROUND(IF(G45&gt;0,G45*H45*7.85,E45*F45*H45*7.85/1000000),2)</f>
        <v>500.39</v>
      </c>
      <c r="K45" s="9" t="n">
        <f aca="false">ROUND(J45*I45,2)</f>
        <v>500.39</v>
      </c>
      <c r="L45" s="9" t="n">
        <v>499.9</v>
      </c>
      <c r="M45" s="9" t="n">
        <v>499.9</v>
      </c>
      <c r="N45" s="9" t="n">
        <f aca="false">ROUND(K45-M45,2)</f>
        <v>0.49</v>
      </c>
      <c r="O45" s="10"/>
    </row>
    <row r="46" customFormat="false" ht="15" hidden="false" customHeight="false" outlineLevel="0" collapsed="false">
      <c r="A46" s="6" t="n">
        <v>42</v>
      </c>
      <c r="B46" s="6"/>
      <c r="C46" s="5" t="s">
        <v>83</v>
      </c>
      <c r="D46" s="5" t="s">
        <v>23</v>
      </c>
      <c r="E46" s="6" t="n">
        <v>1200</v>
      </c>
      <c r="F46" s="6" t="n">
        <v>1200</v>
      </c>
      <c r="G46" s="7"/>
      <c r="H46" s="6" t="n">
        <v>16</v>
      </c>
      <c r="I46" s="8" t="n">
        <v>2</v>
      </c>
      <c r="J46" s="9" t="n">
        <f aca="false">ROUND(IF(G46&gt;0,G46*H46*7.85,E46*F46*H46*7.85/1000000),2)</f>
        <v>180.86</v>
      </c>
      <c r="K46" s="9" t="n">
        <f aca="false">ROUND(J46*I46,2)</f>
        <v>361.72</v>
      </c>
      <c r="L46" s="9" t="n">
        <v>180.9</v>
      </c>
      <c r="M46" s="9" t="n">
        <v>361.8</v>
      </c>
      <c r="N46" s="9" t="n">
        <f aca="false">ROUND(K46-M46,2)</f>
        <v>-0.08</v>
      </c>
      <c r="O46" s="10"/>
    </row>
    <row r="47" customFormat="false" ht="15" hidden="false" customHeight="true" outlineLevel="0" collapsed="false">
      <c r="A47" s="6" t="n">
        <v>43</v>
      </c>
      <c r="B47" s="6" t="s">
        <v>84</v>
      </c>
      <c r="C47" s="5" t="s">
        <v>85</v>
      </c>
      <c r="D47" s="5" t="s">
        <v>23</v>
      </c>
      <c r="E47" s="6" t="n">
        <v>13418</v>
      </c>
      <c r="F47" s="6" t="n">
        <v>1200</v>
      </c>
      <c r="G47" s="7"/>
      <c r="H47" s="6" t="n">
        <v>20</v>
      </c>
      <c r="I47" s="8" t="n">
        <v>1</v>
      </c>
      <c r="J47" s="9" t="n">
        <f aca="false">ROUND(IF(G47&gt;0,G47*H47*7.85,E47*F47*H47*7.85/1000000),2)</f>
        <v>2527.95</v>
      </c>
      <c r="K47" s="9" t="n">
        <f aca="false">ROUND(J47*I47,2)</f>
        <v>2527.95</v>
      </c>
      <c r="L47" s="9" t="n">
        <v>2527.7</v>
      </c>
      <c r="M47" s="9" t="n">
        <v>2527.7</v>
      </c>
      <c r="N47" s="9" t="n">
        <f aca="false">ROUND(K47-M47,2)</f>
        <v>0.25</v>
      </c>
      <c r="O47" s="10"/>
    </row>
    <row r="48" customFormat="false" ht="15" hidden="false" customHeight="false" outlineLevel="0" collapsed="false">
      <c r="A48" s="6" t="n">
        <v>44</v>
      </c>
      <c r="B48" s="6"/>
      <c r="C48" s="5" t="s">
        <v>86</v>
      </c>
      <c r="D48" s="5" t="s">
        <v>23</v>
      </c>
      <c r="E48" s="6" t="n">
        <v>11818</v>
      </c>
      <c r="F48" s="6" t="n">
        <v>1200</v>
      </c>
      <c r="G48" s="7"/>
      <c r="H48" s="6" t="n">
        <v>20</v>
      </c>
      <c r="I48" s="8" t="n">
        <v>1</v>
      </c>
      <c r="J48" s="9" t="n">
        <f aca="false">ROUND(IF(G48&gt;0,G48*H48*7.85,E48*F48*H48*7.85/1000000),2)</f>
        <v>2226.51</v>
      </c>
      <c r="K48" s="9" t="n">
        <f aca="false">ROUND(J48*I48,2)</f>
        <v>2226.51</v>
      </c>
      <c r="L48" s="9" t="n">
        <v>2226.3</v>
      </c>
      <c r="M48" s="9" t="n">
        <v>2226.3</v>
      </c>
      <c r="N48" s="9" t="n">
        <f aca="false">ROUND(K48-M48,2)</f>
        <v>0.21</v>
      </c>
      <c r="O48" s="10"/>
    </row>
    <row r="49" customFormat="false" ht="15" hidden="false" customHeight="false" outlineLevel="0" collapsed="false">
      <c r="A49" s="6" t="n">
        <v>45</v>
      </c>
      <c r="B49" s="6" t="s">
        <v>87</v>
      </c>
      <c r="C49" s="5" t="s">
        <v>88</v>
      </c>
      <c r="D49" s="5" t="s">
        <v>23</v>
      </c>
      <c r="E49" s="6" t="n">
        <v>9133</v>
      </c>
      <c r="F49" s="6" t="n">
        <v>1500</v>
      </c>
      <c r="G49" s="7"/>
      <c r="H49" s="6" t="n">
        <v>20</v>
      </c>
      <c r="I49" s="8" t="n">
        <v>2</v>
      </c>
      <c r="J49" s="9" t="n">
        <f aca="false">ROUND(IF(G49&gt;0,G49*H49*7.85,E49*F49*H49*7.85/1000000),2)</f>
        <v>2150.82</v>
      </c>
      <c r="K49" s="9" t="n">
        <f aca="false">ROUND(J49*I49,2)</f>
        <v>4301.64</v>
      </c>
      <c r="L49" s="9" t="n">
        <v>2150.9</v>
      </c>
      <c r="M49" s="9" t="n">
        <v>4301.8</v>
      </c>
      <c r="N49" s="9" t="n">
        <f aca="false">ROUND(K49-M49,2)</f>
        <v>-0.16</v>
      </c>
      <c r="O49" s="10"/>
    </row>
    <row r="50" customFormat="false" ht="15" hidden="false" customHeight="false" outlineLevel="0" collapsed="false">
      <c r="A50" s="6" t="n">
        <v>46</v>
      </c>
      <c r="B50" s="6" t="s">
        <v>89</v>
      </c>
      <c r="C50" s="5" t="s">
        <v>90</v>
      </c>
      <c r="D50" s="5" t="s">
        <v>23</v>
      </c>
      <c r="E50" s="6" t="n">
        <v>1400</v>
      </c>
      <c r="F50" s="6" t="n">
        <v>1200</v>
      </c>
      <c r="G50" s="7"/>
      <c r="H50" s="6" t="n">
        <v>16</v>
      </c>
      <c r="I50" s="8" t="n">
        <v>3</v>
      </c>
      <c r="J50" s="9" t="n">
        <f aca="false">ROUND(IF(G50&gt;0,G50*H50*7.85,E50*F50*H50*7.85/1000000),2)</f>
        <v>211.01</v>
      </c>
      <c r="K50" s="9" t="n">
        <f aca="false">ROUND(J50*I50,2)</f>
        <v>633.03</v>
      </c>
      <c r="L50" s="9" t="n">
        <v>211</v>
      </c>
      <c r="M50" s="9" t="n">
        <v>633</v>
      </c>
      <c r="N50" s="9" t="n">
        <f aca="false">ROUND(K50-M50,2)</f>
        <v>0.03</v>
      </c>
      <c r="O50" s="10"/>
    </row>
    <row r="51" customFormat="false" ht="15" hidden="false" customHeight="true" outlineLevel="0" collapsed="false">
      <c r="A51" s="6" t="n">
        <v>47</v>
      </c>
      <c r="B51" s="6" t="s">
        <v>91</v>
      </c>
      <c r="C51" s="5" t="s">
        <v>92</v>
      </c>
      <c r="D51" s="5" t="s">
        <v>23</v>
      </c>
      <c r="E51" s="6" t="n">
        <v>9133</v>
      </c>
      <c r="F51" s="6" t="n">
        <v>190</v>
      </c>
      <c r="G51" s="7"/>
      <c r="H51" s="6" t="n">
        <v>16</v>
      </c>
      <c r="I51" s="8" t="n">
        <v>2</v>
      </c>
      <c r="J51" s="9" t="n">
        <f aca="false">ROUND(IF(G51&gt;0,G51*H51*7.85,E51*F51*H51*7.85/1000000),2)</f>
        <v>217.95</v>
      </c>
      <c r="K51" s="9" t="n">
        <f aca="false">ROUND(J51*I51,2)</f>
        <v>435.9</v>
      </c>
      <c r="L51" s="9" t="n">
        <v>218.5</v>
      </c>
      <c r="M51" s="9" t="n">
        <v>437</v>
      </c>
      <c r="N51" s="9" t="n">
        <f aca="false">ROUND(K51-M51,2)</f>
        <v>-1.1</v>
      </c>
      <c r="O51" s="10"/>
    </row>
    <row r="52" customFormat="false" ht="15" hidden="false" customHeight="false" outlineLevel="0" collapsed="false">
      <c r="A52" s="6" t="n">
        <v>48</v>
      </c>
      <c r="B52" s="6"/>
      <c r="C52" s="5" t="s">
        <v>93</v>
      </c>
      <c r="D52" s="5" t="s">
        <v>23</v>
      </c>
      <c r="E52" s="6" t="n">
        <v>12018</v>
      </c>
      <c r="F52" s="6" t="n">
        <v>190</v>
      </c>
      <c r="G52" s="7"/>
      <c r="H52" s="6" t="n">
        <v>16</v>
      </c>
      <c r="I52" s="8" t="n">
        <v>1</v>
      </c>
      <c r="J52" s="9" t="n">
        <f aca="false">ROUND(IF(G52&gt;0,G52*H52*7.85,E52*F52*H52*7.85/1000000),2)</f>
        <v>286.8</v>
      </c>
      <c r="K52" s="9" t="n">
        <f aca="false">ROUND(J52*I52,2)</f>
        <v>286.8</v>
      </c>
      <c r="L52" s="9" t="n">
        <v>286.4</v>
      </c>
      <c r="M52" s="9" t="n">
        <v>286.4</v>
      </c>
      <c r="N52" s="9" t="n">
        <f aca="false">ROUND(K52-M52,2)</f>
        <v>0.4</v>
      </c>
      <c r="O52" s="10"/>
    </row>
    <row r="53" customFormat="false" ht="15" hidden="false" customHeight="false" outlineLevel="0" collapsed="false">
      <c r="A53" s="6" t="n">
        <v>49</v>
      </c>
      <c r="B53" s="6"/>
      <c r="C53" s="5" t="s">
        <v>94</v>
      </c>
      <c r="D53" s="5" t="s">
        <v>23</v>
      </c>
      <c r="E53" s="6" t="n">
        <v>10418</v>
      </c>
      <c r="F53" s="6" t="n">
        <v>190</v>
      </c>
      <c r="G53" s="7"/>
      <c r="H53" s="6" t="n">
        <v>16</v>
      </c>
      <c r="I53" s="8" t="n">
        <v>1</v>
      </c>
      <c r="J53" s="9" t="n">
        <f aca="false">ROUND(IF(G53&gt;0,G53*H53*7.85,E53*F53*H53*7.85/1000000),2)</f>
        <v>248.62</v>
      </c>
      <c r="K53" s="9" t="n">
        <f aca="false">ROUND(J53*I53,2)</f>
        <v>248.62</v>
      </c>
      <c r="L53" s="9" t="n">
        <v>248.7</v>
      </c>
      <c r="M53" s="9" t="n">
        <v>248.7</v>
      </c>
      <c r="N53" s="9" t="n">
        <f aca="false">ROUND(K53-M53,2)</f>
        <v>-0.08</v>
      </c>
      <c r="O53" s="10"/>
    </row>
    <row r="54" customFormat="false" ht="15" hidden="false" customHeight="true" outlineLevel="0" collapsed="false">
      <c r="A54" s="6" t="n">
        <v>50</v>
      </c>
      <c r="B54" s="6" t="s">
        <v>95</v>
      </c>
      <c r="C54" s="5" t="s">
        <v>96</v>
      </c>
      <c r="D54" s="5" t="s">
        <v>23</v>
      </c>
      <c r="E54" s="6" t="n">
        <v>2800</v>
      </c>
      <c r="F54" s="6" t="n">
        <v>320</v>
      </c>
      <c r="G54" s="7"/>
      <c r="H54" s="6" t="n">
        <v>32</v>
      </c>
      <c r="I54" s="8" t="n">
        <v>2</v>
      </c>
      <c r="J54" s="9" t="n">
        <f aca="false">ROUND(IF(G54&gt;0,G54*H54*7.85,E54*F54*H54*7.85/1000000),2)</f>
        <v>225.08</v>
      </c>
      <c r="K54" s="9" t="n">
        <f aca="false">ROUND(J54*I54,2)</f>
        <v>450.16</v>
      </c>
      <c r="L54" s="9" t="n">
        <v>226.1</v>
      </c>
      <c r="M54" s="9" t="n">
        <v>452.2</v>
      </c>
      <c r="N54" s="9" t="n">
        <f aca="false">ROUND(K54-M54,2)</f>
        <v>-2.04</v>
      </c>
      <c r="O54" s="10"/>
    </row>
    <row r="55" customFormat="false" ht="15" hidden="false" customHeight="false" outlineLevel="0" collapsed="false">
      <c r="A55" s="6" t="n">
        <v>51</v>
      </c>
      <c r="B55" s="6"/>
      <c r="C55" s="5" t="s">
        <v>97</v>
      </c>
      <c r="D55" s="5" t="s">
        <v>23</v>
      </c>
      <c r="E55" s="6" t="n">
        <v>2600</v>
      </c>
      <c r="F55" s="6" t="n">
        <v>320</v>
      </c>
      <c r="G55" s="7"/>
      <c r="H55" s="6" t="n">
        <v>32</v>
      </c>
      <c r="I55" s="8" t="n">
        <v>2</v>
      </c>
      <c r="J55" s="9" t="n">
        <f aca="false">ROUND(IF(G55&gt;0,G55*H55*7.85,E55*F55*H55*7.85/1000000),2)</f>
        <v>209</v>
      </c>
      <c r="K55" s="9" t="n">
        <f aca="false">ROUND(J55*I55,2)</f>
        <v>418</v>
      </c>
      <c r="L55" s="9" t="n">
        <v>208.5</v>
      </c>
      <c r="M55" s="9" t="n">
        <v>417</v>
      </c>
      <c r="N55" s="9" t="n">
        <f aca="false">ROUND(K55-M55,2)</f>
        <v>1</v>
      </c>
      <c r="O55" s="10"/>
    </row>
    <row r="56" customFormat="false" ht="15" hidden="false" customHeight="false" outlineLevel="0" collapsed="false">
      <c r="A56" s="6" t="n">
        <v>52</v>
      </c>
      <c r="B56" s="6"/>
      <c r="C56" s="5" t="s">
        <v>98</v>
      </c>
      <c r="D56" s="5" t="s">
        <v>23</v>
      </c>
      <c r="E56" s="6" t="n">
        <v>750</v>
      </c>
      <c r="F56" s="6" t="n">
        <v>320</v>
      </c>
      <c r="G56" s="7"/>
      <c r="H56" s="6" t="n">
        <v>28</v>
      </c>
      <c r="I56" s="8" t="n">
        <v>2</v>
      </c>
      <c r="J56" s="9" t="n">
        <f aca="false">ROUND(IF(G56&gt;0,G56*H56*7.85,E56*F56*H56*7.85/1000000),2)</f>
        <v>52.75</v>
      </c>
      <c r="K56" s="9" t="n">
        <f aca="false">ROUND(J56*I56,2)</f>
        <v>105.5</v>
      </c>
      <c r="L56" s="9" t="n">
        <v>52.8</v>
      </c>
      <c r="M56" s="9" t="n">
        <v>105.6</v>
      </c>
      <c r="N56" s="9" t="n">
        <f aca="false">ROUND(K56-M56,2)</f>
        <v>-0.1</v>
      </c>
      <c r="O56" s="10"/>
    </row>
    <row r="57" customFormat="false" ht="15" hidden="false" customHeight="false" outlineLevel="0" collapsed="false">
      <c r="A57" s="6" t="n">
        <v>53</v>
      </c>
      <c r="B57" s="6"/>
      <c r="C57" s="5" t="s">
        <v>99</v>
      </c>
      <c r="D57" s="5" t="s">
        <v>23</v>
      </c>
      <c r="E57" s="6" t="n">
        <v>2100</v>
      </c>
      <c r="F57" s="6" t="n">
        <v>320</v>
      </c>
      <c r="G57" s="7"/>
      <c r="H57" s="6" t="n">
        <v>32</v>
      </c>
      <c r="I57" s="8" t="n">
        <v>2</v>
      </c>
      <c r="J57" s="9" t="n">
        <f aca="false">ROUND(IF(G57&gt;0,G57*H57*7.85,E57*F57*H57*7.85/1000000),2)</f>
        <v>168.81</v>
      </c>
      <c r="K57" s="9" t="n">
        <f aca="false">ROUND(J57*I57,2)</f>
        <v>337.62</v>
      </c>
      <c r="L57" s="9" t="n">
        <v>168.3</v>
      </c>
      <c r="M57" s="9" t="n">
        <v>336.6</v>
      </c>
      <c r="N57" s="9" t="n">
        <f aca="false">ROUND(K57-M57,2)</f>
        <v>1.02</v>
      </c>
      <c r="O57" s="10"/>
    </row>
    <row r="58" customFormat="false" ht="15" hidden="false" customHeight="false" outlineLevel="0" collapsed="false">
      <c r="A58" s="6" t="n">
        <v>54</v>
      </c>
      <c r="B58" s="6"/>
      <c r="C58" s="5" t="s">
        <v>100</v>
      </c>
      <c r="D58" s="5" t="s">
        <v>23</v>
      </c>
      <c r="E58" s="6" t="n">
        <v>2100</v>
      </c>
      <c r="F58" s="6" t="n">
        <v>320</v>
      </c>
      <c r="G58" s="7"/>
      <c r="H58" s="6" t="n">
        <v>32</v>
      </c>
      <c r="I58" s="8" t="n">
        <v>2</v>
      </c>
      <c r="J58" s="9" t="n">
        <f aca="false">ROUND(IF(G58&gt;0,G58*H58*7.85,E58*F58*H58*7.85/1000000),2)</f>
        <v>168.81</v>
      </c>
      <c r="K58" s="9" t="n">
        <f aca="false">ROUND(J58*I58,2)</f>
        <v>337.62</v>
      </c>
      <c r="L58" s="9" t="n">
        <v>168.3</v>
      </c>
      <c r="M58" s="9" t="n">
        <v>336.6</v>
      </c>
      <c r="N58" s="9" t="n">
        <f aca="false">ROUND(K58-M58,2)</f>
        <v>1.02</v>
      </c>
      <c r="O58" s="10"/>
    </row>
    <row r="59" customFormat="false" ht="15" hidden="false" customHeight="true" outlineLevel="0" collapsed="false">
      <c r="A59" s="6" t="n">
        <v>55</v>
      </c>
      <c r="B59" s="6" t="s">
        <v>101</v>
      </c>
      <c r="C59" s="5" t="s">
        <v>102</v>
      </c>
      <c r="D59" s="5" t="s">
        <v>23</v>
      </c>
      <c r="E59" s="6" t="n">
        <v>1980</v>
      </c>
      <c r="F59" s="6" t="n">
        <v>610</v>
      </c>
      <c r="G59" s="7"/>
      <c r="H59" s="6" t="n">
        <v>16</v>
      </c>
      <c r="I59" s="8" t="n">
        <v>6</v>
      </c>
      <c r="J59" s="9" t="n">
        <f aca="false">ROUND(IF(G59&gt;0,G59*H59*7.85,E59*F59*H59*7.85/1000000),2)</f>
        <v>151.7</v>
      </c>
      <c r="K59" s="9" t="n">
        <f aca="false">ROUND(J59*I59,2)</f>
        <v>910.2</v>
      </c>
      <c r="L59" s="9" t="n">
        <v>152</v>
      </c>
      <c r="M59" s="9" t="n">
        <v>912</v>
      </c>
      <c r="N59" s="9" t="n">
        <f aca="false">ROUND(K59-M59,2)</f>
        <v>-1.8</v>
      </c>
      <c r="O59" s="10"/>
    </row>
    <row r="60" customFormat="false" ht="15" hidden="false" customHeight="false" outlineLevel="0" collapsed="false">
      <c r="A60" s="6" t="n">
        <v>56</v>
      </c>
      <c r="B60" s="6"/>
      <c r="C60" s="5" t="s">
        <v>103</v>
      </c>
      <c r="D60" s="5" t="s">
        <v>23</v>
      </c>
      <c r="E60" s="6" t="n">
        <v>1980</v>
      </c>
      <c r="F60" s="6" t="n">
        <v>650</v>
      </c>
      <c r="G60" s="7"/>
      <c r="H60" s="6" t="n">
        <v>16</v>
      </c>
      <c r="I60" s="8" t="n">
        <v>2</v>
      </c>
      <c r="J60" s="9" t="n">
        <f aca="false">ROUND(IF(G60&gt;0,G60*H60*7.85,E60*F60*H60*7.85/1000000),2)</f>
        <v>161.65</v>
      </c>
      <c r="K60" s="9" t="n">
        <f aca="false">ROUND(J60*I60,2)</f>
        <v>323.3</v>
      </c>
      <c r="L60" s="9" t="n">
        <v>162</v>
      </c>
      <c r="M60" s="9" t="n">
        <v>324</v>
      </c>
      <c r="N60" s="9" t="n">
        <f aca="false">ROUND(K60-M60,2)</f>
        <v>-0.7</v>
      </c>
      <c r="O60" s="10"/>
    </row>
    <row r="61" customFormat="false" ht="15" hidden="false" customHeight="false" outlineLevel="0" collapsed="false">
      <c r="A61" s="6" t="n">
        <v>57</v>
      </c>
      <c r="B61" s="6"/>
      <c r="C61" s="5" t="s">
        <v>104</v>
      </c>
      <c r="D61" s="5" t="s">
        <v>23</v>
      </c>
      <c r="E61" s="6" t="n">
        <v>1980</v>
      </c>
      <c r="F61" s="6" t="n">
        <v>622</v>
      </c>
      <c r="G61" s="7"/>
      <c r="H61" s="6" t="n">
        <v>16</v>
      </c>
      <c r="I61" s="8" t="n">
        <v>4</v>
      </c>
      <c r="J61" s="9" t="n">
        <f aca="false">ROUND(IF(G61&gt;0,G61*H61*7.85,E61*F61*H61*7.85/1000000),2)</f>
        <v>154.68</v>
      </c>
      <c r="K61" s="9" t="n">
        <f aca="false">ROUND(J61*I61,2)</f>
        <v>618.72</v>
      </c>
      <c r="L61" s="9" t="n">
        <v>154.5</v>
      </c>
      <c r="M61" s="9" t="n">
        <v>618</v>
      </c>
      <c r="N61" s="9" t="n">
        <f aca="false">ROUND(K61-M61,2)</f>
        <v>0.72</v>
      </c>
      <c r="O61" s="10"/>
    </row>
    <row r="62" customFormat="false" ht="15" hidden="false" customHeight="false" outlineLevel="0" collapsed="false">
      <c r="A62" s="6" t="n">
        <v>58</v>
      </c>
      <c r="B62" s="6"/>
      <c r="C62" s="5" t="s">
        <v>105</v>
      </c>
      <c r="D62" s="5" t="s">
        <v>23</v>
      </c>
      <c r="E62" s="6"/>
      <c r="F62" s="6"/>
      <c r="G62" s="7" t="n">
        <v>0.47</v>
      </c>
      <c r="H62" s="6" t="n">
        <v>24</v>
      </c>
      <c r="I62" s="8" t="n">
        <v>6</v>
      </c>
      <c r="J62" s="9" t="n">
        <f aca="false">ROUND(IF(G62&gt;0,G62*H62*7.85,E62*F62*H62*7.85/1000000),2)</f>
        <v>88.55</v>
      </c>
      <c r="K62" s="9" t="n">
        <f aca="false">ROUND(J62*I62,2)</f>
        <v>531.3</v>
      </c>
      <c r="L62" s="9" t="n">
        <v>88.4</v>
      </c>
      <c r="M62" s="9" t="n">
        <v>530.4</v>
      </c>
      <c r="N62" s="9" t="n">
        <f aca="false">ROUND(K62-M62,2)</f>
        <v>0.9</v>
      </c>
      <c r="O62" s="10" t="s">
        <v>106</v>
      </c>
    </row>
    <row r="63" customFormat="false" ht="15" hidden="false" customHeight="false" outlineLevel="0" collapsed="false">
      <c r="A63" s="6" t="n">
        <v>59</v>
      </c>
      <c r="B63" s="6"/>
      <c r="C63" s="5" t="s">
        <v>107</v>
      </c>
      <c r="D63" s="5" t="s">
        <v>23</v>
      </c>
      <c r="E63" s="6"/>
      <c r="F63" s="6"/>
      <c r="G63" s="7" t="n">
        <v>0.48</v>
      </c>
      <c r="H63" s="6" t="n">
        <v>24</v>
      </c>
      <c r="I63" s="8" t="n">
        <v>6</v>
      </c>
      <c r="J63" s="9" t="n">
        <f aca="false">ROUND(IF(G63&gt;0,G63*H63*7.85,E63*F63*H63*7.85/1000000),2)</f>
        <v>90.43</v>
      </c>
      <c r="K63" s="9" t="n">
        <f aca="false">ROUND(J63*I63,2)</f>
        <v>542.58</v>
      </c>
      <c r="L63" s="9" t="n">
        <v>90.4</v>
      </c>
      <c r="M63" s="9" t="n">
        <v>542.4</v>
      </c>
      <c r="N63" s="9" t="n">
        <f aca="false">ROUND(K63-M63,2)</f>
        <v>0.18</v>
      </c>
      <c r="O63" s="10" t="s">
        <v>108</v>
      </c>
    </row>
    <row r="64" customFormat="false" ht="15" hidden="false" customHeight="false" outlineLevel="0" collapsed="false">
      <c r="A64" s="6" t="n">
        <v>60</v>
      </c>
      <c r="B64" s="6"/>
      <c r="C64" s="5" t="s">
        <v>109</v>
      </c>
      <c r="D64" s="5" t="s">
        <v>23</v>
      </c>
      <c r="E64" s="6"/>
      <c r="F64" s="6"/>
      <c r="G64" s="7" t="n">
        <v>0.97</v>
      </c>
      <c r="H64" s="6" t="n">
        <v>24</v>
      </c>
      <c r="I64" s="8" t="n">
        <v>2</v>
      </c>
      <c r="J64" s="9" t="n">
        <f aca="false">ROUND(IF(G64&gt;0,G64*H64*7.85,E64*F64*H64*7.85/1000000),2)</f>
        <v>182.75</v>
      </c>
      <c r="K64" s="9" t="n">
        <f aca="false">ROUND(J64*I64,2)</f>
        <v>365.5</v>
      </c>
      <c r="L64" s="9" t="n">
        <v>182</v>
      </c>
      <c r="M64" s="9" t="n">
        <v>364</v>
      </c>
      <c r="N64" s="9" t="n">
        <f aca="false">ROUND(K64-M64,2)</f>
        <v>1.5</v>
      </c>
      <c r="O64" s="10" t="s">
        <v>110</v>
      </c>
    </row>
    <row r="65" customFormat="false" ht="15" hidden="false" customHeight="false" outlineLevel="0" collapsed="false">
      <c r="A65" s="6" t="n">
        <v>61</v>
      </c>
      <c r="B65" s="6"/>
      <c r="C65" s="5" t="s">
        <v>111</v>
      </c>
      <c r="D65" s="5" t="s">
        <v>23</v>
      </c>
      <c r="E65" s="6"/>
      <c r="F65" s="6"/>
      <c r="G65" s="7" t="n">
        <v>0.48</v>
      </c>
      <c r="H65" s="6" t="n">
        <v>24</v>
      </c>
      <c r="I65" s="8" t="n">
        <v>2</v>
      </c>
      <c r="J65" s="9" t="n">
        <f aca="false">ROUND(IF(G65&gt;0,G65*H65*7.85,E65*F65*H65*7.85/1000000),2)</f>
        <v>90.43</v>
      </c>
      <c r="K65" s="9" t="n">
        <f aca="false">ROUND(J65*I65,2)</f>
        <v>180.86</v>
      </c>
      <c r="L65" s="9" t="n">
        <v>90</v>
      </c>
      <c r="M65" s="9" t="n">
        <v>180</v>
      </c>
      <c r="N65" s="9" t="n">
        <f aca="false">ROUND(K65-M65,2)</f>
        <v>0.86</v>
      </c>
      <c r="O65" s="10" t="s">
        <v>108</v>
      </c>
    </row>
    <row r="66" customFormat="false" ht="15" hidden="false" customHeight="false" outlineLevel="0" collapsed="false">
      <c r="A66" s="6" t="n">
        <v>62</v>
      </c>
      <c r="B66" s="6"/>
      <c r="C66" s="5" t="s">
        <v>112</v>
      </c>
      <c r="D66" s="5" t="s">
        <v>23</v>
      </c>
      <c r="E66" s="6" t="n">
        <v>1800</v>
      </c>
      <c r="F66" s="6" t="n">
        <v>626</v>
      </c>
      <c r="G66" s="7"/>
      <c r="H66" s="6" t="n">
        <v>16</v>
      </c>
      <c r="I66" s="8" t="n">
        <v>8</v>
      </c>
      <c r="J66" s="9" t="n">
        <f aca="false">ROUND(IF(G66&gt;0,G66*H66*7.85,E66*F66*H66*7.85/1000000),2)</f>
        <v>141.53</v>
      </c>
      <c r="K66" s="9" t="n">
        <f aca="false">ROUND(J66*I66,2)</f>
        <v>1132.24</v>
      </c>
      <c r="L66" s="9" t="n">
        <v>141.9</v>
      </c>
      <c r="M66" s="9" t="n">
        <v>1135.2</v>
      </c>
      <c r="N66" s="9" t="n">
        <f aca="false">ROUND(K66-M66,2)</f>
        <v>-2.96</v>
      </c>
      <c r="O66" s="10"/>
    </row>
    <row r="67" customFormat="false" ht="15" hidden="false" customHeight="false" outlineLevel="0" collapsed="false">
      <c r="A67" s="6" t="n">
        <v>63</v>
      </c>
      <c r="B67" s="6"/>
      <c r="C67" s="5" t="s">
        <v>113</v>
      </c>
      <c r="D67" s="5" t="s">
        <v>23</v>
      </c>
      <c r="E67" s="6" t="n">
        <v>1800</v>
      </c>
      <c r="F67" s="6" t="n">
        <v>610</v>
      </c>
      <c r="G67" s="7"/>
      <c r="H67" s="6" t="n">
        <v>28</v>
      </c>
      <c r="I67" s="8" t="n">
        <v>4</v>
      </c>
      <c r="J67" s="9" t="n">
        <f aca="false">ROUND(IF(G67&gt;0,G67*H67*7.85,E67*F67*H67*7.85/1000000),2)</f>
        <v>241.34</v>
      </c>
      <c r="K67" s="9" t="n">
        <f aca="false">ROUND(J67*I67,2)</f>
        <v>965.36</v>
      </c>
      <c r="L67" s="9" t="n">
        <v>241.8</v>
      </c>
      <c r="M67" s="9" t="n">
        <v>967.2</v>
      </c>
      <c r="N67" s="9" t="n">
        <f aca="false">ROUND(K67-M67,2)</f>
        <v>-1.84</v>
      </c>
      <c r="O67" s="10"/>
    </row>
    <row r="68" customFormat="false" ht="15" hidden="false" customHeight="true" outlineLevel="0" collapsed="false">
      <c r="A68" s="6" t="n">
        <v>64</v>
      </c>
      <c r="B68" s="6" t="s">
        <v>114</v>
      </c>
      <c r="C68" s="5" t="s">
        <v>115</v>
      </c>
      <c r="D68" s="5" t="s">
        <v>23</v>
      </c>
      <c r="E68" s="6" t="n">
        <v>1800</v>
      </c>
      <c r="F68" s="6" t="n">
        <v>1200</v>
      </c>
      <c r="G68" s="7"/>
      <c r="H68" s="6" t="n">
        <v>32</v>
      </c>
      <c r="I68" s="8" t="n">
        <v>4</v>
      </c>
      <c r="J68" s="9" t="n">
        <f aca="false">ROUND(IF(G68&gt;0,G68*H68*7.85,E68*F68*H68*7.85/1000000),2)</f>
        <v>542.59</v>
      </c>
      <c r="K68" s="9" t="n">
        <f aca="false">ROUND(J68*I68,2)</f>
        <v>2170.36</v>
      </c>
      <c r="L68" s="9" t="n">
        <v>542.6</v>
      </c>
      <c r="M68" s="9" t="n">
        <v>2170.4</v>
      </c>
      <c r="N68" s="9" t="n">
        <f aca="false">ROUND(K68-M68,2)</f>
        <v>-0.04</v>
      </c>
      <c r="O68" s="10"/>
    </row>
    <row r="69" customFormat="false" ht="15" hidden="false" customHeight="false" outlineLevel="0" collapsed="false">
      <c r="A69" s="6" t="n">
        <v>65</v>
      </c>
      <c r="B69" s="6"/>
      <c r="C69" s="5" t="s">
        <v>116</v>
      </c>
      <c r="D69" s="5" t="s">
        <v>23</v>
      </c>
      <c r="E69" s="6" t="n">
        <v>502</v>
      </c>
      <c r="F69" s="6" t="n">
        <v>240</v>
      </c>
      <c r="G69" s="7"/>
      <c r="H69" s="6" t="n">
        <v>20</v>
      </c>
      <c r="I69" s="8" t="n">
        <v>2</v>
      </c>
      <c r="J69" s="9" t="n">
        <f aca="false">ROUND(IF(G69&gt;0,G69*H69*7.85,E69*F69*H69*7.85/1000000),2)</f>
        <v>18.92</v>
      </c>
      <c r="K69" s="9" t="n">
        <f aca="false">ROUND(J69*I69,2)</f>
        <v>37.84</v>
      </c>
      <c r="L69" s="9" t="n">
        <v>18.8</v>
      </c>
      <c r="M69" s="9" t="n">
        <v>37.6</v>
      </c>
      <c r="N69" s="9" t="n">
        <f aca="false">ROUND(K69-M69,2)</f>
        <v>0.24</v>
      </c>
      <c r="O69" s="10"/>
    </row>
    <row r="70" customFormat="false" ht="15" hidden="false" customHeight="false" outlineLevel="0" collapsed="false">
      <c r="A70" s="6" t="n">
        <v>66</v>
      </c>
      <c r="B70" s="6"/>
      <c r="C70" s="5" t="s">
        <v>117</v>
      </c>
      <c r="D70" s="5" t="s">
        <v>23</v>
      </c>
      <c r="E70" s="6" t="n">
        <v>1800</v>
      </c>
      <c r="F70" s="6" t="n">
        <v>1800</v>
      </c>
      <c r="G70" s="7"/>
      <c r="H70" s="6" t="n">
        <v>100</v>
      </c>
      <c r="I70" s="8" t="n">
        <v>1</v>
      </c>
      <c r="J70" s="9" t="n">
        <f aca="false">ROUND(IF(G70&gt;0,G70*H70*7.85,E70*F70*H70*7.85/1000000),2)</f>
        <v>2543.4</v>
      </c>
      <c r="K70" s="9" t="n">
        <f aca="false">ROUND(J70*I70,2)</f>
        <v>2543.4</v>
      </c>
      <c r="L70" s="9" t="n">
        <v>2543.4</v>
      </c>
      <c r="M70" s="9" t="n">
        <v>2543.4</v>
      </c>
      <c r="N70" s="9" t="n">
        <f aca="false">ROUND(K70-M70,2)</f>
        <v>0</v>
      </c>
      <c r="O70" s="10"/>
    </row>
    <row r="71" customFormat="false" ht="15" hidden="false" customHeight="false" outlineLevel="0" collapsed="false">
      <c r="A71" s="6" t="n">
        <v>67</v>
      </c>
      <c r="B71" s="6"/>
      <c r="C71" s="5" t="s">
        <v>118</v>
      </c>
      <c r="D71" s="5" t="s">
        <v>23</v>
      </c>
      <c r="E71" s="6" t="n">
        <v>1000</v>
      </c>
      <c r="F71" s="6" t="n">
        <v>568</v>
      </c>
      <c r="G71" s="7"/>
      <c r="H71" s="6" t="n">
        <v>32</v>
      </c>
      <c r="I71" s="8" t="n">
        <v>3</v>
      </c>
      <c r="J71" s="9" t="n">
        <f aca="false">ROUND(IF(G71&gt;0,G71*H71*7.85,E71*F71*H71*7.85/1000000),2)</f>
        <v>142.68</v>
      </c>
      <c r="K71" s="9" t="n">
        <f aca="false">ROUND(J71*I71,2)</f>
        <v>428.04</v>
      </c>
      <c r="L71" s="9" t="n">
        <v>143.2</v>
      </c>
      <c r="M71" s="9" t="n">
        <v>429.6</v>
      </c>
      <c r="N71" s="9" t="n">
        <f aca="false">ROUND(K71-M71,2)</f>
        <v>-1.56</v>
      </c>
      <c r="O71" s="10"/>
    </row>
    <row r="72" customFormat="false" ht="15" hidden="false" customHeight="false" outlineLevel="0" collapsed="false">
      <c r="A72" s="6" t="n">
        <v>68</v>
      </c>
      <c r="B72" s="6"/>
      <c r="C72" s="5" t="s">
        <v>119</v>
      </c>
      <c r="D72" s="5" t="s">
        <v>23</v>
      </c>
      <c r="E72" s="6" t="n">
        <v>1350</v>
      </c>
      <c r="F72" s="6" t="n">
        <v>570</v>
      </c>
      <c r="G72" s="7"/>
      <c r="H72" s="6" t="n">
        <v>32</v>
      </c>
      <c r="I72" s="8" t="n">
        <v>4</v>
      </c>
      <c r="J72" s="9" t="n">
        <f aca="false">ROUND(IF(G72&gt;0,G72*H72*7.85,E72*F72*H72*7.85/1000000),2)</f>
        <v>193.3</v>
      </c>
      <c r="K72" s="9" t="n">
        <f aca="false">ROUND(J72*I72,2)</f>
        <v>773.2</v>
      </c>
      <c r="L72" s="9" t="n">
        <v>193.4</v>
      </c>
      <c r="M72" s="9" t="n">
        <v>773.6</v>
      </c>
      <c r="N72" s="9" t="n">
        <f aca="false">ROUND(K72-M72,2)</f>
        <v>-0.4</v>
      </c>
      <c r="O72" s="10"/>
    </row>
    <row r="73" customFormat="false" ht="28.55" hidden="false" customHeight="true" outlineLevel="0" collapsed="false">
      <c r="A73" s="11" t="s">
        <v>120</v>
      </c>
      <c r="B73" s="11"/>
      <c r="C73" s="11"/>
      <c r="D73" s="11"/>
      <c r="E73" s="11"/>
      <c r="F73" s="11"/>
      <c r="G73" s="11"/>
      <c r="H73" s="11"/>
      <c r="I73" s="12"/>
      <c r="J73" s="13" t="n">
        <f aca="false">ROUND(SUM(J5:J72),2)</f>
        <v>79874.19</v>
      </c>
      <c r="K73" s="13" t="n">
        <f aca="false">ROUND(SUM(K5:K72),2)</f>
        <v>121958.99</v>
      </c>
      <c r="L73" s="12"/>
      <c r="M73" s="13" t="n">
        <f aca="false">ROUND(SUM(M5:M72),2)</f>
        <v>121975.6</v>
      </c>
      <c r="N73" s="13" t="n">
        <f aca="false">ROUND(K73-M73,2)</f>
        <v>-16.61</v>
      </c>
      <c r="O73" s="14" t="s">
        <v>121</v>
      </c>
    </row>
  </sheetData>
  <mergeCells count="16">
    <mergeCell ref="A1:O1"/>
    <mergeCell ref="A2:O2"/>
    <mergeCell ref="B7:B8"/>
    <mergeCell ref="B9:B12"/>
    <mergeCell ref="B13:B17"/>
    <mergeCell ref="B18:B19"/>
    <mergeCell ref="B20:B21"/>
    <mergeCell ref="B24:B26"/>
    <mergeCell ref="B27:B32"/>
    <mergeCell ref="B33:B46"/>
    <mergeCell ref="B47:B48"/>
    <mergeCell ref="B51:B53"/>
    <mergeCell ref="B54:B58"/>
    <mergeCell ref="B59:B67"/>
    <mergeCell ref="B68:B72"/>
    <mergeCell ref="A73:H7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10.01"/>
    <col collapsed="false" customWidth="true" hidden="false" outlineLevel="0" max="2" min="2" style="0" width="7.28"/>
    <col collapsed="false" customWidth="true" hidden="false" outlineLevel="0" max="4" min="3" style="0" width="11.83"/>
    <col collapsed="false" customWidth="true" hidden="false" outlineLevel="0" max="5" min="5" style="0" width="10.01"/>
    <col collapsed="false" customWidth="true" hidden="false" outlineLevel="0" max="6" min="6" style="0" width="8.19"/>
    <col collapsed="false" customWidth="true" hidden="false" outlineLevel="0" max="7" min="7" style="0" width="38.21"/>
    <col collapsed="false" customWidth="true" hidden="false" outlineLevel="0" max="8" min="8" style="0" width="3.64"/>
  </cols>
  <sheetData>
    <row r="1" customFormat="false" ht="19.9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123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124</v>
      </c>
      <c r="B4" s="3" t="s">
        <v>5</v>
      </c>
      <c r="C4" s="3" t="s">
        <v>125</v>
      </c>
      <c r="D4" s="3" t="s">
        <v>126</v>
      </c>
      <c r="E4" s="3" t="s">
        <v>127</v>
      </c>
      <c r="F4" s="3" t="s">
        <v>128</v>
      </c>
      <c r="G4" s="3" t="s">
        <v>129</v>
      </c>
      <c r="H4" s="3"/>
    </row>
    <row r="5" customFormat="false" ht="15" hidden="false" customHeight="false" outlineLevel="0" collapsed="false">
      <c r="A5" s="6" t="n">
        <v>100</v>
      </c>
      <c r="B5" s="5" t="s">
        <v>23</v>
      </c>
      <c r="C5" s="15" t="n">
        <f aca="false">ROUND(SUMIF('节段01材料明细(计算)'!$H$5:$H$72,A5,'节段01材料明细(计算)'!$K$5:$K$72),2)</f>
        <v>2543.4</v>
      </c>
      <c r="D5" s="15" t="n">
        <f aca="false">ROUND(SUMIF('节段01材料明细(计算)'!$H$5:$H$72,A5,'节段01材料明细(计算)'!$M$5:$M$72),2)</f>
        <v>2543.4</v>
      </c>
      <c r="E5" s="15" t="n">
        <f aca="false">ROUND(C5-D5,2)</f>
        <v>0</v>
      </c>
      <c r="F5" s="16" t="n">
        <f aca="false">IF(D5=0,"",E5/D5)</f>
        <v>0</v>
      </c>
      <c r="G5" s="17" t="str">
        <f aca="false">IF(ABS(E5)&lt;0.1,"一致（舍入级）","差异原因待核（图纸未标注下料轮廓）")</f>
        <v>一致（舍入级）</v>
      </c>
      <c r="H5" s="17"/>
    </row>
    <row r="6" customFormat="false" ht="15" hidden="false" customHeight="false" outlineLevel="0" collapsed="false">
      <c r="A6" s="6" t="n">
        <v>40</v>
      </c>
      <c r="B6" s="5" t="s">
        <v>23</v>
      </c>
      <c r="C6" s="15" t="n">
        <f aca="false">ROUND(SUMIF('节段01材料明细(计算)'!$H$5:$H$72,A6,'节段01材料明细(计算)'!$K$5:$K$72),2)</f>
        <v>26583.24</v>
      </c>
      <c r="D6" s="15" t="n">
        <f aca="false">ROUND(SUMIF('节段01材料明细(计算)'!$H$5:$H$72,A6,'节段01材料明细(计算)'!$M$5:$M$72),2)</f>
        <v>26583.2</v>
      </c>
      <c r="E6" s="15" t="n">
        <f aca="false">ROUND(C6-D6,2)</f>
        <v>0.04</v>
      </c>
      <c r="F6" s="16" t="n">
        <f aca="false">IF(D6=0,"",E6/D6)</f>
        <v>1.50470974149087E-006</v>
      </c>
      <c r="G6" s="17" t="str">
        <f aca="false">IF(ABS(E6)&lt;0.1,"一致（舍入级）","差异原因待核（图纸未标注下料轮廓）")</f>
        <v>一致（舍入级）</v>
      </c>
      <c r="H6" s="17"/>
    </row>
    <row r="7" customFormat="false" ht="15" hidden="false" customHeight="false" outlineLevel="0" collapsed="false">
      <c r="A7" s="6" t="n">
        <v>36</v>
      </c>
      <c r="B7" s="5" t="s">
        <v>23</v>
      </c>
      <c r="C7" s="15" t="n">
        <f aca="false">ROUND(SUMIF('节段01材料明细(计算)'!$H$5:$H$72,A7,'节段01材料明细(计算)'!$K$5:$K$72),2)</f>
        <v>28143.17</v>
      </c>
      <c r="D7" s="15" t="n">
        <f aca="false">ROUND(SUMIF('节段01材料明细(计算)'!$H$5:$H$72,A7,'节段01材料明细(计算)'!$M$5:$M$72),2)</f>
        <v>28146.9</v>
      </c>
      <c r="E7" s="15" t="n">
        <f aca="false">ROUND(C7-D7,2)</f>
        <v>-3.73</v>
      </c>
      <c r="F7" s="16" t="n">
        <f aca="false">IF(D7=0,"",E7/D7)</f>
        <v>-0.000132519034067695</v>
      </c>
      <c r="G7" s="17" t="str">
        <f aca="false">IF(ABS(E7)&lt;0.1,"一致（舍入级）","差异原因待核（图纸未标注下料轮廓）")</f>
        <v>差异原因待核（图纸未标注下料轮廓）</v>
      </c>
      <c r="H7" s="17"/>
    </row>
    <row r="8" customFormat="false" ht="15" hidden="false" customHeight="false" outlineLevel="0" collapsed="false">
      <c r="A8" s="6" t="n">
        <v>32</v>
      </c>
      <c r="B8" s="5" t="s">
        <v>23</v>
      </c>
      <c r="C8" s="15" t="n">
        <f aca="false">ROUND(SUMIF('节段01材料明细(计算)'!$H$5:$H$72,A8,'节段01材料明细(计算)'!$K$5:$K$72),2)</f>
        <v>10529.33</v>
      </c>
      <c r="D8" s="15" t="n">
        <f aca="false">ROUND(SUMIF('节段01材料明细(计算)'!$H$5:$H$72,A8,'节段01材料明细(计算)'!$M$5:$M$72),2)</f>
        <v>10530.3</v>
      </c>
      <c r="E8" s="15" t="n">
        <f aca="false">ROUND(C8-D8,2)</f>
        <v>-0.97</v>
      </c>
      <c r="F8" s="16" t="n">
        <f aca="false">IF(D8=0,"",E8/D8)</f>
        <v>-9.21151344216214E-005</v>
      </c>
      <c r="G8" s="17" t="str">
        <f aca="false">IF(ABS(E8)&lt;0.1,"一致（舍入级）","差异原因待核（图纸未标注下料轮廓）")</f>
        <v>差异原因待核（图纸未标注下料轮廓）</v>
      </c>
      <c r="H8" s="17"/>
    </row>
    <row r="9" customFormat="false" ht="15" hidden="false" customHeight="false" outlineLevel="0" collapsed="false">
      <c r="A9" s="6" t="n">
        <v>28</v>
      </c>
      <c r="B9" s="5" t="s">
        <v>23</v>
      </c>
      <c r="C9" s="15" t="n">
        <f aca="false">ROUND(SUMIF('节段01材料明细(计算)'!$H$5:$H$72,A9,'节段01材料明细(计算)'!$K$5:$K$72),2)</f>
        <v>6807.64</v>
      </c>
      <c r="D9" s="15" t="n">
        <f aca="false">ROUND(SUMIF('节段01材料明细(计算)'!$H$5:$H$72,A9,'节段01材料明细(计算)'!$M$5:$M$72),2)</f>
        <v>6809.6</v>
      </c>
      <c r="E9" s="15" t="n">
        <f aca="false">ROUND(C9-D9,2)</f>
        <v>-1.96</v>
      </c>
      <c r="F9" s="16" t="n">
        <f aca="false">IF(D9=0,"",E9/D9)</f>
        <v>-0.000287828947368421</v>
      </c>
      <c r="G9" s="17" t="str">
        <f aca="false">IF(ABS(E9)&lt;0.1,"一致（舍入级）","差异原因待核（图纸未标注下料轮廓）")</f>
        <v>差异原因待核（图纸未标注下料轮廓）</v>
      </c>
      <c r="H9" s="17"/>
    </row>
    <row r="10" customFormat="false" ht="15" hidden="false" customHeight="false" outlineLevel="0" collapsed="false">
      <c r="A10" s="6" t="n">
        <v>24</v>
      </c>
      <c r="B10" s="5" t="s">
        <v>23</v>
      </c>
      <c r="C10" s="15" t="n">
        <f aca="false">ROUND(SUMIF('节段01材料明细(计算)'!$H$5:$H$72,A10,'节段01材料明细(计算)'!$K$5:$K$72),2)</f>
        <v>8778.46</v>
      </c>
      <c r="D10" s="15" t="n">
        <f aca="false">ROUND(SUMIF('节段01材料明细(计算)'!$H$5:$H$72,A10,'节段01材料明细(计算)'!$M$5:$M$72),2)</f>
        <v>8776</v>
      </c>
      <c r="E10" s="15" t="n">
        <f aca="false">ROUND(C10-D10,2)</f>
        <v>2.46</v>
      </c>
      <c r="F10" s="16" t="n">
        <f aca="false">IF(D10=0,"",E10/D10)</f>
        <v>0.000280309936189608</v>
      </c>
      <c r="G10" s="17" t="str">
        <f aca="false">IF(ABS(E10)&lt;0.1,"一致（舍入级）","差异原因待核（图纸未标注下料轮廓）")</f>
        <v>差异原因待核（图纸未标注下料轮廓）</v>
      </c>
      <c r="H10" s="17"/>
    </row>
    <row r="11" customFormat="false" ht="15" hidden="false" customHeight="false" outlineLevel="0" collapsed="false">
      <c r="A11" s="6" t="n">
        <v>20</v>
      </c>
      <c r="B11" s="5" t="s">
        <v>23</v>
      </c>
      <c r="C11" s="15" t="n">
        <f aca="false">ROUND(SUMIF('节段01材料明细(计算)'!$H$5:$H$72,A11,'节段01材料明细(计算)'!$K$5:$K$72),2)</f>
        <v>29009.33</v>
      </c>
      <c r="D11" s="15" t="n">
        <f aca="false">ROUND(SUMIF('节段01材料明细(计算)'!$H$5:$H$72,A11,'节段01材料明细(计算)'!$M$5:$M$72),2)</f>
        <v>29015.2</v>
      </c>
      <c r="E11" s="15" t="n">
        <f aca="false">ROUND(C11-D11,2)</f>
        <v>-5.87</v>
      </c>
      <c r="F11" s="16" t="n">
        <f aca="false">IF(D11=0,"",E11/D11)</f>
        <v>-0.00020230775593482</v>
      </c>
      <c r="G11" s="17" t="str">
        <f aca="false">IF(ABS(E11)&lt;0.1,"一致（舍入级）","差异原因待核（图纸未标注下料轮廓）")</f>
        <v>差异原因待核（图纸未标注下料轮廓）</v>
      </c>
      <c r="H11" s="17"/>
    </row>
    <row r="12" customFormat="false" ht="15" hidden="false" customHeight="false" outlineLevel="0" collapsed="false">
      <c r="A12" s="6" t="n">
        <v>16</v>
      </c>
      <c r="B12" s="5" t="s">
        <v>23</v>
      </c>
      <c r="C12" s="15" t="n">
        <f aca="false">ROUND(SUMIF('节段01材料明细(计算)'!$H$5:$H$72,A12,'节段01材料明细(计算)'!$K$5:$K$72),2)</f>
        <v>9072.2</v>
      </c>
      <c r="D12" s="15" t="n">
        <f aca="false">ROUND(SUMIF('节段01材料明细(计算)'!$H$5:$H$72,A12,'节段01材料明细(计算)'!$M$5:$M$72),2)</f>
        <v>9079.6</v>
      </c>
      <c r="E12" s="15" t="n">
        <f aca="false">ROUND(C12-D12,2)</f>
        <v>-7.4</v>
      </c>
      <c r="F12" s="16" t="n">
        <f aca="false">IF(D12=0,"",E12/D12)</f>
        <v>-0.000815013877263316</v>
      </c>
      <c r="G12" s="17" t="str">
        <f aca="false">IF(ABS(E12)&lt;0.1,"一致（舍入级）","差异原因待核（图纸未标注下料轮廓）")</f>
        <v>差异原因待核（图纸未标注下料轮廓）</v>
      </c>
      <c r="H12" s="17"/>
    </row>
    <row r="13" customFormat="false" ht="15" hidden="false" customHeight="false" outlineLevel="0" collapsed="false">
      <c r="A13" s="6" t="n">
        <v>14</v>
      </c>
      <c r="B13" s="5" t="s">
        <v>23</v>
      </c>
      <c r="C13" s="15" t="n">
        <f aca="false">ROUND(SUMIF('节段01材料明细(计算)'!$H$5:$H$72,A13,'节段01材料明细(计算)'!$K$5:$K$72),2)</f>
        <v>481.9</v>
      </c>
      <c r="D13" s="15" t="n">
        <f aca="false">ROUND(SUMIF('节段01材料明细(计算)'!$H$5:$H$72,A13,'节段01材料明细(计算)'!$M$5:$M$72),2)</f>
        <v>481.4</v>
      </c>
      <c r="E13" s="15" t="n">
        <f aca="false">ROUND(C13-D13,2)</f>
        <v>0.5</v>
      </c>
      <c r="F13" s="16" t="n">
        <f aca="false">IF(D13=0,"",E13/D13)</f>
        <v>0.0010386373078521</v>
      </c>
      <c r="G13" s="17" t="str">
        <f aca="false">IF(ABS(E13)&lt;0.1,"一致（舍入级）","差异原因待核（图纸未标注下料轮廓）")</f>
        <v>差异原因待核（图纸未标注下料轮廓）</v>
      </c>
      <c r="H13" s="17"/>
    </row>
    <row r="14" customFormat="false" ht="15" hidden="false" customHeight="false" outlineLevel="0" collapsed="false">
      <c r="A14" s="6" t="n">
        <v>4</v>
      </c>
      <c r="B14" s="5" t="s">
        <v>36</v>
      </c>
      <c r="C14" s="15" t="n">
        <f aca="false">ROUND(SUMIF('节段01材料明细(计算)'!$H$5:$H$72,A14,'节段01材料明细(计算)'!$K$5:$K$72),2)</f>
        <v>10.32</v>
      </c>
      <c r="D14" s="15" t="n">
        <f aca="false">ROUND(SUMIF('节段01材料明细(计算)'!$H$5:$H$72,A14,'节段01材料明细(计算)'!$M$5:$M$72),2)</f>
        <v>10</v>
      </c>
      <c r="E14" s="15" t="n">
        <f aca="false">ROUND(C14-D14,2)</f>
        <v>0.32</v>
      </c>
      <c r="F14" s="16" t="n">
        <f aca="false">IF(D14=0,"",E14/D14)</f>
        <v>0.032</v>
      </c>
      <c r="G14" s="17" t="str">
        <f aca="false">IF(ABS(E14)&lt;0.1,"一致（舍入级）","差异原因待核（图纸未标注下料轮廓）")</f>
        <v>差异原因待核（图纸未标注下料轮廓）</v>
      </c>
      <c r="H14" s="17"/>
    </row>
    <row r="15" customFormat="false" ht="15" hidden="false" customHeight="true" outlineLevel="0" collapsed="false">
      <c r="A15" s="12" t="s">
        <v>130</v>
      </c>
      <c r="B15" s="12"/>
      <c r="C15" s="13" t="n">
        <f aca="false">ROUND(SUM(C5:C14),2)</f>
        <v>121958.99</v>
      </c>
      <c r="D15" s="13" t="n">
        <f aca="false">ROUND(SUM(D5:D14),2)</f>
        <v>121975.6</v>
      </c>
      <c r="E15" s="13" t="n">
        <f aca="false">ROUND(C15-D15,2)</f>
        <v>-16.61</v>
      </c>
      <c r="F15" s="18" t="n">
        <f aca="false">IF(D15=0,"",E15/D15)</f>
        <v>-0.000136174775938794</v>
      </c>
      <c r="G15" s="14" t="s">
        <v>131</v>
      </c>
      <c r="H15" s="14"/>
    </row>
    <row r="16" customFormat="false" ht="15" hidden="false" customHeight="true" outlineLevel="0" collapsed="false">
      <c r="A16" s="19" t="s">
        <v>132</v>
      </c>
      <c r="B16" s="19"/>
      <c r="C16" s="20" t="n">
        <f aca="false">ROUND(C15*0.015,2)</f>
        <v>1829.38</v>
      </c>
      <c r="D16" s="20" t="n">
        <f aca="false">ROUND(D15*0.015,2)</f>
        <v>1829.63</v>
      </c>
      <c r="E16" s="20" t="n">
        <f aca="false">ROUND(C16-D16,2)</f>
        <v>-0.25</v>
      </c>
      <c r="F16" s="21" t="n">
        <f aca="false">IF(D16=0,"",E16/D16)</f>
        <v>-0.000136639648453512</v>
      </c>
      <c r="G16" s="22" t="s">
        <v>133</v>
      </c>
      <c r="H16" s="22"/>
    </row>
    <row r="17" customFormat="false" ht="15" hidden="false" customHeight="true" outlineLevel="0" collapsed="false">
      <c r="A17" s="12" t="s">
        <v>134</v>
      </c>
      <c r="B17" s="12"/>
      <c r="C17" s="13" t="n">
        <f aca="false">ROUND(C15+C16,2)</f>
        <v>123788.37</v>
      </c>
      <c r="D17" s="13" t="n">
        <f aca="false">ROUND(D15+D16,2)</f>
        <v>123805.23</v>
      </c>
      <c r="E17" s="13" t="n">
        <f aca="false">ROUND(C17-D17,2)</f>
        <v>-16.86</v>
      </c>
      <c r="F17" s="18" t="n">
        <f aca="false">IF(D17=0,"",E17/D17)</f>
        <v>-0.00013618164596116</v>
      </c>
      <c r="G17" s="14" t="s">
        <v>135</v>
      </c>
      <c r="H17" s="14"/>
    </row>
  </sheetData>
  <mergeCells count="19">
    <mergeCell ref="A1:H1"/>
    <mergeCell ref="A2:H2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A15:B15"/>
    <mergeCell ref="G15:H15"/>
    <mergeCell ref="A16:B16"/>
    <mergeCell ref="G16:H16"/>
    <mergeCell ref="A17:B17"/>
    <mergeCell ref="G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59375" defaultRowHeight="15" customHeight="false" zeroHeight="false" outlineLevelRow="0" outlineLevelCol="0"/>
  <cols>
    <col collapsed="false" customWidth="true" hidden="false" outlineLevel="0" max="1" min="1" style="0" width="54.59"/>
    <col collapsed="false" customWidth="true" hidden="false" outlineLevel="0" max="2" min="2" style="0" width="14.56"/>
    <col collapsed="false" customWidth="true" hidden="false" outlineLevel="0" max="6" min="3" style="0" width="10.92"/>
  </cols>
  <sheetData>
    <row r="1" customFormat="false" ht="19.9" hidden="false" customHeight="true" outlineLevel="0" collapsed="false">
      <c r="A1" s="1" t="s">
        <v>136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3" t="s">
        <v>137</v>
      </c>
      <c r="B3" s="23"/>
      <c r="C3" s="23"/>
      <c r="D3" s="23"/>
      <c r="E3" s="23"/>
      <c r="F3" s="23"/>
    </row>
    <row r="4" customFormat="false" ht="28.55" hidden="false" customHeight="true" outlineLevel="0" collapsed="false">
      <c r="A4" s="2" t="s">
        <v>138</v>
      </c>
      <c r="B4" s="2"/>
      <c r="C4" s="2"/>
      <c r="D4" s="2"/>
      <c r="E4" s="2"/>
      <c r="F4" s="2"/>
    </row>
    <row r="5" customFormat="false" ht="15" hidden="false" customHeight="true" outlineLevel="0" collapsed="false">
      <c r="A5" s="2" t="s">
        <v>139</v>
      </c>
      <c r="B5" s="2"/>
      <c r="C5" s="2"/>
      <c r="D5" s="2"/>
      <c r="E5" s="2"/>
      <c r="F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</row>
    <row r="7" customFormat="false" ht="15" hidden="false" customHeight="true" outlineLevel="0" collapsed="false">
      <c r="A7" s="23" t="s">
        <v>140</v>
      </c>
      <c r="B7" s="23"/>
      <c r="C7" s="23"/>
      <c r="D7" s="23"/>
      <c r="E7" s="23"/>
      <c r="F7" s="23"/>
    </row>
    <row r="8" customFormat="false" ht="15" hidden="false" customHeight="true" outlineLevel="0" collapsed="false">
      <c r="A8" s="2" t="s">
        <v>141</v>
      </c>
      <c r="B8" s="2"/>
      <c r="C8" s="2"/>
      <c r="D8" s="2"/>
      <c r="E8" s="2"/>
      <c r="F8" s="2"/>
    </row>
    <row r="9" customFormat="false" ht="15" hidden="false" customHeight="true" outlineLevel="0" collapsed="false">
      <c r="A9" s="2" t="s">
        <v>142</v>
      </c>
      <c r="B9" s="2"/>
      <c r="C9" s="2"/>
      <c r="D9" s="2"/>
      <c r="E9" s="2"/>
      <c r="F9" s="2"/>
    </row>
    <row r="10" customFormat="false" ht="15" hidden="false" customHeight="true" outlineLevel="0" collapsed="false">
      <c r="A10" s="2" t="s">
        <v>143</v>
      </c>
      <c r="B10" s="2"/>
      <c r="C10" s="2"/>
      <c r="D10" s="2"/>
      <c r="E10" s="2"/>
      <c r="F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</row>
    <row r="12" customFormat="false" ht="15" hidden="false" customHeight="true" outlineLevel="0" collapsed="false">
      <c r="A12" s="23" t="s">
        <v>144</v>
      </c>
      <c r="B12" s="23"/>
      <c r="C12" s="23"/>
      <c r="D12" s="23"/>
      <c r="E12" s="23"/>
      <c r="F12" s="23"/>
    </row>
    <row r="13" customFormat="false" ht="15" hidden="false" customHeight="true" outlineLevel="0" collapsed="false">
      <c r="A13" s="2" t="s">
        <v>145</v>
      </c>
      <c r="B13" s="2"/>
      <c r="C13" s="2"/>
      <c r="D13" s="2"/>
      <c r="E13" s="2"/>
      <c r="F13" s="2"/>
    </row>
    <row r="14" customFormat="false" ht="15" hidden="false" customHeight="true" outlineLevel="0" collapsed="false">
      <c r="A14" s="2" t="s">
        <v>146</v>
      </c>
      <c r="B14" s="2"/>
      <c r="C14" s="2"/>
      <c r="D14" s="2"/>
      <c r="E14" s="2"/>
      <c r="F14" s="2"/>
    </row>
    <row r="15" customFormat="false" ht="15" hidden="false" customHeight="true" outlineLevel="0" collapsed="false">
      <c r="A15" s="2" t="s">
        <v>147</v>
      </c>
      <c r="B15" s="2"/>
      <c r="C15" s="2"/>
      <c r="D15" s="2"/>
      <c r="E15" s="2"/>
      <c r="F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</row>
    <row r="17" customFormat="false" ht="15" hidden="false" customHeight="true" outlineLevel="0" collapsed="false">
      <c r="A17" s="23" t="s">
        <v>148</v>
      </c>
      <c r="B17" s="23"/>
      <c r="C17" s="23"/>
      <c r="D17" s="23"/>
      <c r="E17" s="23"/>
      <c r="F17" s="23"/>
    </row>
    <row r="18" customFormat="false" ht="15" hidden="false" customHeight="true" outlineLevel="0" collapsed="false">
      <c r="A18" s="2" t="s">
        <v>149</v>
      </c>
      <c r="B18" s="2"/>
      <c r="C18" s="2"/>
      <c r="D18" s="2"/>
      <c r="E18" s="2"/>
      <c r="F18" s="2"/>
    </row>
    <row r="19" customFormat="false" ht="15" hidden="false" customHeight="true" outlineLevel="0" collapsed="false">
      <c r="A19" s="2" t="s">
        <v>150</v>
      </c>
      <c r="B19" s="2"/>
      <c r="C19" s="2"/>
      <c r="D19" s="2"/>
      <c r="E19" s="2"/>
      <c r="F19" s="2"/>
    </row>
    <row r="20" customFormat="false" ht="15" hidden="false" customHeight="true" outlineLevel="0" collapsed="false">
      <c r="A20" s="2" t="s">
        <v>151</v>
      </c>
      <c r="B20" s="2"/>
      <c r="C20" s="2"/>
      <c r="D20" s="2"/>
      <c r="E20" s="2"/>
      <c r="F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</row>
    <row r="22" customFormat="false" ht="15" hidden="false" customHeight="true" outlineLevel="0" collapsed="false">
      <c r="A22" s="23" t="s">
        <v>152</v>
      </c>
      <c r="B22" s="23"/>
      <c r="C22" s="23"/>
      <c r="D22" s="23"/>
      <c r="E22" s="23"/>
      <c r="F22" s="23"/>
    </row>
    <row r="23" customFormat="false" ht="15" hidden="false" customHeight="true" outlineLevel="0" collapsed="false">
      <c r="A23" s="2" t="s">
        <v>153</v>
      </c>
      <c r="B23" s="2"/>
      <c r="C23" s="2"/>
      <c r="D23" s="2"/>
      <c r="E23" s="2"/>
      <c r="F23" s="2"/>
    </row>
    <row r="24" customFormat="false" ht="15" hidden="false" customHeight="true" outlineLevel="0" collapsed="false">
      <c r="A24" s="2" t="s">
        <v>154</v>
      </c>
      <c r="B24" s="2"/>
      <c r="C24" s="2"/>
      <c r="D24" s="2"/>
      <c r="E24" s="2"/>
      <c r="F24" s="2"/>
    </row>
    <row r="25" customFormat="false" ht="15" hidden="false" customHeight="true" outlineLevel="0" collapsed="false">
      <c r="A25" s="2" t="s">
        <v>155</v>
      </c>
      <c r="B25" s="2"/>
      <c r="C25" s="2"/>
      <c r="D25" s="2"/>
      <c r="E25" s="2"/>
      <c r="F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</row>
    <row r="27" customFormat="false" ht="15" hidden="false" customHeight="true" outlineLevel="0" collapsed="false">
      <c r="A27" s="23" t="s">
        <v>156</v>
      </c>
      <c r="B27" s="23"/>
      <c r="C27" s="23"/>
      <c r="D27" s="23"/>
      <c r="E27" s="23"/>
      <c r="F27" s="23"/>
    </row>
    <row r="28" customFormat="false" ht="15" hidden="false" customHeight="false" outlineLevel="0" collapsed="false">
      <c r="A28" s="24" t="s">
        <v>157</v>
      </c>
      <c r="B28" s="25" t="n">
        <f aca="false">按板厚汇总校验!C15</f>
        <v>121958.99</v>
      </c>
    </row>
    <row r="29" customFormat="false" ht="15" hidden="false" customHeight="false" outlineLevel="0" collapsed="false">
      <c r="A29" s="24" t="s">
        <v>158</v>
      </c>
      <c r="B29" s="25" t="n">
        <f aca="false">按板厚汇总校验!D15</f>
        <v>121975.6</v>
      </c>
    </row>
    <row r="30" customFormat="false" ht="15" hidden="false" customHeight="false" outlineLevel="0" collapsed="false">
      <c r="A30" s="24" t="s">
        <v>159</v>
      </c>
      <c r="B30" s="25" t="n">
        <f aca="false">按板厚汇总校验!E15</f>
        <v>-16.61</v>
      </c>
    </row>
    <row r="31" customFormat="false" ht="15" hidden="false" customHeight="false" outlineLevel="0" collapsed="false">
      <c r="A31" s="24" t="s">
        <v>160</v>
      </c>
      <c r="B31" s="26" t="n">
        <f aca="false">按板厚汇总校验!F15</f>
        <v>-0.000136174775938794</v>
      </c>
    </row>
    <row r="32" customFormat="false" ht="15" hidden="false" customHeight="false" outlineLevel="0" collapsed="false">
      <c r="A32" s="24" t="s">
        <v>161</v>
      </c>
      <c r="B32" s="25" t="n">
        <f aca="false">按板厚汇总校验!C17</f>
        <v>123788.37</v>
      </c>
    </row>
    <row r="33" customFormat="false" ht="15" hidden="false" customHeight="false" outlineLevel="0" collapsed="false">
      <c r="A33" s="24" t="s">
        <v>162</v>
      </c>
      <c r="B33" s="25" t="n">
        <f aca="false">按板厚汇总校验!D17</f>
        <v>123805.23</v>
      </c>
    </row>
    <row r="34" customFormat="false" ht="15" hidden="false" customHeight="false" outlineLevel="0" collapsed="false">
      <c r="A34" s="24" t="s">
        <v>163</v>
      </c>
      <c r="B34" s="25" t="n">
        <f aca="false">按板厚汇总校验!E17</f>
        <v>-16.86</v>
      </c>
    </row>
    <row r="35" customFormat="false" ht="15" hidden="false" customHeight="false" outlineLevel="0" collapsed="false">
      <c r="A35" s="24" t="s">
        <v>164</v>
      </c>
      <c r="B35" s="26" t="n">
        <f aca="false">按板厚汇总校验!F17</f>
        <v>-0.00013618164596116</v>
      </c>
    </row>
  </sheetData>
  <mergeCells count="26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2026-10-19T01:30:55Z</dcterms:created>
  <dc:creator>openpyxl</dc:creator>
  <dc:description/>
  <dc:language>zh-CN</dc:language>
  <cp:lastModifiedBy/>
  <dcterms:modified xsi:type="dcterms:W3CDTF">2026-10-19T01:30:55Z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