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045" tabRatio="600" firstSheet="0" activeTab="1" autoFilterDateGrouping="1"/>
  </bookViews>
  <sheets>
    <sheet xmlns:r="http://schemas.openxmlformats.org/officeDocument/2006/relationships" name="合计数量" sheetId="1" state="visible" r:id="rId1"/>
    <sheet xmlns:r="http://schemas.openxmlformats.org/officeDocument/2006/relationships" name="主梁数量" sheetId="2" state="visible" r:id="rId2"/>
    <sheet xmlns:r="http://schemas.openxmlformats.org/officeDocument/2006/relationships" name="横隔板" sheetId="3" state="visible" r:id="rId3"/>
    <sheet xmlns:r="http://schemas.openxmlformats.org/officeDocument/2006/relationships" name="梁底挡块" sheetId="4" state="visible" r:id="rId4"/>
    <sheet xmlns:r="http://schemas.openxmlformats.org/officeDocument/2006/relationships" name="附属预埋件" sheetId="5" state="visible" r:id="rId5"/>
  </sheets>
  <definedNames>
    <definedName name="_xlnm._FilterDatabase" localSheetId="1" hidden="1">'主梁数量'!$A$3:$W$434</definedName>
    <definedName name="_xlnm.Print_Area" localSheetId="1">'主梁数量'!$A$1:$K$433</definedName>
    <definedName name="_xlnm._FilterDatabase" localSheetId="2" hidden="1">'横隔板'!$A$3:$AA$141</definedName>
    <definedName name="_xlnm.Print_Area" localSheetId="2">'横隔板'!$A$1:$L$142</definedName>
    <definedName name="_xlnm.Print_Area" localSheetId="3">'梁底挡块'!$A$1:$L$8</definedName>
    <definedName name="_xlnm.Print_Area" localSheetId="4">'附属预埋件'!$A$1:$L$11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_ "/>
    <numFmt numFmtId="166" formatCode="0.00_ 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b val="1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5" borderId="13" applyAlignment="1">
      <alignment vertical="center"/>
    </xf>
    <xf numFmtId="0" fontId="12" fillId="6" borderId="14" applyAlignment="1">
      <alignment vertical="center"/>
    </xf>
    <xf numFmtId="0" fontId="13" fillId="6" borderId="13" applyAlignment="1">
      <alignment vertical="center"/>
    </xf>
    <xf numFmtId="0" fontId="14" fillId="7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65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164" fontId="1" fillId="2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165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4" pivotButton="0" quotePrefix="0" xfId="0"/>
    <xf numFmtId="165" fontId="0" fillId="2" borderId="2" applyAlignment="1" pivotButton="0" quotePrefix="0" xfId="0">
      <alignment horizontal="center" vertical="center"/>
    </xf>
    <xf numFmtId="0" fontId="0" fillId="0" borderId="9" pivotButton="0" quotePrefix="0" xfId="0"/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228600</colOff>
      <row>9</row>
      <rowOff>241300</rowOff>
    </from>
    <to>
      <col>19</col>
      <colOff>152400</colOff>
      <row>26</row>
      <rowOff>63500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64805" y="2933700"/>
          <a:ext cx="4060190" cy="305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view="pageBreakPreview" zoomScale="115" zoomScaleNormal="100" workbookViewId="0">
      <selection activeCell="I9" sqref="I9"/>
    </sheetView>
  </sheetViews>
  <sheetFormatPr baseColWidth="8" defaultColWidth="9" defaultRowHeight="13.5"/>
  <cols>
    <col width="16.275" customWidth="1" style="1" min="1" max="1"/>
    <col width="9" customWidth="1" style="1" min="2" max="4"/>
    <col width="9.54166666666667" customWidth="1" style="1" min="5" max="5"/>
    <col width="10.5416666666667" customWidth="1" style="1" min="6" max="6"/>
    <col width="12.9083333333333" customWidth="1" style="1" min="7" max="7"/>
    <col width="9.54166666666667" customWidth="1" style="1" min="8" max="8"/>
    <col width="53.125" customWidth="1" style="1" min="9" max="9"/>
    <col width="9" customWidth="1" style="1" min="10" max="16384"/>
  </cols>
  <sheetData>
    <row r="1" ht="20" customHeight="1" s="71"/>
    <row r="2" ht="20" customHeight="1" s="71">
      <c r="A2" s="62" t="inlineStr">
        <is>
          <t>部位</t>
        </is>
      </c>
      <c r="B2" s="62" t="inlineStr">
        <is>
          <t>板厚</t>
        </is>
      </c>
      <c r="C2" s="62" t="inlineStr">
        <is>
          <t>单位</t>
        </is>
      </c>
      <c r="D2" s="62" t="inlineStr">
        <is>
          <t>图纸数量</t>
        </is>
      </c>
      <c r="E2" s="72" t="n"/>
      <c r="F2" s="73" t="n"/>
      <c r="G2" s="62" t="inlineStr">
        <is>
          <t>复核数量</t>
        </is>
      </c>
      <c r="H2" s="62" t="inlineStr">
        <is>
          <t>差异</t>
        </is>
      </c>
      <c r="I2" s="62" t="inlineStr">
        <is>
          <t>备注</t>
        </is>
      </c>
    </row>
    <row r="3" ht="20" customHeight="1" s="71">
      <c r="A3" s="74" t="n"/>
      <c r="B3" s="74" t="n"/>
      <c r="C3" s="74" t="n"/>
      <c r="D3" s="62" t="inlineStr">
        <is>
          <t>Q355</t>
        </is>
      </c>
      <c r="E3" s="62" t="inlineStr">
        <is>
          <t>Q420</t>
        </is>
      </c>
      <c r="F3" s="62" t="inlineStr">
        <is>
          <t>合计</t>
        </is>
      </c>
      <c r="G3" s="74" t="n"/>
      <c r="H3" s="74" t="n"/>
      <c r="I3" s="74" t="n"/>
    </row>
    <row r="4" ht="20" customHeight="1" s="71">
      <c r="A4" s="62" t="inlineStr">
        <is>
          <t>钢梁</t>
        </is>
      </c>
      <c r="B4" s="62" t="n">
        <v>10</v>
      </c>
      <c r="C4" s="62" t="inlineStr">
        <is>
          <t>kg</t>
        </is>
      </c>
      <c r="D4" s="62" t="n">
        <v>3487.3</v>
      </c>
      <c r="E4" s="62" t="n"/>
      <c r="F4" s="62">
        <f>D4+E4</f>
        <v/>
      </c>
      <c r="G4" s="75">
        <f>横隔板!N139</f>
        <v/>
      </c>
      <c r="H4" s="75">
        <f>G4-F4</f>
        <v/>
      </c>
      <c r="I4" s="62" t="n"/>
    </row>
    <row r="5" ht="20" customHeight="1" s="71">
      <c r="A5" s="76" t="n"/>
      <c r="B5" s="62" t="n">
        <v>12</v>
      </c>
      <c r="C5" s="62" t="inlineStr">
        <is>
          <t>kg</t>
        </is>
      </c>
      <c r="D5" s="65" t="n">
        <v>302486</v>
      </c>
      <c r="E5" s="62" t="n">
        <v>19292.4</v>
      </c>
      <c r="F5" s="62">
        <f>D5+E5</f>
        <v/>
      </c>
      <c r="G5" s="75">
        <f>主梁数量!M432+横隔板!O139</f>
        <v/>
      </c>
      <c r="H5" s="77">
        <f>G5-F5</f>
        <v/>
      </c>
      <c r="I5" s="62" t="n"/>
    </row>
    <row r="6" ht="20" customHeight="1" s="71">
      <c r="A6" s="76" t="n"/>
      <c r="B6" s="62" t="n">
        <v>14</v>
      </c>
      <c r="C6" s="62" t="inlineStr">
        <is>
          <t>kg</t>
        </is>
      </c>
      <c r="D6" s="62" t="n"/>
      <c r="E6" s="62" t="n">
        <v>650669.9</v>
      </c>
      <c r="F6" s="62">
        <f>D6+E6</f>
        <v/>
      </c>
      <c r="G6" s="75">
        <f>主梁数量!N432+横隔板!P139</f>
        <v/>
      </c>
      <c r="H6" s="75">
        <f>G6-F6</f>
        <v/>
      </c>
      <c r="I6" s="62" t="n"/>
    </row>
    <row r="7" ht="20" customHeight="1" s="71">
      <c r="A7" s="76" t="n"/>
      <c r="B7" s="62" t="n">
        <v>16</v>
      </c>
      <c r="C7" s="62" t="inlineStr">
        <is>
          <t>kg</t>
        </is>
      </c>
      <c r="D7" s="65" t="n">
        <v>72603.10000000001</v>
      </c>
      <c r="E7" s="62" t="n">
        <v>401058.9</v>
      </c>
      <c r="F7" s="62">
        <f>D7+E7</f>
        <v/>
      </c>
      <c r="G7" s="75">
        <f>主梁数量!O432+横隔板!Q139</f>
        <v/>
      </c>
      <c r="H7" s="77">
        <f>G7-F7</f>
        <v/>
      </c>
      <c r="I7" s="62" t="n"/>
    </row>
    <row r="8" ht="20" customHeight="1" s="71">
      <c r="A8" s="76" t="n"/>
      <c r="B8" s="62" t="n">
        <v>20</v>
      </c>
      <c r="C8" s="62" t="inlineStr">
        <is>
          <t>kg</t>
        </is>
      </c>
      <c r="D8" s="65" t="n">
        <v>256924</v>
      </c>
      <c r="E8" s="62" t="n">
        <v>738162.3</v>
      </c>
      <c r="F8" s="62">
        <f>D8+E8</f>
        <v/>
      </c>
      <c r="G8" s="75">
        <f>主梁数量!P432+横隔板!R139</f>
        <v/>
      </c>
      <c r="H8" s="77">
        <f>G8-F8</f>
        <v/>
      </c>
      <c r="I8" s="62" t="n"/>
    </row>
    <row r="9" ht="20" customHeight="1" s="71">
      <c r="A9" s="76" t="n"/>
      <c r="B9" s="62" t="n">
        <v>24</v>
      </c>
      <c r="C9" s="62" t="inlineStr">
        <is>
          <t>kg</t>
        </is>
      </c>
      <c r="D9" s="62" t="n">
        <v>20330.6</v>
      </c>
      <c r="E9" s="62" t="n">
        <v>329413.6</v>
      </c>
      <c r="F9" s="62">
        <f>D9+E9</f>
        <v/>
      </c>
      <c r="G9" s="75">
        <f>主梁数量!Q432+横隔板!S139</f>
        <v/>
      </c>
      <c r="H9" s="75">
        <f>G9-F9</f>
        <v/>
      </c>
      <c r="I9" s="62" t="n"/>
    </row>
    <row r="10" ht="20" customHeight="1" s="71">
      <c r="A10" s="76" t="n"/>
      <c r="B10" s="62" t="n">
        <v>28</v>
      </c>
      <c r="C10" s="62" t="inlineStr">
        <is>
          <t>kg</t>
        </is>
      </c>
      <c r="D10" s="62" t="n">
        <v>23114</v>
      </c>
      <c r="E10" s="62" t="n"/>
      <c r="F10" s="62">
        <f>D10+E10</f>
        <v/>
      </c>
      <c r="G10" s="75">
        <f>横隔板!T139</f>
        <v/>
      </c>
      <c r="H10" s="75">
        <f>G10-F10</f>
        <v/>
      </c>
      <c r="I10" s="62" t="n"/>
    </row>
    <row r="11" ht="20" customHeight="1" s="71">
      <c r="A11" s="76" t="n"/>
      <c r="B11" s="62" t="n">
        <v>30</v>
      </c>
      <c r="C11" s="62" t="inlineStr">
        <is>
          <t>kg</t>
        </is>
      </c>
      <c r="D11" s="62" t="n">
        <v>2411.5</v>
      </c>
      <c r="E11" s="62" t="n">
        <v>36172.8</v>
      </c>
      <c r="F11" s="62">
        <f>D11+E11</f>
        <v/>
      </c>
      <c r="G11" s="75">
        <f>主梁数量!R432+横隔板!U139</f>
        <v/>
      </c>
      <c r="H11" s="75">
        <f>G11-F11</f>
        <v/>
      </c>
      <c r="I11" s="62" t="n"/>
    </row>
    <row r="12" ht="20" customHeight="1" s="71">
      <c r="A12" s="76" t="n"/>
      <c r="B12" s="62" t="n">
        <v>40</v>
      </c>
      <c r="C12" s="62" t="inlineStr">
        <is>
          <t>kg</t>
        </is>
      </c>
      <c r="D12" s="62" t="n">
        <v>8038.4</v>
      </c>
      <c r="E12" s="62" t="n">
        <v>110930.1</v>
      </c>
      <c r="F12" s="62">
        <f>D12+E12</f>
        <v/>
      </c>
      <c r="G12" s="75">
        <f>主梁数量!S432+横隔板!V139</f>
        <v/>
      </c>
      <c r="H12" s="75">
        <f>G12-F12</f>
        <v/>
      </c>
      <c r="I12" s="62" t="n"/>
    </row>
    <row r="13" ht="20" customHeight="1" s="71">
      <c r="A13" s="74" t="n"/>
      <c r="B13" s="62" t="n">
        <v>50</v>
      </c>
      <c r="C13" s="62" t="inlineStr">
        <is>
          <t>kg</t>
        </is>
      </c>
      <c r="D13" s="62" t="n">
        <v>6280</v>
      </c>
      <c r="E13" s="62" t="n"/>
      <c r="F13" s="62">
        <f>D13+E13</f>
        <v/>
      </c>
      <c r="G13" s="75">
        <f>横隔板!W139</f>
        <v/>
      </c>
      <c r="H13" s="75">
        <f>G13-F13</f>
        <v/>
      </c>
      <c r="I13" s="62" t="n"/>
    </row>
    <row r="14" ht="20" customHeight="1" s="71">
      <c r="A14" s="62" t="inlineStr">
        <is>
          <t>梁底挡块</t>
        </is>
      </c>
      <c r="B14" s="62" t="n">
        <v>20</v>
      </c>
      <c r="C14" s="62" t="inlineStr">
        <is>
          <t>kg</t>
        </is>
      </c>
      <c r="D14" s="62" t="n"/>
      <c r="E14" s="62" t="n"/>
      <c r="F14" s="62" t="n">
        <v>7638.4</v>
      </c>
      <c r="G14" s="75">
        <f>梁底挡块!F8</f>
        <v/>
      </c>
      <c r="H14" s="75">
        <f>G14-F14</f>
        <v/>
      </c>
      <c r="I14" s="62" t="n"/>
    </row>
    <row r="15" ht="20" customHeight="1" s="71">
      <c r="A15" s="67" t="inlineStr">
        <is>
          <t>钢梁制造合计</t>
        </is>
      </c>
      <c r="B15" s="62" t="n"/>
      <c r="C15" s="62" t="inlineStr">
        <is>
          <t>kg</t>
        </is>
      </c>
      <c r="D15" s="62" t="n"/>
      <c r="E15" s="62" t="n"/>
      <c r="F15" s="75">
        <f>SUM(F4:F14)</f>
        <v/>
      </c>
      <c r="G15" s="75">
        <f>SUM(G4:G14)</f>
        <v/>
      </c>
      <c r="H15" s="77">
        <f>G15-F15</f>
        <v/>
      </c>
      <c r="I15" s="62" t="n"/>
    </row>
    <row r="16" ht="20" customHeight="1" s="71">
      <c r="A16" s="67" t="inlineStr">
        <is>
          <t>附属预埋</t>
        </is>
      </c>
      <c r="B16" s="62" t="inlineStr">
        <is>
          <t>护栏</t>
        </is>
      </c>
      <c r="C16" s="62" t="inlineStr">
        <is>
          <t>kg</t>
        </is>
      </c>
      <c r="D16" s="62" t="n"/>
      <c r="E16" s="62" t="n"/>
      <c r="F16" s="62" t="n">
        <v>588.9</v>
      </c>
      <c r="G16" s="62" t="n">
        <v>0</v>
      </c>
      <c r="H16" s="77">
        <f>G16-F16</f>
        <v/>
      </c>
      <c r="I16" s="69" t="inlineStr">
        <is>
          <t>属于伸缩缝出护栏挡板，与混凝土护栏浇筑标段有冲突，待确认</t>
        </is>
      </c>
    </row>
    <row r="17" ht="20" customHeight="1" s="71">
      <c r="A17" s="74" t="n"/>
      <c r="B17" s="62" t="inlineStr">
        <is>
          <t>排水</t>
        </is>
      </c>
      <c r="C17" s="62" t="inlineStr">
        <is>
          <t>kg</t>
        </is>
      </c>
      <c r="D17" s="62" t="n"/>
      <c r="E17" s="62" t="n"/>
      <c r="F17" s="62">
        <f>7835.2</f>
        <v/>
      </c>
      <c r="G17" s="62">
        <f>附属预埋件!F11</f>
        <v/>
      </c>
      <c r="H17" s="75">
        <f>G17-F17</f>
        <v/>
      </c>
      <c r="I17" s="62" t="n"/>
    </row>
    <row r="18" ht="20" customHeight="1" s="71">
      <c r="A18" s="62" t="n"/>
      <c r="B18" s="62" t="n"/>
      <c r="C18" s="62" t="n"/>
      <c r="D18" s="62" t="n"/>
      <c r="E18" s="62" t="n"/>
      <c r="F18" s="62" t="n"/>
      <c r="G18" s="62" t="n"/>
      <c r="H18" s="62" t="n"/>
      <c r="I18" s="62" t="n"/>
    </row>
  </sheetData>
  <mergeCells count="10">
    <mergeCell ref="D2:F2"/>
    <mergeCell ref="H2:H3"/>
    <mergeCell ref="A1:I1"/>
    <mergeCell ref="A4:A13"/>
    <mergeCell ref="A16:A17"/>
    <mergeCell ref="A2:A3"/>
    <mergeCell ref="B2:B3"/>
    <mergeCell ref="C2:C3"/>
    <mergeCell ref="G2:G3"/>
    <mergeCell ref="I2:I3"/>
  </mergeCells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W3781"/>
  <sheetViews>
    <sheetView tabSelected="1"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N4" sqref="N4:N32"/>
    </sheetView>
  </sheetViews>
  <sheetFormatPr baseColWidth="8" defaultColWidth="9" defaultRowHeight="13.5"/>
  <cols>
    <col width="7.09166666666667" customWidth="1" style="71" min="1" max="1"/>
    <col width="8.633333333333329" customWidth="1" style="71" min="2" max="2"/>
    <col width="9.725" customWidth="1" style="71" min="5" max="7"/>
    <col width="7.275" customWidth="1" style="71" min="9" max="9"/>
    <col width="8.54166666666667" customWidth="1" style="71" min="13" max="23"/>
  </cols>
  <sheetData>
    <row r="1" ht="27" customHeight="1" s="71">
      <c r="A1" s="1" t="n"/>
    </row>
    <row r="2" ht="20" customFormat="1" customHeight="1" s="30">
      <c r="A2" s="43" t="inlineStr">
        <is>
          <t>梁板编号</t>
        </is>
      </c>
      <c r="B2" s="43" t="inlineStr">
        <is>
          <t>板件名称</t>
        </is>
      </c>
      <c r="C2" s="43" t="inlineStr">
        <is>
          <t>位置</t>
        </is>
      </c>
      <c r="D2" s="43" t="inlineStr">
        <is>
          <t>材质</t>
        </is>
      </c>
      <c r="E2" s="43" t="inlineStr">
        <is>
          <t>长</t>
        </is>
      </c>
      <c r="F2" s="43" t="inlineStr">
        <is>
          <t>宽</t>
        </is>
      </c>
      <c r="G2" s="43" t="inlineStr">
        <is>
          <t>厚</t>
        </is>
      </c>
      <c r="H2" s="43" t="inlineStr">
        <is>
          <t>单件重</t>
        </is>
      </c>
      <c r="I2" s="43" t="inlineStr">
        <is>
          <t>数量</t>
        </is>
      </c>
      <c r="J2" s="43" t="inlineStr">
        <is>
          <t>合计重量</t>
        </is>
      </c>
      <c r="K2" s="43" t="inlineStr">
        <is>
          <t>备注</t>
        </is>
      </c>
      <c r="L2" s="43" t="inlineStr">
        <is>
          <t>梁板编号</t>
        </is>
      </c>
      <c r="M2" s="33" t="inlineStr">
        <is>
          <t>复核数量</t>
        </is>
      </c>
      <c r="N2" s="78" t="n"/>
      <c r="O2" s="78" t="n"/>
      <c r="P2" s="78" t="n"/>
      <c r="Q2" s="78" t="n"/>
      <c r="R2" s="78" t="n"/>
      <c r="S2" s="78" t="n"/>
      <c r="T2" s="78" t="n"/>
      <c r="U2" s="43" t="inlineStr">
        <is>
          <t>图纸数量</t>
        </is>
      </c>
      <c r="V2" s="43" t="inlineStr">
        <is>
          <t>差异</t>
        </is>
      </c>
      <c r="W2" s="43" t="inlineStr">
        <is>
          <t>备注</t>
        </is>
      </c>
    </row>
    <row r="3" ht="20" customFormat="1" customHeight="1" s="30">
      <c r="A3" s="74" t="n"/>
      <c r="B3" s="74" t="n"/>
      <c r="C3" s="74" t="n"/>
      <c r="D3" s="74" t="n"/>
      <c r="E3" s="43" t="inlineStr">
        <is>
          <t>mm</t>
        </is>
      </c>
      <c r="F3" s="43" t="inlineStr">
        <is>
          <t>mm</t>
        </is>
      </c>
      <c r="G3" s="43" t="inlineStr">
        <is>
          <t>mm</t>
        </is>
      </c>
      <c r="H3" s="43" t="inlineStr">
        <is>
          <t>kg</t>
        </is>
      </c>
      <c r="I3" s="43" t="n"/>
      <c r="J3" s="43" t="inlineStr">
        <is>
          <t>kg</t>
        </is>
      </c>
      <c r="K3" s="74" t="n"/>
      <c r="L3" s="74" t="n"/>
      <c r="M3" s="46" t="n">
        <v>12</v>
      </c>
      <c r="N3" s="46" t="n">
        <v>14</v>
      </c>
      <c r="O3" s="46" t="n">
        <v>16</v>
      </c>
      <c r="P3" s="46" t="n">
        <v>20</v>
      </c>
      <c r="Q3" s="46" t="n">
        <v>24</v>
      </c>
      <c r="R3" s="46" t="n">
        <v>30</v>
      </c>
      <c r="S3" s="46" t="n">
        <v>40</v>
      </c>
      <c r="T3" s="46" t="inlineStr">
        <is>
          <t>合计</t>
        </is>
      </c>
      <c r="U3" s="74" t="n"/>
      <c r="V3" s="43" t="n"/>
      <c r="W3" s="43" t="n"/>
    </row>
    <row r="4" ht="20" customFormat="1" customHeight="1" s="30">
      <c r="A4" s="43" t="inlineStr">
        <is>
          <t>P1</t>
        </is>
      </c>
      <c r="B4" s="43" t="inlineStr"/>
      <c r="C4" s="43" t="inlineStr">
        <is>
          <t>节段1~节段2</t>
        </is>
      </c>
      <c r="D4" s="43" t="inlineStr">
        <is>
          <t>Q355D</t>
        </is>
      </c>
      <c r="E4" s="43" t="n">
        <v>1020</v>
      </c>
      <c r="F4" s="43" t="n">
        <v>1800</v>
      </c>
      <c r="G4" s="43" t="n">
        <v>16</v>
      </c>
      <c r="H4" s="79">
        <f>(E4/1000)*(F4/1000)*(G4/1000)*7850</f>
        <v/>
      </c>
      <c r="I4" s="43" t="n">
        <v>2</v>
      </c>
      <c r="J4" s="80">
        <f>H4*I4</f>
        <v/>
      </c>
      <c r="K4" s="43" t="inlineStr">
        <is>
          <t>来源页52</t>
        </is>
      </c>
      <c r="L4" s="43">
        <f>A4</f>
        <v/>
      </c>
      <c r="M4" s="81">
        <f>SUMIF(G4:G31,$M$3,J4:J31)</f>
        <v/>
      </c>
      <c r="N4" s="81">
        <f>SUMIF(G4:G31,$N$3,J4:J31)</f>
        <v/>
      </c>
      <c r="O4" s="81">
        <f>SUMIF(G4:G31,$O$3,J4:J31)</f>
        <v/>
      </c>
      <c r="P4" s="81">
        <f>SUMIF(G4:G31,$P$3,J4:J31)</f>
        <v/>
      </c>
      <c r="Q4" s="81">
        <f>SUMIF(G4:G31,$Q$3,J4:J31)</f>
        <v/>
      </c>
      <c r="R4" s="81">
        <f>SUMIF(G4:G31,$R$3,J4:J31)</f>
        <v/>
      </c>
      <c r="S4" s="81">
        <f>SUMIF(G4:G31,$S$3,J4:J31)</f>
        <v/>
      </c>
      <c r="T4" s="81">
        <f>SUM(M4:S32)</f>
        <v/>
      </c>
      <c r="U4" s="81" t="n">
        <v>142867.8</v>
      </c>
      <c r="V4" s="81">
        <f>T4-U4</f>
        <v/>
      </c>
      <c r="W4" s="43" t="n"/>
    </row>
    <row r="5" ht="20" customFormat="1" customHeight="1" s="30">
      <c r="A5" s="76" t="n"/>
      <c r="B5" s="76" t="n"/>
      <c r="C5" s="43" t="inlineStr">
        <is>
          <t>节段1~节段2</t>
        </is>
      </c>
      <c r="D5" s="43" t="inlineStr">
        <is>
          <t>Q355D</t>
        </is>
      </c>
      <c r="E5" s="43" t="n">
        <v>1020</v>
      </c>
      <c r="F5" s="43" t="n">
        <v>500</v>
      </c>
      <c r="G5" s="43" t="n">
        <v>16</v>
      </c>
      <c r="H5" s="79">
        <f>(E5/1000)*(F5/1000)*(G5/1000)*7850</f>
        <v/>
      </c>
      <c r="I5" s="43" t="n">
        <v>2</v>
      </c>
      <c r="J5" s="80">
        <f>H5*I5</f>
        <v/>
      </c>
      <c r="K5" s="43" t="inlineStr">
        <is>
          <t>来源页52</t>
        </is>
      </c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</row>
    <row r="6" hidden="1" ht="20" customFormat="1" customHeight="1" s="30">
      <c r="A6" s="76" t="n"/>
      <c r="B6" s="76" t="n"/>
      <c r="C6" s="43" t="inlineStr">
        <is>
          <t>节段1~节段2</t>
        </is>
      </c>
      <c r="D6" s="43" t="inlineStr">
        <is>
          <t>Q355D</t>
        </is>
      </c>
      <c r="E6" s="43" t="n">
        <v>1020</v>
      </c>
      <c r="F6" s="43" t="n">
        <v>500</v>
      </c>
      <c r="G6" s="43" t="n">
        <v>16</v>
      </c>
      <c r="H6" s="79">
        <f>(E6/1000)*(F6/1000)*(G6/1000)*7850</f>
        <v/>
      </c>
      <c r="I6" s="43" t="n">
        <v>2</v>
      </c>
      <c r="J6" s="80">
        <f>H6*I6</f>
        <v/>
      </c>
      <c r="K6" s="43" t="inlineStr">
        <is>
          <t>来源页52</t>
        </is>
      </c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</row>
    <row r="7" hidden="1" ht="20" customFormat="1" customHeight="1" s="30">
      <c r="A7" s="76" t="n"/>
      <c r="B7" s="76" t="n"/>
      <c r="C7" s="43" t="inlineStr">
        <is>
          <t>节段1~节段2</t>
        </is>
      </c>
      <c r="D7" s="43" t="inlineStr">
        <is>
          <t>Q355D</t>
        </is>
      </c>
      <c r="E7" s="43" t="n">
        <v>1020</v>
      </c>
      <c r="F7" s="43" t="n">
        <v>600</v>
      </c>
      <c r="G7" s="43" t="n">
        <v>16</v>
      </c>
      <c r="H7" s="79">
        <f>(E7/1000)*(F7/1000)*(G7/1000)*7850</f>
        <v/>
      </c>
      <c r="I7" s="43" t="n">
        <v>2</v>
      </c>
      <c r="J7" s="80">
        <f>H7*I7</f>
        <v/>
      </c>
      <c r="K7" s="43" t="inlineStr">
        <is>
          <t>来源页52</t>
        </is>
      </c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</row>
    <row r="8" hidden="1" ht="20" customFormat="1" customHeight="1" s="30">
      <c r="A8" s="76" t="n"/>
      <c r="B8" s="76" t="n"/>
      <c r="C8" s="43" t="inlineStr">
        <is>
          <t>节段1~节段2</t>
        </is>
      </c>
      <c r="D8" s="43" t="inlineStr">
        <is>
          <t>Q355D</t>
        </is>
      </c>
      <c r="E8" s="43" t="n">
        <v>1420</v>
      </c>
      <c r="F8" s="43" t="n">
        <v>1100</v>
      </c>
      <c r="G8" s="43" t="n">
        <v>28</v>
      </c>
      <c r="H8" s="79">
        <f>(E8/1000)*(F8/1000)*(G8/1000)*7850</f>
        <v/>
      </c>
      <c r="I8" s="43" t="n">
        <v>1</v>
      </c>
      <c r="J8" s="80">
        <f>H8*I8</f>
        <v/>
      </c>
      <c r="K8" s="43" t="inlineStr">
        <is>
          <t>来源页52</t>
        </is>
      </c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</row>
    <row r="9" hidden="1" ht="20" customFormat="1" customHeight="1" s="30">
      <c r="A9" s="76" t="n"/>
      <c r="B9" s="76" t="n"/>
      <c r="C9" s="43" t="inlineStr">
        <is>
          <t>节段1~节段2</t>
        </is>
      </c>
      <c r="D9" s="43" t="inlineStr">
        <is>
          <t>Q355D</t>
        </is>
      </c>
      <c r="E9" s="43" t="n">
        <v>1420</v>
      </c>
      <c r="F9" s="43" t="n">
        <v>400</v>
      </c>
      <c r="G9" s="43" t="n">
        <v>28</v>
      </c>
      <c r="H9" s="79">
        <f>(E9/1000)*(F9/1000)*(G9/1000)*7850</f>
        <v/>
      </c>
      <c r="I9" s="43" t="n">
        <v>2</v>
      </c>
      <c r="J9" s="80">
        <f>H9*I9</f>
        <v/>
      </c>
      <c r="K9" s="43" t="inlineStr">
        <is>
          <t>来源页52</t>
        </is>
      </c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</row>
    <row r="10" hidden="1" ht="20" customFormat="1" customHeight="1" s="30">
      <c r="A10" s="76" t="n"/>
      <c r="B10" s="74" t="n"/>
      <c r="C10" s="43" t="inlineStr">
        <is>
          <t>节段1~节段2</t>
        </is>
      </c>
      <c r="D10" s="43" t="inlineStr">
        <is>
          <t>Q355D</t>
        </is>
      </c>
      <c r="E10" s="43" t="n">
        <v>920</v>
      </c>
      <c r="F10" s="43" t="n">
        <v>200</v>
      </c>
      <c r="G10" s="43" t="n">
        <v>20</v>
      </c>
      <c r="H10" s="79">
        <f>(E10/1000)*(F10/1000)*(G10/1000)*7850</f>
        <v/>
      </c>
      <c r="I10" s="43" t="n">
        <v>10</v>
      </c>
      <c r="J10" s="80">
        <f>H10*I10</f>
        <v/>
      </c>
      <c r="K10" s="43" t="inlineStr">
        <is>
          <t>来源页52</t>
        </is>
      </c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</row>
    <row r="11" hidden="1" ht="20" customFormat="1" customHeight="1" s="30">
      <c r="A11" s="76" t="n"/>
      <c r="B11" s="43" t="inlineStr"/>
      <c r="C11" s="43" t="inlineStr">
        <is>
          <t>节段1~节段2</t>
        </is>
      </c>
      <c r="D11" s="43" t="inlineStr">
        <is>
          <t>Q355D</t>
        </is>
      </c>
      <c r="E11" s="43" t="n">
        <v>600</v>
      </c>
      <c r="F11" s="43" t="n">
        <v>1800</v>
      </c>
      <c r="G11" s="43" t="n">
        <v>20</v>
      </c>
      <c r="H11" s="79">
        <f>(E11/1000)*(F11/1000)*(G11/1000)*7850</f>
        <v/>
      </c>
      <c r="I11" s="43" t="n">
        <v>2</v>
      </c>
      <c r="J11" s="80">
        <f>H11*I11</f>
        <v/>
      </c>
      <c r="K11" s="43" t="inlineStr">
        <is>
          <t>来源页52</t>
        </is>
      </c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</row>
    <row r="12" hidden="1" ht="20" customFormat="1" customHeight="1" s="30">
      <c r="A12" s="76" t="n"/>
      <c r="B12" s="76" t="n"/>
      <c r="C12" s="43" t="inlineStr">
        <is>
          <t>节段1~节段2</t>
        </is>
      </c>
      <c r="D12" s="43" t="inlineStr">
        <is>
          <t>10.9S</t>
        </is>
      </c>
      <c r="E12" s="43" t="n"/>
      <c r="F12" s="43" t="n"/>
      <c r="G12" s="43" t="n"/>
      <c r="H12" s="79">
        <f>(E12/1000)*(F12/1000)*(G12/1000)*7850</f>
        <v/>
      </c>
      <c r="I12" s="43" t="n">
        <v>508</v>
      </c>
      <c r="J12" s="80">
        <f>H12*I12</f>
        <v/>
      </c>
      <c r="K12" s="43" t="inlineStr">
        <is>
          <t>来源页52</t>
        </is>
      </c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</row>
    <row r="13" hidden="1" ht="20" customFormat="1" customHeight="1" s="30">
      <c r="A13" s="76" t="n"/>
      <c r="B13" s="76" t="n"/>
      <c r="C13" s="43" t="inlineStr">
        <is>
          <t>节段1~节段2</t>
        </is>
      </c>
      <c r="D13" s="43" t="inlineStr">
        <is>
          <t>Q355D</t>
        </is>
      </c>
      <c r="E13" s="43" t="n">
        <v>820</v>
      </c>
      <c r="F13" s="43" t="n">
        <v>1700</v>
      </c>
      <c r="G13" s="43" t="n">
        <v>20</v>
      </c>
      <c r="H13" s="79">
        <f>(E13/1000)*(F13/1000)*(G13/1000)*7850</f>
        <v/>
      </c>
      <c r="I13" s="43" t="n">
        <v>2</v>
      </c>
      <c r="J13" s="80">
        <f>H13*I13</f>
        <v/>
      </c>
      <c r="K13" s="43" t="inlineStr">
        <is>
          <t>来源页52</t>
        </is>
      </c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</row>
    <row r="14" hidden="1" ht="20" customFormat="1" customHeight="1" s="30">
      <c r="A14" s="76" t="n"/>
      <c r="B14" s="76" t="n"/>
      <c r="C14" s="43" t="inlineStr">
        <is>
          <t>节段1~节段2</t>
        </is>
      </c>
      <c r="D14" s="43" t="inlineStr">
        <is>
          <t>Q355D</t>
        </is>
      </c>
      <c r="E14" s="43" t="n">
        <v>820</v>
      </c>
      <c r="F14" s="43" t="n">
        <v>800</v>
      </c>
      <c r="G14" s="43" t="n">
        <v>20</v>
      </c>
      <c r="H14" s="79">
        <f>(E14/1000)*(F14/1000)*(G14/1000)*7850</f>
        <v/>
      </c>
      <c r="I14" s="43" t="n">
        <v>4</v>
      </c>
      <c r="J14" s="80">
        <f>H14*I14</f>
        <v/>
      </c>
      <c r="K14" s="43" t="inlineStr">
        <is>
          <t>来源页52</t>
        </is>
      </c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</row>
    <row r="15" hidden="1" ht="20" customFormat="1" customHeight="1" s="30">
      <c r="A15" s="76" t="n"/>
      <c r="B15" s="76" t="n"/>
      <c r="C15" s="43" t="inlineStr">
        <is>
          <t>节段1~节段2</t>
        </is>
      </c>
      <c r="D15" s="43" t="inlineStr">
        <is>
          <t>Q355D</t>
        </is>
      </c>
      <c r="E15" s="43" t="n">
        <v>1120</v>
      </c>
      <c r="F15" s="43" t="n">
        <v>1100</v>
      </c>
      <c r="G15" s="43" t="n">
        <v>32</v>
      </c>
      <c r="H15" s="79">
        <f>(E15/1000)*(F15/1000)*(G15/1000)*7850</f>
        <v/>
      </c>
      <c r="I15" s="43" t="n">
        <v>1</v>
      </c>
      <c r="J15" s="80">
        <f>H15*I15</f>
        <v/>
      </c>
      <c r="K15" s="43" t="inlineStr">
        <is>
          <t>来源页52</t>
        </is>
      </c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</row>
    <row r="16" hidden="1" ht="20" customFormat="1" customHeight="1" s="30">
      <c r="A16" s="76" t="n"/>
      <c r="B16" s="76" t="n"/>
      <c r="C16" s="43" t="inlineStr">
        <is>
          <t>节段1~节段2</t>
        </is>
      </c>
      <c r="D16" s="43" t="inlineStr">
        <is>
          <t>Q355D</t>
        </is>
      </c>
      <c r="E16" s="43" t="n">
        <v>1120</v>
      </c>
      <c r="F16" s="43" t="n">
        <v>400</v>
      </c>
      <c r="G16" s="43" t="n">
        <v>32</v>
      </c>
      <c r="H16" s="79">
        <f>(E16/1000)*(F16/1000)*(G16/1000)*7850</f>
        <v/>
      </c>
      <c r="I16" s="43" t="n">
        <v>2</v>
      </c>
      <c r="J16" s="80">
        <f>H16*I16</f>
        <v/>
      </c>
      <c r="K16" s="43" t="inlineStr">
        <is>
          <t>来源页52</t>
        </is>
      </c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</row>
    <row r="17" hidden="1" ht="20" customFormat="1" customHeight="1" s="30">
      <c r="A17" s="76" t="n"/>
      <c r="B17" s="76" t="n"/>
      <c r="C17" s="43" t="inlineStr">
        <is>
          <t>节段1~节段2</t>
        </is>
      </c>
      <c r="D17" s="43" t="inlineStr">
        <is>
          <t>Q355D</t>
        </is>
      </c>
      <c r="E17" s="43" t="n">
        <v>400</v>
      </c>
      <c r="F17" s="43" t="n">
        <v>1700</v>
      </c>
      <c r="G17" s="43" t="n">
        <v>20</v>
      </c>
      <c r="H17" s="79">
        <f>(E17/1000)*(F17/1000)*(G17/1000)*7850</f>
        <v/>
      </c>
      <c r="I17" s="43" t="n">
        <v>2</v>
      </c>
      <c r="J17" s="80">
        <f>H17*I17</f>
        <v/>
      </c>
      <c r="K17" s="43" t="inlineStr">
        <is>
          <t>来源页52</t>
        </is>
      </c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</row>
    <row r="18" hidden="1" ht="20" customFormat="1" customHeight="1" s="30">
      <c r="A18" s="76" t="n"/>
      <c r="B18" s="76" t="n"/>
      <c r="C18" s="43" t="inlineStr">
        <is>
          <t>节段1~节段2</t>
        </is>
      </c>
      <c r="D18" s="43" t="inlineStr">
        <is>
          <t>10.9S</t>
        </is>
      </c>
      <c r="E18" s="43" t="n"/>
      <c r="F18" s="43" t="n"/>
      <c r="G18" s="43" t="n"/>
      <c r="H18" s="79">
        <f>(E18/1000)*(F18/1000)*(G18/1000)*7850</f>
        <v/>
      </c>
      <c r="I18" s="43" t="n">
        <v>324</v>
      </c>
      <c r="J18" s="80">
        <f>H18*I18</f>
        <v/>
      </c>
      <c r="K18" s="43" t="inlineStr">
        <is>
          <t>来源页52</t>
        </is>
      </c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</row>
    <row r="19" ht="20" customFormat="1" customHeight="1" s="30">
      <c r="A19" s="76" t="n"/>
      <c r="B19" s="76" t="n"/>
      <c r="C19" s="43" t="inlineStr">
        <is>
          <t>节段1~节段2</t>
        </is>
      </c>
      <c r="D19" s="43" t="inlineStr">
        <is>
          <t>Q355D</t>
        </is>
      </c>
      <c r="E19" s="43" t="n">
        <v>1520</v>
      </c>
      <c r="F19" s="43" t="n">
        <v>1100</v>
      </c>
      <c r="G19" s="43" t="n">
        <v>24</v>
      </c>
      <c r="H19" s="79">
        <f>(E19/1000)*(F19/1000)*(G19/1000)*7850</f>
        <v/>
      </c>
      <c r="I19" s="43" t="n">
        <v>2</v>
      </c>
      <c r="J19" s="80">
        <f>H19*I19</f>
        <v/>
      </c>
      <c r="K19" s="43" t="inlineStr">
        <is>
          <t>来源页52</t>
        </is>
      </c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</row>
    <row r="20" ht="20" customFormat="1" customHeight="1" s="30">
      <c r="A20" s="76" t="n"/>
      <c r="B20" s="74" t="n"/>
      <c r="C20" s="43" t="inlineStr">
        <is>
          <t>节段1~节段2</t>
        </is>
      </c>
      <c r="D20" s="43" t="inlineStr">
        <is>
          <t>Q355D</t>
        </is>
      </c>
      <c r="E20" s="43" t="n">
        <v>1520</v>
      </c>
      <c r="F20" s="43" t="n">
        <v>500</v>
      </c>
      <c r="G20" s="43" t="n">
        <v>24</v>
      </c>
      <c r="H20" s="79">
        <f>(E20/1000)*(F20/1000)*(G20/1000)*7850</f>
        <v/>
      </c>
      <c r="I20" s="43" t="n">
        <v>4</v>
      </c>
      <c r="J20" s="80">
        <f>H20*I20</f>
        <v/>
      </c>
      <c r="K20" s="43" t="inlineStr">
        <is>
          <t>来源页52</t>
        </is>
      </c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</row>
    <row r="21" hidden="1" ht="20" customFormat="1" customHeight="1" s="30">
      <c r="A21" s="76" t="n"/>
      <c r="B21" s="43" t="inlineStr"/>
      <c r="C21" s="43" t="inlineStr">
        <is>
          <t>节段1~节段2</t>
        </is>
      </c>
      <c r="D21" s="43" t="inlineStr">
        <is>
          <t>Q355D</t>
        </is>
      </c>
      <c r="E21" s="43" t="n">
        <v>1320</v>
      </c>
      <c r="F21" s="43" t="n">
        <v>1100</v>
      </c>
      <c r="G21" s="43" t="n">
        <v>28</v>
      </c>
      <c r="H21" s="79">
        <f>(E21/1000)*(F21/1000)*(G21/1000)*7850</f>
        <v/>
      </c>
      <c r="I21" s="43" t="n">
        <v>1</v>
      </c>
      <c r="J21" s="80">
        <f>H21*I21</f>
        <v/>
      </c>
      <c r="K21" s="43" t="inlineStr">
        <is>
          <t>来源页52</t>
        </is>
      </c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</row>
    <row r="22" hidden="1" ht="20" customFormat="1" customHeight="1" s="30">
      <c r="A22" s="76" t="n"/>
      <c r="B22" s="76" t="n"/>
      <c r="C22" s="43" t="inlineStr">
        <is>
          <t>节段1~节段2</t>
        </is>
      </c>
      <c r="D22" s="43" t="inlineStr">
        <is>
          <t>Q355D</t>
        </is>
      </c>
      <c r="E22" s="43" t="n">
        <v>1320</v>
      </c>
      <c r="F22" s="43" t="n">
        <v>500</v>
      </c>
      <c r="G22" s="43" t="n">
        <v>28</v>
      </c>
      <c r="H22" s="79">
        <f>(E22/1000)*(F22/1000)*(G22/1000)*7850</f>
        <v/>
      </c>
      <c r="I22" s="43" t="n">
        <v>2</v>
      </c>
      <c r="J22" s="80">
        <f>H22*I22</f>
        <v/>
      </c>
      <c r="K22" s="43" t="inlineStr">
        <is>
          <t>来源页52</t>
        </is>
      </c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</row>
    <row r="23" ht="20" customFormat="1" customHeight="1" s="30">
      <c r="A23" s="76" t="n"/>
      <c r="B23" s="76" t="n"/>
      <c r="C23" s="43" t="inlineStr">
        <is>
          <t>节段1~节段2</t>
        </is>
      </c>
      <c r="D23" s="43" t="inlineStr">
        <is>
          <t>Q355D</t>
        </is>
      </c>
      <c r="E23" s="43" t="n">
        <v>1520</v>
      </c>
      <c r="F23" s="43" t="n">
        <v>1100</v>
      </c>
      <c r="G23" s="43" t="n">
        <v>44</v>
      </c>
      <c r="H23" s="79">
        <f>(E23/1000)*(F23/1000)*(G23/1000)*7850</f>
        <v/>
      </c>
      <c r="I23" s="43" t="n">
        <v>1</v>
      </c>
      <c r="J23" s="80">
        <f>H23*I23</f>
        <v/>
      </c>
      <c r="K23" s="43" t="inlineStr">
        <is>
          <t>来源页52</t>
        </is>
      </c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</row>
    <row r="24" hidden="1" ht="20" customFormat="1" customHeight="1" s="30">
      <c r="A24" s="76" t="n"/>
      <c r="B24" s="74" t="n"/>
      <c r="C24" s="43" t="inlineStr">
        <is>
          <t>节段1~节段2</t>
        </is>
      </c>
      <c r="D24" s="43" t="inlineStr">
        <is>
          <t>Q355D</t>
        </is>
      </c>
      <c r="E24" s="43" t="n">
        <v>1520</v>
      </c>
      <c r="F24" s="43" t="n">
        <v>240</v>
      </c>
      <c r="G24" s="43" t="n">
        <v>44</v>
      </c>
      <c r="H24" s="79">
        <f>(E24/1000)*(F24/1000)*(G24/1000)*7850</f>
        <v/>
      </c>
      <c r="I24" s="43" t="n">
        <v>2</v>
      </c>
      <c r="J24" s="80">
        <f>H24*I24</f>
        <v/>
      </c>
      <c r="K24" s="43" t="inlineStr">
        <is>
          <t>来源页52</t>
        </is>
      </c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</row>
    <row r="25" hidden="1" ht="20" customFormat="1" customHeight="1" s="30">
      <c r="A25" s="76" t="n"/>
      <c r="B25" s="43" t="inlineStr"/>
      <c r="C25" s="43" t="inlineStr">
        <is>
          <t>节段1~节段2</t>
        </is>
      </c>
      <c r="D25" s="43" t="inlineStr">
        <is>
          <t>Q355D</t>
        </is>
      </c>
      <c r="E25" s="44" t="n">
        <v>1220</v>
      </c>
      <c r="F25" s="43" t="n">
        <v>240</v>
      </c>
      <c r="G25" s="43" t="n">
        <v>24</v>
      </c>
      <c r="H25" s="79">
        <f>(E25/1000)*(F25/1000)*(G25/1000)*7850</f>
        <v/>
      </c>
      <c r="I25" s="43" t="n">
        <v>4</v>
      </c>
      <c r="J25" s="80">
        <f>H25*I25</f>
        <v/>
      </c>
      <c r="K25" s="6" t="inlineStr">
        <is>
          <t>来源页52</t>
        </is>
      </c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</row>
    <row r="26" hidden="1" ht="20" customFormat="1" customHeight="1" s="30">
      <c r="A26" s="76" t="n"/>
      <c r="B26" s="76" t="n"/>
      <c r="C26" s="43" t="inlineStr">
        <is>
          <t>节段1~节段2</t>
        </is>
      </c>
      <c r="D26" s="43" t="inlineStr">
        <is>
          <t>Q355D</t>
        </is>
      </c>
      <c r="E26" s="44" t="n">
        <v>1320</v>
      </c>
      <c r="F26" s="43" t="n">
        <v>240</v>
      </c>
      <c r="G26" s="43" t="n">
        <v>24</v>
      </c>
      <c r="H26" s="79">
        <f>(E26/1000)*(F26/1000)*(G26/1000)*7850</f>
        <v/>
      </c>
      <c r="I26" s="43" t="n">
        <v>2</v>
      </c>
      <c r="J26" s="80">
        <f>H26*I26</f>
        <v/>
      </c>
      <c r="K26" s="6" t="inlineStr">
        <is>
          <t>来源页52</t>
        </is>
      </c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</row>
    <row r="27" hidden="1" ht="20" customFormat="1" customHeight="1" s="30">
      <c r="A27" s="76" t="n"/>
      <c r="B27" s="74" t="n"/>
      <c r="C27" s="43" t="inlineStr">
        <is>
          <t>节段02</t>
        </is>
      </c>
      <c r="D27" s="43" t="inlineStr">
        <is>
          <t>Q355D</t>
        </is>
      </c>
      <c r="E27" s="44" t="n"/>
      <c r="F27" s="43" t="n"/>
      <c r="G27" s="43" t="n">
        <v>20</v>
      </c>
      <c r="H27" s="79">
        <f>(E27/1000)*(F27/1000)*(G27/1000)*7850</f>
        <v/>
      </c>
      <c r="I27" s="43" t="n">
        <v>1</v>
      </c>
      <c r="J27" s="80">
        <f>H27*I27</f>
        <v/>
      </c>
      <c r="K27" s="6" t="inlineStr">
        <is>
          <t>来源页53</t>
        </is>
      </c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</row>
    <row r="28" hidden="1" ht="20" customFormat="1" customHeight="1" s="30">
      <c r="A28" s="76" t="n"/>
      <c r="B28" s="43" t="inlineStr"/>
      <c r="C28" s="43" t="inlineStr">
        <is>
          <t>节段02</t>
        </is>
      </c>
      <c r="D28" s="43" t="inlineStr">
        <is>
          <t>Q355D</t>
        </is>
      </c>
      <c r="E28" s="43" t="n"/>
      <c r="F28" s="43" t="n"/>
      <c r="G28" s="43" t="n">
        <v>20</v>
      </c>
      <c r="H28" s="79">
        <f>(E28/1000)*(F28/1000)*(G28/1000)*7850</f>
        <v/>
      </c>
      <c r="I28" s="43" t="n">
        <v>1</v>
      </c>
      <c r="J28" s="80">
        <f>H28*I28</f>
        <v/>
      </c>
      <c r="K28" s="43" t="inlineStr">
        <is>
          <t>来源页53</t>
        </is>
      </c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</row>
    <row r="29" hidden="1" ht="20" customFormat="1" customHeight="1" s="30">
      <c r="A29" s="76" t="n"/>
      <c r="B29" s="76" t="n"/>
      <c r="C29" s="43" t="inlineStr">
        <is>
          <t>节段02</t>
        </is>
      </c>
      <c r="D29" s="43" t="inlineStr">
        <is>
          <t>Q355D</t>
        </is>
      </c>
      <c r="E29" s="43" t="n">
        <v>7902</v>
      </c>
      <c r="F29" s="43" t="n">
        <v>1200</v>
      </c>
      <c r="G29" s="43" t="n">
        <v>20</v>
      </c>
      <c r="H29" s="79">
        <f>(E29/1000)*(F29/1000)*(G29/1000)*7850</f>
        <v/>
      </c>
      <c r="I29" s="43" t="n">
        <v>1</v>
      </c>
      <c r="J29" s="80">
        <f>H29*I29</f>
        <v/>
      </c>
      <c r="K29" s="43" t="inlineStr">
        <is>
          <t>来源页53</t>
        </is>
      </c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</row>
    <row r="30" hidden="1" ht="20" customFormat="1" customHeight="1" s="30">
      <c r="A30" s="76" t="n"/>
      <c r="B30" s="76" t="n"/>
      <c r="C30" s="43" t="inlineStr">
        <is>
          <t>节段02</t>
        </is>
      </c>
      <c r="D30" s="43" t="inlineStr">
        <is>
          <t>Q355D</t>
        </is>
      </c>
      <c r="E30" s="43" t="n">
        <v>10151</v>
      </c>
      <c r="F30" s="43" t="n">
        <v>1200</v>
      </c>
      <c r="G30" s="43" t="n">
        <v>20</v>
      </c>
      <c r="H30" s="79">
        <f>(E30/1000)*(F30/1000)*(G30/1000)*7850</f>
        <v/>
      </c>
      <c r="I30" s="43" t="n">
        <v>1</v>
      </c>
      <c r="J30" s="80">
        <f>H30*I30</f>
        <v/>
      </c>
      <c r="K30" s="43" t="inlineStr">
        <is>
          <t>来源页53</t>
        </is>
      </c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</row>
    <row r="31" ht="20" customFormat="1" customHeight="1" s="30">
      <c r="A31" s="76" t="n"/>
      <c r="B31" s="74" t="n"/>
      <c r="C31" s="43" t="inlineStr">
        <is>
          <t>节段02</t>
        </is>
      </c>
      <c r="D31" s="43" t="inlineStr">
        <is>
          <t>Q355D</t>
        </is>
      </c>
      <c r="E31" s="43" t="n"/>
      <c r="F31" s="43" t="n"/>
      <c r="G31" s="43" t="n">
        <v>40</v>
      </c>
      <c r="H31" s="79">
        <f>(E31/1000)*(F31/1000)*(G31/1000)*7850</f>
        <v/>
      </c>
      <c r="I31" s="43" t="n">
        <v>2</v>
      </c>
      <c r="J31" s="80">
        <f>H31*I31</f>
        <v/>
      </c>
      <c r="K31" s="43" t="inlineStr">
        <is>
          <t>来源页53</t>
        </is>
      </c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</row>
    <row r="32" hidden="1" ht="20" customFormat="1" customHeight="1" s="30">
      <c r="A32" s="74" t="n"/>
      <c r="B32" s="43" t="inlineStr">
        <is>
          <t>小计</t>
        </is>
      </c>
      <c r="C32" s="73" t="n"/>
      <c r="D32" s="43" t="n"/>
      <c r="E32" s="43" t="n"/>
      <c r="F32" s="43" t="n"/>
      <c r="G32" s="43" t="n"/>
      <c r="H32" s="79" t="n"/>
      <c r="I32" s="43" t="n"/>
      <c r="J32" s="80">
        <f>SUM(J4:J31)</f>
        <v/>
      </c>
      <c r="K32" s="43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</row>
    <row r="33" ht="20" customFormat="1" customHeight="1" s="30">
      <c r="A33" s="43" t="inlineStr">
        <is>
          <t>N14</t>
        </is>
      </c>
      <c r="B33" s="43" t="inlineStr"/>
      <c r="C33" s="43" t="inlineStr">
        <is>
          <t>节段02</t>
        </is>
      </c>
      <c r="D33" s="43" t="inlineStr">
        <is>
          <t>Q355D</t>
        </is>
      </c>
      <c r="E33" s="43" t="n">
        <v>10351</v>
      </c>
      <c r="F33" s="43" t="n">
        <v>2048</v>
      </c>
      <c r="G33" s="43" t="n">
        <v>20</v>
      </c>
      <c r="H33" s="79">
        <f>(E33/1000)*(F33/1000)*(G33/1000)*7850</f>
        <v/>
      </c>
      <c r="I33" s="43" t="n">
        <v>2</v>
      </c>
      <c r="J33" s="80">
        <f>H33*I33</f>
        <v/>
      </c>
      <c r="K33" s="43" t="inlineStr">
        <is>
          <t>来源页53</t>
        </is>
      </c>
      <c r="L33" s="43">
        <f>A33</f>
        <v/>
      </c>
      <c r="M33" s="81">
        <f>SUMIF(G33:G57,$M$3,J33:J57)</f>
        <v/>
      </c>
      <c r="N33" s="81">
        <f>SUMIF(G33:G57,$N$3,J33:J57)</f>
        <v/>
      </c>
      <c r="O33" s="81">
        <f>SUMIF(G33:G57,$O$3,J33:J57)</f>
        <v/>
      </c>
      <c r="P33" s="81">
        <f>SUMIF(G33:G57,$P$3,J33:J57)</f>
        <v/>
      </c>
      <c r="Q33" s="81">
        <f>SUMIF(G33:G57,$Q$3,J33:J57)</f>
        <v/>
      </c>
      <c r="R33" s="81">
        <f>SUMIF(G33:G57,$R$3,J33:J57)</f>
        <v/>
      </c>
      <c r="S33" s="81">
        <f>SUMIF(G33:G57,$S$3,J33:J57)</f>
        <v/>
      </c>
      <c r="T33" s="81">
        <f>SUM(M33:S58)</f>
        <v/>
      </c>
      <c r="U33" s="81" t="n">
        <v>141450.9</v>
      </c>
      <c r="V33" s="81">
        <f>T33-U33</f>
        <v/>
      </c>
      <c r="W33" s="43" t="n"/>
    </row>
    <row r="34" ht="20" customFormat="1" customHeight="1" s="30">
      <c r="A34" s="76" t="n"/>
      <c r="B34" s="76" t="n"/>
      <c r="C34" s="43" t="inlineStr">
        <is>
          <t>节段02</t>
        </is>
      </c>
      <c r="D34" s="43" t="inlineStr">
        <is>
          <t>Q355D</t>
        </is>
      </c>
      <c r="E34" s="43" t="n">
        <v>1980</v>
      </c>
      <c r="F34" s="43" t="n">
        <v>1200</v>
      </c>
      <c r="G34" s="43" t="n">
        <v>16</v>
      </c>
      <c r="H34" s="79">
        <f>(E34/1000)*(F34/1000)*(G34/1000)*7850</f>
        <v/>
      </c>
      <c r="I34" s="43" t="n">
        <v>3</v>
      </c>
      <c r="J34" s="80">
        <f>H34*I34</f>
        <v/>
      </c>
      <c r="K34" s="43" t="inlineStr">
        <is>
          <t>来源页53</t>
        </is>
      </c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</row>
    <row r="35" hidden="1" ht="20" customFormat="1" customHeight="1" s="30">
      <c r="A35" s="76" t="n"/>
      <c r="B35" s="76" t="n"/>
      <c r="C35" s="43" t="inlineStr">
        <is>
          <t>节段02</t>
        </is>
      </c>
      <c r="D35" s="43" t="inlineStr">
        <is>
          <t>Q355D</t>
        </is>
      </c>
      <c r="E35" s="43" t="n">
        <v>1980</v>
      </c>
      <c r="F35" s="43" t="n">
        <v>1200</v>
      </c>
      <c r="G35" s="43" t="n">
        <v>16</v>
      </c>
      <c r="H35" s="79">
        <f>(E35/1000)*(F35/1000)*(G35/1000)*7850</f>
        <v/>
      </c>
      <c r="I35" s="43" t="n">
        <v>3</v>
      </c>
      <c r="J35" s="80">
        <f>H35*I35</f>
        <v/>
      </c>
      <c r="K35" s="43" t="inlineStr">
        <is>
          <t>来源页53</t>
        </is>
      </c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</row>
    <row r="36" hidden="1" ht="20" customFormat="1" customHeight="1" s="30">
      <c r="A36" s="76" t="n"/>
      <c r="B36" s="76" t="n"/>
      <c r="C36" s="43" t="inlineStr">
        <is>
          <t>节段02</t>
        </is>
      </c>
      <c r="D36" s="43" t="inlineStr">
        <is>
          <t>Q355D</t>
        </is>
      </c>
      <c r="E36" s="43" t="n">
        <v>2057</v>
      </c>
      <c r="F36" s="43" t="n">
        <v>200</v>
      </c>
      <c r="G36" s="43" t="n">
        <v>16</v>
      </c>
      <c r="H36" s="79">
        <f>(E36/1000)*(F36/1000)*(G36/1000)*7850</f>
        <v/>
      </c>
      <c r="I36" s="43" t="n">
        <v>4</v>
      </c>
      <c r="J36" s="80">
        <f>H36*I36</f>
        <v/>
      </c>
      <c r="K36" s="43" t="inlineStr">
        <is>
          <t>来源页53</t>
        </is>
      </c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</row>
    <row r="37" hidden="1" ht="20" customFormat="1" customHeight="1" s="30">
      <c r="A37" s="76" t="n"/>
      <c r="B37" s="76" t="n"/>
      <c r="C37" s="43" t="inlineStr">
        <is>
          <t>节段02</t>
        </is>
      </c>
      <c r="D37" s="43" t="inlineStr">
        <is>
          <t>Q355B</t>
        </is>
      </c>
      <c r="E37" s="43" t="n">
        <v>2057</v>
      </c>
      <c r="F37" s="43" t="n">
        <v>40</v>
      </c>
      <c r="G37" s="43" t="n">
        <v>4</v>
      </c>
      <c r="H37" s="79">
        <f>(E37/1000)*(F37/1000)*(G37/1000)*7850</f>
        <v/>
      </c>
      <c r="I37" s="43" t="n">
        <v>4</v>
      </c>
      <c r="J37" s="80">
        <f>H37*I37</f>
        <v/>
      </c>
      <c r="K37" s="43" t="inlineStr">
        <is>
          <t>来源页53</t>
        </is>
      </c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</row>
    <row r="38" hidden="1" ht="20" customFormat="1" customHeight="1" s="30">
      <c r="A38" s="76" t="n"/>
      <c r="B38" s="74" t="n"/>
      <c r="C38" s="43" t="inlineStr">
        <is>
          <t>节段02</t>
        </is>
      </c>
      <c r="D38" s="43" t="inlineStr">
        <is>
          <t>Q355D</t>
        </is>
      </c>
      <c r="E38" s="43" t="n">
        <v>800</v>
      </c>
      <c r="F38" s="43" t="n">
        <v>400</v>
      </c>
      <c r="G38" s="43" t="n">
        <v>16</v>
      </c>
      <c r="H38" s="79">
        <f>(E38/1000)*(F38/1000)*(G38/1000)*7850</f>
        <v/>
      </c>
      <c r="I38" s="43" t="n">
        <v>4</v>
      </c>
      <c r="J38" s="80">
        <f>H38*I38</f>
        <v/>
      </c>
      <c r="K38" s="43" t="inlineStr">
        <is>
          <t>来源页53</t>
        </is>
      </c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</row>
    <row r="39" hidden="1" ht="20" customFormat="1" customHeight="1" s="30">
      <c r="A39" s="76" t="n"/>
      <c r="B39" s="43" t="inlineStr"/>
      <c r="C39" s="43" t="inlineStr">
        <is>
          <t>节段02</t>
        </is>
      </c>
      <c r="D39" s="43" t="inlineStr">
        <is>
          <t>Q355D</t>
        </is>
      </c>
      <c r="E39" s="43" t="n">
        <v>7902</v>
      </c>
      <c r="F39" s="43" t="n">
        <v>2500</v>
      </c>
      <c r="G39" s="43" t="n">
        <v>24</v>
      </c>
      <c r="H39" s="79">
        <f>(E39/1000)*(F39/1000)*(G39/1000)*7850</f>
        <v/>
      </c>
      <c r="I39" s="43" t="n">
        <v>1</v>
      </c>
      <c r="J39" s="80">
        <f>H39*I39</f>
        <v/>
      </c>
      <c r="K39" s="43" t="inlineStr">
        <is>
          <t>来源页53</t>
        </is>
      </c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</row>
    <row r="40" hidden="1" ht="20" customFormat="1" customHeight="1" s="30">
      <c r="A40" s="76" t="n"/>
      <c r="B40" s="76" t="n"/>
      <c r="C40" s="43" t="inlineStr">
        <is>
          <t>节段02</t>
        </is>
      </c>
      <c r="D40" s="43" t="inlineStr">
        <is>
          <t>Q355D</t>
        </is>
      </c>
      <c r="E40" s="43" t="n">
        <v>10105</v>
      </c>
      <c r="F40" s="43" t="n">
        <v>2500</v>
      </c>
      <c r="G40" s="43" t="n">
        <v>24</v>
      </c>
      <c r="H40" s="79">
        <f>(E40/1000)*(F40/1000)*(G40/1000)*7850</f>
        <v/>
      </c>
      <c r="I40" s="43" t="n">
        <v>1</v>
      </c>
      <c r="J40" s="80">
        <f>H40*I40</f>
        <v/>
      </c>
      <c r="K40" s="43" t="inlineStr">
        <is>
          <t>来源页53</t>
        </is>
      </c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</row>
    <row r="41" hidden="1" ht="20" customFormat="1" customHeight="1" s="30">
      <c r="A41" s="76" t="n"/>
      <c r="B41" s="76" t="n"/>
      <c r="C41" s="43" t="inlineStr">
        <is>
          <t>节段02</t>
        </is>
      </c>
      <c r="D41" s="43" t="inlineStr">
        <is>
          <t>Q355D</t>
        </is>
      </c>
      <c r="E41" s="43" t="n"/>
      <c r="F41" s="43" t="n"/>
      <c r="G41" s="43" t="n">
        <v>24</v>
      </c>
      <c r="H41" s="79">
        <f>(E41/1000)*(F41/1000)*(G41/1000)*7850</f>
        <v/>
      </c>
      <c r="I41" s="43" t="n">
        <v>1</v>
      </c>
      <c r="J41" s="80">
        <f>H41*I41</f>
        <v/>
      </c>
      <c r="K41" s="43" t="inlineStr">
        <is>
          <t>来源页53</t>
        </is>
      </c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</row>
    <row r="42" hidden="1" ht="20" customFormat="1" customHeight="1" s="30">
      <c r="A42" s="76" t="n"/>
      <c r="B42" s="76" t="n"/>
      <c r="C42" s="43" t="inlineStr">
        <is>
          <t>节段02</t>
        </is>
      </c>
      <c r="D42" s="43" t="inlineStr">
        <is>
          <t>Q355D</t>
        </is>
      </c>
      <c r="E42" s="43" t="n"/>
      <c r="F42" s="43" t="n"/>
      <c r="G42" s="43" t="n">
        <v>24</v>
      </c>
      <c r="H42" s="79">
        <f>(E42/1000)*(F42/1000)*(G42/1000)*7850</f>
        <v/>
      </c>
      <c r="I42" s="43" t="n">
        <v>1</v>
      </c>
      <c r="J42" s="80">
        <f>H42*I42</f>
        <v/>
      </c>
      <c r="K42" s="43" t="inlineStr">
        <is>
          <t>来源页53</t>
        </is>
      </c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</row>
    <row r="43" hidden="1" ht="20" customFormat="1" customHeight="1" s="30">
      <c r="A43" s="76" t="n"/>
      <c r="B43" s="76" t="n"/>
      <c r="C43" s="43" t="inlineStr">
        <is>
          <t>节段02</t>
        </is>
      </c>
      <c r="D43" s="43" t="inlineStr">
        <is>
          <t>Q355D</t>
        </is>
      </c>
      <c r="E43" s="43" t="n"/>
      <c r="F43" s="43" t="n"/>
      <c r="G43" s="43" t="n">
        <v>40</v>
      </c>
      <c r="H43" s="79">
        <f>(E43/1000)*(F43/1000)*(G43/1000)*7850</f>
        <v/>
      </c>
      <c r="I43" s="43" t="n">
        <v>2</v>
      </c>
      <c r="J43" s="80">
        <f>H43*I43</f>
        <v/>
      </c>
      <c r="K43" s="43" t="inlineStr">
        <is>
          <t>Z35钢；来源页53</t>
        </is>
      </c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</row>
    <row r="44" hidden="1" ht="20" customFormat="1" customHeight="1" s="30">
      <c r="A44" s="76" t="n"/>
      <c r="B44" s="76" t="n"/>
      <c r="C44" s="43" t="inlineStr">
        <is>
          <t>节段02</t>
        </is>
      </c>
      <c r="D44" s="43" t="inlineStr">
        <is>
          <t>Q355D</t>
        </is>
      </c>
      <c r="E44" s="43" t="n">
        <v>10305</v>
      </c>
      <c r="F44" s="43" t="n">
        <v>1880</v>
      </c>
      <c r="G44" s="43" t="n">
        <v>24</v>
      </c>
      <c r="H44" s="79">
        <f>(E44/1000)*(F44/1000)*(G44/1000)*7850</f>
        <v/>
      </c>
      <c r="I44" s="43" t="n">
        <v>2</v>
      </c>
      <c r="J44" s="80">
        <f>H44*I44</f>
        <v/>
      </c>
      <c r="K44" s="43" t="inlineStr">
        <is>
          <t>来源页53</t>
        </is>
      </c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</row>
    <row r="45" ht="20" customFormat="1" customHeight="1" s="30">
      <c r="A45" s="76" t="n"/>
      <c r="B45" s="76" t="n"/>
      <c r="C45" s="43" t="inlineStr">
        <is>
          <t>节段02</t>
        </is>
      </c>
      <c r="D45" s="43" t="inlineStr">
        <is>
          <t>Q355D</t>
        </is>
      </c>
      <c r="E45" s="43" t="n">
        <v>1800</v>
      </c>
      <c r="F45" s="43" t="n">
        <v>1200</v>
      </c>
      <c r="G45" s="43" t="n">
        <v>16</v>
      </c>
      <c r="H45" s="79">
        <f>(E45/1000)*(F45/1000)*(G45/1000)*7850</f>
        <v/>
      </c>
      <c r="I45" s="43" t="n">
        <v>3</v>
      </c>
      <c r="J45" s="80">
        <f>H45*I45</f>
        <v/>
      </c>
      <c r="K45" s="43" t="inlineStr">
        <is>
          <t>来源页53</t>
        </is>
      </c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</row>
    <row r="46" ht="20" customFormat="1" customHeight="1" s="30">
      <c r="A46" s="76" t="n"/>
      <c r="B46" s="74" t="n"/>
      <c r="C46" s="43" t="inlineStr">
        <is>
          <t>节段02</t>
        </is>
      </c>
      <c r="D46" s="43" t="inlineStr">
        <is>
          <t>Q355D</t>
        </is>
      </c>
      <c r="E46" s="43" t="n">
        <v>1800</v>
      </c>
      <c r="F46" s="43" t="n">
        <v>1200</v>
      </c>
      <c r="G46" s="43" t="n">
        <v>16</v>
      </c>
      <c r="H46" s="79">
        <f>(E46/1000)*(F46/1000)*(G46/1000)*7850</f>
        <v/>
      </c>
      <c r="I46" s="43" t="n">
        <v>3</v>
      </c>
      <c r="J46" s="80">
        <f>H46*I46</f>
        <v/>
      </c>
      <c r="K46" s="43" t="inlineStr">
        <is>
          <t>来源页53</t>
        </is>
      </c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</row>
    <row r="47" hidden="1" ht="20" customFormat="1" customHeight="1" s="30">
      <c r="A47" s="76" t="n"/>
      <c r="B47" s="43" t="inlineStr"/>
      <c r="C47" s="43" t="inlineStr">
        <is>
          <t>节段02</t>
        </is>
      </c>
      <c r="D47" s="43" t="inlineStr">
        <is>
          <t>Q355D</t>
        </is>
      </c>
      <c r="E47" s="43" t="n">
        <v>7902</v>
      </c>
      <c r="F47" s="43" t="n">
        <v>240</v>
      </c>
      <c r="G47" s="43" t="n">
        <v>20</v>
      </c>
      <c r="H47" s="79">
        <f>(E47/1000)*(F47/1000)*(G47/1000)*7850</f>
        <v/>
      </c>
      <c r="I47" s="43" t="n">
        <v>2</v>
      </c>
      <c r="J47" s="80">
        <f>H47*I47</f>
        <v/>
      </c>
      <c r="K47" s="43" t="inlineStr">
        <is>
          <t>来源页53</t>
        </is>
      </c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</row>
    <row r="48" hidden="1" ht="20" customFormat="1" customHeight="1" s="30">
      <c r="A48" s="76" t="n"/>
      <c r="B48" s="76" t="n"/>
      <c r="C48" s="43" t="inlineStr">
        <is>
          <t>节段02</t>
        </is>
      </c>
      <c r="D48" s="43" t="inlineStr">
        <is>
          <t>Q355D</t>
        </is>
      </c>
      <c r="E48" s="43" t="n">
        <v>7902</v>
      </c>
      <c r="F48" s="43" t="n">
        <v>240</v>
      </c>
      <c r="G48" s="43" t="n">
        <v>20</v>
      </c>
      <c r="H48" s="79">
        <f>(E48/1000)*(F48/1000)*(G48/1000)*7850</f>
        <v/>
      </c>
      <c r="I48" s="43" t="n">
        <v>2</v>
      </c>
      <c r="J48" s="80">
        <f>H48*I48</f>
        <v/>
      </c>
      <c r="K48" s="43" t="inlineStr">
        <is>
          <t>来源页53</t>
        </is>
      </c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</row>
    <row r="49" ht="20" customFormat="1" customHeight="1" s="30">
      <c r="A49" s="76" t="n"/>
      <c r="B49" s="76" t="n"/>
      <c r="C49" s="43" t="inlineStr">
        <is>
          <t>节段02</t>
        </is>
      </c>
      <c r="D49" s="43" t="inlineStr">
        <is>
          <t>Q355D</t>
        </is>
      </c>
      <c r="E49" s="43" t="n">
        <v>10105</v>
      </c>
      <c r="F49" s="43" t="n">
        <v>240</v>
      </c>
      <c r="G49" s="43" t="n">
        <v>20</v>
      </c>
      <c r="H49" s="79">
        <f>(E49/1000)*(F49/1000)*(G49/1000)*7850</f>
        <v/>
      </c>
      <c r="I49" s="43" t="n">
        <v>4</v>
      </c>
      <c r="J49" s="80">
        <f>H49*I49</f>
        <v/>
      </c>
      <c r="K49" s="43" t="inlineStr">
        <is>
          <t>来源页53</t>
        </is>
      </c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</row>
    <row r="50" hidden="1" ht="20" customFormat="1" customHeight="1" s="30">
      <c r="A50" s="76" t="n"/>
      <c r="B50" s="74" t="n"/>
      <c r="C50" s="43" t="inlineStr">
        <is>
          <t>节段02</t>
        </is>
      </c>
      <c r="D50" s="43" t="inlineStr">
        <is>
          <t>Q355D</t>
        </is>
      </c>
      <c r="E50" s="43" t="n">
        <v>18007</v>
      </c>
      <c r="F50" s="43" t="n">
        <v>170</v>
      </c>
      <c r="G50" s="43" t="n">
        <v>14</v>
      </c>
      <c r="H50" s="79">
        <f>(E50/1000)*(F50/1000)*(G50/1000)*7850</f>
        <v/>
      </c>
      <c r="I50" s="43" t="n">
        <v>2</v>
      </c>
      <c r="J50" s="80">
        <f>H50*I50</f>
        <v/>
      </c>
      <c r="K50" s="43" t="inlineStr">
        <is>
          <t>来源页53</t>
        </is>
      </c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</row>
    <row r="51" hidden="1" ht="20" customFormat="1" customHeight="1" s="30">
      <c r="A51" s="76" t="n"/>
      <c r="B51" s="43" t="inlineStr"/>
      <c r="C51" s="43" t="inlineStr">
        <is>
          <t>节段02</t>
        </is>
      </c>
      <c r="D51" s="43" t="inlineStr">
        <is>
          <t>Q355D</t>
        </is>
      </c>
      <c r="E51" s="44" t="n">
        <v>10047</v>
      </c>
      <c r="F51" s="43" t="n">
        <v>900</v>
      </c>
      <c r="G51" s="43" t="n">
        <v>36</v>
      </c>
      <c r="H51" s="79">
        <f>(E51/1000)*(F51/1000)*(G51/1000)*7850</f>
        <v/>
      </c>
      <c r="I51" s="43" t="n">
        <v>2</v>
      </c>
      <c r="J51" s="80">
        <f>H51*I51</f>
        <v/>
      </c>
      <c r="K51" s="6" t="inlineStr">
        <is>
          <t>来源页53</t>
        </is>
      </c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</row>
    <row r="52" hidden="1" ht="20" customFormat="1" customHeight="1" s="30">
      <c r="A52" s="76" t="n"/>
      <c r="B52" s="76" t="n"/>
      <c r="C52" s="43" t="inlineStr">
        <is>
          <t>节段02</t>
        </is>
      </c>
      <c r="D52" s="43" t="inlineStr">
        <is>
          <t>Q355D</t>
        </is>
      </c>
      <c r="E52" s="44" t="n">
        <v>14547</v>
      </c>
      <c r="F52" s="43" t="n">
        <v>1200</v>
      </c>
      <c r="G52" s="43" t="n">
        <v>32</v>
      </c>
      <c r="H52" s="79">
        <f>(E52/1000)*(F52/1000)*(G52/1000)*7850</f>
        <v/>
      </c>
      <c r="I52" s="43" t="n">
        <v>1</v>
      </c>
      <c r="J52" s="80">
        <f>H52*I52</f>
        <v/>
      </c>
      <c r="K52" s="6" t="inlineStr">
        <is>
          <t>来源页53</t>
        </is>
      </c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</row>
    <row r="53" hidden="1" ht="20" customFormat="1" customHeight="1" s="30">
      <c r="A53" s="76" t="n"/>
      <c r="B53" s="74" t="n"/>
      <c r="C53" s="43" t="inlineStr">
        <is>
          <t>节段02</t>
        </is>
      </c>
      <c r="D53" s="43" t="inlineStr">
        <is>
          <t>Q355D</t>
        </is>
      </c>
      <c r="E53" s="44" t="n">
        <v>13147</v>
      </c>
      <c r="F53" s="43" t="n">
        <v>240</v>
      </c>
      <c r="G53" s="43" t="n">
        <v>24</v>
      </c>
      <c r="H53" s="79">
        <f>(E53/1000)*(F53/1000)*(G53/1000)*7850</f>
        <v/>
      </c>
      <c r="I53" s="43" t="n">
        <v>2</v>
      </c>
      <c r="J53" s="80">
        <f>H53*I53</f>
        <v/>
      </c>
      <c r="K53" s="6" t="inlineStr">
        <is>
          <t>来源页53</t>
        </is>
      </c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</row>
    <row r="54" hidden="1" ht="20" customFormat="1" customHeight="1" s="30">
      <c r="A54" s="76" t="n"/>
      <c r="B54" s="43" t="inlineStr"/>
      <c r="C54" s="43" t="inlineStr">
        <is>
          <t>节段02</t>
        </is>
      </c>
      <c r="D54" s="43" t="inlineStr">
        <is>
          <t>Q355D</t>
        </is>
      </c>
      <c r="E54" s="43" t="n">
        <v>4796</v>
      </c>
      <c r="F54" s="43" t="n">
        <v>900</v>
      </c>
      <c r="G54" s="43" t="n">
        <v>36</v>
      </c>
      <c r="H54" s="79">
        <f>(E54/1000)*(F54/1000)*(G54/1000)*7850</f>
        <v/>
      </c>
      <c r="I54" s="43" t="n">
        <v>2</v>
      </c>
      <c r="J54" s="80">
        <f>H54*I54</f>
        <v/>
      </c>
      <c r="K54" s="43" t="inlineStr">
        <is>
          <t>来源页53</t>
        </is>
      </c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</row>
    <row r="55" hidden="1" ht="20" customFormat="1" customHeight="1" s="30">
      <c r="A55" s="76" t="n"/>
      <c r="B55" s="76" t="n"/>
      <c r="C55" s="43" t="inlineStr">
        <is>
          <t>节段02</t>
        </is>
      </c>
      <c r="D55" s="43" t="inlineStr">
        <is>
          <t>Q355D</t>
        </is>
      </c>
      <c r="E55" s="43" t="n">
        <v>7096</v>
      </c>
      <c r="F55" s="43" t="n">
        <v>1200</v>
      </c>
      <c r="G55" s="43" t="n">
        <v>32</v>
      </c>
      <c r="H55" s="79">
        <f>(E55/1000)*(F55/1000)*(G55/1000)*7850</f>
        <v/>
      </c>
      <c r="I55" s="43" t="n">
        <v>1</v>
      </c>
      <c r="J55" s="80">
        <f>H55*I55</f>
        <v/>
      </c>
      <c r="K55" s="43" t="inlineStr">
        <is>
          <t>来源页53</t>
        </is>
      </c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</row>
    <row r="56" hidden="1" ht="20" customFormat="1" customHeight="1" s="30">
      <c r="A56" s="76" t="n"/>
      <c r="B56" s="76" t="n"/>
      <c r="C56" s="43" t="inlineStr">
        <is>
          <t>节段02</t>
        </is>
      </c>
      <c r="D56" s="43" t="inlineStr">
        <is>
          <t>Q355D</t>
        </is>
      </c>
      <c r="E56" s="43" t="n">
        <v>6396</v>
      </c>
      <c r="F56" s="43" t="n">
        <v>240</v>
      </c>
      <c r="G56" s="43" t="n">
        <v>24</v>
      </c>
      <c r="H56" s="79">
        <f>(E56/1000)*(F56/1000)*(G56/1000)*7850</f>
        <v/>
      </c>
      <c r="I56" s="43" t="n">
        <v>2</v>
      </c>
      <c r="J56" s="80">
        <f>H56*I56</f>
        <v/>
      </c>
      <c r="K56" s="43" t="inlineStr">
        <is>
          <t>来源页53</t>
        </is>
      </c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</row>
    <row r="57" ht="20" customFormat="1" customHeight="1" s="30">
      <c r="A57" s="76" t="n"/>
      <c r="B57" s="74" t="n"/>
      <c r="C57" s="43" t="inlineStr">
        <is>
          <t>节段02</t>
        </is>
      </c>
      <c r="D57" s="43" t="inlineStr">
        <is>
          <t>Q355D</t>
        </is>
      </c>
      <c r="E57" s="43" t="n">
        <v>7125</v>
      </c>
      <c r="F57" s="43" t="n">
        <v>1200</v>
      </c>
      <c r="G57" s="43" t="n">
        <v>36</v>
      </c>
      <c r="H57" s="79">
        <f>(E57/1000)*(F57/1000)*(G57/1000)*7850</f>
        <v/>
      </c>
      <c r="I57" s="43" t="n">
        <v>1</v>
      </c>
      <c r="J57" s="80">
        <f>H57*I57</f>
        <v/>
      </c>
      <c r="K57" s="43" t="inlineStr">
        <is>
          <t>来源页53</t>
        </is>
      </c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</row>
    <row r="58" hidden="1" ht="20" customFormat="1" customHeight="1" s="30">
      <c r="A58" s="74" t="n"/>
      <c r="B58" s="43" t="inlineStr">
        <is>
          <t>小计</t>
        </is>
      </c>
      <c r="C58" s="73" t="n"/>
      <c r="D58" s="43" t="n"/>
      <c r="E58" s="43" t="n"/>
      <c r="F58" s="43" t="n"/>
      <c r="G58" s="43" t="n"/>
      <c r="H58" s="79" t="n"/>
      <c r="I58" s="43" t="n"/>
      <c r="J58" s="80">
        <f>SUM(J33:J57)</f>
        <v/>
      </c>
      <c r="K58" s="43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</row>
    <row r="59" ht="20" customFormat="1" customHeight="1" s="30">
      <c r="A59" s="43" t="inlineStr">
        <is>
          <t>N51a</t>
        </is>
      </c>
      <c r="B59" s="43" t="inlineStr"/>
      <c r="C59" s="43" t="inlineStr">
        <is>
          <t>节段02</t>
        </is>
      </c>
      <c r="D59" s="43" t="inlineStr">
        <is>
          <t>Q355D</t>
        </is>
      </c>
      <c r="E59" s="43" t="n">
        <v>6725</v>
      </c>
      <c r="F59" s="43" t="n">
        <v>1200</v>
      </c>
      <c r="G59" s="43" t="n">
        <v>36</v>
      </c>
      <c r="H59" s="79">
        <f>(E59/1000)*(F59/1000)*(G59/1000)*7850</f>
        <v/>
      </c>
      <c r="I59" s="43" t="n">
        <v>1</v>
      </c>
      <c r="J59" s="80">
        <f>H59*I59</f>
        <v/>
      </c>
      <c r="K59" s="43" t="inlineStr">
        <is>
          <t>来源页53</t>
        </is>
      </c>
      <c r="L59" s="43">
        <f>A59</f>
        <v/>
      </c>
      <c r="M59" s="81">
        <f>SUMIF(G59:G83,$M$3,J59:J83)</f>
        <v/>
      </c>
      <c r="N59" s="81">
        <f>SUMIF(G59:G83,$N$3,J59:J83)</f>
        <v/>
      </c>
      <c r="O59" s="81">
        <f>SUMIF(G59:G83,$O$3,J59:J83)</f>
        <v/>
      </c>
      <c r="P59" s="81">
        <f>SUMIF(G59:G83,$P$3,J59:J83)</f>
        <v/>
      </c>
      <c r="Q59" s="81">
        <f>SUMIF(G59:G83,$Q$3,J59:J83)</f>
        <v/>
      </c>
      <c r="R59" s="81">
        <f>SUMIF(G59:G83,$R$3,J59:J83)</f>
        <v/>
      </c>
      <c r="S59" s="81">
        <f>SUMIF(G59:G83,$S$3,J59:J83)</f>
        <v/>
      </c>
      <c r="T59" s="81">
        <f>SUM(M59:S84)</f>
        <v/>
      </c>
      <c r="U59" s="81" t="n">
        <v>141854</v>
      </c>
      <c r="V59" s="81">
        <f>T59-U59</f>
        <v/>
      </c>
      <c r="W59" s="43" t="n"/>
    </row>
    <row r="60" ht="20" customFormat="1" customHeight="1" s="30">
      <c r="A60" s="76" t="n"/>
      <c r="B60" s="76" t="n"/>
      <c r="C60" s="43" t="inlineStr">
        <is>
          <t>节段02</t>
        </is>
      </c>
      <c r="D60" s="43" t="inlineStr">
        <is>
          <t>Q355D</t>
        </is>
      </c>
      <c r="E60" s="43" t="n">
        <v>4925</v>
      </c>
      <c r="F60" s="43" t="n">
        <v>1360</v>
      </c>
      <c r="G60" s="43" t="n">
        <v>36</v>
      </c>
      <c r="H60" s="79">
        <f>(E60/1000)*(F60/1000)*(G60/1000)*7850</f>
        <v/>
      </c>
      <c r="I60" s="43" t="n">
        <v>2</v>
      </c>
      <c r="J60" s="80">
        <f>H60*I60</f>
        <v/>
      </c>
      <c r="K60" s="43" t="inlineStr">
        <is>
          <t>来源页53</t>
        </is>
      </c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</row>
    <row r="61" hidden="1" ht="20" customFormat="1" customHeight="1" s="30">
      <c r="A61" s="76" t="n"/>
      <c r="B61" s="76" t="n"/>
      <c r="C61" s="43" t="inlineStr">
        <is>
          <t>节段02</t>
        </is>
      </c>
      <c r="D61" s="43" t="inlineStr">
        <is>
          <t>Q355D</t>
        </is>
      </c>
      <c r="E61" s="43" t="n">
        <v>4925</v>
      </c>
      <c r="F61" s="43" t="n">
        <v>320</v>
      </c>
      <c r="G61" s="43" t="n">
        <v>32</v>
      </c>
      <c r="H61" s="79">
        <f>(E61/1000)*(F61/1000)*(G61/1000)*7850</f>
        <v/>
      </c>
      <c r="I61" s="43" t="n">
        <v>2</v>
      </c>
      <c r="J61" s="80">
        <f>H61*I61</f>
        <v/>
      </c>
      <c r="K61" s="43" t="inlineStr">
        <is>
          <t>来源页53</t>
        </is>
      </c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</row>
    <row r="62" hidden="1" ht="20" customFormat="1" customHeight="1" s="30">
      <c r="A62" s="76" t="n"/>
      <c r="B62" s="76" t="n"/>
      <c r="C62" s="43" t="inlineStr">
        <is>
          <t>节段02</t>
        </is>
      </c>
      <c r="D62" s="43" t="inlineStr">
        <is>
          <t>Q355D</t>
        </is>
      </c>
      <c r="E62" s="43" t="n">
        <v>6425</v>
      </c>
      <c r="F62" s="43" t="n">
        <v>320</v>
      </c>
      <c r="G62" s="43" t="n">
        <v>32</v>
      </c>
      <c r="H62" s="79">
        <f>(E62/1000)*(F62/1000)*(G62/1000)*7850</f>
        <v/>
      </c>
      <c r="I62" s="43" t="n">
        <v>1</v>
      </c>
      <c r="J62" s="80">
        <f>H62*I62</f>
        <v/>
      </c>
      <c r="K62" s="43" t="inlineStr">
        <is>
          <t>来源页53</t>
        </is>
      </c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</row>
    <row r="63" hidden="1" ht="20" customFormat="1" customHeight="1" s="30">
      <c r="A63" s="76" t="n"/>
      <c r="B63" s="76" t="n"/>
      <c r="C63" s="43" t="inlineStr">
        <is>
          <t>节段02</t>
        </is>
      </c>
      <c r="D63" s="43" t="inlineStr">
        <is>
          <t>Q355D</t>
        </is>
      </c>
      <c r="E63" s="43" t="n">
        <v>6025</v>
      </c>
      <c r="F63" s="43" t="n">
        <v>320</v>
      </c>
      <c r="G63" s="43" t="n">
        <v>32</v>
      </c>
      <c r="H63" s="79">
        <f>(E63/1000)*(F63/1000)*(G63/1000)*7850</f>
        <v/>
      </c>
      <c r="I63" s="43" t="n">
        <v>1</v>
      </c>
      <c r="J63" s="80">
        <f>H63*I63</f>
        <v/>
      </c>
      <c r="K63" s="43" t="inlineStr">
        <is>
          <t>来源页53</t>
        </is>
      </c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</row>
    <row r="64" hidden="1" ht="20" customFormat="1" customHeight="1" s="30">
      <c r="A64" s="76" t="n"/>
      <c r="B64" s="74" t="n"/>
      <c r="C64" s="43" t="inlineStr">
        <is>
          <t>节段02</t>
        </is>
      </c>
      <c r="D64" s="43" t="inlineStr">
        <is>
          <t>Q355D</t>
        </is>
      </c>
      <c r="E64" s="43" t="n">
        <v>1200</v>
      </c>
      <c r="F64" s="43" t="n">
        <v>1200</v>
      </c>
      <c r="G64" s="43" t="n">
        <v>16</v>
      </c>
      <c r="H64" s="79">
        <f>(E64/1000)*(F64/1000)*(G64/1000)*7850</f>
        <v/>
      </c>
      <c r="I64" s="43" t="n">
        <v>2</v>
      </c>
      <c r="J64" s="80">
        <f>H64*I64</f>
        <v/>
      </c>
      <c r="K64" s="43" t="inlineStr">
        <is>
          <t>来源页53</t>
        </is>
      </c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</row>
    <row r="65" hidden="1" ht="20" customFormat="1" customHeight="1" s="30">
      <c r="A65" s="76" t="n"/>
      <c r="B65" s="43" t="inlineStr"/>
      <c r="C65" s="43" t="inlineStr">
        <is>
          <t>节段02</t>
        </is>
      </c>
      <c r="D65" s="43" t="inlineStr">
        <is>
          <t>Q355D</t>
        </is>
      </c>
      <c r="E65" s="43" t="n">
        <v>2150</v>
      </c>
      <c r="F65" s="43" t="n">
        <v>320</v>
      </c>
      <c r="G65" s="43" t="n">
        <v>32</v>
      </c>
      <c r="H65" s="79">
        <f>(E65/1000)*(F65/1000)*(G65/1000)*7850</f>
        <v/>
      </c>
      <c r="I65" s="43" t="n">
        <v>2</v>
      </c>
      <c r="J65" s="80">
        <f>H65*I65</f>
        <v/>
      </c>
      <c r="K65" s="43" t="inlineStr">
        <is>
          <t>来源页53</t>
        </is>
      </c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</row>
    <row r="66" hidden="1" ht="20" customFormat="1" customHeight="1" s="30">
      <c r="A66" s="76" t="n"/>
      <c r="B66" s="76" t="n"/>
      <c r="C66" s="43" t="inlineStr">
        <is>
          <t>节段02</t>
        </is>
      </c>
      <c r="D66" s="43" t="inlineStr">
        <is>
          <t>Q355D</t>
        </is>
      </c>
      <c r="E66" s="43" t="n">
        <v>1800</v>
      </c>
      <c r="F66" s="43" t="n">
        <v>626</v>
      </c>
      <c r="G66" s="43" t="n">
        <v>14</v>
      </c>
      <c r="H66" s="79">
        <f>(E66/1000)*(F66/1000)*(G66/1000)*7850</f>
        <v/>
      </c>
      <c r="I66" s="43" t="n">
        <v>6</v>
      </c>
      <c r="J66" s="80">
        <f>H66*I66</f>
        <v/>
      </c>
      <c r="K66" s="43" t="inlineStr">
        <is>
          <t>来源页53</t>
        </is>
      </c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</row>
    <row r="67" hidden="1" ht="20" customFormat="1" customHeight="1" s="30">
      <c r="A67" s="76" t="n"/>
      <c r="B67" s="76" t="n"/>
      <c r="C67" s="43" t="inlineStr">
        <is>
          <t>节段1~节段2</t>
        </is>
      </c>
      <c r="D67" s="43" t="inlineStr">
        <is>
          <t>Q355D</t>
        </is>
      </c>
      <c r="E67" s="43" t="n"/>
      <c r="F67" s="43" t="n"/>
      <c r="G67" s="43" t="n">
        <v>44</v>
      </c>
      <c r="H67" s="79">
        <f>(E67/1000)*(F67/1000)*(G67/1000)*7850</f>
        <v/>
      </c>
      <c r="I67" s="43" t="n">
        <v>1</v>
      </c>
      <c r="J67" s="80">
        <f>H67*I67</f>
        <v/>
      </c>
      <c r="K67" s="43" t="inlineStr">
        <is>
          <t>来源页53</t>
        </is>
      </c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</row>
    <row r="68" hidden="1" ht="20" customFormat="1" customHeight="1" s="30">
      <c r="A68" s="76" t="n"/>
      <c r="B68" s="76" t="n"/>
      <c r="C68" s="43" t="inlineStr">
        <is>
          <t>节段1~节段2</t>
        </is>
      </c>
      <c r="D68" s="43" t="inlineStr">
        <is>
          <t>Q355D</t>
        </is>
      </c>
      <c r="E68" s="43" t="n"/>
      <c r="F68" s="43" t="n"/>
      <c r="G68" s="43" t="n">
        <v>32</v>
      </c>
      <c r="H68" s="79">
        <f>(E68/1000)*(F68/1000)*(G68/1000)*7850</f>
        <v/>
      </c>
      <c r="I68" s="43" t="n">
        <v>1</v>
      </c>
      <c r="J68" s="80">
        <f>H68*I68</f>
        <v/>
      </c>
      <c r="K68" s="43" t="inlineStr">
        <is>
          <t>来源页53</t>
        </is>
      </c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</row>
    <row r="69" hidden="1" ht="20" customFormat="1" customHeight="1" s="30">
      <c r="A69" s="76" t="n"/>
      <c r="B69" s="76" t="n"/>
      <c r="C69" s="43" t="inlineStr">
        <is>
          <t>节段1~节段2</t>
        </is>
      </c>
      <c r="D69" s="43" t="inlineStr">
        <is>
          <t>Q355D</t>
        </is>
      </c>
      <c r="E69" s="43" t="n"/>
      <c r="F69" s="43" t="n"/>
      <c r="G69" s="43" t="n">
        <v>28</v>
      </c>
      <c r="H69" s="79">
        <f>(E69/1000)*(F69/1000)*(G69/1000)*7850</f>
        <v/>
      </c>
      <c r="I69" s="43" t="n">
        <v>1</v>
      </c>
      <c r="J69" s="80">
        <f>H69*I69</f>
        <v/>
      </c>
      <c r="K69" s="43" t="inlineStr">
        <is>
          <t>来源页53</t>
        </is>
      </c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</row>
    <row r="70" hidden="1" ht="20" customFormat="1" customHeight="1" s="30">
      <c r="A70" s="76" t="n"/>
      <c r="B70" s="76" t="n"/>
      <c r="C70" s="43" t="inlineStr">
        <is>
          <t>节段1~节段2</t>
        </is>
      </c>
      <c r="D70" s="43" t="inlineStr">
        <is>
          <t>Q355D</t>
        </is>
      </c>
      <c r="E70" s="43" t="n"/>
      <c r="F70" s="43" t="n"/>
      <c r="G70" s="43" t="n">
        <v>24</v>
      </c>
      <c r="H70" s="79">
        <f>(E70/1000)*(F70/1000)*(G70/1000)*7850</f>
        <v/>
      </c>
      <c r="I70" s="43" t="n">
        <v>1</v>
      </c>
      <c r="J70" s="80">
        <f>H70*I70</f>
        <v/>
      </c>
      <c r="K70" s="43" t="inlineStr">
        <is>
          <t>来源页53</t>
        </is>
      </c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</row>
    <row r="71" ht="20" customFormat="1" customHeight="1" s="30">
      <c r="A71" s="76" t="n"/>
      <c r="B71" s="76" t="n"/>
      <c r="C71" s="43" t="inlineStr">
        <is>
          <t>节段1~节段2</t>
        </is>
      </c>
      <c r="D71" s="43" t="inlineStr">
        <is>
          <t>Q355D</t>
        </is>
      </c>
      <c r="E71" s="43" t="n"/>
      <c r="F71" s="43" t="n"/>
      <c r="G71" s="43" t="n">
        <v>20</v>
      </c>
      <c r="H71" s="79">
        <f>(E71/1000)*(F71/1000)*(G71/1000)*7850</f>
        <v/>
      </c>
      <c r="I71" s="43" t="n">
        <v>1</v>
      </c>
      <c r="J71" s="80">
        <f>H71*I71</f>
        <v/>
      </c>
      <c r="K71" s="43" t="inlineStr">
        <is>
          <t>来源页53</t>
        </is>
      </c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</row>
    <row r="72" ht="20" customFormat="1" customHeight="1" s="30">
      <c r="A72" s="76" t="n"/>
      <c r="B72" s="74" t="n"/>
      <c r="C72" s="43" t="inlineStr">
        <is>
          <t>节段1~节段2</t>
        </is>
      </c>
      <c r="D72" s="43" t="inlineStr">
        <is>
          <t>Q355D</t>
        </is>
      </c>
      <c r="E72" s="43" t="n"/>
      <c r="F72" s="43" t="n"/>
      <c r="G72" s="43" t="n">
        <v>16</v>
      </c>
      <c r="H72" s="79">
        <f>(E72/1000)*(F72/1000)*(G72/1000)*7850</f>
        <v/>
      </c>
      <c r="I72" s="43" t="n">
        <v>1</v>
      </c>
      <c r="J72" s="80">
        <f>H72*I72</f>
        <v/>
      </c>
      <c r="K72" s="43" t="inlineStr">
        <is>
          <t>来源页53</t>
        </is>
      </c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</row>
    <row r="73" hidden="1" ht="20" customFormat="1" customHeight="1" s="30">
      <c r="A73" s="76" t="n"/>
      <c r="B73" s="43" t="inlineStr"/>
      <c r="C73" s="43" t="inlineStr">
        <is>
          <t>节段1~节段2</t>
        </is>
      </c>
      <c r="D73" s="43" t="inlineStr">
        <is>
          <t>10.9S高强螺栓</t>
        </is>
      </c>
      <c r="E73" s="43" t="n"/>
      <c r="F73" s="43" t="n"/>
      <c r="G73" s="43" t="n"/>
      <c r="H73" s="79">
        <f>(E73/1000)*(F73/1000)*(G73/1000)*7850</f>
        <v/>
      </c>
      <c r="I73" s="43" t="n">
        <v>1</v>
      </c>
      <c r="J73" s="80">
        <f>H73*I73</f>
        <v/>
      </c>
      <c r="K73" s="43" t="inlineStr">
        <is>
          <t>来源页53</t>
        </is>
      </c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</row>
    <row r="74" hidden="1" ht="20" customFormat="1" customHeight="1" s="30">
      <c r="A74" s="76" t="n"/>
      <c r="B74" s="76" t="n"/>
      <c r="C74" s="43" t="inlineStr"/>
      <c r="D74" s="43" t="inlineStr">
        <is>
          <t>Q355D</t>
        </is>
      </c>
      <c r="E74" s="43" t="n">
        <v>1020</v>
      </c>
      <c r="F74" s="43" t="n">
        <v>1800</v>
      </c>
      <c r="G74" s="43" t="n">
        <v>16</v>
      </c>
      <c r="H74" s="79">
        <f>(E74/1000)*(F74/1000)*(G74/1000)*7850</f>
        <v/>
      </c>
      <c r="I74" s="43" t="n">
        <v>2</v>
      </c>
      <c r="J74" s="80">
        <f>H74*I74</f>
        <v/>
      </c>
      <c r="K74" s="43" t="inlineStr">
        <is>
          <t>来源页56</t>
        </is>
      </c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</row>
    <row r="75" ht="20" customFormat="1" customHeight="1" s="30">
      <c r="A75" s="76" t="n"/>
      <c r="B75" s="76" t="n"/>
      <c r="C75" s="43" t="inlineStr"/>
      <c r="D75" s="43" t="inlineStr">
        <is>
          <t>Q355D</t>
        </is>
      </c>
      <c r="E75" s="43" t="n">
        <v>1020</v>
      </c>
      <c r="F75" s="43" t="n">
        <v>500</v>
      </c>
      <c r="G75" s="43" t="n">
        <v>16</v>
      </c>
      <c r="H75" s="79">
        <f>(E75/1000)*(F75/1000)*(G75/1000)*7850</f>
        <v/>
      </c>
      <c r="I75" s="43" t="n">
        <v>2</v>
      </c>
      <c r="J75" s="80">
        <f>H75*I75</f>
        <v/>
      </c>
      <c r="K75" s="43" t="inlineStr">
        <is>
          <t>来源页56</t>
        </is>
      </c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</row>
    <row r="76" hidden="1" ht="20" customFormat="1" customHeight="1" s="30">
      <c r="A76" s="76" t="n"/>
      <c r="B76" s="74" t="n"/>
      <c r="C76" s="43" t="inlineStr"/>
      <c r="D76" s="43" t="inlineStr">
        <is>
          <t>Q355D</t>
        </is>
      </c>
      <c r="E76" s="43" t="n">
        <v>1020</v>
      </c>
      <c r="F76" s="43" t="n">
        <v>500</v>
      </c>
      <c r="G76" s="43" t="n">
        <v>16</v>
      </c>
      <c r="H76" s="79">
        <f>(E76/1000)*(F76/1000)*(G76/1000)*7850</f>
        <v/>
      </c>
      <c r="I76" s="43" t="n">
        <v>2</v>
      </c>
      <c r="J76" s="80">
        <f>H76*I76</f>
        <v/>
      </c>
      <c r="K76" s="43" t="inlineStr">
        <is>
          <t>来源页56</t>
        </is>
      </c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</row>
    <row r="77" hidden="1" ht="20" customFormat="1" customHeight="1" s="30">
      <c r="A77" s="76" t="n"/>
      <c r="B77" s="43" t="inlineStr">
        <is>
          <t>上弦杆拼接</t>
        </is>
      </c>
      <c r="C77" s="43" t="inlineStr"/>
      <c r="D77" s="43" t="inlineStr">
        <is>
          <t>Q355D</t>
        </is>
      </c>
      <c r="E77" s="44" t="n">
        <v>1020</v>
      </c>
      <c r="F77" s="43" t="n">
        <v>600</v>
      </c>
      <c r="G77" s="43" t="n">
        <v>16</v>
      </c>
      <c r="H77" s="79">
        <f>(E77/1000)*(F77/1000)*(G77/1000)*7850</f>
        <v/>
      </c>
      <c r="I77" s="43" t="n">
        <v>2</v>
      </c>
      <c r="J77" s="80">
        <f>H77*I77</f>
        <v/>
      </c>
      <c r="K77" s="6" t="inlineStr">
        <is>
          <t>来源页56</t>
        </is>
      </c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</row>
    <row r="78" hidden="1" ht="20" customFormat="1" customHeight="1" s="30">
      <c r="A78" s="76" t="n"/>
      <c r="B78" s="76" t="n"/>
      <c r="C78" s="43" t="inlineStr"/>
      <c r="D78" s="43" t="inlineStr">
        <is>
          <t>Q355D</t>
        </is>
      </c>
      <c r="E78" s="44" t="n">
        <v>1420</v>
      </c>
      <c r="F78" s="43" t="n">
        <v>1100</v>
      </c>
      <c r="G78" s="43" t="n">
        <v>28</v>
      </c>
      <c r="H78" s="79">
        <f>(E78/1000)*(F78/1000)*(G78/1000)*7850</f>
        <v/>
      </c>
      <c r="I78" s="43" t="n">
        <v>1</v>
      </c>
      <c r="J78" s="80">
        <f>H78*I78</f>
        <v/>
      </c>
      <c r="K78" s="6" t="inlineStr">
        <is>
          <t>来源页56</t>
        </is>
      </c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</row>
    <row r="79" hidden="1" ht="20" customFormat="1" customHeight="1" s="30">
      <c r="A79" s="76" t="n"/>
      <c r="B79" s="74" t="n"/>
      <c r="C79" s="43" t="inlineStr"/>
      <c r="D79" s="43" t="inlineStr">
        <is>
          <t>Q355D</t>
        </is>
      </c>
      <c r="E79" s="44" t="n">
        <v>1420</v>
      </c>
      <c r="F79" s="43" t="n">
        <v>400</v>
      </c>
      <c r="G79" s="43" t="n">
        <v>28</v>
      </c>
      <c r="H79" s="79">
        <f>(E79/1000)*(F79/1000)*(G79/1000)*7850</f>
        <v/>
      </c>
      <c r="I79" s="43" t="n">
        <v>2</v>
      </c>
      <c r="J79" s="80">
        <f>H79*I79</f>
        <v/>
      </c>
      <c r="K79" s="6" t="inlineStr">
        <is>
          <t>来源页56</t>
        </is>
      </c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</row>
    <row r="80" hidden="1" ht="20" customFormat="1" customHeight="1" s="30">
      <c r="A80" s="76" t="n"/>
      <c r="B80" s="43" t="inlineStr">
        <is>
          <t>上弦杆拼接</t>
        </is>
      </c>
      <c r="C80" s="43" t="inlineStr"/>
      <c r="D80" s="43" t="inlineStr">
        <is>
          <t>Q355D</t>
        </is>
      </c>
      <c r="E80" s="43" t="n">
        <v>920</v>
      </c>
      <c r="F80" s="43" t="n">
        <v>200</v>
      </c>
      <c r="G80" s="43" t="n">
        <v>20</v>
      </c>
      <c r="H80" s="79">
        <f>(E80/1000)*(F80/1000)*(G80/1000)*7850</f>
        <v/>
      </c>
      <c r="I80" s="43" t="n">
        <v>10</v>
      </c>
      <c r="J80" s="80">
        <f>H80*I80</f>
        <v/>
      </c>
      <c r="K80" s="43" t="inlineStr">
        <is>
          <t>来源页56</t>
        </is>
      </c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</row>
    <row r="81" hidden="1" ht="20" customFormat="1" customHeight="1" s="30">
      <c r="A81" s="76" t="n"/>
      <c r="B81" s="76" t="n"/>
      <c r="C81" s="43" t="inlineStr"/>
      <c r="D81" s="43" t="inlineStr">
        <is>
          <t>Q355D</t>
        </is>
      </c>
      <c r="E81" s="43" t="n">
        <v>600</v>
      </c>
      <c r="F81" s="43" t="n">
        <v>1800</v>
      </c>
      <c r="G81" s="43" t="n">
        <v>20</v>
      </c>
      <c r="H81" s="79">
        <f>(E81/1000)*(F81/1000)*(G81/1000)*7850</f>
        <v/>
      </c>
      <c r="I81" s="43" t="n">
        <v>2</v>
      </c>
      <c r="J81" s="80">
        <f>H81*I81</f>
        <v/>
      </c>
      <c r="K81" s="43" t="inlineStr">
        <is>
          <t>来源页56</t>
        </is>
      </c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</row>
    <row r="82" hidden="1" ht="20" customFormat="1" customHeight="1" s="30">
      <c r="A82" s="76" t="n"/>
      <c r="B82" s="76" t="n"/>
      <c r="C82" s="43" t="inlineStr"/>
      <c r="D82" s="43" t="inlineStr">
        <is>
          <t>10.9S</t>
        </is>
      </c>
      <c r="E82" s="43" t="n"/>
      <c r="F82" s="43" t="n"/>
      <c r="G82" s="43" t="n"/>
      <c r="H82" s="79">
        <f>(E82/1000)*(F82/1000)*(G82/1000)*7850</f>
        <v/>
      </c>
      <c r="I82" s="43" t="n">
        <v>508</v>
      </c>
      <c r="J82" s="80">
        <f>H82*I82</f>
        <v/>
      </c>
      <c r="K82" s="43" t="inlineStr">
        <is>
          <t>来源页56</t>
        </is>
      </c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</row>
    <row r="83" ht="20" customFormat="1" customHeight="1" s="30">
      <c r="A83" s="76" t="n"/>
      <c r="B83" s="74" t="n"/>
      <c r="C83" s="43" t="inlineStr"/>
      <c r="D83" s="43" t="inlineStr">
        <is>
          <t>Q355D</t>
        </is>
      </c>
      <c r="E83" s="43" t="n">
        <v>820</v>
      </c>
      <c r="F83" s="43" t="n">
        <v>1700</v>
      </c>
      <c r="G83" s="43" t="n">
        <v>20</v>
      </c>
      <c r="H83" s="79">
        <f>(E83/1000)*(F83/1000)*(G83/1000)*7850</f>
        <v/>
      </c>
      <c r="I83" s="43" t="n">
        <v>2</v>
      </c>
      <c r="J83" s="80">
        <f>H83*I83</f>
        <v/>
      </c>
      <c r="K83" s="43" t="inlineStr">
        <is>
          <t>来源页56</t>
        </is>
      </c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</row>
    <row r="84" hidden="1" ht="20" customFormat="1" customHeight="1" s="30">
      <c r="A84" s="74" t="n"/>
      <c r="B84" s="43" t="inlineStr">
        <is>
          <t>小计</t>
        </is>
      </c>
      <c r="C84" s="73" t="n"/>
      <c r="D84" s="43" t="n"/>
      <c r="E84" s="43" t="n"/>
      <c r="F84" s="43" t="n"/>
      <c r="G84" s="43" t="n"/>
      <c r="H84" s="79" t="n"/>
      <c r="I84" s="43" t="n"/>
      <c r="J84" s="80">
        <f>SUM(J59:J83)</f>
        <v/>
      </c>
      <c r="K84" s="43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</row>
    <row r="85" ht="20" customFormat="1" customHeight="1" s="30">
      <c r="A85" s="43" t="inlineStr">
        <is>
          <t>K2</t>
        </is>
      </c>
      <c r="B85" s="43" t="inlineStr">
        <is>
          <t>下弦杆拼接</t>
        </is>
      </c>
      <c r="C85" s="43" t="inlineStr"/>
      <c r="D85" s="43" t="inlineStr">
        <is>
          <t>Q355D</t>
        </is>
      </c>
      <c r="E85" s="43" t="n">
        <v>820</v>
      </c>
      <c r="F85" s="43" t="n">
        <v>800</v>
      </c>
      <c r="G85" s="43" t="n">
        <v>20</v>
      </c>
      <c r="H85" s="79">
        <f>(E85/1000)*(F85/1000)*(G85/1000)*7850</f>
        <v/>
      </c>
      <c r="I85" s="43" t="n">
        <v>4</v>
      </c>
      <c r="J85" s="80">
        <f>H85*I85</f>
        <v/>
      </c>
      <c r="K85" s="43" t="inlineStr">
        <is>
          <t>来源页56</t>
        </is>
      </c>
      <c r="L85" s="43">
        <f>A85</f>
        <v/>
      </c>
      <c r="M85" s="81">
        <f>SUMIF(G85:G109,$M$3,J85:J109)</f>
        <v/>
      </c>
      <c r="N85" s="81">
        <f>SUMIF(G85:G109,$N$3,J85:J109)</f>
        <v/>
      </c>
      <c r="O85" s="81">
        <f>SUMIF(G85:G109,$O$3,J85:J109)</f>
        <v/>
      </c>
      <c r="P85" s="81">
        <f>SUMIF(G85:G109,$P$3,J85:J109)</f>
        <v/>
      </c>
      <c r="Q85" s="81">
        <f>SUMIF(G85:G109,$Q$3,J85:J109)</f>
        <v/>
      </c>
      <c r="R85" s="81">
        <f>SUMIF(G85:G109,$R$3,J85:J109)</f>
        <v/>
      </c>
      <c r="S85" s="81">
        <f>SUMIF(G85:G109,$S$3,J85:J109)</f>
        <v/>
      </c>
      <c r="T85" s="81">
        <f>SUM(M85:S110)</f>
        <v/>
      </c>
      <c r="U85" s="81" t="n">
        <v>142224</v>
      </c>
      <c r="V85" s="81">
        <f>T85-U85</f>
        <v/>
      </c>
      <c r="W85" s="43" t="n"/>
    </row>
    <row r="86" ht="20" customFormat="1" customHeight="1" s="30">
      <c r="A86" s="76" t="n"/>
      <c r="B86" s="76" t="n"/>
      <c r="C86" s="43" t="inlineStr"/>
      <c r="D86" s="43" t="inlineStr">
        <is>
          <t>Q355D</t>
        </is>
      </c>
      <c r="E86" s="43" t="n">
        <v>1120</v>
      </c>
      <c r="F86" s="43" t="n">
        <v>1100</v>
      </c>
      <c r="G86" s="43" t="n">
        <v>32</v>
      </c>
      <c r="H86" s="79">
        <f>(E86/1000)*(F86/1000)*(G86/1000)*7850</f>
        <v/>
      </c>
      <c r="I86" s="43" t="n">
        <v>1</v>
      </c>
      <c r="J86" s="80">
        <f>H86*I86</f>
        <v/>
      </c>
      <c r="K86" s="43" t="inlineStr">
        <is>
          <t>来源页56</t>
        </is>
      </c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</row>
    <row r="87" hidden="1" ht="20" customFormat="1" customHeight="1" s="30">
      <c r="A87" s="76" t="n"/>
      <c r="B87" s="76" t="n"/>
      <c r="C87" s="43" t="inlineStr"/>
      <c r="D87" s="43" t="inlineStr">
        <is>
          <t>Q355D</t>
        </is>
      </c>
      <c r="E87" s="43" t="n">
        <v>1120</v>
      </c>
      <c r="F87" s="43" t="n">
        <v>400</v>
      </c>
      <c r="G87" s="43" t="n">
        <v>32</v>
      </c>
      <c r="H87" s="79">
        <f>(E87/1000)*(F87/1000)*(G87/1000)*7850</f>
        <v/>
      </c>
      <c r="I87" s="43" t="n">
        <v>2</v>
      </c>
      <c r="J87" s="80">
        <f>H87*I87</f>
        <v/>
      </c>
      <c r="K87" s="43" t="inlineStr">
        <is>
          <t>来源页56</t>
        </is>
      </c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</row>
    <row r="88" hidden="1" ht="20" customFormat="1" customHeight="1" s="30">
      <c r="A88" s="76" t="n"/>
      <c r="B88" s="76" t="n"/>
      <c r="C88" s="43" t="inlineStr"/>
      <c r="D88" s="43" t="inlineStr">
        <is>
          <t>Q355D</t>
        </is>
      </c>
      <c r="E88" s="43" t="n">
        <v>920</v>
      </c>
      <c r="F88" s="43" t="n">
        <v>200</v>
      </c>
      <c r="G88" s="43" t="n">
        <v>20</v>
      </c>
      <c r="H88" s="79">
        <f>(E88/1000)*(F88/1000)*(G88/1000)*7850</f>
        <v/>
      </c>
      <c r="I88" s="43" t="n">
        <v>6</v>
      </c>
      <c r="J88" s="80">
        <f>H88*I88</f>
        <v/>
      </c>
      <c r="K88" s="43" t="inlineStr">
        <is>
          <t>来源页56</t>
        </is>
      </c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</row>
    <row r="89" hidden="1" ht="20" customFormat="1" customHeight="1" s="30">
      <c r="A89" s="76" t="n"/>
      <c r="B89" s="76" t="n"/>
      <c r="C89" s="43" t="inlineStr"/>
      <c r="D89" s="43" t="inlineStr">
        <is>
          <t>Q355D</t>
        </is>
      </c>
      <c r="E89" s="43" t="n">
        <v>400</v>
      </c>
      <c r="F89" s="43" t="n">
        <v>1700</v>
      </c>
      <c r="G89" s="43" t="n">
        <v>20</v>
      </c>
      <c r="H89" s="79">
        <f>(E89/1000)*(F89/1000)*(G89/1000)*7850</f>
        <v/>
      </c>
      <c r="I89" s="43" t="n">
        <v>2</v>
      </c>
      <c r="J89" s="80">
        <f>H89*I89</f>
        <v/>
      </c>
      <c r="K89" s="43" t="inlineStr">
        <is>
          <t>来源页56</t>
        </is>
      </c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</row>
    <row r="90" hidden="1" ht="20" customFormat="1" customHeight="1" s="30">
      <c r="A90" s="76" t="n"/>
      <c r="B90" s="74" t="n"/>
      <c r="C90" s="43" t="inlineStr"/>
      <c r="D90" s="43" t="inlineStr">
        <is>
          <t>10.9S</t>
        </is>
      </c>
      <c r="E90" s="43" t="n"/>
      <c r="F90" s="43" t="n"/>
      <c r="G90" s="43" t="n"/>
      <c r="H90" s="79">
        <f>(E90/1000)*(F90/1000)*(G90/1000)*7850</f>
        <v/>
      </c>
      <c r="I90" s="43" t="n">
        <v>324</v>
      </c>
      <c r="J90" s="80">
        <f>H90*I90</f>
        <v/>
      </c>
      <c r="K90" s="43" t="inlineStr">
        <is>
          <t>来源页56</t>
        </is>
      </c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</row>
    <row r="91" hidden="1" ht="20" customFormat="1" customHeight="1" s="30">
      <c r="A91" s="76" t="n"/>
      <c r="B91" s="43" t="inlineStr">
        <is>
          <t>腹杆拼接</t>
        </is>
      </c>
      <c r="C91" s="43" t="inlineStr"/>
      <c r="D91" s="43" t="inlineStr">
        <is>
          <t>Q355D</t>
        </is>
      </c>
      <c r="E91" s="43" t="n">
        <v>1320</v>
      </c>
      <c r="F91" s="43" t="n">
        <v>900</v>
      </c>
      <c r="G91" s="43" t="n">
        <v>28</v>
      </c>
      <c r="H91" s="79">
        <f>(E91/1000)*(F91/1000)*(G91/1000)*7850</f>
        <v/>
      </c>
      <c r="I91" s="43" t="n">
        <v>2</v>
      </c>
      <c r="J91" s="80">
        <f>H91*I91</f>
        <v/>
      </c>
      <c r="K91" s="43" t="inlineStr">
        <is>
          <t>来源页56</t>
        </is>
      </c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</row>
    <row r="92" hidden="1" ht="20" customFormat="1" customHeight="1" s="30">
      <c r="A92" s="76" t="n"/>
      <c r="B92" s="76" t="n"/>
      <c r="C92" s="43" t="inlineStr"/>
      <c r="D92" s="43" t="inlineStr">
        <is>
          <t>Q355D</t>
        </is>
      </c>
      <c r="E92" s="43" t="n">
        <v>1320</v>
      </c>
      <c r="F92" s="43" t="n">
        <v>400</v>
      </c>
      <c r="G92" s="43" t="n">
        <v>28</v>
      </c>
      <c r="H92" s="79">
        <f>(E92/1000)*(F92/1000)*(G92/1000)*7850</f>
        <v/>
      </c>
      <c r="I92" s="43" t="n">
        <v>4</v>
      </c>
      <c r="J92" s="80">
        <f>H92*I92</f>
        <v/>
      </c>
      <c r="K92" s="43" t="inlineStr">
        <is>
          <t>来源页56</t>
        </is>
      </c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</row>
    <row r="93" hidden="1" ht="20" customFormat="1" customHeight="1" s="30">
      <c r="A93" s="76" t="n"/>
      <c r="B93" s="76" t="n"/>
      <c r="C93" s="43" t="inlineStr"/>
      <c r="D93" s="43" t="inlineStr">
        <is>
          <t>Q355D</t>
        </is>
      </c>
      <c r="E93" s="43" t="n">
        <v>1320</v>
      </c>
      <c r="F93" s="43" t="n">
        <v>500</v>
      </c>
      <c r="G93" s="43" t="n">
        <v>28</v>
      </c>
      <c r="H93" s="79">
        <f>(E93/1000)*(F93/1000)*(G93/1000)*7850</f>
        <v/>
      </c>
      <c r="I93" s="43" t="n">
        <v>4</v>
      </c>
      <c r="J93" s="80">
        <f>H93*I93</f>
        <v/>
      </c>
      <c r="K93" s="43" t="inlineStr">
        <is>
          <t>来源页56</t>
        </is>
      </c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</row>
    <row r="94" hidden="1" ht="20" customFormat="1" customHeight="1" s="30">
      <c r="A94" s="76" t="n"/>
      <c r="B94" s="76" t="n"/>
      <c r="C94" s="43" t="inlineStr"/>
      <c r="D94" s="43" t="inlineStr">
        <is>
          <t>Q355D</t>
        </is>
      </c>
      <c r="E94" s="43" t="n">
        <v>820</v>
      </c>
      <c r="F94" s="43" t="n">
        <v>200</v>
      </c>
      <c r="G94" s="43" t="n">
        <v>20</v>
      </c>
      <c r="H94" s="79">
        <f>(E94/1000)*(F94/1000)*(G94/1000)*7850</f>
        <v/>
      </c>
      <c r="I94" s="43" t="n">
        <v>4</v>
      </c>
      <c r="J94" s="80">
        <f>H94*I94</f>
        <v/>
      </c>
      <c r="K94" s="43" t="inlineStr">
        <is>
          <t>来源页56</t>
        </is>
      </c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</row>
    <row r="95" hidden="1" ht="20" customFormat="1" customHeight="1" s="30">
      <c r="A95" s="76" t="n"/>
      <c r="B95" s="76" t="n"/>
      <c r="C95" s="43" t="inlineStr"/>
      <c r="D95" s="43" t="inlineStr">
        <is>
          <t>10.9S</t>
        </is>
      </c>
      <c r="E95" s="43" t="n"/>
      <c r="F95" s="43" t="n"/>
      <c r="G95" s="43" t="n"/>
      <c r="H95" s="79">
        <f>(E95/1000)*(F95/1000)*(G95/1000)*7850</f>
        <v/>
      </c>
      <c r="I95" s="43" t="n">
        <v>320</v>
      </c>
      <c r="J95" s="80">
        <f>H95*I95</f>
        <v/>
      </c>
      <c r="K95" s="43" t="inlineStr">
        <is>
          <t>来源页56</t>
        </is>
      </c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</row>
    <row r="96" hidden="1" ht="20" customFormat="1" customHeight="1" s="30">
      <c r="A96" s="76" t="n"/>
      <c r="B96" s="76" t="n"/>
      <c r="C96" s="43" t="inlineStr">
        <is>
          <t>节段03</t>
        </is>
      </c>
      <c r="D96" s="43" t="inlineStr">
        <is>
          <t>Q355D</t>
        </is>
      </c>
      <c r="E96" s="43" t="n"/>
      <c r="F96" s="43" t="n"/>
      <c r="G96" s="43" t="n">
        <v>20</v>
      </c>
      <c r="H96" s="79">
        <f>(E96/1000)*(F96/1000)*(G96/1000)*7850</f>
        <v/>
      </c>
      <c r="I96" s="43" t="n">
        <v>1</v>
      </c>
      <c r="J96" s="80">
        <f>H96*I96</f>
        <v/>
      </c>
      <c r="K96" s="43" t="inlineStr">
        <is>
          <t>来源页57</t>
        </is>
      </c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</row>
    <row r="97" ht="20" customFormat="1" customHeight="1" s="30">
      <c r="A97" s="76" t="n"/>
      <c r="B97" s="76" t="n"/>
      <c r="C97" s="43" t="inlineStr">
        <is>
          <t>节段03</t>
        </is>
      </c>
      <c r="D97" s="43" t="inlineStr">
        <is>
          <t>Q355D</t>
        </is>
      </c>
      <c r="E97" s="43" t="n"/>
      <c r="F97" s="43" t="n"/>
      <c r="G97" s="43" t="n">
        <v>20</v>
      </c>
      <c r="H97" s="79">
        <f>(E97/1000)*(F97/1000)*(G97/1000)*7850</f>
        <v/>
      </c>
      <c r="I97" s="43" t="n">
        <v>1</v>
      </c>
      <c r="J97" s="80">
        <f>H97*I97</f>
        <v/>
      </c>
      <c r="K97" s="43" t="inlineStr">
        <is>
          <t>来源页57</t>
        </is>
      </c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</row>
    <row r="98" ht="20" customFormat="1" customHeight="1" s="30">
      <c r="A98" s="76" t="n"/>
      <c r="B98" s="74" t="n"/>
      <c r="C98" s="43" t="inlineStr">
        <is>
          <t>节段03</t>
        </is>
      </c>
      <c r="D98" s="43" t="inlineStr">
        <is>
          <t>Q355D</t>
        </is>
      </c>
      <c r="E98" s="43" t="n">
        <v>7902</v>
      </c>
      <c r="F98" s="43" t="n">
        <v>1200</v>
      </c>
      <c r="G98" s="43" t="n">
        <v>20</v>
      </c>
      <c r="H98" s="79">
        <f>(E98/1000)*(F98/1000)*(G98/1000)*7850</f>
        <v/>
      </c>
      <c r="I98" s="43" t="n">
        <v>1</v>
      </c>
      <c r="J98" s="80">
        <f>H98*I98</f>
        <v/>
      </c>
      <c r="K98" s="43" t="inlineStr">
        <is>
          <t>来源页57</t>
        </is>
      </c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</row>
    <row r="99" hidden="1" ht="20" customFormat="1" customHeight="1" s="30">
      <c r="A99" s="76" t="n"/>
      <c r="B99" s="43" t="inlineStr"/>
      <c r="C99" s="43" t="inlineStr">
        <is>
          <t>节段03</t>
        </is>
      </c>
      <c r="D99" s="43" t="inlineStr">
        <is>
          <t>Q355D</t>
        </is>
      </c>
      <c r="E99" s="43" t="n">
        <v>8600</v>
      </c>
      <c r="F99" s="43" t="n">
        <v>1200</v>
      </c>
      <c r="G99" s="43" t="n">
        <v>20</v>
      </c>
      <c r="H99" s="79">
        <f>(E99/1000)*(F99/1000)*(G99/1000)*7850</f>
        <v/>
      </c>
      <c r="I99" s="43" t="n">
        <v>1</v>
      </c>
      <c r="J99" s="80">
        <f>H99*I99</f>
        <v/>
      </c>
      <c r="K99" s="43" t="inlineStr">
        <is>
          <t>来源页57</t>
        </is>
      </c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</row>
    <row r="100" hidden="1" ht="20" customFormat="1" customHeight="1" s="30">
      <c r="A100" s="76" t="n"/>
      <c r="B100" s="76" t="n"/>
      <c r="C100" s="43" t="inlineStr">
        <is>
          <t>节段03</t>
        </is>
      </c>
      <c r="D100" s="43" t="inlineStr">
        <is>
          <t>Q355D</t>
        </is>
      </c>
      <c r="E100" s="43" t="n"/>
      <c r="F100" s="43" t="n"/>
      <c r="G100" s="43" t="n">
        <v>40</v>
      </c>
      <c r="H100" s="79">
        <f>(E100/1000)*(F100/1000)*(G100/1000)*7850</f>
        <v/>
      </c>
      <c r="I100" s="43" t="n">
        <v>2</v>
      </c>
      <c r="J100" s="80">
        <f>H100*I100</f>
        <v/>
      </c>
      <c r="K100" s="43" t="inlineStr">
        <is>
          <t>来源页57</t>
        </is>
      </c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</row>
    <row r="101" ht="20" customFormat="1" customHeight="1" s="30">
      <c r="A101" s="76" t="n"/>
      <c r="B101" s="76" t="n"/>
      <c r="C101" s="43" t="inlineStr">
        <is>
          <t>节段03</t>
        </is>
      </c>
      <c r="D101" s="43" t="inlineStr">
        <is>
          <t>Q355D</t>
        </is>
      </c>
      <c r="E101" s="43" t="n">
        <v>8800</v>
      </c>
      <c r="F101" s="43" t="n">
        <v>2048</v>
      </c>
      <c r="G101" s="43" t="n">
        <v>20</v>
      </c>
      <c r="H101" s="79">
        <f>(E101/1000)*(F101/1000)*(G101/1000)*7850</f>
        <v/>
      </c>
      <c r="I101" s="43" t="n">
        <v>2</v>
      </c>
      <c r="J101" s="80">
        <f>H101*I101</f>
        <v/>
      </c>
      <c r="K101" s="43" t="inlineStr">
        <is>
          <t>来源页57</t>
        </is>
      </c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</row>
    <row r="102" hidden="1" ht="20" customFormat="1" customHeight="1" s="30">
      <c r="A102" s="76" t="n"/>
      <c r="B102" s="74" t="n"/>
      <c r="C102" s="43" t="inlineStr">
        <is>
          <t>节段03</t>
        </is>
      </c>
      <c r="D102" s="43" t="inlineStr">
        <is>
          <t>Q355D</t>
        </is>
      </c>
      <c r="E102" s="43" t="n">
        <v>1980</v>
      </c>
      <c r="F102" s="43" t="n">
        <v>1200</v>
      </c>
      <c r="G102" s="43" t="n">
        <v>16</v>
      </c>
      <c r="H102" s="79">
        <f>(E102/1000)*(F102/1000)*(G102/1000)*7850</f>
        <v/>
      </c>
      <c r="I102" s="43" t="n">
        <v>3</v>
      </c>
      <c r="J102" s="80">
        <f>H102*I102</f>
        <v/>
      </c>
      <c r="K102" s="43" t="inlineStr">
        <is>
          <t>来源页57</t>
        </is>
      </c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</row>
    <row r="103" hidden="1" ht="20" customFormat="1" customHeight="1" s="30">
      <c r="A103" s="76" t="n"/>
      <c r="B103" s="43" t="inlineStr"/>
      <c r="C103" s="43" t="inlineStr">
        <is>
          <t>节段03</t>
        </is>
      </c>
      <c r="D103" s="43" t="inlineStr">
        <is>
          <t>Q355D</t>
        </is>
      </c>
      <c r="E103" s="44" t="n">
        <v>1980</v>
      </c>
      <c r="F103" s="43" t="n">
        <v>1200</v>
      </c>
      <c r="G103" s="43" t="n">
        <v>16</v>
      </c>
      <c r="H103" s="79">
        <f>(E103/1000)*(F103/1000)*(G103/1000)*7850</f>
        <v/>
      </c>
      <c r="I103" s="43" t="n">
        <v>3</v>
      </c>
      <c r="J103" s="80">
        <f>H103*I103</f>
        <v/>
      </c>
      <c r="K103" s="6" t="inlineStr">
        <is>
          <t>来源页57</t>
        </is>
      </c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</row>
    <row r="104" hidden="1" ht="20" customFormat="1" customHeight="1" s="30">
      <c r="A104" s="76" t="n"/>
      <c r="B104" s="76" t="n"/>
      <c r="C104" s="43" t="inlineStr">
        <is>
          <t>节段03</t>
        </is>
      </c>
      <c r="D104" s="43" t="inlineStr">
        <is>
          <t>Q355D</t>
        </is>
      </c>
      <c r="E104" s="44" t="n">
        <v>2057</v>
      </c>
      <c r="F104" s="43" t="n">
        <v>200</v>
      </c>
      <c r="G104" s="43" t="n">
        <v>16</v>
      </c>
      <c r="H104" s="79">
        <f>(E104/1000)*(F104/1000)*(G104/1000)*7850</f>
        <v/>
      </c>
      <c r="I104" s="43" t="n">
        <v>4</v>
      </c>
      <c r="J104" s="80">
        <f>H104*I104</f>
        <v/>
      </c>
      <c r="K104" s="6" t="inlineStr">
        <is>
          <t>来源页57</t>
        </is>
      </c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</row>
    <row r="105" hidden="1" ht="20" customFormat="1" customHeight="1" s="30">
      <c r="A105" s="76" t="n"/>
      <c r="B105" s="74" t="n"/>
      <c r="C105" s="43" t="inlineStr">
        <is>
          <t>节段03</t>
        </is>
      </c>
      <c r="D105" s="43" t="inlineStr">
        <is>
          <t>Q355B</t>
        </is>
      </c>
      <c r="E105" s="44" t="n">
        <v>2057</v>
      </c>
      <c r="F105" s="43" t="n">
        <v>40</v>
      </c>
      <c r="G105" s="43" t="n">
        <v>4</v>
      </c>
      <c r="H105" s="79">
        <f>(E105/1000)*(F105/1000)*(G105/1000)*7850</f>
        <v/>
      </c>
      <c r="I105" s="43" t="n">
        <v>4</v>
      </c>
      <c r="J105" s="80">
        <f>H105*I105</f>
        <v/>
      </c>
      <c r="K105" s="6" t="inlineStr">
        <is>
          <t>来源页57</t>
        </is>
      </c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</row>
    <row r="106" hidden="1" ht="20" customFormat="1" customHeight="1" s="30">
      <c r="A106" s="76" t="n"/>
      <c r="B106" s="43" t="inlineStr"/>
      <c r="C106" s="43" t="inlineStr">
        <is>
          <t>节段03</t>
        </is>
      </c>
      <c r="D106" s="43" t="inlineStr">
        <is>
          <t>Q355D</t>
        </is>
      </c>
      <c r="E106" s="43" t="n">
        <v>800</v>
      </c>
      <c r="F106" s="43" t="n">
        <v>400</v>
      </c>
      <c r="G106" s="43" t="n">
        <v>16</v>
      </c>
      <c r="H106" s="79">
        <f>(E106/1000)*(F106/1000)*(G106/1000)*7850</f>
        <v/>
      </c>
      <c r="I106" s="43" t="n">
        <v>4</v>
      </c>
      <c r="J106" s="80">
        <f>H106*I106</f>
        <v/>
      </c>
      <c r="K106" s="43" t="inlineStr">
        <is>
          <t>来源页57</t>
        </is>
      </c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</row>
    <row r="107" hidden="1" ht="20" customFormat="1" customHeight="1" s="30">
      <c r="A107" s="76" t="n"/>
      <c r="B107" s="76" t="n"/>
      <c r="C107" s="43" t="inlineStr">
        <is>
          <t>节段03</t>
        </is>
      </c>
      <c r="D107" s="43" t="inlineStr">
        <is>
          <t>Q355D</t>
        </is>
      </c>
      <c r="E107" s="43" t="n">
        <v>7902</v>
      </c>
      <c r="F107" s="43" t="n">
        <v>240</v>
      </c>
      <c r="G107" s="43" t="n">
        <v>20</v>
      </c>
      <c r="H107" s="79">
        <f>(E107/1000)*(F107/1000)*(G107/1000)*7850</f>
        <v/>
      </c>
      <c r="I107" s="43" t="n">
        <v>4</v>
      </c>
      <c r="J107" s="80">
        <f>H107*I107</f>
        <v/>
      </c>
      <c r="K107" s="43" t="inlineStr">
        <is>
          <t>来源页57</t>
        </is>
      </c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</row>
    <row r="108" hidden="1" ht="20" customFormat="1" customHeight="1" s="30">
      <c r="A108" s="76" t="n"/>
      <c r="B108" s="76" t="n"/>
      <c r="C108" s="43" t="inlineStr">
        <is>
          <t>节段03</t>
        </is>
      </c>
      <c r="D108" s="43" t="inlineStr">
        <is>
          <t>Q355D</t>
        </is>
      </c>
      <c r="E108" s="43" t="n">
        <v>8600</v>
      </c>
      <c r="F108" s="43" t="n">
        <v>240</v>
      </c>
      <c r="G108" s="43" t="n">
        <v>20</v>
      </c>
      <c r="H108" s="79">
        <f>(E108/1000)*(F108/1000)*(G108/1000)*7850</f>
        <v/>
      </c>
      <c r="I108" s="43" t="n">
        <v>6</v>
      </c>
      <c r="J108" s="80">
        <f>H108*I108</f>
        <v/>
      </c>
      <c r="K108" s="43" t="inlineStr">
        <is>
          <t>来源页57</t>
        </is>
      </c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</row>
    <row r="109" ht="20" customFormat="1" customHeight="1" s="30">
      <c r="A109" s="76" t="n"/>
      <c r="B109" s="74" t="n"/>
      <c r="C109" s="43" t="inlineStr">
        <is>
          <t>节段03</t>
        </is>
      </c>
      <c r="D109" s="43" t="inlineStr">
        <is>
          <t>Q355D</t>
        </is>
      </c>
      <c r="E109" s="43" t="n">
        <v>7904</v>
      </c>
      <c r="F109" s="43" t="n">
        <v>2500</v>
      </c>
      <c r="G109" s="43" t="n">
        <v>24</v>
      </c>
      <c r="H109" s="79">
        <f>(E109/1000)*(F109/1000)*(G109/1000)*7850</f>
        <v/>
      </c>
      <c r="I109" s="43" t="n">
        <v>1</v>
      </c>
      <c r="J109" s="80">
        <f>H109*I109</f>
        <v/>
      </c>
      <c r="K109" s="43" t="inlineStr">
        <is>
          <t>来源页57</t>
        </is>
      </c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</row>
    <row r="110" hidden="1" ht="20" customFormat="1" customHeight="1" s="30">
      <c r="A110" s="74" t="n"/>
      <c r="B110" s="43" t="inlineStr">
        <is>
          <t>小计</t>
        </is>
      </c>
      <c r="C110" s="73" t="n"/>
      <c r="D110" s="43" t="n"/>
      <c r="E110" s="43" t="n"/>
      <c r="F110" s="43" t="n"/>
      <c r="G110" s="43" t="n"/>
      <c r="H110" s="79" t="n"/>
      <c r="I110" s="43" t="n"/>
      <c r="J110" s="80">
        <f>SUM(J85:J109)</f>
        <v/>
      </c>
      <c r="K110" s="43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</row>
    <row r="111" ht="20" customFormat="1" customHeight="1" s="30">
      <c r="A111" s="43" t="inlineStr">
        <is>
          <t>N21b</t>
        </is>
      </c>
      <c r="B111" s="43" t="inlineStr"/>
      <c r="C111" s="43" t="inlineStr">
        <is>
          <t>节段03</t>
        </is>
      </c>
      <c r="D111" s="43" t="inlineStr">
        <is>
          <t>Q355D</t>
        </is>
      </c>
      <c r="E111" s="43" t="n">
        <v>7102</v>
      </c>
      <c r="F111" s="43" t="n">
        <v>2500</v>
      </c>
      <c r="G111" s="43" t="n">
        <v>24</v>
      </c>
      <c r="H111" s="79">
        <f>(E111/1000)*(F111/1000)*(G111/1000)*7850</f>
        <v/>
      </c>
      <c r="I111" s="43" t="n">
        <v>1</v>
      </c>
      <c r="J111" s="80">
        <f>H111*I111</f>
        <v/>
      </c>
      <c r="K111" s="43" t="inlineStr">
        <is>
          <t>来源页57</t>
        </is>
      </c>
      <c r="L111" s="43">
        <f>A111</f>
        <v/>
      </c>
      <c r="M111" s="81">
        <f>SUMIF(G111:G135,$M$3,J111:J135)</f>
        <v/>
      </c>
      <c r="N111" s="81">
        <f>SUMIF(G111:G135,$N$3,J111:J135)</f>
        <v/>
      </c>
      <c r="O111" s="81">
        <f>SUMIF(G111:G135,$O$3,J111:J135)</f>
        <v/>
      </c>
      <c r="P111" s="81">
        <f>SUMIF(G111:G135,$P$3,J111:J135)</f>
        <v/>
      </c>
      <c r="Q111" s="81">
        <f>SUMIF(G111:G135,$Q$3,J111:J135)</f>
        <v/>
      </c>
      <c r="R111" s="81">
        <f>SUMIF(G111:G135,$R$3,J111:J135)</f>
        <v/>
      </c>
      <c r="S111" s="81">
        <f>SUMIF(G111:G135,$S$3,J111:J135)</f>
        <v/>
      </c>
      <c r="T111" s="81">
        <f>SUM(M111:S136)</f>
        <v/>
      </c>
      <c r="U111" s="81" t="n">
        <v>142601.8</v>
      </c>
      <c r="V111" s="81">
        <f>T111-U111</f>
        <v/>
      </c>
      <c r="W111" s="43" t="n"/>
    </row>
    <row r="112" ht="20" customFormat="1" customHeight="1" s="30">
      <c r="A112" s="76" t="n"/>
      <c r="B112" s="76" t="n"/>
      <c r="C112" s="43" t="inlineStr">
        <is>
          <t>节段03</t>
        </is>
      </c>
      <c r="D112" s="43" t="inlineStr">
        <is>
          <t>Q355D</t>
        </is>
      </c>
      <c r="E112" s="43" t="n"/>
      <c r="F112" s="43" t="n"/>
      <c r="G112" s="43" t="n">
        <v>24</v>
      </c>
      <c r="H112" s="79">
        <f>(E112/1000)*(F112/1000)*(G112/1000)*7850</f>
        <v/>
      </c>
      <c r="I112" s="43" t="n">
        <v>1</v>
      </c>
      <c r="J112" s="80">
        <f>H112*I112</f>
        <v/>
      </c>
      <c r="K112" s="43" t="inlineStr">
        <is>
          <t>来源页57</t>
        </is>
      </c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</row>
    <row r="113" hidden="1" ht="20" customFormat="1" customHeight="1" s="30">
      <c r="A113" s="76" t="n"/>
      <c r="B113" s="76" t="n"/>
      <c r="C113" s="43" t="inlineStr">
        <is>
          <t>节段03</t>
        </is>
      </c>
      <c r="D113" s="43" t="inlineStr">
        <is>
          <t>Q355D</t>
        </is>
      </c>
      <c r="E113" s="43" t="n"/>
      <c r="F113" s="43" t="n"/>
      <c r="G113" s="43" t="n">
        <v>24</v>
      </c>
      <c r="H113" s="79">
        <f>(E113/1000)*(F113/1000)*(G113/1000)*7850</f>
        <v/>
      </c>
      <c r="I113" s="43" t="n">
        <v>1</v>
      </c>
      <c r="J113" s="80">
        <f>H113*I113</f>
        <v/>
      </c>
      <c r="K113" s="43" t="inlineStr">
        <is>
          <t>来源页57</t>
        </is>
      </c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</row>
    <row r="114" hidden="1" ht="20" customFormat="1" customHeight="1" s="30">
      <c r="A114" s="76" t="n"/>
      <c r="B114" s="76" t="n"/>
      <c r="C114" s="43" t="inlineStr">
        <is>
          <t>节段03</t>
        </is>
      </c>
      <c r="D114" s="43" t="inlineStr">
        <is>
          <t>Q355D</t>
        </is>
      </c>
      <c r="E114" s="43" t="n"/>
      <c r="F114" s="43" t="n"/>
      <c r="G114" s="43" t="n">
        <v>40</v>
      </c>
      <c r="H114" s="79">
        <f>(E114/1000)*(F114/1000)*(G114/1000)*7850</f>
        <v/>
      </c>
      <c r="I114" s="43" t="n">
        <v>2</v>
      </c>
      <c r="J114" s="80">
        <f>H114*I114</f>
        <v/>
      </c>
      <c r="K114" s="43" t="inlineStr">
        <is>
          <t>Z35钢；来源页57</t>
        </is>
      </c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</row>
    <row r="115" hidden="1" ht="20" customFormat="1" customHeight="1" s="30">
      <c r="A115" s="76" t="n"/>
      <c r="B115" s="76" t="n"/>
      <c r="C115" s="43" t="inlineStr">
        <is>
          <t>节段03</t>
        </is>
      </c>
      <c r="D115" s="43" t="inlineStr">
        <is>
          <t>Q355D</t>
        </is>
      </c>
      <c r="E115" s="43" t="n">
        <v>7302</v>
      </c>
      <c r="F115" s="43" t="n">
        <v>1880</v>
      </c>
      <c r="G115" s="43" t="n">
        <v>24</v>
      </c>
      <c r="H115" s="79">
        <f>(E115/1000)*(F115/1000)*(G115/1000)*7850</f>
        <v/>
      </c>
      <c r="I115" s="43" t="n">
        <v>2</v>
      </c>
      <c r="J115" s="80">
        <f>H115*I115</f>
        <v/>
      </c>
      <c r="K115" s="43" t="inlineStr">
        <is>
          <t>来源页57</t>
        </is>
      </c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</row>
    <row r="116" hidden="1" ht="20" customFormat="1" customHeight="1" s="30">
      <c r="A116" s="76" t="n"/>
      <c r="B116" s="74" t="n"/>
      <c r="C116" s="43" t="inlineStr">
        <is>
          <t>节段03</t>
        </is>
      </c>
      <c r="D116" s="43" t="inlineStr">
        <is>
          <t>Q355D</t>
        </is>
      </c>
      <c r="E116" s="43" t="n">
        <v>1800</v>
      </c>
      <c r="F116" s="43" t="n">
        <v>1200</v>
      </c>
      <c r="G116" s="43" t="n">
        <v>16</v>
      </c>
      <c r="H116" s="79">
        <f>(E116/1000)*(F116/1000)*(G116/1000)*7850</f>
        <v/>
      </c>
      <c r="I116" s="43" t="n">
        <v>3</v>
      </c>
      <c r="J116" s="80">
        <f>H116*I116</f>
        <v/>
      </c>
      <c r="K116" s="43" t="inlineStr">
        <is>
          <t>来源页57</t>
        </is>
      </c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</row>
    <row r="117" hidden="1" ht="20" customFormat="1" customHeight="1" s="30">
      <c r="A117" s="76" t="n"/>
      <c r="B117" s="43" t="inlineStr"/>
      <c r="C117" s="43" t="inlineStr">
        <is>
          <t>节段03</t>
        </is>
      </c>
      <c r="D117" s="43" t="inlineStr">
        <is>
          <t>Q355D</t>
        </is>
      </c>
      <c r="E117" s="43" t="n">
        <v>1800</v>
      </c>
      <c r="F117" s="43" t="n">
        <v>1200</v>
      </c>
      <c r="G117" s="43" t="n">
        <v>16</v>
      </c>
      <c r="H117" s="79">
        <f>(E117/1000)*(F117/1000)*(G117/1000)*7850</f>
        <v/>
      </c>
      <c r="I117" s="43" t="n">
        <v>2</v>
      </c>
      <c r="J117" s="80">
        <f>H117*I117</f>
        <v/>
      </c>
      <c r="K117" s="43" t="inlineStr">
        <is>
          <t>来源页57</t>
        </is>
      </c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</row>
    <row r="118" hidden="1" ht="20" customFormat="1" customHeight="1" s="30">
      <c r="A118" s="76" t="n"/>
      <c r="B118" s="76" t="n"/>
      <c r="C118" s="43" t="inlineStr">
        <is>
          <t>节段03</t>
        </is>
      </c>
      <c r="D118" s="43" t="inlineStr">
        <is>
          <t>Q355D</t>
        </is>
      </c>
      <c r="E118" s="43" t="n">
        <v>2057</v>
      </c>
      <c r="F118" s="43" t="n">
        <v>200</v>
      </c>
      <c r="G118" s="43" t="n">
        <v>16</v>
      </c>
      <c r="H118" s="79">
        <f>(E118/1000)*(F118/1000)*(G118/1000)*7850</f>
        <v/>
      </c>
      <c r="I118" s="43" t="n">
        <v>5</v>
      </c>
      <c r="J118" s="80">
        <f>H118*I118</f>
        <v/>
      </c>
      <c r="K118" s="43" t="inlineStr">
        <is>
          <t>来源页57</t>
        </is>
      </c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</row>
    <row r="119" hidden="1" ht="20" customFormat="1" customHeight="1" s="30">
      <c r="A119" s="76" t="n"/>
      <c r="B119" s="76" t="n"/>
      <c r="C119" s="43" t="inlineStr">
        <is>
          <t>节段03</t>
        </is>
      </c>
      <c r="D119" s="43" t="inlineStr">
        <is>
          <t>Q355D</t>
        </is>
      </c>
      <c r="E119" s="43" t="n">
        <v>7904</v>
      </c>
      <c r="F119" s="43" t="n">
        <v>240</v>
      </c>
      <c r="G119" s="43" t="n">
        <v>20</v>
      </c>
      <c r="H119" s="79">
        <f>(E119/1000)*(F119/1000)*(G119/1000)*7850</f>
        <v/>
      </c>
      <c r="I119" s="43" t="n">
        <v>4</v>
      </c>
      <c r="J119" s="80">
        <f>H119*I119</f>
        <v/>
      </c>
      <c r="K119" s="43" t="inlineStr">
        <is>
          <t>来源页57</t>
        </is>
      </c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</row>
    <row r="120" hidden="1" ht="20" customFormat="1" customHeight="1" s="30">
      <c r="A120" s="76" t="n"/>
      <c r="B120" s="76" t="n"/>
      <c r="C120" s="43" t="inlineStr">
        <is>
          <t>节段03</t>
        </is>
      </c>
      <c r="D120" s="43" t="inlineStr">
        <is>
          <t>Q355D</t>
        </is>
      </c>
      <c r="E120" s="43" t="n">
        <v>7102</v>
      </c>
      <c r="F120" s="43" t="n">
        <v>240</v>
      </c>
      <c r="G120" s="43" t="n">
        <v>20</v>
      </c>
      <c r="H120" s="79">
        <f>(E120/1000)*(F120/1000)*(G120/1000)*7850</f>
        <v/>
      </c>
      <c r="I120" s="43" t="n">
        <v>4</v>
      </c>
      <c r="J120" s="80">
        <f>H120*I120</f>
        <v/>
      </c>
      <c r="K120" s="43" t="inlineStr">
        <is>
          <t>来源页57</t>
        </is>
      </c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</row>
    <row r="121" hidden="1" ht="20" customFormat="1" customHeight="1" s="30">
      <c r="A121" s="76" t="n"/>
      <c r="B121" s="76" t="n"/>
      <c r="C121" s="43" t="inlineStr">
        <is>
          <t>节段03</t>
        </is>
      </c>
      <c r="D121" s="43" t="inlineStr">
        <is>
          <t>Q355D</t>
        </is>
      </c>
      <c r="E121" s="43" t="n">
        <v>15006</v>
      </c>
      <c r="F121" s="43" t="n">
        <v>170</v>
      </c>
      <c r="G121" s="43" t="n">
        <v>14</v>
      </c>
      <c r="H121" s="79">
        <f>(E121/1000)*(F121/1000)*(G121/1000)*7850</f>
        <v/>
      </c>
      <c r="I121" s="43" t="n">
        <v>2</v>
      </c>
      <c r="J121" s="80">
        <f>H121*I121</f>
        <v/>
      </c>
      <c r="K121" s="43" t="inlineStr">
        <is>
          <t>来源页57</t>
        </is>
      </c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</row>
    <row r="122" hidden="1" ht="20" customFormat="1" customHeight="1" s="30">
      <c r="A122" s="76" t="n"/>
      <c r="B122" s="76" t="n"/>
      <c r="C122" s="43" t="inlineStr">
        <is>
          <t>节段03</t>
        </is>
      </c>
      <c r="D122" s="43" t="inlineStr">
        <is>
          <t>Q355D</t>
        </is>
      </c>
      <c r="E122" s="43" t="n">
        <v>9010</v>
      </c>
      <c r="F122" s="43" t="n">
        <v>900</v>
      </c>
      <c r="G122" s="43" t="n">
        <v>36</v>
      </c>
      <c r="H122" s="79">
        <f>(E122/1000)*(F122/1000)*(G122/1000)*7850</f>
        <v/>
      </c>
      <c r="I122" s="43" t="n">
        <v>2</v>
      </c>
      <c r="J122" s="80">
        <f>H122*I122</f>
        <v/>
      </c>
      <c r="K122" s="43" t="inlineStr">
        <is>
          <t>来源页57</t>
        </is>
      </c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</row>
    <row r="123" ht="20" customFormat="1" customHeight="1" s="30">
      <c r="A123" s="76" t="n"/>
      <c r="B123" s="76" t="n"/>
      <c r="C123" s="43" t="inlineStr">
        <is>
          <t>节段03</t>
        </is>
      </c>
      <c r="D123" s="43" t="inlineStr">
        <is>
          <t>Q355D</t>
        </is>
      </c>
      <c r="E123" s="43" t="n">
        <v>13610</v>
      </c>
      <c r="F123" s="43" t="n">
        <v>1200</v>
      </c>
      <c r="G123" s="43" t="n">
        <v>32</v>
      </c>
      <c r="H123" s="79">
        <f>(E123/1000)*(F123/1000)*(G123/1000)*7850</f>
        <v/>
      </c>
      <c r="I123" s="43" t="n">
        <v>1</v>
      </c>
      <c r="J123" s="80">
        <f>H123*I123</f>
        <v/>
      </c>
      <c r="K123" s="43" t="inlineStr">
        <is>
          <t>来源页57</t>
        </is>
      </c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</row>
    <row r="124" ht="20" customFormat="1" customHeight="1" s="30">
      <c r="A124" s="76" t="n"/>
      <c r="B124" s="74" t="n"/>
      <c r="C124" s="43" t="inlineStr">
        <is>
          <t>节段03</t>
        </is>
      </c>
      <c r="D124" s="43" t="inlineStr">
        <is>
          <t>Q355D</t>
        </is>
      </c>
      <c r="E124" s="43" t="n">
        <v>12210</v>
      </c>
      <c r="F124" s="43" t="n">
        <v>240</v>
      </c>
      <c r="G124" s="43" t="n">
        <v>24</v>
      </c>
      <c r="H124" s="79">
        <f>(E124/1000)*(F124/1000)*(G124/1000)*7850</f>
        <v/>
      </c>
      <c r="I124" s="43" t="n">
        <v>2</v>
      </c>
      <c r="J124" s="80">
        <f>H124*I124</f>
        <v/>
      </c>
      <c r="K124" s="43" t="inlineStr">
        <is>
          <t>来源页57</t>
        </is>
      </c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</row>
    <row r="125" hidden="1" ht="20" customFormat="1" customHeight="1" s="30">
      <c r="A125" s="76" t="n"/>
      <c r="B125" s="43" t="inlineStr"/>
      <c r="C125" s="43" t="inlineStr">
        <is>
          <t>节段03</t>
        </is>
      </c>
      <c r="D125" s="43" t="inlineStr">
        <is>
          <t>Q355D</t>
        </is>
      </c>
      <c r="E125" s="43" t="n">
        <v>4322</v>
      </c>
      <c r="F125" s="43" t="n">
        <v>900</v>
      </c>
      <c r="G125" s="43" t="n">
        <v>36</v>
      </c>
      <c r="H125" s="79">
        <f>(E125/1000)*(F125/1000)*(G125/1000)*7850</f>
        <v/>
      </c>
      <c r="I125" s="43" t="n">
        <v>2</v>
      </c>
      <c r="J125" s="80">
        <f>H125*I125</f>
        <v/>
      </c>
      <c r="K125" s="43" t="inlineStr">
        <is>
          <t>来源页57</t>
        </is>
      </c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</row>
    <row r="126" hidden="1" ht="20" customFormat="1" customHeight="1" s="30">
      <c r="A126" s="76" t="n"/>
      <c r="B126" s="76" t="n"/>
      <c r="C126" s="43" t="inlineStr">
        <is>
          <t>节段03</t>
        </is>
      </c>
      <c r="D126" s="43" t="inlineStr">
        <is>
          <t>Q355D</t>
        </is>
      </c>
      <c r="E126" s="43" t="n">
        <v>6722</v>
      </c>
      <c r="F126" s="43" t="n">
        <v>1200</v>
      </c>
      <c r="G126" s="43" t="n">
        <v>32</v>
      </c>
      <c r="H126" s="79">
        <f>(E126/1000)*(F126/1000)*(G126/1000)*7850</f>
        <v/>
      </c>
      <c r="I126" s="43" t="n">
        <v>1</v>
      </c>
      <c r="J126" s="80">
        <f>H126*I126</f>
        <v/>
      </c>
      <c r="K126" s="43" t="inlineStr">
        <is>
          <t>来源页57</t>
        </is>
      </c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</row>
    <row r="127" ht="20" customFormat="1" customHeight="1" s="30">
      <c r="A127" s="76" t="n"/>
      <c r="B127" s="76" t="n"/>
      <c r="C127" s="43" t="inlineStr">
        <is>
          <t>节段03</t>
        </is>
      </c>
      <c r="D127" s="43" t="inlineStr">
        <is>
          <t>Q355D</t>
        </is>
      </c>
      <c r="E127" s="43" t="n">
        <v>6022</v>
      </c>
      <c r="F127" s="43" t="n">
        <v>240</v>
      </c>
      <c r="G127" s="43" t="n">
        <v>24</v>
      </c>
      <c r="H127" s="79">
        <f>(E127/1000)*(F127/1000)*(G127/1000)*7850</f>
        <v/>
      </c>
      <c r="I127" s="43" t="n">
        <v>2</v>
      </c>
      <c r="J127" s="80">
        <f>H127*I127</f>
        <v/>
      </c>
      <c r="K127" s="43" t="inlineStr">
        <is>
          <t>来源页57</t>
        </is>
      </c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</row>
    <row r="128" hidden="1" ht="20" customFormat="1" customHeight="1" s="30">
      <c r="A128" s="76" t="n"/>
      <c r="B128" s="74" t="n"/>
      <c r="C128" s="43" t="inlineStr">
        <is>
          <t>节段03</t>
        </is>
      </c>
      <c r="D128" s="43" t="inlineStr">
        <is>
          <t>Q355D</t>
        </is>
      </c>
      <c r="E128" s="43" t="n">
        <v>4796</v>
      </c>
      <c r="F128" s="43" t="n">
        <v>900</v>
      </c>
      <c r="G128" s="43" t="n">
        <v>36</v>
      </c>
      <c r="H128" s="79">
        <f>(E128/1000)*(F128/1000)*(G128/1000)*7850</f>
        <v/>
      </c>
      <c r="I128" s="43" t="n">
        <v>2</v>
      </c>
      <c r="J128" s="80">
        <f>H128*I128</f>
        <v/>
      </c>
      <c r="K128" s="43" t="inlineStr">
        <is>
          <t>来源页57</t>
        </is>
      </c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</row>
    <row r="129" hidden="1" ht="20" customFormat="1" customHeight="1" s="30">
      <c r="A129" s="76" t="n"/>
      <c r="B129" s="43" t="inlineStr"/>
      <c r="C129" s="43" t="inlineStr">
        <is>
          <t>节段03</t>
        </is>
      </c>
      <c r="D129" s="43" t="inlineStr">
        <is>
          <t>Q355D</t>
        </is>
      </c>
      <c r="E129" s="44" t="n">
        <v>6996</v>
      </c>
      <c r="F129" s="43" t="n">
        <v>1200</v>
      </c>
      <c r="G129" s="43" t="n">
        <v>32</v>
      </c>
      <c r="H129" s="79">
        <f>(E129/1000)*(F129/1000)*(G129/1000)*7850</f>
        <v/>
      </c>
      <c r="I129" s="43" t="n">
        <v>1</v>
      </c>
      <c r="J129" s="80">
        <f>H129*I129</f>
        <v/>
      </c>
      <c r="K129" s="6" t="inlineStr">
        <is>
          <t>来源页57</t>
        </is>
      </c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</row>
    <row r="130" hidden="1" ht="20" customFormat="1" customHeight="1" s="30">
      <c r="A130" s="76" t="n"/>
      <c r="B130" s="76" t="n"/>
      <c r="C130" s="43" t="inlineStr">
        <is>
          <t>节段03</t>
        </is>
      </c>
      <c r="D130" s="43" t="inlineStr">
        <is>
          <t>Q355D</t>
        </is>
      </c>
      <c r="E130" s="44" t="n">
        <v>6296</v>
      </c>
      <c r="F130" s="43" t="n">
        <v>240</v>
      </c>
      <c r="G130" s="43" t="n">
        <v>24</v>
      </c>
      <c r="H130" s="79">
        <f>(E130/1000)*(F130/1000)*(G130/1000)*7850</f>
        <v/>
      </c>
      <c r="I130" s="43" t="n">
        <v>2</v>
      </c>
      <c r="J130" s="80">
        <f>H130*I130</f>
        <v/>
      </c>
      <c r="K130" s="6" t="inlineStr">
        <is>
          <t>来源页57</t>
        </is>
      </c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</row>
    <row r="131" hidden="1" ht="20" customFormat="1" customHeight="1" s="30">
      <c r="A131" s="76" t="n"/>
      <c r="B131" s="74" t="n"/>
      <c r="C131" s="43" t="inlineStr">
        <is>
          <t>节段03</t>
        </is>
      </c>
      <c r="D131" s="43" t="inlineStr">
        <is>
          <t>Q355D</t>
        </is>
      </c>
      <c r="E131" s="44" t="n">
        <v>1800</v>
      </c>
      <c r="F131" s="43" t="n">
        <v>626</v>
      </c>
      <c r="G131" s="43" t="n">
        <v>14</v>
      </c>
      <c r="H131" s="79">
        <f>(E131/1000)*(F131/1000)*(G131/1000)*7850</f>
        <v/>
      </c>
      <c r="I131" s="43" t="n">
        <v>6</v>
      </c>
      <c r="J131" s="80">
        <f>H131*I131</f>
        <v/>
      </c>
      <c r="K131" s="6" t="inlineStr">
        <is>
          <t>来源页57</t>
        </is>
      </c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</row>
    <row r="132" hidden="1" ht="20" customFormat="1" customHeight="1" s="30">
      <c r="A132" s="76" t="n"/>
      <c r="B132" s="43" t="inlineStr"/>
      <c r="C132" s="43" t="inlineStr">
        <is>
          <t>节段O3</t>
        </is>
      </c>
      <c r="D132" s="43" t="inlineStr">
        <is>
          <t>Q355D</t>
        </is>
      </c>
      <c r="E132" s="43" t="n"/>
      <c r="F132" s="43" t="n"/>
      <c r="G132" s="43" t="n">
        <v>40</v>
      </c>
      <c r="H132" s="79">
        <f>(E132/1000)*(F132/1000)*(G132/1000)*7850</f>
        <v/>
      </c>
      <c r="I132" s="43" t="n">
        <v>1</v>
      </c>
      <c r="J132" s="80">
        <f>H132*I132</f>
        <v/>
      </c>
      <c r="K132" s="43" t="inlineStr">
        <is>
          <t>来源页57</t>
        </is>
      </c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</row>
    <row r="133" hidden="1" ht="20" customFormat="1" customHeight="1" s="30">
      <c r="A133" s="76" t="n"/>
      <c r="B133" s="76" t="n"/>
      <c r="C133" s="43" t="inlineStr">
        <is>
          <t>节段O3</t>
        </is>
      </c>
      <c r="D133" s="43" t="inlineStr">
        <is>
          <t>Q355D</t>
        </is>
      </c>
      <c r="E133" s="43" t="n"/>
      <c r="F133" s="43" t="n"/>
      <c r="G133" s="43" t="n">
        <v>36</v>
      </c>
      <c r="H133" s="79">
        <f>(E133/1000)*(F133/1000)*(G133/1000)*7850</f>
        <v/>
      </c>
      <c r="I133" s="43" t="n">
        <v>1</v>
      </c>
      <c r="J133" s="80">
        <f>H133*I133</f>
        <v/>
      </c>
      <c r="K133" s="43" t="inlineStr">
        <is>
          <t>来源页57</t>
        </is>
      </c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</row>
    <row r="134" hidden="1" ht="20" customFormat="1" customHeight="1" s="30">
      <c r="A134" s="76" t="n"/>
      <c r="B134" s="76" t="n"/>
      <c r="C134" s="43" t="inlineStr">
        <is>
          <t>节段O3</t>
        </is>
      </c>
      <c r="D134" s="43" t="inlineStr">
        <is>
          <t>Q355D</t>
        </is>
      </c>
      <c r="E134" s="43" t="n"/>
      <c r="F134" s="43" t="n"/>
      <c r="G134" s="43" t="n">
        <v>32</v>
      </c>
      <c r="H134" s="79">
        <f>(E134/1000)*(F134/1000)*(G134/1000)*7850</f>
        <v/>
      </c>
      <c r="I134" s="43" t="n">
        <v>1</v>
      </c>
      <c r="J134" s="80">
        <f>H134*I134</f>
        <v/>
      </c>
      <c r="K134" s="43" t="inlineStr">
        <is>
          <t>来源页57</t>
        </is>
      </c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</row>
    <row r="135" ht="20" customFormat="1" customHeight="1" s="30">
      <c r="A135" s="76" t="n"/>
      <c r="B135" s="74" t="n"/>
      <c r="C135" s="43" t="inlineStr">
        <is>
          <t>节段O3</t>
        </is>
      </c>
      <c r="D135" s="43" t="inlineStr">
        <is>
          <t>Q355D</t>
        </is>
      </c>
      <c r="E135" s="43" t="n"/>
      <c r="F135" s="43" t="n"/>
      <c r="G135" s="43" t="n">
        <v>24</v>
      </c>
      <c r="H135" s="79">
        <f>(E135/1000)*(F135/1000)*(G135/1000)*7850</f>
        <v/>
      </c>
      <c r="I135" s="43" t="n">
        <v>1</v>
      </c>
      <c r="J135" s="80">
        <f>H135*I135</f>
        <v/>
      </c>
      <c r="K135" s="43" t="inlineStr">
        <is>
          <t>来源页57</t>
        </is>
      </c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</row>
    <row r="136" hidden="1" ht="20" customFormat="1" customHeight="1" s="30">
      <c r="A136" s="74" t="n"/>
      <c r="B136" s="43" t="inlineStr">
        <is>
          <t>小计</t>
        </is>
      </c>
      <c r="C136" s="73" t="n"/>
      <c r="D136" s="43" t="n"/>
      <c r="E136" s="43" t="n"/>
      <c r="F136" s="43" t="n"/>
      <c r="G136" s="43" t="n"/>
      <c r="H136" s="79" t="n"/>
      <c r="I136" s="43" t="n"/>
      <c r="J136" s="80">
        <f>SUM(J111:J135)</f>
        <v/>
      </c>
      <c r="K136" s="43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</row>
    <row r="137" ht="20" customFormat="1" customHeight="1" s="30">
      <c r="A137" s="43" t="inlineStr"/>
      <c r="B137" s="43" t="inlineStr"/>
      <c r="C137" s="43" t="inlineStr">
        <is>
          <t>节段O3</t>
        </is>
      </c>
      <c r="D137" s="43" t="inlineStr">
        <is>
          <t>Q355D</t>
        </is>
      </c>
      <c r="E137" s="43" t="n"/>
      <c r="F137" s="43" t="n"/>
      <c r="G137" s="43" t="n">
        <v>20</v>
      </c>
      <c r="H137" s="79">
        <f>(E137/1000)*(F137/1000)*(G137/1000)*7850</f>
        <v/>
      </c>
      <c r="I137" s="43" t="n">
        <v>1</v>
      </c>
      <c r="J137" s="80">
        <f>H137*I137</f>
        <v/>
      </c>
      <c r="K137" s="43" t="inlineStr">
        <is>
          <t>来源页57</t>
        </is>
      </c>
      <c r="L137" s="43">
        <f>A137</f>
        <v/>
      </c>
      <c r="M137" s="81">
        <f>SUMIF(G137:G161,$M$3,J137:J161)</f>
        <v/>
      </c>
      <c r="N137" s="81">
        <f>SUMIF(G137:G161,$N$3,J137:J161)</f>
        <v/>
      </c>
      <c r="O137" s="81">
        <f>SUMIF(G137:G161,$O$3,J137:J161)</f>
        <v/>
      </c>
      <c r="P137" s="81">
        <f>SUMIF(G137:G161,$P$3,J137:J161)</f>
        <v/>
      </c>
      <c r="Q137" s="81">
        <f>SUMIF(G137:G161,$Q$3,J137:J161)</f>
        <v/>
      </c>
      <c r="R137" s="81">
        <f>SUMIF(G137:G161,$R$3,J137:J161)</f>
        <v/>
      </c>
      <c r="S137" s="81">
        <f>SUMIF(G137:G161,$S$3,J137:J161)</f>
        <v/>
      </c>
      <c r="T137" s="81">
        <f>SUM(M137:S162)</f>
        <v/>
      </c>
      <c r="U137" s="81" t="n">
        <v>142948.6</v>
      </c>
      <c r="V137" s="81">
        <f>T137-U137</f>
        <v/>
      </c>
      <c r="W137" s="43" t="n"/>
    </row>
    <row r="138" ht="20" customFormat="1" customHeight="1" s="30">
      <c r="A138" s="76" t="n"/>
      <c r="B138" s="76" t="n"/>
      <c r="C138" s="43" t="inlineStr">
        <is>
          <t>节段O3</t>
        </is>
      </c>
      <c r="D138" s="43" t="inlineStr">
        <is>
          <t>Q355D</t>
        </is>
      </c>
      <c r="E138" s="43" t="n"/>
      <c r="F138" s="43" t="n"/>
      <c r="G138" s="43" t="n">
        <v>16</v>
      </c>
      <c r="H138" s="79">
        <f>(E138/1000)*(F138/1000)*(G138/1000)*7850</f>
        <v/>
      </c>
      <c r="I138" s="43" t="n">
        <v>1</v>
      </c>
      <c r="J138" s="80">
        <f>H138*I138</f>
        <v/>
      </c>
      <c r="K138" s="43" t="inlineStr">
        <is>
          <t>来源页57</t>
        </is>
      </c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</row>
    <row r="139" hidden="1" ht="20" customFormat="1" customHeight="1" s="30">
      <c r="A139" s="76" t="n"/>
      <c r="B139" s="76" t="n"/>
      <c r="C139" s="43" t="inlineStr">
        <is>
          <t>节段O3</t>
        </is>
      </c>
      <c r="D139" s="43" t="inlineStr">
        <is>
          <t>Q355D</t>
        </is>
      </c>
      <c r="E139" s="43" t="n"/>
      <c r="F139" s="43" t="n"/>
      <c r="G139" s="43" t="n">
        <v>14</v>
      </c>
      <c r="H139" s="79">
        <f>(E139/1000)*(F139/1000)*(G139/1000)*7850</f>
        <v/>
      </c>
      <c r="I139" s="43" t="n">
        <v>1</v>
      </c>
      <c r="J139" s="80">
        <f>H139*I139</f>
        <v/>
      </c>
      <c r="K139" s="43" t="inlineStr">
        <is>
          <t>来源页57</t>
        </is>
      </c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</row>
    <row r="140" hidden="1" ht="20" customFormat="1" customHeight="1" s="30">
      <c r="A140" s="76" t="n"/>
      <c r="B140" s="76" t="n"/>
      <c r="C140" s="43" t="inlineStr">
        <is>
          <t>节段O3</t>
        </is>
      </c>
      <c r="D140" s="43" t="inlineStr">
        <is>
          <t>Q355D</t>
        </is>
      </c>
      <c r="E140" s="43" t="n"/>
      <c r="F140" s="43" t="n"/>
      <c r="G140" s="43" t="n">
        <v>4</v>
      </c>
      <c r="H140" s="79">
        <f>(E140/1000)*(F140/1000)*(G140/1000)*7850</f>
        <v/>
      </c>
      <c r="I140" s="43" t="n">
        <v>1</v>
      </c>
      <c r="J140" s="80">
        <f>H140*I140</f>
        <v/>
      </c>
      <c r="K140" s="43" t="inlineStr">
        <is>
          <t>来源页57</t>
        </is>
      </c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</row>
    <row r="141" hidden="1" ht="20" customFormat="1" customHeight="1" s="30">
      <c r="A141" s="76" t="n"/>
      <c r="B141" s="76" t="n"/>
      <c r="C141" s="43" t="inlineStr">
        <is>
          <t>节段O3</t>
        </is>
      </c>
      <c r="D141" s="43" t="inlineStr">
        <is>
          <t>Q355D</t>
        </is>
      </c>
      <c r="E141" s="43" t="n"/>
      <c r="F141" s="43" t="n"/>
      <c r="G141" s="43" t="n"/>
      <c r="H141" s="79">
        <f>(E141/1000)*(F141/1000)*(G141/1000)*7850</f>
        <v/>
      </c>
      <c r="I141" s="43" t="n">
        <v>1</v>
      </c>
      <c r="J141" s="80">
        <f>H141*I141</f>
        <v/>
      </c>
      <c r="K141" s="43" t="inlineStr">
        <is>
          <t>来源页57</t>
        </is>
      </c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</row>
    <row r="142" hidden="1" ht="20" customFormat="1" customHeight="1" s="30">
      <c r="A142" s="76" t="n"/>
      <c r="B142" s="74" t="n"/>
      <c r="C142" s="43" t="inlineStr">
        <is>
          <t>节段O3</t>
        </is>
      </c>
      <c r="D142" s="43" t="inlineStr">
        <is>
          <t>Q355D</t>
        </is>
      </c>
      <c r="E142" s="43" t="n"/>
      <c r="F142" s="43" t="n"/>
      <c r="G142" s="43" t="n"/>
      <c r="H142" s="79">
        <f>(E142/1000)*(F142/1000)*(G142/1000)*7850</f>
        <v/>
      </c>
      <c r="I142" s="43" t="n">
        <v>1</v>
      </c>
      <c r="J142" s="80">
        <f>H142*I142</f>
        <v/>
      </c>
      <c r="K142" s="43" t="inlineStr">
        <is>
          <t>来源页57</t>
        </is>
      </c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</row>
    <row r="143" hidden="1" ht="20" customFormat="1" customHeight="1" s="30">
      <c r="A143" s="76" t="n"/>
      <c r="B143" s="43" t="inlineStr"/>
      <c r="C143" s="43" t="inlineStr">
        <is>
          <t>节段O3</t>
        </is>
      </c>
      <c r="D143" s="43" t="inlineStr">
        <is>
          <t>Q355D</t>
        </is>
      </c>
      <c r="E143" s="43" t="n"/>
      <c r="F143" s="43" t="n"/>
      <c r="G143" s="43" t="n"/>
      <c r="H143" s="79">
        <f>(E143/1000)*(F143/1000)*(G143/1000)*7850</f>
        <v/>
      </c>
      <c r="I143" s="43" t="n">
        <v>1</v>
      </c>
      <c r="J143" s="80">
        <f>H143*I143</f>
        <v/>
      </c>
      <c r="K143" s="43" t="inlineStr">
        <is>
          <t>来源页57</t>
        </is>
      </c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</row>
    <row r="144" hidden="1" ht="20" customFormat="1" customHeight="1" s="30">
      <c r="A144" s="76" t="n"/>
      <c r="B144" s="76" t="n"/>
      <c r="C144" s="43" t="inlineStr">
        <is>
          <t>节段3~节段4</t>
        </is>
      </c>
      <c r="D144" s="43" t="inlineStr">
        <is>
          <t>Q355D</t>
        </is>
      </c>
      <c r="E144" s="43" t="n">
        <v>1020</v>
      </c>
      <c r="F144" s="43" t="n">
        <v>1800</v>
      </c>
      <c r="G144" s="43" t="n">
        <v>16</v>
      </c>
      <c r="H144" s="79">
        <f>(E144/1000)*(F144/1000)*(G144/1000)*7850</f>
        <v/>
      </c>
      <c r="I144" s="43" t="n">
        <v>2</v>
      </c>
      <c r="J144" s="80">
        <f>H144*I144</f>
        <v/>
      </c>
      <c r="K144" s="43" t="inlineStr">
        <is>
          <t>来源页60</t>
        </is>
      </c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</row>
    <row r="145" hidden="1" ht="20" customFormat="1" customHeight="1" s="30">
      <c r="A145" s="76" t="n"/>
      <c r="B145" s="76" t="n"/>
      <c r="C145" s="43" t="inlineStr">
        <is>
          <t>节段3~节段4</t>
        </is>
      </c>
      <c r="D145" s="43" t="inlineStr">
        <is>
          <t>Q355D</t>
        </is>
      </c>
      <c r="E145" s="43" t="n">
        <v>1020</v>
      </c>
      <c r="F145" s="43" t="n">
        <v>500</v>
      </c>
      <c r="G145" s="43" t="n">
        <v>16</v>
      </c>
      <c r="H145" s="79">
        <f>(E145/1000)*(F145/1000)*(G145/1000)*7850</f>
        <v/>
      </c>
      <c r="I145" s="43" t="n">
        <v>2</v>
      </c>
      <c r="J145" s="80">
        <f>H145*I145</f>
        <v/>
      </c>
      <c r="K145" s="43" t="inlineStr">
        <is>
          <t>来源页60</t>
        </is>
      </c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</row>
    <row r="146" hidden="1" ht="20" customFormat="1" customHeight="1" s="30">
      <c r="A146" s="76" t="n"/>
      <c r="B146" s="76" t="n"/>
      <c r="C146" s="43" t="inlineStr">
        <is>
          <t>节段3~节段4</t>
        </is>
      </c>
      <c r="D146" s="43" t="inlineStr">
        <is>
          <t>Q355D</t>
        </is>
      </c>
      <c r="E146" s="43" t="n">
        <v>1020</v>
      </c>
      <c r="F146" s="43" t="n">
        <v>500</v>
      </c>
      <c r="G146" s="43" t="n">
        <v>16</v>
      </c>
      <c r="H146" s="79">
        <f>(E146/1000)*(F146/1000)*(G146/1000)*7850</f>
        <v/>
      </c>
      <c r="I146" s="43" t="n">
        <v>2</v>
      </c>
      <c r="J146" s="80">
        <f>H146*I146</f>
        <v/>
      </c>
      <c r="K146" s="43" t="inlineStr">
        <is>
          <t>来源页60</t>
        </is>
      </c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</row>
    <row r="147" hidden="1" ht="20" customFormat="1" customHeight="1" s="30">
      <c r="A147" s="76" t="n"/>
      <c r="B147" s="76" t="n"/>
      <c r="C147" s="43" t="inlineStr">
        <is>
          <t>节段3~节段4</t>
        </is>
      </c>
      <c r="D147" s="43" t="inlineStr">
        <is>
          <t>Q355D</t>
        </is>
      </c>
      <c r="E147" s="43" t="n">
        <v>1020</v>
      </c>
      <c r="F147" s="43" t="n">
        <v>600</v>
      </c>
      <c r="G147" s="43" t="n">
        <v>16</v>
      </c>
      <c r="H147" s="79">
        <f>(E147/1000)*(F147/1000)*(G147/1000)*7850</f>
        <v/>
      </c>
      <c r="I147" s="43" t="n">
        <v>2</v>
      </c>
      <c r="J147" s="80">
        <f>H147*I147</f>
        <v/>
      </c>
      <c r="K147" s="43" t="inlineStr">
        <is>
          <t>来源页60</t>
        </is>
      </c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</row>
    <row r="148" hidden="1" ht="20" customFormat="1" customHeight="1" s="30">
      <c r="A148" s="76" t="n"/>
      <c r="B148" s="76" t="n"/>
      <c r="C148" s="43" t="inlineStr">
        <is>
          <t>节段3~节段4</t>
        </is>
      </c>
      <c r="D148" s="43" t="inlineStr">
        <is>
          <t>Q355D</t>
        </is>
      </c>
      <c r="E148" s="43" t="n">
        <v>1420</v>
      </c>
      <c r="F148" s="43" t="n">
        <v>1100</v>
      </c>
      <c r="G148" s="43" t="n">
        <v>28</v>
      </c>
      <c r="H148" s="79">
        <f>(E148/1000)*(F148/1000)*(G148/1000)*7850</f>
        <v/>
      </c>
      <c r="I148" s="43" t="n">
        <v>1</v>
      </c>
      <c r="J148" s="80">
        <f>H148*I148</f>
        <v/>
      </c>
      <c r="K148" s="43" t="inlineStr">
        <is>
          <t>来源页60</t>
        </is>
      </c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</row>
    <row r="149" ht="20" customFormat="1" customHeight="1" s="30">
      <c r="A149" s="76" t="n"/>
      <c r="B149" s="76" t="n"/>
      <c r="C149" s="43" t="inlineStr">
        <is>
          <t>节段3~节段4</t>
        </is>
      </c>
      <c r="D149" s="43" t="inlineStr">
        <is>
          <t>Q355D</t>
        </is>
      </c>
      <c r="E149" s="43" t="n">
        <v>1420</v>
      </c>
      <c r="F149" s="43" t="n">
        <v>400</v>
      </c>
      <c r="G149" s="43" t="n">
        <v>28</v>
      </c>
      <c r="H149" s="79">
        <f>(E149/1000)*(F149/1000)*(G149/1000)*7850</f>
        <v/>
      </c>
      <c r="I149" s="43" t="n">
        <v>2</v>
      </c>
      <c r="J149" s="80">
        <f>H149*I149</f>
        <v/>
      </c>
      <c r="K149" s="43" t="inlineStr">
        <is>
          <t>来源页60</t>
        </is>
      </c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</row>
    <row r="150" ht="20" customFormat="1" customHeight="1" s="30">
      <c r="A150" s="76" t="n"/>
      <c r="B150" s="74" t="n"/>
      <c r="C150" s="43" t="inlineStr">
        <is>
          <t>节段3~节段4</t>
        </is>
      </c>
      <c r="D150" s="43" t="inlineStr">
        <is>
          <t>Q355D</t>
        </is>
      </c>
      <c r="E150" s="43" t="n">
        <v>920</v>
      </c>
      <c r="F150" s="43" t="n">
        <v>200</v>
      </c>
      <c r="G150" s="43" t="n">
        <v>20</v>
      </c>
      <c r="H150" s="79">
        <f>(E150/1000)*(F150/1000)*(G150/1000)*7850</f>
        <v/>
      </c>
      <c r="I150" s="43" t="n">
        <v>10</v>
      </c>
      <c r="J150" s="80">
        <f>H150*I150</f>
        <v/>
      </c>
      <c r="K150" s="43" t="inlineStr">
        <is>
          <t>来源页60</t>
        </is>
      </c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</row>
    <row r="151" hidden="1" ht="20" customFormat="1" customHeight="1" s="30">
      <c r="A151" s="76" t="n"/>
      <c r="B151" s="43" t="inlineStr">
        <is>
          <t>上弦杆拼接</t>
        </is>
      </c>
      <c r="C151" s="43" t="inlineStr">
        <is>
          <t>节段3~节段4</t>
        </is>
      </c>
      <c r="D151" s="43" t="inlineStr">
        <is>
          <t>Q355D</t>
        </is>
      </c>
      <c r="E151" s="43" t="n">
        <v>600</v>
      </c>
      <c r="F151" s="43" t="n">
        <v>1800</v>
      </c>
      <c r="G151" s="43" t="n">
        <v>20</v>
      </c>
      <c r="H151" s="79">
        <f>(E151/1000)*(F151/1000)*(G151/1000)*7850</f>
        <v/>
      </c>
      <c r="I151" s="43" t="n">
        <v>2</v>
      </c>
      <c r="J151" s="80">
        <f>H151*I151</f>
        <v/>
      </c>
      <c r="K151" s="43" t="inlineStr">
        <is>
          <t>来源页60</t>
        </is>
      </c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</row>
    <row r="152" hidden="1" ht="20" customFormat="1" customHeight="1" s="30">
      <c r="A152" s="76" t="n"/>
      <c r="B152" s="76" t="n"/>
      <c r="C152" s="43" t="inlineStr">
        <is>
          <t>节段3~节段4</t>
        </is>
      </c>
      <c r="D152" s="43" t="inlineStr">
        <is>
          <t>10.9S</t>
        </is>
      </c>
      <c r="E152" s="43" t="n"/>
      <c r="F152" s="43" t="n"/>
      <c r="G152" s="43" t="n"/>
      <c r="H152" s="79">
        <f>(E152/1000)*(F152/1000)*(G152/1000)*7850</f>
        <v/>
      </c>
      <c r="I152" s="43" t="n">
        <v>508</v>
      </c>
      <c r="J152" s="80">
        <f>H152*I152</f>
        <v/>
      </c>
      <c r="K152" s="43" t="inlineStr">
        <is>
          <t>来源页60</t>
        </is>
      </c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</row>
    <row r="153" ht="20" customFormat="1" customHeight="1" s="30">
      <c r="A153" s="76" t="n"/>
      <c r="B153" s="76" t="n"/>
      <c r="C153" s="43" t="inlineStr">
        <is>
          <t>节段3~节段4</t>
        </is>
      </c>
      <c r="D153" s="43" t="inlineStr">
        <is>
          <t>Q355D</t>
        </is>
      </c>
      <c r="E153" s="43" t="n">
        <v>820</v>
      </c>
      <c r="F153" s="43" t="n">
        <v>1700</v>
      </c>
      <c r="G153" s="43" t="n">
        <v>20</v>
      </c>
      <c r="H153" s="79">
        <f>(E153/1000)*(F153/1000)*(G153/1000)*7850</f>
        <v/>
      </c>
      <c r="I153" s="43" t="n">
        <v>2</v>
      </c>
      <c r="J153" s="80">
        <f>H153*I153</f>
        <v/>
      </c>
      <c r="K153" s="43" t="inlineStr">
        <is>
          <t>来源页60</t>
        </is>
      </c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</row>
    <row r="154" hidden="1" ht="20" customFormat="1" customHeight="1" s="30">
      <c r="A154" s="76" t="n"/>
      <c r="B154" s="74" t="n"/>
      <c r="C154" s="43" t="inlineStr">
        <is>
          <t>节段3~节段4</t>
        </is>
      </c>
      <c r="D154" s="43" t="inlineStr">
        <is>
          <t>Q355D</t>
        </is>
      </c>
      <c r="E154" s="43" t="n">
        <v>820</v>
      </c>
      <c r="F154" s="43" t="n">
        <v>800</v>
      </c>
      <c r="G154" s="43" t="n">
        <v>20</v>
      </c>
      <c r="H154" s="79">
        <f>(E154/1000)*(F154/1000)*(G154/1000)*7850</f>
        <v/>
      </c>
      <c r="I154" s="43" t="n">
        <v>4</v>
      </c>
      <c r="J154" s="80">
        <f>H154*I154</f>
        <v/>
      </c>
      <c r="K154" s="43" t="inlineStr">
        <is>
          <t>来源页60</t>
        </is>
      </c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</row>
    <row r="155" hidden="1" ht="20" customFormat="1" customHeight="1" s="30">
      <c r="A155" s="76" t="n"/>
      <c r="B155" s="43" t="inlineStr">
        <is>
          <t>下弦杆拼接</t>
        </is>
      </c>
      <c r="C155" s="43" t="inlineStr">
        <is>
          <t>节段3~节段4</t>
        </is>
      </c>
      <c r="D155" s="43" t="inlineStr">
        <is>
          <t>Q355D</t>
        </is>
      </c>
      <c r="E155" s="44" t="n">
        <v>1120</v>
      </c>
      <c r="F155" s="43" t="n">
        <v>1100</v>
      </c>
      <c r="G155" s="43" t="n">
        <v>32</v>
      </c>
      <c r="H155" s="79">
        <f>(E155/1000)*(F155/1000)*(G155/1000)*7850</f>
        <v/>
      </c>
      <c r="I155" s="43" t="n">
        <v>1</v>
      </c>
      <c r="J155" s="80">
        <f>H155*I155</f>
        <v/>
      </c>
      <c r="K155" s="6" t="inlineStr">
        <is>
          <t>来源页60</t>
        </is>
      </c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</row>
    <row r="156" hidden="1" ht="20" customFormat="1" customHeight="1" s="30">
      <c r="A156" s="76" t="n"/>
      <c r="B156" s="76" t="n"/>
      <c r="C156" s="43" t="inlineStr">
        <is>
          <t>节段3~节段4</t>
        </is>
      </c>
      <c r="D156" s="43" t="inlineStr">
        <is>
          <t>Q355D</t>
        </is>
      </c>
      <c r="E156" s="44" t="n">
        <v>1120</v>
      </c>
      <c r="F156" s="43" t="n">
        <v>400</v>
      </c>
      <c r="G156" s="43" t="n">
        <v>32</v>
      </c>
      <c r="H156" s="79">
        <f>(E156/1000)*(F156/1000)*(G156/1000)*7850</f>
        <v/>
      </c>
      <c r="I156" s="43" t="n">
        <v>2</v>
      </c>
      <c r="J156" s="80">
        <f>H156*I156</f>
        <v/>
      </c>
      <c r="K156" s="6" t="inlineStr">
        <is>
          <t>来源页60</t>
        </is>
      </c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</row>
    <row r="157" hidden="1" ht="20" customFormat="1" customHeight="1" s="30">
      <c r="A157" s="76" t="n"/>
      <c r="B157" s="74" t="n"/>
      <c r="C157" s="43" t="inlineStr">
        <is>
          <t>节段3~节段4</t>
        </is>
      </c>
      <c r="D157" s="43" t="inlineStr">
        <is>
          <t>Q355D</t>
        </is>
      </c>
      <c r="E157" s="44" t="n">
        <v>400</v>
      </c>
      <c r="F157" s="43" t="n">
        <v>1700</v>
      </c>
      <c r="G157" s="43" t="n">
        <v>20</v>
      </c>
      <c r="H157" s="79">
        <f>(E157/1000)*(F157/1000)*(G157/1000)*7850</f>
        <v/>
      </c>
      <c r="I157" s="43" t="n">
        <v>2</v>
      </c>
      <c r="J157" s="80">
        <f>H157*I157</f>
        <v/>
      </c>
      <c r="K157" s="6" t="inlineStr">
        <is>
          <t>来源页60</t>
        </is>
      </c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</row>
    <row r="158" hidden="1" ht="20" customFormat="1" customHeight="1" s="30">
      <c r="A158" s="76" t="n"/>
      <c r="B158" s="43" t="inlineStr">
        <is>
          <t>下弦杆拼接</t>
        </is>
      </c>
      <c r="C158" s="43" t="inlineStr">
        <is>
          <t>节段3~节段4</t>
        </is>
      </c>
      <c r="D158" s="43" t="inlineStr">
        <is>
          <t>10.9S</t>
        </is>
      </c>
      <c r="E158" s="43" t="n"/>
      <c r="F158" s="43" t="n"/>
      <c r="G158" s="43" t="n"/>
      <c r="H158" s="79">
        <f>(E158/1000)*(F158/1000)*(G158/1000)*7850</f>
        <v/>
      </c>
      <c r="I158" s="43" t="n">
        <v>324</v>
      </c>
      <c r="J158" s="80">
        <f>H158*I158</f>
        <v/>
      </c>
      <c r="K158" s="43" t="inlineStr">
        <is>
          <t>来源页60</t>
        </is>
      </c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</row>
    <row r="159" hidden="1" ht="20" customFormat="1" customHeight="1" s="30">
      <c r="A159" s="76" t="n"/>
      <c r="B159" s="76" t="n"/>
      <c r="C159" s="43" t="inlineStr">
        <is>
          <t>节段3~节段4</t>
        </is>
      </c>
      <c r="D159" s="43" t="inlineStr">
        <is>
          <t>Q355D</t>
        </is>
      </c>
      <c r="E159" s="43" t="n">
        <v>1320</v>
      </c>
      <c r="F159" s="43" t="n">
        <v>900</v>
      </c>
      <c r="G159" s="43" t="n">
        <v>28</v>
      </c>
      <c r="H159" s="79">
        <f>(E159/1000)*(F159/1000)*(G159/1000)*7850</f>
        <v/>
      </c>
      <c r="I159" s="43" t="n">
        <v>2</v>
      </c>
      <c r="J159" s="80">
        <f>H159*I159</f>
        <v/>
      </c>
      <c r="K159" s="43" t="inlineStr">
        <is>
          <t>来源页60</t>
        </is>
      </c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</row>
    <row r="160" hidden="1" ht="20" customFormat="1" customHeight="1" s="30">
      <c r="A160" s="76" t="n"/>
      <c r="B160" s="76" t="n"/>
      <c r="C160" s="43" t="inlineStr">
        <is>
          <t>节段3~节段4</t>
        </is>
      </c>
      <c r="D160" s="43" t="inlineStr">
        <is>
          <t>Q355D</t>
        </is>
      </c>
      <c r="E160" s="43" t="n">
        <v>1320</v>
      </c>
      <c r="F160" s="43" t="n">
        <v>400</v>
      </c>
      <c r="G160" s="43" t="n">
        <v>28</v>
      </c>
      <c r="H160" s="79">
        <f>(E160/1000)*(F160/1000)*(G160/1000)*7850</f>
        <v/>
      </c>
      <c r="I160" s="43" t="n">
        <v>4</v>
      </c>
      <c r="J160" s="80">
        <f>H160*I160</f>
        <v/>
      </c>
      <c r="K160" s="43" t="inlineStr">
        <is>
          <t>来源页60</t>
        </is>
      </c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</row>
    <row r="161" ht="20" customFormat="1" customHeight="1" s="30">
      <c r="A161" s="76" t="n"/>
      <c r="B161" s="74" t="n"/>
      <c r="C161" s="43" t="inlineStr">
        <is>
          <t>节段3~节段4</t>
        </is>
      </c>
      <c r="D161" s="43" t="inlineStr">
        <is>
          <t>Q355D</t>
        </is>
      </c>
      <c r="E161" s="43" t="n">
        <v>1320</v>
      </c>
      <c r="F161" s="43" t="n">
        <v>500</v>
      </c>
      <c r="G161" s="43" t="n">
        <v>28</v>
      </c>
      <c r="H161" s="79">
        <f>(E161/1000)*(F161/1000)*(G161/1000)*7850</f>
        <v/>
      </c>
      <c r="I161" s="43" t="n">
        <v>4</v>
      </c>
      <c r="J161" s="80">
        <f>H161*I161</f>
        <v/>
      </c>
      <c r="K161" s="43" t="inlineStr">
        <is>
          <t>来源页60</t>
        </is>
      </c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</row>
    <row r="162" hidden="1" ht="20" customFormat="1" customHeight="1" s="30">
      <c r="A162" s="74" t="n"/>
      <c r="B162" s="43" t="inlineStr">
        <is>
          <t>小计</t>
        </is>
      </c>
      <c r="C162" s="73" t="n"/>
      <c r="D162" s="43" t="n"/>
      <c r="E162" s="43" t="n"/>
      <c r="F162" s="43" t="n"/>
      <c r="G162" s="43" t="n"/>
      <c r="H162" s="79" t="n"/>
      <c r="I162" s="43" t="n"/>
      <c r="J162" s="80">
        <f>SUM(J137:J161)</f>
        <v/>
      </c>
      <c r="K162" s="43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</row>
    <row r="163" ht="20" customFormat="1" customHeight="1" s="30">
      <c r="A163" s="43" t="inlineStr">
        <is>
          <t>L4</t>
        </is>
      </c>
      <c r="B163" s="43" t="inlineStr">
        <is>
          <t>腹杆拼接</t>
        </is>
      </c>
      <c r="C163" s="43" t="inlineStr">
        <is>
          <t>节段3~节段4</t>
        </is>
      </c>
      <c r="D163" s="43" t="inlineStr">
        <is>
          <t>Q355D</t>
        </is>
      </c>
      <c r="E163" s="43" t="n">
        <v>820</v>
      </c>
      <c r="F163" s="43" t="n">
        <v>200</v>
      </c>
      <c r="G163" s="43" t="n">
        <v>20</v>
      </c>
      <c r="H163" s="79">
        <f>(E163/1000)*(F163/1000)*(G163/1000)*7850</f>
        <v/>
      </c>
      <c r="I163" s="43" t="n">
        <v>4</v>
      </c>
      <c r="J163" s="80">
        <f>H163*I163</f>
        <v/>
      </c>
      <c r="K163" s="43" t="inlineStr">
        <is>
          <t>来源页60</t>
        </is>
      </c>
      <c r="L163" s="43">
        <f>A163</f>
        <v/>
      </c>
      <c r="M163" s="81">
        <f>SUMIF(G163:G187,$M$3,J163:J187)</f>
        <v/>
      </c>
      <c r="N163" s="81">
        <f>SUMIF(G163:G187,$N$3,J163:J187)</f>
        <v/>
      </c>
      <c r="O163" s="81">
        <f>SUMIF(G163:G187,$O$3,J163:J187)</f>
        <v/>
      </c>
      <c r="P163" s="81">
        <f>SUMIF(G163:G187,$P$3,J163:J187)</f>
        <v/>
      </c>
      <c r="Q163" s="81">
        <f>SUMIF(G163:G187,$Q$3,J163:J187)</f>
        <v/>
      </c>
      <c r="R163" s="81">
        <f>SUMIF(G163:G187,$R$3,J163:J187)</f>
        <v/>
      </c>
      <c r="S163" s="81">
        <f>SUMIF(G163:G187,$S$3,J163:J187)</f>
        <v/>
      </c>
      <c r="T163" s="81">
        <f>SUM(M163:S188)</f>
        <v/>
      </c>
      <c r="U163" s="81" t="n">
        <v>143322.8</v>
      </c>
      <c r="V163" s="81">
        <f>T163-U163</f>
        <v/>
      </c>
      <c r="W163" s="43" t="n"/>
    </row>
    <row r="164" ht="20" customFormat="1" customHeight="1" s="30">
      <c r="A164" s="76" t="n"/>
      <c r="B164" s="76" t="n"/>
      <c r="C164" s="43" t="inlineStr">
        <is>
          <t>节段04</t>
        </is>
      </c>
      <c r="D164" s="43" t="inlineStr">
        <is>
          <t>Q355D</t>
        </is>
      </c>
      <c r="E164" s="43" t="n"/>
      <c r="F164" s="43" t="n"/>
      <c r="G164" s="43" t="n">
        <v>40</v>
      </c>
      <c r="H164" s="79">
        <f>(E164/1000)*(F164/1000)*(G164/1000)*7850</f>
        <v/>
      </c>
      <c r="I164" s="43" t="n">
        <v>1</v>
      </c>
      <c r="J164" s="80">
        <f>H164*I164</f>
        <v/>
      </c>
      <c r="K164" s="43" t="inlineStr">
        <is>
          <t>来源页61</t>
        </is>
      </c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</row>
    <row r="165" hidden="1" ht="20" customFormat="1" customHeight="1" s="30">
      <c r="A165" s="76" t="n"/>
      <c r="B165" s="76" t="n"/>
      <c r="C165" s="43" t="inlineStr">
        <is>
          <t>节段04</t>
        </is>
      </c>
      <c r="D165" s="43" t="inlineStr">
        <is>
          <t>Q355D</t>
        </is>
      </c>
      <c r="E165" s="43" t="n"/>
      <c r="F165" s="43" t="n"/>
      <c r="G165" s="43" t="n">
        <v>36</v>
      </c>
      <c r="H165" s="79">
        <f>(E165/1000)*(F165/1000)*(G165/1000)*7850</f>
        <v/>
      </c>
      <c r="I165" s="43" t="n">
        <v>1</v>
      </c>
      <c r="J165" s="80">
        <f>H165*I165</f>
        <v/>
      </c>
      <c r="K165" s="43" t="inlineStr">
        <is>
          <t>来源页61</t>
        </is>
      </c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</row>
    <row r="166" hidden="1" ht="20" customFormat="1" customHeight="1" s="30">
      <c r="A166" s="76" t="n"/>
      <c r="B166" s="76" t="n"/>
      <c r="C166" s="43" t="inlineStr">
        <is>
          <t>节段04</t>
        </is>
      </c>
      <c r="D166" s="43" t="inlineStr">
        <is>
          <t>Q355D</t>
        </is>
      </c>
      <c r="E166" s="43" t="n"/>
      <c r="F166" s="43" t="n"/>
      <c r="G166" s="43" t="n">
        <v>32</v>
      </c>
      <c r="H166" s="79">
        <f>(E166/1000)*(F166/1000)*(G166/1000)*7850</f>
        <v/>
      </c>
      <c r="I166" s="43" t="n">
        <v>1</v>
      </c>
      <c r="J166" s="80">
        <f>H166*I166</f>
        <v/>
      </c>
      <c r="K166" s="43" t="inlineStr">
        <is>
          <t>来源页61</t>
        </is>
      </c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</row>
    <row r="167" hidden="1" ht="20" customFormat="1" customHeight="1" s="30">
      <c r="A167" s="76" t="n"/>
      <c r="B167" s="76" t="n"/>
      <c r="C167" s="43" t="inlineStr">
        <is>
          <t>节段04</t>
        </is>
      </c>
      <c r="D167" s="43" t="inlineStr">
        <is>
          <t>Q355D</t>
        </is>
      </c>
      <c r="E167" s="43" t="n"/>
      <c r="F167" s="43" t="n"/>
      <c r="G167" s="43" t="n">
        <v>24</v>
      </c>
      <c r="H167" s="79">
        <f>(E167/1000)*(F167/1000)*(G167/1000)*7850</f>
        <v/>
      </c>
      <c r="I167" s="43" t="n">
        <v>1</v>
      </c>
      <c r="J167" s="80">
        <f>H167*I167</f>
        <v/>
      </c>
      <c r="K167" s="43" t="inlineStr">
        <is>
          <t>来源页61</t>
        </is>
      </c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</row>
    <row r="168" hidden="1" ht="20" customFormat="1" customHeight="1" s="30">
      <c r="A168" s="76" t="n"/>
      <c r="B168" s="74" t="n"/>
      <c r="C168" s="43" t="inlineStr">
        <is>
          <t>节段04</t>
        </is>
      </c>
      <c r="D168" s="43" t="inlineStr">
        <is>
          <t>Q355D</t>
        </is>
      </c>
      <c r="E168" s="43" t="n"/>
      <c r="F168" s="43" t="n"/>
      <c r="G168" s="43" t="n">
        <v>20</v>
      </c>
      <c r="H168" s="79">
        <f>(E168/1000)*(F168/1000)*(G168/1000)*7850</f>
        <v/>
      </c>
      <c r="I168" s="43" t="n">
        <v>1</v>
      </c>
      <c r="J168" s="80">
        <f>H168*I168</f>
        <v/>
      </c>
      <c r="K168" s="43" t="inlineStr">
        <is>
          <t>来源页61</t>
        </is>
      </c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</row>
    <row r="169" hidden="1" ht="20" customFormat="1" customHeight="1" s="30">
      <c r="A169" s="76" t="n"/>
      <c r="B169" s="43" t="inlineStr"/>
      <c r="C169" s="43" t="inlineStr">
        <is>
          <t>节段04</t>
        </is>
      </c>
      <c r="D169" s="43" t="inlineStr">
        <is>
          <t>Q355D</t>
        </is>
      </c>
      <c r="E169" s="43" t="n"/>
      <c r="F169" s="43" t="n"/>
      <c r="G169" s="43" t="n">
        <v>16</v>
      </c>
      <c r="H169" s="79">
        <f>(E169/1000)*(F169/1000)*(G169/1000)*7850</f>
        <v/>
      </c>
      <c r="I169" s="43" t="n">
        <v>1</v>
      </c>
      <c r="J169" s="80">
        <f>H169*I169</f>
        <v/>
      </c>
      <c r="K169" s="43" t="inlineStr">
        <is>
          <t>来源页61</t>
        </is>
      </c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</row>
    <row r="170" hidden="1" ht="20" customFormat="1" customHeight="1" s="30">
      <c r="A170" s="76" t="n"/>
      <c r="B170" s="76" t="n"/>
      <c r="C170" s="43" t="inlineStr">
        <is>
          <t>节段04</t>
        </is>
      </c>
      <c r="D170" s="43" t="inlineStr">
        <is>
          <t>Q355D</t>
        </is>
      </c>
      <c r="E170" s="43" t="n"/>
      <c r="F170" s="43" t="n"/>
      <c r="G170" s="43" t="n">
        <v>14</v>
      </c>
      <c r="H170" s="79">
        <f>(E170/1000)*(F170/1000)*(G170/1000)*7850</f>
        <v/>
      </c>
      <c r="I170" s="43" t="n">
        <v>1</v>
      </c>
      <c r="J170" s="80">
        <f>H170*I170</f>
        <v/>
      </c>
      <c r="K170" s="43" t="inlineStr">
        <is>
          <t>来源页61</t>
        </is>
      </c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</row>
    <row r="171" hidden="1" ht="20" customFormat="1" customHeight="1" s="30">
      <c r="A171" s="76" t="n"/>
      <c r="B171" s="76" t="n"/>
      <c r="C171" s="43" t="inlineStr">
        <is>
          <t>节段04</t>
        </is>
      </c>
      <c r="D171" s="43" t="inlineStr">
        <is>
          <t>Q355D</t>
        </is>
      </c>
      <c r="E171" s="43" t="n"/>
      <c r="F171" s="43" t="n"/>
      <c r="G171" s="43" t="n">
        <v>4</v>
      </c>
      <c r="H171" s="79">
        <f>(E171/1000)*(F171/1000)*(G171/1000)*7850</f>
        <v/>
      </c>
      <c r="I171" s="43" t="n">
        <v>1</v>
      </c>
      <c r="J171" s="80">
        <f>H171*I171</f>
        <v/>
      </c>
      <c r="K171" s="43" t="inlineStr">
        <is>
          <t>来源页61</t>
        </is>
      </c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</row>
    <row r="172" hidden="1" ht="20" customFormat="1" customHeight="1" s="30">
      <c r="A172" s="76" t="n"/>
      <c r="B172" s="76" t="n"/>
      <c r="C172" s="43" t="inlineStr">
        <is>
          <t>节段04</t>
        </is>
      </c>
      <c r="D172" s="43" t="inlineStr">
        <is>
          <t>Q355D</t>
        </is>
      </c>
      <c r="E172" s="43" t="n"/>
      <c r="F172" s="43" t="n"/>
      <c r="G172" s="43" t="n"/>
      <c r="H172" s="79">
        <f>(E172/1000)*(F172/1000)*(G172/1000)*7850</f>
        <v/>
      </c>
      <c r="I172" s="43" t="n">
        <v>1</v>
      </c>
      <c r="J172" s="80">
        <f>H172*I172</f>
        <v/>
      </c>
      <c r="K172" s="43" t="inlineStr">
        <is>
          <t>来源页61</t>
        </is>
      </c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</row>
    <row r="173" hidden="1" ht="20" customFormat="1" customHeight="1" s="30">
      <c r="A173" s="76" t="n"/>
      <c r="B173" s="76" t="n"/>
      <c r="C173" s="43" t="inlineStr">
        <is>
          <t>节段04</t>
        </is>
      </c>
      <c r="D173" s="43" t="inlineStr">
        <is>
          <t>Q355D</t>
        </is>
      </c>
      <c r="E173" s="43" t="n"/>
      <c r="F173" s="43" t="n"/>
      <c r="G173" s="43" t="n"/>
      <c r="H173" s="79">
        <f>(E173/1000)*(F173/1000)*(G173/1000)*7850</f>
        <v/>
      </c>
      <c r="I173" s="43" t="n">
        <v>1</v>
      </c>
      <c r="J173" s="80">
        <f>H173*I173</f>
        <v/>
      </c>
      <c r="K173" s="43" t="inlineStr">
        <is>
          <t>来源页61</t>
        </is>
      </c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</row>
    <row r="174" hidden="1" ht="20" customFormat="1" customHeight="1" s="30">
      <c r="A174" s="76" t="n"/>
      <c r="B174" s="76" t="n"/>
      <c r="C174" s="43" t="inlineStr">
        <is>
          <t>节段04</t>
        </is>
      </c>
      <c r="D174" s="43" t="inlineStr">
        <is>
          <t>Q355D</t>
        </is>
      </c>
      <c r="E174" s="43" t="n"/>
      <c r="F174" s="43" t="n"/>
      <c r="G174" s="43" t="n"/>
      <c r="H174" s="79">
        <f>(E174/1000)*(F174/1000)*(G174/1000)*7850</f>
        <v/>
      </c>
      <c r="I174" s="43" t="n">
        <v>1</v>
      </c>
      <c r="J174" s="80">
        <f>H174*I174</f>
        <v/>
      </c>
      <c r="K174" s="43" t="inlineStr">
        <is>
          <t>来源页61</t>
        </is>
      </c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</row>
    <row r="175" ht="20" customFormat="1" customHeight="1" s="30">
      <c r="A175" s="76" t="n"/>
      <c r="B175" s="76" t="n"/>
      <c r="C175" s="43" t="inlineStr">
        <is>
          <t>节段04</t>
        </is>
      </c>
      <c r="D175" s="43" t="inlineStr">
        <is>
          <t>Q355D</t>
        </is>
      </c>
      <c r="E175" s="43" t="n"/>
      <c r="F175" s="43" t="n"/>
      <c r="G175" s="43" t="n">
        <v>20</v>
      </c>
      <c r="H175" s="79">
        <f>(E175/1000)*(F175/1000)*(G175/1000)*7850</f>
        <v/>
      </c>
      <c r="I175" s="43" t="n">
        <v>1</v>
      </c>
      <c r="J175" s="80">
        <f>H175*I175</f>
        <v/>
      </c>
      <c r="K175" s="43" t="inlineStr">
        <is>
          <t>来源页61</t>
        </is>
      </c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</row>
    <row r="176" ht="20" customFormat="1" customHeight="1" s="30">
      <c r="A176" s="76" t="n"/>
      <c r="B176" s="74" t="n"/>
      <c r="C176" s="43" t="inlineStr">
        <is>
          <t>节段04</t>
        </is>
      </c>
      <c r="D176" s="43" t="inlineStr">
        <is>
          <t>Q355D</t>
        </is>
      </c>
      <c r="E176" s="43" t="n"/>
      <c r="F176" s="43" t="n"/>
      <c r="G176" s="43" t="n">
        <v>20</v>
      </c>
      <c r="H176" s="79">
        <f>(E176/1000)*(F176/1000)*(G176/1000)*7850</f>
        <v/>
      </c>
      <c r="I176" s="43" t="n">
        <v>1</v>
      </c>
      <c r="J176" s="80">
        <f>H176*I176</f>
        <v/>
      </c>
      <c r="K176" s="43" t="inlineStr">
        <is>
          <t>来源页61</t>
        </is>
      </c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</row>
    <row r="177" hidden="1" ht="20" customFormat="1" customHeight="1" s="30">
      <c r="A177" s="76" t="n"/>
      <c r="B177" s="43" t="inlineStr"/>
      <c r="C177" s="43" t="inlineStr">
        <is>
          <t>节段04</t>
        </is>
      </c>
      <c r="D177" s="43" t="inlineStr">
        <is>
          <t>Q355D</t>
        </is>
      </c>
      <c r="E177" s="43" t="n">
        <v>7901</v>
      </c>
      <c r="F177" s="43" t="n">
        <v>1200</v>
      </c>
      <c r="G177" s="43" t="n">
        <v>20</v>
      </c>
      <c r="H177" s="79">
        <f>(E177/1000)*(F177/1000)*(G177/1000)*7850</f>
        <v/>
      </c>
      <c r="I177" s="43" t="n">
        <v>1</v>
      </c>
      <c r="J177" s="80">
        <f>H177*I177</f>
        <v/>
      </c>
      <c r="K177" s="43" t="inlineStr">
        <is>
          <t>来源页61</t>
        </is>
      </c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</row>
    <row r="178" hidden="1" ht="20" customFormat="1" customHeight="1" s="30">
      <c r="A178" s="76" t="n"/>
      <c r="B178" s="76" t="n"/>
      <c r="C178" s="43" t="inlineStr">
        <is>
          <t>节段04</t>
        </is>
      </c>
      <c r="D178" s="43" t="inlineStr">
        <is>
          <t>Q355D</t>
        </is>
      </c>
      <c r="E178" s="43" t="n">
        <v>7101</v>
      </c>
      <c r="F178" s="43" t="n">
        <v>1200</v>
      </c>
      <c r="G178" s="43" t="n">
        <v>20</v>
      </c>
      <c r="H178" s="79">
        <f>(E178/1000)*(F178/1000)*(G178/1000)*7850</f>
        <v/>
      </c>
      <c r="I178" s="43" t="n">
        <v>1</v>
      </c>
      <c r="J178" s="80">
        <f>H178*I178</f>
        <v/>
      </c>
      <c r="K178" s="43" t="inlineStr">
        <is>
          <t>来源页61</t>
        </is>
      </c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</row>
    <row r="179" ht="20" customFormat="1" customHeight="1" s="30">
      <c r="A179" s="76" t="n"/>
      <c r="B179" s="76" t="n"/>
      <c r="C179" s="43" t="inlineStr">
        <is>
          <t>节段04</t>
        </is>
      </c>
      <c r="D179" s="43" t="inlineStr">
        <is>
          <t>Q355D</t>
        </is>
      </c>
      <c r="E179" s="43" t="n"/>
      <c r="F179" s="43" t="n"/>
      <c r="G179" s="43" t="n">
        <v>40</v>
      </c>
      <c r="H179" s="79">
        <f>(E179/1000)*(F179/1000)*(G179/1000)*7850</f>
        <v/>
      </c>
      <c r="I179" s="43" t="n">
        <v>2</v>
      </c>
      <c r="J179" s="80">
        <f>H179*I179</f>
        <v/>
      </c>
      <c r="K179" s="43" t="inlineStr">
        <is>
          <t>来源页61</t>
        </is>
      </c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</row>
    <row r="180" hidden="1" ht="20" customFormat="1" customHeight="1" s="30">
      <c r="A180" s="76" t="n"/>
      <c r="B180" s="74" t="n"/>
      <c r="C180" s="43" t="inlineStr">
        <is>
          <t>节段04</t>
        </is>
      </c>
      <c r="D180" s="43" t="inlineStr">
        <is>
          <t>Q355D</t>
        </is>
      </c>
      <c r="E180" s="43" t="n">
        <v>7301</v>
      </c>
      <c r="F180" s="43" t="n">
        <v>2048</v>
      </c>
      <c r="G180" s="43" t="n">
        <v>32</v>
      </c>
      <c r="H180" s="79">
        <f>(E180/1000)*(F180/1000)*(G180/1000)*7850</f>
        <v/>
      </c>
      <c r="I180" s="43" t="n">
        <v>2</v>
      </c>
      <c r="J180" s="80">
        <f>H180*I180</f>
        <v/>
      </c>
      <c r="K180" s="43" t="inlineStr">
        <is>
          <t>来源页61</t>
        </is>
      </c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</row>
    <row r="181" hidden="1" ht="20" customFormat="1" customHeight="1" s="30">
      <c r="A181" s="76" t="n"/>
      <c r="B181" s="43" t="inlineStr"/>
      <c r="C181" s="43" t="inlineStr">
        <is>
          <t>节段04</t>
        </is>
      </c>
      <c r="D181" s="43" t="inlineStr">
        <is>
          <t>Q355D</t>
        </is>
      </c>
      <c r="E181" s="44" t="n">
        <v>1980</v>
      </c>
      <c r="F181" s="43" t="n">
        <v>1200</v>
      </c>
      <c r="G181" s="43" t="n">
        <v>16</v>
      </c>
      <c r="H181" s="79">
        <f>(E181/1000)*(F181/1000)*(G181/1000)*7850</f>
        <v/>
      </c>
      <c r="I181" s="43" t="n">
        <v>3</v>
      </c>
      <c r="J181" s="80">
        <f>H181*I181</f>
        <v/>
      </c>
      <c r="K181" s="6" t="inlineStr">
        <is>
          <t>来源页61</t>
        </is>
      </c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</row>
    <row r="182" hidden="1" ht="20" customFormat="1" customHeight="1" s="30">
      <c r="A182" s="76" t="n"/>
      <c r="B182" s="76" t="n"/>
      <c r="C182" s="43" t="inlineStr">
        <is>
          <t>节段04</t>
        </is>
      </c>
      <c r="D182" s="43" t="inlineStr">
        <is>
          <t>Q355D</t>
        </is>
      </c>
      <c r="E182" s="44" t="n">
        <v>1980</v>
      </c>
      <c r="F182" s="43" t="n">
        <v>1200</v>
      </c>
      <c r="G182" s="43" t="n">
        <v>16</v>
      </c>
      <c r="H182" s="79">
        <f>(E182/1000)*(F182/1000)*(G182/1000)*7850</f>
        <v/>
      </c>
      <c r="I182" s="43" t="n">
        <v>2</v>
      </c>
      <c r="J182" s="80">
        <f>H182*I182</f>
        <v/>
      </c>
      <c r="K182" s="6" t="inlineStr">
        <is>
          <t>来源页61</t>
        </is>
      </c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</row>
    <row r="183" hidden="1" ht="20" customFormat="1" customHeight="1" s="30">
      <c r="A183" s="76" t="n"/>
      <c r="B183" s="74" t="n"/>
      <c r="C183" s="43" t="inlineStr">
        <is>
          <t>节段04</t>
        </is>
      </c>
      <c r="D183" s="43" t="inlineStr">
        <is>
          <t>Q355D</t>
        </is>
      </c>
      <c r="E183" s="44" t="n">
        <v>2057</v>
      </c>
      <c r="F183" s="43" t="n">
        <v>200</v>
      </c>
      <c r="G183" s="43" t="n">
        <v>16</v>
      </c>
      <c r="H183" s="79">
        <f>(E183/1000)*(F183/1000)*(G183/1000)*7850</f>
        <v/>
      </c>
      <c r="I183" s="43" t="n">
        <v>3</v>
      </c>
      <c r="J183" s="80">
        <f>H183*I183</f>
        <v/>
      </c>
      <c r="K183" s="6" t="inlineStr">
        <is>
          <t>来源页61</t>
        </is>
      </c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</row>
    <row r="184" hidden="1" ht="20" customFormat="1" customHeight="1" s="30">
      <c r="A184" s="76" t="n"/>
      <c r="B184" s="43" t="inlineStr"/>
      <c r="C184" s="43" t="inlineStr">
        <is>
          <t>节段04</t>
        </is>
      </c>
      <c r="D184" s="43" t="inlineStr">
        <is>
          <t>Q355B</t>
        </is>
      </c>
      <c r="E184" s="43" t="n">
        <v>2057</v>
      </c>
      <c r="F184" s="43" t="n">
        <v>40</v>
      </c>
      <c r="G184" s="43" t="n">
        <v>4</v>
      </c>
      <c r="H184" s="79">
        <f>(E184/1000)*(F184/1000)*(G184/1000)*7850</f>
        <v/>
      </c>
      <c r="I184" s="43" t="n">
        <v>4</v>
      </c>
      <c r="J184" s="80">
        <f>H184*I184</f>
        <v/>
      </c>
      <c r="K184" s="43" t="inlineStr">
        <is>
          <t>来源页61</t>
        </is>
      </c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</row>
    <row r="185" hidden="1" ht="20" customFormat="1" customHeight="1" s="30">
      <c r="A185" s="76" t="n"/>
      <c r="B185" s="76" t="n"/>
      <c r="C185" s="43" t="inlineStr">
        <is>
          <t>节段04</t>
        </is>
      </c>
      <c r="D185" s="43" t="inlineStr">
        <is>
          <t>Q355D</t>
        </is>
      </c>
      <c r="E185" s="43" t="n">
        <v>800</v>
      </c>
      <c r="F185" s="43" t="n">
        <v>400</v>
      </c>
      <c r="G185" s="43" t="n">
        <v>16</v>
      </c>
      <c r="H185" s="79">
        <f>(E185/1000)*(F185/1000)*(G185/1000)*7850</f>
        <v/>
      </c>
      <c r="I185" s="43" t="n">
        <v>4</v>
      </c>
      <c r="J185" s="80">
        <f>H185*I185</f>
        <v/>
      </c>
      <c r="K185" s="43" t="inlineStr">
        <is>
          <t>来源页61</t>
        </is>
      </c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</row>
    <row r="186" hidden="1" ht="20" customFormat="1" customHeight="1" s="30">
      <c r="A186" s="76" t="n"/>
      <c r="B186" s="76" t="n"/>
      <c r="C186" s="43" t="inlineStr">
        <is>
          <t>节段04</t>
        </is>
      </c>
      <c r="D186" s="43" t="inlineStr">
        <is>
          <t>Q355D</t>
        </is>
      </c>
      <c r="E186" s="43" t="n">
        <v>7903</v>
      </c>
      <c r="F186" s="43" t="n">
        <v>2500</v>
      </c>
      <c r="G186" s="43" t="n">
        <v>20</v>
      </c>
      <c r="H186" s="79">
        <f>(E186/1000)*(F186/1000)*(G186/1000)*7850</f>
        <v/>
      </c>
      <c r="I186" s="43" t="n">
        <v>1</v>
      </c>
      <c r="J186" s="80">
        <f>H186*I186</f>
        <v/>
      </c>
      <c r="K186" s="43" t="inlineStr">
        <is>
          <t>来源页61</t>
        </is>
      </c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</row>
    <row r="187" ht="20" customFormat="1" customHeight="1" s="30">
      <c r="A187" s="76" t="n"/>
      <c r="B187" s="74" t="n"/>
      <c r="C187" s="43" t="inlineStr">
        <is>
          <t>节段04</t>
        </is>
      </c>
      <c r="D187" s="43" t="inlineStr">
        <is>
          <t>Q355D</t>
        </is>
      </c>
      <c r="E187" s="43" t="n">
        <v>7102</v>
      </c>
      <c r="F187" s="43" t="n">
        <v>2500</v>
      </c>
      <c r="G187" s="43" t="n">
        <v>20</v>
      </c>
      <c r="H187" s="79">
        <f>(E187/1000)*(F187/1000)*(G187/1000)*7850</f>
        <v/>
      </c>
      <c r="I187" s="43" t="n">
        <v>1</v>
      </c>
      <c r="J187" s="80">
        <f>H187*I187</f>
        <v/>
      </c>
      <c r="K187" s="43" t="inlineStr">
        <is>
          <t>来源页61</t>
        </is>
      </c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</row>
    <row r="188" hidden="1" ht="20" customFormat="1" customHeight="1" s="30">
      <c r="A188" s="74" t="n"/>
      <c r="B188" s="43" t="inlineStr">
        <is>
          <t>小计</t>
        </is>
      </c>
      <c r="C188" s="73" t="n"/>
      <c r="D188" s="43" t="n"/>
      <c r="E188" s="43" t="n"/>
      <c r="F188" s="43" t="n"/>
      <c r="G188" s="43" t="n"/>
      <c r="H188" s="79" t="n"/>
      <c r="I188" s="43" t="n"/>
      <c r="J188" s="80">
        <f>SUM(J163:J187)</f>
        <v/>
      </c>
      <c r="K188" s="43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</row>
    <row r="189" ht="20" customFormat="1" customHeight="1" s="30">
      <c r="A189" s="43" t="inlineStr">
        <is>
          <t>N22a</t>
        </is>
      </c>
      <c r="B189" s="43" t="inlineStr"/>
      <c r="C189" s="43" t="inlineStr">
        <is>
          <t>节段04</t>
        </is>
      </c>
      <c r="D189" s="43" t="inlineStr">
        <is>
          <t>Q355D</t>
        </is>
      </c>
      <c r="E189" s="43" t="n"/>
      <c r="F189" s="43" t="n"/>
      <c r="G189" s="43" t="n">
        <v>20</v>
      </c>
      <c r="H189" s="79">
        <f>(E189/1000)*(F189/1000)*(G189/1000)*7850</f>
        <v/>
      </c>
      <c r="I189" s="43" t="n">
        <v>1</v>
      </c>
      <c r="J189" s="80">
        <f>H189*I189</f>
        <v/>
      </c>
      <c r="K189" s="43" t="inlineStr">
        <is>
          <t>来源页61</t>
        </is>
      </c>
      <c r="L189" s="43">
        <f>A189</f>
        <v/>
      </c>
      <c r="M189" s="81">
        <f>SUMIF(G189:G216,$M$3,J189:J216)</f>
        <v/>
      </c>
      <c r="N189" s="81">
        <f>SUMIF(G189:G216,$N$3,J189:J216)</f>
        <v/>
      </c>
      <c r="O189" s="81">
        <f>SUMIF(G189:G216,$O$3,J189:J216)</f>
        <v/>
      </c>
      <c r="P189" s="81">
        <f>SUMIF(G189:G216,$P$3,J189:J216)</f>
        <v/>
      </c>
      <c r="Q189" s="81">
        <f>SUMIF(G189:G216,$Q$3,J189:J216)</f>
        <v/>
      </c>
      <c r="R189" s="81">
        <f>SUMIF(G189:G216,$R$3,J189:J216)</f>
        <v/>
      </c>
      <c r="S189" s="81">
        <f>SUMIF(G189:G216,$S$3,J189:J216)</f>
        <v/>
      </c>
      <c r="T189" s="81">
        <f>SUM(M189:S217)</f>
        <v/>
      </c>
      <c r="U189" s="81" t="n">
        <v>145490.9</v>
      </c>
      <c r="V189" s="81">
        <f>T189-U189</f>
        <v/>
      </c>
      <c r="W189" s="43" t="n"/>
    </row>
    <row r="190" ht="20" customFormat="1" customHeight="1" s="30">
      <c r="A190" s="76" t="n"/>
      <c r="B190" s="76" t="n"/>
      <c r="C190" s="43" t="inlineStr">
        <is>
          <t>节段04</t>
        </is>
      </c>
      <c r="D190" s="43" t="inlineStr">
        <is>
          <t>Q355D</t>
        </is>
      </c>
      <c r="E190" s="43" t="n"/>
      <c r="F190" s="43" t="n"/>
      <c r="G190" s="43" t="n">
        <v>20</v>
      </c>
      <c r="H190" s="79">
        <f>(E190/1000)*(F190/1000)*(G190/1000)*7850</f>
        <v/>
      </c>
      <c r="I190" s="43" t="n">
        <v>1</v>
      </c>
      <c r="J190" s="80">
        <f>H190*I190</f>
        <v/>
      </c>
      <c r="K190" s="43" t="inlineStr">
        <is>
          <t>来源页61</t>
        </is>
      </c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</row>
    <row r="191" hidden="1" ht="20" customFormat="1" customHeight="1" s="30">
      <c r="A191" s="76" t="n"/>
      <c r="B191" s="76" t="n"/>
      <c r="C191" s="43" t="inlineStr">
        <is>
          <t>节段04</t>
        </is>
      </c>
      <c r="D191" s="43" t="inlineStr">
        <is>
          <t>Q355D</t>
        </is>
      </c>
      <c r="E191" s="43" t="n"/>
      <c r="F191" s="43" t="n"/>
      <c r="G191" s="43" t="n">
        <v>40</v>
      </c>
      <c r="H191" s="79">
        <f>(E191/1000)*(F191/1000)*(G191/1000)*7850</f>
        <v/>
      </c>
      <c r="I191" s="43" t="n">
        <v>2</v>
      </c>
      <c r="J191" s="80">
        <f>H191*I191</f>
        <v/>
      </c>
      <c r="K191" s="43" t="inlineStr">
        <is>
          <t>Z35钢；来源页61</t>
        </is>
      </c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</row>
    <row r="192" hidden="1" ht="20" customFormat="1" customHeight="1" s="30">
      <c r="A192" s="76" t="n"/>
      <c r="B192" s="76" t="n"/>
      <c r="C192" s="43" t="inlineStr">
        <is>
          <t>节段04</t>
        </is>
      </c>
      <c r="D192" s="43" t="inlineStr">
        <is>
          <t>Q355D</t>
        </is>
      </c>
      <c r="E192" s="43" t="n">
        <v>7302</v>
      </c>
      <c r="F192" s="43" t="n">
        <v>1880</v>
      </c>
      <c r="G192" s="43" t="n">
        <v>24</v>
      </c>
      <c r="H192" s="79">
        <f>(E192/1000)*(F192/1000)*(G192/1000)*7850</f>
        <v/>
      </c>
      <c r="I192" s="43" t="n">
        <v>2</v>
      </c>
      <c r="J192" s="80">
        <f>H192*I192</f>
        <v/>
      </c>
      <c r="K192" s="43" t="inlineStr">
        <is>
          <t>来源页61</t>
        </is>
      </c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</row>
    <row r="193" hidden="1" ht="20" customFormat="1" customHeight="1" s="30">
      <c r="A193" s="76" t="n"/>
      <c r="B193" s="76" t="n"/>
      <c r="C193" s="43" t="inlineStr">
        <is>
          <t>节段04</t>
        </is>
      </c>
      <c r="D193" s="43" t="inlineStr">
        <is>
          <t>Q355D</t>
        </is>
      </c>
      <c r="E193" s="43" t="n">
        <v>1800</v>
      </c>
      <c r="F193" s="43" t="n">
        <v>1200</v>
      </c>
      <c r="G193" s="43" t="n">
        <v>16</v>
      </c>
      <c r="H193" s="79">
        <f>(E193/1000)*(F193/1000)*(G193/1000)*7850</f>
        <v/>
      </c>
      <c r="I193" s="43" t="n">
        <v>3</v>
      </c>
      <c r="J193" s="80">
        <f>H193*I193</f>
        <v/>
      </c>
      <c r="K193" s="43" t="inlineStr">
        <is>
          <t>来源页61</t>
        </is>
      </c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</row>
    <row r="194" hidden="1" ht="20" customFormat="1" customHeight="1" s="30">
      <c r="A194" s="76" t="n"/>
      <c r="B194" s="76" t="n"/>
      <c r="C194" s="43" t="inlineStr">
        <is>
          <t>节段04</t>
        </is>
      </c>
      <c r="D194" s="43" t="inlineStr">
        <is>
          <t>Q355D</t>
        </is>
      </c>
      <c r="E194" s="43" t="n">
        <v>1800</v>
      </c>
      <c r="F194" s="43" t="n">
        <v>1200</v>
      </c>
      <c r="G194" s="43" t="n">
        <v>16</v>
      </c>
      <c r="H194" s="79">
        <f>(E194/1000)*(F194/1000)*(G194/1000)*7850</f>
        <v/>
      </c>
      <c r="I194" s="43" t="n">
        <v>2</v>
      </c>
      <c r="J194" s="80">
        <f>H194*I194</f>
        <v/>
      </c>
      <c r="K194" s="43" t="inlineStr">
        <is>
          <t>来源页61</t>
        </is>
      </c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</row>
    <row r="195" hidden="1" ht="20" customFormat="1" customHeight="1" s="30">
      <c r="A195" s="76" t="n"/>
      <c r="B195" s="74" t="n"/>
      <c r="C195" s="43" t="inlineStr">
        <is>
          <t>节段04</t>
        </is>
      </c>
      <c r="D195" s="43" t="inlineStr">
        <is>
          <t>Q355D</t>
        </is>
      </c>
      <c r="E195" s="43" t="n">
        <v>2057</v>
      </c>
      <c r="F195" s="43" t="n">
        <v>200</v>
      </c>
      <c r="G195" s="43" t="n">
        <v>16</v>
      </c>
      <c r="H195" s="79">
        <f>(E195/1000)*(F195/1000)*(G195/1000)*7850</f>
        <v/>
      </c>
      <c r="I195" s="43" t="n">
        <v>5</v>
      </c>
      <c r="J195" s="80">
        <f>H195*I195</f>
        <v/>
      </c>
      <c r="K195" s="43" t="inlineStr">
        <is>
          <t>来源页61</t>
        </is>
      </c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</row>
    <row r="196" hidden="1" ht="20" customFormat="1" customHeight="1" s="30">
      <c r="A196" s="76" t="n"/>
      <c r="B196" s="43" t="inlineStr"/>
      <c r="C196" s="43" t="inlineStr">
        <is>
          <t>节段04</t>
        </is>
      </c>
      <c r="D196" s="43" t="inlineStr">
        <is>
          <t>Q355D</t>
        </is>
      </c>
      <c r="E196" s="43" t="n">
        <v>7903</v>
      </c>
      <c r="F196" s="43" t="n">
        <v>240</v>
      </c>
      <c r="G196" s="43" t="n">
        <v>20</v>
      </c>
      <c r="H196" s="79">
        <f>(E196/1000)*(F196/1000)*(G196/1000)*7850</f>
        <v/>
      </c>
      <c r="I196" s="43" t="n">
        <v>4</v>
      </c>
      <c r="J196" s="80">
        <f>H196*I196</f>
        <v/>
      </c>
      <c r="K196" s="43" t="inlineStr">
        <is>
          <t>来源页61</t>
        </is>
      </c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</row>
    <row r="197" hidden="1" ht="20" customFormat="1" customHeight="1" s="30">
      <c r="A197" s="76" t="n"/>
      <c r="B197" s="76" t="n"/>
      <c r="C197" s="43" t="inlineStr">
        <is>
          <t>节段04</t>
        </is>
      </c>
      <c r="D197" s="43" t="inlineStr">
        <is>
          <t>Q355D</t>
        </is>
      </c>
      <c r="E197" s="43" t="n">
        <v>7102</v>
      </c>
      <c r="F197" s="43" t="n">
        <v>240</v>
      </c>
      <c r="G197" s="43" t="n">
        <v>20</v>
      </c>
      <c r="H197" s="79">
        <f>(E197/1000)*(F197/1000)*(G197/1000)*7850</f>
        <v/>
      </c>
      <c r="I197" s="43" t="n">
        <v>4</v>
      </c>
      <c r="J197" s="80">
        <f>H197*I197</f>
        <v/>
      </c>
      <c r="K197" s="43" t="inlineStr">
        <is>
          <t>来源页61</t>
        </is>
      </c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</row>
    <row r="198" hidden="1" ht="20" customFormat="1" customHeight="1" s="30">
      <c r="A198" s="76" t="n"/>
      <c r="B198" s="76" t="n"/>
      <c r="C198" s="43" t="inlineStr">
        <is>
          <t>节段04</t>
        </is>
      </c>
      <c r="D198" s="43" t="inlineStr">
        <is>
          <t>Q355D</t>
        </is>
      </c>
      <c r="E198" s="43" t="n">
        <v>15005</v>
      </c>
      <c r="F198" s="43" t="n">
        <v>170</v>
      </c>
      <c r="G198" s="43" t="n">
        <v>14</v>
      </c>
      <c r="H198" s="79">
        <f>(E198/1000)*(F198/1000)*(G198/1000)*7850</f>
        <v/>
      </c>
      <c r="I198" s="43" t="n">
        <v>2</v>
      </c>
      <c r="J198" s="80">
        <f>H198*I198</f>
        <v/>
      </c>
      <c r="K198" s="43" t="inlineStr">
        <is>
          <t>来源页61</t>
        </is>
      </c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</row>
    <row r="199" hidden="1" ht="20" customFormat="1" customHeight="1" s="30">
      <c r="A199" s="76" t="n"/>
      <c r="B199" s="76" t="n"/>
      <c r="C199" s="43" t="inlineStr">
        <is>
          <t>节段04</t>
        </is>
      </c>
      <c r="D199" s="43" t="inlineStr">
        <is>
          <t>Q355D</t>
        </is>
      </c>
      <c r="E199" s="43" t="n">
        <v>8788</v>
      </c>
      <c r="F199" s="43" t="n">
        <v>900</v>
      </c>
      <c r="G199" s="43" t="n">
        <v>36</v>
      </c>
      <c r="H199" s="79">
        <f>(E199/1000)*(F199/1000)*(G199/1000)*7850</f>
        <v/>
      </c>
      <c r="I199" s="43" t="n">
        <v>2</v>
      </c>
      <c r="J199" s="80">
        <f>H199*I199</f>
        <v/>
      </c>
      <c r="K199" s="43" t="inlineStr">
        <is>
          <t>来源页61</t>
        </is>
      </c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</row>
    <row r="200" hidden="1" ht="20" customFormat="1" customHeight="1" s="30">
      <c r="A200" s="76" t="n"/>
      <c r="B200" s="76" t="n"/>
      <c r="C200" s="43" t="inlineStr">
        <is>
          <t>节段04</t>
        </is>
      </c>
      <c r="D200" s="43" t="inlineStr">
        <is>
          <t>Q355D</t>
        </is>
      </c>
      <c r="E200" s="43" t="n">
        <v>13288</v>
      </c>
      <c r="F200" s="43" t="n">
        <v>1200</v>
      </c>
      <c r="G200" s="43" t="n">
        <v>32</v>
      </c>
      <c r="H200" s="79">
        <f>(E200/1000)*(F200/1000)*(G200/1000)*7850</f>
        <v/>
      </c>
      <c r="I200" s="43" t="n">
        <v>1</v>
      </c>
      <c r="J200" s="80">
        <f>H200*I200</f>
        <v/>
      </c>
      <c r="K200" s="43" t="inlineStr">
        <is>
          <t>来源页61</t>
        </is>
      </c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</row>
    <row r="201" hidden="1" ht="20" customFormat="1" customHeight="1" s="30">
      <c r="A201" s="76" t="n"/>
      <c r="B201" s="76" t="n"/>
      <c r="C201" s="43" t="inlineStr">
        <is>
          <t>节段04</t>
        </is>
      </c>
      <c r="D201" s="43" t="inlineStr">
        <is>
          <t>Q355D</t>
        </is>
      </c>
      <c r="E201" s="43" t="n">
        <v>11888</v>
      </c>
      <c r="F201" s="43" t="n">
        <v>240</v>
      </c>
      <c r="G201" s="43" t="n">
        <v>24</v>
      </c>
      <c r="H201" s="79">
        <f>(E201/1000)*(F201/1000)*(G201/1000)*7850</f>
        <v/>
      </c>
      <c r="I201" s="43" t="n">
        <v>2</v>
      </c>
      <c r="J201" s="80">
        <f>H201*I201</f>
        <v/>
      </c>
      <c r="K201" s="43" t="inlineStr">
        <is>
          <t>来源页61</t>
        </is>
      </c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</row>
    <row r="202" hidden="1" ht="20" customFormat="1" customHeight="1" s="30">
      <c r="A202" s="76" t="n"/>
      <c r="B202" s="76" t="n"/>
      <c r="C202" s="43" t="inlineStr">
        <is>
          <t>节段04</t>
        </is>
      </c>
      <c r="D202" s="43" t="inlineStr">
        <is>
          <t>Q355D</t>
        </is>
      </c>
      <c r="E202" s="43" t="n">
        <v>6225</v>
      </c>
      <c r="F202" s="43" t="n">
        <v>1200</v>
      </c>
      <c r="G202" s="43" t="n">
        <v>36</v>
      </c>
      <c r="H202" s="79">
        <f>(E202/1000)*(F202/1000)*(G202/1000)*7850</f>
        <v/>
      </c>
      <c r="I202" s="43" t="n">
        <v>1</v>
      </c>
      <c r="J202" s="80">
        <f>H202*I202</f>
        <v/>
      </c>
      <c r="K202" s="43" t="inlineStr">
        <is>
          <t>来源页61</t>
        </is>
      </c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</row>
    <row r="203" hidden="1" ht="20" customFormat="1" customHeight="1" s="30">
      <c r="A203" s="76" t="n"/>
      <c r="B203" s="76" t="n"/>
      <c r="C203" s="43" t="inlineStr">
        <is>
          <t>节段04</t>
        </is>
      </c>
      <c r="D203" s="43" t="inlineStr">
        <is>
          <t>Q355D</t>
        </is>
      </c>
      <c r="E203" s="43" t="n">
        <v>6225</v>
      </c>
      <c r="F203" s="43" t="n">
        <v>1200</v>
      </c>
      <c r="G203" s="43" t="n">
        <v>36</v>
      </c>
      <c r="H203" s="79">
        <f>(E203/1000)*(F203/1000)*(G203/1000)*7850</f>
        <v/>
      </c>
      <c r="I203" s="43" t="n">
        <v>1</v>
      </c>
      <c r="J203" s="80">
        <f>H203*I203</f>
        <v/>
      </c>
      <c r="K203" s="43" t="inlineStr">
        <is>
          <t>来源页61</t>
        </is>
      </c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</row>
    <row r="204" ht="20" customFormat="1" customHeight="1" s="30">
      <c r="A204" s="76" t="n"/>
      <c r="B204" s="76" t="n"/>
      <c r="C204" s="43" t="inlineStr">
        <is>
          <t>节段04</t>
        </is>
      </c>
      <c r="D204" s="43" t="inlineStr">
        <is>
          <t>Q355D</t>
        </is>
      </c>
      <c r="E204" s="43" t="n">
        <v>4225</v>
      </c>
      <c r="F204" s="43" t="n">
        <v>1360</v>
      </c>
      <c r="G204" s="43" t="n">
        <v>36</v>
      </c>
      <c r="H204" s="79">
        <f>(E204/1000)*(F204/1000)*(G204/1000)*7850</f>
        <v/>
      </c>
      <c r="I204" s="43" t="n">
        <v>2</v>
      </c>
      <c r="J204" s="80">
        <f>H204*I204</f>
        <v/>
      </c>
      <c r="K204" s="43" t="inlineStr">
        <is>
          <t>来源页61</t>
        </is>
      </c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</row>
    <row r="205" ht="20" customFormat="1" customHeight="1" s="30">
      <c r="A205" s="76" t="n"/>
      <c r="B205" s="74" t="n"/>
      <c r="C205" s="43" t="inlineStr">
        <is>
          <t>节段04</t>
        </is>
      </c>
      <c r="D205" s="43" t="inlineStr">
        <is>
          <t>Q355D</t>
        </is>
      </c>
      <c r="E205" s="43" t="n">
        <v>4225</v>
      </c>
      <c r="F205" s="43" t="n">
        <v>320</v>
      </c>
      <c r="G205" s="43" t="n">
        <v>32</v>
      </c>
      <c r="H205" s="79">
        <f>(E205/1000)*(F205/1000)*(G205/1000)*7850</f>
        <v/>
      </c>
      <c r="I205" s="43" t="n">
        <v>2</v>
      </c>
      <c r="J205" s="80">
        <f>H205*I205</f>
        <v/>
      </c>
      <c r="K205" s="43" t="inlineStr">
        <is>
          <t>来源页61</t>
        </is>
      </c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</row>
    <row r="206" hidden="1" ht="20" customFormat="1" customHeight="1" s="30">
      <c r="A206" s="76" t="n"/>
      <c r="B206" s="43" t="inlineStr"/>
      <c r="C206" s="43" t="inlineStr">
        <is>
          <t>节段04</t>
        </is>
      </c>
      <c r="D206" s="43" t="inlineStr">
        <is>
          <t>Q355D</t>
        </is>
      </c>
      <c r="E206" s="43" t="n">
        <v>5525</v>
      </c>
      <c r="F206" s="43" t="n">
        <v>320</v>
      </c>
      <c r="G206" s="43" t="n">
        <v>32</v>
      </c>
      <c r="H206" s="79">
        <f>(E206/1000)*(F206/1000)*(G206/1000)*7850</f>
        <v/>
      </c>
      <c r="I206" s="43" t="n">
        <v>1</v>
      </c>
      <c r="J206" s="80">
        <f>H206*I206</f>
        <v/>
      </c>
      <c r="K206" s="43" t="inlineStr">
        <is>
          <t>来源页61</t>
        </is>
      </c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</row>
    <row r="207" hidden="1" ht="20" customFormat="1" customHeight="1" s="30">
      <c r="A207" s="76" t="n"/>
      <c r="B207" s="76" t="n"/>
      <c r="C207" s="43" t="inlineStr">
        <is>
          <t>节段04</t>
        </is>
      </c>
      <c r="D207" s="43" t="inlineStr">
        <is>
          <t>Q355D</t>
        </is>
      </c>
      <c r="E207" s="43" t="n">
        <v>5525</v>
      </c>
      <c r="F207" s="43" t="n">
        <v>320</v>
      </c>
      <c r="G207" s="43" t="n">
        <v>32</v>
      </c>
      <c r="H207" s="79">
        <f>(E207/1000)*(F207/1000)*(G207/1000)*7850</f>
        <v/>
      </c>
      <c r="I207" s="43" t="n">
        <v>1</v>
      </c>
      <c r="J207" s="80">
        <f>H207*I207</f>
        <v/>
      </c>
      <c r="K207" s="43" t="inlineStr">
        <is>
          <t>来源页61</t>
        </is>
      </c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</row>
    <row r="208" ht="20" customFormat="1" customHeight="1" s="30">
      <c r="A208" s="76" t="n"/>
      <c r="B208" s="76" t="n"/>
      <c r="C208" s="43" t="inlineStr">
        <is>
          <t>节段04</t>
        </is>
      </c>
      <c r="D208" s="43" t="inlineStr">
        <is>
          <t>Q355D</t>
        </is>
      </c>
      <c r="E208" s="43" t="n">
        <v>1200</v>
      </c>
      <c r="F208" s="43" t="n">
        <v>1200</v>
      </c>
      <c r="G208" s="43" t="n">
        <v>16</v>
      </c>
      <c r="H208" s="79">
        <f>(E208/1000)*(F208/1000)*(G208/1000)*7850</f>
        <v/>
      </c>
      <c r="I208" s="43" t="n">
        <v>3</v>
      </c>
      <c r="J208" s="80">
        <f>H208*I208</f>
        <v/>
      </c>
      <c r="K208" s="43" t="inlineStr">
        <is>
          <t>来源页61</t>
        </is>
      </c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</row>
    <row r="209" hidden="1" ht="20" customFormat="1" customHeight="1" s="30">
      <c r="A209" s="76" t="n"/>
      <c r="B209" s="74" t="n"/>
      <c r="C209" s="43" t="inlineStr">
        <is>
          <t>节段04</t>
        </is>
      </c>
      <c r="D209" s="43" t="inlineStr">
        <is>
          <t>Q355D</t>
        </is>
      </c>
      <c r="E209" s="43" t="n">
        <v>4322</v>
      </c>
      <c r="F209" s="43" t="n">
        <v>900</v>
      </c>
      <c r="G209" s="43" t="n">
        <v>36</v>
      </c>
      <c r="H209" s="79">
        <f>(E209/1000)*(F209/1000)*(G209/1000)*7850</f>
        <v/>
      </c>
      <c r="I209" s="43" t="n">
        <v>2</v>
      </c>
      <c r="J209" s="80">
        <f>H209*I209</f>
        <v/>
      </c>
      <c r="K209" s="43" t="inlineStr">
        <is>
          <t>来源页61</t>
        </is>
      </c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</row>
    <row r="210" hidden="1" ht="20" customFormat="1" customHeight="1" s="30">
      <c r="A210" s="76" t="n"/>
      <c r="B210" s="43" t="inlineStr"/>
      <c r="C210" s="43" t="inlineStr">
        <is>
          <t>节段04</t>
        </is>
      </c>
      <c r="D210" s="43" t="inlineStr">
        <is>
          <t>Q355D</t>
        </is>
      </c>
      <c r="E210" s="44" t="n">
        <v>6522</v>
      </c>
      <c r="F210" s="43" t="n">
        <v>1200</v>
      </c>
      <c r="G210" s="43" t="n">
        <v>32</v>
      </c>
      <c r="H210" s="79">
        <f>(E210/1000)*(F210/1000)*(G210/1000)*7850</f>
        <v/>
      </c>
      <c r="I210" s="43" t="n">
        <v>1</v>
      </c>
      <c r="J210" s="80">
        <f>H210*I210</f>
        <v/>
      </c>
      <c r="K210" s="6" t="inlineStr">
        <is>
          <t>来源页61</t>
        </is>
      </c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</row>
    <row r="211" hidden="1" ht="20" customFormat="1" customHeight="1" s="30">
      <c r="A211" s="76" t="n"/>
      <c r="B211" s="76" t="n"/>
      <c r="C211" s="43" t="inlineStr">
        <is>
          <t>节段04</t>
        </is>
      </c>
      <c r="D211" s="43" t="inlineStr">
        <is>
          <t>Q355D</t>
        </is>
      </c>
      <c r="E211" s="44" t="n">
        <v>5122</v>
      </c>
      <c r="F211" s="43" t="n">
        <v>240</v>
      </c>
      <c r="G211" s="43" t="n">
        <v>24</v>
      </c>
      <c r="H211" s="79">
        <f>(E211/1000)*(F211/1000)*(G211/1000)*7850</f>
        <v/>
      </c>
      <c r="I211" s="43" t="n">
        <v>2</v>
      </c>
      <c r="J211" s="80">
        <f>H211*I211</f>
        <v/>
      </c>
      <c r="K211" s="6" t="inlineStr">
        <is>
          <t>来源页61</t>
        </is>
      </c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</row>
    <row r="212" hidden="1" ht="20" customFormat="1" customHeight="1" s="30">
      <c r="A212" s="76" t="n"/>
      <c r="B212" s="74" t="n"/>
      <c r="C212" s="43" t="inlineStr">
        <is>
          <t>节段04</t>
        </is>
      </c>
      <c r="D212" s="43" t="inlineStr">
        <is>
          <t>Q355D</t>
        </is>
      </c>
      <c r="E212" s="44" t="n">
        <v>2300</v>
      </c>
      <c r="F212" s="43" t="n">
        <v>320</v>
      </c>
      <c r="G212" s="43" t="n">
        <v>32</v>
      </c>
      <c r="H212" s="79">
        <f>(E212/1000)*(F212/1000)*(G212/1000)*7850</f>
        <v/>
      </c>
      <c r="I212" s="43" t="n">
        <v>2</v>
      </c>
      <c r="J212" s="80">
        <f>H212*I212</f>
        <v/>
      </c>
      <c r="K212" s="6" t="inlineStr">
        <is>
          <t>来源页61</t>
        </is>
      </c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</row>
    <row r="213" hidden="1" ht="20" customFormat="1" customHeight="1" s="30">
      <c r="A213" s="76" t="n"/>
      <c r="B213" s="43" t="inlineStr"/>
      <c r="C213" s="43" t="inlineStr">
        <is>
          <t>节段04</t>
        </is>
      </c>
      <c r="D213" s="43" t="inlineStr">
        <is>
          <t>Q355D</t>
        </is>
      </c>
      <c r="E213" s="43" t="n">
        <v>1980</v>
      </c>
      <c r="F213" s="43" t="n">
        <v>618</v>
      </c>
      <c r="G213" s="43" t="n">
        <v>14</v>
      </c>
      <c r="H213" s="79">
        <f>(E213/1000)*(F213/1000)*(G213/1000)*7850</f>
        <v/>
      </c>
      <c r="I213" s="43" t="n">
        <v>4</v>
      </c>
      <c r="J213" s="80">
        <f>H213*I213</f>
        <v/>
      </c>
      <c r="K213" s="43" t="inlineStr">
        <is>
          <t>来源页61</t>
        </is>
      </c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</row>
    <row r="214" hidden="1" ht="20" customFormat="1" customHeight="1" s="30">
      <c r="A214" s="76" t="n"/>
      <c r="B214" s="76" t="n"/>
      <c r="C214" s="43" t="inlineStr">
        <is>
          <t>节段04</t>
        </is>
      </c>
      <c r="D214" s="43" t="inlineStr">
        <is>
          <t>Q355D</t>
        </is>
      </c>
      <c r="E214" s="43" t="n"/>
      <c r="F214" s="43" t="n"/>
      <c r="G214" s="43" t="n">
        <v>24</v>
      </c>
      <c r="H214" s="79">
        <f>(E214/1000)*(F214/1000)*(G214/1000)*7850</f>
        <v/>
      </c>
      <c r="I214" s="43" t="n">
        <v>4</v>
      </c>
      <c r="J214" s="80">
        <f>H214*I214</f>
        <v/>
      </c>
      <c r="K214" s="43" t="inlineStr">
        <is>
          <t>来源页61</t>
        </is>
      </c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</row>
    <row r="215" hidden="1" ht="20" customFormat="1" customHeight="1" s="30">
      <c r="A215" s="76" t="n"/>
      <c r="B215" s="76" t="n"/>
      <c r="C215" s="43" t="inlineStr">
        <is>
          <t>节段04</t>
        </is>
      </c>
      <c r="D215" s="43" t="inlineStr">
        <is>
          <t>Q355D</t>
        </is>
      </c>
      <c r="E215" s="43" t="n">
        <v>1800</v>
      </c>
      <c r="F215" s="43" t="n">
        <v>626</v>
      </c>
      <c r="G215" s="43" t="n">
        <v>14</v>
      </c>
      <c r="H215" s="79">
        <f>(E215/1000)*(F215/1000)*(G215/1000)*7850</f>
        <v/>
      </c>
      <c r="I215" s="43" t="n">
        <v>4</v>
      </c>
      <c r="J215" s="80">
        <f>H215*I215</f>
        <v/>
      </c>
      <c r="K215" s="43" t="inlineStr">
        <is>
          <t>来源页61</t>
        </is>
      </c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</row>
    <row r="216" ht="20" customFormat="1" customHeight="1" s="30">
      <c r="A216" s="76" t="n"/>
      <c r="B216" s="74" t="n"/>
      <c r="C216" s="43" t="inlineStr">
        <is>
          <t>节段4~节段5</t>
        </is>
      </c>
      <c r="D216" s="43" t="inlineStr">
        <is>
          <t>Q355D</t>
        </is>
      </c>
      <c r="E216" s="43" t="n">
        <v>1220</v>
      </c>
      <c r="F216" s="43" t="n">
        <v>1800</v>
      </c>
      <c r="G216" s="43" t="n">
        <v>28</v>
      </c>
      <c r="H216" s="79">
        <f>(E216/1000)*(F216/1000)*(G216/1000)*7850</f>
        <v/>
      </c>
      <c r="I216" s="43" t="n">
        <v>2</v>
      </c>
      <c r="J216" s="80">
        <f>H216*I216</f>
        <v/>
      </c>
      <c r="K216" s="43" t="inlineStr">
        <is>
          <t>来源页64</t>
        </is>
      </c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</row>
    <row r="217" hidden="1" ht="20" customFormat="1" customHeight="1" s="30">
      <c r="A217" s="74" t="n"/>
      <c r="B217" s="43" t="inlineStr">
        <is>
          <t>小计</t>
        </is>
      </c>
      <c r="C217" s="73" t="n"/>
      <c r="D217" s="43" t="n"/>
      <c r="E217" s="43" t="n"/>
      <c r="F217" s="43" t="n"/>
      <c r="G217" s="43" t="n"/>
      <c r="H217" s="79" t="n"/>
      <c r="I217" s="43" t="n"/>
      <c r="J217" s="80">
        <f>SUM(J189:J216)</f>
        <v/>
      </c>
      <c r="K217" s="43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</row>
    <row r="218" ht="20" customFormat="1" customHeight="1" s="30">
      <c r="A218" s="43" t="inlineStr">
        <is>
          <t>P2</t>
        </is>
      </c>
      <c r="B218" s="43" t="inlineStr">
        <is>
          <t>上弦杆拼接</t>
        </is>
      </c>
      <c r="C218" s="43" t="inlineStr">
        <is>
          <t>节段4~节段5</t>
        </is>
      </c>
      <c r="D218" s="43" t="inlineStr">
        <is>
          <t>Q355D</t>
        </is>
      </c>
      <c r="E218" s="43" t="n">
        <v>1220</v>
      </c>
      <c r="F218" s="43" t="n">
        <v>500</v>
      </c>
      <c r="G218" s="43" t="n">
        <v>28</v>
      </c>
      <c r="H218" s="79">
        <f>(E218/1000)*(F218/1000)*(G218/1000)*7850</f>
        <v/>
      </c>
      <c r="I218" s="43" t="n">
        <v>2</v>
      </c>
      <c r="J218" s="80">
        <f>H218*I218</f>
        <v/>
      </c>
      <c r="K218" s="43" t="inlineStr">
        <is>
          <t>来源页64</t>
        </is>
      </c>
      <c r="L218" s="43">
        <f>A218</f>
        <v/>
      </c>
      <c r="M218" s="81">
        <f>SUMIF(G218:G245,$M$3,J218:J245)</f>
        <v/>
      </c>
      <c r="N218" s="81">
        <f>SUMIF(G218:G245,$N$3,J218:J245)</f>
        <v/>
      </c>
      <c r="O218" s="81">
        <f>SUMIF(G218:G245,$O$3,J218:J245)</f>
        <v/>
      </c>
      <c r="P218" s="81">
        <f>SUMIF(G218:G245,$P$3,J218:J245)</f>
        <v/>
      </c>
      <c r="Q218" s="81">
        <f>SUMIF(G218:G245,$Q$3,J218:J245)</f>
        <v/>
      </c>
      <c r="R218" s="81">
        <f>SUMIF(G218:G245,$R$3,J218:J245)</f>
        <v/>
      </c>
      <c r="S218" s="81">
        <f>SUMIF(G218:G245,$S$3,J218:J245)</f>
        <v/>
      </c>
      <c r="T218" s="81">
        <f>SUM(M218:S246)</f>
        <v/>
      </c>
      <c r="U218" s="81" t="n">
        <v>142969.3</v>
      </c>
      <c r="V218" s="81">
        <f>T218-U218</f>
        <v/>
      </c>
      <c r="W218" s="43" t="n"/>
    </row>
    <row r="219" ht="20" customFormat="1" customHeight="1" s="30">
      <c r="A219" s="76" t="n"/>
      <c r="B219" s="76" t="n"/>
      <c r="C219" s="43" t="inlineStr">
        <is>
          <t>节段4~节段5</t>
        </is>
      </c>
      <c r="D219" s="43" t="inlineStr">
        <is>
          <t>Q355D</t>
        </is>
      </c>
      <c r="E219" s="43" t="n">
        <v>1220</v>
      </c>
      <c r="F219" s="43" t="n">
        <v>500</v>
      </c>
      <c r="G219" s="43" t="n">
        <v>28</v>
      </c>
      <c r="H219" s="79">
        <f>(E219/1000)*(F219/1000)*(G219/1000)*7850</f>
        <v/>
      </c>
      <c r="I219" s="43" t="n">
        <v>2</v>
      </c>
      <c r="J219" s="80">
        <f>H219*I219</f>
        <v/>
      </c>
      <c r="K219" s="43" t="inlineStr">
        <is>
          <t>来源页64</t>
        </is>
      </c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</row>
    <row r="220" hidden="1" ht="20" customFormat="1" customHeight="1" s="30">
      <c r="A220" s="76" t="n"/>
      <c r="B220" s="76" t="n"/>
      <c r="C220" s="43" t="inlineStr">
        <is>
          <t>节段4~节段5</t>
        </is>
      </c>
      <c r="D220" s="43" t="inlineStr">
        <is>
          <t>Q355D</t>
        </is>
      </c>
      <c r="E220" s="43" t="n">
        <v>1220</v>
      </c>
      <c r="F220" s="43" t="n">
        <v>600</v>
      </c>
      <c r="G220" s="43" t="n">
        <v>28</v>
      </c>
      <c r="H220" s="79">
        <f>(E220/1000)*(F220/1000)*(G220/1000)*7850</f>
        <v/>
      </c>
      <c r="I220" s="43" t="n">
        <v>2</v>
      </c>
      <c r="J220" s="80">
        <f>H220*I220</f>
        <v/>
      </c>
      <c r="K220" s="43" t="inlineStr">
        <is>
          <t>来源页64</t>
        </is>
      </c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</row>
    <row r="221" hidden="1" ht="20" customFormat="1" customHeight="1" s="30">
      <c r="A221" s="76" t="n"/>
      <c r="B221" s="76" t="n"/>
      <c r="C221" s="43" t="inlineStr">
        <is>
          <t>节段4~节段5</t>
        </is>
      </c>
      <c r="D221" s="43" t="inlineStr">
        <is>
          <t>Q355D</t>
        </is>
      </c>
      <c r="E221" s="43" t="n">
        <v>1420</v>
      </c>
      <c r="F221" s="43" t="n">
        <v>1100</v>
      </c>
      <c r="G221" s="43" t="n">
        <v>32</v>
      </c>
      <c r="H221" s="79">
        <f>(E221/1000)*(F221/1000)*(G221/1000)*7850</f>
        <v/>
      </c>
      <c r="I221" s="43" t="n">
        <v>1</v>
      </c>
      <c r="J221" s="80">
        <f>H221*I221</f>
        <v/>
      </c>
      <c r="K221" s="43" t="inlineStr">
        <is>
          <t>来源页64</t>
        </is>
      </c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</row>
    <row r="222" hidden="1" ht="20" customFormat="1" customHeight="1" s="30">
      <c r="A222" s="76" t="n"/>
      <c r="B222" s="76" t="n"/>
      <c r="C222" s="43" t="inlineStr">
        <is>
          <t>节段4~节段5</t>
        </is>
      </c>
      <c r="D222" s="43" t="inlineStr">
        <is>
          <t>Q355D</t>
        </is>
      </c>
      <c r="E222" s="43" t="n">
        <v>1420</v>
      </c>
      <c r="F222" s="43" t="n">
        <v>400</v>
      </c>
      <c r="G222" s="43" t="n">
        <v>32</v>
      </c>
      <c r="H222" s="79">
        <f>(E222/1000)*(F222/1000)*(G222/1000)*7850</f>
        <v/>
      </c>
      <c r="I222" s="43" t="n">
        <v>2</v>
      </c>
      <c r="J222" s="80">
        <f>H222*I222</f>
        <v/>
      </c>
      <c r="K222" s="43" t="inlineStr">
        <is>
          <t>来源页64</t>
        </is>
      </c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</row>
    <row r="223" hidden="1" ht="20" customFormat="1" customHeight="1" s="30">
      <c r="A223" s="76" t="n"/>
      <c r="B223" s="76" t="n"/>
      <c r="C223" s="43" t="inlineStr">
        <is>
          <t>节段4~节段5</t>
        </is>
      </c>
      <c r="D223" s="43" t="inlineStr">
        <is>
          <t>Q355D</t>
        </is>
      </c>
      <c r="E223" s="43" t="n">
        <v>920</v>
      </c>
      <c r="F223" s="43" t="n">
        <v>200</v>
      </c>
      <c r="G223" s="43" t="n">
        <v>20</v>
      </c>
      <c r="H223" s="79">
        <f>(E223/1000)*(F223/1000)*(G223/1000)*7850</f>
        <v/>
      </c>
      <c r="I223" s="43" t="n">
        <v>10</v>
      </c>
      <c r="J223" s="80">
        <f>H223*I223</f>
        <v/>
      </c>
      <c r="K223" s="43" t="inlineStr">
        <is>
          <t>来源页64</t>
        </is>
      </c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</row>
    <row r="224" hidden="1" ht="20" customFormat="1" customHeight="1" s="30">
      <c r="A224" s="76" t="n"/>
      <c r="B224" s="74" t="n"/>
      <c r="C224" s="43" t="inlineStr">
        <is>
          <t>节段4~节段5</t>
        </is>
      </c>
      <c r="D224" s="43" t="inlineStr">
        <is>
          <t>Q355D</t>
        </is>
      </c>
      <c r="E224" s="43" t="n">
        <v>600</v>
      </c>
      <c r="F224" s="43" t="n">
        <v>1800</v>
      </c>
      <c r="G224" s="43" t="n">
        <v>8</v>
      </c>
      <c r="H224" s="79">
        <f>(E224/1000)*(F224/1000)*(G224/1000)*7850</f>
        <v/>
      </c>
      <c r="I224" s="43" t="n">
        <v>2</v>
      </c>
      <c r="J224" s="80">
        <f>H224*I224</f>
        <v/>
      </c>
      <c r="K224" s="43" t="inlineStr">
        <is>
          <t>来源页64</t>
        </is>
      </c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</row>
    <row r="225" hidden="1" ht="20" customFormat="1" customHeight="1" s="30">
      <c r="A225" s="76" t="n"/>
      <c r="B225" s="43" t="inlineStr">
        <is>
          <t>上弦杆拼接</t>
        </is>
      </c>
      <c r="C225" s="43" t="inlineStr">
        <is>
          <t>节段4~节段5</t>
        </is>
      </c>
      <c r="D225" s="43" t="inlineStr">
        <is>
          <t>10.9S</t>
        </is>
      </c>
      <c r="E225" s="43" t="n"/>
      <c r="F225" s="43" t="n"/>
      <c r="G225" s="43" t="n"/>
      <c r="H225" s="79">
        <f>(E225/1000)*(F225/1000)*(G225/1000)*7850</f>
        <v/>
      </c>
      <c r="I225" s="43" t="n">
        <v>508</v>
      </c>
      <c r="J225" s="80">
        <f>H225*I225</f>
        <v/>
      </c>
      <c r="K225" s="43" t="inlineStr">
        <is>
          <t>来源页64</t>
        </is>
      </c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</row>
    <row r="226" hidden="1" ht="20" customFormat="1" customHeight="1" s="30">
      <c r="A226" s="76" t="n"/>
      <c r="B226" s="76" t="n"/>
      <c r="C226" s="43" t="inlineStr">
        <is>
          <t>节段4~节段5</t>
        </is>
      </c>
      <c r="D226" s="43" t="inlineStr">
        <is>
          <t>Q355D</t>
        </is>
      </c>
      <c r="E226" s="43" t="n">
        <v>820</v>
      </c>
      <c r="F226" s="43" t="n">
        <v>1700</v>
      </c>
      <c r="G226" s="43" t="n">
        <v>20</v>
      </c>
      <c r="H226" s="79">
        <f>(E226/1000)*(F226/1000)*(G226/1000)*7850</f>
        <v/>
      </c>
      <c r="I226" s="43" t="n">
        <v>2</v>
      </c>
      <c r="J226" s="80">
        <f>H226*I226</f>
        <v/>
      </c>
      <c r="K226" s="43" t="inlineStr">
        <is>
          <t>来源页64</t>
        </is>
      </c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</row>
    <row r="227" hidden="1" ht="20" customFormat="1" customHeight="1" s="30">
      <c r="A227" s="76" t="n"/>
      <c r="B227" s="76" t="n"/>
      <c r="C227" s="43" t="inlineStr">
        <is>
          <t>节段4~节段5</t>
        </is>
      </c>
      <c r="D227" s="43" t="inlineStr">
        <is>
          <t>Q355D</t>
        </is>
      </c>
      <c r="E227" s="43" t="n">
        <v>820</v>
      </c>
      <c r="F227" s="43" t="n">
        <v>800</v>
      </c>
      <c r="G227" s="43" t="n">
        <v>20</v>
      </c>
      <c r="H227" s="79">
        <f>(E227/1000)*(F227/1000)*(G227/1000)*7850</f>
        <v/>
      </c>
      <c r="I227" s="43" t="n">
        <v>4</v>
      </c>
      <c r="J227" s="80">
        <f>H227*I227</f>
        <v/>
      </c>
      <c r="K227" s="43" t="inlineStr">
        <is>
          <t>来源页64</t>
        </is>
      </c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</row>
    <row r="228" hidden="1" ht="20" customFormat="1" customHeight="1" s="30">
      <c r="A228" s="76" t="n"/>
      <c r="B228" s="76" t="n"/>
      <c r="C228" s="43" t="inlineStr">
        <is>
          <t>节段4~节段5</t>
        </is>
      </c>
      <c r="D228" s="43" t="inlineStr">
        <is>
          <t>Q355D</t>
        </is>
      </c>
      <c r="E228" s="43" t="n">
        <v>1120</v>
      </c>
      <c r="F228" s="43" t="n">
        <v>1100</v>
      </c>
      <c r="G228" s="43" t="n">
        <v>32</v>
      </c>
      <c r="H228" s="79">
        <f>(E228/1000)*(F228/1000)*(G228/1000)*7850</f>
        <v/>
      </c>
      <c r="I228" s="43" t="n">
        <v>1</v>
      </c>
      <c r="J228" s="80">
        <f>H228*I228</f>
        <v/>
      </c>
      <c r="K228" s="43" t="inlineStr">
        <is>
          <t>来源页64</t>
        </is>
      </c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</row>
    <row r="229" hidden="1" ht="20" customFormat="1" customHeight="1" s="30">
      <c r="A229" s="76" t="n"/>
      <c r="B229" s="76" t="n"/>
      <c r="C229" s="43" t="inlineStr">
        <is>
          <t>节段4~节段5</t>
        </is>
      </c>
      <c r="D229" s="43" t="inlineStr">
        <is>
          <t>Q355D</t>
        </is>
      </c>
      <c r="E229" s="43" t="n">
        <v>1120</v>
      </c>
      <c r="F229" s="43" t="n">
        <v>400</v>
      </c>
      <c r="G229" s="43" t="n">
        <v>32</v>
      </c>
      <c r="H229" s="79">
        <f>(E229/1000)*(F229/1000)*(G229/1000)*7850</f>
        <v/>
      </c>
      <c r="I229" s="43" t="n">
        <v>2</v>
      </c>
      <c r="J229" s="80">
        <f>H229*I229</f>
        <v/>
      </c>
      <c r="K229" s="43" t="inlineStr">
        <is>
          <t>来源页64</t>
        </is>
      </c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</row>
    <row r="230" hidden="1" ht="20" customFormat="1" customHeight="1" s="30">
      <c r="A230" s="76" t="n"/>
      <c r="B230" s="76" t="n"/>
      <c r="C230" s="43" t="inlineStr">
        <is>
          <t>节段4~节段5</t>
        </is>
      </c>
      <c r="D230" s="43" t="inlineStr">
        <is>
          <t>Q355D</t>
        </is>
      </c>
      <c r="E230" s="43" t="n">
        <v>400</v>
      </c>
      <c r="F230" s="43" t="n">
        <v>1700</v>
      </c>
      <c r="G230" s="43" t="n">
        <v>16</v>
      </c>
      <c r="H230" s="79">
        <f>(E230/1000)*(F230/1000)*(G230/1000)*7850</f>
        <v/>
      </c>
      <c r="I230" s="43" t="n">
        <v>2</v>
      </c>
      <c r="J230" s="80">
        <f>H230*I230</f>
        <v/>
      </c>
      <c r="K230" s="43" t="inlineStr">
        <is>
          <t>来源页64</t>
        </is>
      </c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</row>
    <row r="231" hidden="1" ht="20" customFormat="1" customHeight="1" s="30">
      <c r="A231" s="76" t="n"/>
      <c r="B231" s="76" t="n"/>
      <c r="C231" s="43" t="inlineStr">
        <is>
          <t>节段4~节段5</t>
        </is>
      </c>
      <c r="D231" s="43" t="inlineStr">
        <is>
          <t>10.9S</t>
        </is>
      </c>
      <c r="E231" s="43" t="n"/>
      <c r="F231" s="43" t="n"/>
      <c r="G231" s="43" t="n"/>
      <c r="H231" s="79">
        <f>(E231/1000)*(F231/1000)*(G231/1000)*7850</f>
        <v/>
      </c>
      <c r="I231" s="43" t="n">
        <v>324</v>
      </c>
      <c r="J231" s="80">
        <f>H231*I231</f>
        <v/>
      </c>
      <c r="K231" s="43" t="inlineStr">
        <is>
          <t>来源页64</t>
        </is>
      </c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</row>
    <row r="232" hidden="1" ht="20" customFormat="1" customHeight="1" s="30">
      <c r="A232" s="76" t="n"/>
      <c r="B232" s="76" t="n"/>
      <c r="C232" s="43" t="inlineStr">
        <is>
          <t>节段4~节段5</t>
        </is>
      </c>
      <c r="D232" s="43" t="inlineStr">
        <is>
          <t>Q355D</t>
        </is>
      </c>
      <c r="E232" s="43" t="n">
        <v>1320</v>
      </c>
      <c r="F232" s="43" t="n">
        <v>1100</v>
      </c>
      <c r="G232" s="43" t="n">
        <v>20</v>
      </c>
      <c r="H232" s="79">
        <f>(E232/1000)*(F232/1000)*(G232/1000)*7850</f>
        <v/>
      </c>
      <c r="I232" s="43" t="n">
        <v>2</v>
      </c>
      <c r="J232" s="80">
        <f>H232*I232</f>
        <v/>
      </c>
      <c r="K232" s="43" t="inlineStr">
        <is>
          <t>来源页64</t>
        </is>
      </c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</row>
    <row r="233" ht="20" customFormat="1" customHeight="1" s="30">
      <c r="A233" s="76" t="n"/>
      <c r="B233" s="76" t="n"/>
      <c r="C233" s="43" t="inlineStr">
        <is>
          <t>节段4~节段5</t>
        </is>
      </c>
      <c r="D233" s="43" t="inlineStr">
        <is>
          <t>Q355D</t>
        </is>
      </c>
      <c r="E233" s="43" t="n">
        <v>1320</v>
      </c>
      <c r="F233" s="43" t="n">
        <v>500</v>
      </c>
      <c r="G233" s="43" t="n">
        <v>20</v>
      </c>
      <c r="H233" s="79">
        <f>(E233/1000)*(F233/1000)*(G233/1000)*7850</f>
        <v/>
      </c>
      <c r="I233" s="43" t="n">
        <v>4</v>
      </c>
      <c r="J233" s="80">
        <f>H233*I233</f>
        <v/>
      </c>
      <c r="K233" s="43" t="inlineStr">
        <is>
          <t>来源页64</t>
        </is>
      </c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</row>
    <row r="234" ht="20" customFormat="1" customHeight="1" s="30">
      <c r="A234" s="76" t="n"/>
      <c r="B234" s="74" t="n"/>
      <c r="C234" s="43" t="inlineStr">
        <is>
          <t>节段4~节段5</t>
        </is>
      </c>
      <c r="D234" s="43" t="inlineStr">
        <is>
          <t>Q355D</t>
        </is>
      </c>
      <c r="E234" s="43" t="n">
        <v>1120</v>
      </c>
      <c r="F234" s="43" t="n">
        <v>1100</v>
      </c>
      <c r="G234" s="43" t="n">
        <v>24</v>
      </c>
      <c r="H234" s="79">
        <f>(E234/1000)*(F234/1000)*(G234/1000)*7850</f>
        <v/>
      </c>
      <c r="I234" s="43" t="n">
        <v>1</v>
      </c>
      <c r="J234" s="80">
        <f>H234*I234</f>
        <v/>
      </c>
      <c r="K234" s="43" t="inlineStr">
        <is>
          <t>来源页64</t>
        </is>
      </c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</row>
    <row r="235" hidden="1" ht="20" customFormat="1" customHeight="1" s="30">
      <c r="A235" s="76" t="n"/>
      <c r="B235" s="43" t="inlineStr">
        <is>
          <t>腹杆拼接</t>
        </is>
      </c>
      <c r="C235" s="43" t="inlineStr">
        <is>
          <t>节段4~节段5</t>
        </is>
      </c>
      <c r="D235" s="43" t="inlineStr">
        <is>
          <t>Q355D</t>
        </is>
      </c>
      <c r="E235" s="43" t="n">
        <v>1120</v>
      </c>
      <c r="F235" s="43" t="n">
        <v>500</v>
      </c>
      <c r="G235" s="43" t="n">
        <v>24</v>
      </c>
      <c r="H235" s="79">
        <f>(E235/1000)*(F235/1000)*(G235/1000)*7850</f>
        <v/>
      </c>
      <c r="I235" s="43" t="n">
        <v>2</v>
      </c>
      <c r="J235" s="80">
        <f>H235*I235</f>
        <v/>
      </c>
      <c r="K235" s="43" t="inlineStr">
        <is>
          <t>来源页64</t>
        </is>
      </c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</row>
    <row r="236" hidden="1" ht="20" customFormat="1" customHeight="1" s="30">
      <c r="A236" s="76" t="n"/>
      <c r="B236" s="76" t="n"/>
      <c r="C236" s="43" t="inlineStr">
        <is>
          <t>节段4~节段5</t>
        </is>
      </c>
      <c r="D236" s="43" t="inlineStr">
        <is>
          <t>Q355D</t>
        </is>
      </c>
      <c r="E236" s="43" t="n">
        <v>1320</v>
      </c>
      <c r="F236" s="43" t="n">
        <v>1100</v>
      </c>
      <c r="G236" s="43" t="n">
        <v>36</v>
      </c>
      <c r="H236" s="79">
        <f>(E236/1000)*(F236/1000)*(G236/1000)*7850</f>
        <v/>
      </c>
      <c r="I236" s="43" t="n">
        <v>1</v>
      </c>
      <c r="J236" s="80">
        <f>H236*I236</f>
        <v/>
      </c>
      <c r="K236" s="43" t="inlineStr">
        <is>
          <t>来源页64</t>
        </is>
      </c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</row>
    <row r="237" ht="20" customFormat="1" customHeight="1" s="30">
      <c r="A237" s="76" t="n"/>
      <c r="B237" s="76" t="n"/>
      <c r="C237" s="43" t="inlineStr">
        <is>
          <t>节段4~节段5</t>
        </is>
      </c>
      <c r="D237" s="43" t="inlineStr">
        <is>
          <t>Q355D</t>
        </is>
      </c>
      <c r="E237" s="43" t="n">
        <v>1320</v>
      </c>
      <c r="F237" s="43" t="n">
        <v>240</v>
      </c>
      <c r="G237" s="43" t="n">
        <v>36</v>
      </c>
      <c r="H237" s="79">
        <f>(E237/1000)*(F237/1000)*(G237/1000)*7850</f>
        <v/>
      </c>
      <c r="I237" s="43" t="n">
        <v>2</v>
      </c>
      <c r="J237" s="80">
        <f>H237*I237</f>
        <v/>
      </c>
      <c r="K237" s="43" t="inlineStr">
        <is>
          <t>来源页64</t>
        </is>
      </c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</row>
    <row r="238" hidden="1" ht="20" customFormat="1" customHeight="1" s="30">
      <c r="A238" s="76" t="n"/>
      <c r="B238" s="74" t="n"/>
      <c r="C238" s="43" t="inlineStr">
        <is>
          <t>节段4~节段5</t>
        </is>
      </c>
      <c r="D238" s="43" t="inlineStr">
        <is>
          <t>Q355D</t>
        </is>
      </c>
      <c r="E238" s="43" t="n">
        <v>1220</v>
      </c>
      <c r="F238" s="43" t="n">
        <v>240</v>
      </c>
      <c r="G238" s="43" t="n">
        <v>24</v>
      </c>
      <c r="H238" s="79">
        <f>(E238/1000)*(F238/1000)*(G238/1000)*7850</f>
        <v/>
      </c>
      <c r="I238" s="43" t="n">
        <v>4</v>
      </c>
      <c r="J238" s="80">
        <f>H238*I238</f>
        <v/>
      </c>
      <c r="K238" s="43" t="inlineStr">
        <is>
          <t>来源页64</t>
        </is>
      </c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</row>
    <row r="239" hidden="1" ht="20" customFormat="1" customHeight="1" s="30">
      <c r="A239" s="76" t="n"/>
      <c r="B239" s="43" t="inlineStr">
        <is>
          <t>腹杆拼接</t>
        </is>
      </c>
      <c r="C239" s="43" t="inlineStr">
        <is>
          <t>节段4~节段5</t>
        </is>
      </c>
      <c r="D239" s="43" t="inlineStr">
        <is>
          <t>Q355D</t>
        </is>
      </c>
      <c r="E239" s="44" t="n">
        <v>1221</v>
      </c>
      <c r="F239" s="43" t="n">
        <v>240</v>
      </c>
      <c r="G239" s="43" t="n">
        <v>24</v>
      </c>
      <c r="H239" s="79">
        <f>(E239/1000)*(F239/1000)*(G239/1000)*7850</f>
        <v/>
      </c>
      <c r="I239" s="43" t="n">
        <v>2</v>
      </c>
      <c r="J239" s="80">
        <f>H239*I239</f>
        <v/>
      </c>
      <c r="K239" s="6" t="inlineStr">
        <is>
          <t>来源页64</t>
        </is>
      </c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</row>
    <row r="240" hidden="1" ht="20" customFormat="1" customHeight="1" s="30">
      <c r="A240" s="76" t="n"/>
      <c r="B240" s="76" t="n"/>
      <c r="C240" s="43" t="inlineStr">
        <is>
          <t>节段05</t>
        </is>
      </c>
      <c r="D240" s="43" t="inlineStr">
        <is>
          <t>Q420D</t>
        </is>
      </c>
      <c r="E240" s="44" t="n"/>
      <c r="F240" s="43" t="n"/>
      <c r="G240" s="43" t="n">
        <v>40</v>
      </c>
      <c r="H240" s="79">
        <f>(E240/1000)*(F240/1000)*(G240/1000)*7850</f>
        <v/>
      </c>
      <c r="I240" s="43" t="n">
        <v>1</v>
      </c>
      <c r="J240" s="80">
        <f>H240*I240</f>
        <v/>
      </c>
      <c r="K240" s="6" t="inlineStr">
        <is>
          <t>来源页65</t>
        </is>
      </c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</row>
    <row r="241" hidden="1" ht="20" customFormat="1" customHeight="1" s="30">
      <c r="A241" s="76" t="n"/>
      <c r="B241" s="74" t="n"/>
      <c r="C241" s="43" t="inlineStr">
        <is>
          <t>节段05</t>
        </is>
      </c>
      <c r="D241" s="43" t="inlineStr">
        <is>
          <t>Q355D</t>
        </is>
      </c>
      <c r="E241" s="44" t="n"/>
      <c r="F241" s="43" t="n"/>
      <c r="G241" s="43" t="n">
        <v>24</v>
      </c>
      <c r="H241" s="79">
        <f>(E241/1000)*(F241/1000)*(G241/1000)*7850</f>
        <v/>
      </c>
      <c r="I241" s="43" t="n">
        <v>1</v>
      </c>
      <c r="J241" s="80">
        <f>H241*I241</f>
        <v/>
      </c>
      <c r="K241" s="6" t="inlineStr">
        <is>
          <t>来源页65</t>
        </is>
      </c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</row>
    <row r="242" hidden="1" ht="20" customFormat="1" customHeight="1" s="30">
      <c r="A242" s="76" t="n"/>
      <c r="B242" s="43" t="inlineStr"/>
      <c r="C242" s="43" t="inlineStr">
        <is>
          <t>节段05</t>
        </is>
      </c>
      <c r="D242" s="43" t="inlineStr">
        <is>
          <t>Q420D</t>
        </is>
      </c>
      <c r="E242" s="43" t="n">
        <v>7901</v>
      </c>
      <c r="F242" s="43" t="n">
        <v>1200</v>
      </c>
      <c r="G242" s="43" t="n">
        <v>40</v>
      </c>
      <c r="H242" s="79">
        <f>(E242/1000)*(F242/1000)*(G242/1000)*7850</f>
        <v/>
      </c>
      <c r="I242" s="43" t="n">
        <v>1</v>
      </c>
      <c r="J242" s="80">
        <f>H242*I242</f>
        <v/>
      </c>
      <c r="K242" s="43" t="inlineStr">
        <is>
          <t>来源页65</t>
        </is>
      </c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</row>
    <row r="243" hidden="1" ht="20" customFormat="1" customHeight="1" s="30">
      <c r="A243" s="76" t="n"/>
      <c r="B243" s="76" t="n"/>
      <c r="C243" s="43" t="inlineStr">
        <is>
          <t>节段05</t>
        </is>
      </c>
      <c r="D243" s="43" t="inlineStr">
        <is>
          <t>Q355D</t>
        </is>
      </c>
      <c r="E243" s="43" t="n">
        <v>7101</v>
      </c>
      <c r="F243" s="43" t="n">
        <v>1200</v>
      </c>
      <c r="G243" s="43" t="n">
        <v>24</v>
      </c>
      <c r="H243" s="79">
        <f>(E243/1000)*(F243/1000)*(G243/1000)*7850</f>
        <v/>
      </c>
      <c r="I243" s="43" t="n">
        <v>1</v>
      </c>
      <c r="J243" s="80">
        <f>H243*I243</f>
        <v/>
      </c>
      <c r="K243" s="43" t="inlineStr">
        <is>
          <t>来源页65</t>
        </is>
      </c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</row>
    <row r="244" hidden="1" ht="20" customFormat="1" customHeight="1" s="30">
      <c r="A244" s="76" t="n"/>
      <c r="B244" s="76" t="n"/>
      <c r="C244" s="43" t="inlineStr">
        <is>
          <t>节段05</t>
        </is>
      </c>
      <c r="D244" s="43" t="inlineStr">
        <is>
          <t>Q420D</t>
        </is>
      </c>
      <c r="E244" s="43" t="n"/>
      <c r="F244" s="43" t="n"/>
      <c r="G244" s="43" t="n">
        <v>48</v>
      </c>
      <c r="H244" s="79">
        <f>(E244/1000)*(F244/1000)*(G244/1000)*7850</f>
        <v/>
      </c>
      <c r="I244" s="43" t="n">
        <v>2</v>
      </c>
      <c r="J244" s="80">
        <f>H244*I244</f>
        <v/>
      </c>
      <c r="K244" s="43" t="inlineStr">
        <is>
          <t>来源页65</t>
        </is>
      </c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</row>
    <row r="245" ht="20" customFormat="1" customHeight="1" s="30">
      <c r="A245" s="76" t="n"/>
      <c r="B245" s="74" t="n"/>
      <c r="C245" s="43" t="inlineStr">
        <is>
          <t>节段05</t>
        </is>
      </c>
      <c r="D245" s="43" t="inlineStr">
        <is>
          <t>Q355D</t>
        </is>
      </c>
      <c r="E245" s="43" t="n">
        <v>7301</v>
      </c>
      <c r="F245" s="43" t="n">
        <v>2048</v>
      </c>
      <c r="G245" s="43" t="n">
        <v>32</v>
      </c>
      <c r="H245" s="79">
        <f>(E245/1000)*(F245/1000)*(G245/1000)*7850</f>
        <v/>
      </c>
      <c r="I245" s="43" t="n">
        <v>2</v>
      </c>
      <c r="J245" s="80">
        <f>H245*I245</f>
        <v/>
      </c>
      <c r="K245" s="43" t="inlineStr">
        <is>
          <t>来源页65</t>
        </is>
      </c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</row>
    <row r="246" hidden="1" ht="20" customFormat="1" customHeight="1" s="30">
      <c r="A246" s="74" t="n"/>
      <c r="B246" s="43" t="inlineStr">
        <is>
          <t>小计</t>
        </is>
      </c>
      <c r="C246" s="73" t="n"/>
      <c r="D246" s="43" t="n"/>
      <c r="E246" s="43" t="n"/>
      <c r="F246" s="43" t="n"/>
      <c r="G246" s="43" t="n"/>
      <c r="H246" s="79" t="n"/>
      <c r="I246" s="43" t="n"/>
      <c r="J246" s="80">
        <f>SUM(J218:J245)</f>
        <v/>
      </c>
      <c r="K246" s="43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</row>
    <row r="247" ht="20" customFormat="1" customHeight="1" s="30">
      <c r="A247" s="43" t="inlineStr">
        <is>
          <t>N15</t>
        </is>
      </c>
      <c r="B247" s="43" t="inlineStr"/>
      <c r="C247" s="43" t="inlineStr">
        <is>
          <t>节段05</t>
        </is>
      </c>
      <c r="D247" s="43" t="inlineStr">
        <is>
          <t>Q355D</t>
        </is>
      </c>
      <c r="E247" s="43" t="n">
        <v>1960</v>
      </c>
      <c r="F247" s="43" t="n">
        <v>1200</v>
      </c>
      <c r="G247" s="43" t="n">
        <v>16</v>
      </c>
      <c r="H247" s="79">
        <f>(E247/1000)*(F247/1000)*(G247/1000)*7850</f>
        <v/>
      </c>
      <c r="I247" s="43" t="n">
        <v>3</v>
      </c>
      <c r="J247" s="80">
        <f>H247*I247</f>
        <v/>
      </c>
      <c r="K247" s="43" t="inlineStr">
        <is>
          <t>来源页65</t>
        </is>
      </c>
      <c r="L247" s="43">
        <f>A247</f>
        <v/>
      </c>
      <c r="M247" s="81">
        <f>SUMIF(G247:G271,$M$3,J247:J271)</f>
        <v/>
      </c>
      <c r="N247" s="81">
        <f>SUMIF(G247:G271,$N$3,J247:J271)</f>
        <v/>
      </c>
      <c r="O247" s="81">
        <f>SUMIF(G247:G271,$O$3,J247:J271)</f>
        <v/>
      </c>
      <c r="P247" s="81">
        <f>SUMIF(G247:G271,$P$3,J247:J271)</f>
        <v/>
      </c>
      <c r="Q247" s="81">
        <f>SUMIF(G247:G271,$Q$3,J247:J271)</f>
        <v/>
      </c>
      <c r="R247" s="81">
        <f>SUMIF(G247:G271,$R$3,J247:J271)</f>
        <v/>
      </c>
      <c r="S247" s="81">
        <f>SUMIF(G247:G271,$S$3,J247:J271)</f>
        <v/>
      </c>
      <c r="T247" s="81">
        <f>SUM(M247:S272)</f>
        <v/>
      </c>
      <c r="U247" s="81" t="n">
        <v>141423.8</v>
      </c>
      <c r="V247" s="81">
        <f>T247-U247</f>
        <v/>
      </c>
      <c r="W247" s="43" t="n"/>
    </row>
    <row r="248" ht="20" customFormat="1" customHeight="1" s="30">
      <c r="A248" s="76" t="n"/>
      <c r="B248" s="76" t="n"/>
      <c r="C248" s="43" t="inlineStr">
        <is>
          <t>节段05</t>
        </is>
      </c>
      <c r="D248" s="43" t="inlineStr">
        <is>
          <t>Q355D</t>
        </is>
      </c>
      <c r="E248" s="43" t="n">
        <v>1976</v>
      </c>
      <c r="F248" s="43" t="n">
        <v>1200</v>
      </c>
      <c r="G248" s="43" t="n">
        <v>16</v>
      </c>
      <c r="H248" s="79">
        <f>(E248/1000)*(F248/1000)*(G248/1000)*7850</f>
        <v/>
      </c>
      <c r="I248" s="43" t="n">
        <v>2</v>
      </c>
      <c r="J248" s="80">
        <f>H248*I248</f>
        <v/>
      </c>
      <c r="K248" s="43" t="inlineStr">
        <is>
          <t>来源页65</t>
        </is>
      </c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</row>
    <row r="249" hidden="1" ht="20" customFormat="1" customHeight="1" s="30">
      <c r="A249" s="76" t="n"/>
      <c r="B249" s="76" t="n"/>
      <c r="C249" s="43" t="inlineStr">
        <is>
          <t>节段05</t>
        </is>
      </c>
      <c r="D249" s="43" t="inlineStr">
        <is>
          <t>Q355D</t>
        </is>
      </c>
      <c r="E249" s="43" t="n">
        <v>2057</v>
      </c>
      <c r="F249" s="43" t="n">
        <v>200</v>
      </c>
      <c r="G249" s="43" t="n">
        <v>16</v>
      </c>
      <c r="H249" s="79">
        <f>(E249/1000)*(F249/1000)*(G249/1000)*7850</f>
        <v/>
      </c>
      <c r="I249" s="43" t="n">
        <v>3</v>
      </c>
      <c r="J249" s="80">
        <f>H249*I249</f>
        <v/>
      </c>
      <c r="K249" s="43" t="inlineStr">
        <is>
          <t>来源页65</t>
        </is>
      </c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</row>
    <row r="250" hidden="1" ht="20" customFormat="1" customHeight="1" s="30">
      <c r="A250" s="76" t="n"/>
      <c r="B250" s="76" t="n"/>
      <c r="C250" s="43" t="inlineStr">
        <is>
          <t>节段05</t>
        </is>
      </c>
      <c r="D250" s="43" t="inlineStr">
        <is>
          <t>Q355B</t>
        </is>
      </c>
      <c r="E250" s="43" t="n">
        <v>2057</v>
      </c>
      <c r="F250" s="43" t="n">
        <v>40</v>
      </c>
      <c r="G250" s="43" t="n">
        <v>4</v>
      </c>
      <c r="H250" s="79">
        <f>(E250/1000)*(F250/1000)*(G250/1000)*7850</f>
        <v/>
      </c>
      <c r="I250" s="43" t="n">
        <v>4</v>
      </c>
      <c r="J250" s="80">
        <f>H250*I250</f>
        <v/>
      </c>
      <c r="K250" s="43" t="inlineStr">
        <is>
          <t>来源页65</t>
        </is>
      </c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</row>
    <row r="251" hidden="1" ht="20" customFormat="1" customHeight="1" s="30">
      <c r="A251" s="76" t="n"/>
      <c r="B251" s="76" t="n"/>
      <c r="C251" s="43" t="inlineStr">
        <is>
          <t>节段05</t>
        </is>
      </c>
      <c r="D251" s="43" t="inlineStr">
        <is>
          <t>Q355D</t>
        </is>
      </c>
      <c r="E251" s="43" t="n">
        <v>800</v>
      </c>
      <c r="F251" s="43" t="n">
        <v>400</v>
      </c>
      <c r="G251" s="43" t="n">
        <v>16</v>
      </c>
      <c r="H251" s="79">
        <f>(E251/1000)*(F251/1000)*(G251/1000)*7850</f>
        <v/>
      </c>
      <c r="I251" s="43" t="n">
        <v>4</v>
      </c>
      <c r="J251" s="80">
        <f>H251*I251</f>
        <v/>
      </c>
      <c r="K251" s="43" t="inlineStr">
        <is>
          <t>来源页65</t>
        </is>
      </c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</row>
    <row r="252" hidden="1" ht="20" customFormat="1" customHeight="1" s="30">
      <c r="A252" s="76" t="n"/>
      <c r="B252" s="74" t="n"/>
      <c r="C252" s="43" t="inlineStr">
        <is>
          <t>节段05</t>
        </is>
      </c>
      <c r="D252" s="43" t="inlineStr">
        <is>
          <t>Q355D</t>
        </is>
      </c>
      <c r="E252" s="43" t="n">
        <v>7903</v>
      </c>
      <c r="F252" s="43" t="n">
        <v>2500</v>
      </c>
      <c r="G252" s="43" t="n">
        <v>20</v>
      </c>
      <c r="H252" s="79">
        <f>(E252/1000)*(F252/1000)*(G252/1000)*7850</f>
        <v/>
      </c>
      <c r="I252" s="43" t="n">
        <v>1</v>
      </c>
      <c r="J252" s="80">
        <f>H252*I252</f>
        <v/>
      </c>
      <c r="K252" s="43" t="inlineStr">
        <is>
          <t>来源页65</t>
        </is>
      </c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</row>
    <row r="253" hidden="1" ht="20" customFormat="1" customHeight="1" s="30">
      <c r="A253" s="76" t="n"/>
      <c r="B253" s="43" t="inlineStr"/>
      <c r="C253" s="43" t="inlineStr">
        <is>
          <t>节段05</t>
        </is>
      </c>
      <c r="D253" s="43" t="inlineStr">
        <is>
          <t>Q355D</t>
        </is>
      </c>
      <c r="E253" s="43" t="n">
        <v>7102</v>
      </c>
      <c r="F253" s="43" t="n">
        <v>2500</v>
      </c>
      <c r="G253" s="43" t="n">
        <v>24</v>
      </c>
      <c r="H253" s="79">
        <f>(E253/1000)*(F253/1000)*(G253/1000)*7850</f>
        <v/>
      </c>
      <c r="I253" s="43" t="n">
        <v>1</v>
      </c>
      <c r="J253" s="80">
        <f>H253*I253</f>
        <v/>
      </c>
      <c r="K253" s="43" t="inlineStr">
        <is>
          <t>来源页65</t>
        </is>
      </c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</row>
    <row r="254" hidden="1" ht="20" customFormat="1" customHeight="1" s="30">
      <c r="A254" s="76" t="n"/>
      <c r="B254" s="76" t="n"/>
      <c r="C254" s="43" t="inlineStr">
        <is>
          <t>节段05</t>
        </is>
      </c>
      <c r="D254" s="43" t="inlineStr">
        <is>
          <t>Q355D</t>
        </is>
      </c>
      <c r="E254" s="43" t="n"/>
      <c r="F254" s="43" t="n"/>
      <c r="G254" s="43" t="n">
        <v>24</v>
      </c>
      <c r="H254" s="79">
        <f>(E254/1000)*(F254/1000)*(G254/1000)*7850</f>
        <v/>
      </c>
      <c r="I254" s="43" t="n">
        <v>1</v>
      </c>
      <c r="J254" s="80">
        <f>H254*I254</f>
        <v/>
      </c>
      <c r="K254" s="43" t="inlineStr">
        <is>
          <t>来源页65</t>
        </is>
      </c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</row>
    <row r="255" hidden="1" ht="20" customFormat="1" customHeight="1" s="30">
      <c r="A255" s="76" t="n"/>
      <c r="B255" s="76" t="n"/>
      <c r="C255" s="43" t="inlineStr">
        <is>
          <t>节段05</t>
        </is>
      </c>
      <c r="D255" s="43" t="inlineStr">
        <is>
          <t>Q355D</t>
        </is>
      </c>
      <c r="E255" s="43" t="n"/>
      <c r="F255" s="43" t="n"/>
      <c r="G255" s="43" t="n">
        <v>20</v>
      </c>
      <c r="H255" s="79">
        <f>(E255/1000)*(F255/1000)*(G255/1000)*7850</f>
        <v/>
      </c>
      <c r="I255" s="43" t="n">
        <v>1</v>
      </c>
      <c r="J255" s="80">
        <f>H255*I255</f>
        <v/>
      </c>
      <c r="K255" s="43" t="inlineStr">
        <is>
          <t>来源页65</t>
        </is>
      </c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</row>
    <row r="256" hidden="1" ht="20" customFormat="1" customHeight="1" s="30">
      <c r="A256" s="76" t="n"/>
      <c r="B256" s="76" t="n"/>
      <c r="C256" s="43" t="inlineStr">
        <is>
          <t>节段05</t>
        </is>
      </c>
      <c r="D256" s="43" t="inlineStr">
        <is>
          <t>Q355D</t>
        </is>
      </c>
      <c r="E256" s="43" t="n"/>
      <c r="F256" s="43" t="n"/>
      <c r="G256" s="43" t="n">
        <v>40</v>
      </c>
      <c r="H256" s="79">
        <f>(E256/1000)*(F256/1000)*(G256/1000)*7850</f>
        <v/>
      </c>
      <c r="I256" s="43" t="n">
        <v>2</v>
      </c>
      <c r="J256" s="80">
        <f>H256*I256</f>
        <v/>
      </c>
      <c r="K256" s="43" t="inlineStr">
        <is>
          <t>Z35钢；来源页65</t>
        </is>
      </c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</row>
    <row r="257" hidden="1" ht="20" customFormat="1" customHeight="1" s="30">
      <c r="A257" s="76" t="n"/>
      <c r="B257" s="76" t="n"/>
      <c r="C257" s="43" t="inlineStr">
        <is>
          <t>节段05</t>
        </is>
      </c>
      <c r="D257" s="43" t="inlineStr">
        <is>
          <t>Q355D</t>
        </is>
      </c>
      <c r="E257" s="43" t="n">
        <v>7302</v>
      </c>
      <c r="F257" s="43" t="n">
        <v>1880</v>
      </c>
      <c r="G257" s="43" t="n">
        <v>32</v>
      </c>
      <c r="H257" s="79">
        <f>(E257/1000)*(F257/1000)*(G257/1000)*7850</f>
        <v/>
      </c>
      <c r="I257" s="43" t="n">
        <v>2</v>
      </c>
      <c r="J257" s="80">
        <f>H257*I257</f>
        <v/>
      </c>
      <c r="K257" s="43" t="inlineStr">
        <is>
          <t>来源页65</t>
        </is>
      </c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</row>
    <row r="258" hidden="1" ht="20" customFormat="1" customHeight="1" s="30">
      <c r="A258" s="76" t="n"/>
      <c r="B258" s="76" t="n"/>
      <c r="C258" s="43" t="inlineStr">
        <is>
          <t>节段05</t>
        </is>
      </c>
      <c r="D258" s="43" t="inlineStr">
        <is>
          <t>Q355D</t>
        </is>
      </c>
      <c r="E258" s="43" t="n">
        <v>1800</v>
      </c>
      <c r="F258" s="43" t="n">
        <v>1200</v>
      </c>
      <c r="G258" s="43" t="n">
        <v>16</v>
      </c>
      <c r="H258" s="79">
        <f>(E258/1000)*(F258/1000)*(G258/1000)*7850</f>
        <v/>
      </c>
      <c r="I258" s="43" t="n">
        <v>3</v>
      </c>
      <c r="J258" s="80">
        <f>H258*I258</f>
        <v/>
      </c>
      <c r="K258" s="43" t="inlineStr">
        <is>
          <t>来源页65</t>
        </is>
      </c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</row>
    <row r="259" ht="20" customFormat="1" customHeight="1" s="30">
      <c r="A259" s="76" t="n"/>
      <c r="B259" s="76" t="n"/>
      <c r="C259" s="43" t="inlineStr">
        <is>
          <t>节段05</t>
        </is>
      </c>
      <c r="D259" s="43" t="inlineStr">
        <is>
          <t>Q355D</t>
        </is>
      </c>
      <c r="E259" s="43" t="n">
        <v>1800</v>
      </c>
      <c r="F259" s="43" t="n">
        <v>1200</v>
      </c>
      <c r="G259" s="43" t="n">
        <v>16</v>
      </c>
      <c r="H259" s="79">
        <f>(E259/1000)*(F259/1000)*(G259/1000)*7850</f>
        <v/>
      </c>
      <c r="I259" s="43" t="n">
        <v>2</v>
      </c>
      <c r="J259" s="80">
        <f>H259*I259</f>
        <v/>
      </c>
      <c r="K259" s="43" t="inlineStr">
        <is>
          <t>来源页65</t>
        </is>
      </c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</row>
    <row r="260" ht="20" customFormat="1" customHeight="1" s="30">
      <c r="A260" s="76" t="n"/>
      <c r="B260" s="74" t="n"/>
      <c r="C260" s="43" t="inlineStr">
        <is>
          <t>节段05</t>
        </is>
      </c>
      <c r="D260" s="43" t="inlineStr">
        <is>
          <t>Q355D</t>
        </is>
      </c>
      <c r="E260" s="43" t="n">
        <v>2057</v>
      </c>
      <c r="F260" s="43" t="n">
        <v>200</v>
      </c>
      <c r="G260" s="43" t="n">
        <v>16</v>
      </c>
      <c r="H260" s="79">
        <f>(E260/1000)*(F260/1000)*(G260/1000)*7850</f>
        <v/>
      </c>
      <c r="I260" s="43" t="n">
        <v>5</v>
      </c>
      <c r="J260" s="80">
        <f>H260*I260</f>
        <v/>
      </c>
      <c r="K260" s="43" t="inlineStr">
        <is>
          <t>来源页65</t>
        </is>
      </c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</row>
    <row r="261" hidden="1" ht="20" customFormat="1" customHeight="1" s="30">
      <c r="A261" s="76" t="n"/>
      <c r="B261" s="43" t="inlineStr"/>
      <c r="C261" s="43" t="inlineStr">
        <is>
          <t>节段05</t>
        </is>
      </c>
      <c r="D261" s="43" t="inlineStr">
        <is>
          <t>Q355D</t>
        </is>
      </c>
      <c r="E261" s="43" t="n">
        <v>7903</v>
      </c>
      <c r="F261" s="43" t="n">
        <v>240</v>
      </c>
      <c r="G261" s="43" t="n">
        <v>20</v>
      </c>
      <c r="H261" s="79">
        <f>(E261/1000)*(F261/1000)*(G261/1000)*7850</f>
        <v/>
      </c>
      <c r="I261" s="43" t="n">
        <v>4</v>
      </c>
      <c r="J261" s="80">
        <f>H261*I261</f>
        <v/>
      </c>
      <c r="K261" s="43" t="inlineStr">
        <is>
          <t>来源页65</t>
        </is>
      </c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</row>
    <row r="262" hidden="1" ht="20" customFormat="1" customHeight="1" s="30">
      <c r="A262" s="76" t="n"/>
      <c r="B262" s="76" t="n"/>
      <c r="C262" s="43" t="inlineStr">
        <is>
          <t>节段05</t>
        </is>
      </c>
      <c r="D262" s="43" t="inlineStr">
        <is>
          <t>Q355D</t>
        </is>
      </c>
      <c r="E262" s="43" t="n">
        <v>7102</v>
      </c>
      <c r="F262" s="43" t="n">
        <v>320</v>
      </c>
      <c r="G262" s="43" t="n">
        <v>32</v>
      </c>
      <c r="H262" s="79">
        <f>(E262/1000)*(F262/1000)*(G262/1000)*7850</f>
        <v/>
      </c>
      <c r="I262" s="43" t="n">
        <v>4</v>
      </c>
      <c r="J262" s="80">
        <f>H262*I262</f>
        <v/>
      </c>
      <c r="K262" s="43" t="inlineStr">
        <is>
          <t>来源页65</t>
        </is>
      </c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</row>
    <row r="263" ht="20" customFormat="1" customHeight="1" s="30">
      <c r="A263" s="76" t="n"/>
      <c r="B263" s="76" t="n"/>
      <c r="C263" s="43" t="inlineStr">
        <is>
          <t>节段05</t>
        </is>
      </c>
      <c r="D263" s="43" t="inlineStr">
        <is>
          <t>Q355D</t>
        </is>
      </c>
      <c r="E263" s="43" t="n">
        <v>15005</v>
      </c>
      <c r="F263" s="43" t="n">
        <v>170</v>
      </c>
      <c r="G263" s="43" t="n">
        <v>14</v>
      </c>
      <c r="H263" s="79">
        <f>(E263/1000)*(F263/1000)*(G263/1000)*7850</f>
        <v/>
      </c>
      <c r="I263" s="43" t="n">
        <v>2</v>
      </c>
      <c r="J263" s="80">
        <f>H263*I263</f>
        <v/>
      </c>
      <c r="K263" s="43" t="inlineStr">
        <is>
          <t>来源页65</t>
        </is>
      </c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</row>
    <row r="264" hidden="1" ht="20" customFormat="1" customHeight="1" s="30">
      <c r="A264" s="76" t="n"/>
      <c r="B264" s="74" t="n"/>
      <c r="C264" s="43" t="inlineStr">
        <is>
          <t>节段05</t>
        </is>
      </c>
      <c r="D264" s="43" t="inlineStr">
        <is>
          <t>Q355D</t>
        </is>
      </c>
      <c r="E264" s="43" t="n">
        <v>12581</v>
      </c>
      <c r="F264" s="43" t="n">
        <v>1200</v>
      </c>
      <c r="G264" s="43" t="n">
        <v>36</v>
      </c>
      <c r="H264" s="79">
        <f>(E264/1000)*(F264/1000)*(G264/1000)*7850</f>
        <v/>
      </c>
      <c r="I264" s="43" t="n">
        <v>1</v>
      </c>
      <c r="J264" s="80">
        <f>H264*I264</f>
        <v/>
      </c>
      <c r="K264" s="43" t="inlineStr">
        <is>
          <t>来源页65</t>
        </is>
      </c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</row>
    <row r="265" hidden="1" ht="20" customFormat="1" customHeight="1" s="30">
      <c r="A265" s="76" t="n"/>
      <c r="B265" s="43" t="inlineStr"/>
      <c r="C265" s="43" t="inlineStr">
        <is>
          <t>节段05</t>
        </is>
      </c>
      <c r="D265" s="43" t="inlineStr">
        <is>
          <t>Q355D</t>
        </is>
      </c>
      <c r="E265" s="44" t="n">
        <v>12381</v>
      </c>
      <c r="F265" s="43" t="n">
        <v>1200</v>
      </c>
      <c r="G265" s="43" t="n">
        <v>36</v>
      </c>
      <c r="H265" s="79">
        <f>(E265/1000)*(F265/1000)*(G265/1000)*7850</f>
        <v/>
      </c>
      <c r="I265" s="43" t="n">
        <v>1</v>
      </c>
      <c r="J265" s="80">
        <f>H265*I265</f>
        <v/>
      </c>
      <c r="K265" s="6" t="inlineStr">
        <is>
          <t>来源页65</t>
        </is>
      </c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</row>
    <row r="266" hidden="1" ht="20" customFormat="1" customHeight="1" s="30">
      <c r="A266" s="76" t="n"/>
      <c r="B266" s="76" t="n"/>
      <c r="C266" s="43" t="inlineStr">
        <is>
          <t>节段05</t>
        </is>
      </c>
      <c r="D266" s="43" t="inlineStr">
        <is>
          <t>Q355D</t>
        </is>
      </c>
      <c r="E266" s="44" t="n">
        <v>8581</v>
      </c>
      <c r="F266" s="43" t="n">
        <v>1360</v>
      </c>
      <c r="G266" s="43" t="n">
        <v>36</v>
      </c>
      <c r="H266" s="79">
        <f>(E266/1000)*(F266/1000)*(G266/1000)*7850</f>
        <v/>
      </c>
      <c r="I266" s="43" t="n">
        <v>2</v>
      </c>
      <c r="J266" s="80">
        <f>H266*I266</f>
        <v/>
      </c>
      <c r="K266" s="6" t="inlineStr">
        <is>
          <t>来源页65</t>
        </is>
      </c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</row>
    <row r="267" hidden="1" ht="20" customFormat="1" customHeight="1" s="30">
      <c r="A267" s="76" t="n"/>
      <c r="B267" s="74" t="n"/>
      <c r="C267" s="43" t="inlineStr">
        <is>
          <t>节段05</t>
        </is>
      </c>
      <c r="D267" s="43" t="inlineStr">
        <is>
          <t>Q355D</t>
        </is>
      </c>
      <c r="E267" s="44" t="n">
        <v>8581</v>
      </c>
      <c r="F267" s="43" t="n">
        <v>320</v>
      </c>
      <c r="G267" s="43" t="n">
        <v>32</v>
      </c>
      <c r="H267" s="79">
        <f>(E267/1000)*(F267/1000)*(G267/1000)*7850</f>
        <v/>
      </c>
      <c r="I267" s="43" t="n">
        <v>2</v>
      </c>
      <c r="J267" s="80">
        <f>H267*I267</f>
        <v/>
      </c>
      <c r="K267" s="6" t="inlineStr">
        <is>
          <t>来源页65</t>
        </is>
      </c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</row>
    <row r="268" hidden="1" ht="20" customFormat="1" customHeight="1" s="30">
      <c r="A268" s="76" t="n"/>
      <c r="B268" s="43" t="inlineStr"/>
      <c r="C268" s="43" t="inlineStr">
        <is>
          <t>节段05</t>
        </is>
      </c>
      <c r="D268" s="43" t="inlineStr">
        <is>
          <t>Q355D</t>
        </is>
      </c>
      <c r="E268" s="43" t="n">
        <v>11181</v>
      </c>
      <c r="F268" s="43" t="n">
        <v>320</v>
      </c>
      <c r="G268" s="43" t="n">
        <v>32</v>
      </c>
      <c r="H268" s="79">
        <f>(E268/1000)*(F268/1000)*(G268/1000)*7850</f>
        <v/>
      </c>
      <c r="I268" s="43" t="n">
        <v>1</v>
      </c>
      <c r="J268" s="80">
        <f>H268*I268</f>
        <v/>
      </c>
      <c r="K268" s="43" t="inlineStr">
        <is>
          <t>来源页65</t>
        </is>
      </c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</row>
    <row r="269" hidden="1" ht="20" customFormat="1" customHeight="1" s="30">
      <c r="A269" s="76" t="n"/>
      <c r="B269" s="76" t="n"/>
      <c r="C269" s="43" t="inlineStr">
        <is>
          <t>节段05</t>
        </is>
      </c>
      <c r="D269" s="43" t="inlineStr">
        <is>
          <t>Q355D</t>
        </is>
      </c>
      <c r="E269" s="43" t="n">
        <v>10981</v>
      </c>
      <c r="F269" s="43" t="n">
        <v>320</v>
      </c>
      <c r="G269" s="43" t="n">
        <v>32</v>
      </c>
      <c r="H269" s="79">
        <f>(E269/1000)*(F269/1000)*(G269/1000)*7850</f>
        <v/>
      </c>
      <c r="I269" s="43" t="n">
        <v>1</v>
      </c>
      <c r="J269" s="80">
        <f>H269*I269</f>
        <v/>
      </c>
      <c r="K269" s="43" t="inlineStr">
        <is>
          <t>来源页65</t>
        </is>
      </c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</row>
    <row r="270" hidden="1" ht="20" customFormat="1" customHeight="1" s="30">
      <c r="A270" s="76" t="n"/>
      <c r="B270" s="76" t="n"/>
      <c r="C270" s="43" t="inlineStr">
        <is>
          <t>节段05</t>
        </is>
      </c>
      <c r="D270" s="43" t="inlineStr">
        <is>
          <t>Q355D</t>
        </is>
      </c>
      <c r="E270" s="43" t="n">
        <v>1200</v>
      </c>
      <c r="F270" s="43" t="n">
        <v>1200</v>
      </c>
      <c r="G270" s="43" t="n">
        <v>16</v>
      </c>
      <c r="H270" s="79">
        <f>(E270/1000)*(F270/1000)*(G270/1000)*7850</f>
        <v/>
      </c>
      <c r="I270" s="43" t="n">
        <v>3</v>
      </c>
      <c r="J270" s="80">
        <f>H270*I270</f>
        <v/>
      </c>
      <c r="K270" s="43" t="inlineStr">
        <is>
          <t>来源页65</t>
        </is>
      </c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</row>
    <row r="271" ht="20" customFormat="1" customHeight="1" s="30">
      <c r="A271" s="76" t="n"/>
      <c r="B271" s="74" t="n"/>
      <c r="C271" s="43" t="inlineStr">
        <is>
          <t>节段05</t>
        </is>
      </c>
      <c r="D271" s="43" t="inlineStr">
        <is>
          <t>Q355D</t>
        </is>
      </c>
      <c r="E271" s="43" t="n">
        <v>6135</v>
      </c>
      <c r="F271" s="43" t="n">
        <v>1200</v>
      </c>
      <c r="G271" s="43" t="n">
        <v>36</v>
      </c>
      <c r="H271" s="79">
        <f>(E271/1000)*(F271/1000)*(G271/1000)*7850</f>
        <v/>
      </c>
      <c r="I271" s="43" t="n">
        <v>1</v>
      </c>
      <c r="J271" s="80">
        <f>H271*I271</f>
        <v/>
      </c>
      <c r="K271" s="43" t="inlineStr">
        <is>
          <t>来源页65</t>
        </is>
      </c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</row>
    <row r="272" hidden="1" ht="20" customFormat="1" customHeight="1" s="30">
      <c r="A272" s="74" t="n"/>
      <c r="B272" s="43" t="inlineStr">
        <is>
          <t>小计</t>
        </is>
      </c>
      <c r="C272" s="73" t="n"/>
      <c r="D272" s="43" t="n"/>
      <c r="E272" s="43" t="n"/>
      <c r="F272" s="43" t="n"/>
      <c r="G272" s="43" t="n"/>
      <c r="H272" s="79" t="n"/>
      <c r="I272" s="43" t="n"/>
      <c r="J272" s="80">
        <f>SUM(J247:J271)</f>
        <v/>
      </c>
      <c r="K272" s="43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</row>
    <row r="273" ht="20" customFormat="1" customHeight="1" s="30">
      <c r="A273" s="43" t="inlineStr">
        <is>
          <t>N41a</t>
        </is>
      </c>
      <c r="B273" s="43" t="inlineStr"/>
      <c r="C273" s="43" t="inlineStr">
        <is>
          <t>节段05</t>
        </is>
      </c>
      <c r="D273" s="43" t="inlineStr">
        <is>
          <t>Q355D</t>
        </is>
      </c>
      <c r="E273" s="43" t="n">
        <v>6135</v>
      </c>
      <c r="F273" s="43" t="n">
        <v>1200</v>
      </c>
      <c r="G273" s="43" t="n">
        <v>36</v>
      </c>
      <c r="H273" s="79">
        <f>(E273/1000)*(F273/1000)*(G273/1000)*7850</f>
        <v/>
      </c>
      <c r="I273" s="43" t="n">
        <v>1</v>
      </c>
      <c r="J273" s="80">
        <f>H273*I273</f>
        <v/>
      </c>
      <c r="K273" s="43" t="inlineStr">
        <is>
          <t>来源页65</t>
        </is>
      </c>
      <c r="L273" s="43">
        <f>A273</f>
        <v/>
      </c>
      <c r="M273" s="81">
        <f>SUMIF(G273:G297,$M$3,J273:J297)</f>
        <v/>
      </c>
      <c r="N273" s="81">
        <f>SUMIF(G273:G297,$N$3,J273:J297)</f>
        <v/>
      </c>
      <c r="O273" s="81">
        <f>SUMIF(G273:G297,$O$3,J273:J297)</f>
        <v/>
      </c>
      <c r="P273" s="81">
        <f>SUMIF(G273:G297,$P$3,J273:J297)</f>
        <v/>
      </c>
      <c r="Q273" s="81">
        <f>SUMIF(G273:G297,$Q$3,J273:J297)</f>
        <v/>
      </c>
      <c r="R273" s="81">
        <f>SUMIF(G273:G297,$R$3,J273:J297)</f>
        <v/>
      </c>
      <c r="S273" s="81">
        <f>SUMIF(G273:G297,$S$3,J273:J297)</f>
        <v/>
      </c>
      <c r="T273" s="81">
        <f>SUM(M273:S298)</f>
        <v/>
      </c>
      <c r="U273" s="81" t="n">
        <v>141859.2</v>
      </c>
      <c r="V273" s="81">
        <f>T273-U273</f>
        <v/>
      </c>
      <c r="W273" s="43" t="n"/>
    </row>
    <row r="274" ht="20" customFormat="1" customHeight="1" s="30">
      <c r="A274" s="76" t="n"/>
      <c r="B274" s="76" t="n"/>
      <c r="C274" s="43" t="inlineStr">
        <is>
          <t>节段05</t>
        </is>
      </c>
      <c r="D274" s="43" t="inlineStr">
        <is>
          <t>Q355D</t>
        </is>
      </c>
      <c r="E274" s="43" t="n">
        <v>4135</v>
      </c>
      <c r="F274" s="43" t="n">
        <v>1360</v>
      </c>
      <c r="G274" s="43" t="n">
        <v>36</v>
      </c>
      <c r="H274" s="79">
        <f>(E274/1000)*(F274/1000)*(G274/1000)*7850</f>
        <v/>
      </c>
      <c r="I274" s="43" t="n">
        <v>2</v>
      </c>
      <c r="J274" s="80">
        <f>H274*I274</f>
        <v/>
      </c>
      <c r="K274" s="43" t="inlineStr">
        <is>
          <t>来源页65</t>
        </is>
      </c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</row>
    <row r="275" hidden="1" ht="20" customFormat="1" customHeight="1" s="30">
      <c r="A275" s="76" t="n"/>
      <c r="B275" s="76" t="n"/>
      <c r="C275" s="43" t="inlineStr">
        <is>
          <t>节段05</t>
        </is>
      </c>
      <c r="D275" s="43" t="inlineStr">
        <is>
          <t>Q355D</t>
        </is>
      </c>
      <c r="E275" s="43" t="n">
        <v>4135</v>
      </c>
      <c r="F275" s="43" t="n">
        <v>320</v>
      </c>
      <c r="G275" s="43" t="n">
        <v>32</v>
      </c>
      <c r="H275" s="79">
        <f>(E275/1000)*(F275/1000)*(G275/1000)*7850</f>
        <v/>
      </c>
      <c r="I275" s="43" t="n">
        <v>2</v>
      </c>
      <c r="J275" s="80">
        <f>H275*I275</f>
        <v/>
      </c>
      <c r="K275" s="43" t="inlineStr">
        <is>
          <t>来源页65</t>
        </is>
      </c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</row>
    <row r="276" hidden="1" ht="20" customFormat="1" customHeight="1" s="30">
      <c r="A276" s="76" t="n"/>
      <c r="B276" s="76" t="n"/>
      <c r="C276" s="43" t="inlineStr">
        <is>
          <t>节段05</t>
        </is>
      </c>
      <c r="D276" s="43" t="inlineStr">
        <is>
          <t>Q355D</t>
        </is>
      </c>
      <c r="E276" s="43" t="n">
        <v>5435</v>
      </c>
      <c r="F276" s="43" t="n">
        <v>320</v>
      </c>
      <c r="G276" s="43" t="n">
        <v>32</v>
      </c>
      <c r="H276" s="79">
        <f>(E276/1000)*(F276/1000)*(G276/1000)*7850</f>
        <v/>
      </c>
      <c r="I276" s="43" t="n">
        <v>1</v>
      </c>
      <c r="J276" s="80">
        <f>H276*I276</f>
        <v/>
      </c>
      <c r="K276" s="43" t="inlineStr">
        <is>
          <t>来源页65</t>
        </is>
      </c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</row>
    <row r="277" hidden="1" ht="20" customFormat="1" customHeight="1" s="30">
      <c r="A277" s="76" t="n"/>
      <c r="B277" s="76" t="n"/>
      <c r="C277" s="43" t="inlineStr">
        <is>
          <t>节段05</t>
        </is>
      </c>
      <c r="D277" s="43" t="inlineStr">
        <is>
          <t>Q355D</t>
        </is>
      </c>
      <c r="E277" s="43" t="n">
        <v>5435</v>
      </c>
      <c r="F277" s="43" t="n">
        <v>320</v>
      </c>
      <c r="G277" s="43" t="n">
        <v>32</v>
      </c>
      <c r="H277" s="79">
        <f>(E277/1000)*(F277/1000)*(G277/1000)*7850</f>
        <v/>
      </c>
      <c r="I277" s="43" t="n">
        <v>1</v>
      </c>
      <c r="J277" s="80">
        <f>H277*I277</f>
        <v/>
      </c>
      <c r="K277" s="43" t="inlineStr">
        <is>
          <t>来源页65</t>
        </is>
      </c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</row>
    <row r="278" hidden="1" ht="20" customFormat="1" customHeight="1" s="30">
      <c r="A278" s="76" t="n"/>
      <c r="B278" s="74" t="n"/>
      <c r="C278" s="43" t="inlineStr">
        <is>
          <t>节段05</t>
        </is>
      </c>
      <c r="D278" s="43" t="inlineStr">
        <is>
          <t>Q355D</t>
        </is>
      </c>
      <c r="E278" s="43" t="n">
        <v>1200</v>
      </c>
      <c r="F278" s="43" t="n">
        <v>1200</v>
      </c>
      <c r="G278" s="43" t="n">
        <v>16</v>
      </c>
      <c r="H278" s="79">
        <f>(E278/1000)*(F278/1000)*(G278/1000)*7850</f>
        <v/>
      </c>
      <c r="I278" s="43" t="n">
        <v>3</v>
      </c>
      <c r="J278" s="80">
        <f>H278*I278</f>
        <v/>
      </c>
      <c r="K278" s="43" t="inlineStr">
        <is>
          <t>来源页65</t>
        </is>
      </c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</row>
    <row r="279" hidden="1" ht="20" customFormat="1" customHeight="1" s="30">
      <c r="A279" s="76" t="n"/>
      <c r="B279" s="43" t="inlineStr"/>
      <c r="C279" s="43" t="inlineStr">
        <is>
          <t>节段05</t>
        </is>
      </c>
      <c r="D279" s="43" t="inlineStr">
        <is>
          <t>Q355D</t>
        </is>
      </c>
      <c r="E279" s="43" t="n">
        <v>6425</v>
      </c>
      <c r="F279" s="43" t="n">
        <v>1200</v>
      </c>
      <c r="G279" s="43" t="n">
        <v>36</v>
      </c>
      <c r="H279" s="79">
        <f>(E279/1000)*(F279/1000)*(G279/1000)*7850</f>
        <v/>
      </c>
      <c r="I279" s="43" t="n">
        <v>1</v>
      </c>
      <c r="J279" s="80">
        <f>H279*I279</f>
        <v/>
      </c>
      <c r="K279" s="43" t="inlineStr">
        <is>
          <t>来源页65</t>
        </is>
      </c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</row>
    <row r="280" hidden="1" ht="20" customFormat="1" customHeight="1" s="30">
      <c r="A280" s="76" t="n"/>
      <c r="B280" s="76" t="n"/>
      <c r="C280" s="43" t="inlineStr">
        <is>
          <t>节段05</t>
        </is>
      </c>
      <c r="D280" s="43" t="inlineStr">
        <is>
          <t>Q355D</t>
        </is>
      </c>
      <c r="E280" s="43" t="n">
        <v>6025</v>
      </c>
      <c r="F280" s="43" t="n">
        <v>1200</v>
      </c>
      <c r="G280" s="43" t="n">
        <v>36</v>
      </c>
      <c r="H280" s="79">
        <f>(E280/1000)*(F280/1000)*(G280/1000)*7850</f>
        <v/>
      </c>
      <c r="I280" s="43" t="n">
        <v>1</v>
      </c>
      <c r="J280" s="80">
        <f>H280*I280</f>
        <v/>
      </c>
      <c r="K280" s="43" t="inlineStr">
        <is>
          <t>来源页65</t>
        </is>
      </c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</row>
    <row r="281" hidden="1" ht="20" customFormat="1" customHeight="1" s="30">
      <c r="A281" s="76" t="n"/>
      <c r="B281" s="76" t="n"/>
      <c r="C281" s="43" t="inlineStr">
        <is>
          <t>节段05</t>
        </is>
      </c>
      <c r="D281" s="43" t="inlineStr">
        <is>
          <t>Q355D</t>
        </is>
      </c>
      <c r="E281" s="43" t="n">
        <v>4225</v>
      </c>
      <c r="F281" s="43" t="n">
        <v>1360</v>
      </c>
      <c r="G281" s="43" t="n">
        <v>36</v>
      </c>
      <c r="H281" s="79">
        <f>(E281/1000)*(F281/1000)*(G281/1000)*7850</f>
        <v/>
      </c>
      <c r="I281" s="43" t="n">
        <v>2</v>
      </c>
      <c r="J281" s="80">
        <f>H281*I281</f>
        <v/>
      </c>
      <c r="K281" s="43" t="inlineStr">
        <is>
          <t>来源页65</t>
        </is>
      </c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</row>
    <row r="282" hidden="1" ht="20" customFormat="1" customHeight="1" s="30">
      <c r="A282" s="76" t="n"/>
      <c r="B282" s="76" t="n"/>
      <c r="C282" s="43" t="inlineStr">
        <is>
          <t>节段05</t>
        </is>
      </c>
      <c r="D282" s="43" t="inlineStr">
        <is>
          <t>Q355D</t>
        </is>
      </c>
      <c r="E282" s="43" t="n">
        <v>4225</v>
      </c>
      <c r="F282" s="43" t="n">
        <v>320</v>
      </c>
      <c r="G282" s="43" t="n">
        <v>32</v>
      </c>
      <c r="H282" s="79">
        <f>(E282/1000)*(F282/1000)*(G282/1000)*7850</f>
        <v/>
      </c>
      <c r="I282" s="43" t="n">
        <v>2</v>
      </c>
      <c r="J282" s="80">
        <f>H282*I282</f>
        <v/>
      </c>
      <c r="K282" s="43" t="inlineStr">
        <is>
          <t>来源页65</t>
        </is>
      </c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</row>
    <row r="283" hidden="1" ht="20" customFormat="1" customHeight="1" s="30">
      <c r="A283" s="76" t="n"/>
      <c r="B283" s="76" t="n"/>
      <c r="C283" s="43" t="inlineStr">
        <is>
          <t>节段05</t>
        </is>
      </c>
      <c r="D283" s="43" t="inlineStr">
        <is>
          <t>Q355D</t>
        </is>
      </c>
      <c r="E283" s="43" t="n">
        <v>5725</v>
      </c>
      <c r="F283" s="43" t="n">
        <v>320</v>
      </c>
      <c r="G283" s="43" t="n">
        <v>32</v>
      </c>
      <c r="H283" s="79">
        <f>(E283/1000)*(F283/1000)*(G283/1000)*7850</f>
        <v/>
      </c>
      <c r="I283" s="43" t="n">
        <v>1</v>
      </c>
      <c r="J283" s="80">
        <f>H283*I283</f>
        <v/>
      </c>
      <c r="K283" s="43" t="inlineStr">
        <is>
          <t>来源页65</t>
        </is>
      </c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</row>
    <row r="284" hidden="1" ht="20" customFormat="1" customHeight="1" s="30">
      <c r="A284" s="76" t="n"/>
      <c r="B284" s="76" t="n"/>
      <c r="C284" s="43" t="inlineStr">
        <is>
          <t>节段05</t>
        </is>
      </c>
      <c r="D284" s="43" t="inlineStr">
        <is>
          <t>Q355D</t>
        </is>
      </c>
      <c r="E284" s="43" t="n">
        <v>5325</v>
      </c>
      <c r="F284" s="43" t="n">
        <v>320</v>
      </c>
      <c r="G284" s="43" t="n">
        <v>32</v>
      </c>
      <c r="H284" s="79">
        <f>(E284/1000)*(F284/1000)*(G284/1000)*7850</f>
        <v/>
      </c>
      <c r="I284" s="43" t="n">
        <v>1</v>
      </c>
      <c r="J284" s="80">
        <f>H284*I284</f>
        <v/>
      </c>
      <c r="K284" s="43" t="inlineStr">
        <is>
          <t>来源页65</t>
        </is>
      </c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</row>
    <row r="285" ht="20" customFormat="1" customHeight="1" s="30">
      <c r="A285" s="76" t="n"/>
      <c r="B285" s="76" t="n"/>
      <c r="C285" s="43" t="inlineStr">
        <is>
          <t>节段05</t>
        </is>
      </c>
      <c r="D285" s="43" t="inlineStr">
        <is>
          <t>Q355D</t>
        </is>
      </c>
      <c r="E285" s="43" t="n">
        <v>1200</v>
      </c>
      <c r="F285" s="43" t="n">
        <v>1200</v>
      </c>
      <c r="G285" s="43" t="n">
        <v>16</v>
      </c>
      <c r="H285" s="79">
        <f>(E285/1000)*(F285/1000)*(G285/1000)*7850</f>
        <v/>
      </c>
      <c r="I285" s="43" t="n">
        <v>3</v>
      </c>
      <c r="J285" s="80">
        <f>H285*I285</f>
        <v/>
      </c>
      <c r="K285" s="43" t="inlineStr">
        <is>
          <t>来源页65</t>
        </is>
      </c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</row>
    <row r="286" ht="20" customFormat="1" customHeight="1" s="30">
      <c r="A286" s="76" t="n"/>
      <c r="B286" s="74" t="n"/>
      <c r="C286" s="43" t="inlineStr">
        <is>
          <t>节段05</t>
        </is>
      </c>
      <c r="D286" s="43" t="inlineStr">
        <is>
          <t>Q355D</t>
        </is>
      </c>
      <c r="E286" s="43" t="n">
        <v>2300</v>
      </c>
      <c r="F286" s="43" t="n">
        <v>320</v>
      </c>
      <c r="G286" s="43" t="n">
        <v>32</v>
      </c>
      <c r="H286" s="79">
        <f>(E286/1000)*(F286/1000)*(G286/1000)*7850</f>
        <v/>
      </c>
      <c r="I286" s="43" t="n">
        <v>4</v>
      </c>
      <c r="J286" s="80">
        <f>H286*I286</f>
        <v/>
      </c>
      <c r="K286" s="43" t="inlineStr">
        <is>
          <t>来源页65</t>
        </is>
      </c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</row>
    <row r="287" hidden="1" ht="20" customFormat="1" customHeight="1" s="30">
      <c r="A287" s="76" t="n"/>
      <c r="B287" s="43" t="inlineStr"/>
      <c r="C287" s="43" t="inlineStr">
        <is>
          <t>节段05</t>
        </is>
      </c>
      <c r="D287" s="43" t="inlineStr">
        <is>
          <t>Q355D</t>
        </is>
      </c>
      <c r="E287" s="43" t="n">
        <v>2200</v>
      </c>
      <c r="F287" s="43" t="n">
        <v>320</v>
      </c>
      <c r="G287" s="43" t="n">
        <v>32</v>
      </c>
      <c r="H287" s="79">
        <f>(E287/1000)*(F287/1000)*(G287/1000)*7850</f>
        <v/>
      </c>
      <c r="I287" s="43" t="n">
        <v>4</v>
      </c>
      <c r="J287" s="80">
        <f>H287*I287</f>
        <v/>
      </c>
      <c r="K287" s="43" t="inlineStr">
        <is>
          <t>来源页65</t>
        </is>
      </c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</row>
    <row r="288" hidden="1" ht="20" customFormat="1" customHeight="1" s="30">
      <c r="A288" s="76" t="n"/>
      <c r="B288" s="76" t="n"/>
      <c r="C288" s="43" t="inlineStr">
        <is>
          <t>节段05</t>
        </is>
      </c>
      <c r="D288" s="43" t="inlineStr">
        <is>
          <t>Q355D</t>
        </is>
      </c>
      <c r="E288" s="43" t="n">
        <v>1960</v>
      </c>
      <c r="F288" s="43" t="n">
        <v>602</v>
      </c>
      <c r="G288" s="43" t="n">
        <v>14</v>
      </c>
      <c r="H288" s="79">
        <f>(E288/1000)*(F288/1000)*(G288/1000)*7850</f>
        <v/>
      </c>
      <c r="I288" s="43" t="n">
        <v>6</v>
      </c>
      <c r="J288" s="80">
        <f>H288*I288</f>
        <v/>
      </c>
      <c r="K288" s="43" t="inlineStr">
        <is>
          <t>来源页65</t>
        </is>
      </c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</row>
    <row r="289" ht="20" customFormat="1" customHeight="1" s="30">
      <c r="A289" s="76" t="n"/>
      <c r="B289" s="76" t="n"/>
      <c r="C289" s="43" t="inlineStr">
        <is>
          <t>节段05</t>
        </is>
      </c>
      <c r="D289" s="43" t="inlineStr">
        <is>
          <t>Q355D</t>
        </is>
      </c>
      <c r="E289" s="43" t="n">
        <v>1976</v>
      </c>
      <c r="F289" s="43" t="n">
        <v>618</v>
      </c>
      <c r="G289" s="43" t="n">
        <v>14</v>
      </c>
      <c r="H289" s="79">
        <f>(E289/1000)*(F289/1000)*(G289/1000)*7850</f>
        <v/>
      </c>
      <c r="I289" s="43" t="n">
        <v>4</v>
      </c>
      <c r="J289" s="80">
        <f>H289*I289</f>
        <v/>
      </c>
      <c r="K289" s="43" t="inlineStr">
        <is>
          <t>来源页65</t>
        </is>
      </c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</row>
    <row r="290" hidden="1" ht="20" customFormat="1" customHeight="1" s="30">
      <c r="A290" s="76" t="n"/>
      <c r="B290" s="74" t="n"/>
      <c r="C290" s="43" t="inlineStr">
        <is>
          <t>节段05</t>
        </is>
      </c>
      <c r="D290" s="43" t="inlineStr">
        <is>
          <t>Q355D</t>
        </is>
      </c>
      <c r="E290" s="43" t="n"/>
      <c r="F290" s="43" t="n"/>
      <c r="G290" s="43" t="n">
        <v>24</v>
      </c>
      <c r="H290" s="79">
        <f>(E290/1000)*(F290/1000)*(G290/1000)*7850</f>
        <v/>
      </c>
      <c r="I290" s="43" t="n">
        <v>6</v>
      </c>
      <c r="J290" s="80">
        <f>H290*I290</f>
        <v/>
      </c>
      <c r="K290" s="43" t="inlineStr">
        <is>
          <t>来源页65</t>
        </is>
      </c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</row>
    <row r="291" hidden="1" ht="20" customFormat="1" customHeight="1" s="30">
      <c r="A291" s="76" t="n"/>
      <c r="B291" s="43" t="inlineStr"/>
      <c r="C291" s="43" t="inlineStr">
        <is>
          <t>节段05</t>
        </is>
      </c>
      <c r="D291" s="43" t="inlineStr">
        <is>
          <t>Q355D</t>
        </is>
      </c>
      <c r="E291" s="44" t="n"/>
      <c r="F291" s="43" t="n"/>
      <c r="G291" s="43" t="n">
        <v>24</v>
      </c>
      <c r="H291" s="79">
        <f>(E291/1000)*(F291/1000)*(G291/1000)*7850</f>
        <v/>
      </c>
      <c r="I291" s="43" t="n">
        <v>4</v>
      </c>
      <c r="J291" s="80">
        <f>H291*I291</f>
        <v/>
      </c>
      <c r="K291" s="6" t="inlineStr">
        <is>
          <t>来源页65</t>
        </is>
      </c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</row>
    <row r="292" hidden="1" ht="20" customFormat="1" customHeight="1" s="30">
      <c r="A292" s="76" t="n"/>
      <c r="B292" s="76" t="n"/>
      <c r="C292" s="43" t="inlineStr">
        <is>
          <t>节段05</t>
        </is>
      </c>
      <c r="D292" s="43" t="inlineStr">
        <is>
          <t>Q355D</t>
        </is>
      </c>
      <c r="E292" s="44" t="n">
        <v>1800</v>
      </c>
      <c r="F292" s="43" t="n">
        <v>610</v>
      </c>
      <c r="G292" s="43" t="n">
        <v>14</v>
      </c>
      <c r="H292" s="79">
        <f>(E292/1000)*(F292/1000)*(G292/1000)*7850</f>
        <v/>
      </c>
      <c r="I292" s="43" t="n">
        <v>6</v>
      </c>
      <c r="J292" s="80">
        <f>H292*I292</f>
        <v/>
      </c>
      <c r="K292" s="6" t="inlineStr">
        <is>
          <t>来源页65</t>
        </is>
      </c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</row>
    <row r="293" hidden="1" ht="20" customFormat="1" customHeight="1" s="30">
      <c r="A293" s="76" t="n"/>
      <c r="B293" s="74" t="n"/>
      <c r="C293" s="43" t="inlineStr">
        <is>
          <t>节段05</t>
        </is>
      </c>
      <c r="D293" s="43" t="inlineStr">
        <is>
          <t>Q355D</t>
        </is>
      </c>
      <c r="E293" s="44" t="n">
        <v>1800</v>
      </c>
      <c r="F293" s="43" t="n">
        <v>618</v>
      </c>
      <c r="G293" s="43" t="n">
        <v>14</v>
      </c>
      <c r="H293" s="79">
        <f>(E293/1000)*(F293/1000)*(G293/1000)*7850</f>
        <v/>
      </c>
      <c r="I293" s="43" t="n">
        <v>4</v>
      </c>
      <c r="J293" s="80">
        <f>H293*I293</f>
        <v/>
      </c>
      <c r="K293" s="6" t="inlineStr">
        <is>
          <t>来源页65</t>
        </is>
      </c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</row>
    <row r="294" hidden="1" ht="20" customFormat="1" customHeight="1" s="30">
      <c r="A294" s="76" t="n"/>
      <c r="B294" s="43" t="inlineStr"/>
      <c r="C294" s="43" t="inlineStr">
        <is>
          <t>节段5~节段6</t>
        </is>
      </c>
      <c r="D294" s="43" t="inlineStr">
        <is>
          <t>Q420D</t>
        </is>
      </c>
      <c r="E294" s="43" t="n">
        <v>1820</v>
      </c>
      <c r="F294" s="43" t="n">
        <v>1800</v>
      </c>
      <c r="G294" s="43" t="n">
        <v>40</v>
      </c>
      <c r="H294" s="79">
        <f>(E294/1000)*(F294/1000)*(G294/1000)*7850</f>
        <v/>
      </c>
      <c r="I294" s="43" t="n">
        <v>2</v>
      </c>
      <c r="J294" s="80">
        <f>H294*I294</f>
        <v/>
      </c>
      <c r="K294" s="43" t="inlineStr">
        <is>
          <t>来源页68</t>
        </is>
      </c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</row>
    <row r="295" hidden="1" ht="20" customFormat="1" customHeight="1" s="30">
      <c r="A295" s="76" t="n"/>
      <c r="B295" s="76" t="n"/>
      <c r="C295" s="43" t="inlineStr">
        <is>
          <t>节段5~节段6</t>
        </is>
      </c>
      <c r="D295" s="43" t="inlineStr">
        <is>
          <t>Q420D</t>
        </is>
      </c>
      <c r="E295" s="43" t="n">
        <v>1820</v>
      </c>
      <c r="F295" s="43" t="n">
        <v>500</v>
      </c>
      <c r="G295" s="43" t="n">
        <v>40</v>
      </c>
      <c r="H295" s="79">
        <f>(E295/1000)*(F295/1000)*(G295/1000)*7850</f>
        <v/>
      </c>
      <c r="I295" s="43" t="n">
        <v>2</v>
      </c>
      <c r="J295" s="80">
        <f>H295*I295</f>
        <v/>
      </c>
      <c r="K295" s="43" t="inlineStr">
        <is>
          <t>来源页68</t>
        </is>
      </c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</row>
    <row r="296" hidden="1" ht="20" customFormat="1" customHeight="1" s="30">
      <c r="A296" s="76" t="n"/>
      <c r="B296" s="76" t="n"/>
      <c r="C296" s="43" t="inlineStr">
        <is>
          <t>节段5~节段6</t>
        </is>
      </c>
      <c r="D296" s="43" t="inlineStr">
        <is>
          <t>Q420D</t>
        </is>
      </c>
      <c r="E296" s="43" t="n">
        <v>1820</v>
      </c>
      <c r="F296" s="43" t="n">
        <v>500</v>
      </c>
      <c r="G296" s="43" t="n">
        <v>40</v>
      </c>
      <c r="H296" s="79">
        <f>(E296/1000)*(F296/1000)*(G296/1000)*7850</f>
        <v/>
      </c>
      <c r="I296" s="43" t="n">
        <v>2</v>
      </c>
      <c r="J296" s="80">
        <f>H296*I296</f>
        <v/>
      </c>
      <c r="K296" s="43" t="inlineStr">
        <is>
          <t>来源页68</t>
        </is>
      </c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</row>
    <row r="297" ht="20" customFormat="1" customHeight="1" s="30">
      <c r="A297" s="76" t="n"/>
      <c r="B297" s="74" t="n"/>
      <c r="C297" s="43" t="inlineStr">
        <is>
          <t>节段5~节段6</t>
        </is>
      </c>
      <c r="D297" s="43" t="inlineStr">
        <is>
          <t>Q420D</t>
        </is>
      </c>
      <c r="E297" s="43" t="n">
        <v>1820</v>
      </c>
      <c r="F297" s="43" t="n">
        <v>600</v>
      </c>
      <c r="G297" s="43" t="n">
        <v>40</v>
      </c>
      <c r="H297" s="79">
        <f>(E297/1000)*(F297/1000)*(G297/1000)*7850</f>
        <v/>
      </c>
      <c r="I297" s="43" t="n">
        <v>2</v>
      </c>
      <c r="J297" s="80">
        <f>H297*I297</f>
        <v/>
      </c>
      <c r="K297" s="43" t="inlineStr">
        <is>
          <t>来源页68</t>
        </is>
      </c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</row>
    <row r="298" hidden="1" ht="20" customFormat="1" customHeight="1" s="30">
      <c r="A298" s="74" t="n"/>
      <c r="B298" s="43" t="inlineStr">
        <is>
          <t>小计</t>
        </is>
      </c>
      <c r="C298" s="73" t="n"/>
      <c r="D298" s="43" t="n"/>
      <c r="E298" s="43" t="n"/>
      <c r="F298" s="43" t="n"/>
      <c r="G298" s="43" t="n"/>
      <c r="H298" s="79" t="n"/>
      <c r="I298" s="43" t="n"/>
      <c r="J298" s="80">
        <f>SUM(J273:J297)</f>
        <v/>
      </c>
      <c r="K298" s="43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</row>
    <row r="299" ht="20" customFormat="1" customHeight="1" s="30">
      <c r="A299" s="43" t="inlineStr">
        <is>
          <t>P5</t>
        </is>
      </c>
      <c r="B299" s="43" t="inlineStr"/>
      <c r="C299" s="43" t="inlineStr">
        <is>
          <t>节段5~节段6</t>
        </is>
      </c>
      <c r="D299" s="43" t="inlineStr">
        <is>
          <t>Q420D</t>
        </is>
      </c>
      <c r="E299" s="43" t="n">
        <v>1720</v>
      </c>
      <c r="F299" s="43" t="n">
        <v>1100</v>
      </c>
      <c r="G299" s="43" t="n">
        <v>44</v>
      </c>
      <c r="H299" s="79">
        <f>(E299/1000)*(F299/1000)*(G299/1000)*7850</f>
        <v/>
      </c>
      <c r="I299" s="43" t="n">
        <v>1</v>
      </c>
      <c r="J299" s="80">
        <f>H299*I299</f>
        <v/>
      </c>
      <c r="K299" s="43" t="inlineStr">
        <is>
          <t>来源页68</t>
        </is>
      </c>
      <c r="L299" s="43">
        <f>A299</f>
        <v/>
      </c>
      <c r="M299" s="81">
        <f>SUMIF(G299:G323,$M$3,J299:J323)</f>
        <v/>
      </c>
      <c r="N299" s="81">
        <f>SUMIF(G299:G323,$N$3,J299:J323)</f>
        <v/>
      </c>
      <c r="O299" s="81">
        <f>SUMIF(G299:G323,$O$3,J299:J323)</f>
        <v/>
      </c>
      <c r="P299" s="81">
        <f>SUMIF(G299:G323,$P$3,J299:J323)</f>
        <v/>
      </c>
      <c r="Q299" s="81">
        <f>SUMIF(G299:G323,$Q$3,J299:J323)</f>
        <v/>
      </c>
      <c r="R299" s="81">
        <f>SUMIF(G299:G323,$R$3,J299:J323)</f>
        <v/>
      </c>
      <c r="S299" s="81">
        <f>SUMIF(G299:G323,$S$3,J299:J323)</f>
        <v/>
      </c>
      <c r="T299" s="81">
        <f>SUM(M299:S324)</f>
        <v/>
      </c>
      <c r="U299" s="81" t="n">
        <v>142196.9</v>
      </c>
      <c r="V299" s="81">
        <f>T299-U299</f>
        <v/>
      </c>
      <c r="W299" s="43" t="n"/>
    </row>
    <row r="300" ht="20" customFormat="1" customHeight="1" s="30">
      <c r="A300" s="76" t="n"/>
      <c r="B300" s="76" t="n"/>
      <c r="C300" s="43" t="inlineStr">
        <is>
          <t>节段5~节段6</t>
        </is>
      </c>
      <c r="D300" s="43" t="inlineStr">
        <is>
          <t>Q420D</t>
        </is>
      </c>
      <c r="E300" s="43" t="n">
        <v>1720</v>
      </c>
      <c r="F300" s="43" t="n">
        <v>400</v>
      </c>
      <c r="G300" s="43" t="n">
        <v>44</v>
      </c>
      <c r="H300" s="79">
        <f>(E300/1000)*(F300/1000)*(G300/1000)*7850</f>
        <v/>
      </c>
      <c r="I300" s="43" t="n">
        <v>2</v>
      </c>
      <c r="J300" s="80">
        <f>H300*I300</f>
        <v/>
      </c>
      <c r="K300" s="43" t="inlineStr">
        <is>
          <t>来源页68</t>
        </is>
      </c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</row>
    <row r="301" hidden="1" ht="20" customFormat="1" customHeight="1" s="30">
      <c r="A301" s="76" t="n"/>
      <c r="B301" s="76" t="n"/>
      <c r="C301" s="43" t="inlineStr">
        <is>
          <t>节段5~节段6</t>
        </is>
      </c>
      <c r="D301" s="43" t="inlineStr">
        <is>
          <t>Q420D</t>
        </is>
      </c>
      <c r="E301" s="43" t="n">
        <v>1320</v>
      </c>
      <c r="F301" s="43" t="n">
        <v>240</v>
      </c>
      <c r="G301" s="43" t="n">
        <v>24</v>
      </c>
      <c r="H301" s="79">
        <f>(E301/1000)*(F301/1000)*(G301/1000)*7850</f>
        <v/>
      </c>
      <c r="I301" s="43" t="n">
        <v>10</v>
      </c>
      <c r="J301" s="80">
        <f>H301*I301</f>
        <v/>
      </c>
      <c r="K301" s="43" t="inlineStr">
        <is>
          <t>来源页68</t>
        </is>
      </c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</row>
    <row r="302" hidden="1" ht="20" customFormat="1" customHeight="1" s="30">
      <c r="A302" s="76" t="n"/>
      <c r="B302" s="76" t="n"/>
      <c r="C302" s="43" t="inlineStr">
        <is>
          <t>节段5~节段6</t>
        </is>
      </c>
      <c r="D302" s="43" t="inlineStr">
        <is>
          <t>10.9S</t>
        </is>
      </c>
      <c r="E302" s="43" t="n"/>
      <c r="F302" s="43" t="n"/>
      <c r="G302" s="43" t="n"/>
      <c r="H302" s="79">
        <f>(E302/1000)*(F302/1000)*(G302/1000)*7850</f>
        <v/>
      </c>
      <c r="I302" s="43" t="n">
        <v>780</v>
      </c>
      <c r="J302" s="80">
        <f>H302*I302</f>
        <v/>
      </c>
      <c r="K302" s="43" t="inlineStr">
        <is>
          <t>来源页68</t>
        </is>
      </c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</row>
    <row r="303" hidden="1" ht="20" customFormat="1" customHeight="1" s="30">
      <c r="A303" s="76" t="n"/>
      <c r="B303" s="76" t="n"/>
      <c r="C303" s="43" t="inlineStr">
        <is>
          <t>节段5~节段6</t>
        </is>
      </c>
      <c r="D303" s="43" t="inlineStr">
        <is>
          <t>Q355D</t>
        </is>
      </c>
      <c r="E303" s="43" t="n">
        <v>1020</v>
      </c>
      <c r="F303" s="43" t="n">
        <v>1700</v>
      </c>
      <c r="G303" s="43" t="n">
        <v>20</v>
      </c>
      <c r="H303" s="79">
        <f>(E303/1000)*(F303/1000)*(G303/1000)*7850</f>
        <v/>
      </c>
      <c r="I303" s="43" t="n">
        <v>2</v>
      </c>
      <c r="J303" s="80">
        <f>H303*I303</f>
        <v/>
      </c>
      <c r="K303" s="43" t="inlineStr">
        <is>
          <t>来源页68</t>
        </is>
      </c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</row>
    <row r="304" hidden="1" ht="20" customFormat="1" customHeight="1" s="30">
      <c r="A304" s="76" t="n"/>
      <c r="B304" s="74" t="n"/>
      <c r="C304" s="43" t="inlineStr">
        <is>
          <t>节段5~节段6</t>
        </is>
      </c>
      <c r="D304" s="43" t="inlineStr">
        <is>
          <t>Q355D</t>
        </is>
      </c>
      <c r="E304" s="43" t="n">
        <v>1020</v>
      </c>
      <c r="F304" s="43" t="n">
        <v>800</v>
      </c>
      <c r="G304" s="43" t="n">
        <v>20</v>
      </c>
      <c r="H304" s="79">
        <f>(E304/1000)*(F304/1000)*(G304/1000)*7850</f>
        <v/>
      </c>
      <c r="I304" s="43" t="n">
        <v>4</v>
      </c>
      <c r="J304" s="80">
        <f>H304*I304</f>
        <v/>
      </c>
      <c r="K304" s="43" t="inlineStr">
        <is>
          <t>来源页68</t>
        </is>
      </c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</row>
    <row r="305" hidden="1" ht="20" customFormat="1" customHeight="1" s="30">
      <c r="A305" s="76" t="n"/>
      <c r="B305" s="43" t="inlineStr"/>
      <c r="C305" s="43" t="inlineStr">
        <is>
          <t>节段5~节段6</t>
        </is>
      </c>
      <c r="D305" s="43" t="inlineStr">
        <is>
          <t>Q355D</t>
        </is>
      </c>
      <c r="E305" s="43" t="n">
        <v>1120</v>
      </c>
      <c r="F305" s="43" t="n">
        <v>1100</v>
      </c>
      <c r="G305" s="43" t="n">
        <v>32</v>
      </c>
      <c r="H305" s="79">
        <f>(E305/1000)*(F305/1000)*(G305/1000)*7850</f>
        <v/>
      </c>
      <c r="I305" s="43" t="n">
        <v>1</v>
      </c>
      <c r="J305" s="80">
        <f>H305*I305</f>
        <v/>
      </c>
      <c r="K305" s="43" t="inlineStr">
        <is>
          <t>来源页68</t>
        </is>
      </c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</row>
    <row r="306" hidden="1" ht="20" customFormat="1" customHeight="1" s="30">
      <c r="A306" s="76" t="n"/>
      <c r="B306" s="76" t="n"/>
      <c r="C306" s="43" t="inlineStr">
        <is>
          <t>节段5~节段6</t>
        </is>
      </c>
      <c r="D306" s="43" t="inlineStr">
        <is>
          <t>Q355D</t>
        </is>
      </c>
      <c r="E306" s="43" t="n">
        <v>1120</v>
      </c>
      <c r="F306" s="43" t="n">
        <v>400</v>
      </c>
      <c r="G306" s="43" t="n">
        <v>32</v>
      </c>
      <c r="H306" s="79">
        <f>(E306/1000)*(F306/1000)*(G306/1000)*7850</f>
        <v/>
      </c>
      <c r="I306" s="43" t="n">
        <v>2</v>
      </c>
      <c r="J306" s="80">
        <f>H306*I306</f>
        <v/>
      </c>
      <c r="K306" s="43" t="inlineStr">
        <is>
          <t>来源页68</t>
        </is>
      </c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</row>
    <row r="307" hidden="1" ht="20" customFormat="1" customHeight="1" s="30">
      <c r="A307" s="76" t="n"/>
      <c r="B307" s="76" t="n"/>
      <c r="C307" s="43" t="inlineStr">
        <is>
          <t>节段5~节段6</t>
        </is>
      </c>
      <c r="D307" s="43" t="inlineStr">
        <is>
          <t>Q355D</t>
        </is>
      </c>
      <c r="E307" s="43" t="n">
        <v>550</v>
      </c>
      <c r="F307" s="43" t="n">
        <v>1100</v>
      </c>
      <c r="G307" s="43" t="n">
        <v>8</v>
      </c>
      <c r="H307" s="79">
        <f>(E307/1000)*(F307/1000)*(G307/1000)*7850</f>
        <v/>
      </c>
      <c r="I307" s="43" t="n">
        <v>1</v>
      </c>
      <c r="J307" s="80">
        <f>H307*I307</f>
        <v/>
      </c>
      <c r="K307" s="43" t="inlineStr">
        <is>
          <t>来源页68</t>
        </is>
      </c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</row>
    <row r="308" hidden="1" ht="20" customFormat="1" customHeight="1" s="30">
      <c r="A308" s="76" t="n"/>
      <c r="B308" s="76" t="n"/>
      <c r="C308" s="43" t="inlineStr">
        <is>
          <t>节段5~节段6</t>
        </is>
      </c>
      <c r="D308" s="43" t="inlineStr">
        <is>
          <t>Q355D</t>
        </is>
      </c>
      <c r="E308" s="43" t="n">
        <v>500</v>
      </c>
      <c r="F308" s="43" t="n">
        <v>1700</v>
      </c>
      <c r="G308" s="43" t="n">
        <v>16</v>
      </c>
      <c r="H308" s="79">
        <f>(E308/1000)*(F308/1000)*(G308/1000)*7850</f>
        <v/>
      </c>
      <c r="I308" s="43" t="n">
        <v>2</v>
      </c>
      <c r="J308" s="80">
        <f>H308*I308</f>
        <v/>
      </c>
      <c r="K308" s="43" t="inlineStr">
        <is>
          <t>来源页68</t>
        </is>
      </c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</row>
    <row r="309" hidden="1" ht="20" customFormat="1" customHeight="1" s="30">
      <c r="A309" s="76" t="n"/>
      <c r="B309" s="76" t="n"/>
      <c r="C309" s="43" t="inlineStr">
        <is>
          <t>节段5~节段6</t>
        </is>
      </c>
      <c r="D309" s="43" t="inlineStr">
        <is>
          <t>10.9S</t>
        </is>
      </c>
      <c r="E309" s="43" t="n"/>
      <c r="F309" s="43" t="n"/>
      <c r="G309" s="43" t="n"/>
      <c r="H309" s="79">
        <f>(E309/1000)*(F309/1000)*(G309/1000)*7850</f>
        <v/>
      </c>
      <c r="I309" s="43" t="n">
        <v>388</v>
      </c>
      <c r="J309" s="80">
        <f>H309*I309</f>
        <v/>
      </c>
      <c r="K309" s="43" t="inlineStr">
        <is>
          <t>来源页68</t>
        </is>
      </c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</row>
    <row r="310" hidden="1" ht="20" customFormat="1" customHeight="1" s="30">
      <c r="A310" s="76" t="n"/>
      <c r="B310" s="76" t="n"/>
      <c r="C310" s="43" t="inlineStr">
        <is>
          <t>节段5~节段6</t>
        </is>
      </c>
      <c r="D310" s="43" t="inlineStr">
        <is>
          <t>Q355D</t>
        </is>
      </c>
      <c r="E310" s="43" t="n">
        <v>1520</v>
      </c>
      <c r="F310" s="43" t="n">
        <v>1100</v>
      </c>
      <c r="G310" s="43" t="n">
        <v>24</v>
      </c>
      <c r="H310" s="79">
        <f>(E310/1000)*(F310/1000)*(G310/1000)*7850</f>
        <v/>
      </c>
      <c r="I310" s="43" t="n">
        <v>2</v>
      </c>
      <c r="J310" s="80">
        <f>H310*I310</f>
        <v/>
      </c>
      <c r="K310" s="43" t="inlineStr">
        <is>
          <t>来源页68</t>
        </is>
      </c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</row>
    <row r="311" ht="20" customFormat="1" customHeight="1" s="30">
      <c r="A311" s="76" t="n"/>
      <c r="B311" s="76" t="n"/>
      <c r="C311" s="43" t="inlineStr">
        <is>
          <t>节段5~节段6</t>
        </is>
      </c>
      <c r="D311" s="43" t="inlineStr">
        <is>
          <t>Q355D</t>
        </is>
      </c>
      <c r="E311" s="43" t="n">
        <v>1520</v>
      </c>
      <c r="F311" s="43" t="n">
        <v>500</v>
      </c>
      <c r="G311" s="43" t="n">
        <v>24</v>
      </c>
      <c r="H311" s="79">
        <f>(E311/1000)*(F311/1000)*(G311/1000)*7850</f>
        <v/>
      </c>
      <c r="I311" s="43" t="n">
        <v>4</v>
      </c>
      <c r="J311" s="80">
        <f>H311*I311</f>
        <v/>
      </c>
      <c r="K311" s="43" t="inlineStr">
        <is>
          <t>来源页68</t>
        </is>
      </c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</row>
    <row r="312" ht="20" customFormat="1" customHeight="1" s="30">
      <c r="A312" s="76" t="n"/>
      <c r="B312" s="74" t="n"/>
      <c r="C312" s="43" t="inlineStr">
        <is>
          <t>节段5~节段6</t>
        </is>
      </c>
      <c r="D312" s="43" t="inlineStr">
        <is>
          <t>Q355D</t>
        </is>
      </c>
      <c r="E312" s="43" t="n">
        <v>1320</v>
      </c>
      <c r="F312" s="43" t="n">
        <v>1100</v>
      </c>
      <c r="G312" s="43" t="n">
        <v>28</v>
      </c>
      <c r="H312" s="79">
        <f>(E312/1000)*(F312/1000)*(G312/1000)*7850</f>
        <v/>
      </c>
      <c r="I312" s="43" t="n">
        <v>1</v>
      </c>
      <c r="J312" s="80">
        <f>H312*I312</f>
        <v/>
      </c>
      <c r="K312" s="43" t="inlineStr">
        <is>
          <t>来源页68</t>
        </is>
      </c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</row>
    <row r="313" hidden="1" ht="20" customFormat="1" customHeight="1" s="30">
      <c r="A313" s="76" t="n"/>
      <c r="B313" s="43" t="inlineStr"/>
      <c r="C313" s="43" t="inlineStr">
        <is>
          <t>节段5~节段6</t>
        </is>
      </c>
      <c r="D313" s="43" t="inlineStr">
        <is>
          <t>Q355D</t>
        </is>
      </c>
      <c r="E313" s="43" t="n">
        <v>1320</v>
      </c>
      <c r="F313" s="43" t="n">
        <v>500</v>
      </c>
      <c r="G313" s="43" t="n">
        <v>28</v>
      </c>
      <c r="H313" s="79">
        <f>(E313/1000)*(F313/1000)*(G313/1000)*7850</f>
        <v/>
      </c>
      <c r="I313" s="43" t="n">
        <v>2</v>
      </c>
      <c r="J313" s="80">
        <f>H313*I313</f>
        <v/>
      </c>
      <c r="K313" s="43" t="inlineStr">
        <is>
          <t>来源页68</t>
        </is>
      </c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</row>
    <row r="314" hidden="1" ht="20" customFormat="1" customHeight="1" s="30">
      <c r="A314" s="76" t="n"/>
      <c r="B314" s="76" t="n"/>
      <c r="C314" s="43" t="inlineStr">
        <is>
          <t>节段5~节段6</t>
        </is>
      </c>
      <c r="D314" s="43" t="inlineStr">
        <is>
          <t>Q355D</t>
        </is>
      </c>
      <c r="E314" s="43" t="n">
        <v>1520</v>
      </c>
      <c r="F314" s="43" t="n">
        <v>1100</v>
      </c>
      <c r="G314" s="43" t="n">
        <v>44</v>
      </c>
      <c r="H314" s="79">
        <f>(E314/1000)*(F314/1000)*(G314/1000)*7850</f>
        <v/>
      </c>
      <c r="I314" s="43" t="n">
        <v>1</v>
      </c>
      <c r="J314" s="80">
        <f>H314*I314</f>
        <v/>
      </c>
      <c r="K314" s="43" t="inlineStr">
        <is>
          <t>来源页68</t>
        </is>
      </c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</row>
    <row r="315" ht="20" customFormat="1" customHeight="1" s="30">
      <c r="A315" s="76" t="n"/>
      <c r="B315" s="76" t="n"/>
      <c r="C315" s="43" t="inlineStr">
        <is>
          <t>节段5~节段6</t>
        </is>
      </c>
      <c r="D315" s="43" t="inlineStr">
        <is>
          <t>Q355D</t>
        </is>
      </c>
      <c r="E315" s="43" t="n">
        <v>1520</v>
      </c>
      <c r="F315" s="43" t="n">
        <v>240</v>
      </c>
      <c r="G315" s="43" t="n">
        <v>44</v>
      </c>
      <c r="H315" s="79">
        <f>(E315/1000)*(F315/1000)*(G315/1000)*7850</f>
        <v/>
      </c>
      <c r="I315" s="43" t="n">
        <v>2</v>
      </c>
      <c r="J315" s="80">
        <f>H315*I315</f>
        <v/>
      </c>
      <c r="K315" s="43" t="inlineStr">
        <is>
          <t>来源页68</t>
        </is>
      </c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</row>
    <row r="316" hidden="1" ht="20" customFormat="1" customHeight="1" s="30">
      <c r="A316" s="76" t="n"/>
      <c r="B316" s="74" t="n"/>
      <c r="C316" s="43" t="inlineStr">
        <is>
          <t>节段5~节段6</t>
        </is>
      </c>
      <c r="D316" s="43" t="inlineStr">
        <is>
          <t>Q355D</t>
        </is>
      </c>
      <c r="E316" s="43" t="n">
        <v>1220</v>
      </c>
      <c r="F316" s="43" t="n">
        <v>240</v>
      </c>
      <c r="G316" s="43" t="n">
        <v>24</v>
      </c>
      <c r="H316" s="79">
        <f>(E316/1000)*(F316/1000)*(G316/1000)*7850</f>
        <v/>
      </c>
      <c r="I316" s="43" t="n">
        <v>4</v>
      </c>
      <c r="J316" s="80">
        <f>H316*I316</f>
        <v/>
      </c>
      <c r="K316" s="43" t="inlineStr">
        <is>
          <t>来源页68</t>
        </is>
      </c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</row>
    <row r="317" hidden="1" ht="20" customFormat="1" customHeight="1" s="30">
      <c r="A317" s="76" t="n"/>
      <c r="B317" s="43" t="inlineStr"/>
      <c r="C317" s="43" t="inlineStr">
        <is>
          <t>节段5~节段6</t>
        </is>
      </c>
      <c r="D317" s="43" t="inlineStr">
        <is>
          <t>Q355D</t>
        </is>
      </c>
      <c r="E317" s="44" t="n">
        <v>1320</v>
      </c>
      <c r="F317" s="43" t="n">
        <v>240</v>
      </c>
      <c r="G317" s="43" t="n">
        <v>24</v>
      </c>
      <c r="H317" s="79">
        <f>(E317/1000)*(F317/1000)*(G317/1000)*7850</f>
        <v/>
      </c>
      <c r="I317" s="43" t="n">
        <v>2</v>
      </c>
      <c r="J317" s="80">
        <f>H317*I317</f>
        <v/>
      </c>
      <c r="K317" s="6" t="inlineStr">
        <is>
          <t>来源页68</t>
        </is>
      </c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</row>
    <row r="318" hidden="1" ht="20" customFormat="1" customHeight="1" s="30">
      <c r="A318" s="76" t="n"/>
      <c r="B318" s="76" t="n"/>
      <c r="C318" s="43" t="inlineStr">
        <is>
          <t>节段06</t>
        </is>
      </c>
      <c r="D318" s="43" t="inlineStr">
        <is>
          <t>Q420D</t>
        </is>
      </c>
      <c r="E318" s="44" t="n"/>
      <c r="F318" s="43" t="n"/>
      <c r="G318" s="43" t="n">
        <v>40</v>
      </c>
      <c r="H318" s="79">
        <f>(E318/1000)*(F318/1000)*(G318/1000)*7850</f>
        <v/>
      </c>
      <c r="I318" s="43" t="n">
        <v>1</v>
      </c>
      <c r="J318" s="80">
        <f>H318*I318</f>
        <v/>
      </c>
      <c r="K318" s="6" t="inlineStr">
        <is>
          <t>来源页69</t>
        </is>
      </c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</row>
    <row r="319" hidden="1" ht="20" customFormat="1" customHeight="1" s="30">
      <c r="A319" s="76" t="n"/>
      <c r="B319" s="74" t="n"/>
      <c r="C319" s="43" t="inlineStr">
        <is>
          <t>节段06</t>
        </is>
      </c>
      <c r="D319" s="43" t="inlineStr">
        <is>
          <t>Q420D</t>
        </is>
      </c>
      <c r="E319" s="44" t="n"/>
      <c r="F319" s="43" t="n"/>
      <c r="G319" s="43" t="n">
        <v>40</v>
      </c>
      <c r="H319" s="79">
        <f>(E319/1000)*(F319/1000)*(G319/1000)*7850</f>
        <v/>
      </c>
      <c r="I319" s="43" t="n">
        <v>1</v>
      </c>
      <c r="J319" s="80">
        <f>H319*I319</f>
        <v/>
      </c>
      <c r="K319" s="6" t="inlineStr">
        <is>
          <t>来源页69</t>
        </is>
      </c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</row>
    <row r="320" hidden="1" ht="20" customFormat="1" customHeight="1" s="30">
      <c r="A320" s="76" t="n"/>
      <c r="B320" s="43" t="inlineStr"/>
      <c r="C320" s="43" t="inlineStr">
        <is>
          <t>节段06</t>
        </is>
      </c>
      <c r="D320" s="43" t="inlineStr">
        <is>
          <t>Q420D</t>
        </is>
      </c>
      <c r="E320" s="43" t="n">
        <v>7901</v>
      </c>
      <c r="F320" s="43" t="n">
        <v>1200</v>
      </c>
      <c r="G320" s="43" t="n">
        <v>40</v>
      </c>
      <c r="H320" s="79">
        <f>(E320/1000)*(F320/1000)*(G320/1000)*7850</f>
        <v/>
      </c>
      <c r="I320" s="43" t="n">
        <v>1</v>
      </c>
      <c r="J320" s="80">
        <f>H320*I320</f>
        <v/>
      </c>
      <c r="K320" s="43" t="inlineStr">
        <is>
          <t>来源页69</t>
        </is>
      </c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</row>
    <row r="321" hidden="1" ht="20" customFormat="1" customHeight="1" s="30">
      <c r="A321" s="76" t="n"/>
      <c r="B321" s="76" t="n"/>
      <c r="C321" s="43" t="inlineStr">
        <is>
          <t>节段06</t>
        </is>
      </c>
      <c r="D321" s="43" t="inlineStr">
        <is>
          <t>Q420D</t>
        </is>
      </c>
      <c r="E321" s="43" t="n">
        <v>7101</v>
      </c>
      <c r="F321" s="43" t="n">
        <v>1200</v>
      </c>
      <c r="G321" s="43" t="n">
        <v>40</v>
      </c>
      <c r="H321" s="79">
        <f>(E321/1000)*(F321/1000)*(G321/1000)*7850</f>
        <v/>
      </c>
      <c r="I321" s="43" t="n">
        <v>1</v>
      </c>
      <c r="J321" s="80">
        <f>H321*I321</f>
        <v/>
      </c>
      <c r="K321" s="43" t="inlineStr">
        <is>
          <t>来源页69</t>
        </is>
      </c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</row>
    <row r="322" hidden="1" ht="20" customFormat="1" customHeight="1" s="30">
      <c r="A322" s="76" t="n"/>
      <c r="B322" s="76" t="n"/>
      <c r="C322" s="43" t="inlineStr">
        <is>
          <t>节段06</t>
        </is>
      </c>
      <c r="D322" s="43" t="inlineStr">
        <is>
          <t>Q420D</t>
        </is>
      </c>
      <c r="E322" s="43" t="n"/>
      <c r="F322" s="43" t="n"/>
      <c r="G322" s="43" t="n">
        <v>48</v>
      </c>
      <c r="H322" s="79">
        <f>(E322/1000)*(F322/1000)*(G322/1000)*7850</f>
        <v/>
      </c>
      <c r="I322" s="43" t="n">
        <v>2</v>
      </c>
      <c r="J322" s="80">
        <f>H322*I322</f>
        <v/>
      </c>
      <c r="K322" s="43" t="inlineStr">
        <is>
          <t>来源页69</t>
        </is>
      </c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</row>
    <row r="323" ht="20" customFormat="1" customHeight="1" s="30">
      <c r="A323" s="76" t="n"/>
      <c r="B323" s="74" t="n"/>
      <c r="C323" s="43" t="inlineStr">
        <is>
          <t>节段06</t>
        </is>
      </c>
      <c r="D323" s="43" t="inlineStr">
        <is>
          <t>Q420D</t>
        </is>
      </c>
      <c r="E323" s="43" t="n">
        <v>7301</v>
      </c>
      <c r="F323" s="43" t="n">
        <v>2048</v>
      </c>
      <c r="G323" s="43" t="n">
        <v>48</v>
      </c>
      <c r="H323" s="79">
        <f>(E323/1000)*(F323/1000)*(G323/1000)*7850</f>
        <v/>
      </c>
      <c r="I323" s="43" t="n">
        <v>2</v>
      </c>
      <c r="J323" s="80">
        <f>H323*I323</f>
        <v/>
      </c>
      <c r="K323" s="43" t="inlineStr">
        <is>
          <t>来源页69</t>
        </is>
      </c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</row>
    <row r="324" hidden="1" ht="20" customFormat="1" customHeight="1" s="30">
      <c r="A324" s="74" t="n"/>
      <c r="B324" s="43" t="inlineStr">
        <is>
          <t>小计</t>
        </is>
      </c>
      <c r="C324" s="73" t="n"/>
      <c r="D324" s="43" t="n"/>
      <c r="E324" s="43" t="n"/>
      <c r="F324" s="43" t="n"/>
      <c r="G324" s="43" t="n"/>
      <c r="H324" s="79" t="n"/>
      <c r="I324" s="43" t="n"/>
      <c r="J324" s="80">
        <f>SUM(J299:J323)</f>
        <v/>
      </c>
      <c r="K324" s="43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</row>
    <row r="325" ht="20" customFormat="1" customHeight="1" s="30">
      <c r="A325" s="43" t="inlineStr">
        <is>
          <t>N15</t>
        </is>
      </c>
      <c r="B325" s="43" t="inlineStr"/>
      <c r="C325" s="43" t="inlineStr">
        <is>
          <t>节段06</t>
        </is>
      </c>
      <c r="D325" s="43" t="inlineStr">
        <is>
          <t>Q420D</t>
        </is>
      </c>
      <c r="E325" s="43" t="n">
        <v>1960</v>
      </c>
      <c r="F325" s="43" t="n">
        <v>1200</v>
      </c>
      <c r="G325" s="43" t="n">
        <v>16</v>
      </c>
      <c r="H325" s="79">
        <f>(E325/1000)*(F325/1000)*(G325/1000)*7850</f>
        <v/>
      </c>
      <c r="I325" s="43" t="n">
        <v>3</v>
      </c>
      <c r="J325" s="80">
        <f>H325*I325</f>
        <v/>
      </c>
      <c r="K325" s="43" t="inlineStr">
        <is>
          <t>来源页69</t>
        </is>
      </c>
      <c r="L325" s="43">
        <f>A325</f>
        <v/>
      </c>
      <c r="M325" s="81">
        <f>SUMIF(G325:G349,$M$3,J325:J349)</f>
        <v/>
      </c>
      <c r="N325" s="81">
        <f>SUMIF(G325:G349,$N$3,J325:J349)</f>
        <v/>
      </c>
      <c r="O325" s="81">
        <f>SUMIF(G325:G349,$O$3,J325:J349)</f>
        <v/>
      </c>
      <c r="P325" s="81">
        <f>SUMIF(G325:G349,$P$3,J325:J349)</f>
        <v/>
      </c>
      <c r="Q325" s="81">
        <f>SUMIF(G325:G349,$Q$3,J325:J349)</f>
        <v/>
      </c>
      <c r="R325" s="81">
        <f>SUMIF(G325:G349,$R$3,J325:J349)</f>
        <v/>
      </c>
      <c r="S325" s="81">
        <f>SUMIF(G325:G349,$S$3,J325:J349)</f>
        <v/>
      </c>
      <c r="T325" s="81">
        <f>SUM(M325:S350)</f>
        <v/>
      </c>
      <c r="U325" s="81" t="n">
        <v>142628.9</v>
      </c>
      <c r="V325" s="81">
        <f>T325-U325</f>
        <v/>
      </c>
      <c r="W325" s="43" t="n"/>
    </row>
    <row r="326" ht="20" customFormat="1" customHeight="1" s="30">
      <c r="A326" s="76" t="n"/>
      <c r="B326" s="76" t="n"/>
      <c r="C326" s="43" t="inlineStr">
        <is>
          <t>节段06</t>
        </is>
      </c>
      <c r="D326" s="43" t="inlineStr">
        <is>
          <t>Q420D</t>
        </is>
      </c>
      <c r="E326" s="43" t="n">
        <v>1960</v>
      </c>
      <c r="F326" s="43" t="n">
        <v>1200</v>
      </c>
      <c r="G326" s="43" t="n">
        <v>16</v>
      </c>
      <c r="H326" s="79">
        <f>(E326/1000)*(F326/1000)*(G326/1000)*7850</f>
        <v/>
      </c>
      <c r="I326" s="43" t="n">
        <v>2</v>
      </c>
      <c r="J326" s="80">
        <f>H326*I326</f>
        <v/>
      </c>
      <c r="K326" s="43" t="inlineStr">
        <is>
          <t>来源页69</t>
        </is>
      </c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</row>
    <row r="327" hidden="1" ht="20" customFormat="1" customHeight="1" s="30">
      <c r="A327" s="76" t="n"/>
      <c r="B327" s="76" t="n"/>
      <c r="C327" s="43" t="inlineStr">
        <is>
          <t>节段06</t>
        </is>
      </c>
      <c r="D327" s="43" t="inlineStr">
        <is>
          <t>Q420D</t>
        </is>
      </c>
      <c r="E327" s="43" t="n">
        <v>2057</v>
      </c>
      <c r="F327" s="43" t="n">
        <v>200</v>
      </c>
      <c r="G327" s="43" t="n">
        <v>16</v>
      </c>
      <c r="H327" s="79">
        <f>(E327/1000)*(F327/1000)*(G327/1000)*7850</f>
        <v/>
      </c>
      <c r="I327" s="43" t="n">
        <v>3</v>
      </c>
      <c r="J327" s="80">
        <f>H327*I327</f>
        <v/>
      </c>
      <c r="K327" s="43" t="inlineStr">
        <is>
          <t>来源页69</t>
        </is>
      </c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</row>
    <row r="328" hidden="1" ht="20" customFormat="1" customHeight="1" s="30">
      <c r="A328" s="76" t="n"/>
      <c r="B328" s="76" t="n"/>
      <c r="C328" s="43" t="inlineStr">
        <is>
          <t>节段06</t>
        </is>
      </c>
      <c r="D328" s="43" t="inlineStr">
        <is>
          <t>Q355B</t>
        </is>
      </c>
      <c r="E328" s="43" t="n">
        <v>2057</v>
      </c>
      <c r="F328" s="43" t="n">
        <v>40</v>
      </c>
      <c r="G328" s="43" t="n">
        <v>4</v>
      </c>
      <c r="H328" s="79">
        <f>(E328/1000)*(F328/1000)*(G328/1000)*7850</f>
        <v/>
      </c>
      <c r="I328" s="43" t="n">
        <v>4</v>
      </c>
      <c r="J328" s="80">
        <f>H328*I328</f>
        <v/>
      </c>
      <c r="K328" s="43" t="inlineStr">
        <is>
          <t>来源页69</t>
        </is>
      </c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</row>
    <row r="329" hidden="1" ht="20" customFormat="1" customHeight="1" s="30">
      <c r="A329" s="76" t="n"/>
      <c r="B329" s="76" t="n"/>
      <c r="C329" s="43" t="inlineStr">
        <is>
          <t>节段06</t>
        </is>
      </c>
      <c r="D329" s="43" t="inlineStr">
        <is>
          <t>Q420D</t>
        </is>
      </c>
      <c r="E329" s="43" t="n">
        <v>800</v>
      </c>
      <c r="F329" s="43" t="n">
        <v>400</v>
      </c>
      <c r="G329" s="43" t="n">
        <v>16</v>
      </c>
      <c r="H329" s="79">
        <f>(E329/1000)*(F329/1000)*(G329/1000)*7850</f>
        <v/>
      </c>
      <c r="I329" s="43" t="n">
        <v>4</v>
      </c>
      <c r="J329" s="80">
        <f>H329*I329</f>
        <v/>
      </c>
      <c r="K329" s="43" t="inlineStr">
        <is>
          <t>来源页69</t>
        </is>
      </c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</row>
    <row r="330" hidden="1" ht="20" customFormat="1" customHeight="1" s="30">
      <c r="A330" s="76" t="n"/>
      <c r="B330" s="74" t="n"/>
      <c r="C330" s="43" t="inlineStr">
        <is>
          <t>节段06</t>
        </is>
      </c>
      <c r="D330" s="43" t="inlineStr">
        <is>
          <t>Q420D</t>
        </is>
      </c>
      <c r="E330" s="43" t="n">
        <v>7901</v>
      </c>
      <c r="F330" s="43" t="n">
        <v>320</v>
      </c>
      <c r="G330" s="43" t="n">
        <v>32</v>
      </c>
      <c r="H330" s="79">
        <f>(E330/1000)*(F330/1000)*(G330/1000)*7850</f>
        <v/>
      </c>
      <c r="I330" s="43" t="n">
        <v>6</v>
      </c>
      <c r="J330" s="80">
        <f>H330*I330</f>
        <v/>
      </c>
      <c r="K330" s="43" t="inlineStr">
        <is>
          <t>来源页69</t>
        </is>
      </c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</row>
    <row r="331" hidden="1" ht="20" customFormat="1" customHeight="1" s="30">
      <c r="A331" s="76" t="n"/>
      <c r="B331" s="43" t="inlineStr"/>
      <c r="C331" s="43" t="inlineStr">
        <is>
          <t>节段06</t>
        </is>
      </c>
      <c r="D331" s="43" t="inlineStr">
        <is>
          <t>Q420D</t>
        </is>
      </c>
      <c r="E331" s="43" t="n">
        <v>7903</v>
      </c>
      <c r="F331" s="43" t="n">
        <v>2500</v>
      </c>
      <c r="G331" s="43" t="n">
        <v>32</v>
      </c>
      <c r="H331" s="79">
        <f>(E331/1000)*(F331/1000)*(G331/1000)*7850</f>
        <v/>
      </c>
      <c r="I331" s="43" t="n">
        <v>1</v>
      </c>
      <c r="J331" s="80">
        <f>H331*I331</f>
        <v/>
      </c>
      <c r="K331" s="43" t="inlineStr">
        <is>
          <t>来源页69</t>
        </is>
      </c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</row>
    <row r="332" hidden="1" ht="20" customFormat="1" customHeight="1" s="30">
      <c r="A332" s="76" t="n"/>
      <c r="B332" s="76" t="n"/>
      <c r="C332" s="43" t="inlineStr">
        <is>
          <t>节段06</t>
        </is>
      </c>
      <c r="D332" s="43" t="inlineStr">
        <is>
          <t>Q420D</t>
        </is>
      </c>
      <c r="E332" s="43" t="n">
        <v>7102</v>
      </c>
      <c r="F332" s="43" t="n">
        <v>2500</v>
      </c>
      <c r="G332" s="43" t="n">
        <v>32</v>
      </c>
      <c r="H332" s="79">
        <f>(E332/1000)*(F332/1000)*(G332/1000)*7850</f>
        <v/>
      </c>
      <c r="I332" s="43" t="n">
        <v>1</v>
      </c>
      <c r="J332" s="80">
        <f>H332*I332</f>
        <v/>
      </c>
      <c r="K332" s="43" t="inlineStr">
        <is>
          <t>来源页69</t>
        </is>
      </c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</row>
    <row r="333" hidden="1" ht="20" customFormat="1" customHeight="1" s="30">
      <c r="A333" s="76" t="n"/>
      <c r="B333" s="76" t="n"/>
      <c r="C333" s="43" t="inlineStr">
        <is>
          <t>节段06</t>
        </is>
      </c>
      <c r="D333" s="43" t="inlineStr">
        <is>
          <t>Q420D</t>
        </is>
      </c>
      <c r="E333" s="43" t="n"/>
      <c r="F333" s="43" t="n"/>
      <c r="G333" s="43" t="n">
        <v>32</v>
      </c>
      <c r="H333" s="79">
        <f>(E333/1000)*(F333/1000)*(G333/1000)*7850</f>
        <v/>
      </c>
      <c r="I333" s="43" t="n">
        <v>1</v>
      </c>
      <c r="J333" s="80">
        <f>H333*I333</f>
        <v/>
      </c>
      <c r="K333" s="43" t="inlineStr">
        <is>
          <t>来源页69</t>
        </is>
      </c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</row>
    <row r="334" hidden="1" ht="20" customFormat="1" customHeight="1" s="30">
      <c r="A334" s="76" t="n"/>
      <c r="B334" s="76" t="n"/>
      <c r="C334" s="43" t="inlineStr">
        <is>
          <t>节段06</t>
        </is>
      </c>
      <c r="D334" s="43" t="inlineStr">
        <is>
          <t>Q420D</t>
        </is>
      </c>
      <c r="E334" s="43" t="n"/>
      <c r="F334" s="43" t="n"/>
      <c r="G334" s="43" t="n">
        <v>32</v>
      </c>
      <c r="H334" s="79">
        <f>(E334/1000)*(F334/1000)*(G334/1000)*7850</f>
        <v/>
      </c>
      <c r="I334" s="43" t="n">
        <v>1</v>
      </c>
      <c r="J334" s="80">
        <f>H334*I334</f>
        <v/>
      </c>
      <c r="K334" s="43" t="inlineStr">
        <is>
          <t>来源页69</t>
        </is>
      </c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</row>
    <row r="335" hidden="1" ht="20" customFormat="1" customHeight="1" s="30">
      <c r="A335" s="76" t="n"/>
      <c r="B335" s="76" t="n"/>
      <c r="C335" s="43" t="inlineStr">
        <is>
          <t>节段06</t>
        </is>
      </c>
      <c r="D335" s="43" t="inlineStr">
        <is>
          <t>Q420D</t>
        </is>
      </c>
      <c r="E335" s="43" t="n"/>
      <c r="F335" s="43" t="n"/>
      <c r="G335" s="43" t="n">
        <v>48</v>
      </c>
      <c r="H335" s="79">
        <f>(E335/1000)*(F335/1000)*(G335/1000)*7850</f>
        <v/>
      </c>
      <c r="I335" s="43" t="n">
        <v>2</v>
      </c>
      <c r="J335" s="80">
        <f>H335*I335</f>
        <v/>
      </c>
      <c r="K335" s="43" t="inlineStr">
        <is>
          <t>Z35钢；来源页69</t>
        </is>
      </c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</row>
    <row r="336" hidden="1" ht="20" customFormat="1" customHeight="1" s="30">
      <c r="A336" s="76" t="n"/>
      <c r="B336" s="76" t="n"/>
      <c r="C336" s="43" t="inlineStr">
        <is>
          <t>节段06</t>
        </is>
      </c>
      <c r="D336" s="43" t="inlineStr">
        <is>
          <t>Q420D</t>
        </is>
      </c>
      <c r="E336" s="43" t="n">
        <v>7302</v>
      </c>
      <c r="F336" s="43" t="n">
        <v>1880</v>
      </c>
      <c r="G336" s="43" t="n">
        <v>44</v>
      </c>
      <c r="H336" s="79">
        <f>(E336/1000)*(F336/1000)*(G336/1000)*7850</f>
        <v/>
      </c>
      <c r="I336" s="43" t="n">
        <v>2</v>
      </c>
      <c r="J336" s="80">
        <f>H336*I336</f>
        <v/>
      </c>
      <c r="K336" s="43" t="inlineStr">
        <is>
          <t>来源页69</t>
        </is>
      </c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</row>
    <row r="337" ht="20" customFormat="1" customHeight="1" s="30">
      <c r="A337" s="76" t="n"/>
      <c r="B337" s="76" t="n"/>
      <c r="C337" s="43" t="inlineStr">
        <is>
          <t>节段06</t>
        </is>
      </c>
      <c r="D337" s="43" t="inlineStr">
        <is>
          <t>Q420D</t>
        </is>
      </c>
      <c r="E337" s="43" t="n">
        <v>1800</v>
      </c>
      <c r="F337" s="43" t="n">
        <v>1200</v>
      </c>
      <c r="G337" s="43" t="n">
        <v>16</v>
      </c>
      <c r="H337" s="79">
        <f>(E337/1000)*(F337/1000)*(G337/1000)*7850</f>
        <v/>
      </c>
      <c r="I337" s="43" t="n">
        <v>3</v>
      </c>
      <c r="J337" s="80">
        <f>H337*I337</f>
        <v/>
      </c>
      <c r="K337" s="43" t="inlineStr">
        <is>
          <t>来源页69</t>
        </is>
      </c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</row>
    <row r="338" ht="20" customFormat="1" customHeight="1" s="30">
      <c r="A338" s="76" t="n"/>
      <c r="B338" s="74" t="n"/>
      <c r="C338" s="43" t="inlineStr">
        <is>
          <t>节段06</t>
        </is>
      </c>
      <c r="D338" s="43" t="inlineStr">
        <is>
          <t>Q420D</t>
        </is>
      </c>
      <c r="E338" s="43" t="n">
        <v>1800</v>
      </c>
      <c r="F338" s="43" t="n">
        <v>1200</v>
      </c>
      <c r="G338" s="43" t="n">
        <v>16</v>
      </c>
      <c r="H338" s="79">
        <f>(E338/1000)*(F338/1000)*(G338/1000)*7850</f>
        <v/>
      </c>
      <c r="I338" s="43" t="n">
        <v>2</v>
      </c>
      <c r="J338" s="80">
        <f>H338*I338</f>
        <v/>
      </c>
      <c r="K338" s="43" t="inlineStr">
        <is>
          <t>来源页69</t>
        </is>
      </c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</row>
    <row r="339" hidden="1" ht="20" customFormat="1" customHeight="1" s="30">
      <c r="A339" s="76" t="n"/>
      <c r="B339" s="43" t="inlineStr"/>
      <c r="C339" s="43" t="inlineStr">
        <is>
          <t>节段06</t>
        </is>
      </c>
      <c r="D339" s="43" t="inlineStr">
        <is>
          <t>Q420D</t>
        </is>
      </c>
      <c r="E339" s="43" t="n">
        <v>2057</v>
      </c>
      <c r="F339" s="43" t="n">
        <v>200</v>
      </c>
      <c r="G339" s="43" t="n">
        <v>16</v>
      </c>
      <c r="H339" s="79">
        <f>(E339/1000)*(F339/1000)*(G339/1000)*7850</f>
        <v/>
      </c>
      <c r="I339" s="43" t="n">
        <v>3</v>
      </c>
      <c r="J339" s="80">
        <f>H339*I339</f>
        <v/>
      </c>
      <c r="K339" s="43" t="inlineStr">
        <is>
          <t>来源页69</t>
        </is>
      </c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</row>
    <row r="340" hidden="1" ht="20" customFormat="1" customHeight="1" s="30">
      <c r="A340" s="76" t="n"/>
      <c r="B340" s="76" t="n"/>
      <c r="C340" s="43" t="inlineStr">
        <is>
          <t>节段06</t>
        </is>
      </c>
      <c r="D340" s="43" t="inlineStr">
        <is>
          <t>Q420D</t>
        </is>
      </c>
      <c r="E340" s="43" t="n">
        <v>7903</v>
      </c>
      <c r="F340" s="43" t="n">
        <v>320</v>
      </c>
      <c r="G340" s="43" t="n">
        <v>32</v>
      </c>
      <c r="H340" s="79">
        <f>(E340/1000)*(F340/1000)*(G340/1000)*7850</f>
        <v/>
      </c>
      <c r="I340" s="43" t="n">
        <v>4</v>
      </c>
      <c r="J340" s="80">
        <f>H340*I340</f>
        <v/>
      </c>
      <c r="K340" s="43" t="inlineStr">
        <is>
          <t>来源页69</t>
        </is>
      </c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</row>
    <row r="341" ht="20" customFormat="1" customHeight="1" s="30">
      <c r="A341" s="76" t="n"/>
      <c r="B341" s="76" t="n"/>
      <c r="C341" s="43" t="inlineStr">
        <is>
          <t>节段06</t>
        </is>
      </c>
      <c r="D341" s="43" t="inlineStr">
        <is>
          <t>Q420D</t>
        </is>
      </c>
      <c r="E341" s="43" t="n">
        <v>7102</v>
      </c>
      <c r="F341" s="43" t="n">
        <v>320</v>
      </c>
      <c r="G341" s="43" t="n">
        <v>32</v>
      </c>
      <c r="H341" s="79">
        <f>(E341/1000)*(F341/1000)*(G341/1000)*7850</f>
        <v/>
      </c>
      <c r="I341" s="43" t="n">
        <v>4</v>
      </c>
      <c r="J341" s="80">
        <f>H341*I341</f>
        <v/>
      </c>
      <c r="K341" s="43" t="inlineStr">
        <is>
          <t>来源页69</t>
        </is>
      </c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</row>
    <row r="342" hidden="1" ht="20" customFormat="1" customHeight="1" s="30">
      <c r="A342" s="76" t="n"/>
      <c r="B342" s="74" t="n"/>
      <c r="C342" s="43" t="inlineStr">
        <is>
          <t>节段06</t>
        </is>
      </c>
      <c r="D342" s="43" t="inlineStr">
        <is>
          <t>Q420D</t>
        </is>
      </c>
      <c r="E342" s="43" t="n">
        <v>15005</v>
      </c>
      <c r="F342" s="43" t="n">
        <v>170</v>
      </c>
      <c r="G342" s="43" t="n">
        <v>14</v>
      </c>
      <c r="H342" s="79">
        <f>(E342/1000)*(F342/1000)*(G342/1000)*7850</f>
        <v/>
      </c>
      <c r="I342" s="43" t="n">
        <v>2</v>
      </c>
      <c r="J342" s="80">
        <f>H342*I342</f>
        <v/>
      </c>
      <c r="K342" s="43" t="inlineStr">
        <is>
          <t>来源页69</t>
        </is>
      </c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</row>
    <row r="343" hidden="1" ht="20" customFormat="1" customHeight="1" s="30">
      <c r="A343" s="76" t="n"/>
      <c r="B343" s="43" t="inlineStr"/>
      <c r="C343" s="43" t="inlineStr">
        <is>
          <t>节段06</t>
        </is>
      </c>
      <c r="D343" s="43" t="inlineStr">
        <is>
          <t>Q355D</t>
        </is>
      </c>
      <c r="E343" s="44" t="n">
        <v>12189</v>
      </c>
      <c r="F343" s="43" t="n">
        <v>1200</v>
      </c>
      <c r="G343" s="43" t="n">
        <v>36</v>
      </c>
      <c r="H343" s="79">
        <f>(E343/1000)*(F343/1000)*(G343/1000)*7850</f>
        <v/>
      </c>
      <c r="I343" s="43" t="n">
        <v>1</v>
      </c>
      <c r="J343" s="80">
        <f>H343*I343</f>
        <v/>
      </c>
      <c r="K343" s="6" t="inlineStr">
        <is>
          <t>来源页69</t>
        </is>
      </c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</row>
    <row r="344" hidden="1" ht="20" customFormat="1" customHeight="1" s="30">
      <c r="A344" s="76" t="n"/>
      <c r="B344" s="76" t="n"/>
      <c r="C344" s="43" t="inlineStr">
        <is>
          <t>节段06</t>
        </is>
      </c>
      <c r="D344" s="43" t="inlineStr">
        <is>
          <t>Q355D</t>
        </is>
      </c>
      <c r="E344" s="44" t="n">
        <v>12189</v>
      </c>
      <c r="F344" s="43" t="n">
        <v>1200</v>
      </c>
      <c r="G344" s="43" t="n">
        <v>36</v>
      </c>
      <c r="H344" s="79">
        <f>(E344/1000)*(F344/1000)*(G344/1000)*7850</f>
        <v/>
      </c>
      <c r="I344" s="43" t="n">
        <v>1</v>
      </c>
      <c r="J344" s="80">
        <f>H344*I344</f>
        <v/>
      </c>
      <c r="K344" s="6" t="inlineStr">
        <is>
          <t>来源页69</t>
        </is>
      </c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</row>
    <row r="345" hidden="1" ht="20" customFormat="1" customHeight="1" s="30">
      <c r="A345" s="76" t="n"/>
      <c r="B345" s="74" t="n"/>
      <c r="C345" s="43" t="inlineStr">
        <is>
          <t>节段06</t>
        </is>
      </c>
      <c r="D345" s="43" t="inlineStr">
        <is>
          <t>Q355D</t>
        </is>
      </c>
      <c r="E345" s="44" t="n">
        <v>8389</v>
      </c>
      <c r="F345" s="43" t="n">
        <v>1360</v>
      </c>
      <c r="G345" s="43" t="n">
        <v>36</v>
      </c>
      <c r="H345" s="79">
        <f>(E345/1000)*(F345/1000)*(G345/1000)*7850</f>
        <v/>
      </c>
      <c r="I345" s="43" t="n">
        <v>2</v>
      </c>
      <c r="J345" s="80">
        <f>H345*I345</f>
        <v/>
      </c>
      <c r="K345" s="6" t="inlineStr">
        <is>
          <t>来源页69</t>
        </is>
      </c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</row>
    <row r="346" hidden="1" ht="20" customFormat="1" customHeight="1" s="30">
      <c r="A346" s="76" t="n"/>
      <c r="B346" s="43" t="inlineStr"/>
      <c r="C346" s="43" t="inlineStr">
        <is>
          <t>节段06</t>
        </is>
      </c>
      <c r="D346" s="43" t="inlineStr">
        <is>
          <t>Q355D</t>
        </is>
      </c>
      <c r="E346" s="43" t="n">
        <v>8389</v>
      </c>
      <c r="F346" s="43" t="n">
        <v>320</v>
      </c>
      <c r="G346" s="43" t="n">
        <v>32</v>
      </c>
      <c r="H346" s="79">
        <f>(E346/1000)*(F346/1000)*(G346/1000)*7850</f>
        <v/>
      </c>
      <c r="I346" s="43" t="n">
        <v>2</v>
      </c>
      <c r="J346" s="80">
        <f>H346*I346</f>
        <v/>
      </c>
      <c r="K346" s="43" t="inlineStr">
        <is>
          <t>来源页69</t>
        </is>
      </c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</row>
    <row r="347" hidden="1" ht="20" customFormat="1" customHeight="1" s="30">
      <c r="A347" s="76" t="n"/>
      <c r="B347" s="76" t="n"/>
      <c r="C347" s="43" t="inlineStr">
        <is>
          <t>节段06</t>
        </is>
      </c>
      <c r="D347" s="43" t="inlineStr">
        <is>
          <t>Q355D</t>
        </is>
      </c>
      <c r="E347" s="43" t="n">
        <v>10789</v>
      </c>
      <c r="F347" s="43" t="n">
        <v>320</v>
      </c>
      <c r="G347" s="43" t="n">
        <v>32</v>
      </c>
      <c r="H347" s="79">
        <f>(E347/1000)*(F347/1000)*(G347/1000)*7850</f>
        <v/>
      </c>
      <c r="I347" s="43" t="n">
        <v>1</v>
      </c>
      <c r="J347" s="80">
        <f>H347*I347</f>
        <v/>
      </c>
      <c r="K347" s="43" t="inlineStr">
        <is>
          <t>来源页69</t>
        </is>
      </c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</row>
    <row r="348" hidden="1" ht="20" customFormat="1" customHeight="1" s="30">
      <c r="A348" s="76" t="n"/>
      <c r="B348" s="76" t="n"/>
      <c r="C348" s="43" t="inlineStr">
        <is>
          <t>节段06</t>
        </is>
      </c>
      <c r="D348" s="43" t="inlineStr">
        <is>
          <t>Q355D</t>
        </is>
      </c>
      <c r="E348" s="43" t="n">
        <v>10789</v>
      </c>
      <c r="F348" s="43" t="n">
        <v>320</v>
      </c>
      <c r="G348" s="43" t="n">
        <v>32</v>
      </c>
      <c r="H348" s="79">
        <f>(E348/1000)*(F348/1000)*(G348/1000)*7850</f>
        <v/>
      </c>
      <c r="I348" s="43" t="n">
        <v>1</v>
      </c>
      <c r="J348" s="80">
        <f>H348*I348</f>
        <v/>
      </c>
      <c r="K348" s="43" t="inlineStr">
        <is>
          <t>来源页69</t>
        </is>
      </c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</row>
    <row r="349" ht="20" customFormat="1" customHeight="1" s="30">
      <c r="A349" s="76" t="n"/>
      <c r="B349" s="74" t="n"/>
      <c r="C349" s="43" t="inlineStr">
        <is>
          <t>节段06</t>
        </is>
      </c>
      <c r="D349" s="43" t="inlineStr">
        <is>
          <t>Q355D</t>
        </is>
      </c>
      <c r="E349" s="43" t="n">
        <v>1200</v>
      </c>
      <c r="F349" s="43" t="n">
        <v>1200</v>
      </c>
      <c r="G349" s="43" t="n">
        <v>16</v>
      </c>
      <c r="H349" s="79">
        <f>(E349/1000)*(F349/1000)*(G349/1000)*7850</f>
        <v/>
      </c>
      <c r="I349" s="43" t="n">
        <v>3</v>
      </c>
      <c r="J349" s="80">
        <f>H349*I349</f>
        <v/>
      </c>
      <c r="K349" s="43" t="inlineStr">
        <is>
          <t>来源页69</t>
        </is>
      </c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</row>
    <row r="350" hidden="1" ht="20" customFormat="1" customHeight="1" s="30">
      <c r="A350" s="74" t="n"/>
      <c r="B350" s="43" t="inlineStr">
        <is>
          <t>小计</t>
        </is>
      </c>
      <c r="C350" s="73" t="n"/>
      <c r="D350" s="43" t="n"/>
      <c r="E350" s="43" t="n"/>
      <c r="F350" s="43" t="n"/>
      <c r="G350" s="43" t="n"/>
      <c r="H350" s="79" t="n"/>
      <c r="I350" s="43" t="n"/>
      <c r="J350" s="80">
        <f>SUM(J325:J349)</f>
        <v/>
      </c>
      <c r="K350" s="43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</row>
    <row r="351" ht="20" customFormat="1" customHeight="1" s="30">
      <c r="A351" s="43" t="inlineStr">
        <is>
          <t>N41</t>
        </is>
      </c>
      <c r="B351" s="43" t="inlineStr"/>
      <c r="C351" s="43" t="inlineStr">
        <is>
          <t>节段06</t>
        </is>
      </c>
      <c r="D351" s="43" t="inlineStr">
        <is>
          <t>Q355D</t>
        </is>
      </c>
      <c r="E351" s="43" t="n">
        <v>5843</v>
      </c>
      <c r="F351" s="43" t="n">
        <v>1200</v>
      </c>
      <c r="G351" s="43" t="n">
        <v>40</v>
      </c>
      <c r="H351" s="79">
        <f>(E351/1000)*(F351/1000)*(G351/1000)*7850</f>
        <v/>
      </c>
      <c r="I351" s="43" t="n">
        <v>1</v>
      </c>
      <c r="J351" s="80">
        <f>H351*I351</f>
        <v/>
      </c>
      <c r="K351" s="43" t="inlineStr">
        <is>
          <t>来源页69</t>
        </is>
      </c>
      <c r="L351" s="43">
        <f>A351</f>
        <v/>
      </c>
      <c r="M351" s="81">
        <f>SUMIF(G351:G375,$M$3,J351:J375)</f>
        <v/>
      </c>
      <c r="N351" s="81">
        <f>SUMIF(G351:G375,$N$3,J351:J375)</f>
        <v/>
      </c>
      <c r="O351" s="81">
        <f>SUMIF(G351:G375,$O$3,J351:J375)</f>
        <v/>
      </c>
      <c r="P351" s="81">
        <f>SUMIF(G351:G375,$P$3,J351:J375)</f>
        <v/>
      </c>
      <c r="Q351" s="81">
        <f>SUMIF(G351:G375,$Q$3,J351:J375)</f>
        <v/>
      </c>
      <c r="R351" s="81">
        <f>SUMIF(G351:G375,$R$3,J351:J375)</f>
        <v/>
      </c>
      <c r="S351" s="81">
        <f>SUMIF(G351:G375,$S$3,J351:J375)</f>
        <v/>
      </c>
      <c r="T351" s="81">
        <f>SUM(M351:S376)</f>
        <v/>
      </c>
      <c r="U351" s="81" t="n">
        <v>142975.6</v>
      </c>
      <c r="V351" s="81">
        <f>T351-U351</f>
        <v/>
      </c>
      <c r="W351" s="43" t="n"/>
    </row>
    <row r="352" ht="20" customFormat="1" customHeight="1" s="30">
      <c r="A352" s="76" t="n"/>
      <c r="B352" s="76" t="n"/>
      <c r="C352" s="43" t="inlineStr">
        <is>
          <t>节段06</t>
        </is>
      </c>
      <c r="D352" s="43" t="inlineStr">
        <is>
          <t>Q355D</t>
        </is>
      </c>
      <c r="E352" s="43" t="n">
        <v>6043</v>
      </c>
      <c r="F352" s="43" t="n">
        <v>1200</v>
      </c>
      <c r="G352" s="43" t="n">
        <v>40</v>
      </c>
      <c r="H352" s="79">
        <f>(E352/1000)*(F352/1000)*(G352/1000)*7850</f>
        <v/>
      </c>
      <c r="I352" s="43" t="n">
        <v>1</v>
      </c>
      <c r="J352" s="80">
        <f>H352*I352</f>
        <v/>
      </c>
      <c r="K352" s="43" t="inlineStr">
        <is>
          <t>来源页69</t>
        </is>
      </c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</row>
    <row r="353" hidden="1" ht="20" customFormat="1" customHeight="1" s="30">
      <c r="A353" s="76" t="n"/>
      <c r="B353" s="76" t="n"/>
      <c r="C353" s="43" t="inlineStr">
        <is>
          <t>节段06</t>
        </is>
      </c>
      <c r="D353" s="43" t="inlineStr">
        <is>
          <t>Q355D</t>
        </is>
      </c>
      <c r="E353" s="43" t="n">
        <v>4043</v>
      </c>
      <c r="F353" s="43" t="n">
        <v>1360</v>
      </c>
      <c r="G353" s="43" t="n">
        <v>40</v>
      </c>
      <c r="H353" s="79">
        <f>(E353/1000)*(F353/1000)*(G353/1000)*7850</f>
        <v/>
      </c>
      <c r="I353" s="43" t="n">
        <v>2</v>
      </c>
      <c r="J353" s="80">
        <f>H353*I353</f>
        <v/>
      </c>
      <c r="K353" s="43" t="inlineStr">
        <is>
          <t>来源页69</t>
        </is>
      </c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</row>
    <row r="354" hidden="1" ht="20" customFormat="1" customHeight="1" s="30">
      <c r="A354" s="76" t="n"/>
      <c r="B354" s="76" t="n"/>
      <c r="C354" s="43" t="inlineStr">
        <is>
          <t>节段06</t>
        </is>
      </c>
      <c r="D354" s="43" t="inlineStr">
        <is>
          <t>Q355D</t>
        </is>
      </c>
      <c r="E354" s="43" t="n">
        <v>4043</v>
      </c>
      <c r="F354" s="43" t="n">
        <v>320</v>
      </c>
      <c r="G354" s="43" t="n">
        <v>32</v>
      </c>
      <c r="H354" s="79">
        <f>(E354/1000)*(F354/1000)*(G354/1000)*7850</f>
        <v/>
      </c>
      <c r="I354" s="43" t="n">
        <v>4</v>
      </c>
      <c r="J354" s="80">
        <f>H354*I354</f>
        <v/>
      </c>
      <c r="K354" s="43" t="inlineStr">
        <is>
          <t>来源页69</t>
        </is>
      </c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</row>
    <row r="355" hidden="1" ht="20" customFormat="1" customHeight="1" s="30">
      <c r="A355" s="76" t="n"/>
      <c r="B355" s="76" t="n"/>
      <c r="C355" s="43" t="inlineStr">
        <is>
          <t>节段06</t>
        </is>
      </c>
      <c r="D355" s="43" t="inlineStr">
        <is>
          <t>Q355D</t>
        </is>
      </c>
      <c r="E355" s="43" t="n">
        <v>5143</v>
      </c>
      <c r="F355" s="43" t="n">
        <v>320</v>
      </c>
      <c r="G355" s="43" t="n">
        <v>32</v>
      </c>
      <c r="H355" s="79">
        <f>(E355/1000)*(F355/1000)*(G355/1000)*7850</f>
        <v/>
      </c>
      <c r="I355" s="43" t="n">
        <v>1</v>
      </c>
      <c r="J355" s="80">
        <f>H355*I355</f>
        <v/>
      </c>
      <c r="K355" s="43" t="inlineStr">
        <is>
          <t>来源页69</t>
        </is>
      </c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</row>
    <row r="356" hidden="1" ht="20" customFormat="1" customHeight="1" s="30">
      <c r="A356" s="76" t="n"/>
      <c r="B356" s="74" t="n"/>
      <c r="C356" s="43" t="inlineStr">
        <is>
          <t>节段06</t>
        </is>
      </c>
      <c r="D356" s="43" t="inlineStr">
        <is>
          <t>Q355D</t>
        </is>
      </c>
      <c r="E356" s="43" t="n">
        <v>5343</v>
      </c>
      <c r="F356" s="43" t="n">
        <v>320</v>
      </c>
      <c r="G356" s="43" t="n">
        <v>32</v>
      </c>
      <c r="H356" s="79">
        <f>(E356/1000)*(F356/1000)*(G356/1000)*7850</f>
        <v/>
      </c>
      <c r="I356" s="43" t="n">
        <v>1</v>
      </c>
      <c r="J356" s="80">
        <f>H356*I356</f>
        <v/>
      </c>
      <c r="K356" s="43" t="inlineStr">
        <is>
          <t>来源页69</t>
        </is>
      </c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</row>
    <row r="357" hidden="1" ht="20" customFormat="1" customHeight="1" s="30">
      <c r="A357" s="76" t="n"/>
      <c r="B357" s="43" t="inlineStr"/>
      <c r="C357" s="43" t="inlineStr">
        <is>
          <t>节段06</t>
        </is>
      </c>
      <c r="D357" s="43" t="inlineStr">
        <is>
          <t>Q355D</t>
        </is>
      </c>
      <c r="E357" s="43" t="n">
        <v>1200</v>
      </c>
      <c r="F357" s="43" t="n">
        <v>1200</v>
      </c>
      <c r="G357" s="43" t="n">
        <v>16</v>
      </c>
      <c r="H357" s="79">
        <f>(E357/1000)*(F357/1000)*(G357/1000)*7850</f>
        <v/>
      </c>
      <c r="I357" s="43" t="n">
        <v>2</v>
      </c>
      <c r="J357" s="80">
        <f>H357*I357</f>
        <v/>
      </c>
      <c r="K357" s="43" t="inlineStr">
        <is>
          <t>来源页69</t>
        </is>
      </c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</row>
    <row r="358" hidden="1" ht="20" customFormat="1" customHeight="1" s="30">
      <c r="A358" s="76" t="n"/>
      <c r="B358" s="76" t="n"/>
      <c r="C358" s="43" t="inlineStr">
        <is>
          <t>节段06</t>
        </is>
      </c>
      <c r="D358" s="43" t="inlineStr">
        <is>
          <t>Q420D</t>
        </is>
      </c>
      <c r="E358" s="43" t="n">
        <v>5925</v>
      </c>
      <c r="F358" s="43" t="n">
        <v>1200</v>
      </c>
      <c r="G358" s="43" t="n">
        <v>40</v>
      </c>
      <c r="H358" s="79">
        <f>(E358/1000)*(F358/1000)*(G358/1000)*7850</f>
        <v/>
      </c>
      <c r="I358" s="43" t="n">
        <v>1</v>
      </c>
      <c r="J358" s="80">
        <f>H358*I358</f>
        <v/>
      </c>
      <c r="K358" s="43" t="inlineStr">
        <is>
          <t>来源页69</t>
        </is>
      </c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</row>
    <row r="359" hidden="1" ht="20" customFormat="1" customHeight="1" s="30">
      <c r="A359" s="76" t="n"/>
      <c r="B359" s="76" t="n"/>
      <c r="C359" s="43" t="inlineStr">
        <is>
          <t>节段06</t>
        </is>
      </c>
      <c r="D359" s="43" t="inlineStr">
        <is>
          <t>Q420D</t>
        </is>
      </c>
      <c r="E359" s="43" t="n">
        <v>6125</v>
      </c>
      <c r="F359" s="43" t="n">
        <v>1200</v>
      </c>
      <c r="G359" s="43" t="n">
        <v>40</v>
      </c>
      <c r="H359" s="79">
        <f>(E359/1000)*(F359/1000)*(G359/1000)*7850</f>
        <v/>
      </c>
      <c r="I359" s="43" t="n">
        <v>1</v>
      </c>
      <c r="J359" s="80">
        <f>H359*I359</f>
        <v/>
      </c>
      <c r="K359" s="43" t="inlineStr">
        <is>
          <t>来源页69</t>
        </is>
      </c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</row>
    <row r="360" hidden="1" ht="20" customFormat="1" customHeight="1" s="30">
      <c r="A360" s="76" t="n"/>
      <c r="B360" s="76" t="n"/>
      <c r="C360" s="43" t="inlineStr">
        <is>
          <t>节段06</t>
        </is>
      </c>
      <c r="D360" s="43" t="inlineStr">
        <is>
          <t>Q420D</t>
        </is>
      </c>
      <c r="E360" s="43" t="n">
        <v>4125</v>
      </c>
      <c r="F360" s="43" t="n">
        <v>1360</v>
      </c>
      <c r="G360" s="43" t="n">
        <v>40</v>
      </c>
      <c r="H360" s="79">
        <f>(E360/1000)*(F360/1000)*(G360/1000)*7850</f>
        <v/>
      </c>
      <c r="I360" s="43" t="n">
        <v>2</v>
      </c>
      <c r="J360" s="80">
        <f>H360*I360</f>
        <v/>
      </c>
      <c r="K360" s="43" t="inlineStr">
        <is>
          <t>来源页69</t>
        </is>
      </c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</row>
    <row r="361" hidden="1" ht="20" customFormat="1" customHeight="1" s="30">
      <c r="A361" s="76" t="n"/>
      <c r="B361" s="76" t="n"/>
      <c r="C361" s="43" t="inlineStr">
        <is>
          <t>节段06</t>
        </is>
      </c>
      <c r="D361" s="43" t="inlineStr">
        <is>
          <t>Q420D</t>
        </is>
      </c>
      <c r="E361" s="43" t="n">
        <v>4125</v>
      </c>
      <c r="F361" s="43" t="n">
        <v>320</v>
      </c>
      <c r="G361" s="43" t="n">
        <v>32</v>
      </c>
      <c r="H361" s="79">
        <f>(E361/1000)*(F361/1000)*(G361/1000)*7850</f>
        <v/>
      </c>
      <c r="I361" s="43" t="n">
        <v>4</v>
      </c>
      <c r="J361" s="80">
        <f>H361*I361</f>
        <v/>
      </c>
      <c r="K361" s="43" t="inlineStr">
        <is>
          <t>来源页69</t>
        </is>
      </c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</row>
    <row r="362" hidden="1" ht="20" customFormat="1" customHeight="1" s="30">
      <c r="A362" s="76" t="n"/>
      <c r="B362" s="76" t="n"/>
      <c r="C362" s="43" t="inlineStr">
        <is>
          <t>节段06</t>
        </is>
      </c>
      <c r="D362" s="43" t="inlineStr">
        <is>
          <t>Q420D</t>
        </is>
      </c>
      <c r="E362" s="43" t="n">
        <v>5225</v>
      </c>
      <c r="F362" s="43" t="n">
        <v>320</v>
      </c>
      <c r="G362" s="43" t="n">
        <v>32</v>
      </c>
      <c r="H362" s="79">
        <f>(E362/1000)*(F362/1000)*(G362/1000)*7850</f>
        <v/>
      </c>
      <c r="I362" s="43" t="n">
        <v>1</v>
      </c>
      <c r="J362" s="80">
        <f>H362*I362</f>
        <v/>
      </c>
      <c r="K362" s="43" t="inlineStr">
        <is>
          <t>来源页69</t>
        </is>
      </c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</row>
    <row r="363" ht="20" customFormat="1" customHeight="1" s="30">
      <c r="A363" s="76" t="n"/>
      <c r="B363" s="76" t="n"/>
      <c r="C363" s="43" t="inlineStr">
        <is>
          <t>节段06</t>
        </is>
      </c>
      <c r="D363" s="43" t="inlineStr">
        <is>
          <t>Q420D</t>
        </is>
      </c>
      <c r="E363" s="43" t="n">
        <v>5425</v>
      </c>
      <c r="F363" s="43" t="n">
        <v>320</v>
      </c>
      <c r="G363" s="43" t="n">
        <v>32</v>
      </c>
      <c r="H363" s="79">
        <f>(E363/1000)*(F363/1000)*(G363/1000)*7850</f>
        <v/>
      </c>
      <c r="I363" s="43" t="n">
        <v>1</v>
      </c>
      <c r="J363" s="80">
        <f>H363*I363</f>
        <v/>
      </c>
      <c r="K363" s="43" t="inlineStr">
        <is>
          <t>来源页69</t>
        </is>
      </c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</row>
    <row r="364" ht="20" customFormat="1" customHeight="1" s="30">
      <c r="A364" s="76" t="n"/>
      <c r="B364" s="74" t="n"/>
      <c r="C364" s="43" t="inlineStr">
        <is>
          <t>节段06</t>
        </is>
      </c>
      <c r="D364" s="43" t="inlineStr">
        <is>
          <t>Q420D</t>
        </is>
      </c>
      <c r="E364" s="43" t="n">
        <v>1200</v>
      </c>
      <c r="F364" s="43" t="n">
        <v>1200</v>
      </c>
      <c r="G364" s="43" t="n">
        <v>16</v>
      </c>
      <c r="H364" s="79">
        <f>(E364/1000)*(F364/1000)*(G364/1000)*7850</f>
        <v/>
      </c>
      <c r="I364" s="43" t="n">
        <v>2</v>
      </c>
      <c r="J364" s="80">
        <f>H364*I364</f>
        <v/>
      </c>
      <c r="K364" s="43" t="inlineStr">
        <is>
          <t>来源页69</t>
        </is>
      </c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</row>
    <row r="365" hidden="1" ht="20" customFormat="1" customHeight="1" s="30">
      <c r="A365" s="76" t="n"/>
      <c r="B365" s="43" t="inlineStr"/>
      <c r="C365" s="43" t="inlineStr">
        <is>
          <t>节段06</t>
        </is>
      </c>
      <c r="D365" s="43" t="inlineStr">
        <is>
          <t>Q420D</t>
        </is>
      </c>
      <c r="E365" s="43" t="n">
        <v>2100</v>
      </c>
      <c r="F365" s="43" t="n">
        <v>320</v>
      </c>
      <c r="G365" s="43" t="n">
        <v>32</v>
      </c>
      <c r="H365" s="79">
        <f>(E365/1000)*(F365/1000)*(G365/1000)*7850</f>
        <v/>
      </c>
      <c r="I365" s="43" t="n">
        <v>6</v>
      </c>
      <c r="J365" s="80">
        <f>H365*I365</f>
        <v/>
      </c>
      <c r="K365" s="43" t="inlineStr">
        <is>
          <t>来源页69</t>
        </is>
      </c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</row>
    <row r="366" hidden="1" ht="20" customFormat="1" customHeight="1" s="30">
      <c r="A366" s="76" t="n"/>
      <c r="B366" s="76" t="n"/>
      <c r="C366" s="43" t="inlineStr">
        <is>
          <t>节段06</t>
        </is>
      </c>
      <c r="D366" s="43" t="inlineStr">
        <is>
          <t>Q420D</t>
        </is>
      </c>
      <c r="E366" s="43" t="n">
        <v>2200</v>
      </c>
      <c r="F366" s="43" t="n">
        <v>320</v>
      </c>
      <c r="G366" s="43" t="n">
        <v>32</v>
      </c>
      <c r="H366" s="79">
        <f>(E366/1000)*(F366/1000)*(G366/1000)*7850</f>
        <v/>
      </c>
      <c r="I366" s="43" t="n">
        <v>4</v>
      </c>
      <c r="J366" s="80">
        <f>H366*I366</f>
        <v/>
      </c>
      <c r="K366" s="43" t="inlineStr">
        <is>
          <t>来源页69</t>
        </is>
      </c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</row>
    <row r="367" ht="20" customFormat="1" customHeight="1" s="30">
      <c r="A367" s="76" t="n"/>
      <c r="B367" s="76" t="n"/>
      <c r="C367" s="43" t="inlineStr">
        <is>
          <t>节段06</t>
        </is>
      </c>
      <c r="D367" s="43" t="inlineStr">
        <is>
          <t>Q355D</t>
        </is>
      </c>
      <c r="E367" s="43" t="n">
        <v>1960</v>
      </c>
      <c r="F367" s="43" t="n">
        <v>602</v>
      </c>
      <c r="G367" s="43" t="n">
        <v>14</v>
      </c>
      <c r="H367" s="79">
        <f>(E367/1000)*(F367/1000)*(G367/1000)*7850</f>
        <v/>
      </c>
      <c r="I367" s="43" t="n">
        <v>6</v>
      </c>
      <c r="J367" s="80">
        <f>H367*I367</f>
        <v/>
      </c>
      <c r="K367" s="43" t="inlineStr">
        <is>
          <t>来源页69</t>
        </is>
      </c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</row>
    <row r="368" hidden="1" ht="20" customFormat="1" customHeight="1" s="30">
      <c r="A368" s="76" t="n"/>
      <c r="B368" s="74" t="n"/>
      <c r="C368" s="43" t="inlineStr">
        <is>
          <t>节段06</t>
        </is>
      </c>
      <c r="D368" s="43" t="inlineStr">
        <is>
          <t>Q355D</t>
        </is>
      </c>
      <c r="E368" s="43" t="n">
        <v>1960</v>
      </c>
      <c r="F368" s="43" t="n">
        <v>602</v>
      </c>
      <c r="G368" s="43" t="n">
        <v>14</v>
      </c>
      <c r="H368" s="79">
        <f>(E368/1000)*(F368/1000)*(G368/1000)*7850</f>
        <v/>
      </c>
      <c r="I368" s="43" t="n">
        <v>4</v>
      </c>
      <c r="J368" s="80">
        <f>H368*I368</f>
        <v/>
      </c>
      <c r="K368" s="43" t="inlineStr">
        <is>
          <t>来源页69</t>
        </is>
      </c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</row>
    <row r="369" hidden="1" ht="20" customFormat="1" customHeight="1" s="30">
      <c r="A369" s="76" t="n"/>
      <c r="B369" s="43" t="inlineStr"/>
      <c r="C369" s="43" t="inlineStr">
        <is>
          <t>节段06</t>
        </is>
      </c>
      <c r="D369" s="43" t="inlineStr">
        <is>
          <t>Q355D</t>
        </is>
      </c>
      <c r="E369" s="44" t="n"/>
      <c r="F369" s="43" t="n"/>
      <c r="G369" s="43" t="n">
        <v>24</v>
      </c>
      <c r="H369" s="79">
        <f>(E369/1000)*(F369/1000)*(G369/1000)*7850</f>
        <v/>
      </c>
      <c r="I369" s="43" t="n">
        <v>6</v>
      </c>
      <c r="J369" s="80">
        <f>H369*I369</f>
        <v/>
      </c>
      <c r="K369" s="6" t="inlineStr">
        <is>
          <t>来源页69</t>
        </is>
      </c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</row>
    <row r="370" hidden="1" ht="20" customFormat="1" customHeight="1" s="30">
      <c r="A370" s="76" t="n"/>
      <c r="B370" s="76" t="n"/>
      <c r="C370" s="43" t="inlineStr">
        <is>
          <t>节段06</t>
        </is>
      </c>
      <c r="D370" s="43" t="inlineStr">
        <is>
          <t>Q355D</t>
        </is>
      </c>
      <c r="E370" s="44" t="n"/>
      <c r="F370" s="43" t="n"/>
      <c r="G370" s="43" t="n">
        <v>24</v>
      </c>
      <c r="H370" s="79">
        <f>(E370/1000)*(F370/1000)*(G370/1000)*7850</f>
        <v/>
      </c>
      <c r="I370" s="43" t="n">
        <v>4</v>
      </c>
      <c r="J370" s="80">
        <f>H370*I370</f>
        <v/>
      </c>
      <c r="K370" s="6" t="inlineStr">
        <is>
          <t>来源页69</t>
        </is>
      </c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</row>
    <row r="371" hidden="1" ht="20" customFormat="1" customHeight="1" s="30">
      <c r="A371" s="76" t="n"/>
      <c r="B371" s="74" t="n"/>
      <c r="C371" s="43" t="inlineStr">
        <is>
          <t>节段06</t>
        </is>
      </c>
      <c r="D371" s="43" t="inlineStr">
        <is>
          <t>Q355D</t>
        </is>
      </c>
      <c r="E371" s="44" t="n">
        <v>1800</v>
      </c>
      <c r="F371" s="43" t="n">
        <v>602</v>
      </c>
      <c r="G371" s="43" t="n">
        <v>14</v>
      </c>
      <c r="H371" s="79">
        <f>(E371/1000)*(F371/1000)*(G371/1000)*7850</f>
        <v/>
      </c>
      <c r="I371" s="43" t="n">
        <v>6</v>
      </c>
      <c r="J371" s="80">
        <f>H371*I371</f>
        <v/>
      </c>
      <c r="K371" s="6" t="inlineStr">
        <is>
          <t>来源页69</t>
        </is>
      </c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</row>
    <row r="372" hidden="1" ht="20" customFormat="1" customHeight="1" s="30">
      <c r="A372" s="76" t="n"/>
      <c r="B372" s="43" t="inlineStr"/>
      <c r="C372" s="43" t="inlineStr">
        <is>
          <t>节段06</t>
        </is>
      </c>
      <c r="D372" s="43" t="inlineStr">
        <is>
          <t>Q355D</t>
        </is>
      </c>
      <c r="E372" s="43" t="n">
        <v>1800</v>
      </c>
      <c r="F372" s="43" t="n">
        <v>606</v>
      </c>
      <c r="G372" s="43" t="n">
        <v>14</v>
      </c>
      <c r="H372" s="79">
        <f>(E372/1000)*(F372/1000)*(G372/1000)*7850</f>
        <v/>
      </c>
      <c r="I372" s="43" t="n">
        <v>4</v>
      </c>
      <c r="J372" s="80">
        <f>H372*I372</f>
        <v/>
      </c>
      <c r="K372" s="43" t="inlineStr">
        <is>
          <t>来源页69</t>
        </is>
      </c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</row>
    <row r="373" hidden="1" ht="20" customFormat="1" customHeight="1" s="30">
      <c r="A373" s="76" t="n"/>
      <c r="B373" s="76" t="n"/>
      <c r="C373" s="43" t="inlineStr"/>
      <c r="D373" s="43" t="inlineStr">
        <is>
          <t>Q420D</t>
        </is>
      </c>
      <c r="E373" s="43" t="n">
        <v>1820</v>
      </c>
      <c r="F373" s="43" t="n">
        <v>1800</v>
      </c>
      <c r="G373" s="43" t="n">
        <v>40</v>
      </c>
      <c r="H373" s="79">
        <f>(E373/1000)*(F373/1000)*(G373/1000)*7850</f>
        <v/>
      </c>
      <c r="I373" s="43" t="n">
        <v>2</v>
      </c>
      <c r="J373" s="80">
        <f>H373*I373</f>
        <v/>
      </c>
      <c r="K373" s="43" t="inlineStr">
        <is>
          <t>来源页73</t>
        </is>
      </c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</row>
    <row r="374" hidden="1" ht="20" customFormat="1" customHeight="1" s="30">
      <c r="A374" s="76" t="n"/>
      <c r="B374" s="76" t="n"/>
      <c r="C374" s="43" t="inlineStr"/>
      <c r="D374" s="43" t="inlineStr">
        <is>
          <t>Q420D</t>
        </is>
      </c>
      <c r="E374" s="43" t="n">
        <v>1820</v>
      </c>
      <c r="F374" s="43" t="n">
        <v>500</v>
      </c>
      <c r="G374" s="43" t="n">
        <v>40</v>
      </c>
      <c r="H374" s="79">
        <f>(E374/1000)*(F374/1000)*(G374/1000)*7850</f>
        <v/>
      </c>
      <c r="I374" s="43" t="n">
        <v>2</v>
      </c>
      <c r="J374" s="80">
        <f>H374*I374</f>
        <v/>
      </c>
      <c r="K374" s="43" t="inlineStr">
        <is>
          <t>来源页73</t>
        </is>
      </c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</row>
    <row r="375" ht="20" customFormat="1" customHeight="1" s="30">
      <c r="A375" s="76" t="n"/>
      <c r="B375" s="74" t="n"/>
      <c r="C375" s="43" t="inlineStr"/>
      <c r="D375" s="43" t="inlineStr">
        <is>
          <t>Q420D</t>
        </is>
      </c>
      <c r="E375" s="43" t="n">
        <v>1820</v>
      </c>
      <c r="F375" s="43" t="n">
        <v>500</v>
      </c>
      <c r="G375" s="43" t="n">
        <v>40</v>
      </c>
      <c r="H375" s="79">
        <f>(E375/1000)*(F375/1000)*(G375/1000)*7850</f>
        <v/>
      </c>
      <c r="I375" s="43" t="n">
        <v>2</v>
      </c>
      <c r="J375" s="80">
        <f>H375*I375</f>
        <v/>
      </c>
      <c r="K375" s="43" t="inlineStr">
        <is>
          <t>来源页73</t>
        </is>
      </c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</row>
    <row r="376" hidden="1" ht="20" customFormat="1" customHeight="1" s="30">
      <c r="A376" s="74" t="n"/>
      <c r="B376" s="43" t="inlineStr">
        <is>
          <t>小计</t>
        </is>
      </c>
      <c r="C376" s="73" t="n"/>
      <c r="D376" s="43" t="n"/>
      <c r="E376" s="43" t="n"/>
      <c r="F376" s="43" t="n"/>
      <c r="G376" s="43" t="n"/>
      <c r="H376" s="79" t="n"/>
      <c r="I376" s="43" t="n"/>
      <c r="J376" s="80">
        <f>SUM(J351:J375)</f>
        <v/>
      </c>
      <c r="K376" s="43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</row>
    <row r="377" ht="20" customFormat="1" customHeight="1" s="30">
      <c r="A377" s="43" t="inlineStr">
        <is>
          <t>P4</t>
        </is>
      </c>
      <c r="B377" s="43" t="inlineStr">
        <is>
          <t>上弦杆拼接</t>
        </is>
      </c>
      <c r="C377" s="43" t="inlineStr"/>
      <c r="D377" s="43" t="inlineStr">
        <is>
          <t>Q420D</t>
        </is>
      </c>
      <c r="E377" s="43" t="n">
        <v>1820</v>
      </c>
      <c r="F377" s="43" t="n">
        <v>600</v>
      </c>
      <c r="G377" s="43" t="n">
        <v>40</v>
      </c>
      <c r="H377" s="79">
        <f>(E377/1000)*(F377/1000)*(G377/1000)*7850</f>
        <v/>
      </c>
      <c r="I377" s="43" t="n">
        <v>2</v>
      </c>
      <c r="J377" s="80">
        <f>H377*I377</f>
        <v/>
      </c>
      <c r="K377" s="43" t="inlineStr">
        <is>
          <t>来源页73</t>
        </is>
      </c>
      <c r="L377" s="43">
        <f>A377</f>
        <v/>
      </c>
      <c r="M377" s="81">
        <f>SUMIF(G377:G401,$M$3,J377:J401)</f>
        <v/>
      </c>
      <c r="N377" s="81">
        <f>SUMIF(G377:G401,$N$3,J377:J401)</f>
        <v/>
      </c>
      <c r="O377" s="81">
        <f>SUMIF(G377:G401,$O$3,J377:J401)</f>
        <v/>
      </c>
      <c r="P377" s="81">
        <f>SUMIF(G377:G401,$P$3,J377:J401)</f>
        <v/>
      </c>
      <c r="Q377" s="81">
        <f>SUMIF(G377:G401,$Q$3,J377:J401)</f>
        <v/>
      </c>
      <c r="R377" s="81">
        <f>SUMIF(G377:G401,$R$3,J377:J401)</f>
        <v/>
      </c>
      <c r="S377" s="81">
        <f>SUMIF(G377:G401,$S$3,J377:J401)</f>
        <v/>
      </c>
      <c r="T377" s="81">
        <f>SUM(M377:S402)</f>
        <v/>
      </c>
      <c r="U377" s="81" t="n">
        <v>143349.9</v>
      </c>
      <c r="V377" s="81">
        <f>T377-U377</f>
        <v/>
      </c>
      <c r="W377" s="43" t="n"/>
    </row>
    <row r="378" ht="20" customFormat="1" customHeight="1" s="30">
      <c r="A378" s="76" t="n"/>
      <c r="B378" s="76" t="n"/>
      <c r="C378" s="43" t="inlineStr"/>
      <c r="D378" s="43" t="inlineStr">
        <is>
          <t>Q420D</t>
        </is>
      </c>
      <c r="E378" s="43" t="n">
        <v>1720</v>
      </c>
      <c r="F378" s="43" t="n">
        <v>1100</v>
      </c>
      <c r="G378" s="43" t="n">
        <v>44</v>
      </c>
      <c r="H378" s="79">
        <f>(E378/1000)*(F378/1000)*(G378/1000)*7850</f>
        <v/>
      </c>
      <c r="I378" s="43" t="n">
        <v>1</v>
      </c>
      <c r="J378" s="80">
        <f>H378*I378</f>
        <v/>
      </c>
      <c r="K378" s="43" t="inlineStr">
        <is>
          <t>来源页73</t>
        </is>
      </c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</row>
    <row r="379" hidden="1" ht="20" customFormat="1" customHeight="1" s="30">
      <c r="A379" s="76" t="n"/>
      <c r="B379" s="76" t="n"/>
      <c r="C379" s="43" t="inlineStr"/>
      <c r="D379" s="43" t="inlineStr">
        <is>
          <t>Q420D</t>
        </is>
      </c>
      <c r="E379" s="43" t="n">
        <v>1720</v>
      </c>
      <c r="F379" s="43" t="n">
        <v>400</v>
      </c>
      <c r="G379" s="43" t="n">
        <v>44</v>
      </c>
      <c r="H379" s="79">
        <f>(E379/1000)*(F379/1000)*(G379/1000)*7850</f>
        <v/>
      </c>
      <c r="I379" s="43" t="n">
        <v>2</v>
      </c>
      <c r="J379" s="80">
        <f>H379*I379</f>
        <v/>
      </c>
      <c r="K379" s="43" t="inlineStr">
        <is>
          <t>来源页73</t>
        </is>
      </c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</row>
    <row r="380" hidden="1" ht="20" customFormat="1" customHeight="1" s="30">
      <c r="A380" s="76" t="n"/>
      <c r="B380" s="76" t="n"/>
      <c r="C380" s="43" t="inlineStr"/>
      <c r="D380" s="43" t="inlineStr">
        <is>
          <t>Q420D</t>
        </is>
      </c>
      <c r="E380" s="43" t="n">
        <v>1320</v>
      </c>
      <c r="F380" s="43" t="n">
        <v>240</v>
      </c>
      <c r="G380" s="43" t="n">
        <v>24</v>
      </c>
      <c r="H380" s="79">
        <f>(E380/1000)*(F380/1000)*(G380/1000)*7850</f>
        <v/>
      </c>
      <c r="I380" s="43" t="n">
        <v>10</v>
      </c>
      <c r="J380" s="80">
        <f>H380*I380</f>
        <v/>
      </c>
      <c r="K380" s="43" t="inlineStr">
        <is>
          <t>来源页73</t>
        </is>
      </c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</row>
    <row r="381" hidden="1" ht="20" customFormat="1" customHeight="1" s="30">
      <c r="A381" s="76" t="n"/>
      <c r="B381" s="76" t="n"/>
      <c r="C381" s="43" t="inlineStr"/>
      <c r="D381" s="43" t="inlineStr">
        <is>
          <t>10.9S</t>
        </is>
      </c>
      <c r="E381" s="43" t="n"/>
      <c r="F381" s="43" t="n"/>
      <c r="G381" s="43" t="n"/>
      <c r="H381" s="79">
        <f>(E381/1000)*(F381/1000)*(G381/1000)*7850</f>
        <v/>
      </c>
      <c r="I381" s="43" t="n">
        <v>780</v>
      </c>
      <c r="J381" s="80">
        <f>H381*I381</f>
        <v/>
      </c>
      <c r="K381" s="43" t="inlineStr">
        <is>
          <t>来源页73</t>
        </is>
      </c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</row>
    <row r="382" hidden="1" ht="20" customFormat="1" customHeight="1" s="30">
      <c r="A382" s="76" t="n"/>
      <c r="B382" s="74" t="n"/>
      <c r="C382" s="43" t="inlineStr"/>
      <c r="D382" s="43" t="inlineStr">
        <is>
          <t>Q420D</t>
        </is>
      </c>
      <c r="E382" s="43" t="n">
        <v>1220</v>
      </c>
      <c r="F382" s="43" t="n">
        <v>1700</v>
      </c>
      <c r="G382" s="43" t="n">
        <v>28</v>
      </c>
      <c r="H382" s="79">
        <f>(E382/1000)*(F382/1000)*(G382/1000)*7850</f>
        <v/>
      </c>
      <c r="I382" s="43" t="n">
        <v>2</v>
      </c>
      <c r="J382" s="80">
        <f>H382*I382</f>
        <v/>
      </c>
      <c r="K382" s="43" t="inlineStr">
        <is>
          <t>来源页73</t>
        </is>
      </c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</row>
    <row r="383" hidden="1" ht="20" customFormat="1" customHeight="1" s="30">
      <c r="A383" s="76" t="n"/>
      <c r="B383" s="43" t="inlineStr">
        <is>
          <t>下弦杆拼接</t>
        </is>
      </c>
      <c r="C383" s="43" t="inlineStr"/>
      <c r="D383" s="43" t="inlineStr">
        <is>
          <t>Q420D</t>
        </is>
      </c>
      <c r="E383" s="43" t="n">
        <v>1220</v>
      </c>
      <c r="F383" s="43" t="n">
        <v>800</v>
      </c>
      <c r="G383" s="43" t="n">
        <v>28</v>
      </c>
      <c r="H383" s="79">
        <f>(E383/1000)*(F383/1000)*(G383/1000)*7850</f>
        <v/>
      </c>
      <c r="I383" s="43" t="n">
        <v>4</v>
      </c>
      <c r="J383" s="80">
        <f>H383*I383</f>
        <v/>
      </c>
      <c r="K383" s="43" t="inlineStr">
        <is>
          <t>来源页73</t>
        </is>
      </c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</row>
    <row r="384" hidden="1" ht="20" customFormat="1" customHeight="1" s="30">
      <c r="A384" s="76" t="n"/>
      <c r="B384" s="76" t="n"/>
      <c r="C384" s="43" t="inlineStr"/>
      <c r="D384" s="43" t="inlineStr">
        <is>
          <t>Q420D</t>
        </is>
      </c>
      <c r="E384" s="43" t="n">
        <v>1520</v>
      </c>
      <c r="F384" s="43" t="n">
        <v>1100</v>
      </c>
      <c r="G384" s="43" t="n">
        <v>36</v>
      </c>
      <c r="H384" s="79">
        <f>(E384/1000)*(F384/1000)*(G384/1000)*7850</f>
        <v/>
      </c>
      <c r="I384" s="43" t="n">
        <v>1</v>
      </c>
      <c r="J384" s="80">
        <f>H384*I384</f>
        <v/>
      </c>
      <c r="K384" s="43" t="inlineStr">
        <is>
          <t>来源页73</t>
        </is>
      </c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</row>
    <row r="385" hidden="1" ht="20" customFormat="1" customHeight="1" s="30">
      <c r="A385" s="76" t="n"/>
      <c r="B385" s="76" t="n"/>
      <c r="C385" s="43" t="inlineStr"/>
      <c r="D385" s="43" t="inlineStr">
        <is>
          <t>Q420D</t>
        </is>
      </c>
      <c r="E385" s="43" t="n">
        <v>1520</v>
      </c>
      <c r="F385" s="43" t="n">
        <v>400</v>
      </c>
      <c r="G385" s="43" t="n">
        <v>36</v>
      </c>
      <c r="H385" s="79">
        <f>(E385/1000)*(F385/1000)*(G385/1000)*7850</f>
        <v/>
      </c>
      <c r="I385" s="43" t="n">
        <v>2</v>
      </c>
      <c r="J385" s="80">
        <f>H385*I385</f>
        <v/>
      </c>
      <c r="K385" s="43" t="inlineStr">
        <is>
          <t>来源页73</t>
        </is>
      </c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</row>
    <row r="386" hidden="1" ht="20" customFormat="1" customHeight="1" s="30">
      <c r="A386" s="76" t="n"/>
      <c r="B386" s="76" t="n"/>
      <c r="C386" s="43" t="inlineStr"/>
      <c r="D386" s="43" t="inlineStr">
        <is>
          <t>10.9S</t>
        </is>
      </c>
      <c r="E386" s="43" t="n"/>
      <c r="F386" s="43" t="n"/>
      <c r="G386" s="43" t="n"/>
      <c r="H386" s="79">
        <f>(E386/1000)*(F386/1000)*(G386/1000)*7850</f>
        <v/>
      </c>
      <c r="I386" s="43" t="n">
        <v>580</v>
      </c>
      <c r="J386" s="80">
        <f>H386*I386</f>
        <v/>
      </c>
      <c r="K386" s="43" t="inlineStr">
        <is>
          <t>来源页73</t>
        </is>
      </c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</row>
    <row r="387" hidden="1" ht="20" customFormat="1" customHeight="1" s="30">
      <c r="A387" s="76" t="n"/>
      <c r="B387" s="76" t="n"/>
      <c r="C387" s="43" t="inlineStr"/>
      <c r="D387" s="43" t="inlineStr">
        <is>
          <t>Q420D</t>
        </is>
      </c>
      <c r="E387" s="43" t="n">
        <v>1520</v>
      </c>
      <c r="F387" s="43" t="n">
        <v>1500</v>
      </c>
      <c r="G387" s="43" t="n">
        <v>32</v>
      </c>
      <c r="H387" s="79">
        <f>(E387/1000)*(F387/1000)*(G387/1000)*7850</f>
        <v/>
      </c>
      <c r="I387" s="43" t="n">
        <v>2</v>
      </c>
      <c r="J387" s="80">
        <f>H387*I387</f>
        <v/>
      </c>
      <c r="K387" s="43" t="inlineStr">
        <is>
          <t>来源页73</t>
        </is>
      </c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</row>
    <row r="388" hidden="1" ht="20" customFormat="1" customHeight="1" s="30">
      <c r="A388" s="76" t="n"/>
      <c r="B388" s="76" t="n"/>
      <c r="C388" s="43" t="inlineStr"/>
      <c r="D388" s="43" t="inlineStr">
        <is>
          <t>Q420D</t>
        </is>
      </c>
      <c r="E388" s="43" t="n">
        <v>1520</v>
      </c>
      <c r="F388" s="43" t="n">
        <v>400</v>
      </c>
      <c r="G388" s="43" t="n">
        <v>32</v>
      </c>
      <c r="H388" s="79">
        <f>(E388/1000)*(F388/1000)*(G388/1000)*7850</f>
        <v/>
      </c>
      <c r="I388" s="43" t="n">
        <v>4</v>
      </c>
      <c r="J388" s="80">
        <f>H388*I388</f>
        <v/>
      </c>
      <c r="K388" s="43" t="inlineStr">
        <is>
          <t>来源页73</t>
        </is>
      </c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</row>
    <row r="389" ht="20" customFormat="1" customHeight="1" s="30">
      <c r="A389" s="76" t="n"/>
      <c r="B389" s="76" t="n"/>
      <c r="C389" s="43" t="inlineStr"/>
      <c r="D389" s="43" t="inlineStr">
        <is>
          <t>Q420D</t>
        </is>
      </c>
      <c r="E389" s="43" t="n">
        <v>1520</v>
      </c>
      <c r="F389" s="43" t="n">
        <v>500</v>
      </c>
      <c r="G389" s="43" t="n">
        <v>32</v>
      </c>
      <c r="H389" s="79">
        <f>(E389/1000)*(F389/1000)*(G389/1000)*7850</f>
        <v/>
      </c>
      <c r="I389" s="43" t="n">
        <v>2</v>
      </c>
      <c r="J389" s="80">
        <f>H389*I389</f>
        <v/>
      </c>
      <c r="K389" s="43" t="inlineStr">
        <is>
          <t>来源页73</t>
        </is>
      </c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</row>
    <row r="390" ht="20" customFormat="1" customHeight="1" s="30">
      <c r="A390" s="76" t="n"/>
      <c r="B390" s="74" t="n"/>
      <c r="C390" s="43" t="inlineStr"/>
      <c r="D390" s="43" t="inlineStr">
        <is>
          <t>Q420D</t>
        </is>
      </c>
      <c r="E390" s="43" t="n">
        <v>1520</v>
      </c>
      <c r="F390" s="43" t="n">
        <v>1100</v>
      </c>
      <c r="G390" s="43" t="n">
        <v>28</v>
      </c>
      <c r="H390" s="79">
        <f>(E390/1000)*(F390/1000)*(G390/1000)*7850</f>
        <v/>
      </c>
      <c r="I390" s="43" t="n">
        <v>1</v>
      </c>
      <c r="J390" s="80">
        <f>H390*I390</f>
        <v/>
      </c>
      <c r="K390" s="43" t="inlineStr">
        <is>
          <t>来源页73</t>
        </is>
      </c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</row>
    <row r="391" hidden="1" ht="20" customFormat="1" customHeight="1" s="30">
      <c r="A391" s="76" t="n"/>
      <c r="B391" s="43" t="inlineStr">
        <is>
          <t>腹杆拼接</t>
        </is>
      </c>
      <c r="C391" s="43" t="inlineStr"/>
      <c r="D391" s="43" t="inlineStr">
        <is>
          <t>Q420D</t>
        </is>
      </c>
      <c r="E391" s="43" t="n">
        <v>1520</v>
      </c>
      <c r="F391" s="43" t="n">
        <v>500</v>
      </c>
      <c r="G391" s="43" t="n">
        <v>28</v>
      </c>
      <c r="H391" s="79">
        <f>(E391/1000)*(F391/1000)*(G391/1000)*7850</f>
        <v/>
      </c>
      <c r="I391" s="43" t="n">
        <v>2</v>
      </c>
      <c r="J391" s="80">
        <f>H391*I391</f>
        <v/>
      </c>
      <c r="K391" s="43" t="inlineStr">
        <is>
          <t>来源页73</t>
        </is>
      </c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</row>
    <row r="392" hidden="1" ht="20" customFormat="1" customHeight="1" s="30">
      <c r="A392" s="76" t="n"/>
      <c r="B392" s="76" t="n"/>
      <c r="C392" s="43" t="inlineStr"/>
      <c r="D392" s="43" t="inlineStr">
        <is>
          <t>Q420D</t>
        </is>
      </c>
      <c r="E392" s="43" t="n">
        <v>1520</v>
      </c>
      <c r="F392" s="43" t="n">
        <v>1100</v>
      </c>
      <c r="G392" s="43" t="n">
        <v>40</v>
      </c>
      <c r="H392" s="79">
        <f>(E392/1000)*(F392/1000)*(G392/1000)*7850</f>
        <v/>
      </c>
      <c r="I392" s="43" t="n">
        <v>1</v>
      </c>
      <c r="J392" s="80">
        <f>H392*I392</f>
        <v/>
      </c>
      <c r="K392" s="43" t="inlineStr">
        <is>
          <t>来源页73</t>
        </is>
      </c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</row>
    <row r="393" ht="20" customFormat="1" customHeight="1" s="30">
      <c r="A393" s="76" t="n"/>
      <c r="B393" s="76" t="n"/>
      <c r="C393" s="43" t="inlineStr"/>
      <c r="D393" s="43" t="inlineStr">
        <is>
          <t>Q420D</t>
        </is>
      </c>
      <c r="E393" s="43" t="n">
        <v>1520</v>
      </c>
      <c r="F393" s="43" t="n">
        <v>400</v>
      </c>
      <c r="G393" s="43" t="n">
        <v>40</v>
      </c>
      <c r="H393" s="79">
        <f>(E393/1000)*(F393/1000)*(G393/1000)*7850</f>
        <v/>
      </c>
      <c r="I393" s="43" t="n">
        <v>2</v>
      </c>
      <c r="J393" s="80">
        <f>H393*I393</f>
        <v/>
      </c>
      <c r="K393" s="43" t="inlineStr">
        <is>
          <t>来源页73</t>
        </is>
      </c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</row>
    <row r="394" hidden="1" ht="20" customFormat="1" customHeight="1" s="30">
      <c r="A394" s="76" t="n"/>
      <c r="B394" s="74" t="n"/>
      <c r="C394" s="43" t="inlineStr"/>
      <c r="D394" s="43" t="inlineStr">
        <is>
          <t>Q420D</t>
        </is>
      </c>
      <c r="E394" s="43" t="n">
        <v>1320</v>
      </c>
      <c r="F394" s="43" t="n">
        <v>240</v>
      </c>
      <c r="G394" s="43" t="n">
        <v>24</v>
      </c>
      <c r="H394" s="79">
        <f>(E394/1000)*(F394/1000)*(G394/1000)*7850</f>
        <v/>
      </c>
      <c r="I394" s="43" t="n">
        <v>10</v>
      </c>
      <c r="J394" s="80">
        <f>H394*I394</f>
        <v/>
      </c>
      <c r="K394" s="43" t="inlineStr">
        <is>
          <t>来源页73</t>
        </is>
      </c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</row>
    <row r="395" hidden="1" ht="20" customFormat="1" customHeight="1" s="30">
      <c r="A395" s="76" t="n"/>
      <c r="B395" s="43" t="inlineStr">
        <is>
          <t>腹杆拼接</t>
        </is>
      </c>
      <c r="C395" s="43" t="inlineStr"/>
      <c r="D395" s="43" t="inlineStr">
        <is>
          <t>10.9S</t>
        </is>
      </c>
      <c r="E395" s="44" t="n"/>
      <c r="F395" s="43" t="n"/>
      <c r="G395" s="43" t="n"/>
      <c r="H395" s="79">
        <f>(E395/1000)*(F395/1000)*(G395/1000)*7850</f>
        <v/>
      </c>
      <c r="I395" s="43" t="n">
        <v>752</v>
      </c>
      <c r="J395" s="80">
        <f>H395*I395</f>
        <v/>
      </c>
      <c r="K395" s="6" t="inlineStr">
        <is>
          <t>来源页73</t>
        </is>
      </c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</row>
    <row r="396" hidden="1" ht="20" customFormat="1" customHeight="1" s="30">
      <c r="A396" s="76" t="n"/>
      <c r="B396" s="76" t="n"/>
      <c r="C396" s="43" t="inlineStr">
        <is>
          <t>节段07</t>
        </is>
      </c>
      <c r="D396" s="43" t="inlineStr">
        <is>
          <t>Q420D</t>
        </is>
      </c>
      <c r="E396" s="44" t="n"/>
      <c r="F396" s="43" t="n"/>
      <c r="G396" s="43" t="n">
        <v>40</v>
      </c>
      <c r="H396" s="79">
        <f>(E396/1000)*(F396/1000)*(G396/1000)*7850</f>
        <v/>
      </c>
      <c r="I396" s="43" t="n">
        <v>1</v>
      </c>
      <c r="J396" s="80">
        <f>H396*I396</f>
        <v/>
      </c>
      <c r="K396" s="6" t="inlineStr">
        <is>
          <t>来源页74</t>
        </is>
      </c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</row>
    <row r="397" hidden="1" ht="20" customFormat="1" customHeight="1" s="30">
      <c r="A397" s="76" t="n"/>
      <c r="B397" s="74" t="n"/>
      <c r="C397" s="43" t="inlineStr">
        <is>
          <t>节段07</t>
        </is>
      </c>
      <c r="D397" s="43" t="inlineStr">
        <is>
          <t>Q420D</t>
        </is>
      </c>
      <c r="E397" s="44" t="n"/>
      <c r="F397" s="43" t="n"/>
      <c r="G397" s="43" t="n">
        <v>40</v>
      </c>
      <c r="H397" s="79">
        <f>(E397/1000)*(F397/1000)*(G397/1000)*7850</f>
        <v/>
      </c>
      <c r="I397" s="43" t="n">
        <v>1</v>
      </c>
      <c r="J397" s="80">
        <f>H397*I397</f>
        <v/>
      </c>
      <c r="K397" s="6" t="inlineStr">
        <is>
          <t>来源页74</t>
        </is>
      </c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</row>
    <row r="398" hidden="1" ht="20" customFormat="1" customHeight="1" s="30">
      <c r="A398" s="76" t="n"/>
      <c r="B398" s="43" t="inlineStr"/>
      <c r="C398" s="43" t="inlineStr">
        <is>
          <t>节段07</t>
        </is>
      </c>
      <c r="D398" s="43" t="inlineStr">
        <is>
          <t>Q420D</t>
        </is>
      </c>
      <c r="E398" s="43" t="n">
        <v>8039</v>
      </c>
      <c r="F398" s="43" t="n">
        <v>1200</v>
      </c>
      <c r="G398" s="43" t="n">
        <v>40</v>
      </c>
      <c r="H398" s="79">
        <f>(E398/1000)*(F398/1000)*(G398/1000)*7850</f>
        <v/>
      </c>
      <c r="I398" s="43" t="n">
        <v>2</v>
      </c>
      <c r="J398" s="80">
        <f>H398*I398</f>
        <v/>
      </c>
      <c r="K398" s="43" t="inlineStr">
        <is>
          <t>来源页74</t>
        </is>
      </c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</row>
    <row r="399" hidden="1" ht="20" customFormat="1" customHeight="1" s="30">
      <c r="A399" s="76" t="n"/>
      <c r="B399" s="76" t="n"/>
      <c r="C399" s="43" t="inlineStr">
        <is>
          <t>节段07</t>
        </is>
      </c>
      <c r="D399" s="43" t="inlineStr">
        <is>
          <t>Q420D</t>
        </is>
      </c>
      <c r="E399" s="43" t="n">
        <v>6940</v>
      </c>
      <c r="F399" s="43" t="n">
        <v>1200</v>
      </c>
      <c r="G399" s="43" t="n">
        <v>40</v>
      </c>
      <c r="H399" s="79">
        <f>(E399/1000)*(F399/1000)*(G399/1000)*7850</f>
        <v/>
      </c>
      <c r="I399" s="43" t="n">
        <v>1</v>
      </c>
      <c r="J399" s="80">
        <f>H399*I399</f>
        <v/>
      </c>
      <c r="K399" s="43" t="inlineStr">
        <is>
          <t>来源页74</t>
        </is>
      </c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</row>
    <row r="400" hidden="1" ht="20" customFormat="1" customHeight="1" s="30">
      <c r="A400" s="76" t="n"/>
      <c r="B400" s="76" t="n"/>
      <c r="C400" s="43" t="inlineStr">
        <is>
          <t>节段07</t>
        </is>
      </c>
      <c r="D400" s="43" t="inlineStr">
        <is>
          <t>Q420D</t>
        </is>
      </c>
      <c r="E400" s="43" t="n"/>
      <c r="F400" s="43" t="n"/>
      <c r="G400" s="43" t="n">
        <v>44</v>
      </c>
      <c r="H400" s="79">
        <f>(E400/1000)*(F400/1000)*(G400/1000)*7850</f>
        <v/>
      </c>
      <c r="I400" s="43" t="n">
        <v>2</v>
      </c>
      <c r="J400" s="80">
        <f>H400*I400</f>
        <v/>
      </c>
      <c r="K400" s="43" t="inlineStr">
        <is>
          <t>来源页74</t>
        </is>
      </c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</row>
    <row r="401" ht="20" customFormat="1" customHeight="1" s="30">
      <c r="A401" s="76" t="n"/>
      <c r="B401" s="74" t="n"/>
      <c r="C401" s="43" t="inlineStr">
        <is>
          <t>节段07</t>
        </is>
      </c>
      <c r="D401" s="43" t="inlineStr">
        <is>
          <t>Q420D</t>
        </is>
      </c>
      <c r="E401" s="43" t="n">
        <v>7140</v>
      </c>
      <c r="F401" s="43" t="n">
        <v>2048</v>
      </c>
      <c r="G401" s="43" t="n">
        <v>48</v>
      </c>
      <c r="H401" s="79">
        <f>(E401/1000)*(F401/1000)*(G401/1000)*7850</f>
        <v/>
      </c>
      <c r="I401" s="43" t="n">
        <v>2</v>
      </c>
      <c r="J401" s="80">
        <f>H401*I401</f>
        <v/>
      </c>
      <c r="K401" s="43" t="inlineStr">
        <is>
          <t>来源页74</t>
        </is>
      </c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</row>
    <row r="402" hidden="1" ht="20" customFormat="1" customHeight="1" s="30">
      <c r="A402" s="74" t="n"/>
      <c r="B402" s="43" t="inlineStr">
        <is>
          <t>小计</t>
        </is>
      </c>
      <c r="C402" s="73" t="n"/>
      <c r="D402" s="43" t="n"/>
      <c r="E402" s="43" t="n"/>
      <c r="F402" s="43" t="n"/>
      <c r="G402" s="43" t="n"/>
      <c r="H402" s="79" t="n"/>
      <c r="I402" s="43" t="n"/>
      <c r="J402" s="80">
        <f>SUM(J377:J401)</f>
        <v/>
      </c>
      <c r="K402" s="43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</row>
    <row r="403" ht="20" customFormat="1" customHeight="1" s="30">
      <c r="A403" s="43" t="inlineStr">
        <is>
          <t>N15</t>
        </is>
      </c>
      <c r="B403" s="43" t="inlineStr"/>
      <c r="C403" s="43" t="inlineStr">
        <is>
          <t>节段07</t>
        </is>
      </c>
      <c r="D403" s="43" t="inlineStr">
        <is>
          <t>Q420D</t>
        </is>
      </c>
      <c r="E403" s="43" t="n">
        <v>1960</v>
      </c>
      <c r="F403" s="43" t="n">
        <v>1200</v>
      </c>
      <c r="G403" s="43" t="n">
        <v>16</v>
      </c>
      <c r="H403" s="79">
        <f>(E403/1000)*(F403/1000)*(G403/1000)*7850</f>
        <v/>
      </c>
      <c r="I403" s="43" t="n">
        <v>3</v>
      </c>
      <c r="J403" s="80">
        <f>H403*I403</f>
        <v/>
      </c>
      <c r="K403" s="43" t="inlineStr">
        <is>
          <t>来源页74</t>
        </is>
      </c>
      <c r="L403" s="43">
        <f>A403</f>
        <v/>
      </c>
      <c r="M403" s="81">
        <f>SUMIF(G403:G3777,$M$3,J403:J3777)</f>
        <v/>
      </c>
      <c r="N403" s="81">
        <f>SUMIF(G403:G3777,$N$3,J403:J3777)</f>
        <v/>
      </c>
      <c r="O403" s="81">
        <f>SUMIF(G403:G3777,$O$3,J403:J3777)</f>
        <v/>
      </c>
      <c r="P403" s="81">
        <f>SUMIF(G403:G3777,$P$3,J403:J3777)</f>
        <v/>
      </c>
      <c r="Q403" s="81">
        <f>SUMIF(G403:G3777,$Q$3,J403:J3777)</f>
        <v/>
      </c>
      <c r="R403" s="81">
        <f>SUMIF(G403:G3777,$R$3,J403:J3777)</f>
        <v/>
      </c>
      <c r="S403" s="81">
        <f>SUMIF(G403:G3777,$S$3,J403:J3777)</f>
        <v/>
      </c>
      <c r="T403" s="81">
        <f>SUM(M403:S431)</f>
        <v/>
      </c>
      <c r="U403" s="81" t="n">
        <v>145535.5</v>
      </c>
      <c r="V403" s="81">
        <f>T403-U403</f>
        <v/>
      </c>
      <c r="W403" s="43" t="n"/>
    </row>
    <row r="404" ht="20" customFormat="1" customHeight="1" s="30">
      <c r="A404" s="76" t="n"/>
      <c r="B404" s="76" t="n"/>
      <c r="C404" s="43" t="inlineStr">
        <is>
          <t>节段07</t>
        </is>
      </c>
      <c r="D404" s="43" t="inlineStr">
        <is>
          <t>Q420D</t>
        </is>
      </c>
      <c r="E404" s="43" t="n">
        <v>1960</v>
      </c>
      <c r="F404" s="43" t="n">
        <v>1200</v>
      </c>
      <c r="G404" s="43" t="n">
        <v>16</v>
      </c>
      <c r="H404" s="79">
        <f>(E404/1000)*(F404/1000)*(G404/1000)*7850</f>
        <v/>
      </c>
      <c r="I404" s="43" t="n">
        <v>2</v>
      </c>
      <c r="J404" s="80">
        <f>H404*I404</f>
        <v/>
      </c>
      <c r="K404" s="43" t="inlineStr">
        <is>
          <t>来源页74</t>
        </is>
      </c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</row>
    <row r="405" hidden="1" ht="20" customFormat="1" customHeight="1" s="30">
      <c r="A405" s="76" t="n"/>
      <c r="B405" s="76" t="n"/>
      <c r="C405" s="43" t="inlineStr">
        <is>
          <t>节段07</t>
        </is>
      </c>
      <c r="D405" s="43" t="inlineStr">
        <is>
          <t>Q420D</t>
        </is>
      </c>
      <c r="E405" s="43" t="n">
        <v>2057</v>
      </c>
      <c r="F405" s="43" t="n">
        <v>200</v>
      </c>
      <c r="G405" s="43" t="n">
        <v>16</v>
      </c>
      <c r="H405" s="79">
        <f>(E405/1000)*(F405/1000)*(G405/1000)*7850</f>
        <v/>
      </c>
      <c r="I405" s="43" t="n">
        <v>3</v>
      </c>
      <c r="J405" s="80">
        <f>H405*I405</f>
        <v/>
      </c>
      <c r="K405" s="43" t="inlineStr">
        <is>
          <t>来源页74</t>
        </is>
      </c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</row>
    <row r="406" hidden="1" ht="20" customFormat="1" customHeight="1" s="30">
      <c r="A406" s="76" t="n"/>
      <c r="B406" s="76" t="n"/>
      <c r="C406" s="43" t="inlineStr">
        <is>
          <t>节段07</t>
        </is>
      </c>
      <c r="D406" s="43" t="inlineStr">
        <is>
          <t>Q355B</t>
        </is>
      </c>
      <c r="E406" s="43" t="n">
        <v>2057</v>
      </c>
      <c r="F406" s="43" t="n">
        <v>40</v>
      </c>
      <c r="G406" s="43" t="n">
        <v>4</v>
      </c>
      <c r="H406" s="79">
        <f>(E406/1000)*(F406/1000)*(G406/1000)*7850</f>
        <v/>
      </c>
      <c r="I406" s="43" t="n">
        <v>4</v>
      </c>
      <c r="J406" s="80">
        <f>H406*I406</f>
        <v/>
      </c>
      <c r="K406" s="43" t="inlineStr">
        <is>
          <t>来源页74</t>
        </is>
      </c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</row>
    <row r="407" hidden="1" ht="20" customFormat="1" customHeight="1" s="30">
      <c r="A407" s="76" t="n"/>
      <c r="B407" s="76" t="n"/>
      <c r="C407" s="43" t="inlineStr">
        <is>
          <t>节段07</t>
        </is>
      </c>
      <c r="D407" s="43" t="inlineStr">
        <is>
          <t>Q420D</t>
        </is>
      </c>
      <c r="E407" s="43" t="n">
        <v>800</v>
      </c>
      <c r="F407" s="43" t="n">
        <v>400</v>
      </c>
      <c r="G407" s="43" t="n">
        <v>16</v>
      </c>
      <c r="H407" s="79">
        <f>(E407/1000)*(F407/1000)*(G407/1000)*7850</f>
        <v/>
      </c>
      <c r="I407" s="43" t="n">
        <v>4</v>
      </c>
      <c r="J407" s="80">
        <f>H407*I407</f>
        <v/>
      </c>
      <c r="K407" s="43" t="inlineStr">
        <is>
          <t>来源页74</t>
        </is>
      </c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</row>
    <row r="408" hidden="1" ht="20" customFormat="1" customHeight="1" s="30">
      <c r="A408" s="76" t="n"/>
      <c r="B408" s="76" t="n"/>
      <c r="C408" s="43" t="inlineStr">
        <is>
          <t>节段07</t>
        </is>
      </c>
      <c r="D408" s="43" t="inlineStr">
        <is>
          <t>Q420D</t>
        </is>
      </c>
      <c r="E408" s="43" t="n">
        <v>8039</v>
      </c>
      <c r="F408" s="43" t="n">
        <v>320</v>
      </c>
      <c r="G408" s="43" t="n">
        <v>32</v>
      </c>
      <c r="H408" s="79">
        <f>(E408/1000)*(F408/1000)*(G408/1000)*7850</f>
        <v/>
      </c>
      <c r="I408" s="43" t="n">
        <v>6</v>
      </c>
      <c r="J408" s="80">
        <f>H408*I408</f>
        <v/>
      </c>
      <c r="K408" s="43" t="inlineStr">
        <is>
          <t>来源页74</t>
        </is>
      </c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</row>
    <row r="409" hidden="1" ht="20" customFormat="1" customHeight="1" s="30">
      <c r="A409" s="76" t="n"/>
      <c r="B409" s="74" t="n"/>
      <c r="C409" s="43" t="inlineStr">
        <is>
          <t>节段07</t>
        </is>
      </c>
      <c r="D409" s="43" t="inlineStr">
        <is>
          <t>Q420D</t>
        </is>
      </c>
      <c r="E409" s="43" t="n">
        <v>8040</v>
      </c>
      <c r="F409" s="43" t="n">
        <v>2500</v>
      </c>
      <c r="G409" s="43" t="n">
        <v>32</v>
      </c>
      <c r="H409" s="79">
        <f>(E409/1000)*(F409/1000)*(G409/1000)*7850</f>
        <v/>
      </c>
      <c r="I409" s="43" t="n">
        <v>1</v>
      </c>
      <c r="J409" s="80">
        <f>H409*I409</f>
        <v/>
      </c>
      <c r="K409" s="43" t="inlineStr">
        <is>
          <t>来源页74</t>
        </is>
      </c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</row>
    <row r="410" hidden="1" ht="20" customFormat="1" customHeight="1" s="30">
      <c r="A410" s="76" t="n"/>
      <c r="B410" s="43" t="inlineStr"/>
      <c r="C410" s="43" t="inlineStr">
        <is>
          <t>节段07</t>
        </is>
      </c>
      <c r="D410" s="43" t="inlineStr">
        <is>
          <t>Q420D</t>
        </is>
      </c>
      <c r="E410" s="43" t="n">
        <v>6941</v>
      </c>
      <c r="F410" s="43" t="n">
        <v>2500</v>
      </c>
      <c r="G410" s="43" t="n">
        <v>32</v>
      </c>
      <c r="H410" s="79">
        <f>(E410/1000)*(F410/1000)*(G410/1000)*7850</f>
        <v/>
      </c>
      <c r="I410" s="43" t="n">
        <v>1</v>
      </c>
      <c r="J410" s="80">
        <f>H410*I410</f>
        <v/>
      </c>
      <c r="K410" s="43" t="inlineStr">
        <is>
          <t>来源页74</t>
        </is>
      </c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</row>
    <row r="411" hidden="1" ht="20" customFormat="1" customHeight="1" s="30">
      <c r="A411" s="76" t="n"/>
      <c r="B411" s="76" t="n"/>
      <c r="C411" s="43" t="inlineStr">
        <is>
          <t>节段07</t>
        </is>
      </c>
      <c r="D411" s="43" t="inlineStr">
        <is>
          <t>Q420D</t>
        </is>
      </c>
      <c r="E411" s="43" t="n"/>
      <c r="F411" s="43" t="n"/>
      <c r="G411" s="43" t="n">
        <v>40</v>
      </c>
      <c r="H411" s="79">
        <f>(E411/1000)*(F411/1000)*(G411/1000)*7850</f>
        <v/>
      </c>
      <c r="I411" s="43" t="n">
        <v>1</v>
      </c>
      <c r="J411" s="80">
        <f>H411*I411</f>
        <v/>
      </c>
      <c r="K411" s="43" t="inlineStr">
        <is>
          <t>来源页74</t>
        </is>
      </c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</row>
    <row r="412" hidden="1" ht="20" customFormat="1" customHeight="1" s="30">
      <c r="A412" s="76" t="n"/>
      <c r="B412" s="76" t="n"/>
      <c r="C412" s="43" t="inlineStr">
        <is>
          <t>节段07</t>
        </is>
      </c>
      <c r="D412" s="43" t="inlineStr">
        <is>
          <t>Q420D</t>
        </is>
      </c>
      <c r="E412" s="43" t="n"/>
      <c r="F412" s="43" t="n"/>
      <c r="G412" s="43" t="n">
        <v>32</v>
      </c>
      <c r="H412" s="79">
        <f>(E412/1000)*(F412/1000)*(G412/1000)*7850</f>
        <v/>
      </c>
      <c r="I412" s="43" t="n">
        <v>1</v>
      </c>
      <c r="J412" s="80">
        <f>H412*I412</f>
        <v/>
      </c>
      <c r="K412" s="43" t="inlineStr">
        <is>
          <t>来源页74</t>
        </is>
      </c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</row>
    <row r="413" hidden="1" ht="20" customFormat="1" customHeight="1" s="30">
      <c r="A413" s="76" t="n"/>
      <c r="B413" s="76" t="n"/>
      <c r="C413" s="43" t="inlineStr">
        <is>
          <t>节段07</t>
        </is>
      </c>
      <c r="D413" s="43" t="inlineStr">
        <is>
          <t>Q420D</t>
        </is>
      </c>
      <c r="E413" s="43" t="n"/>
      <c r="F413" s="43" t="n"/>
      <c r="G413" s="43" t="n">
        <v>44</v>
      </c>
      <c r="H413" s="79">
        <f>(E413/1000)*(F413/1000)*(G413/1000)*7850</f>
        <v/>
      </c>
      <c r="I413" s="43" t="n">
        <v>2</v>
      </c>
      <c r="J413" s="80">
        <f>H413*I413</f>
        <v/>
      </c>
      <c r="K413" s="43" t="inlineStr">
        <is>
          <t>Z35钢；来源页74</t>
        </is>
      </c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</row>
    <row r="414" hidden="1" ht="20" customFormat="1" customHeight="1" s="30">
      <c r="A414" s="76" t="n"/>
      <c r="B414" s="76" t="n"/>
      <c r="C414" s="43" t="inlineStr">
        <is>
          <t>节段07</t>
        </is>
      </c>
      <c r="D414" s="43" t="inlineStr">
        <is>
          <t>Q420D</t>
        </is>
      </c>
      <c r="E414" s="43" t="n">
        <v>7141</v>
      </c>
      <c r="F414" s="43" t="n">
        <v>1880</v>
      </c>
      <c r="G414" s="43" t="n">
        <v>44</v>
      </c>
      <c r="H414" s="79">
        <f>(E414/1000)*(F414/1000)*(G414/1000)*7850</f>
        <v/>
      </c>
      <c r="I414" s="43" t="n">
        <v>2</v>
      </c>
      <c r="J414" s="80">
        <f>H414*I414</f>
        <v/>
      </c>
      <c r="K414" s="43" t="inlineStr">
        <is>
          <t>来源页74</t>
        </is>
      </c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</row>
    <row r="415" hidden="1" ht="20" customFormat="1" customHeight="1" s="30">
      <c r="A415" s="76" t="n"/>
      <c r="B415" s="76" t="n"/>
      <c r="C415" s="43" t="inlineStr">
        <is>
          <t>节段07</t>
        </is>
      </c>
      <c r="D415" s="43" t="inlineStr">
        <is>
          <t>Q420D</t>
        </is>
      </c>
      <c r="E415" s="43" t="n">
        <v>1800</v>
      </c>
      <c r="F415" s="43" t="n">
        <v>1200</v>
      </c>
      <c r="G415" s="43" t="n">
        <v>16</v>
      </c>
      <c r="H415" s="79">
        <f>(E415/1000)*(F415/1000)*(G415/1000)*7850</f>
        <v/>
      </c>
      <c r="I415" s="43" t="n">
        <v>2</v>
      </c>
      <c r="J415" s="80">
        <f>H415*I415</f>
        <v/>
      </c>
      <c r="K415" s="43" t="inlineStr">
        <is>
          <t>来源页74</t>
        </is>
      </c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</row>
    <row r="416" hidden="1" ht="20" customFormat="1" customHeight="1" s="30">
      <c r="A416" s="76" t="n"/>
      <c r="B416" s="76" t="n"/>
      <c r="C416" s="43" t="inlineStr">
        <is>
          <t>节段07</t>
        </is>
      </c>
      <c r="D416" s="43" t="inlineStr">
        <is>
          <t>Q420D</t>
        </is>
      </c>
      <c r="E416" s="43" t="n">
        <v>1800</v>
      </c>
      <c r="F416" s="43" t="n">
        <v>1200</v>
      </c>
      <c r="G416" s="43" t="n">
        <v>16</v>
      </c>
      <c r="H416" s="79">
        <f>(E416/1000)*(F416/1000)*(G416/1000)*7850</f>
        <v/>
      </c>
      <c r="I416" s="43" t="n">
        <v>2</v>
      </c>
      <c r="J416" s="80">
        <f>H416*I416</f>
        <v/>
      </c>
      <c r="K416" s="43" t="inlineStr">
        <is>
          <t>来源页74</t>
        </is>
      </c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</row>
    <row r="417" hidden="1" ht="20" customFormat="1" customHeight="1" s="30">
      <c r="A417" s="76" t="n"/>
      <c r="B417" s="76" t="n"/>
      <c r="C417" s="43" t="inlineStr">
        <is>
          <t>节段07</t>
        </is>
      </c>
      <c r="D417" s="43" t="inlineStr">
        <is>
          <t>Q420D</t>
        </is>
      </c>
      <c r="E417" s="43" t="n">
        <v>2057</v>
      </c>
      <c r="F417" s="43" t="n">
        <v>200</v>
      </c>
      <c r="G417" s="43" t="n">
        <v>16</v>
      </c>
      <c r="H417" s="79">
        <f>(E417/1000)*(F417/1000)*(G417/1000)*7850</f>
        <v/>
      </c>
      <c r="I417" s="43" t="n">
        <v>2</v>
      </c>
      <c r="J417" s="80">
        <f>H417*I417</f>
        <v/>
      </c>
      <c r="K417" s="43" t="inlineStr">
        <is>
          <t>来源页74</t>
        </is>
      </c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</row>
    <row r="418" ht="20" customFormat="1" customHeight="1" s="30">
      <c r="A418" s="76" t="n"/>
      <c r="B418" s="76" t="n"/>
      <c r="C418" s="43" t="inlineStr">
        <is>
          <t>节段07</t>
        </is>
      </c>
      <c r="D418" s="43" t="inlineStr">
        <is>
          <t>Q420D</t>
        </is>
      </c>
      <c r="E418" s="43" t="n">
        <v>8040</v>
      </c>
      <c r="F418" s="43" t="n">
        <v>320</v>
      </c>
      <c r="G418" s="43" t="n">
        <v>32</v>
      </c>
      <c r="H418" s="79">
        <f>(E418/1000)*(F418/1000)*(G418/1000)*7850</f>
        <v/>
      </c>
      <c r="I418" s="43" t="n">
        <v>4</v>
      </c>
      <c r="J418" s="80">
        <f>H418*I418</f>
        <v/>
      </c>
      <c r="K418" s="43" t="inlineStr">
        <is>
          <t>来源页74</t>
        </is>
      </c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</row>
    <row r="419" ht="20" customFormat="1" customHeight="1" s="30">
      <c r="A419" s="76" t="n"/>
      <c r="B419" s="74" t="n"/>
      <c r="C419" s="43" t="inlineStr">
        <is>
          <t>节段07</t>
        </is>
      </c>
      <c r="D419" s="43" t="inlineStr">
        <is>
          <t>Q420D</t>
        </is>
      </c>
      <c r="E419" s="43" t="n">
        <v>6941</v>
      </c>
      <c r="F419" s="43" t="n">
        <v>320</v>
      </c>
      <c r="G419" s="43" t="n">
        <v>32</v>
      </c>
      <c r="H419" s="79">
        <f>(E419/1000)*(F419/1000)*(G419/1000)*7850</f>
        <v/>
      </c>
      <c r="I419" s="43" t="n">
        <v>4</v>
      </c>
      <c r="J419" s="80">
        <f>H419*I419</f>
        <v/>
      </c>
      <c r="K419" s="43" t="inlineStr">
        <is>
          <t>来源页74</t>
        </is>
      </c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</row>
    <row r="420" hidden="1" ht="20" customFormat="1" customHeight="1" s="30">
      <c r="A420" s="76" t="n"/>
      <c r="B420" s="43" t="inlineStr"/>
      <c r="C420" s="43" t="inlineStr">
        <is>
          <t>节段07</t>
        </is>
      </c>
      <c r="D420" s="43" t="inlineStr">
        <is>
          <t>Q420D</t>
        </is>
      </c>
      <c r="E420" s="43" t="n">
        <v>14981</v>
      </c>
      <c r="F420" s="43" t="n">
        <v>170</v>
      </c>
      <c r="G420" s="43" t="n">
        <v>14</v>
      </c>
      <c r="H420" s="79">
        <f>(E420/1000)*(F420/1000)*(G420/1000)*7850</f>
        <v/>
      </c>
      <c r="I420" s="43" t="n">
        <v>2</v>
      </c>
      <c r="J420" s="80">
        <f>H420*I420</f>
        <v/>
      </c>
      <c r="K420" s="43" t="inlineStr">
        <is>
          <t>来源页74</t>
        </is>
      </c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</row>
    <row r="421" hidden="1" ht="20" customFormat="1" customHeight="1" s="30">
      <c r="A421" s="76" t="n"/>
      <c r="B421" s="76" t="n"/>
      <c r="C421" s="43" t="inlineStr">
        <is>
          <t>节段07</t>
        </is>
      </c>
      <c r="D421" s="43" t="inlineStr">
        <is>
          <t>Q420D</t>
        </is>
      </c>
      <c r="E421" s="43" t="n">
        <v>11812</v>
      </c>
      <c r="F421" s="43" t="n">
        <v>1200</v>
      </c>
      <c r="G421" s="43" t="n">
        <v>40</v>
      </c>
      <c r="H421" s="79">
        <f>(E421/1000)*(F421/1000)*(G421/1000)*7850</f>
        <v/>
      </c>
      <c r="I421" s="43" t="n">
        <v>1</v>
      </c>
      <c r="J421" s="80">
        <f>H421*I421</f>
        <v/>
      </c>
      <c r="K421" s="43" t="inlineStr">
        <is>
          <t>来源页74</t>
        </is>
      </c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</row>
    <row r="422" ht="20" customFormat="1" customHeight="1" s="30">
      <c r="A422" s="76" t="n"/>
      <c r="B422" s="76" t="n"/>
      <c r="C422" s="43" t="inlineStr">
        <is>
          <t>节段07</t>
        </is>
      </c>
      <c r="D422" s="43" t="inlineStr">
        <is>
          <t>Q420D</t>
        </is>
      </c>
      <c r="E422" s="43" t="n">
        <v>12012</v>
      </c>
      <c r="F422" s="43" t="n">
        <v>1200</v>
      </c>
      <c r="G422" s="43" t="n">
        <v>40</v>
      </c>
      <c r="H422" s="79">
        <f>(E422/1000)*(F422/1000)*(G422/1000)*7850</f>
        <v/>
      </c>
      <c r="I422" s="43" t="n">
        <v>1</v>
      </c>
      <c r="J422" s="80">
        <f>H422*I422</f>
        <v/>
      </c>
      <c r="K422" s="43" t="inlineStr">
        <is>
          <t>来源页74</t>
        </is>
      </c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</row>
    <row r="423" hidden="1" ht="20" customFormat="1" customHeight="1" s="30">
      <c r="A423" s="76" t="n"/>
      <c r="B423" s="74" t="n"/>
      <c r="C423" s="43" t="inlineStr">
        <is>
          <t>节段07</t>
        </is>
      </c>
      <c r="D423" s="43" t="inlineStr">
        <is>
          <t>Q420D</t>
        </is>
      </c>
      <c r="E423" s="43" t="n">
        <v>8212</v>
      </c>
      <c r="F423" s="43" t="n">
        <v>1760</v>
      </c>
      <c r="G423" s="43" t="n">
        <v>40</v>
      </c>
      <c r="H423" s="79">
        <f>(E423/1000)*(F423/1000)*(G423/1000)*7850</f>
        <v/>
      </c>
      <c r="I423" s="43" t="n">
        <v>2</v>
      </c>
      <c r="J423" s="80">
        <f>H423*I423</f>
        <v/>
      </c>
      <c r="K423" s="43" t="inlineStr">
        <is>
          <t>来源页74</t>
        </is>
      </c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</row>
    <row r="424" hidden="1" ht="20" customFormat="1" customHeight="1" s="30">
      <c r="A424" s="76" t="n"/>
      <c r="B424" s="43" t="inlineStr"/>
      <c r="C424" s="43" t="inlineStr">
        <is>
          <t>节段07</t>
        </is>
      </c>
      <c r="D424" s="43" t="inlineStr">
        <is>
          <t>Q420D</t>
        </is>
      </c>
      <c r="E424" s="44" t="n">
        <v>8212</v>
      </c>
      <c r="F424" s="43" t="n">
        <v>320</v>
      </c>
      <c r="G424" s="43" t="n">
        <v>32</v>
      </c>
      <c r="H424" s="79">
        <f>(E424/1000)*(F424/1000)*(G424/1000)*7850</f>
        <v/>
      </c>
      <c r="I424" s="43" t="n">
        <v>4</v>
      </c>
      <c r="J424" s="80">
        <f>H424*I424</f>
        <v/>
      </c>
      <c r="K424" s="6" t="inlineStr">
        <is>
          <t>来源页74</t>
        </is>
      </c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</row>
    <row r="425" hidden="1" ht="20" customFormat="1" customHeight="1" s="30">
      <c r="A425" s="76" t="n"/>
      <c r="B425" s="76" t="n"/>
      <c r="C425" s="43" t="inlineStr">
        <is>
          <t>节段07</t>
        </is>
      </c>
      <c r="D425" s="43" t="inlineStr">
        <is>
          <t>Q420D</t>
        </is>
      </c>
      <c r="E425" s="44" t="n">
        <v>10412</v>
      </c>
      <c r="F425" s="43" t="n">
        <v>320</v>
      </c>
      <c r="G425" s="43" t="n">
        <v>32</v>
      </c>
      <c r="H425" s="79">
        <f>(E425/1000)*(F425/1000)*(G425/1000)*7850</f>
        <v/>
      </c>
      <c r="I425" s="43" t="n">
        <v>1</v>
      </c>
      <c r="J425" s="80">
        <f>H425*I425</f>
        <v/>
      </c>
      <c r="K425" s="6" t="inlineStr">
        <is>
          <t>来源页74</t>
        </is>
      </c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</row>
    <row r="426" hidden="1" ht="20" customFormat="1" customHeight="1" s="30">
      <c r="A426" s="76" t="n"/>
      <c r="B426" s="74" t="n"/>
      <c r="C426" s="43" t="inlineStr">
        <is>
          <t>节段07</t>
        </is>
      </c>
      <c r="D426" s="43" t="inlineStr">
        <is>
          <t>Q420D</t>
        </is>
      </c>
      <c r="E426" s="44" t="n">
        <v>10612</v>
      </c>
      <c r="F426" s="43" t="n">
        <v>320</v>
      </c>
      <c r="G426" s="43" t="n">
        <v>32</v>
      </c>
      <c r="H426" s="79">
        <f>(E426/1000)*(F426/1000)*(G426/1000)*7850</f>
        <v/>
      </c>
      <c r="I426" s="43" t="n">
        <v>1</v>
      </c>
      <c r="J426" s="80">
        <f>H426*I426</f>
        <v/>
      </c>
      <c r="K426" s="6" t="inlineStr">
        <is>
          <t>来源页74</t>
        </is>
      </c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</row>
    <row r="427" hidden="1" ht="20" customFormat="1" customHeight="1" s="30">
      <c r="A427" s="76" t="n"/>
      <c r="B427" s="43" t="inlineStr"/>
      <c r="C427" s="43" t="inlineStr">
        <is>
          <t>节段07</t>
        </is>
      </c>
      <c r="D427" s="43" t="inlineStr">
        <is>
          <t>Q420D</t>
        </is>
      </c>
      <c r="E427" s="43" t="n">
        <v>1200</v>
      </c>
      <c r="F427" s="43" t="n">
        <v>1600</v>
      </c>
      <c r="G427" s="43" t="n">
        <v>16</v>
      </c>
      <c r="H427" s="79">
        <f>(E427/1000)*(F427/1000)*(G427/1000)*7850</f>
        <v/>
      </c>
      <c r="I427" s="43" t="n">
        <v>3</v>
      </c>
      <c r="J427" s="80">
        <f>H427*I427</f>
        <v/>
      </c>
      <c r="K427" s="43" t="inlineStr">
        <is>
          <t>来源页74</t>
        </is>
      </c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</row>
    <row r="428" hidden="1" ht="20" customFormat="1" customHeight="1" s="30">
      <c r="A428" s="76" t="n"/>
      <c r="B428" s="76" t="n"/>
      <c r="C428" s="43" t="inlineStr">
        <is>
          <t>节段07</t>
        </is>
      </c>
      <c r="D428" s="43" t="inlineStr">
        <is>
          <t>Q420D</t>
        </is>
      </c>
      <c r="E428" s="43" t="n">
        <v>5769</v>
      </c>
      <c r="F428" s="43" t="n">
        <v>1200</v>
      </c>
      <c r="G428" s="43" t="n">
        <v>40</v>
      </c>
      <c r="H428" s="79">
        <f>(E428/1000)*(F428/1000)*(G428/1000)*7850</f>
        <v/>
      </c>
      <c r="I428" s="43" t="n">
        <v>1</v>
      </c>
      <c r="J428" s="80">
        <f>H428*I428</f>
        <v/>
      </c>
      <c r="K428" s="43" t="inlineStr">
        <is>
          <t>来源页74</t>
        </is>
      </c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</row>
    <row r="429" hidden="1" ht="20" customFormat="1" customHeight="1" s="30">
      <c r="A429" s="76" t="n"/>
      <c r="B429" s="76" t="n"/>
      <c r="C429" s="43" t="inlineStr">
        <is>
          <t>节段07</t>
        </is>
      </c>
      <c r="D429" s="43" t="inlineStr">
        <is>
          <t>Q420D</t>
        </is>
      </c>
      <c r="E429" s="43" t="n">
        <v>5969</v>
      </c>
      <c r="F429" s="43" t="n">
        <v>1200</v>
      </c>
      <c r="G429" s="43" t="n">
        <v>40</v>
      </c>
      <c r="H429" s="79">
        <f>(E429/1000)*(F429/1000)*(G429/1000)*7850</f>
        <v/>
      </c>
      <c r="I429" s="43" t="n">
        <v>1</v>
      </c>
      <c r="J429" s="80">
        <f>H429*I429</f>
        <v/>
      </c>
      <c r="K429" s="43" t="inlineStr">
        <is>
          <t>来源页74</t>
        </is>
      </c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</row>
    <row r="430" ht="20" customFormat="1" customHeight="1" s="30">
      <c r="A430" s="76" t="n"/>
      <c r="B430" s="74" t="n"/>
      <c r="C430" s="43" t="inlineStr">
        <is>
          <t>节段07</t>
        </is>
      </c>
      <c r="D430" s="43" t="inlineStr">
        <is>
          <t>Q420D</t>
        </is>
      </c>
      <c r="E430" s="43" t="n">
        <v>3969</v>
      </c>
      <c r="F430" s="43" t="n">
        <v>1760</v>
      </c>
      <c r="G430" s="43" t="n">
        <v>40</v>
      </c>
      <c r="H430" s="79">
        <f>(E430/1000)*(F430/1000)*(G430/1000)*7850</f>
        <v/>
      </c>
      <c r="I430" s="43" t="n">
        <v>2</v>
      </c>
      <c r="J430" s="80">
        <f>H430*I430</f>
        <v/>
      </c>
      <c r="K430" s="43" t="inlineStr">
        <is>
          <t>来源页74</t>
        </is>
      </c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</row>
    <row r="431" hidden="1" ht="20" customFormat="1" customHeight="1" s="30">
      <c r="A431" s="74" t="n"/>
      <c r="B431" s="43" t="inlineStr">
        <is>
          <t>小计</t>
        </is>
      </c>
      <c r="C431" s="73" t="n"/>
      <c r="D431" s="43" t="n"/>
      <c r="E431" s="43" t="n"/>
      <c r="F431" s="43" t="n"/>
      <c r="G431" s="43" t="n"/>
      <c r="H431" s="79" t="n"/>
      <c r="I431" s="43" t="n"/>
      <c r="J431" s="80">
        <f>SUM(J403:J3777)</f>
        <v/>
      </c>
      <c r="K431" s="43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</row>
    <row r="432" hidden="1" ht="26" customFormat="1" customHeight="1" s="30">
      <c r="A432" s="43" t="inlineStr">
        <is>
          <t>N43</t>
        </is>
      </c>
      <c r="B432" s="43" t="inlineStr"/>
      <c r="C432" s="43" t="inlineStr">
        <is>
          <t>节段07</t>
        </is>
      </c>
      <c r="D432" s="43" t="inlineStr">
        <is>
          <t>Q420D</t>
        </is>
      </c>
      <c r="E432" s="43" t="n">
        <v>3969</v>
      </c>
      <c r="F432" s="43" t="n">
        <v>320</v>
      </c>
      <c r="G432" s="43" t="n">
        <v>32</v>
      </c>
      <c r="H432" s="79">
        <f>(E432/1000)*(F432/1000)*(G432/1000)*7850</f>
        <v/>
      </c>
      <c r="I432" s="43" t="n">
        <v>4</v>
      </c>
      <c r="J432" s="80">
        <f>H432*I432</f>
        <v/>
      </c>
      <c r="K432" s="43" t="inlineStr">
        <is>
          <t>来源页74</t>
        </is>
      </c>
      <c r="L432" s="43">
        <f>A432</f>
        <v/>
      </c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43" t="n"/>
    </row>
    <row r="433" hidden="1" ht="26" customFormat="1" customHeight="1" s="30">
      <c r="A433" s="43" t="inlineStr">
        <is>
          <t>N43a</t>
        </is>
      </c>
      <c r="B433" s="43" t="inlineStr"/>
      <c r="C433" s="43" t="inlineStr">
        <is>
          <t>节段07</t>
        </is>
      </c>
      <c r="D433" s="43" t="inlineStr">
        <is>
          <t>Q420D</t>
        </is>
      </c>
      <c r="E433" s="43" t="n">
        <v>5069</v>
      </c>
      <c r="F433" s="43" t="n">
        <v>320</v>
      </c>
      <c r="G433" s="43" t="n">
        <v>32</v>
      </c>
      <c r="H433" s="79">
        <f>(E433/1000)*(F433/1000)*(G433/1000)*7850</f>
        <v/>
      </c>
      <c r="I433" s="43" t="n">
        <v>1</v>
      </c>
      <c r="J433" s="80">
        <f>H433*I433</f>
        <v/>
      </c>
      <c r="K433" s="43" t="inlineStr">
        <is>
          <t>来源页74</t>
        </is>
      </c>
      <c r="L433" s="43">
        <f>A433</f>
        <v/>
      </c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43" t="n"/>
    </row>
    <row r="434" hidden="1" ht="20" customFormat="1" customHeight="1" s="30">
      <c r="A434" s="43" t="inlineStr">
        <is>
          <t>N43b</t>
        </is>
      </c>
      <c r="B434" s="43" t="inlineStr"/>
      <c r="C434" s="43" t="inlineStr">
        <is>
          <t>节段07</t>
        </is>
      </c>
      <c r="D434" s="43" t="inlineStr">
        <is>
          <t>Q420D</t>
        </is>
      </c>
      <c r="E434" s="43" t="n">
        <v>5269</v>
      </c>
      <c r="F434" s="43" t="n">
        <v>320</v>
      </c>
      <c r="G434" s="43" t="n">
        <v>32</v>
      </c>
      <c r="H434" s="79">
        <f>(E434/1000)*(F434/1000)*(G434/1000)*7850</f>
        <v/>
      </c>
      <c r="I434" s="43" t="n">
        <v>1</v>
      </c>
      <c r="J434" s="80">
        <f>H434*I434</f>
        <v/>
      </c>
      <c r="K434" s="43" t="inlineStr">
        <is>
          <t>来源页74</t>
        </is>
      </c>
      <c r="L434" s="43">
        <f>A434</f>
        <v/>
      </c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43" t="n"/>
    </row>
    <row r="435" ht="20" customFormat="1" customHeight="1" s="30">
      <c r="A435" s="43" t="inlineStr">
        <is>
          <t>N44</t>
        </is>
      </c>
      <c r="B435" s="43" t="inlineStr"/>
      <c r="C435" s="43" t="inlineStr">
        <is>
          <t>节段07</t>
        </is>
      </c>
      <c r="D435" s="43" t="inlineStr">
        <is>
          <t>Q420D</t>
        </is>
      </c>
      <c r="E435" s="43" t="n">
        <v>1200</v>
      </c>
      <c r="F435" s="43" t="n">
        <v>1600</v>
      </c>
      <c r="G435" s="43" t="n">
        <v>16</v>
      </c>
      <c r="H435" s="79">
        <f>(E435/1000)*(F435/1000)*(G435/1000)*7850</f>
        <v/>
      </c>
      <c r="I435" s="43" t="n">
        <v>2</v>
      </c>
      <c r="J435" s="80">
        <f>H435*I435</f>
        <v/>
      </c>
      <c r="K435" s="43" t="inlineStr">
        <is>
          <t>来源页74</t>
        </is>
      </c>
      <c r="L435" s="43">
        <f>A435</f>
        <v/>
      </c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43" t="n"/>
    </row>
    <row r="436">
      <c r="A436" s="43" t="inlineStr">
        <is>
          <t>N51</t>
        </is>
      </c>
      <c r="B436" s="43" t="inlineStr"/>
      <c r="C436" s="43" t="inlineStr">
        <is>
          <t>节段07</t>
        </is>
      </c>
      <c r="D436" s="43" t="inlineStr">
        <is>
          <t>Q420D</t>
        </is>
      </c>
      <c r="E436" s="43" t="n">
        <v>5853</v>
      </c>
      <c r="F436" s="43" t="n">
        <v>1200</v>
      </c>
      <c r="G436" s="43" t="n">
        <v>40</v>
      </c>
      <c r="H436" s="79">
        <f>(E436/1000)*(F436/1000)*(G436/1000)*7850</f>
        <v/>
      </c>
      <c r="I436" s="43" t="n">
        <v>1</v>
      </c>
      <c r="J436" s="80">
        <f>H436*I436</f>
        <v/>
      </c>
      <c r="K436" s="43" t="inlineStr">
        <is>
          <t>来源页74</t>
        </is>
      </c>
      <c r="L436" s="43">
        <f>A436</f>
        <v/>
      </c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43" t="n"/>
    </row>
    <row r="437">
      <c r="A437" s="43" t="inlineStr">
        <is>
          <t>N51a</t>
        </is>
      </c>
      <c r="B437" s="43" t="inlineStr"/>
      <c r="C437" s="43" t="inlineStr">
        <is>
          <t>节段07</t>
        </is>
      </c>
      <c r="D437" s="43" t="inlineStr">
        <is>
          <t>Q420D</t>
        </is>
      </c>
      <c r="E437" s="43" t="n">
        <v>6053</v>
      </c>
      <c r="F437" s="43" t="n">
        <v>1200</v>
      </c>
      <c r="G437" s="43" t="n">
        <v>40</v>
      </c>
      <c r="H437" s="79">
        <f>(E437/1000)*(F437/1000)*(G437/1000)*7850</f>
        <v/>
      </c>
      <c r="I437" s="43" t="n">
        <v>1</v>
      </c>
      <c r="J437" s="80">
        <f>H437*I437</f>
        <v/>
      </c>
      <c r="K437" s="43" t="inlineStr">
        <is>
          <t>来源页74</t>
        </is>
      </c>
      <c r="L437" s="43">
        <f>A437</f>
        <v/>
      </c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43" t="n"/>
    </row>
    <row r="438">
      <c r="A438" s="43" t="inlineStr">
        <is>
          <t>N52</t>
        </is>
      </c>
      <c r="B438" s="43" t="inlineStr"/>
      <c r="C438" s="43" t="inlineStr">
        <is>
          <t>节段07</t>
        </is>
      </c>
      <c r="D438" s="43" t="inlineStr">
        <is>
          <t>Q420D</t>
        </is>
      </c>
      <c r="E438" s="43" t="n">
        <v>4053</v>
      </c>
      <c r="F438" s="43" t="n">
        <v>1760</v>
      </c>
      <c r="G438" s="43" t="n">
        <v>40</v>
      </c>
      <c r="H438" s="79">
        <f>(E438/1000)*(F438/1000)*(G438/1000)*7850</f>
        <v/>
      </c>
      <c r="I438" s="43" t="n">
        <v>2</v>
      </c>
      <c r="J438" s="80">
        <f>H438*I438</f>
        <v/>
      </c>
      <c r="K438" s="43" t="inlineStr">
        <is>
          <t>来源页74</t>
        </is>
      </c>
      <c r="L438" s="43">
        <f>A438</f>
        <v/>
      </c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43" t="n"/>
    </row>
    <row r="439">
      <c r="A439" s="43" t="inlineStr">
        <is>
          <t>N53</t>
        </is>
      </c>
      <c r="B439" s="43" t="inlineStr"/>
      <c r="C439" s="43" t="inlineStr">
        <is>
          <t>节段07</t>
        </is>
      </c>
      <c r="D439" s="43" t="inlineStr">
        <is>
          <t>Q420D</t>
        </is>
      </c>
      <c r="E439" s="43" t="n">
        <v>4053</v>
      </c>
      <c r="F439" s="43" t="n">
        <v>320</v>
      </c>
      <c r="G439" s="43" t="n">
        <v>32</v>
      </c>
      <c r="H439" s="79">
        <f>(E439/1000)*(F439/1000)*(G439/1000)*7850</f>
        <v/>
      </c>
      <c r="I439" s="43" t="n">
        <v>4</v>
      </c>
      <c r="J439" s="80">
        <f>H439*I439</f>
        <v/>
      </c>
      <c r="K439" s="43" t="inlineStr">
        <is>
          <t>来源页74</t>
        </is>
      </c>
      <c r="L439" s="43">
        <f>A439</f>
        <v/>
      </c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43" t="n"/>
    </row>
    <row r="440">
      <c r="A440" s="43" t="inlineStr">
        <is>
          <t>N53a</t>
        </is>
      </c>
      <c r="B440" s="43" t="inlineStr"/>
      <c r="C440" s="43" t="inlineStr">
        <is>
          <t>节段07</t>
        </is>
      </c>
      <c r="D440" s="43" t="inlineStr">
        <is>
          <t>Q420D</t>
        </is>
      </c>
      <c r="E440" s="43" t="n">
        <v>5153</v>
      </c>
      <c r="F440" s="43" t="n">
        <v>320</v>
      </c>
      <c r="G440" s="43" t="n">
        <v>32</v>
      </c>
      <c r="H440" s="79">
        <f>(E440/1000)*(F440/1000)*(G440/1000)*7850</f>
        <v/>
      </c>
      <c r="I440" s="43" t="n">
        <v>1</v>
      </c>
      <c r="J440" s="80">
        <f>H440*I440</f>
        <v/>
      </c>
      <c r="K440" s="43" t="inlineStr">
        <is>
          <t>来源页74</t>
        </is>
      </c>
      <c r="L440" s="43">
        <f>A440</f>
        <v/>
      </c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43" t="n"/>
    </row>
    <row r="441">
      <c r="A441" s="43" t="inlineStr">
        <is>
          <t>N53b</t>
        </is>
      </c>
      <c r="B441" s="43" t="inlineStr"/>
      <c r="C441" s="43" t="inlineStr">
        <is>
          <t>节段07</t>
        </is>
      </c>
      <c r="D441" s="43" t="inlineStr">
        <is>
          <t>Q420D</t>
        </is>
      </c>
      <c r="E441" s="43" t="n">
        <v>5353</v>
      </c>
      <c r="F441" s="43" t="n">
        <v>320</v>
      </c>
      <c r="G441" s="43" t="n">
        <v>32</v>
      </c>
      <c r="H441" s="79">
        <f>(E441/1000)*(F441/1000)*(G441/1000)*7850</f>
        <v/>
      </c>
      <c r="I441" s="43" t="n">
        <v>1</v>
      </c>
      <c r="J441" s="80">
        <f>H441*I441</f>
        <v/>
      </c>
      <c r="K441" s="43" t="inlineStr">
        <is>
          <t>来源页74</t>
        </is>
      </c>
      <c r="L441" s="43">
        <f>A441</f>
        <v/>
      </c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43" t="n"/>
    </row>
    <row r="442">
      <c r="A442" s="43" t="inlineStr">
        <is>
          <t>N54</t>
        </is>
      </c>
      <c r="B442" s="43" t="inlineStr"/>
      <c r="C442" s="43" t="inlineStr">
        <is>
          <t>节段07</t>
        </is>
      </c>
      <c r="D442" s="43" t="inlineStr">
        <is>
          <t>Q420D</t>
        </is>
      </c>
      <c r="E442" s="43" t="n">
        <v>1200</v>
      </c>
      <c r="F442" s="43" t="n">
        <v>1600</v>
      </c>
      <c r="G442" s="43" t="n">
        <v>16</v>
      </c>
      <c r="H442" s="79">
        <f>(E442/1000)*(F442/1000)*(G442/1000)*7850</f>
        <v/>
      </c>
      <c r="I442" s="43" t="n">
        <v>2</v>
      </c>
      <c r="J442" s="80">
        <f>H442*I442</f>
        <v/>
      </c>
      <c r="K442" s="43" t="inlineStr">
        <is>
          <t>来源页74</t>
        </is>
      </c>
      <c r="L442" s="43">
        <f>A442</f>
        <v/>
      </c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43" t="n"/>
    </row>
    <row r="443">
      <c r="A443" s="43" t="inlineStr">
        <is>
          <t>N55</t>
        </is>
      </c>
      <c r="B443" s="43" t="inlineStr"/>
      <c r="C443" s="43" t="inlineStr">
        <is>
          <t>节段07</t>
        </is>
      </c>
      <c r="D443" s="43" t="inlineStr">
        <is>
          <t>Q420D</t>
        </is>
      </c>
      <c r="E443" s="43" t="n">
        <v>2100</v>
      </c>
      <c r="F443" s="43" t="n">
        <v>320</v>
      </c>
      <c r="G443" s="43" t="n">
        <v>32</v>
      </c>
      <c r="H443" s="79">
        <f>(E443/1000)*(F443/1000)*(G443/1000)*7850</f>
        <v/>
      </c>
      <c r="I443" s="43" t="n">
        <v>8</v>
      </c>
      <c r="J443" s="80">
        <f>H443*I443</f>
        <v/>
      </c>
      <c r="K443" s="43" t="inlineStr">
        <is>
          <t>来源页74</t>
        </is>
      </c>
      <c r="L443" s="43">
        <f>A443</f>
        <v/>
      </c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43" t="n"/>
    </row>
    <row r="444">
      <c r="A444" s="43" t="inlineStr">
        <is>
          <t>N56</t>
        </is>
      </c>
      <c r="B444" s="43" t="inlineStr"/>
      <c r="C444" s="43" t="inlineStr">
        <is>
          <t>节段07</t>
        </is>
      </c>
      <c r="D444" s="43" t="inlineStr">
        <is>
          <t>Q420D</t>
        </is>
      </c>
      <c r="E444" s="43" t="n">
        <v>2000</v>
      </c>
      <c r="F444" s="43" t="n">
        <v>320</v>
      </c>
      <c r="G444" s="43" t="n">
        <v>32</v>
      </c>
      <c r="H444" s="79">
        <f>(E444/1000)*(F444/1000)*(G444/1000)*7850</f>
        <v/>
      </c>
      <c r="I444" s="43" t="n">
        <v>8</v>
      </c>
      <c r="J444" s="80">
        <f>H444*I444</f>
        <v/>
      </c>
      <c r="K444" s="43" t="inlineStr">
        <is>
          <t>来源页74</t>
        </is>
      </c>
      <c r="L444" s="43">
        <f>A444</f>
        <v/>
      </c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43" t="n"/>
    </row>
    <row r="445">
      <c r="A445" s="43" t="inlineStr">
        <is>
          <t>N61</t>
        </is>
      </c>
      <c r="B445" s="43" t="inlineStr"/>
      <c r="C445" s="43" t="inlineStr">
        <is>
          <t>节段07</t>
        </is>
      </c>
      <c r="D445" s="43" t="inlineStr">
        <is>
          <t>Q355D</t>
        </is>
      </c>
      <c r="E445" s="43" t="n">
        <v>1960</v>
      </c>
      <c r="F445" s="43" t="n">
        <v>606</v>
      </c>
      <c r="G445" s="43" t="n">
        <v>14</v>
      </c>
      <c r="H445" s="79">
        <f>(E445/1000)*(F445/1000)*(G445/1000)*7850</f>
        <v/>
      </c>
      <c r="I445" s="43" t="n">
        <v>6</v>
      </c>
      <c r="J445" s="80">
        <f>H445*I445</f>
        <v/>
      </c>
      <c r="K445" s="43" t="inlineStr">
        <is>
          <t>来源页74</t>
        </is>
      </c>
      <c r="L445" s="43">
        <f>A445</f>
        <v/>
      </c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43" t="n"/>
    </row>
    <row r="446">
      <c r="A446" s="43" t="inlineStr">
        <is>
          <t>N61a</t>
        </is>
      </c>
      <c r="B446" s="43" t="inlineStr"/>
      <c r="C446" s="43" t="inlineStr">
        <is>
          <t>节段07</t>
        </is>
      </c>
      <c r="D446" s="43" t="inlineStr">
        <is>
          <t>Q355D</t>
        </is>
      </c>
      <c r="E446" s="43" t="n">
        <v>1960</v>
      </c>
      <c r="F446" s="43" t="n">
        <v>602</v>
      </c>
      <c r="G446" s="43" t="n">
        <v>14</v>
      </c>
      <c r="H446" s="79">
        <f>(E446/1000)*(F446/1000)*(G446/1000)*7850</f>
        <v/>
      </c>
      <c r="I446" s="43" t="n">
        <v>4</v>
      </c>
      <c r="J446" s="80">
        <f>H446*I446</f>
        <v/>
      </c>
      <c r="K446" s="43" t="inlineStr">
        <is>
          <t>来源页74</t>
        </is>
      </c>
      <c r="L446" s="43">
        <f>A446</f>
        <v/>
      </c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43" t="n"/>
    </row>
    <row r="447">
      <c r="A447" s="43" t="inlineStr">
        <is>
          <t>N62</t>
        </is>
      </c>
      <c r="B447" s="43" t="inlineStr"/>
      <c r="C447" s="43" t="inlineStr">
        <is>
          <t>节段07</t>
        </is>
      </c>
      <c r="D447" s="43" t="inlineStr">
        <is>
          <t>Q355D</t>
        </is>
      </c>
      <c r="E447" s="43" t="n"/>
      <c r="F447" s="43" t="n"/>
      <c r="G447" s="43" t="n">
        <v>24</v>
      </c>
      <c r="H447" s="79">
        <f>(E447/1000)*(F447/1000)*(G447/1000)*7850</f>
        <v/>
      </c>
      <c r="I447" s="43" t="n">
        <v>4</v>
      </c>
      <c r="J447" s="80">
        <f>H447*I447</f>
        <v/>
      </c>
      <c r="K447" s="43" t="inlineStr">
        <is>
          <t>来源页74</t>
        </is>
      </c>
      <c r="L447" s="43">
        <f>A447</f>
        <v/>
      </c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43" t="n"/>
    </row>
    <row r="448">
      <c r="A448" s="43" t="inlineStr">
        <is>
          <t>N62a</t>
        </is>
      </c>
      <c r="B448" s="43" t="inlineStr"/>
      <c r="C448" s="43" t="inlineStr">
        <is>
          <t>节段07</t>
        </is>
      </c>
      <c r="D448" s="43" t="inlineStr">
        <is>
          <t>Q355D</t>
        </is>
      </c>
      <c r="E448" s="43" t="n"/>
      <c r="F448" s="43" t="n"/>
      <c r="G448" s="43" t="n">
        <v>24</v>
      </c>
      <c r="H448" s="79">
        <f>(E448/1000)*(F448/1000)*(G448/1000)*7850</f>
        <v/>
      </c>
      <c r="I448" s="43" t="n">
        <v>4</v>
      </c>
      <c r="J448" s="80">
        <f>H448*I448</f>
        <v/>
      </c>
      <c r="K448" s="43" t="inlineStr">
        <is>
          <t>来源页74</t>
        </is>
      </c>
      <c r="L448" s="43">
        <f>A448</f>
        <v/>
      </c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43" t="n"/>
    </row>
    <row r="449">
      <c r="A449" s="43" t="inlineStr">
        <is>
          <t>N63</t>
        </is>
      </c>
      <c r="B449" s="43" t="inlineStr"/>
      <c r="C449" s="43" t="inlineStr">
        <is>
          <t>节段07</t>
        </is>
      </c>
      <c r="D449" s="43" t="inlineStr">
        <is>
          <t>Q355D</t>
        </is>
      </c>
      <c r="E449" s="43" t="n">
        <v>1800</v>
      </c>
      <c r="F449" s="43" t="n">
        <v>606</v>
      </c>
      <c r="G449" s="43" t="n">
        <v>14</v>
      </c>
      <c r="H449" s="79">
        <f>(E449/1000)*(F449/1000)*(G449/1000)*7850</f>
        <v/>
      </c>
      <c r="I449" s="43" t="n">
        <v>4</v>
      </c>
      <c r="J449" s="80">
        <f>H449*I449</f>
        <v/>
      </c>
      <c r="K449" s="43" t="inlineStr">
        <is>
          <t>来源页74</t>
        </is>
      </c>
      <c r="L449" s="43">
        <f>A449</f>
        <v/>
      </c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43" t="n"/>
    </row>
    <row r="450">
      <c r="A450" s="43" t="inlineStr">
        <is>
          <t>N81</t>
        </is>
      </c>
      <c r="B450" s="43" t="inlineStr"/>
      <c r="C450" s="43" t="inlineStr">
        <is>
          <t>节段07</t>
        </is>
      </c>
      <c r="D450" s="43" t="inlineStr">
        <is>
          <t>Q420D</t>
        </is>
      </c>
      <c r="E450" s="43" t="n">
        <v>1800</v>
      </c>
      <c r="F450" s="43" t="n">
        <v>1200</v>
      </c>
      <c r="G450" s="43" t="n">
        <v>32</v>
      </c>
      <c r="H450" s="79">
        <f>(E450/1000)*(F450/1000)*(G450/1000)*7850</f>
        <v/>
      </c>
      <c r="I450" s="43" t="n">
        <v>5</v>
      </c>
      <c r="J450" s="80">
        <f>H450*I450</f>
        <v/>
      </c>
      <c r="K450" s="43" t="inlineStr">
        <is>
          <t>来源页74</t>
        </is>
      </c>
      <c r="L450" s="43">
        <f>A450</f>
        <v/>
      </c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43" t="n"/>
    </row>
    <row r="451">
      <c r="A451" s="43" t="inlineStr">
        <is>
          <t>N83</t>
        </is>
      </c>
      <c r="B451" s="43" t="inlineStr"/>
      <c r="C451" s="43" t="inlineStr">
        <is>
          <t>节段07</t>
        </is>
      </c>
      <c r="D451" s="43" t="inlineStr">
        <is>
          <t>Q420D</t>
        </is>
      </c>
      <c r="E451" s="43" t="n">
        <v>2800</v>
      </c>
      <c r="F451" s="43" t="n">
        <v>2650</v>
      </c>
      <c r="G451" s="43" t="n">
        <v>100</v>
      </c>
      <c r="H451" s="79">
        <f>(E451/1000)*(F451/1000)*(G451/1000)*7850</f>
        <v/>
      </c>
      <c r="I451" s="43" t="n">
        <v>1</v>
      </c>
      <c r="J451" s="80">
        <f>H451*I451</f>
        <v/>
      </c>
      <c r="K451" s="43" t="inlineStr">
        <is>
          <t>来源页74</t>
        </is>
      </c>
      <c r="L451" s="43">
        <f>A451</f>
        <v/>
      </c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43" t="n"/>
    </row>
    <row r="452">
      <c r="A452" s="43" t="inlineStr">
        <is>
          <t>N84</t>
        </is>
      </c>
      <c r="B452" s="43" t="inlineStr"/>
      <c r="C452" s="43" t="inlineStr">
        <is>
          <t>节段07</t>
        </is>
      </c>
      <c r="D452" s="43" t="inlineStr">
        <is>
          <t>Q420D</t>
        </is>
      </c>
      <c r="E452" s="43" t="n">
        <v>1000</v>
      </c>
      <c r="F452" s="43" t="n">
        <v>568</v>
      </c>
      <c r="G452" s="43" t="n">
        <v>32</v>
      </c>
      <c r="H452" s="79">
        <f>(E452/1000)*(F452/1000)*(G452/1000)*7850</f>
        <v/>
      </c>
      <c r="I452" s="43" t="n">
        <v>4</v>
      </c>
      <c r="J452" s="80">
        <f>H452*I452</f>
        <v/>
      </c>
      <c r="K452" s="43" t="inlineStr">
        <is>
          <t>来源页74</t>
        </is>
      </c>
      <c r="L452" s="43">
        <f>A452</f>
        <v/>
      </c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43" t="n"/>
    </row>
    <row r="453">
      <c r="A453" s="43" t="inlineStr">
        <is>
          <t>N85</t>
        </is>
      </c>
      <c r="B453" s="43" t="inlineStr"/>
      <c r="C453" s="43" t="inlineStr">
        <is>
          <t>节段07</t>
        </is>
      </c>
      <c r="D453" s="43" t="inlineStr">
        <is>
          <t>Q420D</t>
        </is>
      </c>
      <c r="E453" s="43" t="n">
        <v>1350</v>
      </c>
      <c r="F453" s="43" t="n">
        <v>570</v>
      </c>
      <c r="G453" s="43" t="n">
        <v>32</v>
      </c>
      <c r="H453" s="79">
        <f>(E453/1000)*(F453/1000)*(G453/1000)*7850</f>
        <v/>
      </c>
      <c r="I453" s="43" t="n">
        <v>4</v>
      </c>
      <c r="J453" s="80">
        <f>H453*I453</f>
        <v/>
      </c>
      <c r="K453" s="43" t="inlineStr">
        <is>
          <t>来源页74</t>
        </is>
      </c>
      <c r="L453" s="43">
        <f>A453</f>
        <v/>
      </c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43" t="n"/>
    </row>
    <row r="454">
      <c r="A454" s="43" t="inlineStr"/>
      <c r="B454" s="43" t="inlineStr"/>
      <c r="C454" s="43" t="inlineStr">
        <is>
          <t>节段6~节段7</t>
        </is>
      </c>
      <c r="D454" s="43" t="inlineStr">
        <is>
          <t>Q420D</t>
        </is>
      </c>
      <c r="E454" s="43" t="n"/>
      <c r="F454" s="43" t="n"/>
      <c r="G454" s="43" t="n">
        <v>44</v>
      </c>
      <c r="H454" s="79">
        <f>(E454/1000)*(F454/1000)*(G454/1000)*7850</f>
        <v/>
      </c>
      <c r="I454" s="43" t="n">
        <v>1</v>
      </c>
      <c r="J454" s="80">
        <f>H454*I454</f>
        <v/>
      </c>
      <c r="K454" s="43" t="inlineStr">
        <is>
          <t>来源页74</t>
        </is>
      </c>
      <c r="L454" s="43">
        <f>A454</f>
        <v/>
      </c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43" t="n"/>
    </row>
    <row r="455">
      <c r="A455" s="43" t="inlineStr"/>
      <c r="B455" s="43" t="inlineStr"/>
      <c r="C455" s="43" t="inlineStr">
        <is>
          <t>节段6~节段7</t>
        </is>
      </c>
      <c r="D455" s="43" t="inlineStr">
        <is>
          <t>Q420D</t>
        </is>
      </c>
      <c r="E455" s="43" t="n"/>
      <c r="F455" s="43" t="n"/>
      <c r="G455" s="43" t="n">
        <v>40</v>
      </c>
      <c r="H455" s="79">
        <f>(E455/1000)*(F455/1000)*(G455/1000)*7850</f>
        <v/>
      </c>
      <c r="I455" s="43" t="n">
        <v>1</v>
      </c>
      <c r="J455" s="80">
        <f>H455*I455</f>
        <v/>
      </c>
      <c r="K455" s="43" t="inlineStr">
        <is>
          <t>来源页74</t>
        </is>
      </c>
      <c r="L455" s="43">
        <f>A455</f>
        <v/>
      </c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43" t="n"/>
    </row>
    <row r="456">
      <c r="A456" s="43" t="inlineStr"/>
      <c r="B456" s="43" t="inlineStr"/>
      <c r="C456" s="43" t="inlineStr">
        <is>
          <t>节段6~节段7</t>
        </is>
      </c>
      <c r="D456" s="43" t="inlineStr">
        <is>
          <t>Q420D</t>
        </is>
      </c>
      <c r="E456" s="43" t="n"/>
      <c r="F456" s="43" t="n"/>
      <c r="G456" s="43" t="n">
        <v>36</v>
      </c>
      <c r="H456" s="79">
        <f>(E456/1000)*(F456/1000)*(G456/1000)*7850</f>
        <v/>
      </c>
      <c r="I456" s="43" t="n">
        <v>1</v>
      </c>
      <c r="J456" s="80">
        <f>H456*I456</f>
        <v/>
      </c>
      <c r="K456" s="43" t="inlineStr">
        <is>
          <t>来源页74</t>
        </is>
      </c>
      <c r="L456" s="43">
        <f>A456</f>
        <v/>
      </c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43" t="n"/>
    </row>
    <row r="457">
      <c r="A457" s="43" t="inlineStr"/>
      <c r="B457" s="43" t="inlineStr"/>
      <c r="C457" s="43" t="inlineStr">
        <is>
          <t>节段6~节段7</t>
        </is>
      </c>
      <c r="D457" s="43" t="inlineStr">
        <is>
          <t>Q420D</t>
        </is>
      </c>
      <c r="E457" s="43" t="n"/>
      <c r="F457" s="43" t="n"/>
      <c r="G457" s="43" t="n">
        <v>32</v>
      </c>
      <c r="H457" s="79">
        <f>(E457/1000)*(F457/1000)*(G457/1000)*7850</f>
        <v/>
      </c>
      <c r="I457" s="43" t="n">
        <v>1</v>
      </c>
      <c r="J457" s="80">
        <f>H457*I457</f>
        <v/>
      </c>
      <c r="K457" s="43" t="inlineStr">
        <is>
          <t>来源页74</t>
        </is>
      </c>
      <c r="L457" s="43">
        <f>A457</f>
        <v/>
      </c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43" t="n"/>
    </row>
    <row r="458">
      <c r="A458" s="43" t="inlineStr"/>
      <c r="B458" s="43" t="inlineStr"/>
      <c r="C458" s="43" t="inlineStr">
        <is>
          <t>节段6~节段7</t>
        </is>
      </c>
      <c r="D458" s="43" t="inlineStr">
        <is>
          <t>Q420D</t>
        </is>
      </c>
      <c r="E458" s="43" t="n"/>
      <c r="F458" s="43" t="n"/>
      <c r="G458" s="43" t="n">
        <v>28</v>
      </c>
      <c r="H458" s="79">
        <f>(E458/1000)*(F458/1000)*(G458/1000)*7850</f>
        <v/>
      </c>
      <c r="I458" s="43" t="n">
        <v>1</v>
      </c>
      <c r="J458" s="80">
        <f>H458*I458</f>
        <v/>
      </c>
      <c r="K458" s="43" t="inlineStr">
        <is>
          <t>来源页74</t>
        </is>
      </c>
      <c r="L458" s="43">
        <f>A458</f>
        <v/>
      </c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43" t="n"/>
    </row>
    <row r="459">
      <c r="A459" s="43" t="inlineStr"/>
      <c r="B459" s="43" t="inlineStr"/>
      <c r="C459" s="43" t="inlineStr">
        <is>
          <t>节段6~节段7</t>
        </is>
      </c>
      <c r="D459" s="43" t="inlineStr">
        <is>
          <t>Q420D</t>
        </is>
      </c>
      <c r="E459" s="43" t="n"/>
      <c r="F459" s="43" t="n"/>
      <c r="G459" s="43" t="n">
        <v>24</v>
      </c>
      <c r="H459" s="79">
        <f>(E459/1000)*(F459/1000)*(G459/1000)*7850</f>
        <v/>
      </c>
      <c r="I459" s="43" t="n">
        <v>1</v>
      </c>
      <c r="J459" s="80">
        <f>H459*I459</f>
        <v/>
      </c>
      <c r="K459" s="43" t="inlineStr">
        <is>
          <t>来源页74</t>
        </is>
      </c>
      <c r="L459" s="43">
        <f>A459</f>
        <v/>
      </c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43" t="n"/>
    </row>
    <row r="460">
      <c r="A460" s="43" t="inlineStr"/>
      <c r="B460" s="43" t="inlineStr"/>
      <c r="C460" s="43" t="inlineStr">
        <is>
          <t>节段6~节段7</t>
        </is>
      </c>
      <c r="D460" s="43" t="inlineStr">
        <is>
          <t>10.9S高强螺栓</t>
        </is>
      </c>
      <c r="E460" s="43" t="n"/>
      <c r="F460" s="43" t="n"/>
      <c r="G460" s="43" t="n"/>
      <c r="H460" s="79">
        <f>(E460/1000)*(F460/1000)*(G460/1000)*7850</f>
        <v/>
      </c>
      <c r="I460" s="43" t="n">
        <v>1</v>
      </c>
      <c r="J460" s="80">
        <f>H460*I460</f>
        <v/>
      </c>
      <c r="K460" s="43" t="inlineStr">
        <is>
          <t>来源页74</t>
        </is>
      </c>
      <c r="L460" s="43">
        <f>A460</f>
        <v/>
      </c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43" t="n"/>
    </row>
    <row r="461">
      <c r="A461" s="43" t="inlineStr">
        <is>
          <t>P1</t>
        </is>
      </c>
      <c r="B461" s="43" t="inlineStr">
        <is>
          <t>上弦杆拼接</t>
        </is>
      </c>
      <c r="C461" s="43" t="inlineStr">
        <is>
          <t>节段7~节段8</t>
        </is>
      </c>
      <c r="D461" s="43" t="inlineStr">
        <is>
          <t>Q420D</t>
        </is>
      </c>
      <c r="E461" s="43" t="n">
        <v>1820</v>
      </c>
      <c r="F461" s="43" t="n">
        <v>1800</v>
      </c>
      <c r="G461" s="43" t="n">
        <v>40</v>
      </c>
      <c r="H461" s="79">
        <f>(E461/1000)*(F461/1000)*(G461/1000)*7850</f>
        <v/>
      </c>
      <c r="I461" s="43" t="n">
        <v>2</v>
      </c>
      <c r="J461" s="80">
        <f>H461*I461</f>
        <v/>
      </c>
      <c r="K461" s="43" t="inlineStr">
        <is>
          <t>来源页77</t>
        </is>
      </c>
      <c r="L461" s="43">
        <f>A461</f>
        <v/>
      </c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43" t="n"/>
    </row>
    <row r="462">
      <c r="A462" s="43" t="inlineStr">
        <is>
          <t>P2</t>
        </is>
      </c>
      <c r="B462" s="43" t="inlineStr">
        <is>
          <t>上弦杆拼接</t>
        </is>
      </c>
      <c r="C462" s="43" t="inlineStr">
        <is>
          <t>节段7~节段8</t>
        </is>
      </c>
      <c r="D462" s="43" t="inlineStr">
        <is>
          <t>Q420D</t>
        </is>
      </c>
      <c r="E462" s="43" t="n">
        <v>1820</v>
      </c>
      <c r="F462" s="43" t="n">
        <v>500</v>
      </c>
      <c r="G462" s="43" t="n">
        <v>40</v>
      </c>
      <c r="H462" s="79">
        <f>(E462/1000)*(F462/1000)*(G462/1000)*7850</f>
        <v/>
      </c>
      <c r="I462" s="43" t="n">
        <v>2</v>
      </c>
      <c r="J462" s="80">
        <f>H462*I462</f>
        <v/>
      </c>
      <c r="K462" s="43" t="inlineStr">
        <is>
          <t>来源页77</t>
        </is>
      </c>
      <c r="L462" s="43">
        <f>A462</f>
        <v/>
      </c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43" t="n"/>
    </row>
    <row r="463">
      <c r="A463" s="43" t="inlineStr">
        <is>
          <t>P3</t>
        </is>
      </c>
      <c r="B463" s="43" t="inlineStr">
        <is>
          <t>上弦杆拼接</t>
        </is>
      </c>
      <c r="C463" s="43" t="inlineStr">
        <is>
          <t>节段7~节段8</t>
        </is>
      </c>
      <c r="D463" s="43" t="inlineStr">
        <is>
          <t>Q420D</t>
        </is>
      </c>
      <c r="E463" s="43" t="n">
        <v>1820</v>
      </c>
      <c r="F463" s="43" t="n">
        <v>500</v>
      </c>
      <c r="G463" s="43" t="n">
        <v>40</v>
      </c>
      <c r="H463" s="79">
        <f>(E463/1000)*(F463/1000)*(G463/1000)*7850</f>
        <v/>
      </c>
      <c r="I463" s="43" t="n">
        <v>2</v>
      </c>
      <c r="J463" s="80">
        <f>H463*I463</f>
        <v/>
      </c>
      <c r="K463" s="43" t="inlineStr">
        <is>
          <t>来源页77</t>
        </is>
      </c>
      <c r="L463" s="43">
        <f>A463</f>
        <v/>
      </c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43" t="n"/>
    </row>
    <row r="464">
      <c r="A464" s="43" t="inlineStr">
        <is>
          <t>P4</t>
        </is>
      </c>
      <c r="B464" s="43" t="inlineStr">
        <is>
          <t>上弦杆拼接</t>
        </is>
      </c>
      <c r="C464" s="43" t="inlineStr">
        <is>
          <t>节段7~节段8</t>
        </is>
      </c>
      <c r="D464" s="43" t="inlineStr">
        <is>
          <t>Q420D</t>
        </is>
      </c>
      <c r="E464" s="43" t="n">
        <v>1820</v>
      </c>
      <c r="F464" s="43" t="n">
        <v>600</v>
      </c>
      <c r="G464" s="43" t="n">
        <v>40</v>
      </c>
      <c r="H464" s="79">
        <f>(E464/1000)*(F464/1000)*(G464/1000)*7850</f>
        <v/>
      </c>
      <c r="I464" s="43" t="n">
        <v>2</v>
      </c>
      <c r="J464" s="80">
        <f>H464*I464</f>
        <v/>
      </c>
      <c r="K464" s="43" t="inlineStr">
        <is>
          <t>来源页77</t>
        </is>
      </c>
      <c r="L464" s="43">
        <f>A464</f>
        <v/>
      </c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43" t="n"/>
    </row>
    <row r="465">
      <c r="A465" s="43" t="inlineStr">
        <is>
          <t>P5</t>
        </is>
      </c>
      <c r="B465" s="43" t="inlineStr">
        <is>
          <t>上弦杆拼接</t>
        </is>
      </c>
      <c r="C465" s="43" t="inlineStr">
        <is>
          <t>节段7~节段8</t>
        </is>
      </c>
      <c r="D465" s="43" t="inlineStr">
        <is>
          <t>Q420D</t>
        </is>
      </c>
      <c r="E465" s="43" t="n">
        <v>1720</v>
      </c>
      <c r="F465" s="43" t="n">
        <v>1100</v>
      </c>
      <c r="G465" s="43" t="n">
        <v>44</v>
      </c>
      <c r="H465" s="79">
        <f>(E465/1000)*(F465/1000)*(G465/1000)*7850</f>
        <v/>
      </c>
      <c r="I465" s="43" t="n">
        <v>1</v>
      </c>
      <c r="J465" s="80">
        <f>H465*I465</f>
        <v/>
      </c>
      <c r="K465" s="43" t="inlineStr">
        <is>
          <t>来源页77</t>
        </is>
      </c>
      <c r="L465" s="43">
        <f>A465</f>
        <v/>
      </c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43" t="n"/>
    </row>
    <row r="466">
      <c r="A466" s="43" t="inlineStr">
        <is>
          <t>P6</t>
        </is>
      </c>
      <c r="B466" s="43" t="inlineStr">
        <is>
          <t>上弦杆拼接</t>
        </is>
      </c>
      <c r="C466" s="43" t="inlineStr">
        <is>
          <t>节段7~节段8</t>
        </is>
      </c>
      <c r="D466" s="43" t="inlineStr">
        <is>
          <t>Q420D</t>
        </is>
      </c>
      <c r="E466" s="43" t="n">
        <v>1720</v>
      </c>
      <c r="F466" s="43" t="n">
        <v>400</v>
      </c>
      <c r="G466" s="43" t="n">
        <v>44</v>
      </c>
      <c r="H466" s="79">
        <f>(E466/1000)*(F466/1000)*(G466/1000)*7850</f>
        <v/>
      </c>
      <c r="I466" s="43" t="n">
        <v>2</v>
      </c>
      <c r="J466" s="80">
        <f>H466*I466</f>
        <v/>
      </c>
      <c r="K466" s="43" t="inlineStr">
        <is>
          <t>来源页77</t>
        </is>
      </c>
      <c r="L466" s="43">
        <f>A466</f>
        <v/>
      </c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43" t="n"/>
    </row>
    <row r="467">
      <c r="A467" s="43" t="inlineStr">
        <is>
          <t>P7</t>
        </is>
      </c>
      <c r="B467" s="43" t="inlineStr">
        <is>
          <t>上弦杆拼接</t>
        </is>
      </c>
      <c r="C467" s="43" t="inlineStr">
        <is>
          <t>节段7~节段8</t>
        </is>
      </c>
      <c r="D467" s="43" t="inlineStr">
        <is>
          <t>Q420D</t>
        </is>
      </c>
      <c r="E467" s="43" t="n">
        <v>1320</v>
      </c>
      <c r="F467" s="43" t="n">
        <v>240</v>
      </c>
      <c r="G467" s="43" t="n">
        <v>24</v>
      </c>
      <c r="H467" s="79">
        <f>(E467/1000)*(F467/1000)*(G467/1000)*7850</f>
        <v/>
      </c>
      <c r="I467" s="43" t="n">
        <v>10</v>
      </c>
      <c r="J467" s="80">
        <f>H467*I467</f>
        <v/>
      </c>
      <c r="K467" s="43" t="inlineStr">
        <is>
          <t>来源页77</t>
        </is>
      </c>
      <c r="L467" s="43">
        <f>A467</f>
        <v/>
      </c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43" t="n"/>
    </row>
    <row r="468">
      <c r="A468" s="43" t="inlineStr">
        <is>
          <t>M30高强螺栓</t>
        </is>
      </c>
      <c r="B468" s="43" t="inlineStr">
        <is>
          <t>上弦杆拼接</t>
        </is>
      </c>
      <c r="C468" s="43" t="inlineStr">
        <is>
          <t>节段7~节段8</t>
        </is>
      </c>
      <c r="D468" s="43" t="inlineStr">
        <is>
          <t>10.9S</t>
        </is>
      </c>
      <c r="E468" s="43" t="n"/>
      <c r="F468" s="43" t="n"/>
      <c r="G468" s="43" t="n"/>
      <c r="H468" s="79">
        <f>(E468/1000)*(F468/1000)*(G468/1000)*7850</f>
        <v/>
      </c>
      <c r="I468" s="43" t="n">
        <v>780</v>
      </c>
      <c r="J468" s="80">
        <f>H468*I468</f>
        <v/>
      </c>
      <c r="K468" s="43" t="inlineStr">
        <is>
          <t>来源页77</t>
        </is>
      </c>
      <c r="L468" s="43">
        <f>A468</f>
        <v/>
      </c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43" t="n"/>
    </row>
    <row r="469">
      <c r="A469" s="43" t="inlineStr">
        <is>
          <t>K1</t>
        </is>
      </c>
      <c r="B469" s="43" t="inlineStr">
        <is>
          <t>下弦杆拼接</t>
        </is>
      </c>
      <c r="C469" s="43" t="inlineStr">
        <is>
          <t>节段7~节段8</t>
        </is>
      </c>
      <c r="D469" s="43" t="inlineStr">
        <is>
          <t>Q420D</t>
        </is>
      </c>
      <c r="E469" s="43" t="n">
        <v>1220</v>
      </c>
      <c r="F469" s="43" t="n">
        <v>1700</v>
      </c>
      <c r="G469" s="43" t="n">
        <v>28</v>
      </c>
      <c r="H469" s="79">
        <f>(E469/1000)*(F469/1000)*(G469/1000)*7850</f>
        <v/>
      </c>
      <c r="I469" s="43" t="n">
        <v>2</v>
      </c>
      <c r="J469" s="80">
        <f>H469*I469</f>
        <v/>
      </c>
      <c r="K469" s="43" t="inlineStr">
        <is>
          <t>来源页77</t>
        </is>
      </c>
      <c r="L469" s="43">
        <f>A469</f>
        <v/>
      </c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43" t="n"/>
    </row>
    <row r="470">
      <c r="A470" s="43" t="inlineStr">
        <is>
          <t>K2</t>
        </is>
      </c>
      <c r="B470" s="43" t="inlineStr">
        <is>
          <t>下弦杆拼接</t>
        </is>
      </c>
      <c r="C470" s="43" t="inlineStr">
        <is>
          <t>节段7~节段8</t>
        </is>
      </c>
      <c r="D470" s="43" t="inlineStr">
        <is>
          <t>Q420D</t>
        </is>
      </c>
      <c r="E470" s="43" t="n">
        <v>1220</v>
      </c>
      <c r="F470" s="43" t="n">
        <v>800</v>
      </c>
      <c r="G470" s="43" t="n">
        <v>28</v>
      </c>
      <c r="H470" s="79">
        <f>(E470/1000)*(F470/1000)*(G470/1000)*7850</f>
        <v/>
      </c>
      <c r="I470" s="43" t="n">
        <v>4</v>
      </c>
      <c r="J470" s="80">
        <f>H470*I470</f>
        <v/>
      </c>
      <c r="K470" s="43" t="inlineStr">
        <is>
          <t>来源页77</t>
        </is>
      </c>
      <c r="L470" s="43">
        <f>A470</f>
        <v/>
      </c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43" t="n"/>
    </row>
    <row r="471">
      <c r="A471" s="43" t="inlineStr">
        <is>
          <t>K3</t>
        </is>
      </c>
      <c r="B471" s="43" t="inlineStr">
        <is>
          <t>下弦杆拼接</t>
        </is>
      </c>
      <c r="C471" s="43" t="inlineStr">
        <is>
          <t>节段7~节段8</t>
        </is>
      </c>
      <c r="D471" s="43" t="inlineStr">
        <is>
          <t>Q420D</t>
        </is>
      </c>
      <c r="E471" s="43" t="n">
        <v>1520</v>
      </c>
      <c r="F471" s="43" t="n">
        <v>1100</v>
      </c>
      <c r="G471" s="43" t="n">
        <v>36</v>
      </c>
      <c r="H471" s="79">
        <f>(E471/1000)*(F471/1000)*(G471/1000)*7850</f>
        <v/>
      </c>
      <c r="I471" s="43" t="n">
        <v>1</v>
      </c>
      <c r="J471" s="80">
        <f>H471*I471</f>
        <v/>
      </c>
      <c r="K471" s="43" t="inlineStr">
        <is>
          <t>来源页77</t>
        </is>
      </c>
      <c r="L471" s="43">
        <f>A471</f>
        <v/>
      </c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43" t="n"/>
    </row>
    <row r="472">
      <c r="A472" s="43" t="inlineStr">
        <is>
          <t>K4</t>
        </is>
      </c>
      <c r="B472" s="43" t="inlineStr">
        <is>
          <t>下弦杆拼接</t>
        </is>
      </c>
      <c r="C472" s="43" t="inlineStr">
        <is>
          <t>节段7~节段8</t>
        </is>
      </c>
      <c r="D472" s="43" t="inlineStr">
        <is>
          <t>Q420D</t>
        </is>
      </c>
      <c r="E472" s="43" t="n">
        <v>1520</v>
      </c>
      <c r="F472" s="43" t="n">
        <v>400</v>
      </c>
      <c r="G472" s="43" t="n">
        <v>36</v>
      </c>
      <c r="H472" s="79">
        <f>(E472/1000)*(F472/1000)*(G472/1000)*7850</f>
        <v/>
      </c>
      <c r="I472" s="43" t="n">
        <v>2</v>
      </c>
      <c r="J472" s="80">
        <f>H472*I472</f>
        <v/>
      </c>
      <c r="K472" s="43" t="inlineStr">
        <is>
          <t>来源页77</t>
        </is>
      </c>
      <c r="L472" s="43">
        <f>A472</f>
        <v/>
      </c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43" t="n"/>
    </row>
    <row r="473">
      <c r="A473" s="43" t="inlineStr">
        <is>
          <t>K6</t>
        </is>
      </c>
      <c r="B473" s="43" t="inlineStr">
        <is>
          <t>下弦杆拼接</t>
        </is>
      </c>
      <c r="C473" s="43" t="inlineStr">
        <is>
          <t>节段7~节段8</t>
        </is>
      </c>
      <c r="D473" s="43" t="inlineStr">
        <is>
          <t>Q420D</t>
        </is>
      </c>
      <c r="E473" s="43" t="n">
        <v>650</v>
      </c>
      <c r="F473" s="43" t="n">
        <v>1100</v>
      </c>
      <c r="G473" s="43" t="n">
        <v>4</v>
      </c>
      <c r="H473" s="79">
        <f>(E473/1000)*(F473/1000)*(G473/1000)*7850</f>
        <v/>
      </c>
      <c r="I473" s="43" t="n">
        <v>1</v>
      </c>
      <c r="J473" s="80">
        <f>H473*I473</f>
        <v/>
      </c>
      <c r="K473" s="43" t="inlineStr">
        <is>
          <t>填板；来源页77</t>
        </is>
      </c>
      <c r="L473" s="43">
        <f>A473</f>
        <v/>
      </c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43" t="n"/>
    </row>
    <row r="474">
      <c r="A474" s="43" t="inlineStr">
        <is>
          <t>M30高强螺栓</t>
        </is>
      </c>
      <c r="B474" s="43" t="inlineStr">
        <is>
          <t>下弦杆拼接</t>
        </is>
      </c>
      <c r="C474" s="43" t="inlineStr">
        <is>
          <t>节段7~节段8</t>
        </is>
      </c>
      <c r="D474" s="43" t="inlineStr">
        <is>
          <t>10.9S</t>
        </is>
      </c>
      <c r="E474" s="43" t="n"/>
      <c r="F474" s="43" t="n"/>
      <c r="G474" s="43" t="n"/>
      <c r="H474" s="79">
        <f>(E474/1000)*(F474/1000)*(G474/1000)*7850</f>
        <v/>
      </c>
      <c r="I474" s="43" t="n">
        <v>580</v>
      </c>
      <c r="J474" s="80">
        <f>H474*I474</f>
        <v/>
      </c>
      <c r="K474" s="43" t="inlineStr">
        <is>
          <t>来源页77</t>
        </is>
      </c>
      <c r="L474" s="43">
        <f>A474</f>
        <v/>
      </c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43" t="n"/>
    </row>
    <row r="475">
      <c r="A475" s="43" t="inlineStr">
        <is>
          <t>L1</t>
        </is>
      </c>
      <c r="B475" s="43" t="inlineStr">
        <is>
          <t>腹杆拼接</t>
        </is>
      </c>
      <c r="C475" s="43" t="inlineStr">
        <is>
          <t>节段7~节段8</t>
        </is>
      </c>
      <c r="D475" s="43" t="inlineStr">
        <is>
          <t>Q420D</t>
        </is>
      </c>
      <c r="E475" s="43" t="n">
        <v>1720</v>
      </c>
      <c r="F475" s="43" t="n">
        <v>1500</v>
      </c>
      <c r="G475" s="43" t="n">
        <v>36</v>
      </c>
      <c r="H475" s="79">
        <f>(E475/1000)*(F475/1000)*(G475/1000)*7850</f>
        <v/>
      </c>
      <c r="I475" s="43" t="n">
        <v>2</v>
      </c>
      <c r="J475" s="80">
        <f>H475*I475</f>
        <v/>
      </c>
      <c r="K475" s="43" t="inlineStr">
        <is>
          <t>来源页77</t>
        </is>
      </c>
      <c r="L475" s="43">
        <f>A475</f>
        <v/>
      </c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43" t="n"/>
    </row>
    <row r="476">
      <c r="A476" s="43" t="inlineStr">
        <is>
          <t>L2</t>
        </is>
      </c>
      <c r="B476" s="43" t="inlineStr">
        <is>
          <t>腹杆拼接</t>
        </is>
      </c>
      <c r="C476" s="43" t="inlineStr">
        <is>
          <t>节段7~节段8</t>
        </is>
      </c>
      <c r="D476" s="43" t="inlineStr">
        <is>
          <t>Q420D</t>
        </is>
      </c>
      <c r="E476" s="43" t="n">
        <v>1720</v>
      </c>
      <c r="F476" s="43" t="n">
        <v>400</v>
      </c>
      <c r="G476" s="43" t="n">
        <v>36</v>
      </c>
      <c r="H476" s="79">
        <f>(E476/1000)*(F476/1000)*(G476/1000)*7850</f>
        <v/>
      </c>
      <c r="I476" s="43" t="n">
        <v>4</v>
      </c>
      <c r="J476" s="80">
        <f>H476*I476</f>
        <v/>
      </c>
      <c r="K476" s="43" t="inlineStr">
        <is>
          <t>来源页77</t>
        </is>
      </c>
      <c r="L476" s="43">
        <f>A476</f>
        <v/>
      </c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43" t="n"/>
    </row>
    <row r="477">
      <c r="A477" s="43" t="inlineStr">
        <is>
          <t>L3</t>
        </is>
      </c>
      <c r="B477" s="43" t="inlineStr">
        <is>
          <t>腹杆拼接</t>
        </is>
      </c>
      <c r="C477" s="43" t="inlineStr">
        <is>
          <t>节段7~节段8</t>
        </is>
      </c>
      <c r="D477" s="43" t="inlineStr">
        <is>
          <t>Q420D</t>
        </is>
      </c>
      <c r="E477" s="43" t="n">
        <v>1720</v>
      </c>
      <c r="F477" s="43" t="n">
        <v>500</v>
      </c>
      <c r="G477" s="43" t="n">
        <v>36</v>
      </c>
      <c r="H477" s="79">
        <f>(E477/1000)*(F477/1000)*(G477/1000)*7850</f>
        <v/>
      </c>
      <c r="I477" s="43" t="n">
        <v>2</v>
      </c>
      <c r="J477" s="80">
        <f>H477*I477</f>
        <v/>
      </c>
      <c r="K477" s="43" t="inlineStr">
        <is>
          <t>来源页77</t>
        </is>
      </c>
      <c r="L477" s="43">
        <f>A477</f>
        <v/>
      </c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43" t="n"/>
    </row>
    <row r="478">
      <c r="A478" s="43" t="inlineStr">
        <is>
          <t>L4</t>
        </is>
      </c>
      <c r="B478" s="43" t="inlineStr">
        <is>
          <t>腹杆拼接</t>
        </is>
      </c>
      <c r="C478" s="43" t="inlineStr">
        <is>
          <t>节段7~节段8</t>
        </is>
      </c>
      <c r="D478" s="43" t="inlineStr">
        <is>
          <t>Q420D</t>
        </is>
      </c>
      <c r="E478" s="43" t="n">
        <v>1720</v>
      </c>
      <c r="F478" s="43" t="n">
        <v>1100</v>
      </c>
      <c r="G478" s="43" t="n">
        <v>32</v>
      </c>
      <c r="H478" s="79">
        <f>(E478/1000)*(F478/1000)*(G478/1000)*7850</f>
        <v/>
      </c>
      <c r="I478" s="43" t="n">
        <v>1</v>
      </c>
      <c r="J478" s="80">
        <f>H478*I478</f>
        <v/>
      </c>
      <c r="K478" s="43" t="inlineStr">
        <is>
          <t>来源页77</t>
        </is>
      </c>
      <c r="L478" s="43">
        <f>A478</f>
        <v/>
      </c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43" t="n"/>
    </row>
    <row r="479">
      <c r="A479" s="43" t="inlineStr">
        <is>
          <t>L5</t>
        </is>
      </c>
      <c r="B479" s="43" t="inlineStr">
        <is>
          <t>腹杆拼接</t>
        </is>
      </c>
      <c r="C479" s="43" t="inlineStr">
        <is>
          <t>节段7~节段8</t>
        </is>
      </c>
      <c r="D479" s="43" t="inlineStr">
        <is>
          <t>Q420D</t>
        </is>
      </c>
      <c r="E479" s="43" t="n">
        <v>1720</v>
      </c>
      <c r="F479" s="43" t="n">
        <v>500</v>
      </c>
      <c r="G479" s="43" t="n">
        <v>32</v>
      </c>
      <c r="H479" s="79">
        <f>(E479/1000)*(F479/1000)*(G479/1000)*7850</f>
        <v/>
      </c>
      <c r="I479" s="43" t="n">
        <v>2</v>
      </c>
      <c r="J479" s="80">
        <f>H479*I479</f>
        <v/>
      </c>
      <c r="K479" s="43" t="inlineStr">
        <is>
          <t>来源页77</t>
        </is>
      </c>
      <c r="L479" s="43">
        <f>A479</f>
        <v/>
      </c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43" t="n"/>
    </row>
    <row r="480">
      <c r="A480" s="43" t="inlineStr">
        <is>
          <t>L6</t>
        </is>
      </c>
      <c r="B480" s="43" t="inlineStr">
        <is>
          <t>腹杆拼接</t>
        </is>
      </c>
      <c r="C480" s="43" t="inlineStr">
        <is>
          <t>节段7~节段8</t>
        </is>
      </c>
      <c r="D480" s="43" t="inlineStr">
        <is>
          <t>Q420D</t>
        </is>
      </c>
      <c r="E480" s="43" t="n">
        <v>1520</v>
      </c>
      <c r="F480" s="43" t="n">
        <v>1100</v>
      </c>
      <c r="G480" s="43" t="n">
        <v>48</v>
      </c>
      <c r="H480" s="79">
        <f>(E480/1000)*(F480/1000)*(G480/1000)*7850</f>
        <v/>
      </c>
      <c r="I480" s="43" t="n">
        <v>1</v>
      </c>
      <c r="J480" s="80">
        <f>H480*I480</f>
        <v/>
      </c>
      <c r="K480" s="43" t="inlineStr">
        <is>
          <t>来源页77</t>
        </is>
      </c>
      <c r="L480" s="43">
        <f>A480</f>
        <v/>
      </c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43" t="n"/>
    </row>
    <row r="481">
      <c r="A481" s="43" t="inlineStr">
        <is>
          <t>L7</t>
        </is>
      </c>
      <c r="B481" s="43" t="inlineStr">
        <is>
          <t>腹杆拼接</t>
        </is>
      </c>
      <c r="C481" s="43" t="inlineStr">
        <is>
          <t>节段7~节段8</t>
        </is>
      </c>
      <c r="D481" s="43" t="inlineStr">
        <is>
          <t>Q420D</t>
        </is>
      </c>
      <c r="E481" s="43" t="n">
        <v>1520</v>
      </c>
      <c r="F481" s="43" t="n">
        <v>400</v>
      </c>
      <c r="G481" s="43" t="n">
        <v>48</v>
      </c>
      <c r="H481" s="79">
        <f>(E481/1000)*(F481/1000)*(G481/1000)*7850</f>
        <v/>
      </c>
      <c r="I481" s="43" t="n">
        <v>2</v>
      </c>
      <c r="J481" s="80">
        <f>H481*I481</f>
        <v/>
      </c>
      <c r="K481" s="43" t="inlineStr">
        <is>
          <t>来源页77</t>
        </is>
      </c>
      <c r="L481" s="43">
        <f>A481</f>
        <v/>
      </c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43" t="n"/>
    </row>
    <row r="482">
      <c r="A482" s="43" t="inlineStr">
        <is>
          <t>L8</t>
        </is>
      </c>
      <c r="B482" s="43" t="inlineStr">
        <is>
          <t>腹杆拼接</t>
        </is>
      </c>
      <c r="C482" s="43" t="inlineStr">
        <is>
          <t>节段7~节段8</t>
        </is>
      </c>
      <c r="D482" s="43" t="inlineStr">
        <is>
          <t>Q420D</t>
        </is>
      </c>
      <c r="E482" s="43" t="n">
        <v>1320</v>
      </c>
      <c r="F482" s="43" t="n">
        <v>240</v>
      </c>
      <c r="G482" s="43" t="n">
        <v>24</v>
      </c>
      <c r="H482" s="79">
        <f>(E482/1000)*(F482/1000)*(G482/1000)*7850</f>
        <v/>
      </c>
      <c r="I482" s="43" t="n">
        <v>8</v>
      </c>
      <c r="J482" s="80">
        <f>H482*I482</f>
        <v/>
      </c>
      <c r="K482" s="43" t="inlineStr">
        <is>
          <t>来源页77</t>
        </is>
      </c>
      <c r="L482" s="43">
        <f>A482</f>
        <v/>
      </c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43" t="n"/>
    </row>
    <row r="483">
      <c r="A483" s="43" t="inlineStr">
        <is>
          <t>L9</t>
        </is>
      </c>
      <c r="B483" s="43" t="inlineStr">
        <is>
          <t>腹杆拼接</t>
        </is>
      </c>
      <c r="C483" s="43" t="inlineStr">
        <is>
          <t>节段7~节段8</t>
        </is>
      </c>
      <c r="D483" s="43" t="inlineStr">
        <is>
          <t>Q420D</t>
        </is>
      </c>
      <c r="E483" s="43" t="n">
        <v>1220</v>
      </c>
      <c r="F483" s="43" t="n">
        <v>240</v>
      </c>
      <c r="G483" s="43" t="n">
        <v>24</v>
      </c>
      <c r="H483" s="79">
        <f>(E483/1000)*(F483/1000)*(G483/1000)*7850</f>
        <v/>
      </c>
      <c r="I483" s="43" t="n">
        <v>2</v>
      </c>
      <c r="J483" s="80">
        <f>H483*I483</f>
        <v/>
      </c>
      <c r="K483" s="43" t="inlineStr">
        <is>
          <t>来源页77</t>
        </is>
      </c>
      <c r="L483" s="43">
        <f>A483</f>
        <v/>
      </c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43" t="n"/>
    </row>
    <row r="484">
      <c r="A484" s="43" t="inlineStr">
        <is>
          <t>N11a</t>
        </is>
      </c>
      <c r="B484" s="43" t="inlineStr">
        <is>
          <t>上弦顶板</t>
        </is>
      </c>
      <c r="C484" s="43" t="inlineStr">
        <is>
          <t>节段08</t>
        </is>
      </c>
      <c r="D484" s="43" t="inlineStr">
        <is>
          <t>Q420D</t>
        </is>
      </c>
      <c r="E484" s="43" t="n"/>
      <c r="F484" s="43" t="n"/>
      <c r="G484" s="43" t="n">
        <v>40</v>
      </c>
      <c r="H484" s="79">
        <f>(E484/1000)*(F484/1000)*(G484/1000)*7850</f>
        <v/>
      </c>
      <c r="I484" s="43" t="n">
        <v>1</v>
      </c>
      <c r="J484" s="80">
        <f>H484*I484</f>
        <v/>
      </c>
      <c r="K484" s="43" t="inlineStr">
        <is>
          <t>来源页78</t>
        </is>
      </c>
      <c r="L484" s="43">
        <f>A484</f>
        <v/>
      </c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43" t="n"/>
    </row>
    <row r="485">
      <c r="A485" s="43" t="inlineStr">
        <is>
          <t>N11b</t>
        </is>
      </c>
      <c r="B485" s="43" t="inlineStr">
        <is>
          <t>上弦顶板</t>
        </is>
      </c>
      <c r="C485" s="43" t="inlineStr">
        <is>
          <t>节段08</t>
        </is>
      </c>
      <c r="D485" s="43" t="inlineStr">
        <is>
          <t>Q420D</t>
        </is>
      </c>
      <c r="E485" s="43" t="n"/>
      <c r="F485" s="43" t="n"/>
      <c r="G485" s="43" t="n">
        <v>40</v>
      </c>
      <c r="H485" s="79">
        <f>(E485/1000)*(F485/1000)*(G485/1000)*7850</f>
        <v/>
      </c>
      <c r="I485" s="43" t="n">
        <v>1</v>
      </c>
      <c r="J485" s="80">
        <f>H485*I485</f>
        <v/>
      </c>
      <c r="K485" s="43" t="inlineStr">
        <is>
          <t>来源页78</t>
        </is>
      </c>
      <c r="L485" s="43">
        <f>A485</f>
        <v/>
      </c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43" t="n"/>
    </row>
    <row r="486">
      <c r="A486" s="43" t="inlineStr">
        <is>
          <t>N12a</t>
        </is>
      </c>
      <c r="B486" s="43" t="inlineStr">
        <is>
          <t>上弦底板</t>
        </is>
      </c>
      <c r="C486" s="43" t="inlineStr">
        <is>
          <t>节段08</t>
        </is>
      </c>
      <c r="D486" s="43" t="inlineStr">
        <is>
          <t>Q420D</t>
        </is>
      </c>
      <c r="E486" s="43" t="n">
        <v>7900</v>
      </c>
      <c r="F486" s="43" t="n">
        <v>1200</v>
      </c>
      <c r="G486" s="43" t="n">
        <v>40</v>
      </c>
      <c r="H486" s="79">
        <f>(E486/1000)*(F486/1000)*(G486/1000)*7850</f>
        <v/>
      </c>
      <c r="I486" s="43" t="n">
        <v>1</v>
      </c>
      <c r="J486" s="80">
        <f>H486*I486</f>
        <v/>
      </c>
      <c r="K486" s="43" t="inlineStr">
        <is>
          <t>来源页78</t>
        </is>
      </c>
      <c r="L486" s="43">
        <f>A486</f>
        <v/>
      </c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43" t="n"/>
    </row>
    <row r="487">
      <c r="A487" s="43" t="inlineStr">
        <is>
          <t>N12b</t>
        </is>
      </c>
      <c r="B487" s="43" t="inlineStr">
        <is>
          <t>上弦底板</t>
        </is>
      </c>
      <c r="C487" s="43" t="inlineStr">
        <is>
          <t>节段08</t>
        </is>
      </c>
      <c r="D487" s="43" t="inlineStr">
        <is>
          <t>Q420D</t>
        </is>
      </c>
      <c r="E487" s="43" t="n">
        <v>6950</v>
      </c>
      <c r="F487" s="43" t="n">
        <v>1200</v>
      </c>
      <c r="G487" s="43" t="n">
        <v>40</v>
      </c>
      <c r="H487" s="79">
        <f>(E487/1000)*(F487/1000)*(G487/1000)*7850</f>
        <v/>
      </c>
      <c r="I487" s="43" t="n">
        <v>1</v>
      </c>
      <c r="J487" s="80">
        <f>H487*I487</f>
        <v/>
      </c>
      <c r="K487" s="43" t="inlineStr">
        <is>
          <t>来源页78</t>
        </is>
      </c>
      <c r="L487" s="43">
        <f>A487</f>
        <v/>
      </c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43" t="n"/>
    </row>
    <row r="488">
      <c r="A488" s="43" t="inlineStr">
        <is>
          <t>N13</t>
        </is>
      </c>
      <c r="B488" s="43" t="inlineStr">
        <is>
          <t>上弦节点板</t>
        </is>
      </c>
      <c r="C488" s="43" t="inlineStr">
        <is>
          <t>节段08</t>
        </is>
      </c>
      <c r="D488" s="43" t="inlineStr">
        <is>
          <t>Q420D</t>
        </is>
      </c>
      <c r="E488" s="43" t="n"/>
      <c r="F488" s="43" t="n"/>
      <c r="G488" s="43" t="n">
        <v>44</v>
      </c>
      <c r="H488" s="79">
        <f>(E488/1000)*(F488/1000)*(G488/1000)*7850</f>
        <v/>
      </c>
      <c r="I488" s="43" t="n">
        <v>2</v>
      </c>
      <c r="J488" s="80">
        <f>H488*I488</f>
        <v/>
      </c>
      <c r="K488" s="43" t="inlineStr">
        <is>
          <t>来源页78</t>
        </is>
      </c>
      <c r="L488" s="43">
        <f>A488</f>
        <v/>
      </c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43" t="n"/>
    </row>
    <row r="489">
      <c r="A489" s="43" t="inlineStr">
        <is>
          <t>N14</t>
        </is>
      </c>
      <c r="B489" s="43" t="inlineStr">
        <is>
          <t>上弦腹板</t>
        </is>
      </c>
      <c r="C489" s="43" t="inlineStr">
        <is>
          <t>节段08</t>
        </is>
      </c>
      <c r="D489" s="43" t="inlineStr">
        <is>
          <t>Q420D</t>
        </is>
      </c>
      <c r="E489" s="43" t="n">
        <v>7150</v>
      </c>
      <c r="F489" s="43" t="n">
        <v>2048</v>
      </c>
      <c r="G489" s="43" t="n">
        <v>48</v>
      </c>
      <c r="H489" s="79">
        <f>(E489/1000)*(F489/1000)*(G489/1000)*7850</f>
        <v/>
      </c>
      <c r="I489" s="43" t="n">
        <v>2</v>
      </c>
      <c r="J489" s="80">
        <f>H489*I489</f>
        <v/>
      </c>
      <c r="K489" s="43" t="inlineStr">
        <is>
          <t>来源页78</t>
        </is>
      </c>
      <c r="L489" s="43">
        <f>A489</f>
        <v/>
      </c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43" t="n"/>
    </row>
    <row r="490">
      <c r="A490" s="43" t="inlineStr">
        <is>
          <t>N15</t>
        </is>
      </c>
      <c r="B490" s="43" t="inlineStr">
        <is>
          <t>上弦横隔板</t>
        </is>
      </c>
      <c r="C490" s="43" t="inlineStr">
        <is>
          <t>节段08</t>
        </is>
      </c>
      <c r="D490" s="43" t="inlineStr">
        <is>
          <t>Q355D</t>
        </is>
      </c>
      <c r="E490" s="43" t="n">
        <v>1960</v>
      </c>
      <c r="F490" s="43" t="n">
        <v>1200</v>
      </c>
      <c r="G490" s="43" t="n">
        <v>16</v>
      </c>
      <c r="H490" s="79">
        <f>(E490/1000)*(F490/1000)*(G490/1000)*7850</f>
        <v/>
      </c>
      <c r="I490" s="43" t="n">
        <v>3</v>
      </c>
      <c r="J490" s="80">
        <f>H490*I490</f>
        <v/>
      </c>
      <c r="K490" s="43" t="inlineStr">
        <is>
          <t>来源页78</t>
        </is>
      </c>
      <c r="L490" s="43">
        <f>A490</f>
        <v/>
      </c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43" t="n"/>
    </row>
    <row r="491">
      <c r="A491" s="43" t="inlineStr">
        <is>
          <t>N15α</t>
        </is>
      </c>
      <c r="B491" s="43" t="inlineStr">
        <is>
          <t>上弦横隔板</t>
        </is>
      </c>
      <c r="C491" s="43" t="inlineStr">
        <is>
          <t>节段08</t>
        </is>
      </c>
      <c r="D491" s="43" t="inlineStr">
        <is>
          <t>Q355D</t>
        </is>
      </c>
      <c r="E491" s="43" t="n">
        <v>1960</v>
      </c>
      <c r="F491" s="43" t="n">
        <v>1200</v>
      </c>
      <c r="G491" s="43" t="n">
        <v>16</v>
      </c>
      <c r="H491" s="79">
        <f>(E491/1000)*(F491/1000)*(G491/1000)*7850</f>
        <v/>
      </c>
      <c r="I491" s="43" t="n">
        <v>2</v>
      </c>
      <c r="J491" s="80">
        <f>H491*I491</f>
        <v/>
      </c>
      <c r="K491" s="43" t="inlineStr">
        <is>
          <t>来源页78</t>
        </is>
      </c>
      <c r="L491" s="43">
        <f>A491</f>
        <v/>
      </c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43" t="n"/>
    </row>
    <row r="492">
      <c r="A492" s="43" t="inlineStr">
        <is>
          <t>N15 “</t>
        </is>
      </c>
      <c r="B492" s="43" t="inlineStr">
        <is>
          <t>上弦横隔板</t>
        </is>
      </c>
      <c r="C492" s="43" t="inlineStr">
        <is>
          <t>节段08</t>
        </is>
      </c>
      <c r="D492" s="43" t="inlineStr">
        <is>
          <t>Q355D</t>
        </is>
      </c>
      <c r="E492" s="43" t="n">
        <v>2057</v>
      </c>
      <c r="F492" s="43" t="n">
        <v>200</v>
      </c>
      <c r="G492" s="43" t="n">
        <v>16</v>
      </c>
      <c r="H492" s="79">
        <f>(E492/1000)*(F492/1000)*(G492/1000)*7850</f>
        <v/>
      </c>
      <c r="I492" s="43" t="n">
        <v>3</v>
      </c>
      <c r="J492" s="80">
        <f>H492*I492</f>
        <v/>
      </c>
      <c r="K492" s="43" t="inlineStr">
        <is>
          <t>来源页78</t>
        </is>
      </c>
      <c r="L492" s="43">
        <f>A492</f>
        <v/>
      </c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43" t="n"/>
    </row>
    <row r="493">
      <c r="A493" s="43" t="inlineStr">
        <is>
          <t>N15b</t>
        </is>
      </c>
      <c r="B493" s="43" t="inlineStr">
        <is>
          <t>上弦横隔板</t>
        </is>
      </c>
      <c r="C493" s="43" t="inlineStr">
        <is>
          <t>节段08</t>
        </is>
      </c>
      <c r="D493" s="43" t="inlineStr">
        <is>
          <t>Q355B</t>
        </is>
      </c>
      <c r="E493" s="43" t="n">
        <v>2057</v>
      </c>
      <c r="F493" s="43" t="n">
        <v>40</v>
      </c>
      <c r="G493" s="43" t="n">
        <v>4</v>
      </c>
      <c r="H493" s="79">
        <f>(E493/1000)*(F493/1000)*(G493/1000)*7850</f>
        <v/>
      </c>
      <c r="I493" s="43" t="n">
        <v>4</v>
      </c>
      <c r="J493" s="80">
        <f>H493*I493</f>
        <v/>
      </c>
      <c r="K493" s="43" t="inlineStr">
        <is>
          <t>来源页78</t>
        </is>
      </c>
      <c r="L493" s="43">
        <f>A493</f>
        <v/>
      </c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43" t="n"/>
    </row>
    <row r="494">
      <c r="A494" s="43" t="inlineStr">
        <is>
          <t>N15c</t>
        </is>
      </c>
      <c r="B494" s="43" t="inlineStr">
        <is>
          <t>上弦横隔板</t>
        </is>
      </c>
      <c r="C494" s="43" t="inlineStr">
        <is>
          <t>节段08</t>
        </is>
      </c>
      <c r="D494" s="43" t="inlineStr">
        <is>
          <t>Q355D</t>
        </is>
      </c>
      <c r="E494" s="43" t="n">
        <v>800</v>
      </c>
      <c r="F494" s="43" t="n">
        <v>400</v>
      </c>
      <c r="G494" s="43" t="n">
        <v>16</v>
      </c>
      <c r="H494" s="79">
        <f>(E494/1000)*(F494/1000)*(G494/1000)*7850</f>
        <v/>
      </c>
      <c r="I494" s="43" t="n">
        <v>4</v>
      </c>
      <c r="J494" s="80">
        <f>H494*I494</f>
        <v/>
      </c>
      <c r="K494" s="43" t="inlineStr">
        <is>
          <t>来源页78</t>
        </is>
      </c>
      <c r="L494" s="43">
        <f>A494</f>
        <v/>
      </c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43" t="n"/>
    </row>
    <row r="495">
      <c r="A495" s="43" t="inlineStr">
        <is>
          <t>N21a</t>
        </is>
      </c>
      <c r="B495" s="43" t="inlineStr">
        <is>
          <t>下弦顶板</t>
        </is>
      </c>
      <c r="C495" s="43" t="inlineStr">
        <is>
          <t>节段08</t>
        </is>
      </c>
      <c r="D495" s="43" t="inlineStr">
        <is>
          <t>Q420D</t>
        </is>
      </c>
      <c r="E495" s="43" t="n">
        <v>8050</v>
      </c>
      <c r="F495" s="43" t="n">
        <v>2500</v>
      </c>
      <c r="G495" s="43" t="n">
        <v>32</v>
      </c>
      <c r="H495" s="79">
        <f>(E495/1000)*(F495/1000)*(G495/1000)*7850</f>
        <v/>
      </c>
      <c r="I495" s="43" t="n">
        <v>1</v>
      </c>
      <c r="J495" s="80">
        <f>H495*I495</f>
        <v/>
      </c>
      <c r="K495" s="43" t="inlineStr">
        <is>
          <t>来源页78</t>
        </is>
      </c>
      <c r="L495" s="43">
        <f>A495</f>
        <v/>
      </c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43" t="n"/>
    </row>
    <row r="496">
      <c r="A496" s="43" t="inlineStr">
        <is>
          <t>N21b</t>
        </is>
      </c>
      <c r="B496" s="43" t="inlineStr">
        <is>
          <t>下弦顶板</t>
        </is>
      </c>
      <c r="C496" s="43" t="inlineStr">
        <is>
          <t>节段08</t>
        </is>
      </c>
      <c r="D496" s="43" t="inlineStr">
        <is>
          <t>Q355D</t>
        </is>
      </c>
      <c r="E496" s="43" t="n">
        <v>7101</v>
      </c>
      <c r="F496" s="43" t="n">
        <v>2500</v>
      </c>
      <c r="G496" s="43" t="n">
        <v>24</v>
      </c>
      <c r="H496" s="79">
        <f>(E496/1000)*(F496/1000)*(G496/1000)*7850</f>
        <v/>
      </c>
      <c r="I496" s="43" t="n">
        <v>1</v>
      </c>
      <c r="J496" s="80">
        <f>H496*I496</f>
        <v/>
      </c>
      <c r="K496" s="43" t="inlineStr">
        <is>
          <t>来源页78</t>
        </is>
      </c>
      <c r="L496" s="43">
        <f>A496</f>
        <v/>
      </c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43" t="n"/>
    </row>
    <row r="497">
      <c r="A497" s="43" t="inlineStr">
        <is>
          <t>N22a</t>
        </is>
      </c>
      <c r="B497" s="43" t="inlineStr">
        <is>
          <t>下弦底板</t>
        </is>
      </c>
      <c r="C497" s="43" t="inlineStr">
        <is>
          <t>节段08</t>
        </is>
      </c>
      <c r="D497" s="43" t="inlineStr">
        <is>
          <t>Q420D</t>
        </is>
      </c>
      <c r="E497" s="43" t="n"/>
      <c r="F497" s="43" t="n"/>
      <c r="G497" s="43" t="n">
        <v>32</v>
      </c>
      <c r="H497" s="79">
        <f>(E497/1000)*(F497/1000)*(G497/1000)*7850</f>
        <v/>
      </c>
      <c r="I497" s="43" t="n">
        <v>1</v>
      </c>
      <c r="J497" s="80">
        <f>H497*I497</f>
        <v/>
      </c>
      <c r="K497" s="43" t="inlineStr">
        <is>
          <t>来源页78</t>
        </is>
      </c>
      <c r="L497" s="43">
        <f>A497</f>
        <v/>
      </c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43" t="n"/>
    </row>
    <row r="498">
      <c r="A498" s="43" t="inlineStr">
        <is>
          <t>N22b</t>
        </is>
      </c>
      <c r="B498" s="43" t="inlineStr">
        <is>
          <t>下弦底板</t>
        </is>
      </c>
      <c r="C498" s="43" t="inlineStr">
        <is>
          <t>节段08</t>
        </is>
      </c>
      <c r="D498" s="43" t="inlineStr">
        <is>
          <t>Q355D</t>
        </is>
      </c>
      <c r="E498" s="43" t="n"/>
      <c r="F498" s="43" t="n"/>
      <c r="G498" s="43" t="n">
        <v>24</v>
      </c>
      <c r="H498" s="79">
        <f>(E498/1000)*(F498/1000)*(G498/1000)*7850</f>
        <v/>
      </c>
      <c r="I498" s="43" t="n">
        <v>1</v>
      </c>
      <c r="J498" s="80">
        <f>H498*I498</f>
        <v/>
      </c>
      <c r="K498" s="43" t="inlineStr">
        <is>
          <t>来源页78</t>
        </is>
      </c>
      <c r="L498" s="43">
        <f>A498</f>
        <v/>
      </c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43" t="n"/>
    </row>
    <row r="499">
      <c r="A499" s="43" t="inlineStr">
        <is>
          <t>N23</t>
        </is>
      </c>
      <c r="B499" s="43" t="inlineStr">
        <is>
          <t>下弦节点板</t>
        </is>
      </c>
      <c r="C499" s="43" t="inlineStr">
        <is>
          <t>节段08</t>
        </is>
      </c>
      <c r="D499" s="43" t="inlineStr">
        <is>
          <t>Q420D</t>
        </is>
      </c>
      <c r="E499" s="43" t="n"/>
      <c r="F499" s="43" t="n"/>
      <c r="G499" s="43" t="n">
        <v>44</v>
      </c>
      <c r="H499" s="79">
        <f>(E499/1000)*(F499/1000)*(G499/1000)*7850</f>
        <v/>
      </c>
      <c r="I499" s="43" t="n">
        <v>2</v>
      </c>
      <c r="J499" s="80">
        <f>H499*I499</f>
        <v/>
      </c>
      <c r="K499" s="43" t="inlineStr">
        <is>
          <t>Z35钢；来源页78</t>
        </is>
      </c>
      <c r="L499" s="43">
        <f>A499</f>
        <v/>
      </c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43" t="n"/>
    </row>
    <row r="500">
      <c r="A500" s="43" t="inlineStr">
        <is>
          <t>N24</t>
        </is>
      </c>
      <c r="B500" s="43" t="inlineStr">
        <is>
          <t>下弦腹板</t>
        </is>
      </c>
      <c r="C500" s="43" t="inlineStr">
        <is>
          <t>节段08</t>
        </is>
      </c>
      <c r="D500" s="43" t="inlineStr">
        <is>
          <t>Q355D</t>
        </is>
      </c>
      <c r="E500" s="43" t="n">
        <v>7301</v>
      </c>
      <c r="F500" s="43" t="n">
        <v>1880</v>
      </c>
      <c r="G500" s="43" t="n">
        <v>32</v>
      </c>
      <c r="H500" s="79">
        <f>(E500/1000)*(F500/1000)*(G500/1000)*7850</f>
        <v/>
      </c>
      <c r="I500" s="43" t="n">
        <v>2</v>
      </c>
      <c r="J500" s="80">
        <f>H500*I500</f>
        <v/>
      </c>
      <c r="K500" s="43" t="inlineStr">
        <is>
          <t>来源页78</t>
        </is>
      </c>
      <c r="L500" s="43">
        <f>A500</f>
        <v/>
      </c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43" t="n"/>
    </row>
    <row r="501">
      <c r="A501" s="43" t="inlineStr">
        <is>
          <t>N25</t>
        </is>
      </c>
      <c r="B501" s="43" t="inlineStr">
        <is>
          <t>下弦横隔板</t>
        </is>
      </c>
      <c r="C501" s="43" t="inlineStr">
        <is>
          <t>节段08</t>
        </is>
      </c>
      <c r="D501" s="43" t="inlineStr">
        <is>
          <t>Q355D</t>
        </is>
      </c>
      <c r="E501" s="43" t="n">
        <v>1800</v>
      </c>
      <c r="F501" s="43" t="n">
        <v>1200</v>
      </c>
      <c r="G501" s="43" t="n">
        <v>16</v>
      </c>
      <c r="H501" s="79">
        <f>(E501/1000)*(F501/1000)*(G501/1000)*7850</f>
        <v/>
      </c>
      <c r="I501" s="43" t="n">
        <v>3</v>
      </c>
      <c r="J501" s="80">
        <f>H501*I501</f>
        <v/>
      </c>
      <c r="K501" s="43" t="inlineStr">
        <is>
          <t>来源页78</t>
        </is>
      </c>
      <c r="L501" s="43">
        <f>A501</f>
        <v/>
      </c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43" t="n"/>
    </row>
    <row r="502">
      <c r="A502" s="43" t="inlineStr">
        <is>
          <t>N25a</t>
        </is>
      </c>
      <c r="B502" s="43" t="inlineStr">
        <is>
          <t>下弦横隔板</t>
        </is>
      </c>
      <c r="C502" s="43" t="inlineStr">
        <is>
          <t>节段08</t>
        </is>
      </c>
      <c r="D502" s="43" t="inlineStr">
        <is>
          <t>Q355D</t>
        </is>
      </c>
      <c r="E502" s="43" t="n">
        <v>1800</v>
      </c>
      <c r="F502" s="43" t="n">
        <v>1200</v>
      </c>
      <c r="G502" s="43" t="n">
        <v>16</v>
      </c>
      <c r="H502" s="79">
        <f>(E502/1000)*(F502/1000)*(G502/1000)*7850</f>
        <v/>
      </c>
      <c r="I502" s="43" t="n">
        <v>2</v>
      </c>
      <c r="J502" s="80">
        <f>H502*I502</f>
        <v/>
      </c>
      <c r="K502" s="43" t="inlineStr">
        <is>
          <t>来源页78</t>
        </is>
      </c>
      <c r="L502" s="43">
        <f>A502</f>
        <v/>
      </c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43" t="n"/>
    </row>
    <row r="503">
      <c r="A503" s="43" t="inlineStr">
        <is>
          <t>N25'</t>
        </is>
      </c>
      <c r="B503" s="43" t="inlineStr">
        <is>
          <t>下弦横隔板</t>
        </is>
      </c>
      <c r="C503" s="43" t="inlineStr">
        <is>
          <t>节段08</t>
        </is>
      </c>
      <c r="D503" s="43" t="inlineStr">
        <is>
          <t>Q355D</t>
        </is>
      </c>
      <c r="E503" s="43" t="n">
        <v>2057</v>
      </c>
      <c r="F503" s="43" t="n">
        <v>200</v>
      </c>
      <c r="G503" s="43" t="n">
        <v>16</v>
      </c>
      <c r="H503" s="79">
        <f>(E503/1000)*(F503/1000)*(G503/1000)*7850</f>
        <v/>
      </c>
      <c r="I503" s="43" t="n">
        <v>3</v>
      </c>
      <c r="J503" s="80">
        <f>H503*I503</f>
        <v/>
      </c>
      <c r="K503" s="43" t="inlineStr">
        <is>
          <t>来源页78</t>
        </is>
      </c>
      <c r="L503" s="43">
        <f>A503</f>
        <v/>
      </c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43" t="n"/>
    </row>
    <row r="504">
      <c r="A504" s="43" t="inlineStr">
        <is>
          <t>N26a</t>
        </is>
      </c>
      <c r="B504" s="43" t="inlineStr">
        <is>
          <t>下弦加劲肋</t>
        </is>
      </c>
      <c r="C504" s="43" t="inlineStr">
        <is>
          <t>节段08</t>
        </is>
      </c>
      <c r="D504" s="43" t="inlineStr">
        <is>
          <t>Q420D</t>
        </is>
      </c>
      <c r="E504" s="43" t="n">
        <v>8050</v>
      </c>
      <c r="F504" s="43" t="n">
        <v>320</v>
      </c>
      <c r="G504" s="43" t="n">
        <v>32</v>
      </c>
      <c r="H504" s="79">
        <f>(E504/1000)*(F504/1000)*(G504/1000)*7850</f>
        <v/>
      </c>
      <c r="I504" s="43" t="n">
        <v>4</v>
      </c>
      <c r="J504" s="80">
        <f>H504*I504</f>
        <v/>
      </c>
      <c r="K504" s="43" t="inlineStr">
        <is>
          <t>来源页78</t>
        </is>
      </c>
      <c r="L504" s="43">
        <f>A504</f>
        <v/>
      </c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43" t="n"/>
    </row>
    <row r="505">
      <c r="A505" s="43" t="inlineStr">
        <is>
          <t>N26b</t>
        </is>
      </c>
      <c r="B505" s="43" t="inlineStr">
        <is>
          <t>下弦加劲肋</t>
        </is>
      </c>
      <c r="C505" s="43" t="inlineStr">
        <is>
          <t>节段08</t>
        </is>
      </c>
      <c r="D505" s="43" t="inlineStr">
        <is>
          <t>Q355D</t>
        </is>
      </c>
      <c r="E505" s="43" t="n">
        <v>7101</v>
      </c>
      <c r="F505" s="43" t="n">
        <v>320</v>
      </c>
      <c r="G505" s="43" t="n">
        <v>32</v>
      </c>
      <c r="H505" s="79">
        <f>(E505/1000)*(F505/1000)*(G505/1000)*7850</f>
        <v/>
      </c>
      <c r="I505" s="43" t="n">
        <v>4</v>
      </c>
      <c r="J505" s="80">
        <f>H505*I505</f>
        <v/>
      </c>
      <c r="K505" s="43" t="inlineStr">
        <is>
          <t>来源页78</t>
        </is>
      </c>
      <c r="L505" s="43">
        <f>A505</f>
        <v/>
      </c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43" t="n"/>
    </row>
    <row r="506">
      <c r="A506" s="43" t="inlineStr">
        <is>
          <t>N26c</t>
        </is>
      </c>
      <c r="B506" s="43" t="inlineStr">
        <is>
          <t>下弦加劲肋</t>
        </is>
      </c>
      <c r="C506" s="43" t="inlineStr">
        <is>
          <t>节段08</t>
        </is>
      </c>
      <c r="D506" s="43" t="inlineStr">
        <is>
          <t>Q355D</t>
        </is>
      </c>
      <c r="E506" s="43" t="n">
        <v>15151</v>
      </c>
      <c r="F506" s="43" t="n">
        <v>170</v>
      </c>
      <c r="G506" s="43" t="n">
        <v>14</v>
      </c>
      <c r="H506" s="79">
        <f>(E506/1000)*(F506/1000)*(G506/1000)*7850</f>
        <v/>
      </c>
      <c r="I506" s="43" t="n">
        <v>2</v>
      </c>
      <c r="J506" s="80">
        <f>H506*I506</f>
        <v/>
      </c>
      <c r="K506" s="43" t="inlineStr">
        <is>
          <t>来源页78</t>
        </is>
      </c>
      <c r="L506" s="43">
        <f>A506</f>
        <v/>
      </c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43" t="n"/>
    </row>
    <row r="507">
      <c r="A507" s="43" t="inlineStr">
        <is>
          <t>N31</t>
        </is>
      </c>
      <c r="B507" s="43" t="inlineStr">
        <is>
          <t>斜腹杆</t>
        </is>
      </c>
      <c r="C507" s="43" t="inlineStr">
        <is>
          <t>节段08</t>
        </is>
      </c>
      <c r="D507" s="43" t="inlineStr">
        <is>
          <t>Q355D</t>
        </is>
      </c>
      <c r="E507" s="43" t="n">
        <v>11850</v>
      </c>
      <c r="F507" s="43" t="n">
        <v>1200</v>
      </c>
      <c r="G507" s="43" t="n">
        <v>40</v>
      </c>
      <c r="H507" s="79">
        <f>(E507/1000)*(F507/1000)*(G507/1000)*7850</f>
        <v/>
      </c>
      <c r="I507" s="43" t="n">
        <v>1</v>
      </c>
      <c r="J507" s="80">
        <f>H507*I507</f>
        <v/>
      </c>
      <c r="K507" s="43" t="inlineStr">
        <is>
          <t>来源页78</t>
        </is>
      </c>
      <c r="L507" s="43">
        <f>A507</f>
        <v/>
      </c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43" t="n"/>
    </row>
    <row r="508">
      <c r="A508" s="43" t="inlineStr">
        <is>
          <t>N31a</t>
        </is>
      </c>
      <c r="B508" s="43" t="inlineStr">
        <is>
          <t>斜腹杆</t>
        </is>
      </c>
      <c r="C508" s="43" t="inlineStr">
        <is>
          <t>节段08</t>
        </is>
      </c>
      <c r="D508" s="43" t="inlineStr">
        <is>
          <t>Q355D</t>
        </is>
      </c>
      <c r="E508" s="43" t="n">
        <v>11950</v>
      </c>
      <c r="F508" s="43" t="n">
        <v>1200</v>
      </c>
      <c r="G508" s="43" t="n">
        <v>40</v>
      </c>
      <c r="H508" s="79">
        <f>(E508/1000)*(F508/1000)*(G508/1000)*7850</f>
        <v/>
      </c>
      <c r="I508" s="43" t="n">
        <v>1</v>
      </c>
      <c r="J508" s="80">
        <f>H508*I508</f>
        <v/>
      </c>
      <c r="K508" s="43" t="inlineStr">
        <is>
          <t>来源页78</t>
        </is>
      </c>
      <c r="L508" s="43">
        <f>A508</f>
        <v/>
      </c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43" t="n"/>
    </row>
    <row r="509">
      <c r="A509" s="43" t="inlineStr">
        <is>
          <t>N32</t>
        </is>
      </c>
      <c r="B509" s="43" t="inlineStr">
        <is>
          <t>斜腹杆</t>
        </is>
      </c>
      <c r="C509" s="43" t="inlineStr">
        <is>
          <t>节段08</t>
        </is>
      </c>
      <c r="D509" s="43" t="inlineStr">
        <is>
          <t>Q355D</t>
        </is>
      </c>
      <c r="E509" s="43" t="n">
        <v>8050</v>
      </c>
      <c r="F509" s="43" t="n">
        <v>1760</v>
      </c>
      <c r="G509" s="43" t="n">
        <v>40</v>
      </c>
      <c r="H509" s="79">
        <f>(E509/1000)*(F509/1000)*(G509/1000)*7850</f>
        <v/>
      </c>
      <c r="I509" s="43" t="n">
        <v>2</v>
      </c>
      <c r="J509" s="80">
        <f>H509*I509</f>
        <v/>
      </c>
      <c r="K509" s="43" t="inlineStr">
        <is>
          <t>来源页78</t>
        </is>
      </c>
      <c r="L509" s="43">
        <f>A509</f>
        <v/>
      </c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43" t="n"/>
    </row>
    <row r="510">
      <c r="A510" s="43" t="inlineStr">
        <is>
          <t>N33</t>
        </is>
      </c>
      <c r="B510" s="43" t="inlineStr">
        <is>
          <t>斜腹杆</t>
        </is>
      </c>
      <c r="C510" s="43" t="inlineStr">
        <is>
          <t>节段08</t>
        </is>
      </c>
      <c r="D510" s="43" t="inlineStr">
        <is>
          <t>Q355D</t>
        </is>
      </c>
      <c r="E510" s="43" t="n">
        <v>8050</v>
      </c>
      <c r="F510" s="43" t="n">
        <v>320</v>
      </c>
      <c r="G510" s="43" t="n">
        <v>32</v>
      </c>
      <c r="H510" s="79">
        <f>(E510/1000)*(F510/1000)*(G510/1000)*7850</f>
        <v/>
      </c>
      <c r="I510" s="43" t="n">
        <v>4</v>
      </c>
      <c r="J510" s="80">
        <f>H510*I510</f>
        <v/>
      </c>
      <c r="K510" s="43" t="inlineStr">
        <is>
          <t>来源页78</t>
        </is>
      </c>
      <c r="L510" s="43">
        <f>A510</f>
        <v/>
      </c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43" t="n"/>
    </row>
    <row r="511">
      <c r="A511" s="43" t="inlineStr">
        <is>
          <t>N33a</t>
        </is>
      </c>
      <c r="B511" s="43" t="inlineStr">
        <is>
          <t>斜腹杆</t>
        </is>
      </c>
      <c r="C511" s="43" t="inlineStr">
        <is>
          <t>节段08</t>
        </is>
      </c>
      <c r="D511" s="43" t="inlineStr">
        <is>
          <t>Q355D</t>
        </is>
      </c>
      <c r="E511" s="43" t="n">
        <v>10450</v>
      </c>
      <c r="F511" s="43" t="n">
        <v>320</v>
      </c>
      <c r="G511" s="43" t="n">
        <v>32</v>
      </c>
      <c r="H511" s="79">
        <f>(E511/1000)*(F511/1000)*(G511/1000)*7850</f>
        <v/>
      </c>
      <c r="I511" s="43" t="n">
        <v>1</v>
      </c>
      <c r="J511" s="80">
        <f>H511*I511</f>
        <v/>
      </c>
      <c r="K511" s="43" t="inlineStr">
        <is>
          <t>来源页78</t>
        </is>
      </c>
      <c r="L511" s="43">
        <f>A511</f>
        <v/>
      </c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43" t="n"/>
    </row>
    <row r="512">
      <c r="A512" s="43" t="inlineStr">
        <is>
          <t>N33b</t>
        </is>
      </c>
      <c r="B512" s="43" t="inlineStr">
        <is>
          <t>斜腹杆</t>
        </is>
      </c>
      <c r="C512" s="43" t="inlineStr">
        <is>
          <t>节段08</t>
        </is>
      </c>
      <c r="D512" s="43" t="inlineStr">
        <is>
          <t>Q355D</t>
        </is>
      </c>
      <c r="E512" s="43" t="n">
        <v>10550</v>
      </c>
      <c r="F512" s="43" t="n">
        <v>320</v>
      </c>
      <c r="G512" s="43" t="n">
        <v>32</v>
      </c>
      <c r="H512" s="79">
        <f>(E512/1000)*(F512/1000)*(G512/1000)*7850</f>
        <v/>
      </c>
      <c r="I512" s="43" t="n">
        <v>1</v>
      </c>
      <c r="J512" s="80">
        <f>H512*I512</f>
        <v/>
      </c>
      <c r="K512" s="43" t="inlineStr">
        <is>
          <t>来源页78</t>
        </is>
      </c>
      <c r="L512" s="43">
        <f>A512</f>
        <v/>
      </c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43" t="n"/>
    </row>
    <row r="513">
      <c r="A513" s="43" t="inlineStr">
        <is>
          <t>N34</t>
        </is>
      </c>
      <c r="B513" s="43" t="inlineStr">
        <is>
          <t>斜腹杆</t>
        </is>
      </c>
      <c r="C513" s="43" t="inlineStr">
        <is>
          <t>节段08</t>
        </is>
      </c>
      <c r="D513" s="43" t="inlineStr">
        <is>
          <t>Q355D</t>
        </is>
      </c>
      <c r="E513" s="43" t="n">
        <v>1200</v>
      </c>
      <c r="F513" s="43" t="n">
        <v>1600</v>
      </c>
      <c r="G513" s="43" t="n">
        <v>16</v>
      </c>
      <c r="H513" s="79">
        <f>(E513/1000)*(F513/1000)*(G513/1000)*7850</f>
        <v/>
      </c>
      <c r="I513" s="43" t="n">
        <v>3</v>
      </c>
      <c r="J513" s="80">
        <f>H513*I513</f>
        <v/>
      </c>
      <c r="K513" s="43" t="inlineStr">
        <is>
          <t>来源页78</t>
        </is>
      </c>
      <c r="L513" s="43">
        <f>A513</f>
        <v/>
      </c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43" t="n"/>
    </row>
    <row r="514">
      <c r="A514" s="43" t="inlineStr">
        <is>
          <t>N41</t>
        </is>
      </c>
      <c r="B514" s="43" t="inlineStr">
        <is>
          <t>斜腹杆</t>
        </is>
      </c>
      <c r="C514" s="43" t="inlineStr">
        <is>
          <t>节段08</t>
        </is>
      </c>
      <c r="D514" s="43" t="inlineStr">
        <is>
          <t>Q355D</t>
        </is>
      </c>
      <c r="E514" s="43" t="n">
        <v>5711</v>
      </c>
      <c r="F514" s="43" t="n">
        <v>1200</v>
      </c>
      <c r="G514" s="43" t="n">
        <v>36</v>
      </c>
      <c r="H514" s="79">
        <f>(E514/1000)*(F514/1000)*(G514/1000)*7850</f>
        <v/>
      </c>
      <c r="I514" s="43" t="n">
        <v>1</v>
      </c>
      <c r="J514" s="80">
        <f>H514*I514</f>
        <v/>
      </c>
      <c r="K514" s="43" t="inlineStr">
        <is>
          <t>来源页78</t>
        </is>
      </c>
      <c r="L514" s="43">
        <f>A514</f>
        <v/>
      </c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43" t="n"/>
    </row>
    <row r="515">
      <c r="A515" s="43" t="inlineStr">
        <is>
          <t>N41a</t>
        </is>
      </c>
      <c r="B515" s="43" t="inlineStr">
        <is>
          <t>斜腹杆</t>
        </is>
      </c>
      <c r="C515" s="43" t="inlineStr">
        <is>
          <t>节段08</t>
        </is>
      </c>
      <c r="D515" s="43" t="inlineStr">
        <is>
          <t>Q355D</t>
        </is>
      </c>
      <c r="E515" s="43" t="n">
        <v>6011</v>
      </c>
      <c r="F515" s="43" t="n">
        <v>1200</v>
      </c>
      <c r="G515" s="43" t="n">
        <v>36</v>
      </c>
      <c r="H515" s="79">
        <f>(E515/1000)*(F515/1000)*(G515/1000)*7850</f>
        <v/>
      </c>
      <c r="I515" s="43" t="n">
        <v>1</v>
      </c>
      <c r="J515" s="80">
        <f>H515*I515</f>
        <v/>
      </c>
      <c r="K515" s="43" t="inlineStr">
        <is>
          <t>来源页78</t>
        </is>
      </c>
      <c r="L515" s="43">
        <f>A515</f>
        <v/>
      </c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43" t="n"/>
    </row>
    <row r="516">
      <c r="A516" s="43" t="inlineStr">
        <is>
          <t>N42</t>
        </is>
      </c>
      <c r="B516" s="43" t="inlineStr">
        <is>
          <t>斜腹杆</t>
        </is>
      </c>
      <c r="C516" s="43" t="inlineStr">
        <is>
          <t>节段08</t>
        </is>
      </c>
      <c r="D516" s="43" t="inlineStr">
        <is>
          <t>Q355D</t>
        </is>
      </c>
      <c r="E516" s="43" t="n">
        <v>3911</v>
      </c>
      <c r="F516" s="43" t="n">
        <v>1360</v>
      </c>
      <c r="G516" s="43" t="n">
        <v>36</v>
      </c>
      <c r="H516" s="79">
        <f>(E516/1000)*(F516/1000)*(G516/1000)*7850</f>
        <v/>
      </c>
      <c r="I516" s="43" t="n">
        <v>2</v>
      </c>
      <c r="J516" s="80">
        <f>H516*I516</f>
        <v/>
      </c>
      <c r="K516" s="43" t="inlineStr">
        <is>
          <t>来源页78</t>
        </is>
      </c>
      <c r="L516" s="43">
        <f>A516</f>
        <v/>
      </c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43" t="n"/>
    </row>
    <row r="517">
      <c r="A517" s="43" t="inlineStr">
        <is>
          <t>N43</t>
        </is>
      </c>
      <c r="B517" s="43" t="inlineStr">
        <is>
          <t>斜腹杆</t>
        </is>
      </c>
      <c r="C517" s="43" t="inlineStr">
        <is>
          <t>节段08</t>
        </is>
      </c>
      <c r="D517" s="43" t="inlineStr">
        <is>
          <t>Q355D</t>
        </is>
      </c>
      <c r="E517" s="43" t="n">
        <v>3911</v>
      </c>
      <c r="F517" s="43" t="n">
        <v>320</v>
      </c>
      <c r="G517" s="43" t="n">
        <v>32</v>
      </c>
      <c r="H517" s="79">
        <f>(E517/1000)*(F517/1000)*(G517/1000)*7850</f>
        <v/>
      </c>
      <c r="I517" s="43" t="n">
        <v>2</v>
      </c>
      <c r="J517" s="80">
        <f>H517*I517</f>
        <v/>
      </c>
      <c r="K517" s="43" t="inlineStr">
        <is>
          <t>来源页78</t>
        </is>
      </c>
      <c r="L517" s="43">
        <f>A517</f>
        <v/>
      </c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43" t="n"/>
    </row>
    <row r="518">
      <c r="A518" s="43" t="inlineStr">
        <is>
          <t>N43a</t>
        </is>
      </c>
      <c r="B518" s="43" t="inlineStr">
        <is>
          <t>斜腹杆</t>
        </is>
      </c>
      <c r="C518" s="43" t="inlineStr">
        <is>
          <t>节段08</t>
        </is>
      </c>
      <c r="D518" s="43" t="inlineStr">
        <is>
          <t>Q355D</t>
        </is>
      </c>
      <c r="E518" s="43" t="n">
        <v>5011</v>
      </c>
      <c r="F518" s="43" t="n">
        <v>320</v>
      </c>
      <c r="G518" s="43" t="n">
        <v>32</v>
      </c>
      <c r="H518" s="79">
        <f>(E518/1000)*(F518/1000)*(G518/1000)*7850</f>
        <v/>
      </c>
      <c r="I518" s="43" t="n">
        <v>1</v>
      </c>
      <c r="J518" s="80">
        <f>H518*I518</f>
        <v/>
      </c>
      <c r="K518" s="43" t="inlineStr">
        <is>
          <t>来源页78</t>
        </is>
      </c>
      <c r="L518" s="43">
        <f>A518</f>
        <v/>
      </c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43" t="n"/>
    </row>
    <row r="519">
      <c r="A519" s="43" t="inlineStr">
        <is>
          <t>N43b</t>
        </is>
      </c>
      <c r="B519" s="43" t="inlineStr">
        <is>
          <t>斜腹杆</t>
        </is>
      </c>
      <c r="C519" s="43" t="inlineStr">
        <is>
          <t>节段08</t>
        </is>
      </c>
      <c r="D519" s="43" t="inlineStr">
        <is>
          <t>Q355D</t>
        </is>
      </c>
      <c r="E519" s="43" t="n">
        <v>5311</v>
      </c>
      <c r="F519" s="43" t="n">
        <v>320</v>
      </c>
      <c r="G519" s="43" t="n">
        <v>32</v>
      </c>
      <c r="H519" s="79">
        <f>(E519/1000)*(F519/1000)*(G519/1000)*7850</f>
        <v/>
      </c>
      <c r="I519" s="43" t="n">
        <v>1</v>
      </c>
      <c r="J519" s="80">
        <f>H519*I519</f>
        <v/>
      </c>
      <c r="K519" s="43" t="inlineStr">
        <is>
          <t>来源页78</t>
        </is>
      </c>
      <c r="L519" s="43">
        <f>A519</f>
        <v/>
      </c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43" t="n"/>
    </row>
    <row r="520">
      <c r="A520" s="43" t="inlineStr">
        <is>
          <t>N44</t>
        </is>
      </c>
      <c r="B520" s="43" t="inlineStr">
        <is>
          <t>斜腹杆</t>
        </is>
      </c>
      <c r="C520" s="43" t="inlineStr">
        <is>
          <t>节段08</t>
        </is>
      </c>
      <c r="D520" s="43" t="inlineStr">
        <is>
          <t>Q355D</t>
        </is>
      </c>
      <c r="E520" s="43" t="n">
        <v>1200</v>
      </c>
      <c r="F520" s="43" t="n">
        <v>1200</v>
      </c>
      <c r="G520" s="43" t="n">
        <v>16</v>
      </c>
      <c r="H520" s="79">
        <f>(E520/1000)*(F520/1000)*(G520/1000)*7850</f>
        <v/>
      </c>
      <c r="I520" s="43" t="n">
        <v>2</v>
      </c>
      <c r="J520" s="80">
        <f>H520*I520</f>
        <v/>
      </c>
      <c r="K520" s="43" t="inlineStr">
        <is>
          <t>来源页78</t>
        </is>
      </c>
      <c r="L520" s="43">
        <f>A520</f>
        <v/>
      </c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43" t="n"/>
    </row>
    <row r="521">
      <c r="A521" s="43" t="inlineStr">
        <is>
          <t>N51</t>
        </is>
      </c>
      <c r="B521" s="43" t="inlineStr">
        <is>
          <t>节点板加劲</t>
        </is>
      </c>
      <c r="C521" s="43" t="inlineStr">
        <is>
          <t>节段08</t>
        </is>
      </c>
      <c r="D521" s="43" t="inlineStr">
        <is>
          <t>Q355D</t>
        </is>
      </c>
      <c r="E521" s="43" t="n">
        <v>5979</v>
      </c>
      <c r="F521" s="43" t="n">
        <v>1200</v>
      </c>
      <c r="G521" s="43" t="n">
        <v>36</v>
      </c>
      <c r="H521" s="79">
        <f>(E521/1000)*(F521/1000)*(G521/1000)*7850</f>
        <v/>
      </c>
      <c r="I521" s="43" t="n">
        <v>1</v>
      </c>
      <c r="J521" s="80">
        <f>H521*I521</f>
        <v/>
      </c>
      <c r="K521" s="43" t="inlineStr">
        <is>
          <t>来源页78</t>
        </is>
      </c>
      <c r="L521" s="43">
        <f>A521</f>
        <v/>
      </c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43" t="n"/>
    </row>
    <row r="522">
      <c r="A522" s="43" t="inlineStr">
        <is>
          <t>N51a</t>
        </is>
      </c>
      <c r="B522" s="43" t="inlineStr">
        <is>
          <t>节点板加劲</t>
        </is>
      </c>
      <c r="C522" s="43" t="inlineStr">
        <is>
          <t>节段08</t>
        </is>
      </c>
      <c r="D522" s="43" t="inlineStr">
        <is>
          <t>Q355D</t>
        </is>
      </c>
      <c r="E522" s="43" t="n">
        <v>5779</v>
      </c>
      <c r="F522" s="43" t="n">
        <v>1200</v>
      </c>
      <c r="G522" s="43" t="n">
        <v>36</v>
      </c>
      <c r="H522" s="79">
        <f>(E522/1000)*(F522/1000)*(G522/1000)*7850</f>
        <v/>
      </c>
      <c r="I522" s="43" t="n">
        <v>1</v>
      </c>
      <c r="J522" s="80">
        <f>H522*I522</f>
        <v/>
      </c>
      <c r="K522" s="43" t="inlineStr">
        <is>
          <t>来源页78</t>
        </is>
      </c>
      <c r="L522" s="43">
        <f>A522</f>
        <v/>
      </c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43" t="n"/>
    </row>
    <row r="523">
      <c r="A523" s="43" t="inlineStr">
        <is>
          <t>N52</t>
        </is>
      </c>
      <c r="B523" s="43" t="inlineStr">
        <is>
          <t>节点板加劲</t>
        </is>
      </c>
      <c r="C523" s="43" t="inlineStr">
        <is>
          <t>节段08</t>
        </is>
      </c>
      <c r="D523" s="43" t="inlineStr">
        <is>
          <t>Q355D</t>
        </is>
      </c>
      <c r="E523" s="43" t="n">
        <v>3979</v>
      </c>
      <c r="F523" s="43" t="n">
        <v>1760</v>
      </c>
      <c r="G523" s="43" t="n">
        <v>36</v>
      </c>
      <c r="H523" s="79">
        <f>(E523/1000)*(F523/1000)*(G523/1000)*7850</f>
        <v/>
      </c>
      <c r="I523" s="43" t="n">
        <v>2</v>
      </c>
      <c r="J523" s="80">
        <f>H523*I523</f>
        <v/>
      </c>
      <c r="K523" s="43" t="inlineStr">
        <is>
          <t>来源页78</t>
        </is>
      </c>
      <c r="L523" s="43">
        <f>A523</f>
        <v/>
      </c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43" t="n"/>
    </row>
    <row r="524">
      <c r="A524" s="43" t="inlineStr">
        <is>
          <t>N53</t>
        </is>
      </c>
      <c r="B524" s="43" t="inlineStr">
        <is>
          <t>节点板加劲</t>
        </is>
      </c>
      <c r="C524" s="43" t="inlineStr">
        <is>
          <t>节段08</t>
        </is>
      </c>
      <c r="D524" s="43" t="inlineStr">
        <is>
          <t>Q355D</t>
        </is>
      </c>
      <c r="E524" s="43" t="n">
        <v>3979</v>
      </c>
      <c r="F524" s="43" t="n">
        <v>320</v>
      </c>
      <c r="G524" s="43" t="n">
        <v>32</v>
      </c>
      <c r="H524" s="79">
        <f>(E524/1000)*(F524/1000)*(G524/1000)*7850</f>
        <v/>
      </c>
      <c r="I524" s="43" t="n">
        <v>4</v>
      </c>
      <c r="J524" s="80">
        <f>H524*I524</f>
        <v/>
      </c>
      <c r="K524" s="43" t="inlineStr">
        <is>
          <t>来源页78</t>
        </is>
      </c>
      <c r="L524" s="43">
        <f>A524</f>
        <v/>
      </c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43" t="n"/>
    </row>
    <row r="525">
      <c r="A525" s="43" t="inlineStr">
        <is>
          <t>N53a</t>
        </is>
      </c>
      <c r="B525" s="43" t="inlineStr">
        <is>
          <t>节点板加劲</t>
        </is>
      </c>
      <c r="C525" s="43" t="inlineStr">
        <is>
          <t>节段08</t>
        </is>
      </c>
      <c r="D525" s="43" t="inlineStr">
        <is>
          <t>Q355D</t>
        </is>
      </c>
      <c r="E525" s="43" t="n">
        <v>5279</v>
      </c>
      <c r="F525" s="43" t="n">
        <v>320</v>
      </c>
      <c r="G525" s="43" t="n">
        <v>32</v>
      </c>
      <c r="H525" s="79">
        <f>(E525/1000)*(F525/1000)*(G525/1000)*7850</f>
        <v/>
      </c>
      <c r="I525" s="43" t="n">
        <v>1</v>
      </c>
      <c r="J525" s="80">
        <f>H525*I525</f>
        <v/>
      </c>
      <c r="K525" s="43" t="inlineStr">
        <is>
          <t>来源页78</t>
        </is>
      </c>
      <c r="L525" s="43">
        <f>A525</f>
        <v/>
      </c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43" t="n"/>
    </row>
    <row r="526">
      <c r="A526" s="43" t="inlineStr">
        <is>
          <t>N53b</t>
        </is>
      </c>
      <c r="B526" s="43" t="inlineStr">
        <is>
          <t>节点板加劲</t>
        </is>
      </c>
      <c r="C526" s="43" t="inlineStr">
        <is>
          <t>节段08</t>
        </is>
      </c>
      <c r="D526" s="43" t="inlineStr">
        <is>
          <t>Q355D</t>
        </is>
      </c>
      <c r="E526" s="43" t="n">
        <v>5079</v>
      </c>
      <c r="F526" s="43" t="n">
        <v>320</v>
      </c>
      <c r="G526" s="43" t="n">
        <v>32</v>
      </c>
      <c r="H526" s="79">
        <f>(E526/1000)*(F526/1000)*(G526/1000)*7850</f>
        <v/>
      </c>
      <c r="I526" s="43" t="n">
        <v>1</v>
      </c>
      <c r="J526" s="80">
        <f>H526*I526</f>
        <v/>
      </c>
      <c r="K526" s="43" t="inlineStr">
        <is>
          <t>来源页78</t>
        </is>
      </c>
      <c r="L526" s="43">
        <f>A526</f>
        <v/>
      </c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43" t="n"/>
    </row>
    <row r="527">
      <c r="A527" s="43" t="inlineStr">
        <is>
          <t>N54</t>
        </is>
      </c>
      <c r="B527" s="43" t="inlineStr">
        <is>
          <t>节点板加劲</t>
        </is>
      </c>
      <c r="C527" s="43" t="inlineStr">
        <is>
          <t>节段08</t>
        </is>
      </c>
      <c r="D527" s="43" t="inlineStr">
        <is>
          <t>Q355D</t>
        </is>
      </c>
      <c r="E527" s="43" t="n">
        <v>1200</v>
      </c>
      <c r="F527" s="43" t="n">
        <v>1600</v>
      </c>
      <c r="G527" s="43" t="n">
        <v>16</v>
      </c>
      <c r="H527" s="79">
        <f>(E527/1000)*(F527/1000)*(G527/1000)*7850</f>
        <v/>
      </c>
      <c r="I527" s="43" t="n">
        <v>2</v>
      </c>
      <c r="J527" s="80">
        <f>H527*I527</f>
        <v/>
      </c>
      <c r="K527" s="43" t="inlineStr">
        <is>
          <t>来源页78</t>
        </is>
      </c>
      <c r="L527" s="43">
        <f>A527</f>
        <v/>
      </c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43" t="n"/>
    </row>
    <row r="528">
      <c r="A528" s="43" t="inlineStr">
        <is>
          <t>N56</t>
        </is>
      </c>
      <c r="B528" s="43" t="inlineStr">
        <is>
          <t>节点板加劲</t>
        </is>
      </c>
      <c r="C528" s="43" t="inlineStr">
        <is>
          <t>节段08</t>
        </is>
      </c>
      <c r="D528" s="43" t="inlineStr">
        <is>
          <t>Q355D</t>
        </is>
      </c>
      <c r="E528" s="43" t="n">
        <v>2000</v>
      </c>
      <c r="F528" s="43" t="n">
        <v>320</v>
      </c>
      <c r="G528" s="43" t="n">
        <v>32</v>
      </c>
      <c r="H528" s="79">
        <f>(E528/1000)*(F528/1000)*(G528/1000)*7850</f>
        <v/>
      </c>
      <c r="I528" s="43" t="n">
        <v>8</v>
      </c>
      <c r="J528" s="80">
        <f>H528*I528</f>
        <v/>
      </c>
      <c r="K528" s="43" t="inlineStr">
        <is>
          <t>来源页78</t>
        </is>
      </c>
      <c r="L528" s="43">
        <f>A528</f>
        <v/>
      </c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43" t="n"/>
    </row>
    <row r="529">
      <c r="A529" s="43" t="inlineStr">
        <is>
          <t>N61a</t>
        </is>
      </c>
      <c r="B529" s="43" t="inlineStr">
        <is>
          <t>横梁接头</t>
        </is>
      </c>
      <c r="C529" s="43" t="inlineStr">
        <is>
          <t>节段08</t>
        </is>
      </c>
      <c r="D529" s="43" t="inlineStr">
        <is>
          <t>Q355D</t>
        </is>
      </c>
      <c r="E529" s="43" t="n">
        <v>1960</v>
      </c>
      <c r="F529" s="43" t="n">
        <v>602</v>
      </c>
      <c r="G529" s="43" t="n">
        <v>14</v>
      </c>
      <c r="H529" s="79">
        <f>(E529/1000)*(F529/1000)*(G529/1000)*7850</f>
        <v/>
      </c>
      <c r="I529" s="43" t="n">
        <v>4</v>
      </c>
      <c r="J529" s="80">
        <f>H529*I529</f>
        <v/>
      </c>
      <c r="K529" s="43" t="inlineStr">
        <is>
          <t>来源页78</t>
        </is>
      </c>
      <c r="L529" s="43">
        <f>A529</f>
        <v/>
      </c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43" t="n"/>
    </row>
    <row r="530">
      <c r="A530" s="43" t="inlineStr">
        <is>
          <t>N62a</t>
        </is>
      </c>
      <c r="B530" s="43" t="inlineStr">
        <is>
          <t>横梁接头</t>
        </is>
      </c>
      <c r="C530" s="43" t="inlineStr">
        <is>
          <t>节段08</t>
        </is>
      </c>
      <c r="D530" s="43" t="inlineStr">
        <is>
          <t>Q355D</t>
        </is>
      </c>
      <c r="E530" s="43" t="n"/>
      <c r="F530" s="43" t="n"/>
      <c r="G530" s="43" t="n">
        <v>24</v>
      </c>
      <c r="H530" s="79">
        <f>(E530/1000)*(F530/1000)*(G530/1000)*7850</f>
        <v/>
      </c>
      <c r="I530" s="43" t="n">
        <v>4</v>
      </c>
      <c r="J530" s="80">
        <f>H530*I530</f>
        <v/>
      </c>
      <c r="K530" s="43" t="inlineStr">
        <is>
          <t>来源页78</t>
        </is>
      </c>
      <c r="L530" s="43">
        <f>A530</f>
        <v/>
      </c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43" t="n"/>
    </row>
    <row r="531">
      <c r="A531" s="43" t="inlineStr">
        <is>
          <t>N63a</t>
        </is>
      </c>
      <c r="B531" s="43" t="inlineStr">
        <is>
          <t>横梁接头</t>
        </is>
      </c>
      <c r="C531" s="43" t="inlineStr">
        <is>
          <t>节段08</t>
        </is>
      </c>
      <c r="D531" s="43" t="inlineStr">
        <is>
          <t>Q355D</t>
        </is>
      </c>
      <c r="E531" s="43" t="n">
        <v>1800</v>
      </c>
      <c r="F531" s="43" t="n">
        <v>618</v>
      </c>
      <c r="G531" s="43" t="n">
        <v>14</v>
      </c>
      <c r="H531" s="79">
        <f>(E531/1000)*(F531/1000)*(G531/1000)*7850</f>
        <v/>
      </c>
      <c r="I531" s="43" t="n">
        <v>4</v>
      </c>
      <c r="J531" s="80">
        <f>H531*I531</f>
        <v/>
      </c>
      <c r="K531" s="43" t="inlineStr">
        <is>
          <t>来源页78</t>
        </is>
      </c>
      <c r="L531" s="43">
        <f>A531</f>
        <v/>
      </c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43" t="n"/>
    </row>
    <row r="532">
      <c r="A532" s="43" t="inlineStr"/>
      <c r="B532" s="43" t="inlineStr"/>
      <c r="C532" s="43" t="inlineStr">
        <is>
          <t>节段7~节段8</t>
        </is>
      </c>
      <c r="D532" s="43" t="inlineStr">
        <is>
          <t>Q420D</t>
        </is>
      </c>
      <c r="E532" s="43" t="n"/>
      <c r="F532" s="43" t="n"/>
      <c r="G532" s="43" t="n">
        <v>48</v>
      </c>
      <c r="H532" s="79">
        <f>(E532/1000)*(F532/1000)*(G532/1000)*7850</f>
        <v/>
      </c>
      <c r="I532" s="43" t="n">
        <v>1</v>
      </c>
      <c r="J532" s="80">
        <f>H532*I532</f>
        <v/>
      </c>
      <c r="K532" s="43" t="inlineStr">
        <is>
          <t>来源页78</t>
        </is>
      </c>
      <c r="L532" s="43">
        <f>A532</f>
        <v/>
      </c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43" t="n"/>
    </row>
    <row r="533">
      <c r="A533" s="43" t="inlineStr"/>
      <c r="B533" s="43" t="inlineStr"/>
      <c r="C533" s="43" t="inlineStr">
        <is>
          <t>节段7~节段8</t>
        </is>
      </c>
      <c r="D533" s="43" t="inlineStr">
        <is>
          <t>Q420D</t>
        </is>
      </c>
      <c r="E533" s="43" t="n"/>
      <c r="F533" s="43" t="n"/>
      <c r="G533" s="43" t="n">
        <v>44</v>
      </c>
      <c r="H533" s="79">
        <f>(E533/1000)*(F533/1000)*(G533/1000)*7850</f>
        <v/>
      </c>
      <c r="I533" s="43" t="n">
        <v>1</v>
      </c>
      <c r="J533" s="80">
        <f>H533*I533</f>
        <v/>
      </c>
      <c r="K533" s="43" t="inlineStr">
        <is>
          <t>来源页78</t>
        </is>
      </c>
      <c r="L533" s="43">
        <f>A533</f>
        <v/>
      </c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43" t="n"/>
    </row>
    <row r="534">
      <c r="A534" s="43" t="inlineStr"/>
      <c r="B534" s="43" t="inlineStr"/>
      <c r="C534" s="43" t="inlineStr">
        <is>
          <t>节段7~节段8</t>
        </is>
      </c>
      <c r="D534" s="43" t="inlineStr">
        <is>
          <t>Q420D</t>
        </is>
      </c>
      <c r="E534" s="43" t="n"/>
      <c r="F534" s="43" t="n"/>
      <c r="G534" s="43" t="n">
        <v>40</v>
      </c>
      <c r="H534" s="79">
        <f>(E534/1000)*(F534/1000)*(G534/1000)*7850</f>
        <v/>
      </c>
      <c r="I534" s="43" t="n">
        <v>1</v>
      </c>
      <c r="J534" s="80">
        <f>H534*I534</f>
        <v/>
      </c>
      <c r="K534" s="43" t="inlineStr">
        <is>
          <t>来源页78</t>
        </is>
      </c>
      <c r="L534" s="43">
        <f>A534</f>
        <v/>
      </c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43" t="n"/>
    </row>
    <row r="535">
      <c r="A535" s="43" t="inlineStr"/>
      <c r="B535" s="43" t="inlineStr"/>
      <c r="C535" s="43" t="inlineStr">
        <is>
          <t>节段7~节段8</t>
        </is>
      </c>
      <c r="D535" s="43" t="inlineStr">
        <is>
          <t>Q420D</t>
        </is>
      </c>
      <c r="E535" s="43" t="n"/>
      <c r="F535" s="43" t="n"/>
      <c r="G535" s="43" t="n">
        <v>36</v>
      </c>
      <c r="H535" s="79">
        <f>(E535/1000)*(F535/1000)*(G535/1000)*7850</f>
        <v/>
      </c>
      <c r="I535" s="43" t="n">
        <v>1</v>
      </c>
      <c r="J535" s="80">
        <f>H535*I535</f>
        <v/>
      </c>
      <c r="K535" s="43" t="inlineStr">
        <is>
          <t>来源页78</t>
        </is>
      </c>
      <c r="L535" s="43">
        <f>A535</f>
        <v/>
      </c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43" t="n"/>
    </row>
    <row r="536">
      <c r="A536" s="43" t="inlineStr"/>
      <c r="B536" s="43" t="inlineStr"/>
      <c r="C536" s="43" t="inlineStr">
        <is>
          <t>节段7~节段8</t>
        </is>
      </c>
      <c r="D536" s="43" t="inlineStr">
        <is>
          <t>Q420D</t>
        </is>
      </c>
      <c r="E536" s="43" t="n"/>
      <c r="F536" s="43" t="n"/>
      <c r="G536" s="43" t="n">
        <v>32</v>
      </c>
      <c r="H536" s="79">
        <f>(E536/1000)*(F536/1000)*(G536/1000)*7850</f>
        <v/>
      </c>
      <c r="I536" s="43" t="n">
        <v>1</v>
      </c>
      <c r="J536" s="80">
        <f>H536*I536</f>
        <v/>
      </c>
      <c r="K536" s="43" t="inlineStr">
        <is>
          <t>来源页78</t>
        </is>
      </c>
      <c r="L536" s="43">
        <f>A536</f>
        <v/>
      </c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43" t="n"/>
    </row>
    <row r="537">
      <c r="A537" s="43" t="inlineStr"/>
      <c r="B537" s="43" t="inlineStr"/>
      <c r="C537" s="43" t="inlineStr">
        <is>
          <t>节段7~节段8</t>
        </is>
      </c>
      <c r="D537" s="43" t="inlineStr">
        <is>
          <t>Q420D</t>
        </is>
      </c>
      <c r="E537" s="43" t="n"/>
      <c r="F537" s="43" t="n"/>
      <c r="G537" s="43" t="n">
        <v>28</v>
      </c>
      <c r="H537" s="79">
        <f>(E537/1000)*(F537/1000)*(G537/1000)*7850</f>
        <v/>
      </c>
      <c r="I537" s="43" t="n">
        <v>1</v>
      </c>
      <c r="J537" s="80">
        <f>H537*I537</f>
        <v/>
      </c>
      <c r="K537" s="43" t="inlineStr">
        <is>
          <t>来源页78</t>
        </is>
      </c>
      <c r="L537" s="43">
        <f>A537</f>
        <v/>
      </c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43" t="n"/>
    </row>
    <row r="538">
      <c r="A538" s="43" t="inlineStr"/>
      <c r="B538" s="43" t="inlineStr"/>
      <c r="C538" s="43" t="inlineStr">
        <is>
          <t>节段7~节段8</t>
        </is>
      </c>
      <c r="D538" s="43" t="inlineStr">
        <is>
          <t>Q420D</t>
        </is>
      </c>
      <c r="E538" s="43" t="n"/>
      <c r="F538" s="43" t="n"/>
      <c r="G538" s="43" t="n">
        <v>24</v>
      </c>
      <c r="H538" s="79">
        <f>(E538/1000)*(F538/1000)*(G538/1000)*7850</f>
        <v/>
      </c>
      <c r="I538" s="43" t="n">
        <v>1</v>
      </c>
      <c r="J538" s="80">
        <f>H538*I538</f>
        <v/>
      </c>
      <c r="K538" s="43" t="inlineStr">
        <is>
          <t>来源页78</t>
        </is>
      </c>
      <c r="L538" s="43">
        <f>A538</f>
        <v/>
      </c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43" t="n"/>
    </row>
    <row r="539">
      <c r="A539" s="43" t="inlineStr"/>
      <c r="B539" s="43" t="inlineStr"/>
      <c r="C539" s="43" t="inlineStr">
        <is>
          <t>节段7~节段8</t>
        </is>
      </c>
      <c r="D539" s="43" t="inlineStr">
        <is>
          <t>Q420D</t>
        </is>
      </c>
      <c r="E539" s="43" t="n"/>
      <c r="F539" s="43" t="n"/>
      <c r="G539" s="43" t="n">
        <v>4</v>
      </c>
      <c r="H539" s="79">
        <f>(E539/1000)*(F539/1000)*(G539/1000)*7850</f>
        <v/>
      </c>
      <c r="I539" s="43" t="n">
        <v>1</v>
      </c>
      <c r="J539" s="80">
        <f>H539*I539</f>
        <v/>
      </c>
      <c r="K539" s="43" t="inlineStr">
        <is>
          <t>来源页78</t>
        </is>
      </c>
      <c r="L539" s="43">
        <f>A539</f>
        <v/>
      </c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43" t="n"/>
    </row>
    <row r="540">
      <c r="A540" s="43" t="inlineStr"/>
      <c r="B540" s="43" t="inlineStr"/>
      <c r="C540" s="43" t="inlineStr">
        <is>
          <t>节段7~节段8</t>
        </is>
      </c>
      <c r="D540" s="43" t="inlineStr">
        <is>
          <t>10.9S高强螺栓</t>
        </is>
      </c>
      <c r="E540" s="43" t="n"/>
      <c r="F540" s="43" t="n"/>
      <c r="G540" s="43" t="n"/>
      <c r="H540" s="79">
        <f>(E540/1000)*(F540/1000)*(G540/1000)*7850</f>
        <v/>
      </c>
      <c r="I540" s="43" t="n">
        <v>1</v>
      </c>
      <c r="J540" s="80">
        <f>H540*I540</f>
        <v/>
      </c>
      <c r="K540" s="43" t="inlineStr">
        <is>
          <t>来源页78</t>
        </is>
      </c>
      <c r="L540" s="43">
        <f>A540</f>
        <v/>
      </c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43" t="n"/>
    </row>
    <row r="541">
      <c r="A541" s="43" t="inlineStr"/>
      <c r="B541" s="43" t="inlineStr"/>
      <c r="C541" s="43" t="inlineStr">
        <is>
          <t>节段7~节段8</t>
        </is>
      </c>
      <c r="D541" s="43" t="inlineStr">
        <is>
          <t>10.9S高强螺栓</t>
        </is>
      </c>
      <c r="E541" s="43" t="n"/>
      <c r="F541" s="43" t="n"/>
      <c r="G541" s="43" t="n"/>
      <c r="H541" s="79">
        <f>(E541/1000)*(F541/1000)*(G541/1000)*7850</f>
        <v/>
      </c>
      <c r="I541" s="43" t="n">
        <v>1</v>
      </c>
      <c r="J541" s="80">
        <f>H541*I541</f>
        <v/>
      </c>
      <c r="K541" s="43" t="inlineStr">
        <is>
          <t>来源页78</t>
        </is>
      </c>
      <c r="L541" s="43">
        <f>A541</f>
        <v/>
      </c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43" t="n"/>
    </row>
    <row r="542">
      <c r="A542" s="43" t="inlineStr">
        <is>
          <t>P1</t>
        </is>
      </c>
      <c r="B542" s="43" t="inlineStr">
        <is>
          <t>上弦杆拼接</t>
        </is>
      </c>
      <c r="C542" s="43" t="inlineStr">
        <is>
          <t>节段8~节段9</t>
        </is>
      </c>
      <c r="D542" s="43" t="inlineStr">
        <is>
          <t>Q355D</t>
        </is>
      </c>
      <c r="E542" s="43" t="n">
        <v>1220</v>
      </c>
      <c r="F542" s="43" t="n">
        <v>1800</v>
      </c>
      <c r="G542" s="43" t="n">
        <v>28</v>
      </c>
      <c r="H542" s="79">
        <f>(E542/1000)*(F542/1000)*(G542/1000)*7850</f>
        <v/>
      </c>
      <c r="I542" s="43" t="n">
        <v>2</v>
      </c>
      <c r="J542" s="80">
        <f>H542*I542</f>
        <v/>
      </c>
      <c r="K542" s="43" t="inlineStr">
        <is>
          <t>来源页81</t>
        </is>
      </c>
      <c r="L542" s="43">
        <f>A542</f>
        <v/>
      </c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43" t="n"/>
    </row>
    <row r="543">
      <c r="A543" s="43" t="inlineStr">
        <is>
          <t>P2</t>
        </is>
      </c>
      <c r="B543" s="43" t="inlineStr">
        <is>
          <t>上弦杆拼接</t>
        </is>
      </c>
      <c r="C543" s="43" t="inlineStr">
        <is>
          <t>节段8~节段9</t>
        </is>
      </c>
      <c r="D543" s="43" t="inlineStr">
        <is>
          <t>Q355D</t>
        </is>
      </c>
      <c r="E543" s="43" t="n">
        <v>1220</v>
      </c>
      <c r="F543" s="43" t="n">
        <v>500</v>
      </c>
      <c r="G543" s="43" t="n">
        <v>28</v>
      </c>
      <c r="H543" s="79">
        <f>(E543/1000)*(F543/1000)*(G543/1000)*7850</f>
        <v/>
      </c>
      <c r="I543" s="43" t="n">
        <v>2</v>
      </c>
      <c r="J543" s="80">
        <f>H543*I543</f>
        <v/>
      </c>
      <c r="K543" s="43" t="inlineStr">
        <is>
          <t>来源页81</t>
        </is>
      </c>
      <c r="L543" s="43">
        <f>A543</f>
        <v/>
      </c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43" t="n"/>
    </row>
    <row r="544">
      <c r="A544" s="43" t="inlineStr">
        <is>
          <t>P3</t>
        </is>
      </c>
      <c r="B544" s="43" t="inlineStr">
        <is>
          <t>上弦杆拼接</t>
        </is>
      </c>
      <c r="C544" s="43" t="inlineStr">
        <is>
          <t>节段8~节段9</t>
        </is>
      </c>
      <c r="D544" s="43" t="inlineStr">
        <is>
          <t>Q355D</t>
        </is>
      </c>
      <c r="E544" s="43" t="n">
        <v>1220</v>
      </c>
      <c r="F544" s="43" t="n">
        <v>500</v>
      </c>
      <c r="G544" s="43" t="n">
        <v>28</v>
      </c>
      <c r="H544" s="79">
        <f>(E544/1000)*(F544/1000)*(G544/1000)*7850</f>
        <v/>
      </c>
      <c r="I544" s="43" t="n">
        <v>2</v>
      </c>
      <c r="J544" s="80">
        <f>H544*I544</f>
        <v/>
      </c>
      <c r="K544" s="43" t="inlineStr">
        <is>
          <t>来源页81</t>
        </is>
      </c>
      <c r="L544" s="43">
        <f>A544</f>
        <v/>
      </c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43" t="n"/>
    </row>
    <row r="545">
      <c r="A545" s="43" t="inlineStr">
        <is>
          <t>P4</t>
        </is>
      </c>
      <c r="B545" s="43" t="inlineStr">
        <is>
          <t>上弦杆拼接</t>
        </is>
      </c>
      <c r="C545" s="43" t="inlineStr">
        <is>
          <t>节段8~节段9</t>
        </is>
      </c>
      <c r="D545" s="43" t="inlineStr">
        <is>
          <t>Q355D</t>
        </is>
      </c>
      <c r="E545" s="43" t="n">
        <v>1220</v>
      </c>
      <c r="F545" s="43" t="n">
        <v>600</v>
      </c>
      <c r="G545" s="43" t="n">
        <v>28</v>
      </c>
      <c r="H545" s="79">
        <f>(E545/1000)*(F545/1000)*(G545/1000)*7850</f>
        <v/>
      </c>
      <c r="I545" s="43" t="n">
        <v>2</v>
      </c>
      <c r="J545" s="80">
        <f>H545*I545</f>
        <v/>
      </c>
      <c r="K545" s="43" t="inlineStr">
        <is>
          <t>来源页81</t>
        </is>
      </c>
      <c r="L545" s="43">
        <f>A545</f>
        <v/>
      </c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43" t="n"/>
    </row>
    <row r="546">
      <c r="A546" s="43" t="inlineStr">
        <is>
          <t>P5</t>
        </is>
      </c>
      <c r="B546" s="43" t="inlineStr">
        <is>
          <t>上弦杆拼接</t>
        </is>
      </c>
      <c r="C546" s="43" t="inlineStr">
        <is>
          <t>节段8~节段9</t>
        </is>
      </c>
      <c r="D546" s="43" t="inlineStr">
        <is>
          <t>Q355D</t>
        </is>
      </c>
      <c r="E546" s="43" t="n">
        <v>1420</v>
      </c>
      <c r="F546" s="43" t="n">
        <v>1100</v>
      </c>
      <c r="G546" s="43" t="n">
        <v>32</v>
      </c>
      <c r="H546" s="79">
        <f>(E546/1000)*(F546/1000)*(G546/1000)*7850</f>
        <v/>
      </c>
      <c r="I546" s="43" t="n">
        <v>1</v>
      </c>
      <c r="J546" s="80">
        <f>H546*I546</f>
        <v/>
      </c>
      <c r="K546" s="43" t="inlineStr">
        <is>
          <t>来源页81</t>
        </is>
      </c>
      <c r="L546" s="43">
        <f>A546</f>
        <v/>
      </c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43" t="n"/>
    </row>
    <row r="547">
      <c r="A547" s="43" t="inlineStr">
        <is>
          <t>P6</t>
        </is>
      </c>
      <c r="B547" s="43" t="inlineStr">
        <is>
          <t>上弦杆拼接</t>
        </is>
      </c>
      <c r="C547" s="43" t="inlineStr">
        <is>
          <t>节段8~节段9</t>
        </is>
      </c>
      <c r="D547" s="43" t="inlineStr">
        <is>
          <t>Q355D</t>
        </is>
      </c>
      <c r="E547" s="43" t="n">
        <v>1420</v>
      </c>
      <c r="F547" s="43" t="n">
        <v>400</v>
      </c>
      <c r="G547" s="43" t="n">
        <v>32</v>
      </c>
      <c r="H547" s="79">
        <f>(E547/1000)*(F547/1000)*(G547/1000)*7850</f>
        <v/>
      </c>
      <c r="I547" s="43" t="n">
        <v>2</v>
      </c>
      <c r="J547" s="80">
        <f>H547*I547</f>
        <v/>
      </c>
      <c r="K547" s="43" t="inlineStr">
        <is>
          <t>来源页81</t>
        </is>
      </c>
      <c r="L547" s="43">
        <f>A547</f>
        <v/>
      </c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43" t="n"/>
    </row>
    <row r="548">
      <c r="A548" s="43" t="inlineStr">
        <is>
          <t>P7</t>
        </is>
      </c>
      <c r="B548" s="43" t="inlineStr">
        <is>
          <t>上弦杆拼接</t>
        </is>
      </c>
      <c r="C548" s="43" t="inlineStr">
        <is>
          <t>节段8~节段9</t>
        </is>
      </c>
      <c r="D548" s="43" t="inlineStr">
        <is>
          <t>Q355D</t>
        </is>
      </c>
      <c r="E548" s="43" t="n">
        <v>920</v>
      </c>
      <c r="F548" s="43" t="n">
        <v>200</v>
      </c>
      <c r="G548" s="43" t="n">
        <v>20</v>
      </c>
      <c r="H548" s="79">
        <f>(E548/1000)*(F548/1000)*(G548/1000)*7850</f>
        <v/>
      </c>
      <c r="I548" s="43" t="n">
        <v>10</v>
      </c>
      <c r="J548" s="80">
        <f>H548*I548</f>
        <v/>
      </c>
      <c r="K548" s="43" t="inlineStr">
        <is>
          <t>来源页81</t>
        </is>
      </c>
      <c r="L548" s="43">
        <f>A548</f>
        <v/>
      </c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43" t="n"/>
    </row>
    <row r="549">
      <c r="A549" s="43" t="inlineStr">
        <is>
          <t>P8</t>
        </is>
      </c>
      <c r="B549" s="43" t="inlineStr">
        <is>
          <t>上弦杆拼接</t>
        </is>
      </c>
      <c r="C549" s="43" t="inlineStr">
        <is>
          <t>节段8~节段9</t>
        </is>
      </c>
      <c r="D549" s="43" t="inlineStr">
        <is>
          <t>Q355D</t>
        </is>
      </c>
      <c r="E549" s="43" t="n">
        <v>600</v>
      </c>
      <c r="F549" s="43" t="n">
        <v>1800</v>
      </c>
      <c r="G549" s="43" t="n">
        <v>16</v>
      </c>
      <c r="H549" s="79">
        <f>(E549/1000)*(F549/1000)*(G549/1000)*7850</f>
        <v/>
      </c>
      <c r="I549" s="43" t="n">
        <v>2</v>
      </c>
      <c r="J549" s="80">
        <f>H549*I549</f>
        <v/>
      </c>
      <c r="K549" s="43" t="inlineStr">
        <is>
          <t>填板；来源页81</t>
        </is>
      </c>
      <c r="L549" s="43">
        <f>A549</f>
        <v/>
      </c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43" t="n"/>
    </row>
    <row r="550">
      <c r="A550" s="43" t="inlineStr">
        <is>
          <t>P9</t>
        </is>
      </c>
      <c r="B550" s="43" t="inlineStr">
        <is>
          <t>上弦杆拼接</t>
        </is>
      </c>
      <c r="C550" s="43" t="inlineStr">
        <is>
          <t>节段8~节段9</t>
        </is>
      </c>
      <c r="D550" s="43" t="inlineStr">
        <is>
          <t>Q355D</t>
        </is>
      </c>
      <c r="E550" s="43" t="n">
        <v>700</v>
      </c>
      <c r="F550" s="43" t="n">
        <v>1100</v>
      </c>
      <c r="G550" s="43" t="n">
        <v>16</v>
      </c>
      <c r="H550" s="79">
        <f>(E550/1000)*(F550/1000)*(G550/1000)*7850</f>
        <v/>
      </c>
      <c r="I550" s="43" t="n">
        <v>1</v>
      </c>
      <c r="J550" s="80">
        <f>H550*I550</f>
        <v/>
      </c>
      <c r="K550" s="43" t="inlineStr">
        <is>
          <t>填板；来源页81</t>
        </is>
      </c>
      <c r="L550" s="43">
        <f>A550</f>
        <v/>
      </c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43" t="n"/>
    </row>
    <row r="551">
      <c r="A551" s="43" t="inlineStr">
        <is>
          <t>M30高强螺栓</t>
        </is>
      </c>
      <c r="B551" s="43" t="inlineStr">
        <is>
          <t>上弦杆拼接</t>
        </is>
      </c>
      <c r="C551" s="43" t="inlineStr">
        <is>
          <t>节段8~节段9</t>
        </is>
      </c>
      <c r="D551" s="43" t="inlineStr">
        <is>
          <t>10.9S</t>
        </is>
      </c>
      <c r="E551" s="43" t="n"/>
      <c r="F551" s="43" t="n"/>
      <c r="G551" s="43" t="n"/>
      <c r="H551" s="79">
        <f>(E551/1000)*(F551/1000)*(G551/1000)*7850</f>
        <v/>
      </c>
      <c r="I551" s="43" t="n">
        <v>508</v>
      </c>
      <c r="J551" s="80">
        <f>H551*I551</f>
        <v/>
      </c>
      <c r="K551" s="43" t="inlineStr">
        <is>
          <t>来源页81</t>
        </is>
      </c>
      <c r="L551" s="43">
        <f>A551</f>
        <v/>
      </c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43" t="n"/>
    </row>
    <row r="552">
      <c r="A552" s="43" t="inlineStr">
        <is>
          <t>K1</t>
        </is>
      </c>
      <c r="B552" s="43" t="inlineStr">
        <is>
          <t>下弦杆拼接</t>
        </is>
      </c>
      <c r="C552" s="43" t="inlineStr">
        <is>
          <t>节段8~节段9</t>
        </is>
      </c>
      <c r="D552" s="43" t="inlineStr">
        <is>
          <t>Q355D</t>
        </is>
      </c>
      <c r="E552" s="43" t="n">
        <v>1020</v>
      </c>
      <c r="F552" s="43" t="n">
        <v>1700</v>
      </c>
      <c r="G552" s="43" t="n">
        <v>24</v>
      </c>
      <c r="H552" s="79">
        <f>(E552/1000)*(F552/1000)*(G552/1000)*7850</f>
        <v/>
      </c>
      <c r="I552" s="43" t="n">
        <v>2</v>
      </c>
      <c r="J552" s="80">
        <f>H552*I552</f>
        <v/>
      </c>
      <c r="K552" s="43" t="inlineStr">
        <is>
          <t>来源页81</t>
        </is>
      </c>
      <c r="L552" s="43">
        <f>A552</f>
        <v/>
      </c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43" t="n"/>
    </row>
    <row r="553">
      <c r="A553" s="43" t="inlineStr">
        <is>
          <t>K2</t>
        </is>
      </c>
      <c r="B553" s="43" t="inlineStr">
        <is>
          <t>下弦杆拼接</t>
        </is>
      </c>
      <c r="C553" s="43" t="inlineStr">
        <is>
          <t>节段8~节段9</t>
        </is>
      </c>
      <c r="D553" s="43" t="inlineStr">
        <is>
          <t>Q355D</t>
        </is>
      </c>
      <c r="E553" s="43" t="n">
        <v>1020</v>
      </c>
      <c r="F553" s="43" t="n">
        <v>800</v>
      </c>
      <c r="G553" s="43" t="n">
        <v>24</v>
      </c>
      <c r="H553" s="79">
        <f>(E553/1000)*(F553/1000)*(G553/1000)*7850</f>
        <v/>
      </c>
      <c r="I553" s="43" t="n">
        <v>4</v>
      </c>
      <c r="J553" s="80">
        <f>H553*I553</f>
        <v/>
      </c>
      <c r="K553" s="43" t="inlineStr">
        <is>
          <t>来源页81</t>
        </is>
      </c>
      <c r="L553" s="43">
        <f>A553</f>
        <v/>
      </c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43" t="n"/>
    </row>
    <row r="554">
      <c r="A554" s="43" t="inlineStr">
        <is>
          <t>K3</t>
        </is>
      </c>
      <c r="B554" s="43" t="inlineStr">
        <is>
          <t>下弦杆拼接</t>
        </is>
      </c>
      <c r="C554" s="43" t="inlineStr">
        <is>
          <t>节段8~节段9</t>
        </is>
      </c>
      <c r="D554" s="43" t="inlineStr">
        <is>
          <t>Q355D</t>
        </is>
      </c>
      <c r="E554" s="43" t="n">
        <v>1320</v>
      </c>
      <c r="F554" s="43" t="n">
        <v>1100</v>
      </c>
      <c r="G554" s="43" t="n">
        <v>36</v>
      </c>
      <c r="H554" s="79">
        <f>(E554/1000)*(F554/1000)*(G554/1000)*7850</f>
        <v/>
      </c>
      <c r="I554" s="43" t="n">
        <v>1</v>
      </c>
      <c r="J554" s="80">
        <f>H554*I554</f>
        <v/>
      </c>
      <c r="K554" s="43" t="inlineStr">
        <is>
          <t>来源页81</t>
        </is>
      </c>
      <c r="L554" s="43">
        <f>A554</f>
        <v/>
      </c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43" t="n"/>
    </row>
    <row r="555">
      <c r="A555" s="43" t="inlineStr">
        <is>
          <t>K4</t>
        </is>
      </c>
      <c r="B555" s="43" t="inlineStr">
        <is>
          <t>下弦杆拼接</t>
        </is>
      </c>
      <c r="C555" s="43" t="inlineStr">
        <is>
          <t>节段8~节段9</t>
        </is>
      </c>
      <c r="D555" s="43" t="inlineStr">
        <is>
          <t>Q355D</t>
        </is>
      </c>
      <c r="E555" s="43" t="n">
        <v>1320</v>
      </c>
      <c r="F555" s="43" t="n">
        <v>400</v>
      </c>
      <c r="G555" s="43" t="n">
        <v>36</v>
      </c>
      <c r="H555" s="79">
        <f>(E555/1000)*(F555/1000)*(G555/1000)*7850</f>
        <v/>
      </c>
      <c r="I555" s="43" t="n">
        <v>2</v>
      </c>
      <c r="J555" s="80">
        <f>H555*I555</f>
        <v/>
      </c>
      <c r="K555" s="43" t="inlineStr">
        <is>
          <t>来源页81</t>
        </is>
      </c>
      <c r="L555" s="43">
        <f>A555</f>
        <v/>
      </c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43" t="n"/>
    </row>
    <row r="556">
      <c r="A556" s="43" t="inlineStr">
        <is>
          <t>K5</t>
        </is>
      </c>
      <c r="B556" s="43" t="inlineStr">
        <is>
          <t>下弦杆拼接</t>
        </is>
      </c>
      <c r="C556" s="43" t="inlineStr">
        <is>
          <t>节段8~节段9</t>
        </is>
      </c>
      <c r="D556" s="43" t="inlineStr">
        <is>
          <t>Q355D</t>
        </is>
      </c>
      <c r="E556" s="43" t="n">
        <v>920</v>
      </c>
      <c r="F556" s="43" t="n">
        <v>200</v>
      </c>
      <c r="G556" s="43" t="n">
        <v>20</v>
      </c>
      <c r="H556" s="79">
        <f>(E556/1000)*(F556/1000)*(G556/1000)*7850</f>
        <v/>
      </c>
      <c r="I556" s="43" t="n">
        <v>6</v>
      </c>
      <c r="J556" s="80">
        <f>H556*I556</f>
        <v/>
      </c>
      <c r="K556" s="43" t="inlineStr">
        <is>
          <t>来源页81</t>
        </is>
      </c>
      <c r="L556" s="43">
        <f>A556</f>
        <v/>
      </c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43" t="n"/>
    </row>
    <row r="557">
      <c r="A557" s="43" t="inlineStr">
        <is>
          <t>K6</t>
        </is>
      </c>
      <c r="B557" s="43" t="inlineStr">
        <is>
          <t>下弦杆拼接</t>
        </is>
      </c>
      <c r="C557" s="43" t="inlineStr">
        <is>
          <t>节段8~节段9</t>
        </is>
      </c>
      <c r="D557" s="43" t="inlineStr">
        <is>
          <t>Q355D</t>
        </is>
      </c>
      <c r="E557" s="43" t="n">
        <v>500</v>
      </c>
      <c r="F557" s="43" t="n">
        <v>1700</v>
      </c>
      <c r="G557" s="43" t="n">
        <v>8</v>
      </c>
      <c r="H557" s="79">
        <f>(E557/1000)*(F557/1000)*(G557/1000)*7850</f>
        <v/>
      </c>
      <c r="I557" s="43" t="n">
        <v>2</v>
      </c>
      <c r="J557" s="80">
        <f>H557*I557</f>
        <v/>
      </c>
      <c r="K557" s="43" t="inlineStr">
        <is>
          <t>填板；来源页81</t>
        </is>
      </c>
      <c r="L557" s="43">
        <f>A557</f>
        <v/>
      </c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43" t="n"/>
    </row>
    <row r="558">
      <c r="A558" s="43" t="inlineStr">
        <is>
          <t>K7</t>
        </is>
      </c>
      <c r="B558" s="43" t="inlineStr">
        <is>
          <t>下弦杆拼接</t>
        </is>
      </c>
      <c r="C558" s="43" t="inlineStr">
        <is>
          <t>节段8~节段9</t>
        </is>
      </c>
      <c r="D558" s="43" t="inlineStr">
        <is>
          <t>Q355D</t>
        </is>
      </c>
      <c r="E558" s="43" t="n">
        <v>650</v>
      </c>
      <c r="F558" s="43" t="n">
        <v>1100</v>
      </c>
      <c r="G558" s="43" t="n">
        <v>4</v>
      </c>
      <c r="H558" s="79">
        <f>(E558/1000)*(F558/1000)*(G558/1000)*7850</f>
        <v/>
      </c>
      <c r="I558" s="43" t="n">
        <v>1</v>
      </c>
      <c r="J558" s="80">
        <f>H558*I558</f>
        <v/>
      </c>
      <c r="K558" s="43" t="inlineStr">
        <is>
          <t>填板；来源页81</t>
        </is>
      </c>
      <c r="L558" s="43">
        <f>A558</f>
        <v/>
      </c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43" t="n"/>
    </row>
    <row r="559">
      <c r="A559" s="43" t="inlineStr">
        <is>
          <t>M30高强螺栓</t>
        </is>
      </c>
      <c r="B559" s="43" t="inlineStr">
        <is>
          <t>下弦杆拼接</t>
        </is>
      </c>
      <c r="C559" s="43" t="inlineStr">
        <is>
          <t>节段8~节段9</t>
        </is>
      </c>
      <c r="D559" s="43" t="inlineStr">
        <is>
          <t>10.9S</t>
        </is>
      </c>
      <c r="E559" s="43" t="n"/>
      <c r="F559" s="43" t="n"/>
      <c r="G559" s="43" t="n"/>
      <c r="H559" s="79">
        <f>(E559/1000)*(F559/1000)*(G559/1000)*7850</f>
        <v/>
      </c>
      <c r="I559" s="43" t="n">
        <v>324</v>
      </c>
      <c r="J559" s="80">
        <f>H559*I559</f>
        <v/>
      </c>
      <c r="K559" s="43" t="inlineStr">
        <is>
          <t>来源页81</t>
        </is>
      </c>
      <c r="L559" s="43">
        <f>A559</f>
        <v/>
      </c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43" t="n"/>
    </row>
    <row r="560">
      <c r="A560" s="43" t="inlineStr">
        <is>
          <t>L1</t>
        </is>
      </c>
      <c r="B560" s="43" t="inlineStr">
        <is>
          <t>腹杆拼接</t>
        </is>
      </c>
      <c r="C560" s="43" t="inlineStr">
        <is>
          <t>节段8~节段9</t>
        </is>
      </c>
      <c r="D560" s="43" t="inlineStr">
        <is>
          <t>Q355D</t>
        </is>
      </c>
      <c r="E560" s="43" t="n">
        <v>1520</v>
      </c>
      <c r="F560" s="43" t="n">
        <v>1100</v>
      </c>
      <c r="G560" s="43" t="n">
        <v>24</v>
      </c>
      <c r="H560" s="79">
        <f>(E560/1000)*(F560/1000)*(G560/1000)*7850</f>
        <v/>
      </c>
      <c r="I560" s="43" t="n">
        <v>2</v>
      </c>
      <c r="J560" s="80">
        <f>H560*I560</f>
        <v/>
      </c>
      <c r="K560" s="43" t="inlineStr">
        <is>
          <t>来源页81</t>
        </is>
      </c>
      <c r="L560" s="43">
        <f>A560</f>
        <v/>
      </c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43" t="n"/>
    </row>
    <row r="561">
      <c r="A561" s="43" t="inlineStr">
        <is>
          <t>L2</t>
        </is>
      </c>
      <c r="B561" s="43" t="inlineStr">
        <is>
          <t>腹杆拼接</t>
        </is>
      </c>
      <c r="C561" s="43" t="inlineStr">
        <is>
          <t>节段8~节段9</t>
        </is>
      </c>
      <c r="D561" s="43" t="inlineStr">
        <is>
          <t>Q355D</t>
        </is>
      </c>
      <c r="E561" s="43" t="n">
        <v>1520</v>
      </c>
      <c r="F561" s="43" t="n">
        <v>500</v>
      </c>
      <c r="G561" s="43" t="n">
        <v>24</v>
      </c>
      <c r="H561" s="79">
        <f>(E561/1000)*(F561/1000)*(G561/1000)*7850</f>
        <v/>
      </c>
      <c r="I561" s="43" t="n">
        <v>4</v>
      </c>
      <c r="J561" s="80">
        <f>H561*I561</f>
        <v/>
      </c>
      <c r="K561" s="43" t="inlineStr">
        <is>
          <t>来源页81</t>
        </is>
      </c>
      <c r="L561" s="43">
        <f>A561</f>
        <v/>
      </c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43" t="n"/>
    </row>
    <row r="562">
      <c r="A562" s="43" t="inlineStr">
        <is>
          <t>L3</t>
        </is>
      </c>
      <c r="B562" s="43" t="inlineStr">
        <is>
          <t>腹杆拼接</t>
        </is>
      </c>
      <c r="C562" s="43" t="inlineStr">
        <is>
          <t>节段8~节段9</t>
        </is>
      </c>
      <c r="D562" s="43" t="inlineStr">
        <is>
          <t>Q355D</t>
        </is>
      </c>
      <c r="E562" s="43" t="n">
        <v>1320</v>
      </c>
      <c r="F562" s="43" t="n">
        <v>1100</v>
      </c>
      <c r="G562" s="43" t="n">
        <v>28</v>
      </c>
      <c r="H562" s="79">
        <f>(E562/1000)*(F562/1000)*(G562/1000)*7850</f>
        <v/>
      </c>
      <c r="I562" s="43" t="n">
        <v>1</v>
      </c>
      <c r="J562" s="80">
        <f>H562*I562</f>
        <v/>
      </c>
      <c r="K562" s="43" t="inlineStr">
        <is>
          <t>来源页81</t>
        </is>
      </c>
      <c r="L562" s="43">
        <f>A562</f>
        <v/>
      </c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43" t="n"/>
    </row>
    <row r="563">
      <c r="A563" s="43" t="inlineStr">
        <is>
          <t>L4</t>
        </is>
      </c>
      <c r="B563" s="43" t="inlineStr">
        <is>
          <t>腹杆拼接</t>
        </is>
      </c>
      <c r="C563" s="43" t="inlineStr">
        <is>
          <t>节段8~节段9</t>
        </is>
      </c>
      <c r="D563" s="43" t="inlineStr">
        <is>
          <t>Q355D</t>
        </is>
      </c>
      <c r="E563" s="43" t="n">
        <v>1320</v>
      </c>
      <c r="F563" s="43" t="n">
        <v>500</v>
      </c>
      <c r="G563" s="43" t="n">
        <v>28</v>
      </c>
      <c r="H563" s="79">
        <f>(E563/1000)*(F563/1000)*(G563/1000)*7850</f>
        <v/>
      </c>
      <c r="I563" s="43" t="n">
        <v>2</v>
      </c>
      <c r="J563" s="80">
        <f>H563*I563</f>
        <v/>
      </c>
      <c r="K563" s="43" t="inlineStr">
        <is>
          <t>来源页81</t>
        </is>
      </c>
      <c r="L563" s="43">
        <f>A563</f>
        <v/>
      </c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43" t="n"/>
    </row>
    <row r="564">
      <c r="A564" s="43" t="inlineStr">
        <is>
          <t>L5</t>
        </is>
      </c>
      <c r="B564" s="43" t="inlineStr">
        <is>
          <t>腹杆拼接</t>
        </is>
      </c>
      <c r="C564" s="43" t="inlineStr">
        <is>
          <t>节段8~节段9</t>
        </is>
      </c>
      <c r="D564" s="43" t="inlineStr">
        <is>
          <t>Q355D</t>
        </is>
      </c>
      <c r="E564" s="43" t="n">
        <v>1520</v>
      </c>
      <c r="F564" s="43" t="n">
        <v>1100</v>
      </c>
      <c r="G564" s="43" t="n">
        <v>44</v>
      </c>
      <c r="H564" s="79">
        <f>(E564/1000)*(F564/1000)*(G564/1000)*7850</f>
        <v/>
      </c>
      <c r="I564" s="43" t="n">
        <v>1</v>
      </c>
      <c r="J564" s="80">
        <f>H564*I564</f>
        <v/>
      </c>
      <c r="K564" s="43" t="inlineStr">
        <is>
          <t>来源页81</t>
        </is>
      </c>
      <c r="L564" s="43">
        <f>A564</f>
        <v/>
      </c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43" t="n"/>
    </row>
    <row r="565">
      <c r="A565" s="43" t="inlineStr">
        <is>
          <t>L6</t>
        </is>
      </c>
      <c r="B565" s="43" t="inlineStr">
        <is>
          <t>腹杆拼接</t>
        </is>
      </c>
      <c r="C565" s="43" t="inlineStr">
        <is>
          <t>节段8~节段9</t>
        </is>
      </c>
      <c r="D565" s="43" t="inlineStr">
        <is>
          <t>Q355D</t>
        </is>
      </c>
      <c r="E565" s="43" t="n">
        <v>1520</v>
      </c>
      <c r="F565" s="43" t="n">
        <v>240</v>
      </c>
      <c r="G565" s="43" t="n">
        <v>44</v>
      </c>
      <c r="H565" s="79">
        <f>(E565/1000)*(F565/1000)*(G565/1000)*7850</f>
        <v/>
      </c>
      <c r="I565" s="43" t="n">
        <v>2</v>
      </c>
      <c r="J565" s="80">
        <f>H565*I565</f>
        <v/>
      </c>
      <c r="K565" s="43" t="inlineStr">
        <is>
          <t>来源页81</t>
        </is>
      </c>
      <c r="L565" s="43">
        <f>A565</f>
        <v/>
      </c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43" t="n"/>
    </row>
    <row r="566">
      <c r="A566" s="43" t="inlineStr">
        <is>
          <t>L7</t>
        </is>
      </c>
      <c r="B566" s="43" t="inlineStr">
        <is>
          <t>腹杆拼接</t>
        </is>
      </c>
      <c r="C566" s="43" t="inlineStr">
        <is>
          <t>节段8~节段9</t>
        </is>
      </c>
      <c r="D566" s="43" t="inlineStr">
        <is>
          <t>Q355D</t>
        </is>
      </c>
      <c r="E566" s="43" t="n">
        <v>1220</v>
      </c>
      <c r="F566" s="43" t="n">
        <v>240</v>
      </c>
      <c r="G566" s="43" t="n">
        <v>24</v>
      </c>
      <c r="H566" s="79">
        <f>(E566/1000)*(F566/1000)*(G566/1000)*7850</f>
        <v/>
      </c>
      <c r="I566" s="43" t="n">
        <v>4</v>
      </c>
      <c r="J566" s="80">
        <f>H566*I566</f>
        <v/>
      </c>
      <c r="K566" s="43" t="inlineStr">
        <is>
          <t>来源页81</t>
        </is>
      </c>
      <c r="L566" s="43">
        <f>A566</f>
        <v/>
      </c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43" t="n"/>
    </row>
    <row r="567">
      <c r="A567" s="43" t="inlineStr">
        <is>
          <t>L8</t>
        </is>
      </c>
      <c r="B567" s="43" t="inlineStr">
        <is>
          <t>腹杆拼接</t>
        </is>
      </c>
      <c r="C567" s="43" t="inlineStr">
        <is>
          <t>节段8~节段9</t>
        </is>
      </c>
      <c r="D567" s="43" t="inlineStr">
        <is>
          <t>Q355D</t>
        </is>
      </c>
      <c r="E567" s="43" t="n">
        <v>1320</v>
      </c>
      <c r="F567" s="43" t="n">
        <v>240</v>
      </c>
      <c r="G567" s="43" t="n">
        <v>24</v>
      </c>
      <c r="H567" s="79">
        <f>(E567/1000)*(F567/1000)*(G567/1000)*7850</f>
        <v/>
      </c>
      <c r="I567" s="43" t="n">
        <v>2</v>
      </c>
      <c r="J567" s="80">
        <f>H567*I567</f>
        <v/>
      </c>
      <c r="K567" s="43" t="inlineStr">
        <is>
          <t>来源页81</t>
        </is>
      </c>
      <c r="L567" s="43">
        <f>A567</f>
        <v/>
      </c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43" t="n"/>
    </row>
    <row r="568">
      <c r="A568" s="43" t="inlineStr">
        <is>
          <t>N11a</t>
        </is>
      </c>
      <c r="B568" s="43" t="inlineStr">
        <is>
          <t>上弦顶板</t>
        </is>
      </c>
      <c r="C568" s="43" t="inlineStr">
        <is>
          <t>节段09</t>
        </is>
      </c>
      <c r="D568" s="43" t="inlineStr">
        <is>
          <t>Q355D</t>
        </is>
      </c>
      <c r="E568" s="43" t="n"/>
      <c r="F568" s="43" t="n"/>
      <c r="G568" s="43" t="n">
        <v>20</v>
      </c>
      <c r="H568" s="79">
        <f>(E568/1000)*(F568/1000)*(G568/1000)*7850</f>
        <v/>
      </c>
      <c r="I568" s="43" t="n">
        <v>1</v>
      </c>
      <c r="J568" s="80">
        <f>H568*I568</f>
        <v/>
      </c>
      <c r="K568" s="43" t="inlineStr">
        <is>
          <t>来源页82</t>
        </is>
      </c>
      <c r="L568" s="43">
        <f>A568</f>
        <v/>
      </c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43" t="n"/>
    </row>
    <row r="569">
      <c r="A569" s="43" t="inlineStr">
        <is>
          <t>N11b</t>
        </is>
      </c>
      <c r="B569" s="43" t="inlineStr">
        <is>
          <t>上弦顶板</t>
        </is>
      </c>
      <c r="C569" s="43" t="inlineStr">
        <is>
          <t>节段09</t>
        </is>
      </c>
      <c r="D569" s="43" t="inlineStr">
        <is>
          <t>Q355D</t>
        </is>
      </c>
      <c r="E569" s="43" t="n"/>
      <c r="F569" s="43" t="n"/>
      <c r="G569" s="43" t="n">
        <v>24</v>
      </c>
      <c r="H569" s="79">
        <f>(E569/1000)*(F569/1000)*(G569/1000)*7850</f>
        <v/>
      </c>
      <c r="I569" s="43" t="n">
        <v>1</v>
      </c>
      <c r="J569" s="80">
        <f>H569*I569</f>
        <v/>
      </c>
      <c r="K569" s="43" t="inlineStr">
        <is>
          <t>来源页82</t>
        </is>
      </c>
      <c r="L569" s="43">
        <f>A569</f>
        <v/>
      </c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43" t="n"/>
    </row>
    <row r="570">
      <c r="A570" s="43" t="inlineStr">
        <is>
          <t>N12α</t>
        </is>
      </c>
      <c r="B570" s="43" t="inlineStr">
        <is>
          <t>上弦底板</t>
        </is>
      </c>
      <c r="C570" s="43" t="inlineStr">
        <is>
          <t>节段09</t>
        </is>
      </c>
      <c r="D570" s="43" t="inlineStr">
        <is>
          <t>Q355D</t>
        </is>
      </c>
      <c r="E570" s="43" t="n">
        <v>7900</v>
      </c>
      <c r="F570" s="43" t="n">
        <v>1200</v>
      </c>
      <c r="G570" s="43" t="n">
        <v>20</v>
      </c>
      <c r="H570" s="79">
        <f>(E570/1000)*(F570/1000)*(G570/1000)*7850</f>
        <v/>
      </c>
      <c r="I570" s="43" t="n">
        <v>1</v>
      </c>
      <c r="J570" s="80">
        <f>H570*I570</f>
        <v/>
      </c>
      <c r="K570" s="43" t="inlineStr">
        <is>
          <t>来源页82</t>
        </is>
      </c>
      <c r="L570" s="43">
        <f>A570</f>
        <v/>
      </c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43" t="n"/>
    </row>
    <row r="571">
      <c r="A571" s="43" t="inlineStr">
        <is>
          <t>N12b</t>
        </is>
      </c>
      <c r="B571" s="43" t="inlineStr">
        <is>
          <t>上弦底板</t>
        </is>
      </c>
      <c r="C571" s="43" t="inlineStr">
        <is>
          <t>节段09</t>
        </is>
      </c>
      <c r="D571" s="43" t="inlineStr">
        <is>
          <t>Q355D</t>
        </is>
      </c>
      <c r="E571" s="43" t="n">
        <v>7100</v>
      </c>
      <c r="F571" s="43" t="n">
        <v>1200</v>
      </c>
      <c r="G571" s="43" t="n">
        <v>24</v>
      </c>
      <c r="H571" s="79">
        <f>(E571/1000)*(F571/1000)*(G571/1000)*7850</f>
        <v/>
      </c>
      <c r="I571" s="43" t="n">
        <v>1</v>
      </c>
      <c r="J571" s="80">
        <f>H571*I571</f>
        <v/>
      </c>
      <c r="K571" s="43" t="inlineStr">
        <is>
          <t>来源页82</t>
        </is>
      </c>
      <c r="L571" s="43">
        <f>A571</f>
        <v/>
      </c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43" t="n"/>
    </row>
    <row r="572">
      <c r="A572" s="43" t="inlineStr">
        <is>
          <t>N13</t>
        </is>
      </c>
      <c r="B572" s="43" t="inlineStr">
        <is>
          <t>上弦节点板</t>
        </is>
      </c>
      <c r="C572" s="43" t="inlineStr">
        <is>
          <t>节段09</t>
        </is>
      </c>
      <c r="D572" s="43" t="inlineStr">
        <is>
          <t>Q355D</t>
        </is>
      </c>
      <c r="E572" s="43" t="n"/>
      <c r="F572" s="43" t="n"/>
      <c r="G572" s="43" t="n">
        <v>40</v>
      </c>
      <c r="H572" s="79">
        <f>(E572/1000)*(F572/1000)*(G572/1000)*7850</f>
        <v/>
      </c>
      <c r="I572" s="43" t="n">
        <v>2</v>
      </c>
      <c r="J572" s="80">
        <f>H572*I572</f>
        <v/>
      </c>
      <c r="K572" s="43" t="inlineStr">
        <is>
          <t>来源页82</t>
        </is>
      </c>
      <c r="L572" s="43">
        <f>A572</f>
        <v/>
      </c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43" t="n"/>
    </row>
    <row r="573">
      <c r="A573" s="43" t="inlineStr">
        <is>
          <t>N14</t>
        </is>
      </c>
      <c r="B573" s="43" t="inlineStr">
        <is>
          <t>上弦腹板</t>
        </is>
      </c>
      <c r="C573" s="43" t="inlineStr">
        <is>
          <t>节段09</t>
        </is>
      </c>
      <c r="D573" s="43" t="inlineStr">
        <is>
          <t>Q355D</t>
        </is>
      </c>
      <c r="E573" s="43" t="n">
        <v>7300</v>
      </c>
      <c r="F573" s="43" t="n">
        <v>2048</v>
      </c>
      <c r="G573" s="43" t="n">
        <v>32</v>
      </c>
      <c r="H573" s="79">
        <f>(E573/1000)*(F573/1000)*(G573/1000)*7850</f>
        <v/>
      </c>
      <c r="I573" s="43" t="n">
        <v>2</v>
      </c>
      <c r="J573" s="80">
        <f>H573*I573</f>
        <v/>
      </c>
      <c r="K573" s="43" t="inlineStr">
        <is>
          <t>来源页82</t>
        </is>
      </c>
      <c r="L573" s="43">
        <f>A573</f>
        <v/>
      </c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43" t="n"/>
    </row>
    <row r="574">
      <c r="A574" s="43" t="inlineStr">
        <is>
          <t>N15</t>
        </is>
      </c>
      <c r="B574" s="43" t="inlineStr">
        <is>
          <t>上弦横隔板</t>
        </is>
      </c>
      <c r="C574" s="43" t="inlineStr">
        <is>
          <t>节段09</t>
        </is>
      </c>
      <c r="D574" s="43" t="inlineStr">
        <is>
          <t>Q355D</t>
        </is>
      </c>
      <c r="E574" s="43" t="n">
        <v>1980</v>
      </c>
      <c r="F574" s="43" t="n">
        <v>1200</v>
      </c>
      <c r="G574" s="43" t="n">
        <v>16</v>
      </c>
      <c r="H574" s="79">
        <f>(E574/1000)*(F574/1000)*(G574/1000)*7850</f>
        <v/>
      </c>
      <c r="I574" s="43" t="n">
        <v>3</v>
      </c>
      <c r="J574" s="80">
        <f>H574*I574</f>
        <v/>
      </c>
      <c r="K574" s="43" t="inlineStr">
        <is>
          <t>来源页82</t>
        </is>
      </c>
      <c r="L574" s="43">
        <f>A574</f>
        <v/>
      </c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43" t="n"/>
    </row>
    <row r="575">
      <c r="A575" s="43" t="inlineStr">
        <is>
          <t>N15α</t>
        </is>
      </c>
      <c r="B575" s="43" t="inlineStr">
        <is>
          <t>上弦横隔板</t>
        </is>
      </c>
      <c r="C575" s="43" t="inlineStr">
        <is>
          <t>节段09</t>
        </is>
      </c>
      <c r="D575" s="43" t="inlineStr">
        <is>
          <t>Q355D</t>
        </is>
      </c>
      <c r="E575" s="43" t="n">
        <v>1976</v>
      </c>
      <c r="F575" s="43" t="n">
        <v>1200</v>
      </c>
      <c r="G575" s="43" t="n">
        <v>16</v>
      </c>
      <c r="H575" s="79">
        <f>(E575/1000)*(F575/1000)*(G575/1000)*7850</f>
        <v/>
      </c>
      <c r="I575" s="43" t="n">
        <v>2</v>
      </c>
      <c r="J575" s="80">
        <f>H575*I575</f>
        <v/>
      </c>
      <c r="K575" s="43" t="inlineStr">
        <is>
          <t>来源页82</t>
        </is>
      </c>
      <c r="L575" s="43">
        <f>A575</f>
        <v/>
      </c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43" t="n"/>
    </row>
    <row r="576">
      <c r="A576" s="43" t="inlineStr">
        <is>
          <t>N15‘</t>
        </is>
      </c>
      <c r="B576" s="43" t="inlineStr">
        <is>
          <t>上弦横隔板</t>
        </is>
      </c>
      <c r="C576" s="43" t="inlineStr">
        <is>
          <t>节段09</t>
        </is>
      </c>
      <c r="D576" s="43" t="inlineStr">
        <is>
          <t>Q355D</t>
        </is>
      </c>
      <c r="E576" s="43" t="n">
        <v>2057</v>
      </c>
      <c r="F576" s="43" t="n">
        <v>200</v>
      </c>
      <c r="G576" s="43" t="n">
        <v>16</v>
      </c>
      <c r="H576" s="79">
        <f>(E576/1000)*(F576/1000)*(G576/1000)*7850</f>
        <v/>
      </c>
      <c r="I576" s="43" t="n">
        <v>3</v>
      </c>
      <c r="J576" s="80">
        <f>H576*I576</f>
        <v/>
      </c>
      <c r="K576" s="43" t="inlineStr">
        <is>
          <t>来源页82</t>
        </is>
      </c>
      <c r="L576" s="43">
        <f>A576</f>
        <v/>
      </c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43" t="n"/>
    </row>
    <row r="577">
      <c r="A577" s="43" t="inlineStr">
        <is>
          <t>N15b</t>
        </is>
      </c>
      <c r="B577" s="43" t="inlineStr">
        <is>
          <t>上弦横隔板</t>
        </is>
      </c>
      <c r="C577" s="43" t="inlineStr">
        <is>
          <t>节段09</t>
        </is>
      </c>
      <c r="D577" s="43" t="inlineStr">
        <is>
          <t>Q355B</t>
        </is>
      </c>
      <c r="E577" s="43" t="n">
        <v>2057</v>
      </c>
      <c r="F577" s="43" t="n">
        <v>40</v>
      </c>
      <c r="G577" s="43" t="n">
        <v>4</v>
      </c>
      <c r="H577" s="79">
        <f>(E577/1000)*(F577/1000)*(G577/1000)*7850</f>
        <v/>
      </c>
      <c r="I577" s="43" t="n">
        <v>4</v>
      </c>
      <c r="J577" s="80">
        <f>H577*I577</f>
        <v/>
      </c>
      <c r="K577" s="43" t="inlineStr">
        <is>
          <t>来源页82</t>
        </is>
      </c>
      <c r="L577" s="43">
        <f>A577</f>
        <v/>
      </c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43" t="n"/>
    </row>
    <row r="578">
      <c r="A578" s="43" t="inlineStr">
        <is>
          <t>N15c</t>
        </is>
      </c>
      <c r="B578" s="43" t="inlineStr">
        <is>
          <t>上弦横隔板</t>
        </is>
      </c>
      <c r="C578" s="43" t="inlineStr">
        <is>
          <t>节段09</t>
        </is>
      </c>
      <c r="D578" s="43" t="inlineStr">
        <is>
          <t>Q355D</t>
        </is>
      </c>
      <c r="E578" s="43" t="n">
        <v>800</v>
      </c>
      <c r="F578" s="43" t="n">
        <v>400</v>
      </c>
      <c r="G578" s="43" t="n">
        <v>16</v>
      </c>
      <c r="H578" s="79">
        <f>(E578/1000)*(F578/1000)*(G578/1000)*7850</f>
        <v/>
      </c>
      <c r="I578" s="43" t="n">
        <v>4</v>
      </c>
      <c r="J578" s="80">
        <f>H578*I578</f>
        <v/>
      </c>
      <c r="K578" s="43" t="inlineStr">
        <is>
          <t>来源页82</t>
        </is>
      </c>
      <c r="L578" s="43">
        <f>A578</f>
        <v/>
      </c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43" t="n"/>
    </row>
    <row r="579">
      <c r="A579" s="43" t="inlineStr">
        <is>
          <t>N21a</t>
        </is>
      </c>
      <c r="B579" s="43" t="inlineStr">
        <is>
          <t>下弦顶板</t>
        </is>
      </c>
      <c r="C579" s="43" t="inlineStr">
        <is>
          <t>节段09</t>
        </is>
      </c>
      <c r="D579" s="43" t="inlineStr">
        <is>
          <t>Q355D</t>
        </is>
      </c>
      <c r="E579" s="43" t="n">
        <v>7901</v>
      </c>
      <c r="F579" s="43" t="n">
        <v>2500</v>
      </c>
      <c r="G579" s="43" t="n">
        <v>24</v>
      </c>
      <c r="H579" s="79">
        <f>(E579/1000)*(F579/1000)*(G579/1000)*7850</f>
        <v/>
      </c>
      <c r="I579" s="43" t="n">
        <v>1</v>
      </c>
      <c r="J579" s="80">
        <f>H579*I579</f>
        <v/>
      </c>
      <c r="K579" s="43" t="inlineStr">
        <is>
          <t>来源页82</t>
        </is>
      </c>
      <c r="L579" s="43">
        <f>A579</f>
        <v/>
      </c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43" t="n"/>
    </row>
    <row r="580">
      <c r="A580" s="43" t="inlineStr">
        <is>
          <t>N21b</t>
        </is>
      </c>
      <c r="B580" s="43" t="inlineStr">
        <is>
          <t>下弦顶板</t>
        </is>
      </c>
      <c r="C580" s="43" t="inlineStr">
        <is>
          <t>节段09</t>
        </is>
      </c>
      <c r="D580" s="43" t="inlineStr">
        <is>
          <t>Q355D</t>
        </is>
      </c>
      <c r="E580" s="43" t="n">
        <v>7101</v>
      </c>
      <c r="F580" s="43" t="n">
        <v>2500</v>
      </c>
      <c r="G580" s="43" t="n">
        <v>24</v>
      </c>
      <c r="H580" s="79">
        <f>(E580/1000)*(F580/1000)*(G580/1000)*7850</f>
        <v/>
      </c>
      <c r="I580" s="43" t="n">
        <v>1</v>
      </c>
      <c r="J580" s="80">
        <f>H580*I580</f>
        <v/>
      </c>
      <c r="K580" s="43" t="inlineStr">
        <is>
          <t>来源页82</t>
        </is>
      </c>
      <c r="L580" s="43">
        <f>A580</f>
        <v/>
      </c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43" t="n"/>
    </row>
    <row r="581">
      <c r="A581" s="43" t="inlineStr">
        <is>
          <t>N22a</t>
        </is>
      </c>
      <c r="B581" s="43" t="inlineStr">
        <is>
          <t>下弦底板</t>
        </is>
      </c>
      <c r="C581" s="43" t="inlineStr">
        <is>
          <t>节段09</t>
        </is>
      </c>
      <c r="D581" s="43" t="inlineStr">
        <is>
          <t>Q355D</t>
        </is>
      </c>
      <c r="E581" s="43" t="n"/>
      <c r="F581" s="43" t="n"/>
      <c r="G581" s="43" t="n">
        <v>24</v>
      </c>
      <c r="H581" s="79">
        <f>(E581/1000)*(F581/1000)*(G581/1000)*7850</f>
        <v/>
      </c>
      <c r="I581" s="43" t="n">
        <v>1</v>
      </c>
      <c r="J581" s="80">
        <f>H581*I581</f>
        <v/>
      </c>
      <c r="K581" s="43" t="inlineStr">
        <is>
          <t>来源页82</t>
        </is>
      </c>
      <c r="L581" s="43">
        <f>A581</f>
        <v/>
      </c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43" t="n"/>
    </row>
    <row r="582">
      <c r="A582" s="43" t="inlineStr">
        <is>
          <t>N22b</t>
        </is>
      </c>
      <c r="B582" s="43" t="inlineStr">
        <is>
          <t>下弦底板</t>
        </is>
      </c>
      <c r="C582" s="43" t="inlineStr">
        <is>
          <t>节段09</t>
        </is>
      </c>
      <c r="D582" s="43" t="inlineStr">
        <is>
          <t>Q355D</t>
        </is>
      </c>
      <c r="E582" s="43" t="n"/>
      <c r="F582" s="43" t="n"/>
      <c r="G582" s="43" t="n">
        <v>24</v>
      </c>
      <c r="H582" s="79">
        <f>(E582/1000)*(F582/1000)*(G582/1000)*7850</f>
        <v/>
      </c>
      <c r="I582" s="43" t="n">
        <v>1</v>
      </c>
      <c r="J582" s="80">
        <f>H582*I582</f>
        <v/>
      </c>
      <c r="K582" s="43" t="inlineStr">
        <is>
          <t>来源页82</t>
        </is>
      </c>
      <c r="L582" s="43">
        <f>A582</f>
        <v/>
      </c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43" t="n"/>
    </row>
    <row r="583">
      <c r="A583" s="43" t="inlineStr">
        <is>
          <t>N23</t>
        </is>
      </c>
      <c r="B583" s="43" t="inlineStr">
        <is>
          <t>下弦节点板</t>
        </is>
      </c>
      <c r="C583" s="43" t="inlineStr">
        <is>
          <t>节段09</t>
        </is>
      </c>
      <c r="D583" s="43" t="inlineStr">
        <is>
          <t>Q355D</t>
        </is>
      </c>
      <c r="E583" s="43" t="n"/>
      <c r="F583" s="43" t="n"/>
      <c r="G583" s="43" t="n">
        <v>48</v>
      </c>
      <c r="H583" s="79">
        <f>(E583/1000)*(F583/1000)*(G583/1000)*7850</f>
        <v/>
      </c>
      <c r="I583" s="43" t="n">
        <v>2</v>
      </c>
      <c r="J583" s="80">
        <f>H583*I583</f>
        <v/>
      </c>
      <c r="K583" s="43" t="inlineStr">
        <is>
          <t>Z35钢；来源页82</t>
        </is>
      </c>
      <c r="L583" s="43">
        <f>A583</f>
        <v/>
      </c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43" t="n"/>
    </row>
    <row r="584">
      <c r="A584" s="43" t="inlineStr">
        <is>
          <t>N24</t>
        </is>
      </c>
      <c r="B584" s="43" t="inlineStr">
        <is>
          <t>下弦腹板</t>
        </is>
      </c>
      <c r="C584" s="43" t="inlineStr">
        <is>
          <t>节段09</t>
        </is>
      </c>
      <c r="D584" s="43" t="inlineStr">
        <is>
          <t>Q355D</t>
        </is>
      </c>
      <c r="E584" s="43" t="n">
        <v>7301</v>
      </c>
      <c r="F584" s="43" t="n">
        <v>1880</v>
      </c>
      <c r="G584" s="43" t="n">
        <v>32</v>
      </c>
      <c r="H584" s="79">
        <f>(E584/1000)*(F584/1000)*(G584/1000)*7850</f>
        <v/>
      </c>
      <c r="I584" s="43" t="n">
        <v>2</v>
      </c>
      <c r="J584" s="80">
        <f>H584*I584</f>
        <v/>
      </c>
      <c r="K584" s="43" t="inlineStr">
        <is>
          <t>来源页82</t>
        </is>
      </c>
      <c r="L584" s="43">
        <f>A584</f>
        <v/>
      </c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43" t="n"/>
    </row>
    <row r="585">
      <c r="A585" s="43" t="inlineStr">
        <is>
          <t>N25</t>
        </is>
      </c>
      <c r="B585" s="43" t="inlineStr">
        <is>
          <t>下弦横隔板</t>
        </is>
      </c>
      <c r="C585" s="43" t="inlineStr">
        <is>
          <t>节段09</t>
        </is>
      </c>
      <c r="D585" s="43" t="inlineStr">
        <is>
          <t>Q355D</t>
        </is>
      </c>
      <c r="E585" s="43" t="n">
        <v>1800</v>
      </c>
      <c r="F585" s="43" t="n">
        <v>1200</v>
      </c>
      <c r="G585" s="43" t="n">
        <v>16</v>
      </c>
      <c r="H585" s="79">
        <f>(E585/1000)*(F585/1000)*(G585/1000)*7850</f>
        <v/>
      </c>
      <c r="I585" s="43" t="n">
        <v>3</v>
      </c>
      <c r="J585" s="80">
        <f>H585*I585</f>
        <v/>
      </c>
      <c r="K585" s="43" t="inlineStr">
        <is>
          <t>来源页82</t>
        </is>
      </c>
      <c r="L585" s="43">
        <f>A585</f>
        <v/>
      </c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43" t="n"/>
    </row>
    <row r="586">
      <c r="A586" s="43" t="inlineStr">
        <is>
          <t>N25a</t>
        </is>
      </c>
      <c r="B586" s="43" t="inlineStr">
        <is>
          <t>下弦横隔板</t>
        </is>
      </c>
      <c r="C586" s="43" t="inlineStr">
        <is>
          <t>节段09</t>
        </is>
      </c>
      <c r="D586" s="43" t="inlineStr">
        <is>
          <t>Q355D</t>
        </is>
      </c>
      <c r="E586" s="43" t="n">
        <v>1800</v>
      </c>
      <c r="F586" s="43" t="n">
        <v>1200</v>
      </c>
      <c r="G586" s="43" t="n">
        <v>16</v>
      </c>
      <c r="H586" s="79">
        <f>(E586/1000)*(F586/1000)*(G586/1000)*7850</f>
        <v/>
      </c>
      <c r="I586" s="43" t="n">
        <v>2</v>
      </c>
      <c r="J586" s="80">
        <f>H586*I586</f>
        <v/>
      </c>
      <c r="K586" s="43" t="inlineStr">
        <is>
          <t>来源页82</t>
        </is>
      </c>
      <c r="L586" s="43">
        <f>A586</f>
        <v/>
      </c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43" t="n"/>
    </row>
    <row r="587">
      <c r="A587" s="43" t="inlineStr">
        <is>
          <t>N25'</t>
        </is>
      </c>
      <c r="B587" s="43" t="inlineStr">
        <is>
          <t>下弦横隔板</t>
        </is>
      </c>
      <c r="C587" s="43" t="inlineStr">
        <is>
          <t>节段09</t>
        </is>
      </c>
      <c r="D587" s="43" t="inlineStr">
        <is>
          <t>Q355D</t>
        </is>
      </c>
      <c r="E587" s="43" t="n">
        <v>2057</v>
      </c>
      <c r="F587" s="43" t="n">
        <v>200</v>
      </c>
      <c r="G587" s="43" t="n">
        <v>16</v>
      </c>
      <c r="H587" s="79">
        <f>(E587/1000)*(F587/1000)*(G587/1000)*7850</f>
        <v/>
      </c>
      <c r="I587" s="43" t="n">
        <v>3</v>
      </c>
      <c r="J587" s="80">
        <f>H587*I587</f>
        <v/>
      </c>
      <c r="K587" s="43" t="inlineStr">
        <is>
          <t>来源页82</t>
        </is>
      </c>
      <c r="L587" s="43">
        <f>A587</f>
        <v/>
      </c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43" t="n"/>
    </row>
    <row r="588">
      <c r="A588" s="43" t="inlineStr">
        <is>
          <t>N26a</t>
        </is>
      </c>
      <c r="B588" s="43" t="inlineStr">
        <is>
          <t>下弦加劲助</t>
        </is>
      </c>
      <c r="C588" s="43" t="inlineStr">
        <is>
          <t>节段09</t>
        </is>
      </c>
      <c r="D588" s="43" t="inlineStr">
        <is>
          <t>Q355D</t>
        </is>
      </c>
      <c r="E588" s="43" t="n">
        <v>7901</v>
      </c>
      <c r="F588" s="43" t="n">
        <v>320</v>
      </c>
      <c r="G588" s="43" t="n">
        <v>32</v>
      </c>
      <c r="H588" s="79">
        <f>(E588/1000)*(F588/1000)*(G588/1000)*7850</f>
        <v/>
      </c>
      <c r="I588" s="43" t="n">
        <v>4</v>
      </c>
      <c r="J588" s="80">
        <f>H588*I588</f>
        <v/>
      </c>
      <c r="K588" s="43" t="inlineStr">
        <is>
          <t>来源页82</t>
        </is>
      </c>
      <c r="L588" s="43">
        <f>A588</f>
        <v/>
      </c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43" t="n"/>
    </row>
    <row r="589">
      <c r="A589" s="43" t="inlineStr">
        <is>
          <t>N26b</t>
        </is>
      </c>
      <c r="B589" s="43" t="inlineStr">
        <is>
          <t>下弦加劲助</t>
        </is>
      </c>
      <c r="C589" s="43" t="inlineStr">
        <is>
          <t>节段09</t>
        </is>
      </c>
      <c r="D589" s="43" t="inlineStr">
        <is>
          <t>Q355D</t>
        </is>
      </c>
      <c r="E589" s="43" t="n">
        <v>7101</v>
      </c>
      <c r="F589" s="43" t="n">
        <v>280</v>
      </c>
      <c r="G589" s="43" t="n">
        <v>24</v>
      </c>
      <c r="H589" s="79">
        <f>(E589/1000)*(F589/1000)*(G589/1000)*7850</f>
        <v/>
      </c>
      <c r="I589" s="43" t="n">
        <v>4</v>
      </c>
      <c r="J589" s="80">
        <f>H589*I589</f>
        <v/>
      </c>
      <c r="K589" s="43" t="inlineStr">
        <is>
          <t>来源页82</t>
        </is>
      </c>
      <c r="L589" s="43">
        <f>A589</f>
        <v/>
      </c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43" t="n"/>
    </row>
    <row r="590">
      <c r="A590" s="43" t="inlineStr">
        <is>
          <t>N26c</t>
        </is>
      </c>
      <c r="B590" s="43" t="inlineStr">
        <is>
          <t>下弦加劲助</t>
        </is>
      </c>
      <c r="C590" s="43" t="inlineStr">
        <is>
          <t>节段09</t>
        </is>
      </c>
      <c r="D590" s="43" t="inlineStr">
        <is>
          <t>Q355D</t>
        </is>
      </c>
      <c r="E590" s="43" t="n">
        <v>15002</v>
      </c>
      <c r="F590" s="43" t="n">
        <v>170</v>
      </c>
      <c r="G590" s="43" t="n">
        <v>14</v>
      </c>
      <c r="H590" s="79">
        <f>(E590/1000)*(F590/1000)*(G590/1000)*7850</f>
        <v/>
      </c>
      <c r="I590" s="43" t="n">
        <v>2</v>
      </c>
      <c r="J590" s="80">
        <f>H590*I590</f>
        <v/>
      </c>
      <c r="K590" s="43" t="inlineStr">
        <is>
          <t>来源页82</t>
        </is>
      </c>
      <c r="L590" s="43">
        <f>A590</f>
        <v/>
      </c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43" t="n"/>
    </row>
    <row r="591">
      <c r="A591" s="43" t="inlineStr">
        <is>
          <t>N31</t>
        </is>
      </c>
      <c r="B591" s="43" t="inlineStr">
        <is>
          <t>斜腹杆</t>
        </is>
      </c>
      <c r="C591" s="43" t="inlineStr">
        <is>
          <t>节段09</t>
        </is>
      </c>
      <c r="D591" s="43" t="inlineStr">
        <is>
          <t>Q355D</t>
        </is>
      </c>
      <c r="E591" s="43" t="n">
        <v>11903</v>
      </c>
      <c r="F591" s="43" t="n">
        <v>1200</v>
      </c>
      <c r="G591" s="43" t="n">
        <v>36</v>
      </c>
      <c r="H591" s="79">
        <f>(E591/1000)*(F591/1000)*(G591/1000)*7850</f>
        <v/>
      </c>
      <c r="I591" s="43" t="n">
        <v>1</v>
      </c>
      <c r="J591" s="80">
        <f>H591*I591</f>
        <v/>
      </c>
      <c r="K591" s="43" t="inlineStr">
        <is>
          <t>来源页82</t>
        </is>
      </c>
      <c r="L591" s="43">
        <f>A591</f>
        <v/>
      </c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43" t="n"/>
    </row>
    <row r="592">
      <c r="A592" s="43" t="inlineStr">
        <is>
          <t>N31a</t>
        </is>
      </c>
      <c r="B592" s="43" t="inlineStr">
        <is>
          <t>斜腹杆</t>
        </is>
      </c>
      <c r="C592" s="43" t="inlineStr">
        <is>
          <t>节段09</t>
        </is>
      </c>
      <c r="D592" s="43" t="inlineStr">
        <is>
          <t>Q355D</t>
        </is>
      </c>
      <c r="E592" s="43" t="n">
        <v>11803</v>
      </c>
      <c r="F592" s="43" t="n">
        <v>1200</v>
      </c>
      <c r="G592" s="43" t="n">
        <v>36</v>
      </c>
      <c r="H592" s="79">
        <f>(E592/1000)*(F592/1000)*(G592/1000)*7850</f>
        <v/>
      </c>
      <c r="I592" s="43" t="n">
        <v>1</v>
      </c>
      <c r="J592" s="80">
        <f>H592*I592</f>
        <v/>
      </c>
      <c r="K592" s="43" t="inlineStr">
        <is>
          <t>来源页82</t>
        </is>
      </c>
      <c r="L592" s="43">
        <f>A592</f>
        <v/>
      </c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43" t="n"/>
    </row>
    <row r="593">
      <c r="A593" s="43" t="inlineStr">
        <is>
          <t>N32</t>
        </is>
      </c>
      <c r="B593" s="43" t="inlineStr">
        <is>
          <t>斜腹杆</t>
        </is>
      </c>
      <c r="C593" s="43" t="inlineStr">
        <is>
          <t>节段09</t>
        </is>
      </c>
      <c r="D593" s="43" t="inlineStr">
        <is>
          <t>Q355D</t>
        </is>
      </c>
      <c r="E593" s="43" t="n">
        <v>7903</v>
      </c>
      <c r="F593" s="43" t="n">
        <v>1360</v>
      </c>
      <c r="G593" s="43" t="n">
        <v>36</v>
      </c>
      <c r="H593" s="79">
        <f>(E593/1000)*(F593/1000)*(G593/1000)*7850</f>
        <v/>
      </c>
      <c r="I593" s="43" t="n">
        <v>2</v>
      </c>
      <c r="J593" s="80">
        <f>H593*I593</f>
        <v/>
      </c>
      <c r="K593" s="43" t="inlineStr">
        <is>
          <t>来源页82</t>
        </is>
      </c>
      <c r="L593" s="43">
        <f>A593</f>
        <v/>
      </c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43" t="n"/>
    </row>
    <row r="594">
      <c r="A594" s="43" t="inlineStr">
        <is>
          <t>N33</t>
        </is>
      </c>
      <c r="B594" s="43" t="inlineStr">
        <is>
          <t>斜腹杆</t>
        </is>
      </c>
      <c r="C594" s="43" t="inlineStr">
        <is>
          <t>节段09</t>
        </is>
      </c>
      <c r="D594" s="43" t="inlineStr">
        <is>
          <t>Q355D</t>
        </is>
      </c>
      <c r="E594" s="43" t="n">
        <v>7903</v>
      </c>
      <c r="F594" s="43" t="n">
        <v>320</v>
      </c>
      <c r="G594" s="43" t="n">
        <v>32</v>
      </c>
      <c r="H594" s="79">
        <f>(E594/1000)*(F594/1000)*(G594/1000)*7850</f>
        <v/>
      </c>
      <c r="I594" s="43" t="n">
        <v>2</v>
      </c>
      <c r="J594" s="80">
        <f>H594*I594</f>
        <v/>
      </c>
      <c r="K594" s="43" t="inlineStr">
        <is>
          <t>来源页82</t>
        </is>
      </c>
      <c r="L594" s="43">
        <f>A594</f>
        <v/>
      </c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43" t="n"/>
    </row>
    <row r="595">
      <c r="A595" s="43" t="inlineStr">
        <is>
          <t>N33a</t>
        </is>
      </c>
      <c r="B595" s="43" t="inlineStr">
        <is>
          <t>斜腹杆</t>
        </is>
      </c>
      <c r="C595" s="43" t="inlineStr">
        <is>
          <t>节段09</t>
        </is>
      </c>
      <c r="D595" s="43" t="inlineStr">
        <is>
          <t>Q355D</t>
        </is>
      </c>
      <c r="E595" s="43" t="n">
        <v>10503</v>
      </c>
      <c r="F595" s="43" t="n">
        <v>320</v>
      </c>
      <c r="G595" s="43" t="n">
        <v>32</v>
      </c>
      <c r="H595" s="79">
        <f>(E595/1000)*(F595/1000)*(G595/1000)*7850</f>
        <v/>
      </c>
      <c r="I595" s="43" t="n">
        <v>1</v>
      </c>
      <c r="J595" s="80">
        <f>H595*I595</f>
        <v/>
      </c>
      <c r="K595" s="43" t="inlineStr">
        <is>
          <t>来源页82</t>
        </is>
      </c>
      <c r="L595" s="43">
        <f>A595</f>
        <v/>
      </c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43" t="n"/>
    </row>
    <row r="596">
      <c r="A596" s="43" t="inlineStr">
        <is>
          <t>N33b</t>
        </is>
      </c>
      <c r="B596" s="43" t="inlineStr">
        <is>
          <t>斜腹杆</t>
        </is>
      </c>
      <c r="C596" s="43" t="inlineStr">
        <is>
          <t>节段09</t>
        </is>
      </c>
      <c r="D596" s="43" t="inlineStr">
        <is>
          <t>Q355D</t>
        </is>
      </c>
      <c r="E596" s="43" t="n">
        <v>10403</v>
      </c>
      <c r="F596" s="43" t="n">
        <v>320</v>
      </c>
      <c r="G596" s="43" t="n">
        <v>32</v>
      </c>
      <c r="H596" s="79">
        <f>(E596/1000)*(F596/1000)*(G596/1000)*7850</f>
        <v/>
      </c>
      <c r="I596" s="43" t="n">
        <v>1</v>
      </c>
      <c r="J596" s="80">
        <f>H596*I596</f>
        <v/>
      </c>
      <c r="K596" s="43" t="inlineStr">
        <is>
          <t>来源页82</t>
        </is>
      </c>
      <c r="L596" s="43">
        <f>A596</f>
        <v/>
      </c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43" t="n"/>
    </row>
    <row r="597">
      <c r="A597" s="43" t="inlineStr">
        <is>
          <t>N34</t>
        </is>
      </c>
      <c r="B597" s="43" t="inlineStr">
        <is>
          <t>斜腹杆</t>
        </is>
      </c>
      <c r="C597" s="43" t="inlineStr">
        <is>
          <t>节段09</t>
        </is>
      </c>
      <c r="D597" s="43" t="inlineStr">
        <is>
          <t>Q355D</t>
        </is>
      </c>
      <c r="E597" s="43" t="n">
        <v>1200</v>
      </c>
      <c r="F597" s="43" t="n">
        <v>1200</v>
      </c>
      <c r="G597" s="43" t="n">
        <v>16</v>
      </c>
      <c r="H597" s="79">
        <f>(E597/1000)*(F597/1000)*(G597/1000)*7850</f>
        <v/>
      </c>
      <c r="I597" s="43" t="n">
        <v>3</v>
      </c>
      <c r="J597" s="80">
        <f>H597*I597</f>
        <v/>
      </c>
      <c r="K597" s="43" t="inlineStr">
        <is>
          <t>来源页82</t>
        </is>
      </c>
      <c r="L597" s="43">
        <f>A597</f>
        <v/>
      </c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43" t="n"/>
    </row>
    <row r="598">
      <c r="A598" s="43" t="inlineStr">
        <is>
          <t>N41</t>
        </is>
      </c>
      <c r="B598" s="43" t="inlineStr">
        <is>
          <t>斜腹杆</t>
        </is>
      </c>
      <c r="C598" s="43" t="inlineStr">
        <is>
          <t>节段09</t>
        </is>
      </c>
      <c r="D598" s="43" t="inlineStr">
        <is>
          <t>Q355D</t>
        </is>
      </c>
      <c r="E598" s="43" t="n">
        <v>5651</v>
      </c>
      <c r="F598" s="43" t="n">
        <v>1200</v>
      </c>
      <c r="G598" s="43" t="n">
        <v>36</v>
      </c>
      <c r="H598" s="79">
        <f>(E598/1000)*(F598/1000)*(G598/1000)*7850</f>
        <v/>
      </c>
      <c r="I598" s="43" t="n">
        <v>1</v>
      </c>
      <c r="J598" s="80">
        <f>H598*I598</f>
        <v/>
      </c>
      <c r="K598" s="43" t="inlineStr">
        <is>
          <t>来源页82</t>
        </is>
      </c>
      <c r="L598" s="43">
        <f>A598</f>
        <v/>
      </c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43" t="n"/>
    </row>
    <row r="599">
      <c r="A599" s="43" t="inlineStr">
        <is>
          <t>N41a</t>
        </is>
      </c>
      <c r="B599" s="43" t="inlineStr">
        <is>
          <t>斜腹杆</t>
        </is>
      </c>
      <c r="C599" s="43" t="inlineStr">
        <is>
          <t>节段09</t>
        </is>
      </c>
      <c r="D599" s="43" t="inlineStr">
        <is>
          <t>Q355D</t>
        </is>
      </c>
      <c r="E599" s="43" t="n">
        <v>5951</v>
      </c>
      <c r="F599" s="43" t="n">
        <v>1200</v>
      </c>
      <c r="G599" s="43" t="n">
        <v>36</v>
      </c>
      <c r="H599" s="79">
        <f>(E599/1000)*(F599/1000)*(G599/1000)*7850</f>
        <v/>
      </c>
      <c r="I599" s="43" t="n">
        <v>1</v>
      </c>
      <c r="J599" s="80">
        <f>H599*I599</f>
        <v/>
      </c>
      <c r="K599" s="43" t="inlineStr">
        <is>
          <t>来源页82</t>
        </is>
      </c>
      <c r="L599" s="43">
        <f>A599</f>
        <v/>
      </c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43" t="n"/>
    </row>
    <row r="600">
      <c r="A600" s="43" t="inlineStr">
        <is>
          <t>N42</t>
        </is>
      </c>
      <c r="B600" s="43" t="inlineStr">
        <is>
          <t>斜腹杆</t>
        </is>
      </c>
      <c r="C600" s="43" t="inlineStr">
        <is>
          <t>节段09</t>
        </is>
      </c>
      <c r="D600" s="43" t="inlineStr">
        <is>
          <t>Q355D</t>
        </is>
      </c>
      <c r="E600" s="43" t="n">
        <v>3851</v>
      </c>
      <c r="F600" s="43" t="n">
        <v>1360</v>
      </c>
      <c r="G600" s="43" t="n">
        <v>36</v>
      </c>
      <c r="H600" s="79">
        <f>(E600/1000)*(F600/1000)*(G600/1000)*7850</f>
        <v/>
      </c>
      <c r="I600" s="43" t="n">
        <v>2</v>
      </c>
      <c r="J600" s="80">
        <f>H600*I600</f>
        <v/>
      </c>
      <c r="K600" s="43" t="inlineStr">
        <is>
          <t>来源页82</t>
        </is>
      </c>
      <c r="L600" s="43">
        <f>A600</f>
        <v/>
      </c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43" t="n"/>
    </row>
    <row r="601">
      <c r="A601" s="43" t="inlineStr">
        <is>
          <t>N43</t>
        </is>
      </c>
      <c r="B601" s="43" t="inlineStr">
        <is>
          <t>斜腹杆</t>
        </is>
      </c>
      <c r="C601" s="43" t="inlineStr">
        <is>
          <t>节段09</t>
        </is>
      </c>
      <c r="D601" s="43" t="inlineStr">
        <is>
          <t>Q355D</t>
        </is>
      </c>
      <c r="E601" s="43" t="n">
        <v>3851</v>
      </c>
      <c r="F601" s="43" t="n">
        <v>320</v>
      </c>
      <c r="G601" s="43" t="n">
        <v>32</v>
      </c>
      <c r="H601" s="79">
        <f>(E601/1000)*(F601/1000)*(G601/1000)*7850</f>
        <v/>
      </c>
      <c r="I601" s="43" t="n">
        <v>2</v>
      </c>
      <c r="J601" s="80">
        <f>H601*I601</f>
        <v/>
      </c>
      <c r="K601" s="43" t="inlineStr">
        <is>
          <t>来源页82</t>
        </is>
      </c>
      <c r="L601" s="43">
        <f>A601</f>
        <v/>
      </c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43" t="n"/>
    </row>
    <row r="602">
      <c r="A602" s="43" t="inlineStr">
        <is>
          <t>N43a</t>
        </is>
      </c>
      <c r="B602" s="43" t="inlineStr">
        <is>
          <t>斜腹杆</t>
        </is>
      </c>
      <c r="C602" s="43" t="inlineStr">
        <is>
          <t>节段09</t>
        </is>
      </c>
      <c r="D602" s="43" t="inlineStr">
        <is>
          <t>Q355D</t>
        </is>
      </c>
      <c r="E602" s="43" t="n">
        <v>4951</v>
      </c>
      <c r="F602" s="43" t="n">
        <v>320</v>
      </c>
      <c r="G602" s="43" t="n">
        <v>32</v>
      </c>
      <c r="H602" s="79">
        <f>(E602/1000)*(F602/1000)*(G602/1000)*7850</f>
        <v/>
      </c>
      <c r="I602" s="43" t="n">
        <v>1</v>
      </c>
      <c r="J602" s="80">
        <f>H602*I602</f>
        <v/>
      </c>
      <c r="K602" s="43" t="inlineStr">
        <is>
          <t>来源页82</t>
        </is>
      </c>
      <c r="L602" s="43">
        <f>A602</f>
        <v/>
      </c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43" t="n"/>
    </row>
    <row r="603">
      <c r="A603" s="43" t="inlineStr">
        <is>
          <t>N43b</t>
        </is>
      </c>
      <c r="B603" s="43" t="inlineStr">
        <is>
          <t>斜腹杆</t>
        </is>
      </c>
      <c r="C603" s="43" t="inlineStr">
        <is>
          <t>节段09</t>
        </is>
      </c>
      <c r="D603" s="43" t="inlineStr">
        <is>
          <t>Q355D</t>
        </is>
      </c>
      <c r="E603" s="43" t="n">
        <v>5251</v>
      </c>
      <c r="F603" s="43" t="n">
        <v>320</v>
      </c>
      <c r="G603" s="43" t="n">
        <v>32</v>
      </c>
      <c r="H603" s="79">
        <f>(E603/1000)*(F603/1000)*(G603/1000)*7850</f>
        <v/>
      </c>
      <c r="I603" s="43" t="n">
        <v>1</v>
      </c>
      <c r="J603" s="80">
        <f>H603*I603</f>
        <v/>
      </c>
      <c r="K603" s="43" t="inlineStr">
        <is>
          <t>来源页82</t>
        </is>
      </c>
      <c r="L603" s="43">
        <f>A603</f>
        <v/>
      </c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43" t="n"/>
    </row>
    <row r="604">
      <c r="A604" s="43" t="inlineStr">
        <is>
          <t>N44</t>
        </is>
      </c>
      <c r="B604" s="43" t="inlineStr">
        <is>
          <t>斜腹杆</t>
        </is>
      </c>
      <c r="C604" s="43" t="inlineStr">
        <is>
          <t>节段09</t>
        </is>
      </c>
      <c r="D604" s="43" t="inlineStr">
        <is>
          <t>Q355D</t>
        </is>
      </c>
      <c r="E604" s="43" t="n">
        <v>1200</v>
      </c>
      <c r="F604" s="43" t="n">
        <v>1200</v>
      </c>
      <c r="G604" s="43" t="n">
        <v>16</v>
      </c>
      <c r="H604" s="79">
        <f>(E604/1000)*(F604/1000)*(G604/1000)*7850</f>
        <v/>
      </c>
      <c r="I604" s="43" t="n">
        <v>3</v>
      </c>
      <c r="J604" s="80">
        <f>H604*I604</f>
        <v/>
      </c>
      <c r="K604" s="43" t="inlineStr">
        <is>
          <t>来源页82</t>
        </is>
      </c>
      <c r="L604" s="43">
        <f>A604</f>
        <v/>
      </c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43" t="n"/>
    </row>
    <row r="605">
      <c r="A605" s="43" t="inlineStr">
        <is>
          <t>N51</t>
        </is>
      </c>
      <c r="B605" s="43" t="inlineStr">
        <is>
          <t>节点板加劲</t>
        </is>
      </c>
      <c r="C605" s="43" t="inlineStr">
        <is>
          <t>节段09</t>
        </is>
      </c>
      <c r="D605" s="43" t="inlineStr">
        <is>
          <t>Q355D</t>
        </is>
      </c>
      <c r="E605" s="43" t="n">
        <v>6111</v>
      </c>
      <c r="F605" s="43" t="n">
        <v>1200</v>
      </c>
      <c r="G605" s="43" t="n">
        <v>36</v>
      </c>
      <c r="H605" s="79">
        <f>(E605/1000)*(F605/1000)*(G605/1000)*7850</f>
        <v/>
      </c>
      <c r="I605" s="43" t="n">
        <v>1</v>
      </c>
      <c r="J605" s="80">
        <f>H605*I605</f>
        <v/>
      </c>
      <c r="K605" s="43" t="inlineStr">
        <is>
          <t>来源页82</t>
        </is>
      </c>
      <c r="L605" s="43">
        <f>A605</f>
        <v/>
      </c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43" t="n"/>
    </row>
    <row r="606">
      <c r="A606" s="43" t="inlineStr">
        <is>
          <t>N51α</t>
        </is>
      </c>
      <c r="B606" s="43" t="inlineStr">
        <is>
          <t>节点板加劲</t>
        </is>
      </c>
      <c r="C606" s="43" t="inlineStr">
        <is>
          <t>节段09</t>
        </is>
      </c>
      <c r="D606" s="43" t="inlineStr">
        <is>
          <t>Q355D</t>
        </is>
      </c>
      <c r="E606" s="43" t="n">
        <v>5711</v>
      </c>
      <c r="F606" s="43" t="n">
        <v>1200</v>
      </c>
      <c r="G606" s="43" t="n">
        <v>36</v>
      </c>
      <c r="H606" s="79">
        <f>(E606/1000)*(F606/1000)*(G606/1000)*7850</f>
        <v/>
      </c>
      <c r="I606" s="43" t="n">
        <v>1</v>
      </c>
      <c r="J606" s="80">
        <f>H606*I606</f>
        <v/>
      </c>
      <c r="K606" s="43" t="inlineStr">
        <is>
          <t>来源页82</t>
        </is>
      </c>
      <c r="L606" s="43">
        <f>A606</f>
        <v/>
      </c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43" t="n"/>
    </row>
    <row r="607">
      <c r="A607" s="43" t="inlineStr">
        <is>
          <t>N52</t>
        </is>
      </c>
      <c r="B607" s="43" t="inlineStr">
        <is>
          <t>节点板加劲</t>
        </is>
      </c>
      <c r="C607" s="43" t="inlineStr">
        <is>
          <t>节段09</t>
        </is>
      </c>
      <c r="D607" s="43" t="inlineStr">
        <is>
          <t>Q355D</t>
        </is>
      </c>
      <c r="E607" s="43" t="n">
        <v>3911</v>
      </c>
      <c r="F607" s="43" t="n">
        <v>1360</v>
      </c>
      <c r="G607" s="43" t="n">
        <v>36</v>
      </c>
      <c r="H607" s="79">
        <f>(E607/1000)*(F607/1000)*(G607/1000)*7850</f>
        <v/>
      </c>
      <c r="I607" s="43" t="n">
        <v>2</v>
      </c>
      <c r="J607" s="80">
        <f>H607*I607</f>
        <v/>
      </c>
      <c r="K607" s="43" t="inlineStr">
        <is>
          <t>来源页82</t>
        </is>
      </c>
      <c r="L607" s="43">
        <f>A607</f>
        <v/>
      </c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43" t="n"/>
    </row>
    <row r="608">
      <c r="A608" s="43" t="inlineStr">
        <is>
          <t>N53</t>
        </is>
      </c>
      <c r="B608" s="43" t="inlineStr">
        <is>
          <t>节点板加劲</t>
        </is>
      </c>
      <c r="C608" s="43" t="inlineStr">
        <is>
          <t>节段09</t>
        </is>
      </c>
      <c r="D608" s="43" t="inlineStr">
        <is>
          <t>Q355D</t>
        </is>
      </c>
      <c r="E608" s="43" t="n">
        <v>3911</v>
      </c>
      <c r="F608" s="43" t="n">
        <v>320</v>
      </c>
      <c r="G608" s="43" t="n">
        <v>32</v>
      </c>
      <c r="H608" s="79">
        <f>(E608/1000)*(F608/1000)*(G608/1000)*7850</f>
        <v/>
      </c>
      <c r="I608" s="43" t="n">
        <v>2</v>
      </c>
      <c r="J608" s="80">
        <f>H608*I608</f>
        <v/>
      </c>
      <c r="K608" s="43" t="inlineStr">
        <is>
          <t>来源页82</t>
        </is>
      </c>
      <c r="L608" s="43">
        <f>A608</f>
        <v/>
      </c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43" t="n"/>
    </row>
    <row r="609">
      <c r="A609" s="43" t="inlineStr">
        <is>
          <t>DESN</t>
        </is>
      </c>
      <c r="B609" s="43" t="inlineStr">
        <is>
          <t>节点板加劲</t>
        </is>
      </c>
      <c r="C609" s="43" t="inlineStr">
        <is>
          <t>节段09</t>
        </is>
      </c>
      <c r="D609" s="43" t="inlineStr">
        <is>
          <t>Q355D</t>
        </is>
      </c>
      <c r="E609" s="43" t="n">
        <v>5411</v>
      </c>
      <c r="F609" s="43" t="n">
        <v>320</v>
      </c>
      <c r="G609" s="43" t="n">
        <v>32</v>
      </c>
      <c r="H609" s="79">
        <f>(E609/1000)*(F609/1000)*(G609/1000)*7850</f>
        <v/>
      </c>
      <c r="I609" s="43" t="n">
        <v>1</v>
      </c>
      <c r="J609" s="80">
        <f>H609*I609</f>
        <v/>
      </c>
      <c r="K609" s="43" t="inlineStr">
        <is>
          <t>来源页82</t>
        </is>
      </c>
      <c r="L609" s="43">
        <f>A609</f>
        <v/>
      </c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43" t="n"/>
    </row>
    <row r="610">
      <c r="A610" s="43" t="inlineStr">
        <is>
          <t>N53b</t>
        </is>
      </c>
      <c r="B610" s="43" t="inlineStr">
        <is>
          <t>节点板加劲</t>
        </is>
      </c>
      <c r="C610" s="43" t="inlineStr">
        <is>
          <t>节段09</t>
        </is>
      </c>
      <c r="D610" s="43" t="inlineStr">
        <is>
          <t>Q355D</t>
        </is>
      </c>
      <c r="E610" s="43" t="n">
        <v>5011</v>
      </c>
      <c r="F610" s="43" t="n">
        <v>320</v>
      </c>
      <c r="G610" s="43" t="n">
        <v>32</v>
      </c>
      <c r="H610" s="79">
        <f>(E610/1000)*(F610/1000)*(G610/1000)*7850</f>
        <v/>
      </c>
      <c r="I610" s="43" t="n">
        <v>1</v>
      </c>
      <c r="J610" s="80">
        <f>H610*I610</f>
        <v/>
      </c>
      <c r="K610" s="43" t="inlineStr">
        <is>
          <t>来源页82</t>
        </is>
      </c>
      <c r="L610" s="43">
        <f>A610</f>
        <v/>
      </c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43" t="n"/>
    </row>
    <row r="611">
      <c r="A611" s="43" t="inlineStr">
        <is>
          <t>N54</t>
        </is>
      </c>
      <c r="B611" s="43" t="inlineStr">
        <is>
          <t>节点板加劲</t>
        </is>
      </c>
      <c r="C611" s="43" t="inlineStr">
        <is>
          <t>节段09</t>
        </is>
      </c>
      <c r="D611" s="43" t="inlineStr">
        <is>
          <t>Q355D</t>
        </is>
      </c>
      <c r="E611" s="43" t="n">
        <v>1200</v>
      </c>
      <c r="F611" s="43" t="n">
        <v>1200</v>
      </c>
      <c r="G611" s="43" t="n">
        <v>16</v>
      </c>
      <c r="H611" s="79">
        <f>(E611/1000)*(F611/1000)*(G611/1000)*7850</f>
        <v/>
      </c>
      <c r="I611" s="43" t="n">
        <v>2</v>
      </c>
      <c r="J611" s="80">
        <f>H611*I611</f>
        <v/>
      </c>
      <c r="K611" s="43" t="inlineStr">
        <is>
          <t>来源页82</t>
        </is>
      </c>
      <c r="L611" s="43">
        <f>A611</f>
        <v/>
      </c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43" t="n"/>
    </row>
    <row r="612">
      <c r="A612" s="43" t="inlineStr">
        <is>
          <t>N55</t>
        </is>
      </c>
      <c r="B612" s="43" t="inlineStr">
        <is>
          <t>节点板加劲</t>
        </is>
      </c>
      <c r="C612" s="43" t="inlineStr">
        <is>
          <t>节段09</t>
        </is>
      </c>
      <c r="D612" s="43" t="inlineStr">
        <is>
          <t>Q355D</t>
        </is>
      </c>
      <c r="E612" s="43" t="n">
        <v>2300</v>
      </c>
      <c r="F612" s="43" t="n">
        <v>320</v>
      </c>
      <c r="G612" s="43" t="n">
        <v>32</v>
      </c>
      <c r="H612" s="79">
        <f>(E612/1000)*(F612/1000)*(G612/1000)*7850</f>
        <v/>
      </c>
      <c r="I612" s="43" t="n">
        <v>4</v>
      </c>
      <c r="J612" s="80">
        <f>H612*I612</f>
        <v/>
      </c>
      <c r="K612" s="43" t="inlineStr">
        <is>
          <t>来源页82</t>
        </is>
      </c>
      <c r="L612" s="43">
        <f>A612</f>
        <v/>
      </c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43" t="n"/>
    </row>
    <row r="613">
      <c r="A613" s="43" t="inlineStr">
        <is>
          <t>N56</t>
        </is>
      </c>
      <c r="B613" s="43" t="inlineStr">
        <is>
          <t>节点板加劲</t>
        </is>
      </c>
      <c r="C613" s="43" t="inlineStr">
        <is>
          <t>节段09</t>
        </is>
      </c>
      <c r="D613" s="43" t="inlineStr">
        <is>
          <t>Q355D</t>
        </is>
      </c>
      <c r="E613" s="43" t="n">
        <v>2200</v>
      </c>
      <c r="F613" s="43" t="n">
        <v>320</v>
      </c>
      <c r="G613" s="43" t="n">
        <v>32</v>
      </c>
      <c r="H613" s="79">
        <f>(E613/1000)*(F613/1000)*(G613/1000)*7850</f>
        <v/>
      </c>
      <c r="I613" s="43" t="n">
        <v>4</v>
      </c>
      <c r="J613" s="80">
        <f>H613*I613</f>
        <v/>
      </c>
      <c r="K613" s="43" t="inlineStr">
        <is>
          <t>来源页82</t>
        </is>
      </c>
      <c r="L613" s="43">
        <f>A613</f>
        <v/>
      </c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43" t="n"/>
    </row>
    <row r="614">
      <c r="A614" s="43" t="inlineStr">
        <is>
          <t>N61a</t>
        </is>
      </c>
      <c r="B614" s="43" t="inlineStr">
        <is>
          <t>横梁接头</t>
        </is>
      </c>
      <c r="C614" s="43" t="inlineStr">
        <is>
          <t>节段09</t>
        </is>
      </c>
      <c r="D614" s="43" t="inlineStr">
        <is>
          <t>Q355D</t>
        </is>
      </c>
      <c r="E614" s="43" t="n">
        <v>1976</v>
      </c>
      <c r="F614" s="43" t="n">
        <v>618</v>
      </c>
      <c r="G614" s="43" t="n">
        <v>14</v>
      </c>
      <c r="H614" s="79">
        <f>(E614/1000)*(F614/1000)*(G614/1000)*7850</f>
        <v/>
      </c>
      <c r="I614" s="43" t="n">
        <v>4</v>
      </c>
      <c r="J614" s="80">
        <f>H614*I614</f>
        <v/>
      </c>
      <c r="K614" s="43" t="inlineStr">
        <is>
          <t>来源页82</t>
        </is>
      </c>
      <c r="L614" s="43">
        <f>A614</f>
        <v/>
      </c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43" t="n"/>
    </row>
    <row r="615">
      <c r="A615" s="43" t="inlineStr">
        <is>
          <t>N62</t>
        </is>
      </c>
      <c r="B615" s="43" t="inlineStr">
        <is>
          <t>横梁接头</t>
        </is>
      </c>
      <c r="C615" s="43" t="inlineStr">
        <is>
          <t>节段09</t>
        </is>
      </c>
      <c r="D615" s="43" t="inlineStr">
        <is>
          <t>Q355D</t>
        </is>
      </c>
      <c r="E615" s="43" t="n"/>
      <c r="F615" s="43" t="n"/>
      <c r="G615" s="43" t="n">
        <v>24</v>
      </c>
      <c r="H615" s="79">
        <f>(E615/1000)*(F615/1000)*(G615/1000)*7850</f>
        <v/>
      </c>
      <c r="I615" s="43" t="n">
        <v>6</v>
      </c>
      <c r="J615" s="80">
        <f>H615*I615</f>
        <v/>
      </c>
      <c r="K615" s="43" t="inlineStr">
        <is>
          <t>来源页82</t>
        </is>
      </c>
      <c r="L615" s="43">
        <f>A615</f>
        <v/>
      </c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43" t="n"/>
    </row>
    <row r="616">
      <c r="A616" s="43" t="inlineStr">
        <is>
          <t>N62a</t>
        </is>
      </c>
      <c r="B616" s="43" t="inlineStr">
        <is>
          <t>横梁接头</t>
        </is>
      </c>
      <c r="C616" s="43" t="inlineStr">
        <is>
          <t>节段09</t>
        </is>
      </c>
      <c r="D616" s="43" t="inlineStr">
        <is>
          <t>Q355D</t>
        </is>
      </c>
      <c r="E616" s="43" t="n"/>
      <c r="F616" s="43" t="n"/>
      <c r="G616" s="43" t="n">
        <v>24</v>
      </c>
      <c r="H616" s="79">
        <f>(E616/1000)*(F616/1000)*(G616/1000)*7850</f>
        <v/>
      </c>
      <c r="I616" s="43" t="n">
        <v>4</v>
      </c>
      <c r="J616" s="80">
        <f>H616*I616</f>
        <v/>
      </c>
      <c r="K616" s="43" t="inlineStr">
        <is>
          <t>来源页82</t>
        </is>
      </c>
      <c r="L616" s="43">
        <f>A616</f>
        <v/>
      </c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43" t="n"/>
    </row>
    <row r="617">
      <c r="A617" s="43" t="inlineStr">
        <is>
          <t>N63</t>
        </is>
      </c>
      <c r="B617" s="43" t="inlineStr">
        <is>
          <t>横梁接头</t>
        </is>
      </c>
      <c r="C617" s="43" t="inlineStr">
        <is>
          <t>节段09</t>
        </is>
      </c>
      <c r="D617" s="43" t="inlineStr">
        <is>
          <t>Q355D</t>
        </is>
      </c>
      <c r="E617" s="43" t="n">
        <v>1800</v>
      </c>
      <c r="F617" s="43" t="n">
        <v>602</v>
      </c>
      <c r="G617" s="43" t="n">
        <v>14</v>
      </c>
      <c r="H617" s="79">
        <f>(E617/1000)*(F617/1000)*(G617/1000)*7850</f>
        <v/>
      </c>
      <c r="I617" s="43" t="n">
        <v>6</v>
      </c>
      <c r="J617" s="80">
        <f>H617*I617</f>
        <v/>
      </c>
      <c r="K617" s="43" t="inlineStr">
        <is>
          <t>来源页82</t>
        </is>
      </c>
      <c r="L617" s="43">
        <f>A617</f>
        <v/>
      </c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43" t="n"/>
    </row>
    <row r="618">
      <c r="A618" s="43" t="inlineStr">
        <is>
          <t>N63a</t>
        </is>
      </c>
      <c r="B618" s="43" t="inlineStr">
        <is>
          <t>横梁接头</t>
        </is>
      </c>
      <c r="C618" s="43" t="inlineStr">
        <is>
          <t>节段09</t>
        </is>
      </c>
      <c r="D618" s="43" t="inlineStr">
        <is>
          <t>Q355D</t>
        </is>
      </c>
      <c r="E618" s="43" t="n">
        <v>1800</v>
      </c>
      <c r="F618" s="43" t="n">
        <v>618</v>
      </c>
      <c r="G618" s="43" t="n">
        <v>14</v>
      </c>
      <c r="H618" s="79">
        <f>(E618/1000)*(F618/1000)*(G618/1000)*7850</f>
        <v/>
      </c>
      <c r="I618" s="43" t="n">
        <v>4</v>
      </c>
      <c r="J618" s="80">
        <f>H618*I618</f>
        <v/>
      </c>
      <c r="K618" s="43" t="inlineStr">
        <is>
          <t>来源页82</t>
        </is>
      </c>
      <c r="L618" s="43">
        <f>A618</f>
        <v/>
      </c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43" t="n"/>
    </row>
    <row r="619">
      <c r="A619" s="43" t="inlineStr"/>
      <c r="B619" s="43" t="inlineStr"/>
      <c r="C619" s="43" t="inlineStr">
        <is>
          <t>节段8~节段9</t>
        </is>
      </c>
      <c r="D619" s="43" t="inlineStr">
        <is>
          <t>Q355D</t>
        </is>
      </c>
      <c r="E619" s="43" t="n"/>
      <c r="F619" s="43" t="n"/>
      <c r="G619" s="43" t="n">
        <v>44</v>
      </c>
      <c r="H619" s="79">
        <f>(E619/1000)*(F619/1000)*(G619/1000)*7850</f>
        <v/>
      </c>
      <c r="I619" s="43" t="n">
        <v>1</v>
      </c>
      <c r="J619" s="80">
        <f>H619*I619</f>
        <v/>
      </c>
      <c r="K619" s="43" t="inlineStr">
        <is>
          <t>来源页82</t>
        </is>
      </c>
      <c r="L619" s="43">
        <f>A619</f>
        <v/>
      </c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43" t="n"/>
    </row>
    <row r="620">
      <c r="A620" s="43" t="inlineStr"/>
      <c r="B620" s="43" t="inlineStr"/>
      <c r="C620" s="43" t="inlineStr">
        <is>
          <t>节段8~节段9</t>
        </is>
      </c>
      <c r="D620" s="43" t="inlineStr">
        <is>
          <t>Q355D</t>
        </is>
      </c>
      <c r="E620" s="43" t="n"/>
      <c r="F620" s="43" t="n"/>
      <c r="G620" s="43" t="n">
        <v>36</v>
      </c>
      <c r="H620" s="79">
        <f>(E620/1000)*(F620/1000)*(G620/1000)*7850</f>
        <v/>
      </c>
      <c r="I620" s="43" t="n">
        <v>1</v>
      </c>
      <c r="J620" s="80">
        <f>H620*I620</f>
        <v/>
      </c>
      <c r="K620" s="43" t="inlineStr">
        <is>
          <t>来源页82</t>
        </is>
      </c>
      <c r="L620" s="43">
        <f>A620</f>
        <v/>
      </c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43" t="n"/>
    </row>
    <row r="621">
      <c r="A621" s="43" t="inlineStr"/>
      <c r="B621" s="43" t="inlineStr"/>
      <c r="C621" s="43" t="inlineStr">
        <is>
          <t>节段8~节段9</t>
        </is>
      </c>
      <c r="D621" s="43" t="inlineStr">
        <is>
          <t>Q355D</t>
        </is>
      </c>
      <c r="E621" s="43" t="n"/>
      <c r="F621" s="43" t="n"/>
      <c r="G621" s="43" t="n">
        <v>32</v>
      </c>
      <c r="H621" s="79">
        <f>(E621/1000)*(F621/1000)*(G621/1000)*7850</f>
        <v/>
      </c>
      <c r="I621" s="43" t="n">
        <v>1</v>
      </c>
      <c r="J621" s="80">
        <f>H621*I621</f>
        <v/>
      </c>
      <c r="K621" s="43" t="inlineStr">
        <is>
          <t>来源页82</t>
        </is>
      </c>
      <c r="L621" s="43">
        <f>A621</f>
        <v/>
      </c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43" t="n"/>
    </row>
    <row r="622">
      <c r="A622" s="43" t="inlineStr"/>
      <c r="B622" s="43" t="inlineStr"/>
      <c r="C622" s="43" t="inlineStr">
        <is>
          <t>节段8~节段9</t>
        </is>
      </c>
      <c r="D622" s="43" t="inlineStr">
        <is>
          <t>Q355D</t>
        </is>
      </c>
      <c r="E622" s="43" t="n"/>
      <c r="F622" s="43" t="n"/>
      <c r="G622" s="43" t="n">
        <v>28</v>
      </c>
      <c r="H622" s="79">
        <f>(E622/1000)*(F622/1000)*(G622/1000)*7850</f>
        <v/>
      </c>
      <c r="I622" s="43" t="n">
        <v>1</v>
      </c>
      <c r="J622" s="80">
        <f>H622*I622</f>
        <v/>
      </c>
      <c r="K622" s="43" t="inlineStr">
        <is>
          <t>来源页82</t>
        </is>
      </c>
      <c r="L622" s="43">
        <f>A622</f>
        <v/>
      </c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43" t="n"/>
    </row>
    <row r="623">
      <c r="A623" s="43" t="inlineStr"/>
      <c r="B623" s="43" t="inlineStr"/>
      <c r="C623" s="43" t="inlineStr">
        <is>
          <t>节段8~节段9</t>
        </is>
      </c>
      <c r="D623" s="43" t="inlineStr">
        <is>
          <t>Q355D</t>
        </is>
      </c>
      <c r="E623" s="43" t="n"/>
      <c r="F623" s="43" t="n"/>
      <c r="G623" s="43" t="n">
        <v>24</v>
      </c>
      <c r="H623" s="79">
        <f>(E623/1000)*(F623/1000)*(G623/1000)*7850</f>
        <v/>
      </c>
      <c r="I623" s="43" t="n">
        <v>1</v>
      </c>
      <c r="J623" s="80">
        <f>H623*I623</f>
        <v/>
      </c>
      <c r="K623" s="43" t="inlineStr">
        <is>
          <t>来源页82</t>
        </is>
      </c>
      <c r="L623" s="43">
        <f>A623</f>
        <v/>
      </c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43" t="n"/>
    </row>
    <row r="624">
      <c r="A624" s="43" t="inlineStr"/>
      <c r="B624" s="43" t="inlineStr"/>
      <c r="C624" s="43" t="inlineStr">
        <is>
          <t>节段8~节段9</t>
        </is>
      </c>
      <c r="D624" s="43" t="inlineStr">
        <is>
          <t>Q355D</t>
        </is>
      </c>
      <c r="E624" s="43" t="n"/>
      <c r="F624" s="43" t="n"/>
      <c r="G624" s="43" t="n">
        <v>20</v>
      </c>
      <c r="H624" s="79">
        <f>(E624/1000)*(F624/1000)*(G624/1000)*7850</f>
        <v/>
      </c>
      <c r="I624" s="43" t="n">
        <v>1</v>
      </c>
      <c r="J624" s="80">
        <f>H624*I624</f>
        <v/>
      </c>
      <c r="K624" s="43" t="inlineStr">
        <is>
          <t>来源页82</t>
        </is>
      </c>
      <c r="L624" s="43">
        <f>A624</f>
        <v/>
      </c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43" t="n"/>
    </row>
    <row r="625">
      <c r="A625" s="43" t="inlineStr"/>
      <c r="B625" s="43" t="inlineStr"/>
      <c r="C625" s="43" t="inlineStr">
        <is>
          <t>节段8~节段9</t>
        </is>
      </c>
      <c r="D625" s="43" t="inlineStr">
        <is>
          <t>Q355D</t>
        </is>
      </c>
      <c r="E625" s="43" t="n"/>
      <c r="F625" s="43" t="n"/>
      <c r="G625" s="43" t="n">
        <v>16</v>
      </c>
      <c r="H625" s="79">
        <f>(E625/1000)*(F625/1000)*(G625/1000)*7850</f>
        <v/>
      </c>
      <c r="I625" s="43" t="n">
        <v>1</v>
      </c>
      <c r="J625" s="80">
        <f>H625*I625</f>
        <v/>
      </c>
      <c r="K625" s="43" t="inlineStr">
        <is>
          <t>来源页82</t>
        </is>
      </c>
      <c r="L625" s="43">
        <f>A625</f>
        <v/>
      </c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43" t="n"/>
    </row>
    <row r="626">
      <c r="A626" s="43" t="inlineStr"/>
      <c r="B626" s="43" t="inlineStr"/>
      <c r="C626" s="43" t="inlineStr">
        <is>
          <t>节段8~节段9</t>
        </is>
      </c>
      <c r="D626" s="43" t="inlineStr">
        <is>
          <t>Q355D</t>
        </is>
      </c>
      <c r="E626" s="43" t="n"/>
      <c r="F626" s="43" t="n"/>
      <c r="G626" s="43" t="n">
        <v>8</v>
      </c>
      <c r="H626" s="79">
        <f>(E626/1000)*(F626/1000)*(G626/1000)*7850</f>
        <v/>
      </c>
      <c r="I626" s="43" t="n">
        <v>1</v>
      </c>
      <c r="J626" s="80">
        <f>H626*I626</f>
        <v/>
      </c>
      <c r="K626" s="43" t="inlineStr">
        <is>
          <t>来源页82</t>
        </is>
      </c>
      <c r="L626" s="43">
        <f>A626</f>
        <v/>
      </c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43" t="n"/>
    </row>
    <row r="627">
      <c r="A627" s="43" t="inlineStr"/>
      <c r="B627" s="43" t="inlineStr"/>
      <c r="C627" s="43" t="inlineStr">
        <is>
          <t>节段8~节段9</t>
        </is>
      </c>
      <c r="D627" s="43" t="inlineStr">
        <is>
          <t>Q355D</t>
        </is>
      </c>
      <c r="E627" s="43" t="n"/>
      <c r="F627" s="43" t="n"/>
      <c r="G627" s="43" t="n">
        <v>4</v>
      </c>
      <c r="H627" s="79">
        <f>(E627/1000)*(F627/1000)*(G627/1000)*7850</f>
        <v/>
      </c>
      <c r="I627" s="43" t="n">
        <v>1</v>
      </c>
      <c r="J627" s="80">
        <f>H627*I627</f>
        <v/>
      </c>
      <c r="K627" s="43" t="inlineStr">
        <is>
          <t>来源页82</t>
        </is>
      </c>
      <c r="L627" s="43">
        <f>A627</f>
        <v/>
      </c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43" t="n"/>
    </row>
    <row r="628">
      <c r="A628" s="43" t="inlineStr">
        <is>
          <t>P1</t>
        </is>
      </c>
      <c r="B628" s="43" t="inlineStr"/>
      <c r="C628" s="43" t="inlineStr">
        <is>
          <t>节段9~节段10</t>
        </is>
      </c>
      <c r="D628" s="43" t="inlineStr">
        <is>
          <t>Q355D</t>
        </is>
      </c>
      <c r="E628" s="43" t="n">
        <v>820</v>
      </c>
      <c r="F628" s="43" t="n">
        <v>1800</v>
      </c>
      <c r="G628" s="43" t="n">
        <v>24</v>
      </c>
      <c r="H628" s="79">
        <f>(E628/1000)*(F628/1000)*(G628/1000)*7850</f>
        <v/>
      </c>
      <c r="I628" s="43" t="n">
        <v>2</v>
      </c>
      <c r="J628" s="80">
        <f>H628*I628</f>
        <v/>
      </c>
      <c r="K628" s="43" t="inlineStr">
        <is>
          <t>来源页85</t>
        </is>
      </c>
      <c r="L628" s="43">
        <f>A628</f>
        <v/>
      </c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43" t="n"/>
    </row>
    <row r="629">
      <c r="A629" s="43" t="inlineStr">
        <is>
          <t>P2</t>
        </is>
      </c>
      <c r="B629" s="43" t="inlineStr"/>
      <c r="C629" s="43" t="inlineStr">
        <is>
          <t>节段9~节段10</t>
        </is>
      </c>
      <c r="D629" s="43" t="inlineStr">
        <is>
          <t>Q355D</t>
        </is>
      </c>
      <c r="E629" s="43" t="n">
        <v>820</v>
      </c>
      <c r="F629" s="43" t="n">
        <v>500</v>
      </c>
      <c r="G629" s="43" t="n">
        <v>24</v>
      </c>
      <c r="H629" s="79">
        <f>(E629/1000)*(F629/1000)*(G629/1000)*7850</f>
        <v/>
      </c>
      <c r="I629" s="43" t="n">
        <v>2</v>
      </c>
      <c r="J629" s="80">
        <f>H629*I629</f>
        <v/>
      </c>
      <c r="K629" s="43" t="inlineStr">
        <is>
          <t>来源页85</t>
        </is>
      </c>
      <c r="L629" s="43">
        <f>A629</f>
        <v/>
      </c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43" t="n"/>
    </row>
    <row r="630">
      <c r="A630" s="43" t="inlineStr">
        <is>
          <t>P3</t>
        </is>
      </c>
      <c r="B630" s="43" t="inlineStr"/>
      <c r="C630" s="43" t="inlineStr">
        <is>
          <t>节段9~节段10</t>
        </is>
      </c>
      <c r="D630" s="43" t="inlineStr">
        <is>
          <t>Q355D</t>
        </is>
      </c>
      <c r="E630" s="43" t="n">
        <v>820</v>
      </c>
      <c r="F630" s="43" t="n">
        <v>500</v>
      </c>
      <c r="G630" s="43" t="n">
        <v>24</v>
      </c>
      <c r="H630" s="79">
        <f>(E630/1000)*(F630/1000)*(G630/1000)*7850</f>
        <v/>
      </c>
      <c r="I630" s="43" t="n">
        <v>2</v>
      </c>
      <c r="J630" s="80">
        <f>H630*I630</f>
        <v/>
      </c>
      <c r="K630" s="43" t="inlineStr">
        <is>
          <t>来源页85</t>
        </is>
      </c>
      <c r="L630" s="43">
        <f>A630</f>
        <v/>
      </c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43" t="n"/>
    </row>
    <row r="631">
      <c r="A631" s="43" t="inlineStr">
        <is>
          <t>P4</t>
        </is>
      </c>
      <c r="B631" s="43" t="inlineStr"/>
      <c r="C631" s="43" t="inlineStr">
        <is>
          <t>节段9~节段10</t>
        </is>
      </c>
      <c r="D631" s="43" t="inlineStr">
        <is>
          <t>Q355D</t>
        </is>
      </c>
      <c r="E631" s="43" t="n">
        <v>820</v>
      </c>
      <c r="F631" s="43" t="n">
        <v>600</v>
      </c>
      <c r="G631" s="43" t="n">
        <v>24</v>
      </c>
      <c r="H631" s="79">
        <f>(E631/1000)*(F631/1000)*(G631/1000)*7850</f>
        <v/>
      </c>
      <c r="I631" s="43" t="n">
        <v>2</v>
      </c>
      <c r="J631" s="80">
        <f>H631*I631</f>
        <v/>
      </c>
      <c r="K631" s="43" t="inlineStr">
        <is>
          <t>来源页85</t>
        </is>
      </c>
      <c r="L631" s="43">
        <f>A631</f>
        <v/>
      </c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43" t="n"/>
    </row>
    <row r="632">
      <c r="A632" s="43" t="inlineStr">
        <is>
          <t>P5</t>
        </is>
      </c>
      <c r="B632" s="43" t="inlineStr"/>
      <c r="C632" s="43" t="inlineStr">
        <is>
          <t>节段9~节段10</t>
        </is>
      </c>
      <c r="D632" s="43" t="inlineStr">
        <is>
          <t>Q355D</t>
        </is>
      </c>
      <c r="E632" s="43" t="n">
        <v>920</v>
      </c>
      <c r="F632" s="43" t="n">
        <v>1100</v>
      </c>
      <c r="G632" s="43" t="n">
        <v>28</v>
      </c>
      <c r="H632" s="79">
        <f>(E632/1000)*(F632/1000)*(G632/1000)*7850</f>
        <v/>
      </c>
      <c r="I632" s="43" t="n">
        <v>1</v>
      </c>
      <c r="J632" s="80">
        <f>H632*I632</f>
        <v/>
      </c>
      <c r="K632" s="43" t="inlineStr">
        <is>
          <t>来源页85</t>
        </is>
      </c>
      <c r="L632" s="43">
        <f>A632</f>
        <v/>
      </c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43" t="n"/>
    </row>
    <row r="633">
      <c r="A633" s="43" t="inlineStr">
        <is>
          <t>P6</t>
        </is>
      </c>
      <c r="B633" s="43" t="inlineStr"/>
      <c r="C633" s="43" t="inlineStr">
        <is>
          <t>节段9~节段10</t>
        </is>
      </c>
      <c r="D633" s="43" t="inlineStr">
        <is>
          <t>Q355D</t>
        </is>
      </c>
      <c r="E633" s="43" t="n">
        <v>920</v>
      </c>
      <c r="F633" s="43" t="n">
        <v>400</v>
      </c>
      <c r="G633" s="43" t="n">
        <v>28</v>
      </c>
      <c r="H633" s="79">
        <f>(E633/1000)*(F633/1000)*(G633/1000)*7850</f>
        <v/>
      </c>
      <c r="I633" s="43" t="n">
        <v>2</v>
      </c>
      <c r="J633" s="80">
        <f>H633*I633</f>
        <v/>
      </c>
      <c r="K633" s="43" t="inlineStr">
        <is>
          <t>来源页85</t>
        </is>
      </c>
      <c r="L633" s="43">
        <f>A633</f>
        <v/>
      </c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43" t="n"/>
    </row>
    <row r="634">
      <c r="A634" s="43" t="inlineStr">
        <is>
          <t>P7</t>
        </is>
      </c>
      <c r="B634" s="43" t="inlineStr"/>
      <c r="C634" s="43" t="inlineStr">
        <is>
          <t>节段9~节段10</t>
        </is>
      </c>
      <c r="D634" s="43" t="inlineStr">
        <is>
          <t>Q355D</t>
        </is>
      </c>
      <c r="E634" s="43" t="n">
        <v>920</v>
      </c>
      <c r="F634" s="43" t="n">
        <v>200</v>
      </c>
      <c r="G634" s="43" t="n">
        <v>14</v>
      </c>
      <c r="H634" s="79">
        <f>(E634/1000)*(F634/1000)*(G634/1000)*7850</f>
        <v/>
      </c>
      <c r="I634" s="43" t="n">
        <v>10</v>
      </c>
      <c r="J634" s="80">
        <f>H634*I634</f>
        <v/>
      </c>
      <c r="K634" s="43" t="inlineStr">
        <is>
          <t>来源页85</t>
        </is>
      </c>
      <c r="L634" s="43">
        <f>A634</f>
        <v/>
      </c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43" t="n"/>
    </row>
    <row r="635">
      <c r="A635" s="43" t="inlineStr">
        <is>
          <t>P8</t>
        </is>
      </c>
      <c r="B635" s="43" t="inlineStr"/>
      <c r="C635" s="43" t="inlineStr">
        <is>
          <t>节段9~节段10</t>
        </is>
      </c>
      <c r="D635" s="43" t="inlineStr">
        <is>
          <t>Q355D</t>
        </is>
      </c>
      <c r="E635" s="43" t="n">
        <v>600</v>
      </c>
      <c r="F635" s="43" t="n">
        <v>1800</v>
      </c>
      <c r="G635" s="43" t="n">
        <v>12</v>
      </c>
      <c r="H635" s="79">
        <f>(E635/1000)*(F635/1000)*(G635/1000)*7850</f>
        <v/>
      </c>
      <c r="I635" s="43" t="n">
        <v>2</v>
      </c>
      <c r="J635" s="80">
        <f>H635*I635</f>
        <v/>
      </c>
      <c r="K635" s="43" t="inlineStr">
        <is>
          <t>填板；来源页85</t>
        </is>
      </c>
      <c r="L635" s="43">
        <f>A635</f>
        <v/>
      </c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43" t="n"/>
    </row>
    <row r="636">
      <c r="A636" s="43" t="inlineStr">
        <is>
          <t>P9</t>
        </is>
      </c>
      <c r="B636" s="43" t="inlineStr"/>
      <c r="C636" s="43" t="inlineStr">
        <is>
          <t>节段9~节段10</t>
        </is>
      </c>
      <c r="D636" s="43" t="inlineStr">
        <is>
          <t>Q355D</t>
        </is>
      </c>
      <c r="E636" s="43" t="n">
        <v>700</v>
      </c>
      <c r="F636" s="43" t="n">
        <v>1100</v>
      </c>
      <c r="G636" s="43" t="n">
        <v>4</v>
      </c>
      <c r="H636" s="79">
        <f>(E636/1000)*(F636/1000)*(G636/1000)*7850</f>
        <v/>
      </c>
      <c r="I636" s="43" t="n">
        <v>0</v>
      </c>
      <c r="J636" s="80">
        <f>H636*I636</f>
        <v/>
      </c>
      <c r="K636" s="43" t="inlineStr">
        <is>
          <t>填板；来源页85</t>
        </is>
      </c>
      <c r="L636" s="43">
        <f>A636</f>
        <v/>
      </c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43" t="n"/>
    </row>
    <row r="637">
      <c r="A637" s="43" t="inlineStr">
        <is>
          <t>M30高强螺栓</t>
        </is>
      </c>
      <c r="B637" s="43" t="inlineStr"/>
      <c r="C637" s="43" t="inlineStr">
        <is>
          <t>节段9~节段10</t>
        </is>
      </c>
      <c r="D637" s="43" t="inlineStr">
        <is>
          <t>10.9S</t>
        </is>
      </c>
      <c r="E637" s="43" t="n"/>
      <c r="F637" s="43" t="n"/>
      <c r="G637" s="43" t="n"/>
      <c r="H637" s="79">
        <f>(E637/1000)*(F637/1000)*(G637/1000)*7850</f>
        <v/>
      </c>
      <c r="I637" s="43" t="n">
        <v>424</v>
      </c>
      <c r="J637" s="80">
        <f>H637*I637</f>
        <v/>
      </c>
      <c r="K637" s="43" t="inlineStr">
        <is>
          <t>来源页85</t>
        </is>
      </c>
      <c r="L637" s="43">
        <f>A637</f>
        <v/>
      </c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43" t="n"/>
    </row>
    <row r="638">
      <c r="A638" s="43" t="inlineStr">
        <is>
          <t>K1</t>
        </is>
      </c>
      <c r="B638" s="43" t="inlineStr"/>
      <c r="C638" s="43" t="inlineStr">
        <is>
          <t>节段9~节段10</t>
        </is>
      </c>
      <c r="D638" s="43" t="inlineStr">
        <is>
          <t>Q355D</t>
        </is>
      </c>
      <c r="E638" s="43" t="n">
        <v>1020</v>
      </c>
      <c r="F638" s="43" t="n">
        <v>1700</v>
      </c>
      <c r="G638" s="43" t="n">
        <v>24</v>
      </c>
      <c r="H638" s="79">
        <f>(E638/1000)*(F638/1000)*(G638/1000)*7850</f>
        <v/>
      </c>
      <c r="I638" s="43" t="n">
        <v>2</v>
      </c>
      <c r="J638" s="80">
        <f>H638*I638</f>
        <v/>
      </c>
      <c r="K638" s="43" t="inlineStr">
        <is>
          <t>来源页85</t>
        </is>
      </c>
      <c r="L638" s="43">
        <f>A638</f>
        <v/>
      </c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43" t="n"/>
    </row>
    <row r="639">
      <c r="A639" s="43" t="inlineStr">
        <is>
          <t>K2</t>
        </is>
      </c>
      <c r="B639" s="43" t="inlineStr"/>
      <c r="C639" s="43" t="inlineStr">
        <is>
          <t>节段9~节段10</t>
        </is>
      </c>
      <c r="D639" s="43" t="inlineStr">
        <is>
          <t>Q355D</t>
        </is>
      </c>
      <c r="E639" s="43" t="n">
        <v>1020</v>
      </c>
      <c r="F639" s="43" t="n">
        <v>800</v>
      </c>
      <c r="G639" s="43" t="n">
        <v>24</v>
      </c>
      <c r="H639" s="79">
        <f>(E639/1000)*(F639/1000)*(G639/1000)*7850</f>
        <v/>
      </c>
      <c r="I639" s="43" t="n">
        <v>4</v>
      </c>
      <c r="J639" s="80">
        <f>H639*I639</f>
        <v/>
      </c>
      <c r="K639" s="43" t="inlineStr">
        <is>
          <t>来源页85</t>
        </is>
      </c>
      <c r="L639" s="43">
        <f>A639</f>
        <v/>
      </c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43" t="n"/>
    </row>
    <row r="640">
      <c r="A640" s="43" t="inlineStr">
        <is>
          <t>K3</t>
        </is>
      </c>
      <c r="B640" s="43" t="inlineStr"/>
      <c r="C640" s="43" t="inlineStr">
        <is>
          <t>节段9~节段10</t>
        </is>
      </c>
      <c r="D640" s="43" t="inlineStr">
        <is>
          <t>Q355D</t>
        </is>
      </c>
      <c r="E640" s="43" t="n">
        <v>1320</v>
      </c>
      <c r="F640" s="43" t="n">
        <v>1100</v>
      </c>
      <c r="G640" s="43" t="n">
        <v>36</v>
      </c>
      <c r="H640" s="79">
        <f>(E640/1000)*(F640/1000)*(G640/1000)*7850</f>
        <v/>
      </c>
      <c r="I640" s="43" t="n">
        <v>1</v>
      </c>
      <c r="J640" s="80">
        <f>H640*I640</f>
        <v/>
      </c>
      <c r="K640" s="43" t="inlineStr">
        <is>
          <t>来源页85</t>
        </is>
      </c>
      <c r="L640" s="43">
        <f>A640</f>
        <v/>
      </c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43" t="n"/>
    </row>
    <row r="641">
      <c r="A641" s="43" t="inlineStr">
        <is>
          <t>K4</t>
        </is>
      </c>
      <c r="B641" s="43" t="inlineStr"/>
      <c r="C641" s="43" t="inlineStr">
        <is>
          <t>节段9~节段10</t>
        </is>
      </c>
      <c r="D641" s="43" t="inlineStr">
        <is>
          <t>Q355D</t>
        </is>
      </c>
      <c r="E641" s="43" t="n">
        <v>1320</v>
      </c>
      <c r="F641" s="43" t="n">
        <v>400</v>
      </c>
      <c r="G641" s="43" t="n">
        <v>36</v>
      </c>
      <c r="H641" s="79">
        <f>(E641/1000)*(F641/1000)*(G641/1000)*7850</f>
        <v/>
      </c>
      <c r="I641" s="43" t="n">
        <v>2</v>
      </c>
      <c r="J641" s="80">
        <f>H641*I641</f>
        <v/>
      </c>
      <c r="K641" s="43" t="inlineStr">
        <is>
          <t>来源页85</t>
        </is>
      </c>
      <c r="L641" s="43">
        <f>A641</f>
        <v/>
      </c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43" t="n"/>
    </row>
    <row r="642">
      <c r="A642" s="43" t="inlineStr">
        <is>
          <t>K6</t>
        </is>
      </c>
      <c r="B642" s="43" t="inlineStr"/>
      <c r="C642" s="43" t="inlineStr">
        <is>
          <t>节段9~节段10</t>
        </is>
      </c>
      <c r="D642" s="43" t="inlineStr">
        <is>
          <t>Q355D</t>
        </is>
      </c>
      <c r="E642" s="43" t="n">
        <v>500</v>
      </c>
      <c r="F642" s="43" t="n">
        <v>1700</v>
      </c>
      <c r="G642" s="43" t="n">
        <v>12</v>
      </c>
      <c r="H642" s="79">
        <f>(E642/1000)*(F642/1000)*(G642/1000)*7850</f>
        <v/>
      </c>
      <c r="I642" s="43" t="n">
        <v>2</v>
      </c>
      <c r="J642" s="80">
        <f>H642*I642</f>
        <v/>
      </c>
      <c r="K642" s="43" t="inlineStr">
        <is>
          <t>填板；来源页85</t>
        </is>
      </c>
      <c r="L642" s="43">
        <f>A642</f>
        <v/>
      </c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43" t="n"/>
    </row>
    <row r="643">
      <c r="A643" s="43" t="inlineStr">
        <is>
          <t>K7</t>
        </is>
      </c>
      <c r="B643" s="43" t="inlineStr"/>
      <c r="C643" s="43" t="inlineStr">
        <is>
          <t>节段9~节段10</t>
        </is>
      </c>
      <c r="D643" s="43" t="inlineStr">
        <is>
          <t>Q355D</t>
        </is>
      </c>
      <c r="E643" s="43" t="n">
        <v>650</v>
      </c>
      <c r="F643" s="43" t="n">
        <v>1100</v>
      </c>
      <c r="G643" s="43" t="n">
        <v>4</v>
      </c>
      <c r="H643" s="79">
        <f>(E643/1000)*(F643/1000)*(G643/1000)*7850</f>
        <v/>
      </c>
      <c r="I643" s="43" t="n">
        <v>0</v>
      </c>
      <c r="J643" s="80">
        <f>H643*I643</f>
        <v/>
      </c>
      <c r="K643" s="43" t="inlineStr">
        <is>
          <t>填板；来源页85</t>
        </is>
      </c>
      <c r="L643" s="43">
        <f>A643</f>
        <v/>
      </c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43" t="n"/>
    </row>
    <row r="644">
      <c r="A644" s="43" t="inlineStr">
        <is>
          <t>M30高强螺栓</t>
        </is>
      </c>
      <c r="B644" s="43" t="inlineStr"/>
      <c r="C644" s="43" t="inlineStr">
        <is>
          <t>节段9~节段10</t>
        </is>
      </c>
      <c r="D644" s="43" t="inlineStr">
        <is>
          <t>10.9S</t>
        </is>
      </c>
      <c r="E644" s="43" t="n"/>
      <c r="F644" s="43" t="n"/>
      <c r="G644" s="43" t="n"/>
      <c r="H644" s="79">
        <f>(E644/1000)*(F644/1000)*(G644/1000)*7850</f>
        <v/>
      </c>
      <c r="I644" s="43" t="n">
        <v>324</v>
      </c>
      <c r="J644" s="80">
        <f>H644*I644</f>
        <v/>
      </c>
      <c r="K644" s="43" t="inlineStr">
        <is>
          <t>来源页85</t>
        </is>
      </c>
      <c r="L644" s="43">
        <f>A644</f>
        <v/>
      </c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43" t="n"/>
    </row>
    <row r="645">
      <c r="A645" s="43" t="inlineStr">
        <is>
          <t>L1</t>
        </is>
      </c>
      <c r="B645" s="43" t="inlineStr"/>
      <c r="C645" s="43" t="inlineStr">
        <is>
          <t>节段9~节段10</t>
        </is>
      </c>
      <c r="D645" s="43" t="inlineStr">
        <is>
          <t>Q355D</t>
        </is>
      </c>
      <c r="E645" s="43" t="n">
        <v>1520</v>
      </c>
      <c r="F645" s="43" t="n">
        <v>1100</v>
      </c>
      <c r="G645" s="43" t="n">
        <v>24</v>
      </c>
      <c r="H645" s="79">
        <f>(E645/1000)*(F645/1000)*(G645/1000)*7850</f>
        <v/>
      </c>
      <c r="I645" s="43" t="n">
        <v>2</v>
      </c>
      <c r="J645" s="80">
        <f>H645*I645</f>
        <v/>
      </c>
      <c r="K645" s="43" t="inlineStr">
        <is>
          <t>来源页85</t>
        </is>
      </c>
      <c r="L645" s="43">
        <f>A645</f>
        <v/>
      </c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43" t="n"/>
    </row>
    <row r="646">
      <c r="A646" s="43" t="inlineStr">
        <is>
          <t>L2</t>
        </is>
      </c>
      <c r="B646" s="43" t="inlineStr"/>
      <c r="C646" s="43" t="inlineStr">
        <is>
          <t>节段9~节段10</t>
        </is>
      </c>
      <c r="D646" s="43" t="inlineStr">
        <is>
          <t>Q355D</t>
        </is>
      </c>
      <c r="E646" s="43" t="n">
        <v>1520</v>
      </c>
      <c r="F646" s="43" t="n">
        <v>500</v>
      </c>
      <c r="G646" s="43" t="n">
        <v>24</v>
      </c>
      <c r="H646" s="79">
        <f>(E646/1000)*(F646/1000)*(G646/1000)*7850</f>
        <v/>
      </c>
      <c r="I646" s="43" t="n">
        <v>4</v>
      </c>
      <c r="J646" s="80">
        <f>H646*I646</f>
        <v/>
      </c>
      <c r="K646" s="43" t="inlineStr">
        <is>
          <t>来源页85</t>
        </is>
      </c>
      <c r="L646" s="43">
        <f>A646</f>
        <v/>
      </c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43" t="n"/>
    </row>
    <row r="647">
      <c r="A647" s="43" t="inlineStr">
        <is>
          <t>L3</t>
        </is>
      </c>
      <c r="B647" s="43" t="inlineStr"/>
      <c r="C647" s="43" t="inlineStr">
        <is>
          <t>节段9~节段10</t>
        </is>
      </c>
      <c r="D647" s="43" t="inlineStr">
        <is>
          <t>Q355D</t>
        </is>
      </c>
      <c r="E647" s="43" t="n">
        <v>1320</v>
      </c>
      <c r="F647" s="43" t="n">
        <v>1100</v>
      </c>
      <c r="G647" s="43" t="n">
        <v>28</v>
      </c>
      <c r="H647" s="79">
        <f>(E647/1000)*(F647/1000)*(G647/1000)*7850</f>
        <v/>
      </c>
      <c r="I647" s="43" t="n">
        <v>1</v>
      </c>
      <c r="J647" s="80">
        <f>H647*I647</f>
        <v/>
      </c>
      <c r="K647" s="43" t="inlineStr">
        <is>
          <t>来源页85</t>
        </is>
      </c>
      <c r="L647" s="43">
        <f>A647</f>
        <v/>
      </c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43" t="n"/>
    </row>
    <row r="648">
      <c r="A648" s="43" t="inlineStr">
        <is>
          <t>L4</t>
        </is>
      </c>
      <c r="B648" s="43" t="inlineStr"/>
      <c r="C648" s="43" t="inlineStr">
        <is>
          <t>节段9~节段10</t>
        </is>
      </c>
      <c r="D648" s="43" t="inlineStr">
        <is>
          <t>Q355D</t>
        </is>
      </c>
      <c r="E648" s="43" t="n">
        <v>1320</v>
      </c>
      <c r="F648" s="43" t="n">
        <v>500</v>
      </c>
      <c r="G648" s="43" t="n">
        <v>28</v>
      </c>
      <c r="H648" s="79">
        <f>(E648/1000)*(F648/1000)*(G648/1000)*7850</f>
        <v/>
      </c>
      <c r="I648" s="43" t="n">
        <v>2</v>
      </c>
      <c r="J648" s="80">
        <f>H648*I648</f>
        <v/>
      </c>
      <c r="K648" s="43" t="inlineStr">
        <is>
          <t>来源页85</t>
        </is>
      </c>
      <c r="L648" s="43">
        <f>A648</f>
        <v/>
      </c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43" t="n"/>
    </row>
    <row r="649">
      <c r="A649" s="43" t="inlineStr">
        <is>
          <t>L5</t>
        </is>
      </c>
      <c r="B649" s="43" t="inlineStr"/>
      <c r="C649" s="43" t="inlineStr">
        <is>
          <t>节段9~节段10</t>
        </is>
      </c>
      <c r="D649" s="43" t="inlineStr">
        <is>
          <t>Q355D</t>
        </is>
      </c>
      <c r="E649" s="43" t="n">
        <v>1520</v>
      </c>
      <c r="F649" s="43" t="n">
        <v>1100</v>
      </c>
      <c r="G649" s="43" t="n">
        <v>44</v>
      </c>
      <c r="H649" s="79">
        <f>(E649/1000)*(F649/1000)*(G649/1000)*7850</f>
        <v/>
      </c>
      <c r="I649" s="43" t="n">
        <v>1</v>
      </c>
      <c r="J649" s="80">
        <f>H649*I649</f>
        <v/>
      </c>
      <c r="K649" s="43" t="inlineStr">
        <is>
          <t>来源页85</t>
        </is>
      </c>
      <c r="L649" s="43">
        <f>A649</f>
        <v/>
      </c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43" t="n"/>
    </row>
    <row r="650">
      <c r="A650" s="43" t="inlineStr">
        <is>
          <t>L6</t>
        </is>
      </c>
      <c r="B650" s="43" t="inlineStr"/>
      <c r="C650" s="43" t="inlineStr">
        <is>
          <t>节段9~节段10</t>
        </is>
      </c>
      <c r="D650" s="43" t="inlineStr">
        <is>
          <t>Q355D</t>
        </is>
      </c>
      <c r="E650" s="43" t="n">
        <v>1520</v>
      </c>
      <c r="F650" s="43" t="n">
        <v>240</v>
      </c>
      <c r="G650" s="43" t="n">
        <v>44</v>
      </c>
      <c r="H650" s="79">
        <f>(E650/1000)*(F650/1000)*(G650/1000)*7850</f>
        <v/>
      </c>
      <c r="I650" s="43" t="n">
        <v>2</v>
      </c>
      <c r="J650" s="80">
        <f>H650*I650</f>
        <v/>
      </c>
      <c r="K650" s="43" t="inlineStr">
        <is>
          <t>来源页85</t>
        </is>
      </c>
      <c r="L650" s="43">
        <f>A650</f>
        <v/>
      </c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43" t="n"/>
    </row>
    <row r="651">
      <c r="A651" s="43" t="inlineStr">
        <is>
          <t>L7</t>
        </is>
      </c>
      <c r="B651" s="43" t="inlineStr"/>
      <c r="C651" s="43" t="inlineStr">
        <is>
          <t>节段9~节段10</t>
        </is>
      </c>
      <c r="D651" s="43" t="inlineStr">
        <is>
          <t>Q355D</t>
        </is>
      </c>
      <c r="E651" s="43" t="n">
        <v>1220</v>
      </c>
      <c r="F651" s="43" t="n">
        <v>240</v>
      </c>
      <c r="G651" s="43" t="n">
        <v>24</v>
      </c>
      <c r="H651" s="79">
        <f>(E651/1000)*(F651/1000)*(G651/1000)*7850</f>
        <v/>
      </c>
      <c r="I651" s="43" t="n">
        <v>4</v>
      </c>
      <c r="J651" s="80">
        <f>H651*I651</f>
        <v/>
      </c>
      <c r="K651" s="43" t="inlineStr">
        <is>
          <t>来源页85</t>
        </is>
      </c>
      <c r="L651" s="43">
        <f>A651</f>
        <v/>
      </c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43" t="n"/>
    </row>
    <row r="652">
      <c r="A652" s="43" t="inlineStr">
        <is>
          <t>L8</t>
        </is>
      </c>
      <c r="B652" s="43" t="inlineStr"/>
      <c r="C652" s="43" t="inlineStr">
        <is>
          <t>节段9~节段10</t>
        </is>
      </c>
      <c r="D652" s="43" t="inlineStr">
        <is>
          <t>Q355D</t>
        </is>
      </c>
      <c r="E652" s="43" t="n">
        <v>1320</v>
      </c>
      <c r="F652" s="43" t="n">
        <v>240</v>
      </c>
      <c r="G652" s="43" t="n">
        <v>24</v>
      </c>
      <c r="H652" s="79">
        <f>(E652/1000)*(F652/1000)*(G652/1000)*7850</f>
        <v/>
      </c>
      <c r="I652" s="43" t="n">
        <v>2</v>
      </c>
      <c r="J652" s="80">
        <f>H652*I652</f>
        <v/>
      </c>
      <c r="K652" s="43" t="inlineStr">
        <is>
          <t>来源页85</t>
        </is>
      </c>
      <c r="L652" s="43">
        <f>A652</f>
        <v/>
      </c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43" t="n"/>
    </row>
    <row r="653">
      <c r="A653" s="43" t="inlineStr">
        <is>
          <t>N11a</t>
        </is>
      </c>
      <c r="B653" s="43" t="inlineStr">
        <is>
          <t>上弦顶板</t>
        </is>
      </c>
      <c r="C653" s="43" t="inlineStr">
        <is>
          <t>节段10</t>
        </is>
      </c>
      <c r="D653" s="43" t="inlineStr">
        <is>
          <t>Q355D</t>
        </is>
      </c>
      <c r="E653" s="43" t="n"/>
      <c r="F653" s="43" t="n"/>
      <c r="G653" s="43" t="n">
        <v>20</v>
      </c>
      <c r="H653" s="79">
        <f>(E653/1000)*(F653/1000)*(G653/1000)*7850</f>
        <v/>
      </c>
      <c r="I653" s="43" t="n">
        <v>1</v>
      </c>
      <c r="J653" s="80">
        <f>H653*I653</f>
        <v/>
      </c>
      <c r="K653" s="43" t="inlineStr">
        <is>
          <t>来源页86</t>
        </is>
      </c>
      <c r="L653" s="43">
        <f>A653</f>
        <v/>
      </c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43" t="n"/>
    </row>
    <row r="654">
      <c r="A654" s="43" t="inlineStr">
        <is>
          <t>N11b</t>
        </is>
      </c>
      <c r="B654" s="43" t="inlineStr">
        <is>
          <t>上弦顶板</t>
        </is>
      </c>
      <c r="C654" s="43" t="inlineStr">
        <is>
          <t>节段10</t>
        </is>
      </c>
      <c r="D654" s="43" t="inlineStr">
        <is>
          <t>Q355D</t>
        </is>
      </c>
      <c r="E654" s="43" t="n"/>
      <c r="F654" s="43" t="n"/>
      <c r="G654" s="43" t="n">
        <v>20</v>
      </c>
      <c r="H654" s="79">
        <f>(E654/1000)*(F654/1000)*(G654/1000)*7850</f>
        <v/>
      </c>
      <c r="I654" s="43" t="n">
        <v>1</v>
      </c>
      <c r="J654" s="80">
        <f>H654*I654</f>
        <v/>
      </c>
      <c r="K654" s="43" t="inlineStr">
        <is>
          <t>来源页86</t>
        </is>
      </c>
      <c r="L654" s="43">
        <f>A654</f>
        <v/>
      </c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43" t="n"/>
    </row>
    <row r="655">
      <c r="A655" s="43" t="inlineStr">
        <is>
          <t>N12α</t>
        </is>
      </c>
      <c r="B655" s="43" t="inlineStr">
        <is>
          <t>上弦底板</t>
        </is>
      </c>
      <c r="C655" s="43" t="inlineStr">
        <is>
          <t>节段10</t>
        </is>
      </c>
      <c r="D655" s="43" t="inlineStr">
        <is>
          <t>Q355D</t>
        </is>
      </c>
      <c r="E655" s="43" t="n">
        <v>7900</v>
      </c>
      <c r="F655" s="43" t="n">
        <v>1200</v>
      </c>
      <c r="G655" s="43" t="n">
        <v>20</v>
      </c>
      <c r="H655" s="79">
        <f>(E655/1000)*(F655/1000)*(G655/1000)*7850</f>
        <v/>
      </c>
      <c r="I655" s="43" t="n">
        <v>1</v>
      </c>
      <c r="J655" s="80">
        <f>H655*I655</f>
        <v/>
      </c>
      <c r="K655" s="43" t="inlineStr">
        <is>
          <t>来源页86</t>
        </is>
      </c>
      <c r="L655" s="43">
        <f>A655</f>
        <v/>
      </c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43" t="n"/>
    </row>
    <row r="656">
      <c r="A656" s="43" t="inlineStr">
        <is>
          <t>N12b</t>
        </is>
      </c>
      <c r="B656" s="43" t="inlineStr">
        <is>
          <t>上弦底板</t>
        </is>
      </c>
      <c r="C656" s="43" t="inlineStr">
        <is>
          <t>节段10</t>
        </is>
      </c>
      <c r="D656" s="43" t="inlineStr">
        <is>
          <t>Q355D</t>
        </is>
      </c>
      <c r="E656" s="43" t="n">
        <v>7100</v>
      </c>
      <c r="F656" s="43" t="n">
        <v>1200</v>
      </c>
      <c r="G656" s="43" t="n">
        <v>20</v>
      </c>
      <c r="H656" s="79">
        <f>(E656/1000)*(F656/1000)*(G656/1000)*7850</f>
        <v/>
      </c>
      <c r="I656" s="43" t="n">
        <v>1</v>
      </c>
      <c r="J656" s="80">
        <f>H656*I656</f>
        <v/>
      </c>
      <c r="K656" s="43" t="inlineStr">
        <is>
          <t>来源页86</t>
        </is>
      </c>
      <c r="L656" s="43">
        <f>A656</f>
        <v/>
      </c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43" t="n"/>
    </row>
    <row r="657">
      <c r="A657" s="43" t="inlineStr">
        <is>
          <t>N13</t>
        </is>
      </c>
      <c r="B657" s="43" t="inlineStr">
        <is>
          <t>上弦节点板</t>
        </is>
      </c>
      <c r="C657" s="43" t="inlineStr">
        <is>
          <t>节段10</t>
        </is>
      </c>
      <c r="D657" s="43" t="inlineStr">
        <is>
          <t>Q355D</t>
        </is>
      </c>
      <c r="E657" s="43" t="n"/>
      <c r="F657" s="43" t="n"/>
      <c r="G657" s="43" t="n">
        <v>40</v>
      </c>
      <c r="H657" s="79">
        <f>(E657/1000)*(F657/1000)*(G657/1000)*7850</f>
        <v/>
      </c>
      <c r="I657" s="43" t="n">
        <v>2</v>
      </c>
      <c r="J657" s="80">
        <f>H657*I657</f>
        <v/>
      </c>
      <c r="K657" s="43" t="inlineStr">
        <is>
          <t>来源页86</t>
        </is>
      </c>
      <c r="L657" s="43">
        <f>A657</f>
        <v/>
      </c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43" t="n"/>
    </row>
    <row r="658">
      <c r="A658" s="43" t="inlineStr">
        <is>
          <t>N14</t>
        </is>
      </c>
      <c r="B658" s="43" t="inlineStr">
        <is>
          <t>上弦腹板</t>
        </is>
      </c>
      <c r="C658" s="43" t="inlineStr">
        <is>
          <t>节段10</t>
        </is>
      </c>
      <c r="D658" s="43" t="inlineStr">
        <is>
          <t>Q355D</t>
        </is>
      </c>
      <c r="E658" s="43" t="n">
        <v>7300</v>
      </c>
      <c r="F658" s="43" t="n">
        <v>2048</v>
      </c>
      <c r="G658" s="43" t="n">
        <v>28</v>
      </c>
      <c r="H658" s="79">
        <f>(E658/1000)*(F658/1000)*(G658/1000)*7850</f>
        <v/>
      </c>
      <c r="I658" s="43" t="n">
        <v>2</v>
      </c>
      <c r="J658" s="80">
        <f>H658*I658</f>
        <v/>
      </c>
      <c r="K658" s="43" t="inlineStr">
        <is>
          <t>来源页86</t>
        </is>
      </c>
      <c r="L658" s="43">
        <f>A658</f>
        <v/>
      </c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43" t="n"/>
    </row>
    <row r="659">
      <c r="A659" s="43" t="inlineStr">
        <is>
          <t>N15</t>
        </is>
      </c>
      <c r="B659" s="43" t="inlineStr">
        <is>
          <t>上弦横隔板</t>
        </is>
      </c>
      <c r="C659" s="43" t="inlineStr">
        <is>
          <t>节段10</t>
        </is>
      </c>
      <c r="D659" s="43" t="inlineStr">
        <is>
          <t>Q355D</t>
        </is>
      </c>
      <c r="E659" s="43" t="n">
        <v>1980</v>
      </c>
      <c r="F659" s="43" t="n">
        <v>1200</v>
      </c>
      <c r="G659" s="43" t="n">
        <v>16</v>
      </c>
      <c r="H659" s="79">
        <f>(E659/1000)*(F659/1000)*(G659/1000)*7850</f>
        <v/>
      </c>
      <c r="I659" s="43" t="n">
        <v>3</v>
      </c>
      <c r="J659" s="80">
        <f>H659*I659</f>
        <v/>
      </c>
      <c r="K659" s="43" t="inlineStr">
        <is>
          <t>来源页86</t>
        </is>
      </c>
      <c r="L659" s="43">
        <f>A659</f>
        <v/>
      </c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43" t="n"/>
    </row>
    <row r="660">
      <c r="A660" s="43" t="inlineStr">
        <is>
          <t>N15g</t>
        </is>
      </c>
      <c r="B660" s="43" t="inlineStr">
        <is>
          <t>上弦横隔板</t>
        </is>
      </c>
      <c r="C660" s="43" t="inlineStr">
        <is>
          <t>节段10</t>
        </is>
      </c>
      <c r="D660" s="43" t="inlineStr">
        <is>
          <t>Q355D</t>
        </is>
      </c>
      <c r="E660" s="43" t="n">
        <v>1980</v>
      </c>
      <c r="F660" s="43" t="n">
        <v>1200</v>
      </c>
      <c r="G660" s="43" t="n">
        <v>16</v>
      </c>
      <c r="H660" s="79">
        <f>(E660/1000)*(F660/1000)*(G660/1000)*7850</f>
        <v/>
      </c>
      <c r="I660" s="43" t="n">
        <v>2</v>
      </c>
      <c r="J660" s="80">
        <f>H660*I660</f>
        <v/>
      </c>
      <c r="K660" s="43" t="inlineStr">
        <is>
          <t>来源页86</t>
        </is>
      </c>
      <c r="L660" s="43">
        <f>A660</f>
        <v/>
      </c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43" t="n"/>
    </row>
    <row r="661">
      <c r="A661" s="43" t="inlineStr">
        <is>
          <t>N15 ‘</t>
        </is>
      </c>
      <c r="B661" s="43" t="inlineStr">
        <is>
          <t>上弦横隔板</t>
        </is>
      </c>
      <c r="C661" s="43" t="inlineStr">
        <is>
          <t>节段10</t>
        </is>
      </c>
      <c r="D661" s="43" t="inlineStr">
        <is>
          <t>Q355D</t>
        </is>
      </c>
      <c r="E661" s="43" t="n">
        <v>2057</v>
      </c>
      <c r="F661" s="43" t="n">
        <v>200</v>
      </c>
      <c r="G661" s="43" t="n">
        <v>16</v>
      </c>
      <c r="H661" s="79">
        <f>(E661/1000)*(F661/1000)*(G661/1000)*7850</f>
        <v/>
      </c>
      <c r="I661" s="43" t="n">
        <v>3</v>
      </c>
      <c r="J661" s="80">
        <f>H661*I661</f>
        <v/>
      </c>
      <c r="K661" s="43" t="inlineStr">
        <is>
          <t>来源页86</t>
        </is>
      </c>
      <c r="L661" s="43">
        <f>A661</f>
        <v/>
      </c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43" t="n"/>
    </row>
    <row r="662">
      <c r="A662" s="43" t="inlineStr">
        <is>
          <t>N15b</t>
        </is>
      </c>
      <c r="B662" s="43" t="inlineStr">
        <is>
          <t>上弦横隔板</t>
        </is>
      </c>
      <c r="C662" s="43" t="inlineStr">
        <is>
          <t>节段10</t>
        </is>
      </c>
      <c r="D662" s="43" t="inlineStr">
        <is>
          <t>Q355B</t>
        </is>
      </c>
      <c r="E662" s="43" t="n">
        <v>2057</v>
      </c>
      <c r="F662" s="43" t="n">
        <v>40</v>
      </c>
      <c r="G662" s="43" t="n">
        <v>4</v>
      </c>
      <c r="H662" s="79">
        <f>(E662/1000)*(F662/1000)*(G662/1000)*7850</f>
        <v/>
      </c>
      <c r="I662" s="43" t="n">
        <v>4</v>
      </c>
      <c r="J662" s="80">
        <f>H662*I662</f>
        <v/>
      </c>
      <c r="K662" s="43" t="inlineStr">
        <is>
          <t>来源页86</t>
        </is>
      </c>
      <c r="L662" s="43">
        <f>A662</f>
        <v/>
      </c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43" t="n"/>
    </row>
    <row r="663">
      <c r="A663" s="43" t="inlineStr">
        <is>
          <t>N15c</t>
        </is>
      </c>
      <c r="B663" s="43" t="inlineStr">
        <is>
          <t>上弦横隔板</t>
        </is>
      </c>
      <c r="C663" s="43" t="inlineStr">
        <is>
          <t>节段10</t>
        </is>
      </c>
      <c r="D663" s="43" t="inlineStr">
        <is>
          <t>Q355D</t>
        </is>
      </c>
      <c r="E663" s="43" t="n">
        <v>800</v>
      </c>
      <c r="F663" s="43" t="n">
        <v>400</v>
      </c>
      <c r="G663" s="43" t="n">
        <v>16</v>
      </c>
      <c r="H663" s="79">
        <f>(E663/1000)*(F663/1000)*(G663/1000)*7850</f>
        <v/>
      </c>
      <c r="I663" s="43" t="n">
        <v>4</v>
      </c>
      <c r="J663" s="80">
        <f>H663*I663</f>
        <v/>
      </c>
      <c r="K663" s="43" t="inlineStr">
        <is>
          <t>来源页86</t>
        </is>
      </c>
      <c r="L663" s="43">
        <f>A663</f>
        <v/>
      </c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43" t="n"/>
    </row>
    <row r="664">
      <c r="A664" s="43" t="inlineStr">
        <is>
          <t>N16b</t>
        </is>
      </c>
      <c r="B664" s="43" t="inlineStr">
        <is>
          <t>上弦加劲肋</t>
        </is>
      </c>
      <c r="C664" s="43" t="inlineStr">
        <is>
          <t>节段10</t>
        </is>
      </c>
      <c r="D664" s="43" t="inlineStr">
        <is>
          <t>Q355D</t>
        </is>
      </c>
      <c r="E664" s="43" t="n">
        <v>7100</v>
      </c>
      <c r="F664" s="43" t="n">
        <v>280</v>
      </c>
      <c r="G664" s="43" t="n">
        <v>24</v>
      </c>
      <c r="H664" s="79">
        <f>(E664/1000)*(F664/1000)*(G664/1000)*7850</f>
        <v/>
      </c>
      <c r="I664" s="43" t="n">
        <v>6</v>
      </c>
      <c r="J664" s="80">
        <f>H664*I664</f>
        <v/>
      </c>
      <c r="K664" s="43" t="inlineStr">
        <is>
          <t>来源页86</t>
        </is>
      </c>
      <c r="L664" s="43">
        <f>A664</f>
        <v/>
      </c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43" t="n"/>
    </row>
    <row r="665">
      <c r="A665" s="43" t="inlineStr">
        <is>
          <t>N21a</t>
        </is>
      </c>
      <c r="B665" s="43" t="inlineStr">
        <is>
          <t>下弦顶板</t>
        </is>
      </c>
      <c r="C665" s="43" t="inlineStr">
        <is>
          <t>节段10</t>
        </is>
      </c>
      <c r="D665" s="43" t="inlineStr">
        <is>
          <t>Q355D</t>
        </is>
      </c>
      <c r="E665" s="43" t="n">
        <v>7901</v>
      </c>
      <c r="F665" s="43" t="n">
        <v>2500</v>
      </c>
      <c r="G665" s="43" t="n">
        <v>24</v>
      </c>
      <c r="H665" s="79">
        <f>(E665/1000)*(F665/1000)*(G665/1000)*7850</f>
        <v/>
      </c>
      <c r="I665" s="43" t="n">
        <v>1</v>
      </c>
      <c r="J665" s="80">
        <f>H665*I665</f>
        <v/>
      </c>
      <c r="K665" s="43" t="inlineStr">
        <is>
          <t>来源页86</t>
        </is>
      </c>
      <c r="L665" s="43">
        <f>A665</f>
        <v/>
      </c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43" t="n"/>
    </row>
    <row r="666">
      <c r="A666" s="43" t="inlineStr">
        <is>
          <t>N21b</t>
        </is>
      </c>
      <c r="B666" s="43" t="inlineStr">
        <is>
          <t>下弦顶板</t>
        </is>
      </c>
      <c r="C666" s="43" t="inlineStr">
        <is>
          <t>节段10</t>
        </is>
      </c>
      <c r="D666" s="43" t="inlineStr">
        <is>
          <t>Q355D</t>
        </is>
      </c>
      <c r="E666" s="43" t="n">
        <v>7101</v>
      </c>
      <c r="F666" s="43" t="n">
        <v>2500</v>
      </c>
      <c r="G666" s="43" t="n">
        <v>24</v>
      </c>
      <c r="H666" s="79">
        <f>(E666/1000)*(F666/1000)*(G666/1000)*7850</f>
        <v/>
      </c>
      <c r="I666" s="43" t="n">
        <v>1</v>
      </c>
      <c r="J666" s="80">
        <f>H666*I666</f>
        <v/>
      </c>
      <c r="K666" s="43" t="inlineStr">
        <is>
          <t>来源页86</t>
        </is>
      </c>
      <c r="L666" s="43">
        <f>A666</f>
        <v/>
      </c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43" t="n"/>
    </row>
    <row r="667">
      <c r="A667" s="43" t="inlineStr">
        <is>
          <t>N22α</t>
        </is>
      </c>
      <c r="B667" s="43" t="inlineStr">
        <is>
          <t>下弦底板</t>
        </is>
      </c>
      <c r="C667" s="43" t="inlineStr">
        <is>
          <t>节段10</t>
        </is>
      </c>
      <c r="D667" s="43" t="inlineStr">
        <is>
          <t>Q355D</t>
        </is>
      </c>
      <c r="E667" s="43" t="n"/>
      <c r="F667" s="43" t="n"/>
      <c r="G667" s="43" t="n">
        <v>24</v>
      </c>
      <c r="H667" s="79">
        <f>(E667/1000)*(F667/1000)*(G667/1000)*7850</f>
        <v/>
      </c>
      <c r="I667" s="43" t="n">
        <v>1</v>
      </c>
      <c r="J667" s="80">
        <f>H667*I667</f>
        <v/>
      </c>
      <c r="K667" s="43" t="inlineStr">
        <is>
          <t>来源页86</t>
        </is>
      </c>
      <c r="L667" s="43">
        <f>A667</f>
        <v/>
      </c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43" t="n"/>
    </row>
    <row r="668">
      <c r="A668" s="43" t="inlineStr">
        <is>
          <t>N22b</t>
        </is>
      </c>
      <c r="B668" s="43" t="inlineStr">
        <is>
          <t>下弦底板</t>
        </is>
      </c>
      <c r="C668" s="43" t="inlineStr">
        <is>
          <t>节段10</t>
        </is>
      </c>
      <c r="D668" s="43" t="inlineStr">
        <is>
          <t>Q355D</t>
        </is>
      </c>
      <c r="E668" s="43" t="n"/>
      <c r="F668" s="43" t="n"/>
      <c r="G668" s="43" t="n">
        <v>24</v>
      </c>
      <c r="H668" s="79">
        <f>(E668/1000)*(F668/1000)*(G668/1000)*7850</f>
        <v/>
      </c>
      <c r="I668" s="43" t="n">
        <v>1</v>
      </c>
      <c r="J668" s="80">
        <f>H668*I668</f>
        <v/>
      </c>
      <c r="K668" s="43" t="inlineStr">
        <is>
          <t>来源页86</t>
        </is>
      </c>
      <c r="L668" s="43">
        <f>A668</f>
        <v/>
      </c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43" t="n"/>
    </row>
    <row r="669">
      <c r="A669" s="43" t="inlineStr">
        <is>
          <t>N23</t>
        </is>
      </c>
      <c r="B669" s="43" t="inlineStr">
        <is>
          <t>下弦节点板</t>
        </is>
      </c>
      <c r="C669" s="43" t="inlineStr">
        <is>
          <t>节段10</t>
        </is>
      </c>
      <c r="D669" s="43" t="inlineStr">
        <is>
          <t>Q355D</t>
        </is>
      </c>
      <c r="E669" s="43" t="n"/>
      <c r="F669" s="43" t="n"/>
      <c r="G669" s="43" t="n">
        <v>44</v>
      </c>
      <c r="H669" s="79">
        <f>(E669/1000)*(F669/1000)*(G669/1000)*7850</f>
        <v/>
      </c>
      <c r="I669" s="43" t="n">
        <v>2</v>
      </c>
      <c r="J669" s="80">
        <f>H669*I669</f>
        <v/>
      </c>
      <c r="K669" s="43" t="inlineStr">
        <is>
          <t>Z35钢；来源页86</t>
        </is>
      </c>
      <c r="L669" s="43">
        <f>A669</f>
        <v/>
      </c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43" t="n"/>
    </row>
    <row r="670">
      <c r="A670" s="43" t="inlineStr">
        <is>
          <t>N24</t>
        </is>
      </c>
      <c r="B670" s="43" t="inlineStr">
        <is>
          <t>下弦腹板</t>
        </is>
      </c>
      <c r="C670" s="43" t="inlineStr">
        <is>
          <t>节段10</t>
        </is>
      </c>
      <c r="D670" s="43" t="inlineStr">
        <is>
          <t>Q355D</t>
        </is>
      </c>
      <c r="E670" s="43" t="n">
        <v>7301</v>
      </c>
      <c r="F670" s="43" t="n">
        <v>1880</v>
      </c>
      <c r="G670" s="43" t="n">
        <v>32</v>
      </c>
      <c r="H670" s="79">
        <f>(E670/1000)*(F670/1000)*(G670/1000)*7850</f>
        <v/>
      </c>
      <c r="I670" s="43" t="n">
        <v>2</v>
      </c>
      <c r="J670" s="80">
        <f>H670*I670</f>
        <v/>
      </c>
      <c r="K670" s="43" t="inlineStr">
        <is>
          <t>来源页86</t>
        </is>
      </c>
      <c r="L670" s="43">
        <f>A670</f>
        <v/>
      </c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43" t="n"/>
    </row>
    <row r="671">
      <c r="A671" s="43" t="inlineStr">
        <is>
          <t>N25</t>
        </is>
      </c>
      <c r="B671" s="43" t="inlineStr">
        <is>
          <t>下弦横隔板</t>
        </is>
      </c>
      <c r="C671" s="43" t="inlineStr">
        <is>
          <t>节段10</t>
        </is>
      </c>
      <c r="D671" s="43" t="inlineStr">
        <is>
          <t>Q355D</t>
        </is>
      </c>
      <c r="E671" s="43" t="n">
        <v>1800</v>
      </c>
      <c r="F671" s="43" t="n">
        <v>1200</v>
      </c>
      <c r="G671" s="43" t="n">
        <v>16</v>
      </c>
      <c r="H671" s="79">
        <f>(E671/1000)*(F671/1000)*(G671/1000)*7850</f>
        <v/>
      </c>
      <c r="I671" s="43" t="n">
        <v>3</v>
      </c>
      <c r="J671" s="80">
        <f>H671*I671</f>
        <v/>
      </c>
      <c r="K671" s="43" t="inlineStr">
        <is>
          <t>来源页86</t>
        </is>
      </c>
      <c r="L671" s="43">
        <f>A671</f>
        <v/>
      </c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43" t="n"/>
    </row>
    <row r="672">
      <c r="A672" s="43" t="inlineStr">
        <is>
          <t>N25a</t>
        </is>
      </c>
      <c r="B672" s="43" t="inlineStr">
        <is>
          <t>下弦横隔板</t>
        </is>
      </c>
      <c r="C672" s="43" t="inlineStr">
        <is>
          <t>节段10</t>
        </is>
      </c>
      <c r="D672" s="43" t="inlineStr">
        <is>
          <t>Q355D</t>
        </is>
      </c>
      <c r="E672" s="43" t="n">
        <v>1800</v>
      </c>
      <c r="F672" s="43" t="n">
        <v>1200</v>
      </c>
      <c r="G672" s="43" t="n">
        <v>16</v>
      </c>
      <c r="H672" s="79">
        <f>(E672/1000)*(F672/1000)*(G672/1000)*7850</f>
        <v/>
      </c>
      <c r="I672" s="43" t="n">
        <v>2</v>
      </c>
      <c r="J672" s="80">
        <f>H672*I672</f>
        <v/>
      </c>
      <c r="K672" s="43" t="inlineStr">
        <is>
          <t>来源页86</t>
        </is>
      </c>
      <c r="L672" s="43">
        <f>A672</f>
        <v/>
      </c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43" t="n"/>
    </row>
    <row r="673">
      <c r="A673" s="43" t="inlineStr">
        <is>
          <t>N25'</t>
        </is>
      </c>
      <c r="B673" s="43" t="inlineStr">
        <is>
          <t>下弦横隔板</t>
        </is>
      </c>
      <c r="C673" s="43" t="inlineStr">
        <is>
          <t>节段10</t>
        </is>
      </c>
      <c r="D673" s="43" t="inlineStr">
        <is>
          <t>Q355D</t>
        </is>
      </c>
      <c r="E673" s="43" t="n">
        <v>2057</v>
      </c>
      <c r="F673" s="43" t="n">
        <v>200</v>
      </c>
      <c r="G673" s="43" t="n">
        <v>16</v>
      </c>
      <c r="H673" s="79">
        <f>(E673/1000)*(F673/1000)*(G673/1000)*7850</f>
        <v/>
      </c>
      <c r="I673" s="43" t="n">
        <v>5</v>
      </c>
      <c r="J673" s="80">
        <f>H673*I673</f>
        <v/>
      </c>
      <c r="K673" s="43" t="inlineStr">
        <is>
          <t>来源页86</t>
        </is>
      </c>
      <c r="L673" s="43">
        <f>A673</f>
        <v/>
      </c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43" t="n"/>
    </row>
    <row r="674">
      <c r="A674" s="43" t="inlineStr">
        <is>
          <t>N26a</t>
        </is>
      </c>
      <c r="B674" s="43" t="inlineStr">
        <is>
          <t>下弦加劲肋</t>
        </is>
      </c>
      <c r="C674" s="43" t="inlineStr">
        <is>
          <t>节段10</t>
        </is>
      </c>
      <c r="D674" s="43" t="inlineStr">
        <is>
          <t>Q355D</t>
        </is>
      </c>
      <c r="E674" s="43" t="n">
        <v>7901</v>
      </c>
      <c r="F674" s="43" t="n">
        <v>280</v>
      </c>
      <c r="G674" s="43" t="n">
        <v>24</v>
      </c>
      <c r="H674" s="79">
        <f>(E674/1000)*(F674/1000)*(G674/1000)*7850</f>
        <v/>
      </c>
      <c r="I674" s="43" t="n">
        <v>4</v>
      </c>
      <c r="J674" s="80">
        <f>H674*I674</f>
        <v/>
      </c>
      <c r="K674" s="43" t="inlineStr">
        <is>
          <t>来源页86</t>
        </is>
      </c>
      <c r="L674" s="43">
        <f>A674</f>
        <v/>
      </c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43" t="n"/>
    </row>
    <row r="675">
      <c r="A675" s="43" t="inlineStr">
        <is>
          <t>N26b</t>
        </is>
      </c>
      <c r="B675" s="43" t="inlineStr">
        <is>
          <t>下弦加劲肋</t>
        </is>
      </c>
      <c r="C675" s="43" t="inlineStr">
        <is>
          <t>节段10</t>
        </is>
      </c>
      <c r="D675" s="43" t="inlineStr">
        <is>
          <t>Q355D</t>
        </is>
      </c>
      <c r="E675" s="43" t="n">
        <v>7101</v>
      </c>
      <c r="F675" s="43" t="n">
        <v>280</v>
      </c>
      <c r="G675" s="43" t="n">
        <v>24</v>
      </c>
      <c r="H675" s="79">
        <f>(E675/1000)*(F675/1000)*(G675/1000)*7850</f>
        <v/>
      </c>
      <c r="I675" s="43" t="n">
        <v>4</v>
      </c>
      <c r="J675" s="80">
        <f>H675*I675</f>
        <v/>
      </c>
      <c r="K675" s="43" t="inlineStr">
        <is>
          <t>来源页86</t>
        </is>
      </c>
      <c r="L675" s="43">
        <f>A675</f>
        <v/>
      </c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43" t="n"/>
    </row>
    <row r="676">
      <c r="A676" s="43" t="inlineStr">
        <is>
          <t>N26c</t>
        </is>
      </c>
      <c r="B676" s="43" t="inlineStr">
        <is>
          <t>下弦加劲肋</t>
        </is>
      </c>
      <c r="C676" s="43" t="inlineStr">
        <is>
          <t>节段10</t>
        </is>
      </c>
      <c r="D676" s="43" t="inlineStr">
        <is>
          <t>Q355D</t>
        </is>
      </c>
      <c r="E676" s="43" t="n">
        <v>15002</v>
      </c>
      <c r="F676" s="43" t="n">
        <v>170</v>
      </c>
      <c r="G676" s="43" t="n">
        <v>14</v>
      </c>
      <c r="H676" s="79">
        <f>(E676/1000)*(F676/1000)*(G676/1000)*7850</f>
        <v/>
      </c>
      <c r="I676" s="43" t="n">
        <v>2</v>
      </c>
      <c r="J676" s="80">
        <f>H676*I676</f>
        <v/>
      </c>
      <c r="K676" s="43" t="inlineStr">
        <is>
          <t>来源页86</t>
        </is>
      </c>
      <c r="L676" s="43">
        <f>A676</f>
        <v/>
      </c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43" t="n"/>
    </row>
    <row r="677">
      <c r="A677" s="43" t="inlineStr">
        <is>
          <t>N31</t>
        </is>
      </c>
      <c r="B677" s="43" t="inlineStr">
        <is>
          <t>斜腹杆</t>
        </is>
      </c>
      <c r="C677" s="43" t="inlineStr">
        <is>
          <t>节段10</t>
        </is>
      </c>
      <c r="D677" s="43" t="inlineStr">
        <is>
          <t>Q355D</t>
        </is>
      </c>
      <c r="E677" s="43" t="n">
        <v>11770</v>
      </c>
      <c r="F677" s="43" t="n">
        <v>1200</v>
      </c>
      <c r="G677" s="43" t="n">
        <v>36</v>
      </c>
      <c r="H677" s="79">
        <f>(E677/1000)*(F677/1000)*(G677/1000)*7850</f>
        <v/>
      </c>
      <c r="I677" s="43" t="n">
        <v>1</v>
      </c>
      <c r="J677" s="80">
        <f>H677*I677</f>
        <v/>
      </c>
      <c r="K677" s="43" t="inlineStr">
        <is>
          <t>来源页86</t>
        </is>
      </c>
      <c r="L677" s="43">
        <f>A677</f>
        <v/>
      </c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43" t="n"/>
    </row>
    <row r="678">
      <c r="A678" s="43" t="inlineStr">
        <is>
          <t>N31a</t>
        </is>
      </c>
      <c r="B678" s="43" t="inlineStr">
        <is>
          <t>斜腹杆</t>
        </is>
      </c>
      <c r="C678" s="43" t="inlineStr">
        <is>
          <t>节段10</t>
        </is>
      </c>
      <c r="D678" s="43" t="inlineStr">
        <is>
          <t>Q355D</t>
        </is>
      </c>
      <c r="E678" s="43" t="n">
        <v>11670</v>
      </c>
      <c r="F678" s="43" t="n">
        <v>1200</v>
      </c>
      <c r="G678" s="43" t="n">
        <v>36</v>
      </c>
      <c r="H678" s="79">
        <f>(E678/1000)*(F678/1000)*(G678/1000)*7850</f>
        <v/>
      </c>
      <c r="I678" s="43" t="n">
        <v>1</v>
      </c>
      <c r="J678" s="80">
        <f>H678*I678</f>
        <v/>
      </c>
      <c r="K678" s="43" t="inlineStr">
        <is>
          <t>来源页86</t>
        </is>
      </c>
      <c r="L678" s="43">
        <f>A678</f>
        <v/>
      </c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43" t="n"/>
    </row>
    <row r="679">
      <c r="A679" s="43" t="inlineStr">
        <is>
          <t>N32</t>
        </is>
      </c>
      <c r="B679" s="43" t="inlineStr">
        <is>
          <t>斜腹杆</t>
        </is>
      </c>
      <c r="C679" s="43" t="inlineStr">
        <is>
          <t>节段10</t>
        </is>
      </c>
      <c r="D679" s="43" t="inlineStr">
        <is>
          <t>Q355D</t>
        </is>
      </c>
      <c r="E679" s="43" t="n">
        <v>7770</v>
      </c>
      <c r="F679" s="43" t="n">
        <v>1360</v>
      </c>
      <c r="G679" s="43" t="n">
        <v>36</v>
      </c>
      <c r="H679" s="79">
        <f>(E679/1000)*(F679/1000)*(G679/1000)*7850</f>
        <v/>
      </c>
      <c r="I679" s="43" t="n">
        <v>2</v>
      </c>
      <c r="J679" s="80">
        <f>H679*I679</f>
        <v/>
      </c>
      <c r="K679" s="43" t="inlineStr">
        <is>
          <t>来源页86</t>
        </is>
      </c>
      <c r="L679" s="43">
        <f>A679</f>
        <v/>
      </c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43" t="n"/>
    </row>
    <row r="680">
      <c r="A680" s="43" t="inlineStr">
        <is>
          <t>N33</t>
        </is>
      </c>
      <c r="B680" s="43" t="inlineStr">
        <is>
          <t>斜腹杆</t>
        </is>
      </c>
      <c r="C680" s="43" t="inlineStr">
        <is>
          <t>节段10</t>
        </is>
      </c>
      <c r="D680" s="43" t="inlineStr">
        <is>
          <t>Q355D</t>
        </is>
      </c>
      <c r="E680" s="43" t="n">
        <v>7770</v>
      </c>
      <c r="F680" s="43" t="n">
        <v>320</v>
      </c>
      <c r="G680" s="43" t="n">
        <v>32</v>
      </c>
      <c r="H680" s="79">
        <f>(E680/1000)*(F680/1000)*(G680/1000)*7850</f>
        <v/>
      </c>
      <c r="I680" s="43" t="n">
        <v>2</v>
      </c>
      <c r="J680" s="80">
        <f>H680*I680</f>
        <v/>
      </c>
      <c r="K680" s="43" t="inlineStr">
        <is>
          <t>来源页86</t>
        </is>
      </c>
      <c r="L680" s="43">
        <f>A680</f>
        <v/>
      </c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43" t="n"/>
    </row>
    <row r="681">
      <c r="A681" s="43" t="inlineStr">
        <is>
          <t>N33a</t>
        </is>
      </c>
      <c r="B681" s="43" t="inlineStr">
        <is>
          <t>斜腹杆</t>
        </is>
      </c>
      <c r="C681" s="43" t="inlineStr">
        <is>
          <t>节段10</t>
        </is>
      </c>
      <c r="D681" s="43" t="inlineStr">
        <is>
          <t>Q355D</t>
        </is>
      </c>
      <c r="E681" s="43" t="n">
        <v>10370</v>
      </c>
      <c r="F681" s="43" t="n">
        <v>320</v>
      </c>
      <c r="G681" s="43" t="n">
        <v>32</v>
      </c>
      <c r="H681" s="79">
        <f>(E681/1000)*(F681/1000)*(G681/1000)*7850</f>
        <v/>
      </c>
      <c r="I681" s="43" t="n">
        <v>1</v>
      </c>
      <c r="J681" s="80">
        <f>H681*I681</f>
        <v/>
      </c>
      <c r="K681" s="43" t="inlineStr">
        <is>
          <t>来源页86</t>
        </is>
      </c>
      <c r="L681" s="43">
        <f>A681</f>
        <v/>
      </c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43" t="n"/>
    </row>
    <row r="682">
      <c r="A682" s="43" t="inlineStr">
        <is>
          <t>N33b</t>
        </is>
      </c>
      <c r="B682" s="43" t="inlineStr">
        <is>
          <t>斜腹杆</t>
        </is>
      </c>
      <c r="C682" s="43" t="inlineStr">
        <is>
          <t>节段10</t>
        </is>
      </c>
      <c r="D682" s="43" t="inlineStr">
        <is>
          <t>Q355D</t>
        </is>
      </c>
      <c r="E682" s="43" t="n">
        <v>10270</v>
      </c>
      <c r="F682" s="43" t="n">
        <v>320</v>
      </c>
      <c r="G682" s="43" t="n">
        <v>32</v>
      </c>
      <c r="H682" s="79">
        <f>(E682/1000)*(F682/1000)*(G682/1000)*7850</f>
        <v/>
      </c>
      <c r="I682" s="43" t="n">
        <v>1</v>
      </c>
      <c r="J682" s="80">
        <f>H682*I682</f>
        <v/>
      </c>
      <c r="K682" s="43" t="inlineStr">
        <is>
          <t>来源页86</t>
        </is>
      </c>
      <c r="L682" s="43">
        <f>A682</f>
        <v/>
      </c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43" t="n"/>
    </row>
    <row r="683">
      <c r="A683" s="43" t="inlineStr">
        <is>
          <t>N41</t>
        </is>
      </c>
      <c r="B683" s="43" t="inlineStr">
        <is>
          <t>斜腹杆</t>
        </is>
      </c>
      <c r="C683" s="43" t="inlineStr">
        <is>
          <t>节段10</t>
        </is>
      </c>
      <c r="D683" s="43" t="inlineStr">
        <is>
          <t>Q355D</t>
        </is>
      </c>
      <c r="E683" s="43" t="n">
        <v>3798</v>
      </c>
      <c r="F683" s="43" t="n">
        <v>900</v>
      </c>
      <c r="G683" s="43" t="n">
        <v>36</v>
      </c>
      <c r="H683" s="79">
        <f>(E683/1000)*(F683/1000)*(G683/1000)*7850</f>
        <v/>
      </c>
      <c r="I683" s="43" t="n">
        <v>2</v>
      </c>
      <c r="J683" s="80">
        <f>H683*I683</f>
        <v/>
      </c>
      <c r="K683" s="43" t="inlineStr">
        <is>
          <t>来源页86</t>
        </is>
      </c>
      <c r="L683" s="43">
        <f>A683</f>
        <v/>
      </c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43" t="n"/>
    </row>
    <row r="684">
      <c r="A684" s="43" t="inlineStr">
        <is>
          <t>N42</t>
        </is>
      </c>
      <c r="B684" s="43" t="inlineStr">
        <is>
          <t>斜腹杆</t>
        </is>
      </c>
      <c r="C684" s="43" t="inlineStr">
        <is>
          <t>节段10</t>
        </is>
      </c>
      <c r="D684" s="43" t="inlineStr">
        <is>
          <t>Q355D</t>
        </is>
      </c>
      <c r="E684" s="43" t="n">
        <v>6098</v>
      </c>
      <c r="F684" s="43" t="n">
        <v>1200</v>
      </c>
      <c r="G684" s="43" t="n">
        <v>32</v>
      </c>
      <c r="H684" s="79">
        <f>(E684/1000)*(F684/1000)*(G684/1000)*7850</f>
        <v/>
      </c>
      <c r="I684" s="43" t="n">
        <v>1</v>
      </c>
      <c r="J684" s="80">
        <f>H684*I684</f>
        <v/>
      </c>
      <c r="K684" s="43" t="inlineStr">
        <is>
          <t>来源页86</t>
        </is>
      </c>
      <c r="L684" s="43">
        <f>A684</f>
        <v/>
      </c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43" t="n"/>
    </row>
    <row r="685">
      <c r="A685" s="43" t="inlineStr">
        <is>
          <t>N43</t>
        </is>
      </c>
      <c r="B685" s="43" t="inlineStr">
        <is>
          <t>斜腹杆</t>
        </is>
      </c>
      <c r="C685" s="43" t="inlineStr">
        <is>
          <t>节段10</t>
        </is>
      </c>
      <c r="D685" s="43" t="inlineStr">
        <is>
          <t>Q355D</t>
        </is>
      </c>
      <c r="E685" s="43" t="n">
        <v>5398</v>
      </c>
      <c r="F685" s="43" t="n">
        <v>240</v>
      </c>
      <c r="G685" s="43" t="n">
        <v>24</v>
      </c>
      <c r="H685" s="79">
        <f>(E685/1000)*(F685/1000)*(G685/1000)*7850</f>
        <v/>
      </c>
      <c r="I685" s="43" t="n">
        <v>2</v>
      </c>
      <c r="J685" s="80">
        <f>H685*I685</f>
        <v/>
      </c>
      <c r="K685" s="43" t="inlineStr">
        <is>
          <t>来源页86</t>
        </is>
      </c>
      <c r="L685" s="43">
        <f>A685</f>
        <v/>
      </c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43" t="n"/>
    </row>
    <row r="686">
      <c r="A686" s="43" t="inlineStr">
        <is>
          <t>N51</t>
        </is>
      </c>
      <c r="B686" s="43" t="inlineStr">
        <is>
          <t>节点板加劲</t>
        </is>
      </c>
      <c r="C686" s="43" t="inlineStr">
        <is>
          <t>节段10</t>
        </is>
      </c>
      <c r="D686" s="43" t="inlineStr">
        <is>
          <t>Q355D</t>
        </is>
      </c>
      <c r="E686" s="43" t="n">
        <v>6051</v>
      </c>
      <c r="F686" s="43" t="n">
        <v>1200</v>
      </c>
      <c r="G686" s="43" t="n">
        <v>36</v>
      </c>
      <c r="H686" s="79">
        <f>(E686/1000)*(F686/1000)*(G686/1000)*7850</f>
        <v/>
      </c>
      <c r="I686" s="43" t="n">
        <v>1</v>
      </c>
      <c r="J686" s="80">
        <f>H686*I686</f>
        <v/>
      </c>
      <c r="K686" s="43" t="inlineStr">
        <is>
          <t>来源页86</t>
        </is>
      </c>
      <c r="L686" s="43">
        <f>A686</f>
        <v/>
      </c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43" t="n"/>
    </row>
    <row r="687">
      <c r="A687" s="43" t="inlineStr">
        <is>
          <t>N51a</t>
        </is>
      </c>
      <c r="B687" s="43" t="inlineStr">
        <is>
          <t>节点板加劲</t>
        </is>
      </c>
      <c r="C687" s="43" t="inlineStr">
        <is>
          <t>节段10</t>
        </is>
      </c>
      <c r="D687" s="43" t="inlineStr">
        <is>
          <t>Q355D</t>
        </is>
      </c>
      <c r="E687" s="43" t="n">
        <v>4651</v>
      </c>
      <c r="F687" s="43" t="n">
        <v>1200</v>
      </c>
      <c r="G687" s="43" t="n">
        <v>36</v>
      </c>
      <c r="H687" s="79">
        <f>(E687/1000)*(F687/1000)*(G687/1000)*7850</f>
        <v/>
      </c>
      <c r="I687" s="43" t="n">
        <v>1</v>
      </c>
      <c r="J687" s="80">
        <f>H687*I687</f>
        <v/>
      </c>
      <c r="K687" s="43" t="inlineStr">
        <is>
          <t>来源页86</t>
        </is>
      </c>
      <c r="L687" s="43">
        <f>A687</f>
        <v/>
      </c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43" t="n"/>
    </row>
    <row r="688">
      <c r="A688" s="43" t="inlineStr">
        <is>
          <t>N52</t>
        </is>
      </c>
      <c r="B688" s="43" t="inlineStr">
        <is>
          <t>节点板加劲</t>
        </is>
      </c>
      <c r="C688" s="43" t="inlineStr">
        <is>
          <t>节段10</t>
        </is>
      </c>
      <c r="D688" s="43" t="inlineStr">
        <is>
          <t>Q355D</t>
        </is>
      </c>
      <c r="E688" s="43" t="n">
        <v>3851</v>
      </c>
      <c r="F688" s="43" t="n">
        <v>1360</v>
      </c>
      <c r="G688" s="43" t="n">
        <v>36</v>
      </c>
      <c r="H688" s="79">
        <f>(E688/1000)*(F688/1000)*(G688/1000)*7850</f>
        <v/>
      </c>
      <c r="I688" s="43" t="n">
        <v>2</v>
      </c>
      <c r="J688" s="80">
        <f>H688*I688</f>
        <v/>
      </c>
      <c r="K688" s="43" t="inlineStr">
        <is>
          <t>来源页86</t>
        </is>
      </c>
      <c r="L688" s="43">
        <f>A688</f>
        <v/>
      </c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43" t="n"/>
    </row>
    <row r="689">
      <c r="A689" s="43" t="inlineStr">
        <is>
          <t>N53</t>
        </is>
      </c>
      <c r="B689" s="43" t="inlineStr">
        <is>
          <t>节点板加劲</t>
        </is>
      </c>
      <c r="C689" s="43" t="inlineStr">
        <is>
          <t>节段10</t>
        </is>
      </c>
      <c r="D689" s="43" t="inlineStr">
        <is>
          <t>Q355D</t>
        </is>
      </c>
      <c r="E689" s="43" t="n">
        <v>3851</v>
      </c>
      <c r="F689" s="43" t="n">
        <v>320</v>
      </c>
      <c r="G689" s="43" t="n">
        <v>32</v>
      </c>
      <c r="H689" s="79">
        <f>(E689/1000)*(F689/1000)*(G689/1000)*7850</f>
        <v/>
      </c>
      <c r="I689" s="43" t="n">
        <v>2</v>
      </c>
      <c r="J689" s="80">
        <f>H689*I689</f>
        <v/>
      </c>
      <c r="K689" s="43" t="inlineStr">
        <is>
          <t>来源页86</t>
        </is>
      </c>
      <c r="L689" s="43">
        <f>A689</f>
        <v/>
      </c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43" t="n"/>
    </row>
    <row r="690">
      <c r="A690" s="43" t="inlineStr">
        <is>
          <t>N53a</t>
        </is>
      </c>
      <c r="B690" s="43" t="inlineStr">
        <is>
          <t>节点板加劲</t>
        </is>
      </c>
      <c r="C690" s="43" t="inlineStr">
        <is>
          <t>节段10</t>
        </is>
      </c>
      <c r="D690" s="43" t="inlineStr">
        <is>
          <t>Q355D</t>
        </is>
      </c>
      <c r="E690" s="43" t="n">
        <v>4651</v>
      </c>
      <c r="F690" s="43" t="n">
        <v>320</v>
      </c>
      <c r="G690" s="43" t="n">
        <v>32</v>
      </c>
      <c r="H690" s="79">
        <f>(E690/1000)*(F690/1000)*(G690/1000)*7850</f>
        <v/>
      </c>
      <c r="I690" s="43" t="n">
        <v>1</v>
      </c>
      <c r="J690" s="80">
        <f>H690*I690</f>
        <v/>
      </c>
      <c r="K690" s="43" t="inlineStr">
        <is>
          <t>来源页86</t>
        </is>
      </c>
      <c r="L690" s="43">
        <f>A690</f>
        <v/>
      </c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43" t="n"/>
    </row>
    <row r="691">
      <c r="A691" s="43" t="inlineStr">
        <is>
          <t>N53b</t>
        </is>
      </c>
      <c r="B691" s="43" t="inlineStr">
        <is>
          <t>节点板加劲</t>
        </is>
      </c>
      <c r="C691" s="43" t="inlineStr">
        <is>
          <t>节段10</t>
        </is>
      </c>
      <c r="D691" s="43" t="inlineStr">
        <is>
          <t>Q355D</t>
        </is>
      </c>
      <c r="E691" s="43" t="n">
        <v>3251</v>
      </c>
      <c r="F691" s="43" t="n">
        <v>320</v>
      </c>
      <c r="G691" s="43" t="n">
        <v>32</v>
      </c>
      <c r="H691" s="79">
        <f>(E691/1000)*(F691/1000)*(G691/1000)*7850</f>
        <v/>
      </c>
      <c r="I691" s="43" t="n">
        <v>1</v>
      </c>
      <c r="J691" s="80">
        <f>H691*I691</f>
        <v/>
      </c>
      <c r="K691" s="43" t="inlineStr">
        <is>
          <t>来源页86</t>
        </is>
      </c>
      <c r="L691" s="43">
        <f>A691</f>
        <v/>
      </c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43" t="n"/>
    </row>
    <row r="692">
      <c r="A692" s="43" t="inlineStr">
        <is>
          <t>N54</t>
        </is>
      </c>
      <c r="B692" s="43" t="inlineStr">
        <is>
          <t>节点板加劲</t>
        </is>
      </c>
      <c r="C692" s="43" t="inlineStr">
        <is>
          <t>节段10</t>
        </is>
      </c>
      <c r="D692" s="43" t="inlineStr">
        <is>
          <t>Q355D</t>
        </is>
      </c>
      <c r="E692" s="43" t="n">
        <v>1200</v>
      </c>
      <c r="F692" s="43" t="n">
        <v>1200</v>
      </c>
      <c r="G692" s="43" t="n">
        <v>16</v>
      </c>
      <c r="H692" s="79">
        <f>(E692/1000)*(F692/1000)*(G692/1000)*7850</f>
        <v/>
      </c>
      <c r="I692" s="43" t="n">
        <v>2</v>
      </c>
      <c r="J692" s="80">
        <f>H692*I692</f>
        <v/>
      </c>
      <c r="K692" s="43" t="inlineStr">
        <is>
          <t>来源页86</t>
        </is>
      </c>
      <c r="L692" s="43">
        <f>A692</f>
        <v/>
      </c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43" t="n"/>
    </row>
    <row r="693">
      <c r="A693" s="43" t="inlineStr">
        <is>
          <t>N55</t>
        </is>
      </c>
      <c r="B693" s="43" t="inlineStr">
        <is>
          <t>节点板加劲</t>
        </is>
      </c>
      <c r="C693" s="43" t="inlineStr">
        <is>
          <t>节段10</t>
        </is>
      </c>
      <c r="D693" s="43" t="inlineStr">
        <is>
          <t>Q355D</t>
        </is>
      </c>
      <c r="E693" s="43" t="n">
        <v>2300</v>
      </c>
      <c r="F693" s="43" t="n">
        <v>320</v>
      </c>
      <c r="G693" s="43" t="n">
        <v>32</v>
      </c>
      <c r="H693" s="79">
        <f>(E693/1000)*(F693/1000)*(G693/1000)*7850</f>
        <v/>
      </c>
      <c r="I693" s="43" t="n">
        <v>2</v>
      </c>
      <c r="J693" s="80">
        <f>H693*I693</f>
        <v/>
      </c>
      <c r="K693" s="43" t="inlineStr">
        <is>
          <t>来源页86</t>
        </is>
      </c>
      <c r="L693" s="43">
        <f>A693</f>
        <v/>
      </c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43" t="n"/>
    </row>
    <row r="694">
      <c r="A694" s="43" t="inlineStr">
        <is>
          <t>N56</t>
        </is>
      </c>
      <c r="B694" s="43" t="inlineStr">
        <is>
          <t>节点板加劲</t>
        </is>
      </c>
      <c r="C694" s="43" t="inlineStr">
        <is>
          <t>节段10</t>
        </is>
      </c>
      <c r="D694" s="43" t="inlineStr">
        <is>
          <t>Q355D</t>
        </is>
      </c>
      <c r="E694" s="43" t="n">
        <v>2200</v>
      </c>
      <c r="F694" s="43" t="n">
        <v>320</v>
      </c>
      <c r="G694" s="43" t="n">
        <v>32</v>
      </c>
      <c r="H694" s="79">
        <f>(E694/1000)*(F694/1000)*(G694/1000)*7850</f>
        <v/>
      </c>
      <c r="I694" s="43" t="n">
        <v>4</v>
      </c>
      <c r="J694" s="80">
        <f>H694*I694</f>
        <v/>
      </c>
      <c r="K694" s="43" t="inlineStr">
        <is>
          <t>来源页86</t>
        </is>
      </c>
      <c r="L694" s="43">
        <f>A694</f>
        <v/>
      </c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43" t="n"/>
    </row>
    <row r="695">
      <c r="A695" s="43" t="inlineStr">
        <is>
          <t>N61a</t>
        </is>
      </c>
      <c r="B695" s="43" t="inlineStr">
        <is>
          <t>横梁接头</t>
        </is>
      </c>
      <c r="C695" s="43" t="inlineStr">
        <is>
          <t>节段10</t>
        </is>
      </c>
      <c r="D695" s="43" t="inlineStr">
        <is>
          <t>Q355D</t>
        </is>
      </c>
      <c r="E695" s="43" t="n">
        <v>1980</v>
      </c>
      <c r="F695" s="43" t="n">
        <v>622</v>
      </c>
      <c r="G695" s="43" t="n">
        <v>14</v>
      </c>
      <c r="H695" s="79">
        <f>(E695/1000)*(F695/1000)*(G695/1000)*7850</f>
        <v/>
      </c>
      <c r="I695" s="43" t="n">
        <v>4</v>
      </c>
      <c r="J695" s="80">
        <f>H695*I695</f>
        <v/>
      </c>
      <c r="K695" s="43" t="inlineStr">
        <is>
          <t>来源页86</t>
        </is>
      </c>
      <c r="L695" s="43">
        <f>A695</f>
        <v/>
      </c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43" t="n"/>
    </row>
    <row r="696">
      <c r="A696" s="43" t="inlineStr">
        <is>
          <t>N62</t>
        </is>
      </c>
      <c r="B696" s="43" t="inlineStr">
        <is>
          <t>横梁接头</t>
        </is>
      </c>
      <c r="C696" s="43" t="inlineStr">
        <is>
          <t>节段10</t>
        </is>
      </c>
      <c r="D696" s="43" t="inlineStr">
        <is>
          <t>Q355D</t>
        </is>
      </c>
      <c r="E696" s="43" t="n"/>
      <c r="F696" s="43" t="n"/>
      <c r="G696" s="43" t="n">
        <v>24</v>
      </c>
      <c r="H696" s="79">
        <f>(E696/1000)*(F696/1000)*(G696/1000)*7850</f>
        <v/>
      </c>
      <c r="I696" s="43" t="n">
        <v>6</v>
      </c>
      <c r="J696" s="80">
        <f>H696*I696</f>
        <v/>
      </c>
      <c r="K696" s="43" t="inlineStr">
        <is>
          <t>来源页86</t>
        </is>
      </c>
      <c r="L696" s="43">
        <f>A696</f>
        <v/>
      </c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43" t="n"/>
    </row>
    <row r="697">
      <c r="A697" s="43" t="inlineStr">
        <is>
          <t>N62a</t>
        </is>
      </c>
      <c r="B697" s="43" t="inlineStr">
        <is>
          <t>横梁接头</t>
        </is>
      </c>
      <c r="C697" s="43" t="inlineStr">
        <is>
          <t>节段10</t>
        </is>
      </c>
      <c r="D697" s="43" t="inlineStr">
        <is>
          <t>Q355D</t>
        </is>
      </c>
      <c r="E697" s="43" t="n"/>
      <c r="F697" s="43" t="n"/>
      <c r="G697" s="43" t="n">
        <v>24</v>
      </c>
      <c r="H697" s="79">
        <f>(E697/1000)*(F697/1000)*(G697/1000)*7850</f>
        <v/>
      </c>
      <c r="I697" s="43" t="n">
        <v>4</v>
      </c>
      <c r="J697" s="80">
        <f>H697*I697</f>
        <v/>
      </c>
      <c r="K697" s="43" t="inlineStr">
        <is>
          <t>来源页86</t>
        </is>
      </c>
      <c r="L697" s="43">
        <f>A697</f>
        <v/>
      </c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43" t="n"/>
    </row>
    <row r="698">
      <c r="A698" s="43" t="inlineStr">
        <is>
          <t>N63a</t>
        </is>
      </c>
      <c r="B698" s="43" t="inlineStr">
        <is>
          <t>横梁接头</t>
        </is>
      </c>
      <c r="C698" s="43" t="inlineStr">
        <is>
          <t>节段10</t>
        </is>
      </c>
      <c r="D698" s="43" t="inlineStr">
        <is>
          <t>Q355D</t>
        </is>
      </c>
      <c r="E698" s="43" t="n">
        <v>1800</v>
      </c>
      <c r="F698" s="43" t="n">
        <v>618</v>
      </c>
      <c r="G698" s="43" t="n">
        <v>14</v>
      </c>
      <c r="H698" s="79">
        <f>(E698/1000)*(F698/1000)*(G698/1000)*7850</f>
        <v/>
      </c>
      <c r="I698" s="43" t="n">
        <v>4</v>
      </c>
      <c r="J698" s="80">
        <f>H698*I698</f>
        <v/>
      </c>
      <c r="K698" s="43" t="inlineStr">
        <is>
          <t>来源页86</t>
        </is>
      </c>
      <c r="L698" s="43">
        <f>A698</f>
        <v/>
      </c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43" t="n"/>
    </row>
    <row r="699">
      <c r="A699" s="43" t="inlineStr">
        <is>
          <t>P1</t>
        </is>
      </c>
      <c r="B699" s="43" t="inlineStr">
        <is>
          <t>上弦杆拼接</t>
        </is>
      </c>
      <c r="C699" s="43" t="inlineStr">
        <is>
          <t>节段10~节段11</t>
        </is>
      </c>
      <c r="D699" s="43" t="inlineStr">
        <is>
          <t>Q355D</t>
        </is>
      </c>
      <c r="E699" s="43" t="n">
        <v>820</v>
      </c>
      <c r="F699" s="43" t="n">
        <v>1800</v>
      </c>
      <c r="G699" s="43" t="n">
        <v>24</v>
      </c>
      <c r="H699" s="79">
        <f>(E699/1000)*(F699/1000)*(G699/1000)*7850</f>
        <v/>
      </c>
      <c r="I699" s="43" t="n">
        <v>2</v>
      </c>
      <c r="J699" s="80">
        <f>H699*I699</f>
        <v/>
      </c>
      <c r="K699" s="43" t="inlineStr">
        <is>
          <t>来源页89</t>
        </is>
      </c>
      <c r="L699" s="43">
        <f>A699</f>
        <v/>
      </c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43" t="n"/>
    </row>
    <row r="700">
      <c r="A700" s="43" t="inlineStr">
        <is>
          <t>P2</t>
        </is>
      </c>
      <c r="B700" s="43" t="inlineStr">
        <is>
          <t>上弦杆拼接</t>
        </is>
      </c>
      <c r="C700" s="43" t="inlineStr">
        <is>
          <t>节段10~节段11</t>
        </is>
      </c>
      <c r="D700" s="43" t="inlineStr">
        <is>
          <t>Q355D</t>
        </is>
      </c>
      <c r="E700" s="43" t="n">
        <v>820</v>
      </c>
      <c r="F700" s="43" t="n">
        <v>500</v>
      </c>
      <c r="G700" s="43" t="n">
        <v>24</v>
      </c>
      <c r="H700" s="79">
        <f>(E700/1000)*(F700/1000)*(G700/1000)*7850</f>
        <v/>
      </c>
      <c r="I700" s="43" t="n">
        <v>2</v>
      </c>
      <c r="J700" s="80">
        <f>H700*I700</f>
        <v/>
      </c>
      <c r="K700" s="43" t="inlineStr">
        <is>
          <t>来源页89</t>
        </is>
      </c>
      <c r="L700" s="43">
        <f>A700</f>
        <v/>
      </c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43" t="n"/>
    </row>
    <row r="701">
      <c r="A701" s="43" t="inlineStr">
        <is>
          <t>P3</t>
        </is>
      </c>
      <c r="B701" s="43" t="inlineStr">
        <is>
          <t>上弦杆拼接</t>
        </is>
      </c>
      <c r="C701" s="43" t="inlineStr">
        <is>
          <t>节段10~节段11</t>
        </is>
      </c>
      <c r="D701" s="43" t="inlineStr">
        <is>
          <t>Q355D</t>
        </is>
      </c>
      <c r="E701" s="43" t="n">
        <v>820</v>
      </c>
      <c r="F701" s="43" t="n">
        <v>500</v>
      </c>
      <c r="G701" s="43" t="n">
        <v>24</v>
      </c>
      <c r="H701" s="79">
        <f>(E701/1000)*(F701/1000)*(G701/1000)*7850</f>
        <v/>
      </c>
      <c r="I701" s="43" t="n">
        <v>2</v>
      </c>
      <c r="J701" s="80">
        <f>H701*I701</f>
        <v/>
      </c>
      <c r="K701" s="43" t="inlineStr">
        <is>
          <t>来源页89</t>
        </is>
      </c>
      <c r="L701" s="43">
        <f>A701</f>
        <v/>
      </c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43" t="n"/>
    </row>
    <row r="702">
      <c r="A702" s="43" t="inlineStr">
        <is>
          <t>P4</t>
        </is>
      </c>
      <c r="B702" s="43" t="inlineStr">
        <is>
          <t>上弦杆拼接</t>
        </is>
      </c>
      <c r="C702" s="43" t="inlineStr">
        <is>
          <t>节段10~节段11</t>
        </is>
      </c>
      <c r="D702" s="43" t="inlineStr">
        <is>
          <t>Q355D</t>
        </is>
      </c>
      <c r="E702" s="43" t="n">
        <v>820</v>
      </c>
      <c r="F702" s="43" t="n">
        <v>600</v>
      </c>
      <c r="G702" s="43" t="n">
        <v>24</v>
      </c>
      <c r="H702" s="79">
        <f>(E702/1000)*(F702/1000)*(G702/1000)*7850</f>
        <v/>
      </c>
      <c r="I702" s="43" t="n">
        <v>2</v>
      </c>
      <c r="J702" s="80">
        <f>H702*I702</f>
        <v/>
      </c>
      <c r="K702" s="43" t="inlineStr">
        <is>
          <t>来源页89</t>
        </is>
      </c>
      <c r="L702" s="43">
        <f>A702</f>
        <v/>
      </c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43" t="n"/>
    </row>
    <row r="703">
      <c r="A703" s="43" t="inlineStr">
        <is>
          <t>P5</t>
        </is>
      </c>
      <c r="B703" s="43" t="inlineStr">
        <is>
          <t>上弦杆拼接</t>
        </is>
      </c>
      <c r="C703" s="43" t="inlineStr">
        <is>
          <t>节段10~节段11</t>
        </is>
      </c>
      <c r="D703" s="43" t="inlineStr">
        <is>
          <t>Q355D</t>
        </is>
      </c>
      <c r="E703" s="43" t="n">
        <v>920</v>
      </c>
      <c r="F703" s="43" t="n">
        <v>1100</v>
      </c>
      <c r="G703" s="43" t="n">
        <v>28</v>
      </c>
      <c r="H703" s="79">
        <f>(E703/1000)*(F703/1000)*(G703/1000)*7850</f>
        <v/>
      </c>
      <c r="I703" s="43" t="n">
        <v>1</v>
      </c>
      <c r="J703" s="80">
        <f>H703*I703</f>
        <v/>
      </c>
      <c r="K703" s="43" t="inlineStr">
        <is>
          <t>来源页89</t>
        </is>
      </c>
      <c r="L703" s="43">
        <f>A703</f>
        <v/>
      </c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43" t="n"/>
    </row>
    <row r="704">
      <c r="A704" s="43" t="inlineStr">
        <is>
          <t>P6</t>
        </is>
      </c>
      <c r="B704" s="43" t="inlineStr">
        <is>
          <t>上弦杆拼接</t>
        </is>
      </c>
      <c r="C704" s="43" t="inlineStr">
        <is>
          <t>节段10~节段11</t>
        </is>
      </c>
      <c r="D704" s="43" t="inlineStr">
        <is>
          <t>Q355D</t>
        </is>
      </c>
      <c r="E704" s="43" t="n">
        <v>920</v>
      </c>
      <c r="F704" s="43" t="n">
        <v>400</v>
      </c>
      <c r="G704" s="43" t="n">
        <v>28</v>
      </c>
      <c r="H704" s="79">
        <f>(E704/1000)*(F704/1000)*(G704/1000)*7850</f>
        <v/>
      </c>
      <c r="I704" s="43" t="n">
        <v>2</v>
      </c>
      <c r="J704" s="80">
        <f>H704*I704</f>
        <v/>
      </c>
      <c r="K704" s="43" t="inlineStr">
        <is>
          <t>来源页89</t>
        </is>
      </c>
      <c r="L704" s="43">
        <f>A704</f>
        <v/>
      </c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43" t="n"/>
    </row>
    <row r="705">
      <c r="A705" s="43" t="inlineStr">
        <is>
          <t>P7</t>
        </is>
      </c>
      <c r="B705" s="43" t="inlineStr">
        <is>
          <t>上弦杆拼接</t>
        </is>
      </c>
      <c r="C705" s="43" t="inlineStr">
        <is>
          <t>节段10~节段11</t>
        </is>
      </c>
      <c r="D705" s="43" t="inlineStr">
        <is>
          <t>Q355D</t>
        </is>
      </c>
      <c r="E705" s="43" t="n">
        <v>920</v>
      </c>
      <c r="F705" s="43" t="n">
        <v>200</v>
      </c>
      <c r="G705" s="43" t="n">
        <v>14</v>
      </c>
      <c r="H705" s="79">
        <f>(E705/1000)*(F705/1000)*(G705/1000)*7850</f>
        <v/>
      </c>
      <c r="I705" s="43" t="n">
        <v>10</v>
      </c>
      <c r="J705" s="80">
        <f>H705*I705</f>
        <v/>
      </c>
      <c r="K705" s="43" t="inlineStr">
        <is>
          <t>来源页89</t>
        </is>
      </c>
      <c r="L705" s="43">
        <f>A705</f>
        <v/>
      </c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43" t="n"/>
    </row>
    <row r="706">
      <c r="A706" s="43" t="inlineStr">
        <is>
          <t>P8</t>
        </is>
      </c>
      <c r="B706" s="43" t="inlineStr">
        <is>
          <t>上弦杆拼接</t>
        </is>
      </c>
      <c r="C706" s="43" t="inlineStr">
        <is>
          <t>节段10~节段11</t>
        </is>
      </c>
      <c r="D706" s="43" t="inlineStr">
        <is>
          <t>Q355D</t>
        </is>
      </c>
      <c r="E706" s="43" t="n">
        <v>600</v>
      </c>
      <c r="F706" s="43" t="n">
        <v>1800</v>
      </c>
      <c r="G706" s="43" t="n">
        <v>12</v>
      </c>
      <c r="H706" s="79">
        <f>(E706/1000)*(F706/1000)*(G706/1000)*7850</f>
        <v/>
      </c>
      <c r="I706" s="43" t="n">
        <v>2</v>
      </c>
      <c r="J706" s="80">
        <f>H706*I706</f>
        <v/>
      </c>
      <c r="K706" s="43" t="inlineStr">
        <is>
          <t>填板；来源页89</t>
        </is>
      </c>
      <c r="L706" s="43">
        <f>A706</f>
        <v/>
      </c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43" t="n"/>
    </row>
    <row r="707">
      <c r="A707" s="43" t="inlineStr">
        <is>
          <t>P9</t>
        </is>
      </c>
      <c r="B707" s="43" t="inlineStr">
        <is>
          <t>上弦杆拼接</t>
        </is>
      </c>
      <c r="C707" s="43" t="inlineStr">
        <is>
          <t>节段10~节段11</t>
        </is>
      </c>
      <c r="D707" s="43" t="inlineStr">
        <is>
          <t>Q355D</t>
        </is>
      </c>
      <c r="E707" s="43" t="n">
        <v>700</v>
      </c>
      <c r="F707" s="43" t="n">
        <v>1100</v>
      </c>
      <c r="G707" s="43" t="n">
        <v>4</v>
      </c>
      <c r="H707" s="79">
        <f>(E707/1000)*(F707/1000)*(G707/1000)*7850</f>
        <v/>
      </c>
      <c r="I707" s="43" t="n">
        <v>0</v>
      </c>
      <c r="J707" s="80">
        <f>H707*I707</f>
        <v/>
      </c>
      <c r="K707" s="43" t="inlineStr">
        <is>
          <t>填板；来源页89</t>
        </is>
      </c>
      <c r="L707" s="43">
        <f>A707</f>
        <v/>
      </c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43" t="n"/>
    </row>
    <row r="708">
      <c r="A708" s="43" t="inlineStr">
        <is>
          <t>M30高强螺栓</t>
        </is>
      </c>
      <c r="B708" s="43" t="inlineStr">
        <is>
          <t>上弦杆拼接</t>
        </is>
      </c>
      <c r="C708" s="43" t="inlineStr">
        <is>
          <t>节段10~节段11</t>
        </is>
      </c>
      <c r="D708" s="43" t="inlineStr">
        <is>
          <t>10.9S</t>
        </is>
      </c>
      <c r="E708" s="43" t="n"/>
      <c r="F708" s="43" t="n"/>
      <c r="G708" s="43" t="n"/>
      <c r="H708" s="79">
        <f>(E708/1000)*(F708/1000)*(G708/1000)*7850</f>
        <v/>
      </c>
      <c r="I708" s="43" t="n">
        <v>424</v>
      </c>
      <c r="J708" s="80">
        <f>H708*I708</f>
        <v/>
      </c>
      <c r="K708" s="43" t="inlineStr">
        <is>
          <t>来源页89</t>
        </is>
      </c>
      <c r="L708" s="43">
        <f>A708</f>
        <v/>
      </c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43" t="n"/>
    </row>
    <row r="709">
      <c r="A709" s="43" t="inlineStr">
        <is>
          <t>K1</t>
        </is>
      </c>
      <c r="B709" s="43" t="inlineStr">
        <is>
          <t>下弦杆拼接</t>
        </is>
      </c>
      <c r="C709" s="43" t="inlineStr">
        <is>
          <t>节段10~节段11</t>
        </is>
      </c>
      <c r="D709" s="43" t="inlineStr">
        <is>
          <t>Q355D</t>
        </is>
      </c>
      <c r="E709" s="43" t="n">
        <v>1020</v>
      </c>
      <c r="F709" s="43" t="n">
        <v>1700</v>
      </c>
      <c r="G709" s="43" t="n">
        <v>24</v>
      </c>
      <c r="H709" s="79">
        <f>(E709/1000)*(F709/1000)*(G709/1000)*7850</f>
        <v/>
      </c>
      <c r="I709" s="43" t="n">
        <v>2</v>
      </c>
      <c r="J709" s="80">
        <f>H709*I709</f>
        <v/>
      </c>
      <c r="K709" s="43" t="inlineStr">
        <is>
          <t>来源页89</t>
        </is>
      </c>
      <c r="L709" s="43">
        <f>A709</f>
        <v/>
      </c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43" t="n"/>
    </row>
    <row r="710">
      <c r="A710" s="43" t="inlineStr">
        <is>
          <t>K2</t>
        </is>
      </c>
      <c r="B710" s="43" t="inlineStr">
        <is>
          <t>下弦杆拼接</t>
        </is>
      </c>
      <c r="C710" s="43" t="inlineStr">
        <is>
          <t>节段10~节段11</t>
        </is>
      </c>
      <c r="D710" s="43" t="inlineStr">
        <is>
          <t>Q355D</t>
        </is>
      </c>
      <c r="E710" s="43" t="n">
        <v>1020</v>
      </c>
      <c r="F710" s="43" t="n">
        <v>800</v>
      </c>
      <c r="G710" s="43" t="n">
        <v>24</v>
      </c>
      <c r="H710" s="79">
        <f>(E710/1000)*(F710/1000)*(G710/1000)*7850</f>
        <v/>
      </c>
      <c r="I710" s="43" t="n">
        <v>4</v>
      </c>
      <c r="J710" s="80">
        <f>H710*I710</f>
        <v/>
      </c>
      <c r="K710" s="43" t="inlineStr">
        <is>
          <t>来源页89</t>
        </is>
      </c>
      <c r="L710" s="43">
        <f>A710</f>
        <v/>
      </c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43" t="n"/>
    </row>
    <row r="711">
      <c r="A711" s="43" t="inlineStr">
        <is>
          <t>K3</t>
        </is>
      </c>
      <c r="B711" s="43" t="inlineStr">
        <is>
          <t>下弦杆拼接</t>
        </is>
      </c>
      <c r="C711" s="43" t="inlineStr">
        <is>
          <t>节段10~节段11</t>
        </is>
      </c>
      <c r="D711" s="43" t="inlineStr">
        <is>
          <t>Q355D</t>
        </is>
      </c>
      <c r="E711" s="43" t="n">
        <v>1320</v>
      </c>
      <c r="F711" s="43" t="n">
        <v>1100</v>
      </c>
      <c r="G711" s="43" t="n">
        <v>36</v>
      </c>
      <c r="H711" s="79">
        <f>(E711/1000)*(F711/1000)*(G711/1000)*7850</f>
        <v/>
      </c>
      <c r="I711" s="43" t="n">
        <v>1</v>
      </c>
      <c r="J711" s="80">
        <f>H711*I711</f>
        <v/>
      </c>
      <c r="K711" s="43" t="inlineStr">
        <is>
          <t>来源页89</t>
        </is>
      </c>
      <c r="L711" s="43">
        <f>A711</f>
        <v/>
      </c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43" t="n"/>
    </row>
    <row r="712">
      <c r="A712" s="43" t="inlineStr">
        <is>
          <t>K4</t>
        </is>
      </c>
      <c r="B712" s="43" t="inlineStr">
        <is>
          <t>下弦杆拼接</t>
        </is>
      </c>
      <c r="C712" s="43" t="inlineStr">
        <is>
          <t>节段10~节段11</t>
        </is>
      </c>
      <c r="D712" s="43" t="inlineStr">
        <is>
          <t>Q355D</t>
        </is>
      </c>
      <c r="E712" s="43" t="n">
        <v>1320</v>
      </c>
      <c r="F712" s="43" t="n">
        <v>400</v>
      </c>
      <c r="G712" s="43" t="n">
        <v>36</v>
      </c>
      <c r="H712" s="79">
        <f>(E712/1000)*(F712/1000)*(G712/1000)*7850</f>
        <v/>
      </c>
      <c r="I712" s="43" t="n">
        <v>2</v>
      </c>
      <c r="J712" s="80">
        <f>H712*I712</f>
        <v/>
      </c>
      <c r="K712" s="43" t="inlineStr">
        <is>
          <t>来源页89</t>
        </is>
      </c>
      <c r="L712" s="43">
        <f>A712</f>
        <v/>
      </c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43" t="n"/>
    </row>
    <row r="713">
      <c r="A713" s="43" t="inlineStr">
        <is>
          <t>K5</t>
        </is>
      </c>
      <c r="B713" s="43" t="inlineStr">
        <is>
          <t>下弦杆拼接</t>
        </is>
      </c>
      <c r="C713" s="43" t="inlineStr">
        <is>
          <t>节段10~节段11</t>
        </is>
      </c>
      <c r="D713" s="43" t="inlineStr">
        <is>
          <t>Q355D</t>
        </is>
      </c>
      <c r="E713" s="43" t="n">
        <v>920</v>
      </c>
      <c r="F713" s="43" t="n">
        <v>200</v>
      </c>
      <c r="G713" s="43" t="n">
        <v>20</v>
      </c>
      <c r="H713" s="79">
        <f>(E713/1000)*(F713/1000)*(G713/1000)*7850</f>
        <v/>
      </c>
      <c r="I713" s="43" t="n">
        <v>6</v>
      </c>
      <c r="J713" s="80">
        <f>H713*I713</f>
        <v/>
      </c>
      <c r="K713" s="43" t="inlineStr">
        <is>
          <t>来源页89</t>
        </is>
      </c>
      <c r="L713" s="43">
        <f>A713</f>
        <v/>
      </c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43" t="n"/>
    </row>
    <row r="714">
      <c r="A714" s="43" t="inlineStr">
        <is>
          <t>K6</t>
        </is>
      </c>
      <c r="B714" s="43" t="inlineStr">
        <is>
          <t>下弦杆拼接</t>
        </is>
      </c>
      <c r="C714" s="43" t="inlineStr">
        <is>
          <t>节段10~节段11</t>
        </is>
      </c>
      <c r="D714" s="43" t="inlineStr">
        <is>
          <t>Q355D</t>
        </is>
      </c>
      <c r="E714" s="43" t="n">
        <v>500</v>
      </c>
      <c r="F714" s="43" t="n">
        <v>1700</v>
      </c>
      <c r="G714" s="43" t="n">
        <v>12</v>
      </c>
      <c r="H714" s="79">
        <f>(E714/1000)*(F714/1000)*(G714/1000)*7850</f>
        <v/>
      </c>
      <c r="I714" s="43" t="n">
        <v>2</v>
      </c>
      <c r="J714" s="80">
        <f>H714*I714</f>
        <v/>
      </c>
      <c r="K714" s="43" t="inlineStr">
        <is>
          <t>填板；来源页89</t>
        </is>
      </c>
      <c r="L714" s="43">
        <f>A714</f>
        <v/>
      </c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43" t="n"/>
    </row>
    <row r="715">
      <c r="A715" s="43" t="inlineStr">
        <is>
          <t>K7</t>
        </is>
      </c>
      <c r="B715" s="43" t="inlineStr">
        <is>
          <t>下弦杆拼接</t>
        </is>
      </c>
      <c r="C715" s="43" t="inlineStr">
        <is>
          <t>节段10~节段11</t>
        </is>
      </c>
      <c r="D715" s="43" t="inlineStr">
        <is>
          <t>Q355D</t>
        </is>
      </c>
      <c r="E715" s="43" t="n">
        <v>650</v>
      </c>
      <c r="F715" s="43" t="n">
        <v>1100</v>
      </c>
      <c r="G715" s="43" t="n">
        <v>4</v>
      </c>
      <c r="H715" s="79">
        <f>(E715/1000)*(F715/1000)*(G715/1000)*7850</f>
        <v/>
      </c>
      <c r="I715" s="43" t="n">
        <v>0</v>
      </c>
      <c r="J715" s="80">
        <f>H715*I715</f>
        <v/>
      </c>
      <c r="K715" s="43" t="inlineStr">
        <is>
          <t>填板；来源页89</t>
        </is>
      </c>
      <c r="L715" s="43">
        <f>A715</f>
        <v/>
      </c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43" t="n"/>
    </row>
    <row r="716">
      <c r="A716" s="43" t="inlineStr">
        <is>
          <t>M30高强螺栓</t>
        </is>
      </c>
      <c r="B716" s="43" t="inlineStr">
        <is>
          <t>下弦杆拼接</t>
        </is>
      </c>
      <c r="C716" s="43" t="inlineStr">
        <is>
          <t>节段10~节段11</t>
        </is>
      </c>
      <c r="D716" s="43" t="inlineStr">
        <is>
          <t>10.9S</t>
        </is>
      </c>
      <c r="E716" s="43" t="n"/>
      <c r="F716" s="43" t="n"/>
      <c r="G716" s="43" t="n"/>
      <c r="H716" s="79">
        <f>(E716/1000)*(F716/1000)*(G716/1000)*7850</f>
        <v/>
      </c>
      <c r="I716" s="43" t="n">
        <v>324</v>
      </c>
      <c r="J716" s="80">
        <f>H716*I716</f>
        <v/>
      </c>
      <c r="K716" s="43" t="inlineStr">
        <is>
          <t>来源页89</t>
        </is>
      </c>
      <c r="L716" s="43">
        <f>A716</f>
        <v/>
      </c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43" t="n"/>
    </row>
    <row r="717">
      <c r="A717" s="43" t="inlineStr">
        <is>
          <t>L1</t>
        </is>
      </c>
      <c r="B717" s="43" t="inlineStr">
        <is>
          <t>腹杆拼接</t>
        </is>
      </c>
      <c r="C717" s="43" t="inlineStr">
        <is>
          <t>节段10~节段11</t>
        </is>
      </c>
      <c r="D717" s="43" t="inlineStr">
        <is>
          <t>Q355D</t>
        </is>
      </c>
      <c r="E717" s="43" t="n">
        <v>1320</v>
      </c>
      <c r="F717" s="43" t="n">
        <v>900</v>
      </c>
      <c r="G717" s="43" t="n">
        <v>28</v>
      </c>
      <c r="H717" s="79">
        <f>(E717/1000)*(F717/1000)*(G717/1000)*7850</f>
        <v/>
      </c>
      <c r="I717" s="43" t="n">
        <v>2</v>
      </c>
      <c r="J717" s="80">
        <f>H717*I717</f>
        <v/>
      </c>
      <c r="K717" s="43" t="inlineStr">
        <is>
          <t>来源页89</t>
        </is>
      </c>
      <c r="L717" s="43">
        <f>A717</f>
        <v/>
      </c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43" t="n"/>
    </row>
    <row r="718">
      <c r="A718" s="43" t="inlineStr">
        <is>
          <t>L2</t>
        </is>
      </c>
      <c r="B718" s="43" t="inlineStr">
        <is>
          <t>腹杆拼接</t>
        </is>
      </c>
      <c r="C718" s="43" t="inlineStr">
        <is>
          <t>节段10~节段11</t>
        </is>
      </c>
      <c r="D718" s="43" t="inlineStr">
        <is>
          <t>Q355D</t>
        </is>
      </c>
      <c r="E718" s="43" t="n">
        <v>1320</v>
      </c>
      <c r="F718" s="43" t="n">
        <v>400</v>
      </c>
      <c r="G718" s="43" t="n">
        <v>28</v>
      </c>
      <c r="H718" s="79">
        <f>(E718/1000)*(F718/1000)*(G718/1000)*7850</f>
        <v/>
      </c>
      <c r="I718" s="43" t="n">
        <v>4</v>
      </c>
      <c r="J718" s="80">
        <f>H718*I718</f>
        <v/>
      </c>
      <c r="K718" s="43" t="inlineStr">
        <is>
          <t>来源页89</t>
        </is>
      </c>
      <c r="L718" s="43">
        <f>A718</f>
        <v/>
      </c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43" t="n"/>
    </row>
    <row r="719">
      <c r="A719" s="43" t="inlineStr">
        <is>
          <t>L3</t>
        </is>
      </c>
      <c r="B719" s="43" t="inlineStr">
        <is>
          <t>腹杆拼接</t>
        </is>
      </c>
      <c r="C719" s="43" t="inlineStr">
        <is>
          <t>节段10~节段11</t>
        </is>
      </c>
      <c r="D719" s="43" t="inlineStr">
        <is>
          <t>Q355D</t>
        </is>
      </c>
      <c r="E719" s="43" t="n">
        <v>1320</v>
      </c>
      <c r="F719" s="43" t="n">
        <v>500</v>
      </c>
      <c r="G719" s="43" t="n">
        <v>28</v>
      </c>
      <c r="H719" s="79">
        <f>(E719/1000)*(F719/1000)*(G719/1000)*7850</f>
        <v/>
      </c>
      <c r="I719" s="43" t="n">
        <v>4</v>
      </c>
      <c r="J719" s="80">
        <f>H719*I719</f>
        <v/>
      </c>
      <c r="K719" s="43" t="inlineStr">
        <is>
          <t>来源页89</t>
        </is>
      </c>
      <c r="L719" s="43">
        <f>A719</f>
        <v/>
      </c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43" t="n"/>
    </row>
    <row r="720">
      <c r="A720" s="43" t="inlineStr">
        <is>
          <t>L4</t>
        </is>
      </c>
      <c r="B720" s="43" t="inlineStr">
        <is>
          <t>腹杆拼接</t>
        </is>
      </c>
      <c r="C720" s="43" t="inlineStr">
        <is>
          <t>节段10~节段11</t>
        </is>
      </c>
      <c r="D720" s="43" t="inlineStr">
        <is>
          <t>Q355D</t>
        </is>
      </c>
      <c r="E720" s="43" t="n">
        <v>820</v>
      </c>
      <c r="F720" s="43" t="n">
        <v>200</v>
      </c>
      <c r="G720" s="43" t="n">
        <v>20</v>
      </c>
      <c r="H720" s="79">
        <f>(E720/1000)*(F720/1000)*(G720/1000)*7850</f>
        <v/>
      </c>
      <c r="I720" s="43" t="n">
        <v>4</v>
      </c>
      <c r="J720" s="80">
        <f>H720*I720</f>
        <v/>
      </c>
      <c r="K720" s="43" t="inlineStr">
        <is>
          <t>来源页89</t>
        </is>
      </c>
      <c r="L720" s="43">
        <f>A720</f>
        <v/>
      </c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43" t="n"/>
    </row>
    <row r="721">
      <c r="A721" s="43" t="inlineStr"/>
      <c r="B721" s="43" t="inlineStr"/>
      <c r="C721" s="43" t="inlineStr">
        <is>
          <t>节段11</t>
        </is>
      </c>
      <c r="D721" s="43" t="inlineStr">
        <is>
          <t>Q355D</t>
        </is>
      </c>
      <c r="E721" s="43" t="n"/>
      <c r="F721" s="43" t="n"/>
      <c r="G721" s="43" t="n">
        <v>44</v>
      </c>
      <c r="H721" s="79">
        <f>(E721/1000)*(F721/1000)*(G721/1000)*7850</f>
        <v/>
      </c>
      <c r="I721" s="43" t="n">
        <v>1</v>
      </c>
      <c r="J721" s="80">
        <f>H721*I721</f>
        <v/>
      </c>
      <c r="K721" s="43" t="inlineStr">
        <is>
          <t>来源页90</t>
        </is>
      </c>
      <c r="L721" s="43">
        <f>A721</f>
        <v/>
      </c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43" t="n"/>
    </row>
    <row r="722">
      <c r="A722" s="43" t="inlineStr"/>
      <c r="B722" s="43" t="inlineStr"/>
      <c r="C722" s="43" t="inlineStr">
        <is>
          <t>节段11</t>
        </is>
      </c>
      <c r="D722" s="43" t="inlineStr">
        <is>
          <t>Q355D</t>
        </is>
      </c>
      <c r="E722" s="43" t="n"/>
      <c r="F722" s="43" t="n"/>
      <c r="G722" s="43" t="n">
        <v>40</v>
      </c>
      <c r="H722" s="79">
        <f>(E722/1000)*(F722/1000)*(G722/1000)*7850</f>
        <v/>
      </c>
      <c r="I722" s="43" t="n">
        <v>1</v>
      </c>
      <c r="J722" s="80">
        <f>H722*I722</f>
        <v/>
      </c>
      <c r="K722" s="43" t="inlineStr">
        <is>
          <t>来源页90</t>
        </is>
      </c>
      <c r="L722" s="43">
        <f>A722</f>
        <v/>
      </c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43" t="n"/>
    </row>
    <row r="723">
      <c r="A723" s="43" t="inlineStr"/>
      <c r="B723" s="43" t="inlineStr"/>
      <c r="C723" s="43" t="inlineStr">
        <is>
          <t>节段11</t>
        </is>
      </c>
      <c r="D723" s="43" t="inlineStr">
        <is>
          <t>Q355D</t>
        </is>
      </c>
      <c r="E723" s="43" t="n"/>
      <c r="F723" s="43" t="n"/>
      <c r="G723" s="43" t="n">
        <v>36</v>
      </c>
      <c r="H723" s="79">
        <f>(E723/1000)*(F723/1000)*(G723/1000)*7850</f>
        <v/>
      </c>
      <c r="I723" s="43" t="n">
        <v>1</v>
      </c>
      <c r="J723" s="80">
        <f>H723*I723</f>
        <v/>
      </c>
      <c r="K723" s="43" t="inlineStr">
        <is>
          <t>来源页90</t>
        </is>
      </c>
      <c r="L723" s="43">
        <f>A723</f>
        <v/>
      </c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43" t="n"/>
    </row>
    <row r="724">
      <c r="A724" s="43" t="inlineStr"/>
      <c r="B724" s="43" t="inlineStr"/>
      <c r="C724" s="43" t="inlineStr">
        <is>
          <t>节段11</t>
        </is>
      </c>
      <c r="D724" s="43" t="inlineStr">
        <is>
          <t>Q355D</t>
        </is>
      </c>
      <c r="E724" s="43" t="n"/>
      <c r="F724" s="43" t="n"/>
      <c r="G724" s="43" t="n">
        <v>32</v>
      </c>
      <c r="H724" s="79">
        <f>(E724/1000)*(F724/1000)*(G724/1000)*7850</f>
        <v/>
      </c>
      <c r="I724" s="43" t="n">
        <v>1</v>
      </c>
      <c r="J724" s="80">
        <f>H724*I724</f>
        <v/>
      </c>
      <c r="K724" s="43" t="inlineStr">
        <is>
          <t>来源页90</t>
        </is>
      </c>
      <c r="L724" s="43">
        <f>A724</f>
        <v/>
      </c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43" t="n"/>
    </row>
    <row r="725">
      <c r="A725" s="43" t="inlineStr"/>
      <c r="B725" s="43" t="inlineStr"/>
      <c r="C725" s="43" t="inlineStr">
        <is>
          <t>节段11</t>
        </is>
      </c>
      <c r="D725" s="43" t="inlineStr">
        <is>
          <t>Q355D</t>
        </is>
      </c>
      <c r="E725" s="43" t="n"/>
      <c r="F725" s="43" t="n"/>
      <c r="G725" s="43" t="n">
        <v>28</v>
      </c>
      <c r="H725" s="79">
        <f>(E725/1000)*(F725/1000)*(G725/1000)*7850</f>
        <v/>
      </c>
      <c r="I725" s="43" t="n">
        <v>1</v>
      </c>
      <c r="J725" s="80">
        <f>H725*I725</f>
        <v/>
      </c>
      <c r="K725" s="43" t="inlineStr">
        <is>
          <t>来源页90</t>
        </is>
      </c>
      <c r="L725" s="43">
        <f>A725</f>
        <v/>
      </c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43" t="n"/>
    </row>
    <row r="726">
      <c r="A726" s="43" t="inlineStr"/>
      <c r="B726" s="43" t="inlineStr"/>
      <c r="C726" s="43" t="inlineStr">
        <is>
          <t>节段11</t>
        </is>
      </c>
      <c r="D726" s="43" t="inlineStr">
        <is>
          <t>Q355D</t>
        </is>
      </c>
      <c r="E726" s="43" t="n"/>
      <c r="F726" s="43" t="n"/>
      <c r="G726" s="43" t="n">
        <v>24</v>
      </c>
      <c r="H726" s="79">
        <f>(E726/1000)*(F726/1000)*(G726/1000)*7850</f>
        <v/>
      </c>
      <c r="I726" s="43" t="n">
        <v>1</v>
      </c>
      <c r="J726" s="80">
        <f>H726*I726</f>
        <v/>
      </c>
      <c r="K726" s="43" t="inlineStr">
        <is>
          <t>来源页90</t>
        </is>
      </c>
      <c r="L726" s="43">
        <f>A726</f>
        <v/>
      </c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43" t="n"/>
    </row>
    <row r="727">
      <c r="A727" s="43" t="inlineStr"/>
      <c r="B727" s="43" t="inlineStr"/>
      <c r="C727" s="43" t="inlineStr">
        <is>
          <t>节段11</t>
        </is>
      </c>
      <c r="D727" s="43" t="inlineStr">
        <is>
          <t>Q355D</t>
        </is>
      </c>
      <c r="E727" s="43" t="n"/>
      <c r="F727" s="43" t="n"/>
      <c r="G727" s="43" t="n">
        <v>20</v>
      </c>
      <c r="H727" s="79">
        <f>(E727/1000)*(F727/1000)*(G727/1000)*7850</f>
        <v/>
      </c>
      <c r="I727" s="43" t="n">
        <v>1</v>
      </c>
      <c r="J727" s="80">
        <f>H727*I727</f>
        <v/>
      </c>
      <c r="K727" s="43" t="inlineStr">
        <is>
          <t>来源页90</t>
        </is>
      </c>
      <c r="L727" s="43">
        <f>A727</f>
        <v/>
      </c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43" t="n"/>
    </row>
    <row r="728">
      <c r="A728" s="43" t="inlineStr"/>
      <c r="B728" s="43" t="inlineStr"/>
      <c r="C728" s="43" t="inlineStr">
        <is>
          <t>节段11</t>
        </is>
      </c>
      <c r="D728" s="43" t="inlineStr">
        <is>
          <t>Q355D</t>
        </is>
      </c>
      <c r="E728" s="43" t="n"/>
      <c r="F728" s="43" t="n"/>
      <c r="G728" s="43" t="n">
        <v>16</v>
      </c>
      <c r="H728" s="79">
        <f>(E728/1000)*(F728/1000)*(G728/1000)*7850</f>
        <v/>
      </c>
      <c r="I728" s="43" t="n">
        <v>1</v>
      </c>
      <c r="J728" s="80">
        <f>H728*I728</f>
        <v/>
      </c>
      <c r="K728" s="43" t="inlineStr">
        <is>
          <t>来源页90</t>
        </is>
      </c>
      <c r="L728" s="43">
        <f>A728</f>
        <v/>
      </c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43" t="n"/>
    </row>
    <row r="729">
      <c r="A729" s="43" t="inlineStr"/>
      <c r="B729" s="43" t="inlineStr"/>
      <c r="C729" s="43" t="inlineStr">
        <is>
          <t>节段11</t>
        </is>
      </c>
      <c r="D729" s="43" t="inlineStr">
        <is>
          <t>Q355D</t>
        </is>
      </c>
      <c r="E729" s="43" t="n"/>
      <c r="F729" s="43" t="n"/>
      <c r="G729" s="43" t="n">
        <v>14</v>
      </c>
      <c r="H729" s="79">
        <f>(E729/1000)*(F729/1000)*(G729/1000)*7850</f>
        <v/>
      </c>
      <c r="I729" s="43" t="n">
        <v>1</v>
      </c>
      <c r="J729" s="80">
        <f>H729*I729</f>
        <v/>
      </c>
      <c r="K729" s="43" t="inlineStr">
        <is>
          <t>来源页90</t>
        </is>
      </c>
      <c r="L729" s="43">
        <f>A729</f>
        <v/>
      </c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43" t="n"/>
    </row>
    <row r="730">
      <c r="A730" s="43" t="inlineStr"/>
      <c r="B730" s="43" t="inlineStr"/>
      <c r="C730" s="43" t="inlineStr">
        <is>
          <t>节段11</t>
        </is>
      </c>
      <c r="D730" s="43" t="inlineStr">
        <is>
          <t>Q355D</t>
        </is>
      </c>
      <c r="E730" s="43" t="n"/>
      <c r="F730" s="43" t="n"/>
      <c r="G730" s="43" t="n">
        <v>4</v>
      </c>
      <c r="H730" s="79">
        <f>(E730/1000)*(F730/1000)*(G730/1000)*7850</f>
        <v/>
      </c>
      <c r="I730" s="43" t="n">
        <v>1</v>
      </c>
      <c r="J730" s="80">
        <f>H730*I730</f>
        <v/>
      </c>
      <c r="K730" s="43" t="inlineStr">
        <is>
          <t>来源页90</t>
        </is>
      </c>
      <c r="L730" s="43">
        <f>A730</f>
        <v/>
      </c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43" t="n"/>
    </row>
    <row r="731">
      <c r="A731" s="43" t="inlineStr"/>
      <c r="B731" s="43" t="inlineStr"/>
      <c r="C731" s="43" t="inlineStr">
        <is>
          <t>节段11</t>
        </is>
      </c>
      <c r="D731" s="43" t="inlineStr">
        <is>
          <t>Q355D</t>
        </is>
      </c>
      <c r="E731" s="43" t="n"/>
      <c r="F731" s="43" t="n"/>
      <c r="G731" s="43" t="n"/>
      <c r="H731" s="79">
        <f>(E731/1000)*(F731/1000)*(G731/1000)*7850</f>
        <v/>
      </c>
      <c r="I731" s="43" t="n">
        <v>1</v>
      </c>
      <c r="J731" s="80">
        <f>H731*I731</f>
        <v/>
      </c>
      <c r="K731" s="43" t="inlineStr">
        <is>
          <t>来源页90</t>
        </is>
      </c>
      <c r="L731" s="43">
        <f>A731</f>
        <v/>
      </c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43" t="n"/>
    </row>
    <row r="732">
      <c r="A732" s="43" t="inlineStr"/>
      <c r="B732" s="43" t="inlineStr"/>
      <c r="C732" s="43" t="inlineStr">
        <is>
          <t>节段11</t>
        </is>
      </c>
      <c r="D732" s="43" t="inlineStr">
        <is>
          <t>Q355D</t>
        </is>
      </c>
      <c r="E732" s="43" t="n"/>
      <c r="F732" s="43" t="n"/>
      <c r="G732" s="43" t="n"/>
      <c r="H732" s="79">
        <f>(E732/1000)*(F732/1000)*(G732/1000)*7850</f>
        <v/>
      </c>
      <c r="I732" s="43" t="n">
        <v>1</v>
      </c>
      <c r="J732" s="80">
        <f>H732*I732</f>
        <v/>
      </c>
      <c r="K732" s="43" t="inlineStr">
        <is>
          <t>来源页90</t>
        </is>
      </c>
      <c r="L732" s="43">
        <f>A732</f>
        <v/>
      </c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43" t="n"/>
    </row>
    <row r="733">
      <c r="A733" s="43" t="inlineStr"/>
      <c r="B733" s="43" t="inlineStr"/>
      <c r="C733" s="43" t="inlineStr">
        <is>
          <t>节段11</t>
        </is>
      </c>
      <c r="D733" s="43" t="inlineStr">
        <is>
          <t>Q355D</t>
        </is>
      </c>
      <c r="E733" s="43" t="n"/>
      <c r="F733" s="43" t="n"/>
      <c r="G733" s="43" t="n"/>
      <c r="H733" s="79">
        <f>(E733/1000)*(F733/1000)*(G733/1000)*7850</f>
        <v/>
      </c>
      <c r="I733" s="43" t="n">
        <v>1</v>
      </c>
      <c r="J733" s="80">
        <f>H733*I733</f>
        <v/>
      </c>
      <c r="K733" s="43" t="inlineStr">
        <is>
          <t>来源页90</t>
        </is>
      </c>
      <c r="L733" s="43">
        <f>A733</f>
        <v/>
      </c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43" t="n"/>
    </row>
    <row r="734">
      <c r="A734" s="43" t="inlineStr">
        <is>
          <t>N11a</t>
        </is>
      </c>
      <c r="B734" s="43" t="inlineStr">
        <is>
          <t>上弦顶板</t>
        </is>
      </c>
      <c r="C734" s="43" t="inlineStr">
        <is>
          <t>节段11</t>
        </is>
      </c>
      <c r="D734" s="43" t="inlineStr">
        <is>
          <t>Q355D</t>
        </is>
      </c>
      <c r="E734" s="43" t="n"/>
      <c r="F734" s="43" t="n"/>
      <c r="G734" s="43" t="n">
        <v>20</v>
      </c>
      <c r="H734" s="79">
        <f>(E734/1000)*(F734/1000)*(G734/1000)*7850</f>
        <v/>
      </c>
      <c r="I734" s="43" t="n">
        <v>1</v>
      </c>
      <c r="J734" s="80">
        <f>H734*I734</f>
        <v/>
      </c>
      <c r="K734" s="43" t="inlineStr">
        <is>
          <t>来源页90</t>
        </is>
      </c>
      <c r="L734" s="43">
        <f>A734</f>
        <v/>
      </c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43" t="n"/>
    </row>
    <row r="735">
      <c r="A735" s="43" t="inlineStr">
        <is>
          <t>N11b</t>
        </is>
      </c>
      <c r="B735" s="43" t="inlineStr">
        <is>
          <t>上弦顶板</t>
        </is>
      </c>
      <c r="C735" s="43" t="inlineStr">
        <is>
          <t>节段11</t>
        </is>
      </c>
      <c r="D735" s="43" t="inlineStr">
        <is>
          <t>Q355D</t>
        </is>
      </c>
      <c r="E735" s="43" t="n"/>
      <c r="F735" s="43" t="n"/>
      <c r="G735" s="43" t="n">
        <v>20</v>
      </c>
      <c r="H735" s="79">
        <f>(E735/1000)*(F735/1000)*(G735/1000)*7850</f>
        <v/>
      </c>
      <c r="I735" s="43" t="n">
        <v>1</v>
      </c>
      <c r="J735" s="80">
        <f>H735*I735</f>
        <v/>
      </c>
      <c r="K735" s="43" t="inlineStr">
        <is>
          <t>来源页90</t>
        </is>
      </c>
      <c r="L735" s="43">
        <f>A735</f>
        <v/>
      </c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43" t="n"/>
    </row>
    <row r="736">
      <c r="A736" s="43" t="inlineStr">
        <is>
          <t>N12α</t>
        </is>
      </c>
      <c r="B736" s="43" t="inlineStr">
        <is>
          <t>上弦底板</t>
        </is>
      </c>
      <c r="C736" s="43" t="inlineStr">
        <is>
          <t>节段11</t>
        </is>
      </c>
      <c r="D736" s="43" t="inlineStr">
        <is>
          <t>Q355D</t>
        </is>
      </c>
      <c r="E736" s="43" t="n">
        <v>7900</v>
      </c>
      <c r="F736" s="43" t="n">
        <v>1200</v>
      </c>
      <c r="G736" s="43" t="n">
        <v>20</v>
      </c>
      <c r="H736" s="79">
        <f>(E736/1000)*(F736/1000)*(G736/1000)*7850</f>
        <v/>
      </c>
      <c r="I736" s="43" t="n">
        <v>1</v>
      </c>
      <c r="J736" s="80">
        <f>H736*I736</f>
        <v/>
      </c>
      <c r="K736" s="43" t="inlineStr">
        <is>
          <t>来源页90</t>
        </is>
      </c>
      <c r="L736" s="43">
        <f>A736</f>
        <v/>
      </c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43" t="n"/>
    </row>
    <row r="737">
      <c r="A737" s="43" t="inlineStr">
        <is>
          <t>N12b</t>
        </is>
      </c>
      <c r="B737" s="43" t="inlineStr">
        <is>
          <t>上弦底板</t>
        </is>
      </c>
      <c r="C737" s="43" t="inlineStr">
        <is>
          <t>节段11</t>
        </is>
      </c>
      <c r="D737" s="43" t="inlineStr">
        <is>
          <t>Q355D</t>
        </is>
      </c>
      <c r="E737" s="43" t="n">
        <v>7100</v>
      </c>
      <c r="F737" s="43" t="n">
        <v>1200</v>
      </c>
      <c r="G737" s="43" t="n">
        <v>20</v>
      </c>
      <c r="H737" s="79">
        <f>(E737/1000)*(F737/1000)*(G737/1000)*7850</f>
        <v/>
      </c>
      <c r="I737" s="43" t="n">
        <v>1</v>
      </c>
      <c r="J737" s="80">
        <f>H737*I737</f>
        <v/>
      </c>
      <c r="K737" s="43" t="inlineStr">
        <is>
          <t>来源页90</t>
        </is>
      </c>
      <c r="L737" s="43">
        <f>A737</f>
        <v/>
      </c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43" t="n"/>
    </row>
    <row r="738">
      <c r="A738" s="43" t="inlineStr">
        <is>
          <t>N13</t>
        </is>
      </c>
      <c r="B738" s="43" t="inlineStr">
        <is>
          <t>上弦节点板</t>
        </is>
      </c>
      <c r="C738" s="43" t="inlineStr">
        <is>
          <t>节段11</t>
        </is>
      </c>
      <c r="D738" s="43" t="inlineStr">
        <is>
          <t>Q355D</t>
        </is>
      </c>
      <c r="E738" s="43" t="n"/>
      <c r="F738" s="43" t="n"/>
      <c r="G738" s="43" t="n">
        <v>40</v>
      </c>
      <c r="H738" s="79">
        <f>(E738/1000)*(F738/1000)*(G738/1000)*7850</f>
        <v/>
      </c>
      <c r="I738" s="43" t="n">
        <v>2</v>
      </c>
      <c r="J738" s="80">
        <f>H738*I738</f>
        <v/>
      </c>
      <c r="K738" s="43" t="inlineStr">
        <is>
          <t>来源页90</t>
        </is>
      </c>
      <c r="L738" s="43">
        <f>A738</f>
        <v/>
      </c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43" t="n"/>
    </row>
    <row r="739">
      <c r="A739" s="43" t="inlineStr">
        <is>
          <t>N14</t>
        </is>
      </c>
      <c r="B739" s="43" t="inlineStr">
        <is>
          <t>上弦腹板</t>
        </is>
      </c>
      <c r="C739" s="43" t="inlineStr">
        <is>
          <t>节段11</t>
        </is>
      </c>
      <c r="D739" s="43" t="inlineStr">
        <is>
          <t>Q355D</t>
        </is>
      </c>
      <c r="E739" s="43" t="n">
        <v>7300</v>
      </c>
      <c r="F739" s="43" t="n">
        <v>2048</v>
      </c>
      <c r="G739" s="43" t="n">
        <v>28</v>
      </c>
      <c r="H739" s="79">
        <f>(E739/1000)*(F739/1000)*(G739/1000)*7850</f>
        <v/>
      </c>
      <c r="I739" s="43" t="n">
        <v>2</v>
      </c>
      <c r="J739" s="80">
        <f>H739*I739</f>
        <v/>
      </c>
      <c r="K739" s="43" t="inlineStr">
        <is>
          <t>来源页90</t>
        </is>
      </c>
      <c r="L739" s="43">
        <f>A739</f>
        <v/>
      </c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43" t="n"/>
    </row>
    <row r="740">
      <c r="A740" s="43" t="inlineStr">
        <is>
          <t>N15</t>
        </is>
      </c>
      <c r="B740" s="43" t="inlineStr">
        <is>
          <t>上弦横隔板</t>
        </is>
      </c>
      <c r="C740" s="43" t="inlineStr">
        <is>
          <t>节段11</t>
        </is>
      </c>
      <c r="D740" s="43" t="inlineStr">
        <is>
          <t>Q355D</t>
        </is>
      </c>
      <c r="E740" s="43" t="n">
        <v>1980</v>
      </c>
      <c r="F740" s="43" t="n">
        <v>1200</v>
      </c>
      <c r="G740" s="43" t="n">
        <v>16</v>
      </c>
      <c r="H740" s="79">
        <f>(E740/1000)*(F740/1000)*(G740/1000)*7850</f>
        <v/>
      </c>
      <c r="I740" s="43" t="n">
        <v>3</v>
      </c>
      <c r="J740" s="80">
        <f>H740*I740</f>
        <v/>
      </c>
      <c r="K740" s="43" t="inlineStr">
        <is>
          <t>来源页90</t>
        </is>
      </c>
      <c r="L740" s="43">
        <f>A740</f>
        <v/>
      </c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43" t="n"/>
    </row>
    <row r="741">
      <c r="A741" s="43" t="inlineStr">
        <is>
          <t>N15a</t>
        </is>
      </c>
      <c r="B741" s="43" t="inlineStr">
        <is>
          <t>上弦横隔板</t>
        </is>
      </c>
      <c r="C741" s="43" t="inlineStr">
        <is>
          <t>节段11</t>
        </is>
      </c>
      <c r="D741" s="43" t="inlineStr">
        <is>
          <t>Q355D</t>
        </is>
      </c>
      <c r="E741" s="43" t="n">
        <v>1980</v>
      </c>
      <c r="F741" s="43" t="n">
        <v>1200</v>
      </c>
      <c r="G741" s="43" t="n">
        <v>16</v>
      </c>
      <c r="H741" s="79">
        <f>(E741/1000)*(F741/1000)*(G741/1000)*7850</f>
        <v/>
      </c>
      <c r="I741" s="43" t="n">
        <v>2</v>
      </c>
      <c r="J741" s="80">
        <f>H741*I741</f>
        <v/>
      </c>
      <c r="K741" s="43" t="inlineStr">
        <is>
          <t>来源页90</t>
        </is>
      </c>
      <c r="L741" s="43">
        <f>A741</f>
        <v/>
      </c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43" t="n"/>
    </row>
    <row r="742">
      <c r="A742" s="43" t="inlineStr">
        <is>
          <t>N15‘</t>
        </is>
      </c>
      <c r="B742" s="43" t="inlineStr">
        <is>
          <t>上弦横隔板</t>
        </is>
      </c>
      <c r="C742" s="43" t="inlineStr">
        <is>
          <t>节段11</t>
        </is>
      </c>
      <c r="D742" s="43" t="inlineStr">
        <is>
          <t>Q355D</t>
        </is>
      </c>
      <c r="E742" s="43" t="n">
        <v>2057</v>
      </c>
      <c r="F742" s="43" t="n">
        <v>200</v>
      </c>
      <c r="G742" s="43" t="n">
        <v>16</v>
      </c>
      <c r="H742" s="79">
        <f>(E742/1000)*(F742/1000)*(G742/1000)*7850</f>
        <v/>
      </c>
      <c r="I742" s="43" t="n">
        <v>3</v>
      </c>
      <c r="J742" s="80">
        <f>H742*I742</f>
        <v/>
      </c>
      <c r="K742" s="43" t="inlineStr">
        <is>
          <t>来源页90</t>
        </is>
      </c>
      <c r="L742" s="43">
        <f>A742</f>
        <v/>
      </c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43" t="n"/>
    </row>
    <row r="743">
      <c r="A743" s="43" t="inlineStr">
        <is>
          <t>N15b</t>
        </is>
      </c>
      <c r="B743" s="43" t="inlineStr">
        <is>
          <t>上弦横隔板</t>
        </is>
      </c>
      <c r="C743" s="43" t="inlineStr">
        <is>
          <t>节段11</t>
        </is>
      </c>
      <c r="D743" s="43" t="inlineStr">
        <is>
          <t>Q355B</t>
        </is>
      </c>
      <c r="E743" s="43" t="n">
        <v>2057</v>
      </c>
      <c r="F743" s="43" t="n">
        <v>40</v>
      </c>
      <c r="G743" s="43" t="n">
        <v>4</v>
      </c>
      <c r="H743" s="79">
        <f>(E743/1000)*(F743/1000)*(G743/1000)*7850</f>
        <v/>
      </c>
      <c r="I743" s="43" t="n">
        <v>4</v>
      </c>
      <c r="J743" s="80">
        <f>H743*I743</f>
        <v/>
      </c>
      <c r="K743" s="43" t="inlineStr">
        <is>
          <t>来源页90</t>
        </is>
      </c>
      <c r="L743" s="43">
        <f>A743</f>
        <v/>
      </c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43" t="n"/>
    </row>
    <row r="744">
      <c r="A744" s="43" t="inlineStr">
        <is>
          <t>N15c</t>
        </is>
      </c>
      <c r="B744" s="43" t="inlineStr">
        <is>
          <t>上弦横隔板</t>
        </is>
      </c>
      <c r="C744" s="43" t="inlineStr">
        <is>
          <t>节段11</t>
        </is>
      </c>
      <c r="D744" s="43" t="inlineStr">
        <is>
          <t>Q355D</t>
        </is>
      </c>
      <c r="E744" s="43" t="n">
        <v>800</v>
      </c>
      <c r="F744" s="43" t="n">
        <v>400</v>
      </c>
      <c r="G744" s="43" t="n">
        <v>16</v>
      </c>
      <c r="H744" s="79">
        <f>(E744/1000)*(F744/1000)*(G744/1000)*7850</f>
        <v/>
      </c>
      <c r="I744" s="43" t="n">
        <v>4</v>
      </c>
      <c r="J744" s="80">
        <f>H744*I744</f>
        <v/>
      </c>
      <c r="K744" s="43" t="inlineStr">
        <is>
          <t>来源页90</t>
        </is>
      </c>
      <c r="L744" s="43">
        <f>A744</f>
        <v/>
      </c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43" t="n"/>
    </row>
    <row r="745">
      <c r="A745" s="43" t="inlineStr">
        <is>
          <t>N21α</t>
        </is>
      </c>
      <c r="B745" s="43" t="inlineStr">
        <is>
          <t>下弦顶板</t>
        </is>
      </c>
      <c r="C745" s="43" t="inlineStr">
        <is>
          <t>节段11</t>
        </is>
      </c>
      <c r="D745" s="43" t="inlineStr">
        <is>
          <t>Q355D</t>
        </is>
      </c>
      <c r="E745" s="43" t="n">
        <v>7901</v>
      </c>
      <c r="F745" s="43" t="n">
        <v>2500</v>
      </c>
      <c r="G745" s="43" t="n">
        <v>24</v>
      </c>
      <c r="H745" s="79">
        <f>(E745/1000)*(F745/1000)*(G745/1000)*7850</f>
        <v/>
      </c>
      <c r="I745" s="43" t="n">
        <v>1</v>
      </c>
      <c r="J745" s="80">
        <f>H745*I745</f>
        <v/>
      </c>
      <c r="K745" s="43" t="inlineStr">
        <is>
          <t>来源页90</t>
        </is>
      </c>
      <c r="L745" s="43">
        <f>A745</f>
        <v/>
      </c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43" t="n"/>
    </row>
    <row r="746">
      <c r="A746" s="43" t="inlineStr">
        <is>
          <t>N21b</t>
        </is>
      </c>
      <c r="B746" s="43" t="inlineStr">
        <is>
          <t>下弦顶板</t>
        </is>
      </c>
      <c r="C746" s="43" t="inlineStr">
        <is>
          <t>节段11</t>
        </is>
      </c>
      <c r="D746" s="43" t="inlineStr">
        <is>
          <t>Q355D</t>
        </is>
      </c>
      <c r="E746" s="43" t="n">
        <v>7101</v>
      </c>
      <c r="F746" s="43" t="n">
        <v>2500</v>
      </c>
      <c r="G746" s="43" t="n">
        <v>24</v>
      </c>
      <c r="H746" s="79">
        <f>(E746/1000)*(F746/1000)*(G746/1000)*7850</f>
        <v/>
      </c>
      <c r="I746" s="43" t="n">
        <v>1</v>
      </c>
      <c r="J746" s="80">
        <f>H746*I746</f>
        <v/>
      </c>
      <c r="K746" s="43" t="inlineStr">
        <is>
          <t>来源页90</t>
        </is>
      </c>
      <c r="L746" s="43">
        <f>A746</f>
        <v/>
      </c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43" t="n"/>
    </row>
    <row r="747">
      <c r="A747" s="43" t="inlineStr">
        <is>
          <t>N22α</t>
        </is>
      </c>
      <c r="B747" s="43" t="inlineStr">
        <is>
          <t>下弦底板</t>
        </is>
      </c>
      <c r="C747" s="43" t="inlineStr">
        <is>
          <t>节段11</t>
        </is>
      </c>
      <c r="D747" s="43" t="inlineStr">
        <is>
          <t>Q355D</t>
        </is>
      </c>
      <c r="E747" s="43" t="n"/>
      <c r="F747" s="43" t="n"/>
      <c r="G747" s="43" t="n">
        <v>24</v>
      </c>
      <c r="H747" s="79">
        <f>(E747/1000)*(F747/1000)*(G747/1000)*7850</f>
        <v/>
      </c>
      <c r="I747" s="43" t="n">
        <v>1</v>
      </c>
      <c r="J747" s="80">
        <f>H747*I747</f>
        <v/>
      </c>
      <c r="K747" s="43" t="inlineStr">
        <is>
          <t>来源页90</t>
        </is>
      </c>
      <c r="L747" s="43">
        <f>A747</f>
        <v/>
      </c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43" t="n"/>
    </row>
    <row r="748">
      <c r="A748" s="43" t="inlineStr">
        <is>
          <t>N22b</t>
        </is>
      </c>
      <c r="B748" s="43" t="inlineStr">
        <is>
          <t>下弦底板</t>
        </is>
      </c>
      <c r="C748" s="43" t="inlineStr">
        <is>
          <t>节段11</t>
        </is>
      </c>
      <c r="D748" s="43" t="inlineStr">
        <is>
          <t>Q355D</t>
        </is>
      </c>
      <c r="E748" s="43" t="n"/>
      <c r="F748" s="43" t="n"/>
      <c r="G748" s="43" t="n">
        <v>24</v>
      </c>
      <c r="H748" s="79">
        <f>(E748/1000)*(F748/1000)*(G748/1000)*7850</f>
        <v/>
      </c>
      <c r="I748" s="43" t="n">
        <v>1</v>
      </c>
      <c r="J748" s="80">
        <f>H748*I748</f>
        <v/>
      </c>
      <c r="K748" s="43" t="inlineStr">
        <is>
          <t>来源页90</t>
        </is>
      </c>
      <c r="L748" s="43">
        <f>A748</f>
        <v/>
      </c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43" t="n"/>
    </row>
    <row r="749">
      <c r="A749" s="43" t="inlineStr">
        <is>
          <t>N23</t>
        </is>
      </c>
      <c r="B749" s="43" t="inlineStr">
        <is>
          <t>下弦节点板</t>
        </is>
      </c>
      <c r="C749" s="43" t="inlineStr">
        <is>
          <t>节段11</t>
        </is>
      </c>
      <c r="D749" s="43" t="inlineStr">
        <is>
          <t>Q355D</t>
        </is>
      </c>
      <c r="E749" s="43" t="n"/>
      <c r="F749" s="43" t="n"/>
      <c r="G749" s="43" t="n">
        <v>44</v>
      </c>
      <c r="H749" s="79">
        <f>(E749/1000)*(F749/1000)*(G749/1000)*7850</f>
        <v/>
      </c>
      <c r="I749" s="43" t="n">
        <v>2</v>
      </c>
      <c r="J749" s="80">
        <f>H749*I749</f>
        <v/>
      </c>
      <c r="K749" s="43" t="inlineStr">
        <is>
          <t>Z35钢；来源页90</t>
        </is>
      </c>
      <c r="L749" s="43">
        <f>A749</f>
        <v/>
      </c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43" t="n"/>
    </row>
    <row r="750">
      <c r="A750" s="43" t="inlineStr">
        <is>
          <t>N24</t>
        </is>
      </c>
      <c r="B750" s="43" t="inlineStr">
        <is>
          <t>下弦腹板</t>
        </is>
      </c>
      <c r="C750" s="43" t="inlineStr">
        <is>
          <t>节段11</t>
        </is>
      </c>
      <c r="D750" s="43" t="inlineStr">
        <is>
          <t>Q355D</t>
        </is>
      </c>
      <c r="E750" s="43" t="n">
        <v>7301</v>
      </c>
      <c r="F750" s="43" t="n">
        <v>1880</v>
      </c>
      <c r="G750" s="43" t="n">
        <v>32</v>
      </c>
      <c r="H750" s="79">
        <f>(E750/1000)*(F750/1000)*(G750/1000)*7850</f>
        <v/>
      </c>
      <c r="I750" s="43" t="n">
        <v>2</v>
      </c>
      <c r="J750" s="80">
        <f>H750*I750</f>
        <v/>
      </c>
      <c r="K750" s="43" t="inlineStr">
        <is>
          <t>来源页90</t>
        </is>
      </c>
      <c r="L750" s="43">
        <f>A750</f>
        <v/>
      </c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43" t="n"/>
    </row>
    <row r="751">
      <c r="A751" s="43" t="inlineStr">
        <is>
          <t>N25</t>
        </is>
      </c>
      <c r="B751" s="43" t="inlineStr">
        <is>
          <t>下弦横隔板</t>
        </is>
      </c>
      <c r="C751" s="43" t="inlineStr">
        <is>
          <t>节段11</t>
        </is>
      </c>
      <c r="D751" s="43" t="inlineStr">
        <is>
          <t>Q355D</t>
        </is>
      </c>
      <c r="E751" s="43" t="n">
        <v>1800</v>
      </c>
      <c r="F751" s="43" t="n">
        <v>1200</v>
      </c>
      <c r="G751" s="43" t="n">
        <v>16</v>
      </c>
      <c r="H751" s="79">
        <f>(E751/1000)*(F751/1000)*(G751/1000)*7850</f>
        <v/>
      </c>
      <c r="I751" s="43" t="n">
        <v>3</v>
      </c>
      <c r="J751" s="80">
        <f>H751*I751</f>
        <v/>
      </c>
      <c r="K751" s="43" t="inlineStr">
        <is>
          <t>来源页90</t>
        </is>
      </c>
      <c r="L751" s="43">
        <f>A751</f>
        <v/>
      </c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43" t="n"/>
    </row>
    <row r="752">
      <c r="A752" s="43" t="inlineStr">
        <is>
          <t>N25α</t>
        </is>
      </c>
      <c r="B752" s="43" t="inlineStr">
        <is>
          <t>下弦横隔板</t>
        </is>
      </c>
      <c r="C752" s="43" t="inlineStr">
        <is>
          <t>节段11</t>
        </is>
      </c>
      <c r="D752" s="43" t="inlineStr">
        <is>
          <t>Q355D</t>
        </is>
      </c>
      <c r="E752" s="43" t="n">
        <v>1800</v>
      </c>
      <c r="F752" s="43" t="n">
        <v>1200</v>
      </c>
      <c r="G752" s="43" t="n">
        <v>16</v>
      </c>
      <c r="H752" s="79">
        <f>(E752/1000)*(F752/1000)*(G752/1000)*7850</f>
        <v/>
      </c>
      <c r="I752" s="43" t="n">
        <v>2</v>
      </c>
      <c r="J752" s="80">
        <f>H752*I752</f>
        <v/>
      </c>
      <c r="K752" s="43" t="inlineStr">
        <is>
          <t>来源页90</t>
        </is>
      </c>
      <c r="L752" s="43">
        <f>A752</f>
        <v/>
      </c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43" t="n"/>
    </row>
    <row r="753">
      <c r="A753" s="43" t="inlineStr">
        <is>
          <t>N25'</t>
        </is>
      </c>
      <c r="B753" s="43" t="inlineStr">
        <is>
          <t>下弦横隔板</t>
        </is>
      </c>
      <c r="C753" s="43" t="inlineStr">
        <is>
          <t>节段11</t>
        </is>
      </c>
      <c r="D753" s="43" t="inlineStr">
        <is>
          <t>Q355D</t>
        </is>
      </c>
      <c r="E753" s="43" t="n">
        <v>2057</v>
      </c>
      <c r="F753" s="43" t="n">
        <v>200</v>
      </c>
      <c r="G753" s="43" t="n">
        <v>16</v>
      </c>
      <c r="H753" s="79">
        <f>(E753/1000)*(F753/1000)*(G753/1000)*7850</f>
        <v/>
      </c>
      <c r="I753" s="43" t="n">
        <v>3</v>
      </c>
      <c r="J753" s="80">
        <f>H753*I753</f>
        <v/>
      </c>
      <c r="K753" s="43" t="inlineStr">
        <is>
          <t>来源页90</t>
        </is>
      </c>
      <c r="L753" s="43">
        <f>A753</f>
        <v/>
      </c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43" t="n"/>
    </row>
    <row r="754">
      <c r="A754" s="43" t="inlineStr">
        <is>
          <t>N26a</t>
        </is>
      </c>
      <c r="B754" s="43" t="inlineStr">
        <is>
          <t>下弦加劲肋</t>
        </is>
      </c>
      <c r="C754" s="43" t="inlineStr">
        <is>
          <t>节段11</t>
        </is>
      </c>
      <c r="D754" s="43" t="inlineStr">
        <is>
          <t>Q355D</t>
        </is>
      </c>
      <c r="E754" s="43" t="n">
        <v>7901</v>
      </c>
      <c r="F754" s="43" t="n">
        <v>280</v>
      </c>
      <c r="G754" s="43" t="n">
        <v>24</v>
      </c>
      <c r="H754" s="79">
        <f>(E754/1000)*(F754/1000)*(G754/1000)*7850</f>
        <v/>
      </c>
      <c r="I754" s="43" t="n">
        <v>4</v>
      </c>
      <c r="J754" s="80">
        <f>H754*I754</f>
        <v/>
      </c>
      <c r="K754" s="43" t="inlineStr">
        <is>
          <t>来源页90</t>
        </is>
      </c>
      <c r="L754" s="43">
        <f>A754</f>
        <v/>
      </c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43" t="n"/>
    </row>
    <row r="755">
      <c r="A755" s="43" t="inlineStr">
        <is>
          <t>N26b</t>
        </is>
      </c>
      <c r="B755" s="43" t="inlineStr">
        <is>
          <t>下弦加劲肋</t>
        </is>
      </c>
      <c r="C755" s="43" t="inlineStr">
        <is>
          <t>节段11</t>
        </is>
      </c>
      <c r="D755" s="43" t="inlineStr">
        <is>
          <t>Q355D</t>
        </is>
      </c>
      <c r="E755" s="43" t="n">
        <v>7101</v>
      </c>
      <c r="F755" s="43" t="n">
        <v>280</v>
      </c>
      <c r="G755" s="43" t="n">
        <v>24</v>
      </c>
      <c r="H755" s="79">
        <f>(E755/1000)*(F755/1000)*(G755/1000)*7850</f>
        <v/>
      </c>
      <c r="I755" s="43" t="n">
        <v>4</v>
      </c>
      <c r="J755" s="80">
        <f>H755*I755</f>
        <v/>
      </c>
      <c r="K755" s="43" t="inlineStr">
        <is>
          <t>来源页90</t>
        </is>
      </c>
      <c r="L755" s="43">
        <f>A755</f>
        <v/>
      </c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43" t="n"/>
    </row>
    <row r="756">
      <c r="A756" s="43" t="inlineStr">
        <is>
          <t>N26c</t>
        </is>
      </c>
      <c r="B756" s="43" t="inlineStr">
        <is>
          <t>下弦加劲肋</t>
        </is>
      </c>
      <c r="C756" s="43" t="inlineStr">
        <is>
          <t>节段11</t>
        </is>
      </c>
      <c r="D756" s="43" t="inlineStr">
        <is>
          <t>Q355D</t>
        </is>
      </c>
      <c r="E756" s="43" t="n">
        <v>15002</v>
      </c>
      <c r="F756" s="43" t="n">
        <v>170</v>
      </c>
      <c r="G756" s="43" t="n">
        <v>14</v>
      </c>
      <c r="H756" s="79">
        <f>(E756/1000)*(F756/1000)*(G756/1000)*7850</f>
        <v/>
      </c>
      <c r="I756" s="43" t="n">
        <v>2</v>
      </c>
      <c r="J756" s="80">
        <f>H756*I756</f>
        <v/>
      </c>
      <c r="K756" s="43" t="inlineStr">
        <is>
          <t>来源页90</t>
        </is>
      </c>
      <c r="L756" s="43">
        <f>A756</f>
        <v/>
      </c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43" t="n"/>
    </row>
    <row r="757">
      <c r="A757" s="43" t="inlineStr">
        <is>
          <t>N31</t>
        </is>
      </c>
      <c r="B757" s="43" t="inlineStr">
        <is>
          <t>斜腹杆</t>
        </is>
      </c>
      <c r="C757" s="43" t="inlineStr">
        <is>
          <t>节段11</t>
        </is>
      </c>
      <c r="D757" s="43" t="inlineStr">
        <is>
          <t>Q355D</t>
        </is>
      </c>
      <c r="E757" s="43" t="n">
        <v>7651</v>
      </c>
      <c r="F757" s="43" t="n">
        <v>900</v>
      </c>
      <c r="G757" s="43" t="n">
        <v>36</v>
      </c>
      <c r="H757" s="79">
        <f>(E757/1000)*(F757/1000)*(G757/1000)*7850</f>
        <v/>
      </c>
      <c r="I757" s="43" t="n">
        <v>2</v>
      </c>
      <c r="J757" s="80">
        <f>H757*I757</f>
        <v/>
      </c>
      <c r="K757" s="43" t="inlineStr">
        <is>
          <t>来源页90</t>
        </is>
      </c>
      <c r="L757" s="43">
        <f>A757</f>
        <v/>
      </c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43" t="n"/>
    </row>
    <row r="758">
      <c r="A758" s="43" t="inlineStr">
        <is>
          <t>N32</t>
        </is>
      </c>
      <c r="B758" s="43" t="inlineStr">
        <is>
          <t>斜腹杆</t>
        </is>
      </c>
      <c r="C758" s="43" t="inlineStr">
        <is>
          <t>节段11</t>
        </is>
      </c>
      <c r="D758" s="43" t="inlineStr">
        <is>
          <t>Q355D</t>
        </is>
      </c>
      <c r="E758" s="43" t="n">
        <v>12151</v>
      </c>
      <c r="F758" s="43" t="n">
        <v>1200</v>
      </c>
      <c r="G758" s="43" t="n">
        <v>32</v>
      </c>
      <c r="H758" s="79">
        <f>(E758/1000)*(F758/1000)*(G758/1000)*7850</f>
        <v/>
      </c>
      <c r="I758" s="43" t="n">
        <v>1</v>
      </c>
      <c r="J758" s="80">
        <f>H758*I758</f>
        <v/>
      </c>
      <c r="K758" s="43" t="inlineStr">
        <is>
          <t>来源页90</t>
        </is>
      </c>
      <c r="L758" s="43">
        <f>A758</f>
        <v/>
      </c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43" t="n"/>
    </row>
    <row r="759">
      <c r="A759" s="43" t="inlineStr">
        <is>
          <t>N33</t>
        </is>
      </c>
      <c r="B759" s="43" t="inlineStr">
        <is>
          <t>斜腹杆</t>
        </is>
      </c>
      <c r="C759" s="43" t="inlineStr">
        <is>
          <t>节段11</t>
        </is>
      </c>
      <c r="D759" s="43" t="inlineStr">
        <is>
          <t>Q355D</t>
        </is>
      </c>
      <c r="E759" s="43" t="n">
        <v>10751</v>
      </c>
      <c r="F759" s="43" t="n">
        <v>240</v>
      </c>
      <c r="G759" s="43" t="n">
        <v>24</v>
      </c>
      <c r="H759" s="79">
        <f>(E759/1000)*(F759/1000)*(G759/1000)*7850</f>
        <v/>
      </c>
      <c r="I759" s="43" t="n">
        <v>2</v>
      </c>
      <c r="J759" s="80">
        <f>H759*I759</f>
        <v/>
      </c>
      <c r="K759" s="43" t="inlineStr">
        <is>
          <t>来源页90</t>
        </is>
      </c>
      <c r="L759" s="43">
        <f>A759</f>
        <v/>
      </c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43" t="n"/>
    </row>
    <row r="760">
      <c r="A760" s="43" t="inlineStr">
        <is>
          <t>N41</t>
        </is>
      </c>
      <c r="B760" s="43" t="inlineStr">
        <is>
          <t>斜腹杆</t>
        </is>
      </c>
      <c r="C760" s="43" t="inlineStr">
        <is>
          <t>节段11</t>
        </is>
      </c>
      <c r="D760" s="43" t="inlineStr">
        <is>
          <t>Q355D</t>
        </is>
      </c>
      <c r="E760" s="43" t="n">
        <v>3752</v>
      </c>
      <c r="F760" s="43" t="n">
        <v>900</v>
      </c>
      <c r="G760" s="43" t="n">
        <v>36</v>
      </c>
      <c r="H760" s="79">
        <f>(E760/1000)*(F760/1000)*(G760/1000)*7850</f>
        <v/>
      </c>
      <c r="I760" s="43" t="n">
        <v>2</v>
      </c>
      <c r="J760" s="80">
        <f>H760*I760</f>
        <v/>
      </c>
      <c r="K760" s="43" t="inlineStr">
        <is>
          <t>来源页90</t>
        </is>
      </c>
      <c r="L760" s="43">
        <f>A760</f>
        <v/>
      </c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43" t="n"/>
    </row>
    <row r="761">
      <c r="A761" s="43" t="inlineStr">
        <is>
          <t>N42</t>
        </is>
      </c>
      <c r="B761" s="43" t="inlineStr">
        <is>
          <t>斜腹杆</t>
        </is>
      </c>
      <c r="C761" s="43" t="inlineStr">
        <is>
          <t>节段11</t>
        </is>
      </c>
      <c r="D761" s="43" t="inlineStr">
        <is>
          <t>Q355D</t>
        </is>
      </c>
      <c r="E761" s="43" t="n">
        <v>6052</v>
      </c>
      <c r="F761" s="43" t="n">
        <v>1200</v>
      </c>
      <c r="G761" s="43" t="n">
        <v>32</v>
      </c>
      <c r="H761" s="79">
        <f>(E761/1000)*(F761/1000)*(G761/1000)*7850</f>
        <v/>
      </c>
      <c r="I761" s="43" t="n">
        <v>1</v>
      </c>
      <c r="J761" s="80">
        <f>H761*I761</f>
        <v/>
      </c>
      <c r="K761" s="43" t="inlineStr">
        <is>
          <t>来源页90</t>
        </is>
      </c>
      <c r="L761" s="43">
        <f>A761</f>
        <v/>
      </c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43" t="n"/>
    </row>
    <row r="762">
      <c r="A762" s="43" t="inlineStr">
        <is>
          <t>N43</t>
        </is>
      </c>
      <c r="B762" s="43" t="inlineStr">
        <is>
          <t>斜腹杆</t>
        </is>
      </c>
      <c r="C762" s="43" t="inlineStr">
        <is>
          <t>节段11</t>
        </is>
      </c>
      <c r="D762" s="43" t="inlineStr">
        <is>
          <t>Q355D</t>
        </is>
      </c>
      <c r="E762" s="43" t="n">
        <v>5352</v>
      </c>
      <c r="F762" s="43" t="n">
        <v>240</v>
      </c>
      <c r="G762" s="43" t="n">
        <v>24</v>
      </c>
      <c r="H762" s="79">
        <f>(E762/1000)*(F762/1000)*(G762/1000)*7850</f>
        <v/>
      </c>
      <c r="I762" s="43" t="n">
        <v>2</v>
      </c>
      <c r="J762" s="80">
        <f>H762*I762</f>
        <v/>
      </c>
      <c r="K762" s="43" t="inlineStr">
        <is>
          <t>来源页90</t>
        </is>
      </c>
      <c r="L762" s="43">
        <f>A762</f>
        <v/>
      </c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43" t="n"/>
    </row>
    <row r="763">
      <c r="A763" s="43" t="inlineStr">
        <is>
          <t>N51</t>
        </is>
      </c>
      <c r="B763" s="43" t="inlineStr">
        <is>
          <t>斜腹杆</t>
        </is>
      </c>
      <c r="C763" s="43" t="inlineStr">
        <is>
          <t>节段11</t>
        </is>
      </c>
      <c r="D763" s="43" t="inlineStr">
        <is>
          <t>Q355D</t>
        </is>
      </c>
      <c r="E763" s="43" t="n">
        <v>3789</v>
      </c>
      <c r="F763" s="43" t="n">
        <v>900</v>
      </c>
      <c r="G763" s="43" t="n">
        <v>36</v>
      </c>
      <c r="H763" s="79">
        <f>(E763/1000)*(F763/1000)*(G763/1000)*7850</f>
        <v/>
      </c>
      <c r="I763" s="43" t="n">
        <v>2</v>
      </c>
      <c r="J763" s="80">
        <f>H763*I763</f>
        <v/>
      </c>
      <c r="K763" s="43" t="inlineStr">
        <is>
          <t>来源页90</t>
        </is>
      </c>
      <c r="L763" s="43">
        <f>A763</f>
        <v/>
      </c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43" t="n"/>
    </row>
    <row r="764">
      <c r="A764" s="43" t="inlineStr">
        <is>
          <t>N52</t>
        </is>
      </c>
      <c r="B764" s="43" t="inlineStr">
        <is>
          <t>斜腹杆</t>
        </is>
      </c>
      <c r="C764" s="43" t="inlineStr">
        <is>
          <t>节段11</t>
        </is>
      </c>
      <c r="D764" s="43" t="inlineStr">
        <is>
          <t>Q355D</t>
        </is>
      </c>
      <c r="E764" s="43" t="n">
        <v>5989</v>
      </c>
      <c r="F764" s="43" t="n">
        <v>1200</v>
      </c>
      <c r="G764" s="43" t="n">
        <v>32</v>
      </c>
      <c r="H764" s="79">
        <f>(E764/1000)*(F764/1000)*(G764/1000)*7850</f>
        <v/>
      </c>
      <c r="I764" s="43" t="n">
        <v>1</v>
      </c>
      <c r="J764" s="80">
        <f>H764*I764</f>
        <v/>
      </c>
      <c r="K764" s="43" t="inlineStr">
        <is>
          <t>来源页90</t>
        </is>
      </c>
      <c r="L764" s="43">
        <f>A764</f>
        <v/>
      </c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43" t="n"/>
    </row>
    <row r="765">
      <c r="A765" s="43" t="inlineStr">
        <is>
          <t>N53</t>
        </is>
      </c>
      <c r="B765" s="43" t="inlineStr">
        <is>
          <t>斜腹杆</t>
        </is>
      </c>
      <c r="C765" s="43" t="inlineStr">
        <is>
          <t>节段11</t>
        </is>
      </c>
      <c r="D765" s="43" t="inlineStr">
        <is>
          <t>Q355D</t>
        </is>
      </c>
      <c r="E765" s="43" t="n">
        <v>5289</v>
      </c>
      <c r="F765" s="43" t="n">
        <v>240</v>
      </c>
      <c r="G765" s="43" t="n">
        <v>24</v>
      </c>
      <c r="H765" s="79">
        <f>(E765/1000)*(F765/1000)*(G765/1000)*7850</f>
        <v/>
      </c>
      <c r="I765" s="43" t="n">
        <v>2</v>
      </c>
      <c r="J765" s="80">
        <f>H765*I765</f>
        <v/>
      </c>
      <c r="K765" s="43" t="inlineStr">
        <is>
          <t>来源页90</t>
        </is>
      </c>
      <c r="L765" s="43">
        <f>A765</f>
        <v/>
      </c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43" t="n"/>
    </row>
    <row r="766">
      <c r="A766" s="43" t="inlineStr">
        <is>
          <t>N54</t>
        </is>
      </c>
      <c r="B766" s="43" t="inlineStr">
        <is>
          <t>节点板加劲</t>
        </is>
      </c>
      <c r="C766" s="43" t="inlineStr">
        <is>
          <t>节段11</t>
        </is>
      </c>
      <c r="D766" s="43" t="inlineStr">
        <is>
          <t>Q355D</t>
        </is>
      </c>
      <c r="E766" s="43" t="n">
        <v>1123</v>
      </c>
      <c r="F766" s="43" t="n">
        <v>1200</v>
      </c>
      <c r="G766" s="43" t="n">
        <v>20</v>
      </c>
      <c r="H766" s="79">
        <f>(E766/1000)*(F766/1000)*(G766/1000)*7850</f>
        <v/>
      </c>
      <c r="I766" s="43" t="n">
        <v>1</v>
      </c>
      <c r="J766" s="80">
        <f>H766*I766</f>
        <v/>
      </c>
      <c r="K766" s="43" t="inlineStr">
        <is>
          <t>来源页90</t>
        </is>
      </c>
      <c r="L766" s="43">
        <f>A766</f>
        <v/>
      </c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43" t="n"/>
    </row>
    <row r="767">
      <c r="A767" s="43" t="inlineStr">
        <is>
          <t>N55</t>
        </is>
      </c>
      <c r="B767" s="43" t="inlineStr">
        <is>
          <t>节点板加劲</t>
        </is>
      </c>
      <c r="C767" s="43" t="inlineStr">
        <is>
          <t>节段11</t>
        </is>
      </c>
      <c r="D767" s="43" t="inlineStr">
        <is>
          <t>Q355D</t>
        </is>
      </c>
      <c r="E767" s="43" t="n">
        <v>1032</v>
      </c>
      <c r="F767" s="43" t="n">
        <v>1200</v>
      </c>
      <c r="G767" s="43" t="n">
        <v>20</v>
      </c>
      <c r="H767" s="79">
        <f>(E767/1000)*(F767/1000)*(G767/1000)*7850</f>
        <v/>
      </c>
      <c r="I767" s="43" t="n">
        <v>2</v>
      </c>
      <c r="J767" s="80">
        <f>H767*I767</f>
        <v/>
      </c>
      <c r="K767" s="43" t="inlineStr">
        <is>
          <t>来源页90</t>
        </is>
      </c>
      <c r="L767" s="43">
        <f>A767</f>
        <v/>
      </c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43" t="n"/>
    </row>
    <row r="768">
      <c r="A768" s="43" t="inlineStr">
        <is>
          <t>N61a</t>
        </is>
      </c>
      <c r="B768" s="43" t="inlineStr">
        <is>
          <t>横梁接头</t>
        </is>
      </c>
      <c r="C768" s="43" t="inlineStr">
        <is>
          <t>节段11</t>
        </is>
      </c>
      <c r="D768" s="43" t="inlineStr">
        <is>
          <t>Q355D</t>
        </is>
      </c>
      <c r="E768" s="43" t="n">
        <v>1980</v>
      </c>
      <c r="F768" s="43" t="n">
        <v>622</v>
      </c>
      <c r="G768" s="43" t="n">
        <v>14</v>
      </c>
      <c r="H768" s="79">
        <f>(E768/1000)*(F768/1000)*(G768/1000)*7850</f>
        <v/>
      </c>
      <c r="I768" s="43" t="n">
        <v>4</v>
      </c>
      <c r="J768" s="80">
        <f>H768*I768</f>
        <v/>
      </c>
      <c r="K768" s="43" t="inlineStr">
        <is>
          <t>来源页90</t>
        </is>
      </c>
      <c r="L768" s="43">
        <f>A768</f>
        <v/>
      </c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43" t="n"/>
    </row>
    <row r="769">
      <c r="A769" s="43" t="inlineStr">
        <is>
          <t>N62a</t>
        </is>
      </c>
      <c r="B769" s="43" t="inlineStr">
        <is>
          <t>横梁接头</t>
        </is>
      </c>
      <c r="C769" s="43" t="inlineStr">
        <is>
          <t>节段11</t>
        </is>
      </c>
      <c r="D769" s="43" t="inlineStr">
        <is>
          <t>Q355D</t>
        </is>
      </c>
      <c r="E769" s="43" t="n"/>
      <c r="F769" s="43" t="n"/>
      <c r="G769" s="43" t="n">
        <v>24</v>
      </c>
      <c r="H769" s="79">
        <f>(E769/1000)*(F769/1000)*(G769/1000)*7850</f>
        <v/>
      </c>
      <c r="I769" s="43" t="n">
        <v>4</v>
      </c>
      <c r="J769" s="80">
        <f>H769*I769</f>
        <v/>
      </c>
      <c r="K769" s="43" t="inlineStr">
        <is>
          <t>来源页90</t>
        </is>
      </c>
      <c r="L769" s="43">
        <f>A769</f>
        <v/>
      </c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43" t="n"/>
    </row>
    <row r="770">
      <c r="A770" s="43" t="inlineStr">
        <is>
          <t>N63a</t>
        </is>
      </c>
      <c r="B770" s="43" t="inlineStr">
        <is>
          <t>横梁接头</t>
        </is>
      </c>
      <c r="C770" s="43" t="inlineStr">
        <is>
          <t>节段11</t>
        </is>
      </c>
      <c r="D770" s="43" t="inlineStr">
        <is>
          <t>Q355D</t>
        </is>
      </c>
      <c r="E770" s="43" t="n">
        <v>1800</v>
      </c>
      <c r="F770" s="43" t="n">
        <v>618</v>
      </c>
      <c r="G770" s="43" t="n">
        <v>14</v>
      </c>
      <c r="H770" s="79">
        <f>(E770/1000)*(F770/1000)*(G770/1000)*7850</f>
        <v/>
      </c>
      <c r="I770" s="43" t="n">
        <v>4</v>
      </c>
      <c r="J770" s="80">
        <f>H770*I770</f>
        <v/>
      </c>
      <c r="K770" s="43" t="inlineStr">
        <is>
          <t>来源页90</t>
        </is>
      </c>
      <c r="L770" s="43">
        <f>A770</f>
        <v/>
      </c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43" t="n"/>
    </row>
    <row r="771">
      <c r="A771" s="43" t="inlineStr">
        <is>
          <t>P1</t>
        </is>
      </c>
      <c r="B771" s="43" t="inlineStr">
        <is>
          <t>上弦杆拼接</t>
        </is>
      </c>
      <c r="C771" s="43" t="inlineStr"/>
      <c r="D771" s="43" t="inlineStr">
        <is>
          <t>Q355D</t>
        </is>
      </c>
      <c r="E771" s="43" t="n">
        <v>820</v>
      </c>
      <c r="F771" s="43" t="n">
        <v>1800</v>
      </c>
      <c r="G771" s="43" t="n">
        <v>24</v>
      </c>
      <c r="H771" s="79">
        <f>(E771/1000)*(F771/1000)*(G771/1000)*7850</f>
        <v/>
      </c>
      <c r="I771" s="43" t="n">
        <v>2</v>
      </c>
      <c r="J771" s="80">
        <f>H771*I771</f>
        <v/>
      </c>
      <c r="K771" s="43" t="inlineStr">
        <is>
          <t>来源页93</t>
        </is>
      </c>
      <c r="L771" s="43">
        <f>A771</f>
        <v/>
      </c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43" t="n"/>
    </row>
    <row r="772">
      <c r="A772" s="43" t="inlineStr">
        <is>
          <t>P2</t>
        </is>
      </c>
      <c r="B772" s="43" t="inlineStr">
        <is>
          <t>上弦杆拼接</t>
        </is>
      </c>
      <c r="C772" s="43" t="inlineStr"/>
      <c r="D772" s="43" t="inlineStr">
        <is>
          <t>Q355D</t>
        </is>
      </c>
      <c r="E772" s="43" t="n">
        <v>820</v>
      </c>
      <c r="F772" s="43" t="n">
        <v>500</v>
      </c>
      <c r="G772" s="43" t="n">
        <v>24</v>
      </c>
      <c r="H772" s="79">
        <f>(E772/1000)*(F772/1000)*(G772/1000)*7850</f>
        <v/>
      </c>
      <c r="I772" s="43" t="n">
        <v>2</v>
      </c>
      <c r="J772" s="80">
        <f>H772*I772</f>
        <v/>
      </c>
      <c r="K772" s="43" t="inlineStr">
        <is>
          <t>来源页93</t>
        </is>
      </c>
      <c r="L772" s="43">
        <f>A772</f>
        <v/>
      </c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43" t="n"/>
    </row>
    <row r="773">
      <c r="A773" s="43" t="inlineStr">
        <is>
          <t>P3</t>
        </is>
      </c>
      <c r="B773" s="43" t="inlineStr">
        <is>
          <t>上弦杆拼接</t>
        </is>
      </c>
      <c r="C773" s="43" t="inlineStr"/>
      <c r="D773" s="43" t="inlineStr">
        <is>
          <t>Q355D</t>
        </is>
      </c>
      <c r="E773" s="43" t="n">
        <v>820</v>
      </c>
      <c r="F773" s="43" t="n">
        <v>500</v>
      </c>
      <c r="G773" s="43" t="n">
        <v>24</v>
      </c>
      <c r="H773" s="79">
        <f>(E773/1000)*(F773/1000)*(G773/1000)*7850</f>
        <v/>
      </c>
      <c r="I773" s="43" t="n">
        <v>2</v>
      </c>
      <c r="J773" s="80">
        <f>H773*I773</f>
        <v/>
      </c>
      <c r="K773" s="43" t="inlineStr">
        <is>
          <t>来源页93</t>
        </is>
      </c>
      <c r="L773" s="43">
        <f>A773</f>
        <v/>
      </c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43" t="n"/>
    </row>
    <row r="774">
      <c r="A774" s="43" t="inlineStr">
        <is>
          <t>P4</t>
        </is>
      </c>
      <c r="B774" s="43" t="inlineStr">
        <is>
          <t>上弦杆拼接</t>
        </is>
      </c>
      <c r="C774" s="43" t="inlineStr"/>
      <c r="D774" s="43" t="inlineStr">
        <is>
          <t>Q355D</t>
        </is>
      </c>
      <c r="E774" s="43" t="n">
        <v>820</v>
      </c>
      <c r="F774" s="43" t="n">
        <v>600</v>
      </c>
      <c r="G774" s="43" t="n">
        <v>24</v>
      </c>
      <c r="H774" s="79">
        <f>(E774/1000)*(F774/1000)*(G774/1000)*7850</f>
        <v/>
      </c>
      <c r="I774" s="43" t="n">
        <v>2</v>
      </c>
      <c r="J774" s="80">
        <f>H774*I774</f>
        <v/>
      </c>
      <c r="K774" s="43" t="inlineStr">
        <is>
          <t>来源页93</t>
        </is>
      </c>
      <c r="L774" s="43">
        <f>A774</f>
        <v/>
      </c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43" t="n"/>
    </row>
    <row r="775">
      <c r="A775" s="43" t="inlineStr">
        <is>
          <t>P5</t>
        </is>
      </c>
      <c r="B775" s="43" t="inlineStr">
        <is>
          <t>上弦杆拼接</t>
        </is>
      </c>
      <c r="C775" s="43" t="inlineStr"/>
      <c r="D775" s="43" t="inlineStr">
        <is>
          <t>Q355D</t>
        </is>
      </c>
      <c r="E775" s="43" t="n">
        <v>920</v>
      </c>
      <c r="F775" s="43" t="n">
        <v>1100</v>
      </c>
      <c r="G775" s="43" t="n">
        <v>28</v>
      </c>
      <c r="H775" s="79">
        <f>(E775/1000)*(F775/1000)*(G775/1000)*7850</f>
        <v/>
      </c>
      <c r="I775" s="43" t="n">
        <v>1</v>
      </c>
      <c r="J775" s="80">
        <f>H775*I775</f>
        <v/>
      </c>
      <c r="K775" s="43" t="inlineStr">
        <is>
          <t>来源页93</t>
        </is>
      </c>
      <c r="L775" s="43">
        <f>A775</f>
        <v/>
      </c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43" t="n"/>
    </row>
    <row r="776">
      <c r="A776" s="43" t="inlineStr">
        <is>
          <t>P6</t>
        </is>
      </c>
      <c r="B776" s="43" t="inlineStr">
        <is>
          <t>上弦杆拼接</t>
        </is>
      </c>
      <c r="C776" s="43" t="inlineStr"/>
      <c r="D776" s="43" t="inlineStr">
        <is>
          <t>Q355D</t>
        </is>
      </c>
      <c r="E776" s="43" t="n">
        <v>920</v>
      </c>
      <c r="F776" s="43" t="n">
        <v>400</v>
      </c>
      <c r="G776" s="43" t="n">
        <v>28</v>
      </c>
      <c r="H776" s="79">
        <f>(E776/1000)*(F776/1000)*(G776/1000)*7850</f>
        <v/>
      </c>
      <c r="I776" s="43" t="n">
        <v>2</v>
      </c>
      <c r="J776" s="80">
        <f>H776*I776</f>
        <v/>
      </c>
      <c r="K776" s="43" t="inlineStr">
        <is>
          <t>来源页93</t>
        </is>
      </c>
      <c r="L776" s="43">
        <f>A776</f>
        <v/>
      </c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43" t="n"/>
    </row>
    <row r="777">
      <c r="A777" s="43" t="inlineStr">
        <is>
          <t>P7</t>
        </is>
      </c>
      <c r="B777" s="43" t="inlineStr">
        <is>
          <t>上弦杆拼接</t>
        </is>
      </c>
      <c r="C777" s="43" t="inlineStr"/>
      <c r="D777" s="43" t="inlineStr">
        <is>
          <t>Q355D</t>
        </is>
      </c>
      <c r="E777" s="43" t="n">
        <v>920</v>
      </c>
      <c r="F777" s="43" t="n">
        <v>200</v>
      </c>
      <c r="G777" s="43" t="n">
        <v>14</v>
      </c>
      <c r="H777" s="79">
        <f>(E777/1000)*(F777/1000)*(G777/1000)*7850</f>
        <v/>
      </c>
      <c r="I777" s="43" t="n">
        <v>10</v>
      </c>
      <c r="J777" s="80">
        <f>H777*I777</f>
        <v/>
      </c>
      <c r="K777" s="43" t="inlineStr">
        <is>
          <t>来源页93</t>
        </is>
      </c>
      <c r="L777" s="43">
        <f>A777</f>
        <v/>
      </c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43" t="n"/>
    </row>
    <row r="778">
      <c r="A778" s="43" t="inlineStr">
        <is>
          <t>P8</t>
        </is>
      </c>
      <c r="B778" s="43" t="inlineStr">
        <is>
          <t>上弦杆拼接</t>
        </is>
      </c>
      <c r="C778" s="43" t="inlineStr"/>
      <c r="D778" s="43" t="inlineStr">
        <is>
          <t>Q355D</t>
        </is>
      </c>
      <c r="E778" s="43" t="n">
        <v>600</v>
      </c>
      <c r="F778" s="43" t="n">
        <v>1800</v>
      </c>
      <c r="G778" s="43" t="n">
        <v>12</v>
      </c>
      <c r="H778" s="79">
        <f>(E778/1000)*(F778/1000)*(G778/1000)*7850</f>
        <v/>
      </c>
      <c r="I778" s="43" t="n">
        <v>2</v>
      </c>
      <c r="J778" s="80">
        <f>H778*I778</f>
        <v/>
      </c>
      <c r="K778" s="43" t="inlineStr">
        <is>
          <t>填板；来源页93</t>
        </is>
      </c>
      <c r="L778" s="43">
        <f>A778</f>
        <v/>
      </c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43" t="n"/>
    </row>
    <row r="779">
      <c r="A779" s="43" t="inlineStr">
        <is>
          <t>P9</t>
        </is>
      </c>
      <c r="B779" s="43" t="inlineStr">
        <is>
          <t>上弦杆拼接</t>
        </is>
      </c>
      <c r="C779" s="43" t="inlineStr"/>
      <c r="D779" s="43" t="inlineStr">
        <is>
          <t>Q355D</t>
        </is>
      </c>
      <c r="E779" s="43" t="n">
        <v>700</v>
      </c>
      <c r="F779" s="43" t="n">
        <v>1100</v>
      </c>
      <c r="G779" s="43" t="n">
        <v>4</v>
      </c>
      <c r="H779" s="79">
        <f>(E779/1000)*(F779/1000)*(G779/1000)*7850</f>
        <v/>
      </c>
      <c r="I779" s="43" t="n">
        <v>0</v>
      </c>
      <c r="J779" s="80">
        <f>H779*I779</f>
        <v/>
      </c>
      <c r="K779" s="43" t="inlineStr">
        <is>
          <t>填板；来源页93</t>
        </is>
      </c>
      <c r="L779" s="43">
        <f>A779</f>
        <v/>
      </c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43" t="n"/>
    </row>
    <row r="780">
      <c r="A780" s="43" t="inlineStr">
        <is>
          <t>M30高强螺栓</t>
        </is>
      </c>
      <c r="B780" s="43" t="inlineStr">
        <is>
          <t>上弦杆拼接</t>
        </is>
      </c>
      <c r="C780" s="43" t="inlineStr"/>
      <c r="D780" s="43" t="inlineStr">
        <is>
          <t>10.9S</t>
        </is>
      </c>
      <c r="E780" s="43" t="n"/>
      <c r="F780" s="43" t="n"/>
      <c r="G780" s="43" t="n"/>
      <c r="H780" s="79">
        <f>(E780/1000)*(F780/1000)*(G780/1000)*7850</f>
        <v/>
      </c>
      <c r="I780" s="43" t="n">
        <v>424</v>
      </c>
      <c r="J780" s="80">
        <f>H780*I780</f>
        <v/>
      </c>
      <c r="K780" s="43" t="inlineStr">
        <is>
          <t>来源页93</t>
        </is>
      </c>
      <c r="L780" s="43">
        <f>A780</f>
        <v/>
      </c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43" t="n"/>
    </row>
    <row r="781">
      <c r="A781" s="43" t="inlineStr">
        <is>
          <t>K1</t>
        </is>
      </c>
      <c r="B781" s="43" t="inlineStr">
        <is>
          <t>下弦杆拼接</t>
        </is>
      </c>
      <c r="C781" s="43" t="inlineStr"/>
      <c r="D781" s="43" t="inlineStr">
        <is>
          <t>Q355D</t>
        </is>
      </c>
      <c r="E781" s="43" t="n">
        <v>1020</v>
      </c>
      <c r="F781" s="43" t="n">
        <v>1700</v>
      </c>
      <c r="G781" s="43" t="n">
        <v>24</v>
      </c>
      <c r="H781" s="79">
        <f>(E781/1000)*(F781/1000)*(G781/1000)*7850</f>
        <v/>
      </c>
      <c r="I781" s="43" t="n">
        <v>2</v>
      </c>
      <c r="J781" s="80">
        <f>H781*I781</f>
        <v/>
      </c>
      <c r="K781" s="43" t="inlineStr">
        <is>
          <t>来源页93</t>
        </is>
      </c>
      <c r="L781" s="43">
        <f>A781</f>
        <v/>
      </c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43" t="n"/>
    </row>
    <row r="782">
      <c r="A782" s="43" t="inlineStr">
        <is>
          <t>K2</t>
        </is>
      </c>
      <c r="B782" s="43" t="inlineStr">
        <is>
          <t>下弦杆拼接</t>
        </is>
      </c>
      <c r="C782" s="43" t="inlineStr"/>
      <c r="D782" s="43" t="inlineStr">
        <is>
          <t>Q355D</t>
        </is>
      </c>
      <c r="E782" s="43" t="n">
        <v>1020</v>
      </c>
      <c r="F782" s="43" t="n">
        <v>800</v>
      </c>
      <c r="G782" s="43" t="n">
        <v>24</v>
      </c>
      <c r="H782" s="79">
        <f>(E782/1000)*(F782/1000)*(G782/1000)*7850</f>
        <v/>
      </c>
      <c r="I782" s="43" t="n">
        <v>4</v>
      </c>
      <c r="J782" s="80">
        <f>H782*I782</f>
        <v/>
      </c>
      <c r="K782" s="43" t="inlineStr">
        <is>
          <t>来源页93</t>
        </is>
      </c>
      <c r="L782" s="43">
        <f>A782</f>
        <v/>
      </c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43" t="n"/>
    </row>
    <row r="783">
      <c r="A783" s="43" t="inlineStr">
        <is>
          <t>K3</t>
        </is>
      </c>
      <c r="B783" s="43" t="inlineStr">
        <is>
          <t>下弦杆拼接</t>
        </is>
      </c>
      <c r="C783" s="43" t="inlineStr"/>
      <c r="D783" s="43" t="inlineStr">
        <is>
          <t>Q355D</t>
        </is>
      </c>
      <c r="E783" s="43" t="n">
        <v>1320</v>
      </c>
      <c r="F783" s="43" t="n">
        <v>1100</v>
      </c>
      <c r="G783" s="43" t="n">
        <v>36</v>
      </c>
      <c r="H783" s="79">
        <f>(E783/1000)*(F783/1000)*(G783/1000)*7850</f>
        <v/>
      </c>
      <c r="I783" s="43" t="n">
        <v>1</v>
      </c>
      <c r="J783" s="80">
        <f>H783*I783</f>
        <v/>
      </c>
      <c r="K783" s="43" t="inlineStr">
        <is>
          <t>来源页93</t>
        </is>
      </c>
      <c r="L783" s="43">
        <f>A783</f>
        <v/>
      </c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43" t="n"/>
    </row>
    <row r="784">
      <c r="A784" s="43" t="inlineStr">
        <is>
          <t>K4</t>
        </is>
      </c>
      <c r="B784" s="43" t="inlineStr">
        <is>
          <t>下弦杆拼接</t>
        </is>
      </c>
      <c r="C784" s="43" t="inlineStr"/>
      <c r="D784" s="43" t="inlineStr">
        <is>
          <t>Q355D</t>
        </is>
      </c>
      <c r="E784" s="43" t="n">
        <v>1320</v>
      </c>
      <c r="F784" s="43" t="n">
        <v>400</v>
      </c>
      <c r="G784" s="43" t="n">
        <v>36</v>
      </c>
      <c r="H784" s="79">
        <f>(E784/1000)*(F784/1000)*(G784/1000)*7850</f>
        <v/>
      </c>
      <c r="I784" s="43" t="n">
        <v>2</v>
      </c>
      <c r="J784" s="80">
        <f>H784*I784</f>
        <v/>
      </c>
      <c r="K784" s="43" t="inlineStr">
        <is>
          <t>来源页93</t>
        </is>
      </c>
      <c r="L784" s="43">
        <f>A784</f>
        <v/>
      </c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43" t="n"/>
    </row>
    <row r="785">
      <c r="A785" s="43" t="inlineStr">
        <is>
          <t>K5</t>
        </is>
      </c>
      <c r="B785" s="43" t="inlineStr">
        <is>
          <t>下弦杆拼接</t>
        </is>
      </c>
      <c r="C785" s="43" t="inlineStr"/>
      <c r="D785" s="43" t="inlineStr">
        <is>
          <t>Q355D</t>
        </is>
      </c>
      <c r="E785" s="43" t="n">
        <v>920</v>
      </c>
      <c r="F785" s="43" t="n">
        <v>200</v>
      </c>
      <c r="G785" s="43" t="n">
        <v>20</v>
      </c>
      <c r="H785" s="79">
        <f>(E785/1000)*(F785/1000)*(G785/1000)*7850</f>
        <v/>
      </c>
      <c r="I785" s="43" t="n">
        <v>6</v>
      </c>
      <c r="J785" s="80">
        <f>H785*I785</f>
        <v/>
      </c>
      <c r="K785" s="43" t="inlineStr">
        <is>
          <t>来源页93</t>
        </is>
      </c>
      <c r="L785" s="43">
        <f>A785</f>
        <v/>
      </c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43" t="n"/>
    </row>
    <row r="786">
      <c r="A786" s="43" t="inlineStr">
        <is>
          <t>K6</t>
        </is>
      </c>
      <c r="B786" s="43" t="inlineStr">
        <is>
          <t>下弦杆拼接</t>
        </is>
      </c>
      <c r="C786" s="43" t="inlineStr"/>
      <c r="D786" s="43" t="inlineStr">
        <is>
          <t>Q355D</t>
        </is>
      </c>
      <c r="E786" s="43" t="n">
        <v>500</v>
      </c>
      <c r="F786" s="43" t="n">
        <v>1700</v>
      </c>
      <c r="G786" s="43" t="n">
        <v>12</v>
      </c>
      <c r="H786" s="79">
        <f>(E786/1000)*(F786/1000)*(G786/1000)*7850</f>
        <v/>
      </c>
      <c r="I786" s="43" t="n">
        <v>2</v>
      </c>
      <c r="J786" s="80">
        <f>H786*I786</f>
        <v/>
      </c>
      <c r="K786" s="43" t="inlineStr">
        <is>
          <t>填板；来源页93</t>
        </is>
      </c>
      <c r="L786" s="43">
        <f>A786</f>
        <v/>
      </c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43" t="n"/>
    </row>
    <row r="787">
      <c r="A787" s="43" t="inlineStr">
        <is>
          <t>K7</t>
        </is>
      </c>
      <c r="B787" s="43" t="inlineStr">
        <is>
          <t>下弦杆拼接</t>
        </is>
      </c>
      <c r="C787" s="43" t="inlineStr"/>
      <c r="D787" s="43" t="inlineStr">
        <is>
          <t>Q355D</t>
        </is>
      </c>
      <c r="E787" s="43" t="n">
        <v>650</v>
      </c>
      <c r="F787" s="43" t="n">
        <v>1100</v>
      </c>
      <c r="G787" s="43" t="n">
        <v>4</v>
      </c>
      <c r="H787" s="79">
        <f>(E787/1000)*(F787/1000)*(G787/1000)*7850</f>
        <v/>
      </c>
      <c r="I787" s="43" t="n">
        <v>0</v>
      </c>
      <c r="J787" s="80">
        <f>H787*I787</f>
        <v/>
      </c>
      <c r="K787" s="43" t="inlineStr">
        <is>
          <t>填板；来源页93</t>
        </is>
      </c>
      <c r="L787" s="43">
        <f>A787</f>
        <v/>
      </c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43" t="n"/>
    </row>
    <row r="788">
      <c r="A788" s="43" t="inlineStr">
        <is>
          <t>M30高强螺栓</t>
        </is>
      </c>
      <c r="B788" s="43" t="inlineStr">
        <is>
          <t>下弦杆拼接</t>
        </is>
      </c>
      <c r="C788" s="43" t="inlineStr"/>
      <c r="D788" s="43" t="inlineStr">
        <is>
          <t>10.9S</t>
        </is>
      </c>
      <c r="E788" s="43" t="n"/>
      <c r="F788" s="43" t="n"/>
      <c r="G788" s="43" t="n"/>
      <c r="H788" s="79">
        <f>(E788/1000)*(F788/1000)*(G788/1000)*7850</f>
        <v/>
      </c>
      <c r="I788" s="43" t="n">
        <v>324</v>
      </c>
      <c r="J788" s="80">
        <f>H788*I788</f>
        <v/>
      </c>
      <c r="K788" s="43" t="inlineStr">
        <is>
          <t>来源页93</t>
        </is>
      </c>
      <c r="L788" s="43">
        <f>A788</f>
        <v/>
      </c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43" t="n"/>
    </row>
    <row r="789">
      <c r="A789" s="43" t="inlineStr">
        <is>
          <t>L1</t>
        </is>
      </c>
      <c r="B789" s="43" t="inlineStr">
        <is>
          <t>腹杆拼接</t>
        </is>
      </c>
      <c r="C789" s="43" t="inlineStr"/>
      <c r="D789" s="43" t="inlineStr">
        <is>
          <t>Q355D</t>
        </is>
      </c>
      <c r="E789" s="43" t="n">
        <v>1320</v>
      </c>
      <c r="F789" s="43" t="n">
        <v>900</v>
      </c>
      <c r="G789" s="43" t="n">
        <v>28</v>
      </c>
      <c r="H789" s="79">
        <f>(E789/1000)*(F789/1000)*(G789/1000)*7850</f>
        <v/>
      </c>
      <c r="I789" s="43" t="n">
        <v>2</v>
      </c>
      <c r="J789" s="80">
        <f>H789*I789</f>
        <v/>
      </c>
      <c r="K789" s="43" t="inlineStr">
        <is>
          <t>来源页93</t>
        </is>
      </c>
      <c r="L789" s="43">
        <f>A789</f>
        <v/>
      </c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43" t="n"/>
    </row>
    <row r="790">
      <c r="A790" s="43" t="inlineStr">
        <is>
          <t>L2</t>
        </is>
      </c>
      <c r="B790" s="43" t="inlineStr">
        <is>
          <t>腹杆拼接</t>
        </is>
      </c>
      <c r="C790" s="43" t="inlineStr"/>
      <c r="D790" s="43" t="inlineStr">
        <is>
          <t>Q355D</t>
        </is>
      </c>
      <c r="E790" s="43" t="n">
        <v>1320</v>
      </c>
      <c r="F790" s="43" t="n">
        <v>400</v>
      </c>
      <c r="G790" s="43" t="n">
        <v>28</v>
      </c>
      <c r="H790" s="79">
        <f>(E790/1000)*(F790/1000)*(G790/1000)*7850</f>
        <v/>
      </c>
      <c r="I790" s="43" t="n">
        <v>4</v>
      </c>
      <c r="J790" s="80">
        <f>H790*I790</f>
        <v/>
      </c>
      <c r="K790" s="43" t="inlineStr">
        <is>
          <t>来源页93</t>
        </is>
      </c>
      <c r="L790" s="43">
        <f>A790</f>
        <v/>
      </c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43" t="n"/>
    </row>
    <row r="791">
      <c r="A791" s="43" t="inlineStr">
        <is>
          <t>L3</t>
        </is>
      </c>
      <c r="B791" s="43" t="inlineStr">
        <is>
          <t>腹杆拼接</t>
        </is>
      </c>
      <c r="C791" s="43" t="inlineStr"/>
      <c r="D791" s="43" t="inlineStr">
        <is>
          <t>Q355D</t>
        </is>
      </c>
      <c r="E791" s="43" t="n">
        <v>1320</v>
      </c>
      <c r="F791" s="43" t="n">
        <v>500</v>
      </c>
      <c r="G791" s="43" t="n">
        <v>28</v>
      </c>
      <c r="H791" s="79">
        <f>(E791/1000)*(F791/1000)*(G791/1000)*7850</f>
        <v/>
      </c>
      <c r="I791" s="43" t="n">
        <v>4</v>
      </c>
      <c r="J791" s="80">
        <f>H791*I791</f>
        <v/>
      </c>
      <c r="K791" s="43" t="inlineStr">
        <is>
          <t>来源页93</t>
        </is>
      </c>
      <c r="L791" s="43">
        <f>A791</f>
        <v/>
      </c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43" t="n"/>
    </row>
    <row r="792">
      <c r="A792" s="43" t="inlineStr">
        <is>
          <t>L4</t>
        </is>
      </c>
      <c r="B792" s="43" t="inlineStr">
        <is>
          <t>腹杆拼接</t>
        </is>
      </c>
      <c r="C792" s="43" t="inlineStr"/>
      <c r="D792" s="43" t="inlineStr">
        <is>
          <t>Q355D</t>
        </is>
      </c>
      <c r="E792" s="43" t="n">
        <v>820</v>
      </c>
      <c r="F792" s="43" t="n">
        <v>200</v>
      </c>
      <c r="G792" s="43" t="n">
        <v>20</v>
      </c>
      <c r="H792" s="79">
        <f>(E792/1000)*(F792/1000)*(G792/1000)*7850</f>
        <v/>
      </c>
      <c r="I792" s="43" t="n">
        <v>4</v>
      </c>
      <c r="J792" s="80">
        <f>H792*I792</f>
        <v/>
      </c>
      <c r="K792" s="43" t="inlineStr">
        <is>
          <t>来源页93</t>
        </is>
      </c>
      <c r="L792" s="43">
        <f>A792</f>
        <v/>
      </c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43" t="n"/>
    </row>
    <row r="793">
      <c r="A793" s="43" t="inlineStr">
        <is>
          <t>N11a</t>
        </is>
      </c>
      <c r="B793" s="43" t="inlineStr">
        <is>
          <t>上弦顶板</t>
        </is>
      </c>
      <c r="C793" s="43" t="inlineStr">
        <is>
          <t>节段12</t>
        </is>
      </c>
      <c r="D793" s="43" t="inlineStr">
        <is>
          <t>Q355D</t>
        </is>
      </c>
      <c r="E793" s="43" t="n"/>
      <c r="F793" s="43" t="n"/>
      <c r="G793" s="43" t="n">
        <v>20</v>
      </c>
      <c r="H793" s="79">
        <f>(E793/1000)*(F793/1000)*(G793/1000)*7850</f>
        <v/>
      </c>
      <c r="I793" s="43" t="n">
        <v>1</v>
      </c>
      <c r="J793" s="80">
        <f>H793*I793</f>
        <v/>
      </c>
      <c r="K793" s="43" t="inlineStr">
        <is>
          <t>来源页94</t>
        </is>
      </c>
      <c r="L793" s="43">
        <f>A793</f>
        <v/>
      </c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43" t="n"/>
    </row>
    <row r="794">
      <c r="A794" s="43" t="inlineStr">
        <is>
          <t>N11b</t>
        </is>
      </c>
      <c r="B794" s="43" t="inlineStr">
        <is>
          <t>上弦顶板</t>
        </is>
      </c>
      <c r="C794" s="43" t="inlineStr">
        <is>
          <t>节段12</t>
        </is>
      </c>
      <c r="D794" s="43" t="inlineStr">
        <is>
          <t>Q355D</t>
        </is>
      </c>
      <c r="E794" s="43" t="n"/>
      <c r="F794" s="43" t="n"/>
      <c r="G794" s="43" t="n">
        <v>20</v>
      </c>
      <c r="H794" s="79">
        <f>(E794/1000)*(F794/1000)*(G794/1000)*7850</f>
        <v/>
      </c>
      <c r="I794" s="43" t="n">
        <v>1</v>
      </c>
      <c r="J794" s="80">
        <f>H794*I794</f>
        <v/>
      </c>
      <c r="K794" s="43" t="inlineStr">
        <is>
          <t>来源页94</t>
        </is>
      </c>
      <c r="L794" s="43">
        <f>A794</f>
        <v/>
      </c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43" t="n"/>
    </row>
    <row r="795">
      <c r="A795" s="43" t="inlineStr">
        <is>
          <t>N12a</t>
        </is>
      </c>
      <c r="B795" s="43" t="inlineStr">
        <is>
          <t>上弦底板</t>
        </is>
      </c>
      <c r="C795" s="43" t="inlineStr">
        <is>
          <t>节段12</t>
        </is>
      </c>
      <c r="D795" s="43" t="inlineStr">
        <is>
          <t>Q355D</t>
        </is>
      </c>
      <c r="E795" s="43" t="n">
        <v>7900</v>
      </c>
      <c r="F795" s="43" t="n">
        <v>1200</v>
      </c>
      <c r="G795" s="43" t="n">
        <v>20</v>
      </c>
      <c r="H795" s="79">
        <f>(E795/1000)*(F795/1000)*(G795/1000)*7850</f>
        <v/>
      </c>
      <c r="I795" s="43" t="n">
        <v>1</v>
      </c>
      <c r="J795" s="80">
        <f>H795*I795</f>
        <v/>
      </c>
      <c r="K795" s="43" t="inlineStr">
        <is>
          <t>来源页94</t>
        </is>
      </c>
      <c r="L795" s="43">
        <f>A795</f>
        <v/>
      </c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43" t="n"/>
    </row>
    <row r="796">
      <c r="A796" s="43" t="inlineStr">
        <is>
          <t>N12b</t>
        </is>
      </c>
      <c r="B796" s="43" t="inlineStr">
        <is>
          <t>上弦底板</t>
        </is>
      </c>
      <c r="C796" s="43" t="inlineStr">
        <is>
          <t>节段12</t>
        </is>
      </c>
      <c r="D796" s="43" t="inlineStr">
        <is>
          <t>Q355D</t>
        </is>
      </c>
      <c r="E796" s="43" t="n">
        <v>7100</v>
      </c>
      <c r="F796" s="43" t="n">
        <v>1200</v>
      </c>
      <c r="G796" s="43" t="n">
        <v>20</v>
      </c>
      <c r="H796" s="79">
        <f>(E796/1000)*(F796/1000)*(G796/1000)*7850</f>
        <v/>
      </c>
      <c r="I796" s="43" t="n">
        <v>1</v>
      </c>
      <c r="J796" s="80">
        <f>H796*I796</f>
        <v/>
      </c>
      <c r="K796" s="43" t="inlineStr">
        <is>
          <t>来源页94</t>
        </is>
      </c>
      <c r="L796" s="43">
        <f>A796</f>
        <v/>
      </c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43" t="n"/>
    </row>
    <row r="797">
      <c r="A797" s="43" t="inlineStr">
        <is>
          <t>N13</t>
        </is>
      </c>
      <c r="B797" s="43" t="inlineStr">
        <is>
          <t>上弦节点板</t>
        </is>
      </c>
      <c r="C797" s="43" t="inlineStr">
        <is>
          <t>节段12</t>
        </is>
      </c>
      <c r="D797" s="43" t="inlineStr">
        <is>
          <t>Q355D</t>
        </is>
      </c>
      <c r="E797" s="43" t="n"/>
      <c r="F797" s="43" t="n"/>
      <c r="G797" s="43" t="n">
        <v>40</v>
      </c>
      <c r="H797" s="79">
        <f>(E797/1000)*(F797/1000)*(G797/1000)*7850</f>
        <v/>
      </c>
      <c r="I797" s="43" t="n">
        <v>2</v>
      </c>
      <c r="J797" s="80">
        <f>H797*I797</f>
        <v/>
      </c>
      <c r="K797" s="43" t="inlineStr">
        <is>
          <t>来源页94</t>
        </is>
      </c>
      <c r="L797" s="43">
        <f>A797</f>
        <v/>
      </c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43" t="n"/>
    </row>
    <row r="798">
      <c r="A798" s="43" t="inlineStr">
        <is>
          <t>N14</t>
        </is>
      </c>
      <c r="B798" s="43" t="inlineStr">
        <is>
          <t>上弦腹板</t>
        </is>
      </c>
      <c r="C798" s="43" t="inlineStr">
        <is>
          <t>节段12</t>
        </is>
      </c>
      <c r="D798" s="43" t="inlineStr">
        <is>
          <t>Q355D</t>
        </is>
      </c>
      <c r="E798" s="43" t="n">
        <v>7300</v>
      </c>
      <c r="F798" s="43" t="n">
        <v>2048</v>
      </c>
      <c r="G798" s="43" t="n">
        <v>28</v>
      </c>
      <c r="H798" s="79">
        <f>(E798/1000)*(F798/1000)*(G798/1000)*7850</f>
        <v/>
      </c>
      <c r="I798" s="43" t="n">
        <v>2</v>
      </c>
      <c r="J798" s="80">
        <f>H798*I798</f>
        <v/>
      </c>
      <c r="K798" s="43" t="inlineStr">
        <is>
          <t>来源页94</t>
        </is>
      </c>
      <c r="L798" s="43">
        <f>A798</f>
        <v/>
      </c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43" t="n"/>
    </row>
    <row r="799">
      <c r="A799" s="43" t="inlineStr">
        <is>
          <t>N15</t>
        </is>
      </c>
      <c r="B799" s="43" t="inlineStr">
        <is>
          <t>上弦横隔板</t>
        </is>
      </c>
      <c r="C799" s="43" t="inlineStr">
        <is>
          <t>节段12</t>
        </is>
      </c>
      <c r="D799" s="43" t="inlineStr">
        <is>
          <t>Q355D</t>
        </is>
      </c>
      <c r="E799" s="43" t="n">
        <v>1980</v>
      </c>
      <c r="F799" s="43" t="n">
        <v>1200</v>
      </c>
      <c r="G799" s="43" t="n">
        <v>16</v>
      </c>
      <c r="H799" s="79">
        <f>(E799/1000)*(F799/1000)*(G799/1000)*7850</f>
        <v/>
      </c>
      <c r="I799" s="43" t="n">
        <v>3</v>
      </c>
      <c r="J799" s="80">
        <f>H799*I799</f>
        <v/>
      </c>
      <c r="K799" s="43" t="inlineStr">
        <is>
          <t>来源页94</t>
        </is>
      </c>
      <c r="L799" s="43">
        <f>A799</f>
        <v/>
      </c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43" t="n"/>
    </row>
    <row r="800">
      <c r="A800" s="43" t="inlineStr">
        <is>
          <t>N15a</t>
        </is>
      </c>
      <c r="B800" s="43" t="inlineStr">
        <is>
          <t>上弦横隔板</t>
        </is>
      </c>
      <c r="C800" s="43" t="inlineStr">
        <is>
          <t>节段12</t>
        </is>
      </c>
      <c r="D800" s="43" t="inlineStr">
        <is>
          <t>Q355D</t>
        </is>
      </c>
      <c r="E800" s="43" t="n">
        <v>1980</v>
      </c>
      <c r="F800" s="43" t="n">
        <v>1200</v>
      </c>
      <c r="G800" s="43" t="n">
        <v>16</v>
      </c>
      <c r="H800" s="79">
        <f>(E800/1000)*(F800/1000)*(G800/1000)*7850</f>
        <v/>
      </c>
      <c r="I800" s="43" t="n">
        <v>2</v>
      </c>
      <c r="J800" s="80">
        <f>H800*I800</f>
        <v/>
      </c>
      <c r="K800" s="43" t="inlineStr">
        <is>
          <t>来源页94</t>
        </is>
      </c>
      <c r="L800" s="43">
        <f>A800</f>
        <v/>
      </c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43" t="n"/>
    </row>
    <row r="801">
      <c r="A801" s="43" t="inlineStr">
        <is>
          <t>N15‘</t>
        </is>
      </c>
      <c r="B801" s="43" t="inlineStr">
        <is>
          <t>上弦横隔板</t>
        </is>
      </c>
      <c r="C801" s="43" t="inlineStr">
        <is>
          <t>节段12</t>
        </is>
      </c>
      <c r="D801" s="43" t="inlineStr">
        <is>
          <t>Q355D</t>
        </is>
      </c>
      <c r="E801" s="43" t="n">
        <v>2057</v>
      </c>
      <c r="F801" s="43" t="n">
        <v>200</v>
      </c>
      <c r="G801" s="43" t="n">
        <v>16</v>
      </c>
      <c r="H801" s="79">
        <f>(E801/1000)*(F801/1000)*(G801/1000)*7850</f>
        <v/>
      </c>
      <c r="I801" s="43" t="n">
        <v>3</v>
      </c>
      <c r="J801" s="80">
        <f>H801*I801</f>
        <v/>
      </c>
      <c r="K801" s="43" t="inlineStr">
        <is>
          <t>来源页94</t>
        </is>
      </c>
      <c r="L801" s="43">
        <f>A801</f>
        <v/>
      </c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43" t="n"/>
    </row>
    <row r="802">
      <c r="A802" s="43" t="inlineStr">
        <is>
          <t>N15b</t>
        </is>
      </c>
      <c r="B802" s="43" t="inlineStr">
        <is>
          <t>上弦横隔板</t>
        </is>
      </c>
      <c r="C802" s="43" t="inlineStr">
        <is>
          <t>节段12</t>
        </is>
      </c>
      <c r="D802" s="43" t="inlineStr">
        <is>
          <t>Q355B</t>
        </is>
      </c>
      <c r="E802" s="43" t="n">
        <v>2057</v>
      </c>
      <c r="F802" s="43" t="n">
        <v>40</v>
      </c>
      <c r="G802" s="43" t="n">
        <v>4</v>
      </c>
      <c r="H802" s="79">
        <f>(E802/1000)*(F802/1000)*(G802/1000)*7850</f>
        <v/>
      </c>
      <c r="I802" s="43" t="n">
        <v>4</v>
      </c>
      <c r="J802" s="80">
        <f>H802*I802</f>
        <v/>
      </c>
      <c r="K802" s="43" t="inlineStr">
        <is>
          <t>来源页94</t>
        </is>
      </c>
      <c r="L802" s="43">
        <f>A802</f>
        <v/>
      </c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43" t="n"/>
    </row>
    <row r="803">
      <c r="A803" s="43" t="inlineStr">
        <is>
          <t>N15c</t>
        </is>
      </c>
      <c r="B803" s="43" t="inlineStr">
        <is>
          <t>上弦横隔板</t>
        </is>
      </c>
      <c r="C803" s="43" t="inlineStr">
        <is>
          <t>节段12</t>
        </is>
      </c>
      <c r="D803" s="43" t="inlineStr">
        <is>
          <t>Q355D</t>
        </is>
      </c>
      <c r="E803" s="43" t="n">
        <v>800</v>
      </c>
      <c r="F803" s="43" t="n">
        <v>400</v>
      </c>
      <c r="G803" s="43" t="n">
        <v>16</v>
      </c>
      <c r="H803" s="79">
        <f>(E803/1000)*(F803/1000)*(G803/1000)*7850</f>
        <v/>
      </c>
      <c r="I803" s="43" t="n">
        <v>4</v>
      </c>
      <c r="J803" s="80">
        <f>H803*I803</f>
        <v/>
      </c>
      <c r="K803" s="43" t="inlineStr">
        <is>
          <t>来源页94</t>
        </is>
      </c>
      <c r="L803" s="43">
        <f>A803</f>
        <v/>
      </c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43" t="n"/>
    </row>
    <row r="804">
      <c r="A804" s="43" t="inlineStr">
        <is>
          <t>N21a</t>
        </is>
      </c>
      <c r="B804" s="43" t="inlineStr">
        <is>
          <t>下弦顶板</t>
        </is>
      </c>
      <c r="C804" s="43" t="inlineStr">
        <is>
          <t>节段12</t>
        </is>
      </c>
      <c r="D804" s="43" t="inlineStr">
        <is>
          <t>Q355D</t>
        </is>
      </c>
      <c r="E804" s="43" t="n">
        <v>7901</v>
      </c>
      <c r="F804" s="43" t="n">
        <v>2500</v>
      </c>
      <c r="G804" s="43" t="n">
        <v>24</v>
      </c>
      <c r="H804" s="79">
        <f>(E804/1000)*(F804/1000)*(G804/1000)*7850</f>
        <v/>
      </c>
      <c r="I804" s="43" t="n">
        <v>1</v>
      </c>
      <c r="J804" s="80">
        <f>H804*I804</f>
        <v/>
      </c>
      <c r="K804" s="43" t="inlineStr">
        <is>
          <t>来源页94</t>
        </is>
      </c>
      <c r="L804" s="43">
        <f>A804</f>
        <v/>
      </c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43" t="n"/>
    </row>
    <row r="805">
      <c r="A805" s="43" t="inlineStr">
        <is>
          <t>N21b</t>
        </is>
      </c>
      <c r="B805" s="43" t="inlineStr">
        <is>
          <t>下弦顶板</t>
        </is>
      </c>
      <c r="C805" s="43" t="inlineStr">
        <is>
          <t>节段12</t>
        </is>
      </c>
      <c r="D805" s="43" t="inlineStr">
        <is>
          <t>Q355D</t>
        </is>
      </c>
      <c r="E805" s="43" t="n">
        <v>7101</v>
      </c>
      <c r="F805" s="43" t="n">
        <v>2500</v>
      </c>
      <c r="G805" s="43" t="n">
        <v>24</v>
      </c>
      <c r="H805" s="79">
        <f>(E805/1000)*(F805/1000)*(G805/1000)*7850</f>
        <v/>
      </c>
      <c r="I805" s="43" t="n">
        <v>1</v>
      </c>
      <c r="J805" s="80">
        <f>H805*I805</f>
        <v/>
      </c>
      <c r="K805" s="43" t="inlineStr">
        <is>
          <t>来源页94</t>
        </is>
      </c>
      <c r="L805" s="43">
        <f>A805</f>
        <v/>
      </c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43" t="n"/>
    </row>
    <row r="806">
      <c r="A806" s="43" t="inlineStr">
        <is>
          <t>N22a</t>
        </is>
      </c>
      <c r="B806" s="43" t="inlineStr">
        <is>
          <t>下弦底板</t>
        </is>
      </c>
      <c r="C806" s="43" t="inlineStr">
        <is>
          <t>节段12</t>
        </is>
      </c>
      <c r="D806" s="43" t="inlineStr">
        <is>
          <t>Q355D</t>
        </is>
      </c>
      <c r="E806" s="43" t="n"/>
      <c r="F806" s="43" t="n"/>
      <c r="G806" s="43" t="n">
        <v>24</v>
      </c>
      <c r="H806" s="79">
        <f>(E806/1000)*(F806/1000)*(G806/1000)*7850</f>
        <v/>
      </c>
      <c r="I806" s="43" t="n">
        <v>1</v>
      </c>
      <c r="J806" s="80">
        <f>H806*I806</f>
        <v/>
      </c>
      <c r="K806" s="43" t="inlineStr">
        <is>
          <t>来源页94</t>
        </is>
      </c>
      <c r="L806" s="43">
        <f>A806</f>
        <v/>
      </c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43" t="n"/>
    </row>
    <row r="807">
      <c r="A807" s="43" t="inlineStr">
        <is>
          <t>N22b</t>
        </is>
      </c>
      <c r="B807" s="43" t="inlineStr">
        <is>
          <t>下弦底板</t>
        </is>
      </c>
      <c r="C807" s="43" t="inlineStr">
        <is>
          <t>节段12</t>
        </is>
      </c>
      <c r="D807" s="43" t="inlineStr">
        <is>
          <t>Q355D</t>
        </is>
      </c>
      <c r="E807" s="43" t="n"/>
      <c r="F807" s="43" t="n"/>
      <c r="G807" s="43" t="n">
        <v>24</v>
      </c>
      <c r="H807" s="79">
        <f>(E807/1000)*(F807/1000)*(G807/1000)*7850</f>
        <v/>
      </c>
      <c r="I807" s="43" t="n">
        <v>1</v>
      </c>
      <c r="J807" s="80">
        <f>H807*I807</f>
        <v/>
      </c>
      <c r="K807" s="43" t="inlineStr">
        <is>
          <t>来源页94</t>
        </is>
      </c>
      <c r="L807" s="43">
        <f>A807</f>
        <v/>
      </c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43" t="n"/>
    </row>
    <row r="808">
      <c r="A808" s="43" t="inlineStr">
        <is>
          <t>N23</t>
        </is>
      </c>
      <c r="B808" s="43" t="inlineStr">
        <is>
          <t>下弦节点板</t>
        </is>
      </c>
      <c r="C808" s="43" t="inlineStr">
        <is>
          <t>节段12</t>
        </is>
      </c>
      <c r="D808" s="43" t="inlineStr">
        <is>
          <t>Q355D</t>
        </is>
      </c>
      <c r="E808" s="43" t="n"/>
      <c r="F808" s="43" t="n"/>
      <c r="G808" s="43" t="n">
        <v>44</v>
      </c>
      <c r="H808" s="79">
        <f>(E808/1000)*(F808/1000)*(G808/1000)*7850</f>
        <v/>
      </c>
      <c r="I808" s="43" t="n">
        <v>2</v>
      </c>
      <c r="J808" s="80">
        <f>H808*I808</f>
        <v/>
      </c>
      <c r="K808" s="43" t="inlineStr">
        <is>
          <t>Z35钢；来源页94</t>
        </is>
      </c>
      <c r="L808" s="43">
        <f>A808</f>
        <v/>
      </c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43" t="n"/>
    </row>
    <row r="809">
      <c r="A809" s="43" t="inlineStr">
        <is>
          <t>N24</t>
        </is>
      </c>
      <c r="B809" s="43" t="inlineStr">
        <is>
          <t>下弦腹板</t>
        </is>
      </c>
      <c r="C809" s="43" t="inlineStr">
        <is>
          <t>节段12</t>
        </is>
      </c>
      <c r="D809" s="43" t="inlineStr">
        <is>
          <t>Q355D</t>
        </is>
      </c>
      <c r="E809" s="43" t="n">
        <v>7301</v>
      </c>
      <c r="F809" s="43" t="n">
        <v>1880</v>
      </c>
      <c r="G809" s="43" t="n">
        <v>32</v>
      </c>
      <c r="H809" s="79">
        <f>(E809/1000)*(F809/1000)*(G809/1000)*7850</f>
        <v/>
      </c>
      <c r="I809" s="43" t="n">
        <v>2</v>
      </c>
      <c r="J809" s="80">
        <f>H809*I809</f>
        <v/>
      </c>
      <c r="K809" s="43" t="inlineStr">
        <is>
          <t>来源页94</t>
        </is>
      </c>
      <c r="L809" s="43">
        <f>A809</f>
        <v/>
      </c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43" t="n"/>
    </row>
    <row r="810">
      <c r="A810" s="43" t="inlineStr">
        <is>
          <t>N25</t>
        </is>
      </c>
      <c r="B810" s="43" t="inlineStr">
        <is>
          <t>下弦横隔板</t>
        </is>
      </c>
      <c r="C810" s="43" t="inlineStr">
        <is>
          <t>节段12</t>
        </is>
      </c>
      <c r="D810" s="43" t="inlineStr">
        <is>
          <t>Q355D</t>
        </is>
      </c>
      <c r="E810" s="43" t="n">
        <v>1800</v>
      </c>
      <c r="F810" s="43" t="n">
        <v>1200</v>
      </c>
      <c r="G810" s="43" t="n">
        <v>16</v>
      </c>
      <c r="H810" s="79">
        <f>(E810/1000)*(F810/1000)*(G810/1000)*7850</f>
        <v/>
      </c>
      <c r="I810" s="43" t="n">
        <v>3</v>
      </c>
      <c r="J810" s="80">
        <f>H810*I810</f>
        <v/>
      </c>
      <c r="K810" s="43" t="inlineStr">
        <is>
          <t>来源页94</t>
        </is>
      </c>
      <c r="L810" s="43">
        <f>A810</f>
        <v/>
      </c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43" t="n"/>
    </row>
    <row r="811">
      <c r="A811" s="43" t="inlineStr">
        <is>
          <t>N25a</t>
        </is>
      </c>
      <c r="B811" s="43" t="inlineStr">
        <is>
          <t>下弦横隔板</t>
        </is>
      </c>
      <c r="C811" s="43" t="inlineStr">
        <is>
          <t>节段12</t>
        </is>
      </c>
      <c r="D811" s="43" t="inlineStr">
        <is>
          <t>Q355D</t>
        </is>
      </c>
      <c r="E811" s="43" t="n">
        <v>1800</v>
      </c>
      <c r="F811" s="43" t="n">
        <v>1200</v>
      </c>
      <c r="G811" s="43" t="n">
        <v>16</v>
      </c>
      <c r="H811" s="79">
        <f>(E811/1000)*(F811/1000)*(G811/1000)*7850</f>
        <v/>
      </c>
      <c r="I811" s="43" t="n">
        <v>2</v>
      </c>
      <c r="J811" s="80">
        <f>H811*I811</f>
        <v/>
      </c>
      <c r="K811" s="43" t="inlineStr">
        <is>
          <t>来源页94</t>
        </is>
      </c>
      <c r="L811" s="43">
        <f>A811</f>
        <v/>
      </c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43" t="n"/>
    </row>
    <row r="812">
      <c r="A812" s="43" t="inlineStr">
        <is>
          <t>N25'</t>
        </is>
      </c>
      <c r="B812" s="43" t="inlineStr">
        <is>
          <t>下弦横隔板</t>
        </is>
      </c>
      <c r="C812" s="43" t="inlineStr">
        <is>
          <t>节段12</t>
        </is>
      </c>
      <c r="D812" s="43" t="inlineStr">
        <is>
          <t>Q355D</t>
        </is>
      </c>
      <c r="E812" s="43" t="n">
        <v>2057</v>
      </c>
      <c r="F812" s="43" t="n">
        <v>200</v>
      </c>
      <c r="G812" s="43" t="n">
        <v>16</v>
      </c>
      <c r="H812" s="79">
        <f>(E812/1000)*(F812/1000)*(G812/1000)*7850</f>
        <v/>
      </c>
      <c r="I812" s="43" t="n">
        <v>3</v>
      </c>
      <c r="J812" s="80">
        <f>H812*I812</f>
        <v/>
      </c>
      <c r="K812" s="43" t="inlineStr">
        <is>
          <t>来源页94</t>
        </is>
      </c>
      <c r="L812" s="43">
        <f>A812</f>
        <v/>
      </c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43" t="n"/>
    </row>
    <row r="813">
      <c r="A813" s="43" t="inlineStr">
        <is>
          <t>N26a</t>
        </is>
      </c>
      <c r="B813" s="43" t="inlineStr">
        <is>
          <t>下弦加劲肋</t>
        </is>
      </c>
      <c r="C813" s="43" t="inlineStr">
        <is>
          <t>节段12</t>
        </is>
      </c>
      <c r="D813" s="43" t="inlineStr">
        <is>
          <t>Q355D</t>
        </is>
      </c>
      <c r="E813" s="43" t="n">
        <v>7901</v>
      </c>
      <c r="F813" s="43" t="n">
        <v>280</v>
      </c>
      <c r="G813" s="43" t="n">
        <v>24</v>
      </c>
      <c r="H813" s="79">
        <f>(E813/1000)*(F813/1000)*(G813/1000)*7850</f>
        <v/>
      </c>
      <c r="I813" s="43" t="n">
        <v>4</v>
      </c>
      <c r="J813" s="80">
        <f>H813*I813</f>
        <v/>
      </c>
      <c r="K813" s="43" t="inlineStr">
        <is>
          <t>来源页94</t>
        </is>
      </c>
      <c r="L813" s="43">
        <f>A813</f>
        <v/>
      </c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43" t="n"/>
    </row>
    <row r="814">
      <c r="A814" s="43" t="inlineStr">
        <is>
          <t>N26b</t>
        </is>
      </c>
      <c r="B814" s="43" t="inlineStr">
        <is>
          <t>下弦加劲肋</t>
        </is>
      </c>
      <c r="C814" s="43" t="inlineStr">
        <is>
          <t>节段12</t>
        </is>
      </c>
      <c r="D814" s="43" t="inlineStr">
        <is>
          <t>Q355D</t>
        </is>
      </c>
      <c r="E814" s="43" t="n">
        <v>7101</v>
      </c>
      <c r="F814" s="43" t="n">
        <v>280</v>
      </c>
      <c r="G814" s="43" t="n">
        <v>24</v>
      </c>
      <c r="H814" s="79">
        <f>(E814/1000)*(F814/1000)*(G814/1000)*7850</f>
        <v/>
      </c>
      <c r="I814" s="43" t="n">
        <v>4</v>
      </c>
      <c r="J814" s="80">
        <f>H814*I814</f>
        <v/>
      </c>
      <c r="K814" s="43" t="inlineStr">
        <is>
          <t>来源页94</t>
        </is>
      </c>
      <c r="L814" s="43">
        <f>A814</f>
        <v/>
      </c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43" t="n"/>
    </row>
    <row r="815">
      <c r="A815" s="43" t="inlineStr">
        <is>
          <t>N26c</t>
        </is>
      </c>
      <c r="B815" s="43" t="inlineStr">
        <is>
          <t>下弦加劲肋</t>
        </is>
      </c>
      <c r="C815" s="43" t="inlineStr">
        <is>
          <t>节段12</t>
        </is>
      </c>
      <c r="D815" s="43" t="inlineStr">
        <is>
          <t>Q355D</t>
        </is>
      </c>
      <c r="E815" s="43" t="n">
        <v>15002</v>
      </c>
      <c r="F815" s="43" t="n">
        <v>170</v>
      </c>
      <c r="G815" s="43" t="n">
        <v>14</v>
      </c>
      <c r="H815" s="79">
        <f>(E815/1000)*(F815/1000)*(G815/1000)*7850</f>
        <v/>
      </c>
      <c r="I815" s="43" t="n">
        <v>2</v>
      </c>
      <c r="J815" s="80">
        <f>H815*I815</f>
        <v/>
      </c>
      <c r="K815" s="43" t="inlineStr">
        <is>
          <t>来源页94</t>
        </is>
      </c>
      <c r="L815" s="43">
        <f>A815</f>
        <v/>
      </c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43" t="n"/>
    </row>
    <row r="816">
      <c r="A816" s="43" t="inlineStr">
        <is>
          <t>N31</t>
        </is>
      </c>
      <c r="B816" s="43" t="inlineStr">
        <is>
          <t>斜腹杆</t>
        </is>
      </c>
      <c r="C816" s="43" t="inlineStr">
        <is>
          <t>节段12</t>
        </is>
      </c>
      <c r="D816" s="43" t="inlineStr">
        <is>
          <t>Q355D</t>
        </is>
      </c>
      <c r="E816" s="43" t="n">
        <v>7548</v>
      </c>
      <c r="F816" s="43" t="n">
        <v>900</v>
      </c>
      <c r="G816" s="43" t="n">
        <v>36</v>
      </c>
      <c r="H816" s="79">
        <f>(E816/1000)*(F816/1000)*(G816/1000)*7850</f>
        <v/>
      </c>
      <c r="I816" s="43" t="n">
        <v>2</v>
      </c>
      <c r="J816" s="80">
        <f>H816*I816</f>
        <v/>
      </c>
      <c r="K816" s="43" t="inlineStr">
        <is>
          <t>来源页94</t>
        </is>
      </c>
      <c r="L816" s="43">
        <f>A816</f>
        <v/>
      </c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43" t="n"/>
    </row>
    <row r="817">
      <c r="A817" s="43" t="inlineStr">
        <is>
          <t>N32</t>
        </is>
      </c>
      <c r="B817" s="43" t="inlineStr">
        <is>
          <t>斜腹杆</t>
        </is>
      </c>
      <c r="C817" s="43" t="inlineStr">
        <is>
          <t>节段12</t>
        </is>
      </c>
      <c r="D817" s="43" t="inlineStr">
        <is>
          <t>Q355D</t>
        </is>
      </c>
      <c r="E817" s="43" t="n">
        <v>12048</v>
      </c>
      <c r="F817" s="43" t="n">
        <v>1200</v>
      </c>
      <c r="G817" s="43" t="n">
        <v>32</v>
      </c>
      <c r="H817" s="79">
        <f>(E817/1000)*(F817/1000)*(G817/1000)*7850</f>
        <v/>
      </c>
      <c r="I817" s="43" t="n">
        <v>1</v>
      </c>
      <c r="J817" s="80">
        <f>H817*I817</f>
        <v/>
      </c>
      <c r="K817" s="43" t="inlineStr">
        <is>
          <t>来源页94</t>
        </is>
      </c>
      <c r="L817" s="43">
        <f>A817</f>
        <v/>
      </c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43" t="n"/>
    </row>
    <row r="818">
      <c r="A818" s="43" t="inlineStr">
        <is>
          <t>N33</t>
        </is>
      </c>
      <c r="B818" s="43" t="inlineStr">
        <is>
          <t>斜腹杆</t>
        </is>
      </c>
      <c r="C818" s="43" t="inlineStr">
        <is>
          <t>节段12</t>
        </is>
      </c>
      <c r="D818" s="43" t="inlineStr">
        <is>
          <t>Q355D</t>
        </is>
      </c>
      <c r="E818" s="43" t="n">
        <v>10648</v>
      </c>
      <c r="F818" s="43" t="n">
        <v>240</v>
      </c>
      <c r="G818" s="43" t="n">
        <v>24</v>
      </c>
      <c r="H818" s="79">
        <f>(E818/1000)*(F818/1000)*(G818/1000)*7850</f>
        <v/>
      </c>
      <c r="I818" s="43" t="n">
        <v>2</v>
      </c>
      <c r="J818" s="80">
        <f>H818*I818</f>
        <v/>
      </c>
      <c r="K818" s="43" t="inlineStr">
        <is>
          <t>来源页94</t>
        </is>
      </c>
      <c r="L818" s="43">
        <f>A818</f>
        <v/>
      </c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43" t="n"/>
    </row>
    <row r="819">
      <c r="A819" s="43" t="inlineStr">
        <is>
          <t>N41</t>
        </is>
      </c>
      <c r="B819" s="43" t="inlineStr">
        <is>
          <t>斜腹杆</t>
        </is>
      </c>
      <c r="C819" s="43" t="inlineStr">
        <is>
          <t>节段12</t>
        </is>
      </c>
      <c r="D819" s="43" t="inlineStr">
        <is>
          <t>Q355D</t>
        </is>
      </c>
      <c r="E819" s="43" t="n">
        <v>3714</v>
      </c>
      <c r="F819" s="43" t="n">
        <v>900</v>
      </c>
      <c r="G819" s="43" t="n">
        <v>36</v>
      </c>
      <c r="H819" s="79">
        <f>(E819/1000)*(F819/1000)*(G819/1000)*7850</f>
        <v/>
      </c>
      <c r="I819" s="43" t="n">
        <v>2</v>
      </c>
      <c r="J819" s="80">
        <f>H819*I819</f>
        <v/>
      </c>
      <c r="K819" s="43" t="inlineStr">
        <is>
          <t>来源页94</t>
        </is>
      </c>
      <c r="L819" s="43">
        <f>A819</f>
        <v/>
      </c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43" t="n"/>
    </row>
    <row r="820">
      <c r="A820" s="43" t="inlineStr">
        <is>
          <t>N42</t>
        </is>
      </c>
      <c r="B820" s="43" t="inlineStr">
        <is>
          <t>斜腹杆</t>
        </is>
      </c>
      <c r="C820" s="43" t="inlineStr">
        <is>
          <t>节段12</t>
        </is>
      </c>
      <c r="D820" s="43" t="inlineStr">
        <is>
          <t>Q355D</t>
        </is>
      </c>
      <c r="E820" s="43" t="n">
        <v>6014</v>
      </c>
      <c r="F820" s="43" t="n">
        <v>1200</v>
      </c>
      <c r="G820" s="43" t="n">
        <v>32</v>
      </c>
      <c r="H820" s="79">
        <f>(E820/1000)*(F820/1000)*(G820/1000)*7850</f>
        <v/>
      </c>
      <c r="I820" s="43" t="n">
        <v>1</v>
      </c>
      <c r="J820" s="80">
        <f>H820*I820</f>
        <v/>
      </c>
      <c r="K820" s="43" t="inlineStr">
        <is>
          <t>来源页94</t>
        </is>
      </c>
      <c r="L820" s="43">
        <f>A820</f>
        <v/>
      </c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43" t="n"/>
    </row>
    <row r="821">
      <c r="A821" s="43" t="inlineStr">
        <is>
          <t>N43</t>
        </is>
      </c>
      <c r="B821" s="43" t="inlineStr">
        <is>
          <t>斜腹杆</t>
        </is>
      </c>
      <c r="C821" s="43" t="inlineStr">
        <is>
          <t>节段12</t>
        </is>
      </c>
      <c r="D821" s="43" t="inlineStr">
        <is>
          <t>Q355D</t>
        </is>
      </c>
      <c r="E821" s="43" t="n">
        <v>5314</v>
      </c>
      <c r="F821" s="43" t="n">
        <v>240</v>
      </c>
      <c r="G821" s="43" t="n">
        <v>24</v>
      </c>
      <c r="H821" s="79">
        <f>(E821/1000)*(F821/1000)*(G821/1000)*7850</f>
        <v/>
      </c>
      <c r="I821" s="43" t="n">
        <v>2</v>
      </c>
      <c r="J821" s="80">
        <f>H821*I821</f>
        <v/>
      </c>
      <c r="K821" s="43" t="inlineStr">
        <is>
          <t>来源页94</t>
        </is>
      </c>
      <c r="L821" s="43">
        <f>A821</f>
        <v/>
      </c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43" t="n"/>
    </row>
    <row r="822">
      <c r="A822" s="43" t="inlineStr">
        <is>
          <t>N51</t>
        </is>
      </c>
      <c r="B822" s="43" t="inlineStr">
        <is>
          <t>斜腹杆</t>
        </is>
      </c>
      <c r="C822" s="43" t="inlineStr">
        <is>
          <t>节段12</t>
        </is>
      </c>
      <c r="D822" s="43" t="inlineStr">
        <is>
          <t>Q355D</t>
        </is>
      </c>
      <c r="E822" s="43" t="n">
        <v>3752</v>
      </c>
      <c r="F822" s="43" t="n">
        <v>900</v>
      </c>
      <c r="G822" s="43" t="n">
        <v>36</v>
      </c>
      <c r="H822" s="79">
        <f>(E822/1000)*(F822/1000)*(G822/1000)*7850</f>
        <v/>
      </c>
      <c r="I822" s="43" t="n">
        <v>2</v>
      </c>
      <c r="J822" s="80">
        <f>H822*I822</f>
        <v/>
      </c>
      <c r="K822" s="43" t="inlineStr">
        <is>
          <t>来源页94</t>
        </is>
      </c>
      <c r="L822" s="43">
        <f>A822</f>
        <v/>
      </c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43" t="n"/>
    </row>
    <row r="823">
      <c r="A823" s="43" t="inlineStr">
        <is>
          <t>N52</t>
        </is>
      </c>
      <c r="B823" s="43" t="inlineStr">
        <is>
          <t>斜腹杆</t>
        </is>
      </c>
      <c r="C823" s="43" t="inlineStr">
        <is>
          <t>节段12</t>
        </is>
      </c>
      <c r="D823" s="43" t="inlineStr">
        <is>
          <t>Q355D</t>
        </is>
      </c>
      <c r="E823" s="43" t="n">
        <v>5952</v>
      </c>
      <c r="F823" s="43" t="n">
        <v>1200</v>
      </c>
      <c r="G823" s="43" t="n">
        <v>32</v>
      </c>
      <c r="H823" s="79">
        <f>(E823/1000)*(F823/1000)*(G823/1000)*7850</f>
        <v/>
      </c>
      <c r="I823" s="43" t="n">
        <v>1</v>
      </c>
      <c r="J823" s="80">
        <f>H823*I823</f>
        <v/>
      </c>
      <c r="K823" s="43" t="inlineStr">
        <is>
          <t>来源页94</t>
        </is>
      </c>
      <c r="L823" s="43">
        <f>A823</f>
        <v/>
      </c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43" t="n"/>
    </row>
    <row r="824">
      <c r="A824" s="43" t="inlineStr">
        <is>
          <t>N53</t>
        </is>
      </c>
      <c r="B824" s="43" t="inlineStr">
        <is>
          <t>斜腹杆</t>
        </is>
      </c>
      <c r="C824" s="43" t="inlineStr">
        <is>
          <t>节段12</t>
        </is>
      </c>
      <c r="D824" s="43" t="inlineStr">
        <is>
          <t>Q355D</t>
        </is>
      </c>
      <c r="E824" s="43" t="n">
        <v>5252</v>
      </c>
      <c r="F824" s="43" t="n">
        <v>240</v>
      </c>
      <c r="G824" s="43" t="n">
        <v>24</v>
      </c>
      <c r="H824" s="79">
        <f>(E824/1000)*(F824/1000)*(G824/1000)*7850</f>
        <v/>
      </c>
      <c r="I824" s="43" t="n">
        <v>2</v>
      </c>
      <c r="J824" s="80">
        <f>H824*I824</f>
        <v/>
      </c>
      <c r="K824" s="43" t="inlineStr">
        <is>
          <t>来源页94</t>
        </is>
      </c>
      <c r="L824" s="43">
        <f>A824</f>
        <v/>
      </c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43" t="n"/>
    </row>
    <row r="825">
      <c r="A825" s="43" t="inlineStr">
        <is>
          <t>N54</t>
        </is>
      </c>
      <c r="B825" s="43" t="inlineStr">
        <is>
          <t>节点板加劲</t>
        </is>
      </c>
      <c r="C825" s="43" t="inlineStr">
        <is>
          <t>节段12</t>
        </is>
      </c>
      <c r="D825" s="43" t="inlineStr">
        <is>
          <t>Q355D</t>
        </is>
      </c>
      <c r="E825" s="43" t="n">
        <v>1100</v>
      </c>
      <c r="F825" s="43" t="n">
        <v>1200</v>
      </c>
      <c r="G825" s="43" t="n">
        <v>20</v>
      </c>
      <c r="H825" s="79">
        <f>(E825/1000)*(F825/1000)*(G825/1000)*7850</f>
        <v/>
      </c>
      <c r="I825" s="43" t="n">
        <v>1</v>
      </c>
      <c r="J825" s="80">
        <f>H825*I825</f>
        <v/>
      </c>
      <c r="K825" s="43" t="inlineStr">
        <is>
          <t>来源页94</t>
        </is>
      </c>
      <c r="L825" s="43">
        <f>A825</f>
        <v/>
      </c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43" t="n"/>
    </row>
    <row r="826">
      <c r="A826" s="43" t="inlineStr">
        <is>
          <t>N55</t>
        </is>
      </c>
      <c r="B826" s="43" t="inlineStr">
        <is>
          <t>节点板加劲</t>
        </is>
      </c>
      <c r="C826" s="43" t="inlineStr">
        <is>
          <t>节段12</t>
        </is>
      </c>
      <c r="D826" s="43" t="inlineStr">
        <is>
          <t>Q355D</t>
        </is>
      </c>
      <c r="E826" s="43" t="n">
        <v>1010</v>
      </c>
      <c r="F826" s="43" t="n">
        <v>1200</v>
      </c>
      <c r="G826" s="43" t="n">
        <v>20</v>
      </c>
      <c r="H826" s="79">
        <f>(E826/1000)*(F826/1000)*(G826/1000)*7850</f>
        <v/>
      </c>
      <c r="I826" s="43" t="n">
        <v>1</v>
      </c>
      <c r="J826" s="80">
        <f>H826*I826</f>
        <v/>
      </c>
      <c r="K826" s="43" t="inlineStr">
        <is>
          <t>来源页94</t>
        </is>
      </c>
      <c r="L826" s="43">
        <f>A826</f>
        <v/>
      </c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43" t="n"/>
    </row>
    <row r="827">
      <c r="A827" s="43" t="inlineStr">
        <is>
          <t>N61a</t>
        </is>
      </c>
      <c r="B827" s="43" t="inlineStr">
        <is>
          <t>横梁接头</t>
        </is>
      </c>
      <c r="C827" s="43" t="inlineStr">
        <is>
          <t>节段12</t>
        </is>
      </c>
      <c r="D827" s="43" t="inlineStr">
        <is>
          <t>Q355D</t>
        </is>
      </c>
      <c r="E827" s="43" t="n">
        <v>1980</v>
      </c>
      <c r="F827" s="43" t="n">
        <v>622</v>
      </c>
      <c r="G827" s="43" t="n">
        <v>14</v>
      </c>
      <c r="H827" s="79">
        <f>(E827/1000)*(F827/1000)*(G827/1000)*7850</f>
        <v/>
      </c>
      <c r="I827" s="43" t="n">
        <v>4</v>
      </c>
      <c r="J827" s="80">
        <f>H827*I827</f>
        <v/>
      </c>
      <c r="K827" s="43" t="inlineStr">
        <is>
          <t>来源页94</t>
        </is>
      </c>
      <c r="L827" s="43">
        <f>A827</f>
        <v/>
      </c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43" t="n"/>
    </row>
    <row r="828">
      <c r="A828" s="43" t="inlineStr">
        <is>
          <t>N62a</t>
        </is>
      </c>
      <c r="B828" s="43" t="inlineStr">
        <is>
          <t>横梁接头</t>
        </is>
      </c>
      <c r="C828" s="43" t="inlineStr">
        <is>
          <t>节段12</t>
        </is>
      </c>
      <c r="D828" s="43" t="inlineStr">
        <is>
          <t>Q355D</t>
        </is>
      </c>
      <c r="E828" s="43" t="n"/>
      <c r="F828" s="43" t="n"/>
      <c r="G828" s="43" t="n">
        <v>24</v>
      </c>
      <c r="H828" s="79">
        <f>(E828/1000)*(F828/1000)*(G828/1000)*7850</f>
        <v/>
      </c>
      <c r="I828" s="43" t="n">
        <v>4</v>
      </c>
      <c r="J828" s="80">
        <f>H828*I828</f>
        <v/>
      </c>
      <c r="K828" s="43" t="inlineStr">
        <is>
          <t>来源页94</t>
        </is>
      </c>
      <c r="L828" s="43">
        <f>A828</f>
        <v/>
      </c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43" t="n"/>
    </row>
    <row r="829">
      <c r="A829" s="43" t="inlineStr">
        <is>
          <t>N63a</t>
        </is>
      </c>
      <c r="B829" s="43" t="inlineStr">
        <is>
          <t>横梁接头</t>
        </is>
      </c>
      <c r="C829" s="43" t="inlineStr">
        <is>
          <t>节段12</t>
        </is>
      </c>
      <c r="D829" s="43" t="inlineStr">
        <is>
          <t>Q355D</t>
        </is>
      </c>
      <c r="E829" s="43" t="n">
        <v>1800</v>
      </c>
      <c r="F829" s="43" t="n">
        <v>618</v>
      </c>
      <c r="G829" s="43" t="n">
        <v>14</v>
      </c>
      <c r="H829" s="79">
        <f>(E829/1000)*(F829/1000)*(G829/1000)*7850</f>
        <v/>
      </c>
      <c r="I829" s="43" t="n">
        <v>4</v>
      </c>
      <c r="J829" s="80">
        <f>H829*I829</f>
        <v/>
      </c>
      <c r="K829" s="43" t="inlineStr">
        <is>
          <t>来源页94</t>
        </is>
      </c>
      <c r="L829" s="43">
        <f>A829</f>
        <v/>
      </c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43" t="n"/>
    </row>
    <row r="830">
      <c r="A830" s="43" t="inlineStr">
        <is>
          <t>P1</t>
        </is>
      </c>
      <c r="B830" s="43" t="inlineStr">
        <is>
          <t>上弦杆拼接</t>
        </is>
      </c>
      <c r="C830" s="43" t="inlineStr">
        <is>
          <t>节段12~节段13</t>
        </is>
      </c>
      <c r="D830" s="43" t="inlineStr">
        <is>
          <t>Q355D</t>
        </is>
      </c>
      <c r="E830" s="43" t="n">
        <v>820</v>
      </c>
      <c r="F830" s="43" t="n">
        <v>1800</v>
      </c>
      <c r="G830" s="43" t="n">
        <v>24</v>
      </c>
      <c r="H830" s="79">
        <f>(E830/1000)*(F830/1000)*(G830/1000)*7850</f>
        <v/>
      </c>
      <c r="I830" s="43" t="n">
        <v>2</v>
      </c>
      <c r="J830" s="80">
        <f>H830*I830</f>
        <v/>
      </c>
      <c r="K830" s="43" t="inlineStr">
        <is>
          <t>来源页97</t>
        </is>
      </c>
      <c r="L830" s="43">
        <f>A830</f>
        <v/>
      </c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43" t="n"/>
    </row>
    <row r="831">
      <c r="A831" s="43" t="inlineStr">
        <is>
          <t>P2</t>
        </is>
      </c>
      <c r="B831" s="43" t="inlineStr">
        <is>
          <t>上弦杆拼接</t>
        </is>
      </c>
      <c r="C831" s="43" t="inlineStr">
        <is>
          <t>节段12~节段13</t>
        </is>
      </c>
      <c r="D831" s="43" t="inlineStr">
        <is>
          <t>Q355D</t>
        </is>
      </c>
      <c r="E831" s="43" t="n">
        <v>820</v>
      </c>
      <c r="F831" s="43" t="n">
        <v>500</v>
      </c>
      <c r="G831" s="43" t="n">
        <v>24</v>
      </c>
      <c r="H831" s="79">
        <f>(E831/1000)*(F831/1000)*(G831/1000)*7850</f>
        <v/>
      </c>
      <c r="I831" s="43" t="n">
        <v>2</v>
      </c>
      <c r="J831" s="80">
        <f>H831*I831</f>
        <v/>
      </c>
      <c r="K831" s="43" t="inlineStr">
        <is>
          <t>来源页97</t>
        </is>
      </c>
      <c r="L831" s="43">
        <f>A831</f>
        <v/>
      </c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43" t="n"/>
    </row>
    <row r="832">
      <c r="A832" s="43" t="inlineStr">
        <is>
          <t>P3</t>
        </is>
      </c>
      <c r="B832" s="43" t="inlineStr">
        <is>
          <t>上弦杆拼接</t>
        </is>
      </c>
      <c r="C832" s="43" t="inlineStr">
        <is>
          <t>节段12~节段13</t>
        </is>
      </c>
      <c r="D832" s="43" t="inlineStr">
        <is>
          <t>Q355D</t>
        </is>
      </c>
      <c r="E832" s="43" t="n">
        <v>820</v>
      </c>
      <c r="F832" s="43" t="n">
        <v>500</v>
      </c>
      <c r="G832" s="43" t="n">
        <v>24</v>
      </c>
      <c r="H832" s="79">
        <f>(E832/1000)*(F832/1000)*(G832/1000)*7850</f>
        <v/>
      </c>
      <c r="I832" s="43" t="n">
        <v>2</v>
      </c>
      <c r="J832" s="80">
        <f>H832*I832</f>
        <v/>
      </c>
      <c r="K832" s="43" t="inlineStr">
        <is>
          <t>来源页97</t>
        </is>
      </c>
      <c r="L832" s="43">
        <f>A832</f>
        <v/>
      </c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43" t="n"/>
    </row>
    <row r="833">
      <c r="A833" s="43" t="inlineStr">
        <is>
          <t>P4</t>
        </is>
      </c>
      <c r="B833" s="43" t="inlineStr">
        <is>
          <t>上弦杆拼接</t>
        </is>
      </c>
      <c r="C833" s="43" t="inlineStr">
        <is>
          <t>节段12~节段13</t>
        </is>
      </c>
      <c r="D833" s="43" t="inlineStr">
        <is>
          <t>Q355D</t>
        </is>
      </c>
      <c r="E833" s="43" t="n">
        <v>820</v>
      </c>
      <c r="F833" s="43" t="n">
        <v>600</v>
      </c>
      <c r="G833" s="43" t="n">
        <v>24</v>
      </c>
      <c r="H833" s="79">
        <f>(E833/1000)*(F833/1000)*(G833/1000)*7850</f>
        <v/>
      </c>
      <c r="I833" s="43" t="n">
        <v>2</v>
      </c>
      <c r="J833" s="80">
        <f>H833*I833</f>
        <v/>
      </c>
      <c r="K833" s="43" t="inlineStr">
        <is>
          <t>来源页97</t>
        </is>
      </c>
      <c r="L833" s="43">
        <f>A833</f>
        <v/>
      </c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43" t="n"/>
    </row>
    <row r="834">
      <c r="A834" s="43" t="inlineStr">
        <is>
          <t>P5</t>
        </is>
      </c>
      <c r="B834" s="43" t="inlineStr">
        <is>
          <t>上弦杆拼接</t>
        </is>
      </c>
      <c r="C834" s="43" t="inlineStr">
        <is>
          <t>节段12~节段13</t>
        </is>
      </c>
      <c r="D834" s="43" t="inlineStr">
        <is>
          <t>Q355D</t>
        </is>
      </c>
      <c r="E834" s="43" t="n">
        <v>920</v>
      </c>
      <c r="F834" s="43" t="n">
        <v>1100</v>
      </c>
      <c r="G834" s="43" t="n">
        <v>28</v>
      </c>
      <c r="H834" s="79">
        <f>(E834/1000)*(F834/1000)*(G834/1000)*7850</f>
        <v/>
      </c>
      <c r="I834" s="43" t="n">
        <v>1</v>
      </c>
      <c r="J834" s="80">
        <f>H834*I834</f>
        <v/>
      </c>
      <c r="K834" s="43" t="inlineStr">
        <is>
          <t>来源页97</t>
        </is>
      </c>
      <c r="L834" s="43">
        <f>A834</f>
        <v/>
      </c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43" t="n"/>
    </row>
    <row r="835">
      <c r="A835" s="43" t="inlineStr">
        <is>
          <t>P6</t>
        </is>
      </c>
      <c r="B835" s="43" t="inlineStr">
        <is>
          <t>上弦杆拼接</t>
        </is>
      </c>
      <c r="C835" s="43" t="inlineStr">
        <is>
          <t>节段12~节段13</t>
        </is>
      </c>
      <c r="D835" s="43" t="inlineStr">
        <is>
          <t>Q355D</t>
        </is>
      </c>
      <c r="E835" s="43" t="n">
        <v>920</v>
      </c>
      <c r="F835" s="43" t="n">
        <v>400</v>
      </c>
      <c r="G835" s="43" t="n">
        <v>28</v>
      </c>
      <c r="H835" s="79">
        <f>(E835/1000)*(F835/1000)*(G835/1000)*7850</f>
        <v/>
      </c>
      <c r="I835" s="43" t="n">
        <v>2</v>
      </c>
      <c r="J835" s="80">
        <f>H835*I835</f>
        <v/>
      </c>
      <c r="K835" s="43" t="inlineStr">
        <is>
          <t>来源页97</t>
        </is>
      </c>
      <c r="L835" s="43">
        <f>A835</f>
        <v/>
      </c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43" t="n"/>
    </row>
    <row r="836">
      <c r="A836" s="43" t="inlineStr">
        <is>
          <t>P7</t>
        </is>
      </c>
      <c r="B836" s="43" t="inlineStr">
        <is>
          <t>上弦杆拼接</t>
        </is>
      </c>
      <c r="C836" s="43" t="inlineStr">
        <is>
          <t>节段12~节段13</t>
        </is>
      </c>
      <c r="D836" s="43" t="inlineStr">
        <is>
          <t>Q355D</t>
        </is>
      </c>
      <c r="E836" s="43" t="n">
        <v>920</v>
      </c>
      <c r="F836" s="43" t="n">
        <v>200</v>
      </c>
      <c r="G836" s="43" t="n">
        <v>14</v>
      </c>
      <c r="H836" s="79">
        <f>(E836/1000)*(F836/1000)*(G836/1000)*7850</f>
        <v/>
      </c>
      <c r="I836" s="43" t="n">
        <v>10</v>
      </c>
      <c r="J836" s="80">
        <f>H836*I836</f>
        <v/>
      </c>
      <c r="K836" s="43" t="inlineStr">
        <is>
          <t>来源页97</t>
        </is>
      </c>
      <c r="L836" s="43">
        <f>A836</f>
        <v/>
      </c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43" t="n"/>
    </row>
    <row r="837">
      <c r="A837" s="43" t="inlineStr">
        <is>
          <t>P8</t>
        </is>
      </c>
      <c r="B837" s="43" t="inlineStr">
        <is>
          <t>上弦杆拼接</t>
        </is>
      </c>
      <c r="C837" s="43" t="inlineStr">
        <is>
          <t>节段12~节段13</t>
        </is>
      </c>
      <c r="D837" s="43" t="inlineStr">
        <is>
          <t>Q355D</t>
        </is>
      </c>
      <c r="E837" s="43" t="n">
        <v>600</v>
      </c>
      <c r="F837" s="43" t="n">
        <v>1800</v>
      </c>
      <c r="G837" s="43" t="n">
        <v>12</v>
      </c>
      <c r="H837" s="79">
        <f>(E837/1000)*(F837/1000)*(G837/1000)*7850</f>
        <v/>
      </c>
      <c r="I837" s="43" t="n">
        <v>2</v>
      </c>
      <c r="J837" s="80">
        <f>H837*I837</f>
        <v/>
      </c>
      <c r="K837" s="43" t="inlineStr">
        <is>
          <t>填板；来源页97</t>
        </is>
      </c>
      <c r="L837" s="43">
        <f>A837</f>
        <v/>
      </c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43" t="n"/>
    </row>
    <row r="838">
      <c r="A838" s="43" t="inlineStr">
        <is>
          <t>P9</t>
        </is>
      </c>
      <c r="B838" s="43" t="inlineStr">
        <is>
          <t>上弦杆拼接</t>
        </is>
      </c>
      <c r="C838" s="43" t="inlineStr">
        <is>
          <t>节段12~节段13</t>
        </is>
      </c>
      <c r="D838" s="43" t="inlineStr">
        <is>
          <t>Q355D</t>
        </is>
      </c>
      <c r="E838" s="43" t="n">
        <v>700</v>
      </c>
      <c r="F838" s="43" t="n">
        <v>1100</v>
      </c>
      <c r="G838" s="43" t="n">
        <v>4</v>
      </c>
      <c r="H838" s="79">
        <f>(E838/1000)*(F838/1000)*(G838/1000)*7850</f>
        <v/>
      </c>
      <c r="I838" s="43" t="n">
        <v>0</v>
      </c>
      <c r="J838" s="80">
        <f>H838*I838</f>
        <v/>
      </c>
      <c r="K838" s="43" t="inlineStr">
        <is>
          <t>填板；来源页97</t>
        </is>
      </c>
      <c r="L838" s="43">
        <f>A838</f>
        <v/>
      </c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43" t="n"/>
    </row>
    <row r="839">
      <c r="A839" s="43" t="inlineStr">
        <is>
          <t>M30高强螺栓</t>
        </is>
      </c>
      <c r="B839" s="43" t="inlineStr">
        <is>
          <t>上弦杆拼接</t>
        </is>
      </c>
      <c r="C839" s="43" t="inlineStr">
        <is>
          <t>节段12~节段13</t>
        </is>
      </c>
      <c r="D839" s="43" t="inlineStr">
        <is>
          <t>10.9S</t>
        </is>
      </c>
      <c r="E839" s="43" t="n"/>
      <c r="F839" s="43" t="n"/>
      <c r="G839" s="43" t="n"/>
      <c r="H839" s="79">
        <f>(E839/1000)*(F839/1000)*(G839/1000)*7850</f>
        <v/>
      </c>
      <c r="I839" s="43" t="n">
        <v>424</v>
      </c>
      <c r="J839" s="80">
        <f>H839*I839</f>
        <v/>
      </c>
      <c r="K839" s="43" t="inlineStr">
        <is>
          <t>来源页97</t>
        </is>
      </c>
      <c r="L839" s="43">
        <f>A839</f>
        <v/>
      </c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43" t="n"/>
    </row>
    <row r="840">
      <c r="A840" s="43" t="inlineStr">
        <is>
          <t>K1</t>
        </is>
      </c>
      <c r="B840" s="43" t="inlineStr">
        <is>
          <t>下弦杆拼接</t>
        </is>
      </c>
      <c r="C840" s="43" t="inlineStr">
        <is>
          <t>节段12~节段13</t>
        </is>
      </c>
      <c r="D840" s="43" t="inlineStr">
        <is>
          <t>Q355D</t>
        </is>
      </c>
      <c r="E840" s="43" t="n">
        <v>1020</v>
      </c>
      <c r="F840" s="43" t="n">
        <v>1700</v>
      </c>
      <c r="G840" s="43" t="n">
        <v>24</v>
      </c>
      <c r="H840" s="79">
        <f>(E840/1000)*(F840/1000)*(G840/1000)*7850</f>
        <v/>
      </c>
      <c r="I840" s="43" t="n">
        <v>2</v>
      </c>
      <c r="J840" s="80">
        <f>H840*I840</f>
        <v/>
      </c>
      <c r="K840" s="43" t="inlineStr">
        <is>
          <t>来源页97</t>
        </is>
      </c>
      <c r="L840" s="43">
        <f>A840</f>
        <v/>
      </c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43" t="n"/>
    </row>
    <row r="841">
      <c r="A841" s="43" t="inlineStr">
        <is>
          <t>K2</t>
        </is>
      </c>
      <c r="B841" s="43" t="inlineStr">
        <is>
          <t>下弦杆拼接</t>
        </is>
      </c>
      <c r="C841" s="43" t="inlineStr">
        <is>
          <t>节段12~节段13</t>
        </is>
      </c>
      <c r="D841" s="43" t="inlineStr">
        <is>
          <t>Q355D</t>
        </is>
      </c>
      <c r="E841" s="43" t="n">
        <v>1020</v>
      </c>
      <c r="F841" s="43" t="n">
        <v>800</v>
      </c>
      <c r="G841" s="43" t="n">
        <v>24</v>
      </c>
      <c r="H841" s="79">
        <f>(E841/1000)*(F841/1000)*(G841/1000)*7850</f>
        <v/>
      </c>
      <c r="I841" s="43" t="n">
        <v>4</v>
      </c>
      <c r="J841" s="80">
        <f>H841*I841</f>
        <v/>
      </c>
      <c r="K841" s="43" t="inlineStr">
        <is>
          <t>来源页97</t>
        </is>
      </c>
      <c r="L841" s="43">
        <f>A841</f>
        <v/>
      </c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43" t="n"/>
    </row>
    <row r="842">
      <c r="A842" s="43" t="inlineStr">
        <is>
          <t>K3</t>
        </is>
      </c>
      <c r="B842" s="43" t="inlineStr">
        <is>
          <t>下弦杆拼接</t>
        </is>
      </c>
      <c r="C842" s="43" t="inlineStr">
        <is>
          <t>节段12~节段13</t>
        </is>
      </c>
      <c r="D842" s="43" t="inlineStr">
        <is>
          <t>Q355D</t>
        </is>
      </c>
      <c r="E842" s="43" t="n">
        <v>1320</v>
      </c>
      <c r="F842" s="43" t="n">
        <v>1100</v>
      </c>
      <c r="G842" s="43" t="n">
        <v>36</v>
      </c>
      <c r="H842" s="79">
        <f>(E842/1000)*(F842/1000)*(G842/1000)*7850</f>
        <v/>
      </c>
      <c r="I842" s="43" t="n">
        <v>1</v>
      </c>
      <c r="J842" s="80">
        <f>H842*I842</f>
        <v/>
      </c>
      <c r="K842" s="43" t="inlineStr">
        <is>
          <t>来源页97</t>
        </is>
      </c>
      <c r="L842" s="43">
        <f>A842</f>
        <v/>
      </c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43" t="n"/>
    </row>
    <row r="843">
      <c r="A843" s="43" t="inlineStr">
        <is>
          <t>K4</t>
        </is>
      </c>
      <c r="B843" s="43" t="inlineStr">
        <is>
          <t>下弦杆拼接</t>
        </is>
      </c>
      <c r="C843" s="43" t="inlineStr">
        <is>
          <t>节段12~节段13</t>
        </is>
      </c>
      <c r="D843" s="43" t="inlineStr">
        <is>
          <t>Q355D</t>
        </is>
      </c>
      <c r="E843" s="43" t="n">
        <v>1320</v>
      </c>
      <c r="F843" s="43" t="n">
        <v>400</v>
      </c>
      <c r="G843" s="43" t="n">
        <v>36</v>
      </c>
      <c r="H843" s="79">
        <f>(E843/1000)*(F843/1000)*(G843/1000)*7850</f>
        <v/>
      </c>
      <c r="I843" s="43" t="n">
        <v>2</v>
      </c>
      <c r="J843" s="80">
        <f>H843*I843</f>
        <v/>
      </c>
      <c r="K843" s="43" t="inlineStr">
        <is>
          <t>来源页97</t>
        </is>
      </c>
      <c r="L843" s="43">
        <f>A843</f>
        <v/>
      </c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43" t="n"/>
    </row>
    <row r="844">
      <c r="A844" s="43" t="inlineStr">
        <is>
          <t>K5</t>
        </is>
      </c>
      <c r="B844" s="43" t="inlineStr">
        <is>
          <t>下弦杆拼接</t>
        </is>
      </c>
      <c r="C844" s="43" t="inlineStr">
        <is>
          <t>节段12~节段13</t>
        </is>
      </c>
      <c r="D844" s="43" t="inlineStr">
        <is>
          <t>Q355D</t>
        </is>
      </c>
      <c r="E844" s="43" t="n">
        <v>920</v>
      </c>
      <c r="F844" s="43" t="n">
        <v>200</v>
      </c>
      <c r="G844" s="43" t="n">
        <v>20</v>
      </c>
      <c r="H844" s="79">
        <f>(E844/1000)*(F844/1000)*(G844/1000)*7850</f>
        <v/>
      </c>
      <c r="I844" s="43" t="n">
        <v>6</v>
      </c>
      <c r="J844" s="80">
        <f>H844*I844</f>
        <v/>
      </c>
      <c r="K844" s="43" t="inlineStr">
        <is>
          <t>来源页97</t>
        </is>
      </c>
      <c r="L844" s="43">
        <f>A844</f>
        <v/>
      </c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43" t="n"/>
    </row>
    <row r="845">
      <c r="A845" s="43" t="inlineStr">
        <is>
          <t>K6</t>
        </is>
      </c>
      <c r="B845" s="43" t="inlineStr">
        <is>
          <t>下弦杆拼接</t>
        </is>
      </c>
      <c r="C845" s="43" t="inlineStr">
        <is>
          <t>节段12~节段13</t>
        </is>
      </c>
      <c r="D845" s="43" t="inlineStr">
        <is>
          <t>Q355D</t>
        </is>
      </c>
      <c r="E845" s="43" t="n">
        <v>500</v>
      </c>
      <c r="F845" s="43" t="n">
        <v>1700</v>
      </c>
      <c r="G845" s="43" t="n">
        <v>12</v>
      </c>
      <c r="H845" s="79">
        <f>(E845/1000)*(F845/1000)*(G845/1000)*7850</f>
        <v/>
      </c>
      <c r="I845" s="43" t="n">
        <v>2</v>
      </c>
      <c r="J845" s="80">
        <f>H845*I845</f>
        <v/>
      </c>
      <c r="K845" s="43" t="inlineStr">
        <is>
          <t>填板；来源页97</t>
        </is>
      </c>
      <c r="L845" s="43">
        <f>A845</f>
        <v/>
      </c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43" t="n"/>
    </row>
    <row r="846">
      <c r="A846" s="43" t="inlineStr">
        <is>
          <t>K7</t>
        </is>
      </c>
      <c r="B846" s="43" t="inlineStr">
        <is>
          <t>下弦杆拼接</t>
        </is>
      </c>
      <c r="C846" s="43" t="inlineStr">
        <is>
          <t>节段12~节段13</t>
        </is>
      </c>
      <c r="D846" s="43" t="inlineStr">
        <is>
          <t>Q355D</t>
        </is>
      </c>
      <c r="E846" s="43" t="n">
        <v>650</v>
      </c>
      <c r="F846" s="43" t="n">
        <v>1100</v>
      </c>
      <c r="G846" s="43" t="n">
        <v>4</v>
      </c>
      <c r="H846" s="79">
        <f>(E846/1000)*(F846/1000)*(G846/1000)*7850</f>
        <v/>
      </c>
      <c r="I846" s="43" t="n">
        <v>0</v>
      </c>
      <c r="J846" s="80">
        <f>H846*I846</f>
        <v/>
      </c>
      <c r="K846" s="43" t="inlineStr">
        <is>
          <t>填板；来源页97</t>
        </is>
      </c>
      <c r="L846" s="43">
        <f>A846</f>
        <v/>
      </c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43" t="n"/>
    </row>
    <row r="847">
      <c r="A847" s="43" t="inlineStr">
        <is>
          <t>M30高强螺栓</t>
        </is>
      </c>
      <c r="B847" s="43" t="inlineStr">
        <is>
          <t>下弦杆拼接</t>
        </is>
      </c>
      <c r="C847" s="43" t="inlineStr">
        <is>
          <t>节段12~节段13</t>
        </is>
      </c>
      <c r="D847" s="43" t="inlineStr">
        <is>
          <t>10.9S</t>
        </is>
      </c>
      <c r="E847" s="43" t="n"/>
      <c r="F847" s="43" t="n"/>
      <c r="G847" s="43" t="n"/>
      <c r="H847" s="79">
        <f>(E847/1000)*(F847/1000)*(G847/1000)*7850</f>
        <v/>
      </c>
      <c r="I847" s="43" t="n">
        <v>324</v>
      </c>
      <c r="J847" s="80">
        <f>H847*I847</f>
        <v/>
      </c>
      <c r="K847" s="43" t="inlineStr">
        <is>
          <t>来源页97</t>
        </is>
      </c>
      <c r="L847" s="43">
        <f>A847</f>
        <v/>
      </c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43" t="n"/>
    </row>
    <row r="848">
      <c r="A848" s="43" t="inlineStr">
        <is>
          <t>L1</t>
        </is>
      </c>
      <c r="B848" s="43" t="inlineStr">
        <is>
          <t>腹杆拼接</t>
        </is>
      </c>
      <c r="C848" s="43" t="inlineStr">
        <is>
          <t>节段12~节段13</t>
        </is>
      </c>
      <c r="D848" s="43" t="inlineStr">
        <is>
          <t>Q355D</t>
        </is>
      </c>
      <c r="E848" s="43" t="n">
        <v>1320</v>
      </c>
      <c r="F848" s="43" t="n">
        <v>900</v>
      </c>
      <c r="G848" s="43" t="n">
        <v>28</v>
      </c>
      <c r="H848" s="79">
        <f>(E848/1000)*(F848/1000)*(G848/1000)*7850</f>
        <v/>
      </c>
      <c r="I848" s="43" t="n">
        <v>2</v>
      </c>
      <c r="J848" s="80">
        <f>H848*I848</f>
        <v/>
      </c>
      <c r="K848" s="43" t="inlineStr">
        <is>
          <t>来源页97</t>
        </is>
      </c>
      <c r="L848" s="43">
        <f>A848</f>
        <v/>
      </c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43" t="n"/>
    </row>
    <row r="849">
      <c r="A849" s="43" t="inlineStr">
        <is>
          <t>L2</t>
        </is>
      </c>
      <c r="B849" s="43" t="inlineStr">
        <is>
          <t>腹杆拼接</t>
        </is>
      </c>
      <c r="C849" s="43" t="inlineStr">
        <is>
          <t>节段12~节段13</t>
        </is>
      </c>
      <c r="D849" s="43" t="inlineStr">
        <is>
          <t>Q355D</t>
        </is>
      </c>
      <c r="E849" s="43" t="n">
        <v>1320</v>
      </c>
      <c r="F849" s="43" t="n">
        <v>400</v>
      </c>
      <c r="G849" s="43" t="n">
        <v>28</v>
      </c>
      <c r="H849" s="79">
        <f>(E849/1000)*(F849/1000)*(G849/1000)*7850</f>
        <v/>
      </c>
      <c r="I849" s="43" t="n">
        <v>4</v>
      </c>
      <c r="J849" s="80">
        <f>H849*I849</f>
        <v/>
      </c>
      <c r="K849" s="43" t="inlineStr">
        <is>
          <t>来源页97</t>
        </is>
      </c>
      <c r="L849" s="43">
        <f>A849</f>
        <v/>
      </c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43" t="n"/>
    </row>
    <row r="850">
      <c r="A850" s="43" t="inlineStr">
        <is>
          <t>L3</t>
        </is>
      </c>
      <c r="B850" s="43" t="inlineStr">
        <is>
          <t>腹杆拼接</t>
        </is>
      </c>
      <c r="C850" s="43" t="inlineStr">
        <is>
          <t>节段12~节段13</t>
        </is>
      </c>
      <c r="D850" s="43" t="inlineStr">
        <is>
          <t>Q355D</t>
        </is>
      </c>
      <c r="E850" s="43" t="n">
        <v>1320</v>
      </c>
      <c r="F850" s="43" t="n">
        <v>500</v>
      </c>
      <c r="G850" s="43" t="n">
        <v>28</v>
      </c>
      <c r="H850" s="79">
        <f>(E850/1000)*(F850/1000)*(G850/1000)*7850</f>
        <v/>
      </c>
      <c r="I850" s="43" t="n">
        <v>4</v>
      </c>
      <c r="J850" s="80">
        <f>H850*I850</f>
        <v/>
      </c>
      <c r="K850" s="43" t="inlineStr">
        <is>
          <t>来源页97</t>
        </is>
      </c>
      <c r="L850" s="43">
        <f>A850</f>
        <v/>
      </c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43" t="n"/>
    </row>
    <row r="851">
      <c r="A851" s="43" t="inlineStr">
        <is>
          <t>L4</t>
        </is>
      </c>
      <c r="B851" s="43" t="inlineStr">
        <is>
          <t>腹杆拼接</t>
        </is>
      </c>
      <c r="C851" s="43" t="inlineStr">
        <is>
          <t>节段12~节段13</t>
        </is>
      </c>
      <c r="D851" s="43" t="inlineStr">
        <is>
          <t>Q355D</t>
        </is>
      </c>
      <c r="E851" s="43" t="n">
        <v>820</v>
      </c>
      <c r="F851" s="43" t="n">
        <v>200</v>
      </c>
      <c r="G851" s="43" t="n">
        <v>20</v>
      </c>
      <c r="H851" s="79">
        <f>(E851/1000)*(F851/1000)*(G851/1000)*7850</f>
        <v/>
      </c>
      <c r="I851" s="43" t="n">
        <v>4</v>
      </c>
      <c r="J851" s="80">
        <f>H851*I851</f>
        <v/>
      </c>
      <c r="K851" s="43" t="inlineStr">
        <is>
          <t>来源页97</t>
        </is>
      </c>
      <c r="L851" s="43">
        <f>A851</f>
        <v/>
      </c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43" t="n"/>
    </row>
    <row r="852">
      <c r="A852" s="43" t="inlineStr">
        <is>
          <t>N11a</t>
        </is>
      </c>
      <c r="B852" s="43" t="inlineStr">
        <is>
          <t>上弦顶板</t>
        </is>
      </c>
      <c r="C852" s="43" t="inlineStr">
        <is>
          <t>节段13</t>
        </is>
      </c>
      <c r="D852" s="43" t="inlineStr">
        <is>
          <t>Q355D</t>
        </is>
      </c>
      <c r="E852" s="43" t="n"/>
      <c r="F852" s="43" t="n"/>
      <c r="G852" s="43" t="n">
        <v>20</v>
      </c>
      <c r="H852" s="79">
        <f>(E852/1000)*(F852/1000)*(G852/1000)*7850</f>
        <v/>
      </c>
      <c r="I852" s="43" t="n">
        <v>1</v>
      </c>
      <c r="J852" s="80">
        <f>H852*I852</f>
        <v/>
      </c>
      <c r="K852" s="43" t="inlineStr">
        <is>
          <t>来源页98</t>
        </is>
      </c>
      <c r="L852" s="43">
        <f>A852</f>
        <v/>
      </c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43" t="n"/>
    </row>
    <row r="853">
      <c r="A853" s="43" t="inlineStr">
        <is>
          <t>N11b</t>
        </is>
      </c>
      <c r="B853" s="43" t="inlineStr">
        <is>
          <t>上弦顶板</t>
        </is>
      </c>
      <c r="C853" s="43" t="inlineStr">
        <is>
          <t>节段13</t>
        </is>
      </c>
      <c r="D853" s="43" t="inlineStr">
        <is>
          <t>Q355D</t>
        </is>
      </c>
      <c r="E853" s="43" t="n"/>
      <c r="F853" s="43" t="n"/>
      <c r="G853" s="43" t="n">
        <v>20</v>
      </c>
      <c r="H853" s="79">
        <f>(E853/1000)*(F853/1000)*(G853/1000)*7850</f>
        <v/>
      </c>
      <c r="I853" s="43" t="n">
        <v>1</v>
      </c>
      <c r="J853" s="80">
        <f>H853*I853</f>
        <v/>
      </c>
      <c r="K853" s="43" t="inlineStr">
        <is>
          <t>来源页98</t>
        </is>
      </c>
      <c r="L853" s="43">
        <f>A853</f>
        <v/>
      </c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43" t="n"/>
    </row>
    <row r="854">
      <c r="A854" s="43" t="inlineStr">
        <is>
          <t>N12a</t>
        </is>
      </c>
      <c r="B854" s="43" t="inlineStr">
        <is>
          <t>上弦底板</t>
        </is>
      </c>
      <c r="C854" s="43" t="inlineStr">
        <is>
          <t>节段13</t>
        </is>
      </c>
      <c r="D854" s="43" t="inlineStr">
        <is>
          <t>Q355D</t>
        </is>
      </c>
      <c r="E854" s="43" t="n">
        <v>7900</v>
      </c>
      <c r="F854" s="43" t="n">
        <v>1200</v>
      </c>
      <c r="G854" s="43" t="n">
        <v>20</v>
      </c>
      <c r="H854" s="79">
        <f>(E854/1000)*(F854/1000)*(G854/1000)*7850</f>
        <v/>
      </c>
      <c r="I854" s="43" t="n">
        <v>1</v>
      </c>
      <c r="J854" s="80">
        <f>H854*I854</f>
        <v/>
      </c>
      <c r="K854" s="43" t="inlineStr">
        <is>
          <t>来源页98</t>
        </is>
      </c>
      <c r="L854" s="43">
        <f>A854</f>
        <v/>
      </c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43" t="n"/>
    </row>
    <row r="855">
      <c r="A855" s="43" t="inlineStr">
        <is>
          <t>N12b</t>
        </is>
      </c>
      <c r="B855" s="43" t="inlineStr">
        <is>
          <t>上弦底板</t>
        </is>
      </c>
      <c r="C855" s="43" t="inlineStr">
        <is>
          <t>节段13</t>
        </is>
      </c>
      <c r="D855" s="43" t="inlineStr">
        <is>
          <t>Q355D</t>
        </is>
      </c>
      <c r="E855" s="43" t="n">
        <v>7100</v>
      </c>
      <c r="F855" s="43" t="n">
        <v>1200</v>
      </c>
      <c r="G855" s="43" t="n">
        <v>20</v>
      </c>
      <c r="H855" s="79">
        <f>(E855/1000)*(F855/1000)*(G855/1000)*7850</f>
        <v/>
      </c>
      <c r="I855" s="43" t="n">
        <v>1</v>
      </c>
      <c r="J855" s="80">
        <f>H855*I855</f>
        <v/>
      </c>
      <c r="K855" s="43" t="inlineStr">
        <is>
          <t>来源页98</t>
        </is>
      </c>
      <c r="L855" s="43">
        <f>A855</f>
        <v/>
      </c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43" t="n"/>
    </row>
    <row r="856">
      <c r="A856" s="43" t="inlineStr">
        <is>
          <t>N13</t>
        </is>
      </c>
      <c r="B856" s="43" t="inlineStr">
        <is>
          <t>上弦节点板</t>
        </is>
      </c>
      <c r="C856" s="43" t="inlineStr">
        <is>
          <t>节段13</t>
        </is>
      </c>
      <c r="D856" s="43" t="inlineStr">
        <is>
          <t>Q355D</t>
        </is>
      </c>
      <c r="E856" s="43" t="n"/>
      <c r="F856" s="43" t="n"/>
      <c r="G856" s="43" t="n">
        <v>40</v>
      </c>
      <c r="H856" s="79">
        <f>(E856/1000)*(F856/1000)*(G856/1000)*7850</f>
        <v/>
      </c>
      <c r="I856" s="43" t="n">
        <v>2</v>
      </c>
      <c r="J856" s="80">
        <f>H856*I856</f>
        <v/>
      </c>
      <c r="K856" s="43" t="inlineStr">
        <is>
          <t>来源页98</t>
        </is>
      </c>
      <c r="L856" s="43">
        <f>A856</f>
        <v/>
      </c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43" t="n"/>
    </row>
    <row r="857">
      <c r="A857" s="43" t="inlineStr">
        <is>
          <t>N14</t>
        </is>
      </c>
      <c r="B857" s="43" t="inlineStr">
        <is>
          <t>上弦腹板</t>
        </is>
      </c>
      <c r="C857" s="43" t="inlineStr">
        <is>
          <t>节段13</t>
        </is>
      </c>
      <c r="D857" s="43" t="inlineStr">
        <is>
          <t>Q355D</t>
        </is>
      </c>
      <c r="E857" s="43" t="n">
        <v>7300</v>
      </c>
      <c r="F857" s="43" t="n">
        <v>2048</v>
      </c>
      <c r="G857" s="43" t="n">
        <v>28</v>
      </c>
      <c r="H857" s="79">
        <f>(E857/1000)*(F857/1000)*(G857/1000)*7850</f>
        <v/>
      </c>
      <c r="I857" s="43" t="n">
        <v>2</v>
      </c>
      <c r="J857" s="80">
        <f>H857*I857</f>
        <v/>
      </c>
      <c r="K857" s="43" t="inlineStr">
        <is>
          <t>来源页98</t>
        </is>
      </c>
      <c r="L857" s="43">
        <f>A857</f>
        <v/>
      </c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43" t="n"/>
    </row>
    <row r="858">
      <c r="A858" s="43" t="inlineStr">
        <is>
          <t>N15</t>
        </is>
      </c>
      <c r="B858" s="43" t="inlineStr">
        <is>
          <t>上弦横隔板</t>
        </is>
      </c>
      <c r="C858" s="43" t="inlineStr">
        <is>
          <t>节段13</t>
        </is>
      </c>
      <c r="D858" s="43" t="inlineStr">
        <is>
          <t>Q355D</t>
        </is>
      </c>
      <c r="E858" s="43" t="n">
        <v>1980</v>
      </c>
      <c r="F858" s="43" t="n">
        <v>1200</v>
      </c>
      <c r="G858" s="43" t="n">
        <v>16</v>
      </c>
      <c r="H858" s="79">
        <f>(E858/1000)*(F858/1000)*(G858/1000)*7850</f>
        <v/>
      </c>
      <c r="I858" s="43" t="n">
        <v>3</v>
      </c>
      <c r="J858" s="80">
        <f>H858*I858</f>
        <v/>
      </c>
      <c r="K858" s="43" t="inlineStr">
        <is>
          <t>来源页98</t>
        </is>
      </c>
      <c r="L858" s="43">
        <f>A858</f>
        <v/>
      </c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43" t="n"/>
    </row>
    <row r="859">
      <c r="A859" s="43" t="inlineStr">
        <is>
          <t>N15a</t>
        </is>
      </c>
      <c r="B859" s="43" t="inlineStr">
        <is>
          <t>上弦横隔板</t>
        </is>
      </c>
      <c r="C859" s="43" t="inlineStr">
        <is>
          <t>节段13</t>
        </is>
      </c>
      <c r="D859" s="43" t="inlineStr">
        <is>
          <t>Q355D</t>
        </is>
      </c>
      <c r="E859" s="43" t="n">
        <v>1980</v>
      </c>
      <c r="F859" s="43" t="n">
        <v>1200</v>
      </c>
      <c r="G859" s="43" t="n">
        <v>16</v>
      </c>
      <c r="H859" s="79">
        <f>(E859/1000)*(F859/1000)*(G859/1000)*7850</f>
        <v/>
      </c>
      <c r="I859" s="43" t="n">
        <v>2</v>
      </c>
      <c r="J859" s="80">
        <f>H859*I859</f>
        <v/>
      </c>
      <c r="K859" s="43" t="inlineStr">
        <is>
          <t>来源页98</t>
        </is>
      </c>
      <c r="L859" s="43">
        <f>A859</f>
        <v/>
      </c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43" t="n"/>
    </row>
    <row r="860">
      <c r="A860" s="43" t="inlineStr">
        <is>
          <t>N15‘</t>
        </is>
      </c>
      <c r="B860" s="43" t="inlineStr">
        <is>
          <t>上弦横隔板</t>
        </is>
      </c>
      <c r="C860" s="43" t="inlineStr">
        <is>
          <t>节段13</t>
        </is>
      </c>
      <c r="D860" s="43" t="inlineStr">
        <is>
          <t>Q355D</t>
        </is>
      </c>
      <c r="E860" s="43" t="n">
        <v>2057</v>
      </c>
      <c r="F860" s="43" t="n">
        <v>200</v>
      </c>
      <c r="G860" s="43" t="n">
        <v>16</v>
      </c>
      <c r="H860" s="79">
        <f>(E860/1000)*(F860/1000)*(G860/1000)*7850</f>
        <v/>
      </c>
      <c r="I860" s="43" t="n">
        <v>3</v>
      </c>
      <c r="J860" s="80">
        <f>H860*I860</f>
        <v/>
      </c>
      <c r="K860" s="43" t="inlineStr">
        <is>
          <t>来源页98</t>
        </is>
      </c>
      <c r="L860" s="43">
        <f>A860</f>
        <v/>
      </c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43" t="n"/>
    </row>
    <row r="861">
      <c r="A861" s="43" t="inlineStr">
        <is>
          <t>N15b</t>
        </is>
      </c>
      <c r="B861" s="43" t="inlineStr">
        <is>
          <t>上弦横隔板</t>
        </is>
      </c>
      <c r="C861" s="43" t="inlineStr">
        <is>
          <t>节段13</t>
        </is>
      </c>
      <c r="D861" s="43" t="inlineStr">
        <is>
          <t>Q355B</t>
        </is>
      </c>
      <c r="E861" s="43" t="n">
        <v>2057</v>
      </c>
      <c r="F861" s="43" t="n">
        <v>40</v>
      </c>
      <c r="G861" s="43" t="n">
        <v>4</v>
      </c>
      <c r="H861" s="79">
        <f>(E861/1000)*(F861/1000)*(G861/1000)*7850</f>
        <v/>
      </c>
      <c r="I861" s="43" t="n">
        <v>4</v>
      </c>
      <c r="J861" s="80">
        <f>H861*I861</f>
        <v/>
      </c>
      <c r="K861" s="43" t="inlineStr">
        <is>
          <t>来源页98</t>
        </is>
      </c>
      <c r="L861" s="43">
        <f>A861</f>
        <v/>
      </c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43" t="n"/>
    </row>
    <row r="862">
      <c r="A862" s="43" t="inlineStr">
        <is>
          <t>N15c</t>
        </is>
      </c>
      <c r="B862" s="43" t="inlineStr">
        <is>
          <t>上弦横隔板</t>
        </is>
      </c>
      <c r="C862" s="43" t="inlineStr">
        <is>
          <t>节段13</t>
        </is>
      </c>
      <c r="D862" s="43" t="inlineStr">
        <is>
          <t>Q355D</t>
        </is>
      </c>
      <c r="E862" s="43" t="n">
        <v>800</v>
      </c>
      <c r="F862" s="43" t="n">
        <v>400</v>
      </c>
      <c r="G862" s="43" t="n">
        <v>16</v>
      </c>
      <c r="H862" s="79">
        <f>(E862/1000)*(F862/1000)*(G862/1000)*7850</f>
        <v/>
      </c>
      <c r="I862" s="43" t="n">
        <v>4</v>
      </c>
      <c r="J862" s="80">
        <f>H862*I862</f>
        <v/>
      </c>
      <c r="K862" s="43" t="inlineStr">
        <is>
          <t>来源页98</t>
        </is>
      </c>
      <c r="L862" s="43">
        <f>A862</f>
        <v/>
      </c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43" t="n"/>
    </row>
    <row r="863">
      <c r="A863" s="43" t="inlineStr">
        <is>
          <t>N21a</t>
        </is>
      </c>
      <c r="B863" s="43" t="inlineStr">
        <is>
          <t>下弦顶板</t>
        </is>
      </c>
      <c r="C863" s="43" t="inlineStr">
        <is>
          <t>节段13</t>
        </is>
      </c>
      <c r="D863" s="43" t="inlineStr">
        <is>
          <t>Q355D</t>
        </is>
      </c>
      <c r="E863" s="43" t="n">
        <v>7901</v>
      </c>
      <c r="F863" s="43" t="n">
        <v>2500</v>
      </c>
      <c r="G863" s="43" t="n">
        <v>24</v>
      </c>
      <c r="H863" s="79">
        <f>(E863/1000)*(F863/1000)*(G863/1000)*7850</f>
        <v/>
      </c>
      <c r="I863" s="43" t="n">
        <v>1</v>
      </c>
      <c r="J863" s="80">
        <f>H863*I863</f>
        <v/>
      </c>
      <c r="K863" s="43" t="inlineStr">
        <is>
          <t>来源页98</t>
        </is>
      </c>
      <c r="L863" s="43">
        <f>A863</f>
        <v/>
      </c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43" t="n"/>
    </row>
    <row r="864">
      <c r="A864" s="43" t="inlineStr">
        <is>
          <t>N21b</t>
        </is>
      </c>
      <c r="B864" s="43" t="inlineStr">
        <is>
          <t>下弦顶板</t>
        </is>
      </c>
      <c r="C864" s="43" t="inlineStr">
        <is>
          <t>节段13</t>
        </is>
      </c>
      <c r="D864" s="43" t="inlineStr">
        <is>
          <t>Q355D</t>
        </is>
      </c>
      <c r="E864" s="43" t="n">
        <v>7101</v>
      </c>
      <c r="F864" s="43" t="n">
        <v>2500</v>
      </c>
      <c r="G864" s="43" t="n">
        <v>24</v>
      </c>
      <c r="H864" s="79">
        <f>(E864/1000)*(F864/1000)*(G864/1000)*7850</f>
        <v/>
      </c>
      <c r="I864" s="43" t="n">
        <v>1</v>
      </c>
      <c r="J864" s="80">
        <f>H864*I864</f>
        <v/>
      </c>
      <c r="K864" s="43" t="inlineStr">
        <is>
          <t>来源页98</t>
        </is>
      </c>
      <c r="L864" s="43">
        <f>A864</f>
        <v/>
      </c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43" t="n"/>
    </row>
    <row r="865">
      <c r="A865" s="43" t="inlineStr">
        <is>
          <t>N22a</t>
        </is>
      </c>
      <c r="B865" s="43" t="inlineStr">
        <is>
          <t>下弦底板</t>
        </is>
      </c>
      <c r="C865" s="43" t="inlineStr">
        <is>
          <t>节段13</t>
        </is>
      </c>
      <c r="D865" s="43" t="inlineStr">
        <is>
          <t>Q355D</t>
        </is>
      </c>
      <c r="E865" s="43" t="n"/>
      <c r="F865" s="43" t="n"/>
      <c r="G865" s="43" t="n">
        <v>24</v>
      </c>
      <c r="H865" s="79">
        <f>(E865/1000)*(F865/1000)*(G865/1000)*7850</f>
        <v/>
      </c>
      <c r="I865" s="43" t="n">
        <v>1</v>
      </c>
      <c r="J865" s="80">
        <f>H865*I865</f>
        <v/>
      </c>
      <c r="K865" s="43" t="inlineStr">
        <is>
          <t>来源页98</t>
        </is>
      </c>
      <c r="L865" s="43">
        <f>A865</f>
        <v/>
      </c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43" t="n"/>
    </row>
    <row r="866">
      <c r="A866" s="43" t="inlineStr">
        <is>
          <t>N22b</t>
        </is>
      </c>
      <c r="B866" s="43" t="inlineStr">
        <is>
          <t>下弦底板</t>
        </is>
      </c>
      <c r="C866" s="43" t="inlineStr">
        <is>
          <t>节段13</t>
        </is>
      </c>
      <c r="D866" s="43" t="inlineStr">
        <is>
          <t>Q355D</t>
        </is>
      </c>
      <c r="E866" s="43" t="n"/>
      <c r="F866" s="43" t="n"/>
      <c r="G866" s="43" t="n">
        <v>24</v>
      </c>
      <c r="H866" s="79">
        <f>(E866/1000)*(F866/1000)*(G866/1000)*7850</f>
        <v/>
      </c>
      <c r="I866" s="43" t="n">
        <v>1</v>
      </c>
      <c r="J866" s="80">
        <f>H866*I866</f>
        <v/>
      </c>
      <c r="K866" s="43" t="inlineStr">
        <is>
          <t>来源页98</t>
        </is>
      </c>
      <c r="L866" s="43">
        <f>A866</f>
        <v/>
      </c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43" t="n"/>
    </row>
    <row r="867">
      <c r="A867" s="43" t="inlineStr">
        <is>
          <t>N23</t>
        </is>
      </c>
      <c r="B867" s="43" t="inlineStr">
        <is>
          <t>下弦节点板</t>
        </is>
      </c>
      <c r="C867" s="43" t="inlineStr">
        <is>
          <t>节段13</t>
        </is>
      </c>
      <c r="D867" s="43" t="inlineStr">
        <is>
          <t>Q355D</t>
        </is>
      </c>
      <c r="E867" s="43" t="n"/>
      <c r="F867" s="43" t="n"/>
      <c r="G867" s="43" t="n">
        <v>44</v>
      </c>
      <c r="H867" s="79">
        <f>(E867/1000)*(F867/1000)*(G867/1000)*7850</f>
        <v/>
      </c>
      <c r="I867" s="43" t="n">
        <v>2</v>
      </c>
      <c r="J867" s="80">
        <f>H867*I867</f>
        <v/>
      </c>
      <c r="K867" s="43" t="inlineStr">
        <is>
          <t>Z35钢；来源页98</t>
        </is>
      </c>
      <c r="L867" s="43">
        <f>A867</f>
        <v/>
      </c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43" t="n"/>
    </row>
    <row r="868">
      <c r="A868" s="43" t="inlineStr">
        <is>
          <t>N24</t>
        </is>
      </c>
      <c r="B868" s="43" t="inlineStr">
        <is>
          <t>下弦腹板</t>
        </is>
      </c>
      <c r="C868" s="43" t="inlineStr">
        <is>
          <t>节段13</t>
        </is>
      </c>
      <c r="D868" s="43" t="inlineStr">
        <is>
          <t>Q355D</t>
        </is>
      </c>
      <c r="E868" s="43" t="n">
        <v>7301</v>
      </c>
      <c r="F868" s="43" t="n">
        <v>1880</v>
      </c>
      <c r="G868" s="43" t="n">
        <v>32</v>
      </c>
      <c r="H868" s="79">
        <f>(E868/1000)*(F868/1000)*(G868/1000)*7850</f>
        <v/>
      </c>
      <c r="I868" s="43" t="n">
        <v>2</v>
      </c>
      <c r="J868" s="80">
        <f>H868*I868</f>
        <v/>
      </c>
      <c r="K868" s="43" t="inlineStr">
        <is>
          <t>来源页98</t>
        </is>
      </c>
      <c r="L868" s="43">
        <f>A868</f>
        <v/>
      </c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43" t="n"/>
    </row>
    <row r="869">
      <c r="A869" s="43" t="inlineStr">
        <is>
          <t>N25</t>
        </is>
      </c>
      <c r="B869" s="43" t="inlineStr">
        <is>
          <t>下弦横隔板</t>
        </is>
      </c>
      <c r="C869" s="43" t="inlineStr">
        <is>
          <t>节段13</t>
        </is>
      </c>
      <c r="D869" s="43" t="inlineStr">
        <is>
          <t>Q355D</t>
        </is>
      </c>
      <c r="E869" s="43" t="n">
        <v>1800</v>
      </c>
      <c r="F869" s="43" t="n">
        <v>1200</v>
      </c>
      <c r="G869" s="43" t="n">
        <v>16</v>
      </c>
      <c r="H869" s="79">
        <f>(E869/1000)*(F869/1000)*(G869/1000)*7850</f>
        <v/>
      </c>
      <c r="I869" s="43" t="n">
        <v>3</v>
      </c>
      <c r="J869" s="80">
        <f>H869*I869</f>
        <v/>
      </c>
      <c r="K869" s="43" t="inlineStr">
        <is>
          <t>来源页98</t>
        </is>
      </c>
      <c r="L869" s="43">
        <f>A869</f>
        <v/>
      </c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43" t="n"/>
    </row>
    <row r="870">
      <c r="A870" s="43" t="inlineStr">
        <is>
          <t>N25a</t>
        </is>
      </c>
      <c r="B870" s="43" t="inlineStr">
        <is>
          <t>下弦横隔板</t>
        </is>
      </c>
      <c r="C870" s="43" t="inlineStr">
        <is>
          <t>节段13</t>
        </is>
      </c>
      <c r="D870" s="43" t="inlineStr">
        <is>
          <t>Q355D</t>
        </is>
      </c>
      <c r="E870" s="43" t="n">
        <v>1800</v>
      </c>
      <c r="F870" s="43" t="n">
        <v>1200</v>
      </c>
      <c r="G870" s="43" t="n">
        <v>16</v>
      </c>
      <c r="H870" s="79">
        <f>(E870/1000)*(F870/1000)*(G870/1000)*7850</f>
        <v/>
      </c>
      <c r="I870" s="43" t="n">
        <v>2</v>
      </c>
      <c r="J870" s="80">
        <f>H870*I870</f>
        <v/>
      </c>
      <c r="K870" s="43" t="inlineStr">
        <is>
          <t>来源页98</t>
        </is>
      </c>
      <c r="L870" s="43">
        <f>A870</f>
        <v/>
      </c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43" t="n"/>
    </row>
    <row r="871">
      <c r="A871" s="43" t="inlineStr">
        <is>
          <t>N25'</t>
        </is>
      </c>
      <c r="B871" s="43" t="inlineStr">
        <is>
          <t>下弦横隔板</t>
        </is>
      </c>
      <c r="C871" s="43" t="inlineStr">
        <is>
          <t>节段13</t>
        </is>
      </c>
      <c r="D871" s="43" t="inlineStr">
        <is>
          <t>Q355D</t>
        </is>
      </c>
      <c r="E871" s="43" t="n">
        <v>2057</v>
      </c>
      <c r="F871" s="43" t="n">
        <v>200</v>
      </c>
      <c r="G871" s="43" t="n">
        <v>16</v>
      </c>
      <c r="H871" s="79">
        <f>(E871/1000)*(F871/1000)*(G871/1000)*7850</f>
        <v/>
      </c>
      <c r="I871" s="43" t="n">
        <v>3</v>
      </c>
      <c r="J871" s="80">
        <f>H871*I871</f>
        <v/>
      </c>
      <c r="K871" s="43" t="inlineStr">
        <is>
          <t>来源页98</t>
        </is>
      </c>
      <c r="L871" s="43">
        <f>A871</f>
        <v/>
      </c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43" t="n"/>
    </row>
    <row r="872">
      <c r="A872" s="43" t="inlineStr">
        <is>
          <t>N26a</t>
        </is>
      </c>
      <c r="B872" s="43" t="inlineStr">
        <is>
          <t>下弦加劲肋</t>
        </is>
      </c>
      <c r="C872" s="43" t="inlineStr">
        <is>
          <t>节段13</t>
        </is>
      </c>
      <c r="D872" s="43" t="inlineStr">
        <is>
          <t>Q355D</t>
        </is>
      </c>
      <c r="E872" s="43" t="n">
        <v>7901</v>
      </c>
      <c r="F872" s="43" t="n">
        <v>280</v>
      </c>
      <c r="G872" s="43" t="n">
        <v>24</v>
      </c>
      <c r="H872" s="79">
        <f>(E872/1000)*(F872/1000)*(G872/1000)*7850</f>
        <v/>
      </c>
      <c r="I872" s="43" t="n">
        <v>4</v>
      </c>
      <c r="J872" s="80">
        <f>H872*I872</f>
        <v/>
      </c>
      <c r="K872" s="43" t="inlineStr">
        <is>
          <t>来源页98</t>
        </is>
      </c>
      <c r="L872" s="43">
        <f>A872</f>
        <v/>
      </c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43" t="n"/>
    </row>
    <row r="873">
      <c r="A873" s="43" t="inlineStr">
        <is>
          <t>N26b</t>
        </is>
      </c>
      <c r="B873" s="43" t="inlineStr">
        <is>
          <t>下弦加劲肋</t>
        </is>
      </c>
      <c r="C873" s="43" t="inlineStr">
        <is>
          <t>节段13</t>
        </is>
      </c>
      <c r="D873" s="43" t="inlineStr">
        <is>
          <t>Q355D</t>
        </is>
      </c>
      <c r="E873" s="43" t="n">
        <v>7101</v>
      </c>
      <c r="F873" s="43" t="n">
        <v>280</v>
      </c>
      <c r="G873" s="43" t="n">
        <v>24</v>
      </c>
      <c r="H873" s="79">
        <f>(E873/1000)*(F873/1000)*(G873/1000)*7850</f>
        <v/>
      </c>
      <c r="I873" s="43" t="n">
        <v>4</v>
      </c>
      <c r="J873" s="80">
        <f>H873*I873</f>
        <v/>
      </c>
      <c r="K873" s="43" t="inlineStr">
        <is>
          <t>来源页98</t>
        </is>
      </c>
      <c r="L873" s="43">
        <f>A873</f>
        <v/>
      </c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43" t="n"/>
    </row>
    <row r="874">
      <c r="A874" s="43" t="inlineStr">
        <is>
          <t>N26c</t>
        </is>
      </c>
      <c r="B874" s="43" t="inlineStr">
        <is>
          <t>下弦加劲肋</t>
        </is>
      </c>
      <c r="C874" s="43" t="inlineStr">
        <is>
          <t>节段13</t>
        </is>
      </c>
      <c r="D874" s="43" t="inlineStr">
        <is>
          <t>Q355D</t>
        </is>
      </c>
      <c r="E874" s="43" t="n">
        <v>15002</v>
      </c>
      <c r="F874" s="43" t="n">
        <v>170</v>
      </c>
      <c r="G874" s="43" t="n">
        <v>14</v>
      </c>
      <c r="H874" s="79">
        <f>(E874/1000)*(F874/1000)*(G874/1000)*7850</f>
        <v/>
      </c>
      <c r="I874" s="43" t="n">
        <v>2</v>
      </c>
      <c r="J874" s="80">
        <f>H874*I874</f>
        <v/>
      </c>
      <c r="K874" s="43" t="inlineStr">
        <is>
          <t>来源页98</t>
        </is>
      </c>
      <c r="L874" s="43">
        <f>A874</f>
        <v/>
      </c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43" t="n"/>
    </row>
    <row r="875">
      <c r="A875" s="43" t="inlineStr">
        <is>
          <t>N31</t>
        </is>
      </c>
      <c r="B875" s="43" t="inlineStr">
        <is>
          <t>斜腹杆</t>
        </is>
      </c>
      <c r="C875" s="43" t="inlineStr">
        <is>
          <t>节段13</t>
        </is>
      </c>
      <c r="D875" s="43" t="inlineStr">
        <is>
          <t>Q355D</t>
        </is>
      </c>
      <c r="E875" s="43" t="n">
        <v>7458</v>
      </c>
      <c r="F875" s="43" t="n">
        <v>900</v>
      </c>
      <c r="G875" s="43" t="n">
        <v>36</v>
      </c>
      <c r="H875" s="79">
        <f>(E875/1000)*(F875/1000)*(G875/1000)*7850</f>
        <v/>
      </c>
      <c r="I875" s="43" t="n">
        <v>2</v>
      </c>
      <c r="J875" s="80">
        <f>H875*I875</f>
        <v/>
      </c>
      <c r="K875" s="43" t="inlineStr">
        <is>
          <t>来源页98</t>
        </is>
      </c>
      <c r="L875" s="43">
        <f>A875</f>
        <v/>
      </c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43" t="n"/>
    </row>
    <row r="876">
      <c r="A876" s="43" t="inlineStr">
        <is>
          <t>N32</t>
        </is>
      </c>
      <c r="B876" s="43" t="inlineStr">
        <is>
          <t>斜腹杆</t>
        </is>
      </c>
      <c r="C876" s="43" t="inlineStr">
        <is>
          <t>节段13</t>
        </is>
      </c>
      <c r="D876" s="43" t="inlineStr">
        <is>
          <t>Q355D</t>
        </is>
      </c>
      <c r="E876" s="43" t="n">
        <v>11958</v>
      </c>
      <c r="F876" s="43" t="n">
        <v>1200</v>
      </c>
      <c r="G876" s="43" t="n">
        <v>32</v>
      </c>
      <c r="H876" s="79">
        <f>(E876/1000)*(F876/1000)*(G876/1000)*7850</f>
        <v/>
      </c>
      <c r="I876" s="43" t="n">
        <v>1</v>
      </c>
      <c r="J876" s="80">
        <f>H876*I876</f>
        <v/>
      </c>
      <c r="K876" s="43" t="inlineStr">
        <is>
          <t>来源页98</t>
        </is>
      </c>
      <c r="L876" s="43">
        <f>A876</f>
        <v/>
      </c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43" t="n"/>
    </row>
    <row r="877">
      <c r="A877" s="43" t="inlineStr">
        <is>
          <t>N33</t>
        </is>
      </c>
      <c r="B877" s="43" t="inlineStr">
        <is>
          <t>斜腹杆</t>
        </is>
      </c>
      <c r="C877" s="43" t="inlineStr">
        <is>
          <t>节段13</t>
        </is>
      </c>
      <c r="D877" s="43" t="inlineStr">
        <is>
          <t>Q355D</t>
        </is>
      </c>
      <c r="E877" s="43" t="n">
        <v>10558</v>
      </c>
      <c r="F877" s="43" t="n">
        <v>240</v>
      </c>
      <c r="G877" s="43" t="n">
        <v>24</v>
      </c>
      <c r="H877" s="79">
        <f>(E877/1000)*(F877/1000)*(G877/1000)*7850</f>
        <v/>
      </c>
      <c r="I877" s="43" t="n">
        <v>2</v>
      </c>
      <c r="J877" s="80">
        <f>H877*I877</f>
        <v/>
      </c>
      <c r="K877" s="43" t="inlineStr">
        <is>
          <t>来源页98</t>
        </is>
      </c>
      <c r="L877" s="43">
        <f>A877</f>
        <v/>
      </c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43" t="n"/>
    </row>
    <row r="878">
      <c r="A878" s="43" t="inlineStr">
        <is>
          <t>N41</t>
        </is>
      </c>
      <c r="B878" s="43" t="inlineStr">
        <is>
          <t>斜腹杆</t>
        </is>
      </c>
      <c r="C878" s="43" t="inlineStr">
        <is>
          <t>节段13</t>
        </is>
      </c>
      <c r="D878" s="43" t="inlineStr">
        <is>
          <t>Q355D</t>
        </is>
      </c>
      <c r="E878" s="43" t="n">
        <v>5482</v>
      </c>
      <c r="F878" s="43" t="n">
        <v>1200</v>
      </c>
      <c r="G878" s="43" t="n">
        <v>36</v>
      </c>
      <c r="H878" s="79">
        <f>(E878/1000)*(F878/1000)*(G878/1000)*7850</f>
        <v/>
      </c>
      <c r="I878" s="43" t="n">
        <v>1</v>
      </c>
      <c r="J878" s="80">
        <f>H878*I878</f>
        <v/>
      </c>
      <c r="K878" s="43" t="inlineStr">
        <is>
          <t>来源页98</t>
        </is>
      </c>
      <c r="L878" s="43">
        <f>A878</f>
        <v/>
      </c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43" t="n"/>
    </row>
    <row r="879">
      <c r="A879" s="43" t="inlineStr">
        <is>
          <t>N41a</t>
        </is>
      </c>
      <c r="B879" s="43" t="inlineStr">
        <is>
          <t>斜腹杆</t>
        </is>
      </c>
      <c r="C879" s="43" t="inlineStr">
        <is>
          <t>节段13</t>
        </is>
      </c>
      <c r="D879" s="43" t="inlineStr">
        <is>
          <t>Q355D</t>
        </is>
      </c>
      <c r="E879" s="43" t="n">
        <v>5782</v>
      </c>
      <c r="F879" s="43" t="n">
        <v>1200</v>
      </c>
      <c r="G879" s="43" t="n">
        <v>36</v>
      </c>
      <c r="H879" s="79">
        <f>(E879/1000)*(F879/1000)*(G879/1000)*7850</f>
        <v/>
      </c>
      <c r="I879" s="43" t="n">
        <v>1</v>
      </c>
      <c r="J879" s="80">
        <f>H879*I879</f>
        <v/>
      </c>
      <c r="K879" s="43" t="inlineStr">
        <is>
          <t>来源页98</t>
        </is>
      </c>
      <c r="L879" s="43">
        <f>A879</f>
        <v/>
      </c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43" t="n"/>
    </row>
    <row r="880">
      <c r="A880" s="43" t="inlineStr">
        <is>
          <t>N42</t>
        </is>
      </c>
      <c r="B880" s="43" t="inlineStr">
        <is>
          <t>斜腹杆</t>
        </is>
      </c>
      <c r="C880" s="43" t="inlineStr">
        <is>
          <t>节段13</t>
        </is>
      </c>
      <c r="D880" s="43" t="inlineStr">
        <is>
          <t>Q355D</t>
        </is>
      </c>
      <c r="E880" s="43" t="n">
        <v>3682</v>
      </c>
      <c r="F880" s="43" t="n">
        <v>1360</v>
      </c>
      <c r="G880" s="43" t="n">
        <v>36</v>
      </c>
      <c r="H880" s="79">
        <f>(E880/1000)*(F880/1000)*(G880/1000)*7850</f>
        <v/>
      </c>
      <c r="I880" s="43" t="n">
        <v>2</v>
      </c>
      <c r="J880" s="80">
        <f>H880*I880</f>
        <v/>
      </c>
      <c r="K880" s="43" t="inlineStr">
        <is>
          <t>来源页98</t>
        </is>
      </c>
      <c r="L880" s="43">
        <f>A880</f>
        <v/>
      </c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43" t="n"/>
    </row>
    <row r="881">
      <c r="A881" s="43" t="inlineStr">
        <is>
          <t>N43</t>
        </is>
      </c>
      <c r="B881" s="43" t="inlineStr">
        <is>
          <t>斜腹杆</t>
        </is>
      </c>
      <c r="C881" s="43" t="inlineStr">
        <is>
          <t>节段13</t>
        </is>
      </c>
      <c r="D881" s="43" t="inlineStr">
        <is>
          <t>Q355D</t>
        </is>
      </c>
      <c r="E881" s="43" t="n">
        <v>3682</v>
      </c>
      <c r="F881" s="43" t="n">
        <v>320</v>
      </c>
      <c r="G881" s="43" t="n">
        <v>32</v>
      </c>
      <c r="H881" s="79">
        <f>(E881/1000)*(F881/1000)*(G881/1000)*7850</f>
        <v/>
      </c>
      <c r="I881" s="43" t="n">
        <v>2</v>
      </c>
      <c r="J881" s="80">
        <f>H881*I881</f>
        <v/>
      </c>
      <c r="K881" s="43" t="inlineStr">
        <is>
          <t>来源页98</t>
        </is>
      </c>
      <c r="L881" s="43">
        <f>A881</f>
        <v/>
      </c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43" t="n"/>
    </row>
    <row r="882">
      <c r="A882" s="43" t="inlineStr">
        <is>
          <t>N43a</t>
        </is>
      </c>
      <c r="B882" s="43" t="inlineStr">
        <is>
          <t>斜腹杆</t>
        </is>
      </c>
      <c r="C882" s="43" t="inlineStr">
        <is>
          <t>节段13</t>
        </is>
      </c>
      <c r="D882" s="43" t="inlineStr">
        <is>
          <t>Q355D</t>
        </is>
      </c>
      <c r="E882" s="43" t="n">
        <v>4782</v>
      </c>
      <c r="F882" s="43" t="n">
        <v>320</v>
      </c>
      <c r="G882" s="43" t="n">
        <v>32</v>
      </c>
      <c r="H882" s="79">
        <f>(E882/1000)*(F882/1000)*(G882/1000)*7850</f>
        <v/>
      </c>
      <c r="I882" s="43" t="n">
        <v>1</v>
      </c>
      <c r="J882" s="80">
        <f>H882*I882</f>
        <v/>
      </c>
      <c r="K882" s="43" t="inlineStr">
        <is>
          <t>来源页98</t>
        </is>
      </c>
      <c r="L882" s="43">
        <f>A882</f>
        <v/>
      </c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43" t="n"/>
    </row>
    <row r="883">
      <c r="A883" s="43" t="inlineStr">
        <is>
          <t>N43b</t>
        </is>
      </c>
      <c r="B883" s="43" t="inlineStr">
        <is>
          <t>斜腹杆</t>
        </is>
      </c>
      <c r="C883" s="43" t="inlineStr">
        <is>
          <t>节段13</t>
        </is>
      </c>
      <c r="D883" s="43" t="inlineStr">
        <is>
          <t>Q355D</t>
        </is>
      </c>
      <c r="E883" s="43" t="n">
        <v>5082</v>
      </c>
      <c r="F883" s="43" t="n">
        <v>320</v>
      </c>
      <c r="G883" s="43" t="n">
        <v>32</v>
      </c>
      <c r="H883" s="79">
        <f>(E883/1000)*(F883/1000)*(G883/1000)*7850</f>
        <v/>
      </c>
      <c r="I883" s="43" t="n">
        <v>1</v>
      </c>
      <c r="J883" s="80">
        <f>H883*I883</f>
        <v/>
      </c>
      <c r="K883" s="43" t="inlineStr">
        <is>
          <t>来源页98</t>
        </is>
      </c>
      <c r="L883" s="43">
        <f>A883</f>
        <v/>
      </c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43" t="n"/>
    </row>
    <row r="884">
      <c r="A884" s="43" t="inlineStr">
        <is>
          <t>N44</t>
        </is>
      </c>
      <c r="B884" s="43" t="inlineStr">
        <is>
          <t>斜腹杆</t>
        </is>
      </c>
      <c r="C884" s="43" t="inlineStr">
        <is>
          <t>节段13</t>
        </is>
      </c>
      <c r="D884" s="43" t="inlineStr">
        <is>
          <t>Q355D</t>
        </is>
      </c>
      <c r="E884" s="43" t="n">
        <v>1200</v>
      </c>
      <c r="F884" s="43" t="n">
        <v>1200</v>
      </c>
      <c r="G884" s="43" t="n">
        <v>16</v>
      </c>
      <c r="H884" s="79">
        <f>(E884/1000)*(F884/1000)*(G884/1000)*7850</f>
        <v/>
      </c>
      <c r="I884" s="43" t="n">
        <v>3</v>
      </c>
      <c r="J884" s="80">
        <f>H884*I884</f>
        <v/>
      </c>
      <c r="K884" s="43" t="inlineStr">
        <is>
          <t>来源页98</t>
        </is>
      </c>
      <c r="L884" s="43">
        <f>A884</f>
        <v/>
      </c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43" t="n"/>
    </row>
    <row r="885">
      <c r="A885" s="43" t="inlineStr">
        <is>
          <t>N51</t>
        </is>
      </c>
      <c r="B885" s="43" t="inlineStr">
        <is>
          <t>斜腹杆</t>
        </is>
      </c>
      <c r="C885" s="43" t="inlineStr">
        <is>
          <t>节段13</t>
        </is>
      </c>
      <c r="D885" s="43" t="inlineStr">
        <is>
          <t>Q355D</t>
        </is>
      </c>
      <c r="E885" s="43" t="n">
        <v>3714</v>
      </c>
      <c r="F885" s="43" t="n">
        <v>900</v>
      </c>
      <c r="G885" s="43" t="n">
        <v>36</v>
      </c>
      <c r="H885" s="79">
        <f>(E885/1000)*(F885/1000)*(G885/1000)*7850</f>
        <v/>
      </c>
      <c r="I885" s="43" t="n">
        <v>2</v>
      </c>
      <c r="J885" s="80">
        <f>H885*I885</f>
        <v/>
      </c>
      <c r="K885" s="43" t="inlineStr">
        <is>
          <t>来源页98</t>
        </is>
      </c>
      <c r="L885" s="43">
        <f>A885</f>
        <v/>
      </c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43" t="n"/>
    </row>
    <row r="886">
      <c r="A886" s="43" t="inlineStr">
        <is>
          <t>N52</t>
        </is>
      </c>
      <c r="B886" s="43" t="inlineStr">
        <is>
          <t>斜腹杆</t>
        </is>
      </c>
      <c r="C886" s="43" t="inlineStr">
        <is>
          <t>节段13</t>
        </is>
      </c>
      <c r="D886" s="43" t="inlineStr">
        <is>
          <t>Q355D</t>
        </is>
      </c>
      <c r="E886" s="43" t="n">
        <v>5914</v>
      </c>
      <c r="F886" s="43" t="n">
        <v>1200</v>
      </c>
      <c r="G886" s="43" t="n">
        <v>32</v>
      </c>
      <c r="H886" s="79">
        <f>(E886/1000)*(F886/1000)*(G886/1000)*7850</f>
        <v/>
      </c>
      <c r="I886" s="43" t="n">
        <v>1</v>
      </c>
      <c r="J886" s="80">
        <f>H886*I886</f>
        <v/>
      </c>
      <c r="K886" s="43" t="inlineStr">
        <is>
          <t>来源页98</t>
        </is>
      </c>
      <c r="L886" s="43">
        <f>A886</f>
        <v/>
      </c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43" t="n"/>
    </row>
    <row r="887">
      <c r="A887" s="43" t="inlineStr">
        <is>
          <t>N53</t>
        </is>
      </c>
      <c r="B887" s="43" t="inlineStr">
        <is>
          <t>斜腹杆</t>
        </is>
      </c>
      <c r="C887" s="43" t="inlineStr">
        <is>
          <t>节段13</t>
        </is>
      </c>
      <c r="D887" s="43" t="inlineStr">
        <is>
          <t>Q355D</t>
        </is>
      </c>
      <c r="E887" s="43" t="n">
        <v>4514</v>
      </c>
      <c r="F887" s="43" t="n">
        <v>240</v>
      </c>
      <c r="G887" s="43" t="n">
        <v>24</v>
      </c>
      <c r="H887" s="79">
        <f>(E887/1000)*(F887/1000)*(G887/1000)*7850</f>
        <v/>
      </c>
      <c r="I887" s="43" t="n">
        <v>2</v>
      </c>
      <c r="J887" s="80">
        <f>H887*I887</f>
        <v/>
      </c>
      <c r="K887" s="43" t="inlineStr">
        <is>
          <t>来源页98</t>
        </is>
      </c>
      <c r="L887" s="43">
        <f>A887</f>
        <v/>
      </c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43" t="n"/>
    </row>
    <row r="888">
      <c r="A888" s="43" t="inlineStr">
        <is>
          <t>N54</t>
        </is>
      </c>
      <c r="B888" s="43" t="inlineStr">
        <is>
          <t>节点板加劲</t>
        </is>
      </c>
      <c r="C888" s="43" t="inlineStr">
        <is>
          <t>节段13</t>
        </is>
      </c>
      <c r="D888" s="43" t="inlineStr">
        <is>
          <t>Q355D</t>
        </is>
      </c>
      <c r="E888" s="43" t="n">
        <v>2300</v>
      </c>
      <c r="F888" s="43" t="n">
        <v>320</v>
      </c>
      <c r="G888" s="43" t="n">
        <v>32</v>
      </c>
      <c r="H888" s="79">
        <f>(E888/1000)*(F888/1000)*(G888/1000)*7850</f>
        <v/>
      </c>
      <c r="I888" s="43" t="n">
        <v>2</v>
      </c>
      <c r="J888" s="80">
        <f>H888*I888</f>
        <v/>
      </c>
      <c r="K888" s="43" t="inlineStr">
        <is>
          <t>来源页98</t>
        </is>
      </c>
      <c r="L888" s="43">
        <f>A888</f>
        <v/>
      </c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43" t="n"/>
    </row>
    <row r="889">
      <c r="A889" s="43" t="inlineStr">
        <is>
          <t>N55</t>
        </is>
      </c>
      <c r="B889" s="43" t="inlineStr">
        <is>
          <t>节点板加劲</t>
        </is>
      </c>
      <c r="C889" s="43" t="inlineStr">
        <is>
          <t>节段13</t>
        </is>
      </c>
      <c r="D889" s="43" t="inlineStr">
        <is>
          <t>Q355D</t>
        </is>
      </c>
      <c r="E889" s="43" t="n">
        <v>980</v>
      </c>
      <c r="F889" s="43" t="n">
        <v>1200</v>
      </c>
      <c r="G889" s="43" t="n">
        <v>20</v>
      </c>
      <c r="H889" s="79">
        <f>(E889/1000)*(F889/1000)*(G889/1000)*7850</f>
        <v/>
      </c>
      <c r="I889" s="43" t="n">
        <v>1</v>
      </c>
      <c r="J889" s="80">
        <f>H889*I889</f>
        <v/>
      </c>
      <c r="K889" s="43" t="inlineStr">
        <is>
          <t>来源页98</t>
        </is>
      </c>
      <c r="L889" s="43">
        <f>A889</f>
        <v/>
      </c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43" t="n"/>
    </row>
    <row r="890">
      <c r="A890" s="43" t="inlineStr">
        <is>
          <t>N61a</t>
        </is>
      </c>
      <c r="B890" s="43" t="inlineStr">
        <is>
          <t>横梁接头</t>
        </is>
      </c>
      <c r="C890" s="43" t="inlineStr">
        <is>
          <t>节段13</t>
        </is>
      </c>
      <c r="D890" s="43" t="inlineStr">
        <is>
          <t>Q355D</t>
        </is>
      </c>
      <c r="E890" s="43" t="n">
        <v>1980</v>
      </c>
      <c r="F890" s="43" t="n">
        <v>622</v>
      </c>
      <c r="G890" s="43" t="n">
        <v>14</v>
      </c>
      <c r="H890" s="79">
        <f>(E890/1000)*(F890/1000)*(G890/1000)*7850</f>
        <v/>
      </c>
      <c r="I890" s="43" t="n">
        <v>4</v>
      </c>
      <c r="J890" s="80">
        <f>H890*I890</f>
        <v/>
      </c>
      <c r="K890" s="43" t="inlineStr">
        <is>
          <t>来源页98</t>
        </is>
      </c>
      <c r="L890" s="43">
        <f>A890</f>
        <v/>
      </c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43" t="n"/>
    </row>
    <row r="891">
      <c r="A891" s="43" t="inlineStr">
        <is>
          <t>N62a</t>
        </is>
      </c>
      <c r="B891" s="43" t="inlineStr">
        <is>
          <t>横梁接头</t>
        </is>
      </c>
      <c r="C891" s="43" t="inlineStr">
        <is>
          <t>节段13</t>
        </is>
      </c>
      <c r="D891" s="43" t="inlineStr">
        <is>
          <t>Q355D</t>
        </is>
      </c>
      <c r="E891" s="43" t="n"/>
      <c r="F891" s="43" t="n"/>
      <c r="G891" s="43" t="n">
        <v>24</v>
      </c>
      <c r="H891" s="79">
        <f>(E891/1000)*(F891/1000)*(G891/1000)*7850</f>
        <v/>
      </c>
      <c r="I891" s="43" t="n">
        <v>4</v>
      </c>
      <c r="J891" s="80">
        <f>H891*I891</f>
        <v/>
      </c>
      <c r="K891" s="43" t="inlineStr">
        <is>
          <t>来源页98</t>
        </is>
      </c>
      <c r="L891" s="43">
        <f>A891</f>
        <v/>
      </c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43" t="n"/>
    </row>
    <row r="892">
      <c r="A892" s="43" t="inlineStr">
        <is>
          <t>N63a</t>
        </is>
      </c>
      <c r="B892" s="43" t="inlineStr">
        <is>
          <t>横梁接头</t>
        </is>
      </c>
      <c r="C892" s="43" t="inlineStr">
        <is>
          <t>节段13</t>
        </is>
      </c>
      <c r="D892" s="43" t="inlineStr">
        <is>
          <t>Q355D</t>
        </is>
      </c>
      <c r="E892" s="43" t="n">
        <v>1800</v>
      </c>
      <c r="F892" s="43" t="n">
        <v>618</v>
      </c>
      <c r="G892" s="43" t="n">
        <v>14</v>
      </c>
      <c r="H892" s="79">
        <f>(E892/1000)*(F892/1000)*(G892/1000)*7850</f>
        <v/>
      </c>
      <c r="I892" s="43" t="n">
        <v>4</v>
      </c>
      <c r="J892" s="80">
        <f>H892*I892</f>
        <v/>
      </c>
      <c r="K892" s="43" t="inlineStr">
        <is>
          <t>来源页98</t>
        </is>
      </c>
      <c r="L892" s="43">
        <f>A892</f>
        <v/>
      </c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43" t="n"/>
    </row>
    <row r="893">
      <c r="A893" s="43" t="inlineStr">
        <is>
          <t>P1</t>
        </is>
      </c>
      <c r="B893" s="43" t="inlineStr">
        <is>
          <t>上弦杆拼接</t>
        </is>
      </c>
      <c r="C893" s="43" t="inlineStr">
        <is>
          <t>节段13~节段14</t>
        </is>
      </c>
      <c r="D893" s="43" t="inlineStr">
        <is>
          <t>Q355D</t>
        </is>
      </c>
      <c r="E893" s="43" t="n">
        <v>820</v>
      </c>
      <c r="F893" s="43" t="n">
        <v>1800</v>
      </c>
      <c r="G893" s="43" t="n">
        <v>24</v>
      </c>
      <c r="H893" s="79">
        <f>(E893/1000)*(F893/1000)*(G893/1000)*7850</f>
        <v/>
      </c>
      <c r="I893" s="43" t="n">
        <v>2</v>
      </c>
      <c r="J893" s="80">
        <f>H893*I893</f>
        <v/>
      </c>
      <c r="K893" s="43" t="inlineStr">
        <is>
          <t>来源页101</t>
        </is>
      </c>
      <c r="L893" s="43">
        <f>A893</f>
        <v/>
      </c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43" t="n"/>
    </row>
    <row r="894">
      <c r="A894" s="43" t="inlineStr">
        <is>
          <t>P2</t>
        </is>
      </c>
      <c r="B894" s="43" t="inlineStr">
        <is>
          <t>上弦杆拼接</t>
        </is>
      </c>
      <c r="C894" s="43" t="inlineStr">
        <is>
          <t>节段13~节段14</t>
        </is>
      </c>
      <c r="D894" s="43" t="inlineStr">
        <is>
          <t>Q355D</t>
        </is>
      </c>
      <c r="E894" s="43" t="n">
        <v>820</v>
      </c>
      <c r="F894" s="43" t="n">
        <v>500</v>
      </c>
      <c r="G894" s="43" t="n">
        <v>24</v>
      </c>
      <c r="H894" s="79">
        <f>(E894/1000)*(F894/1000)*(G894/1000)*7850</f>
        <v/>
      </c>
      <c r="I894" s="43" t="n">
        <v>2</v>
      </c>
      <c r="J894" s="80">
        <f>H894*I894</f>
        <v/>
      </c>
      <c r="K894" s="43" t="inlineStr">
        <is>
          <t>来源页101</t>
        </is>
      </c>
      <c r="L894" s="43">
        <f>A894</f>
        <v/>
      </c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43" t="n"/>
    </row>
    <row r="895">
      <c r="A895" s="43" t="inlineStr">
        <is>
          <t>P3</t>
        </is>
      </c>
      <c r="B895" s="43" t="inlineStr">
        <is>
          <t>上弦杆拼接</t>
        </is>
      </c>
      <c r="C895" s="43" t="inlineStr">
        <is>
          <t>节段13~节段14</t>
        </is>
      </c>
      <c r="D895" s="43" t="inlineStr">
        <is>
          <t>Q355D</t>
        </is>
      </c>
      <c r="E895" s="43" t="n">
        <v>820</v>
      </c>
      <c r="F895" s="43" t="n">
        <v>500</v>
      </c>
      <c r="G895" s="43" t="n">
        <v>24</v>
      </c>
      <c r="H895" s="79">
        <f>(E895/1000)*(F895/1000)*(G895/1000)*7850</f>
        <v/>
      </c>
      <c r="I895" s="43" t="n">
        <v>2</v>
      </c>
      <c r="J895" s="80">
        <f>H895*I895</f>
        <v/>
      </c>
      <c r="K895" s="43" t="inlineStr">
        <is>
          <t>来源页101</t>
        </is>
      </c>
      <c r="L895" s="43">
        <f>A895</f>
        <v/>
      </c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43" t="n"/>
    </row>
    <row r="896">
      <c r="A896" s="43" t="inlineStr">
        <is>
          <t>P4</t>
        </is>
      </c>
      <c r="B896" s="43" t="inlineStr">
        <is>
          <t>上弦杆拼接</t>
        </is>
      </c>
      <c r="C896" s="43" t="inlineStr">
        <is>
          <t>节段13~节段14</t>
        </is>
      </c>
      <c r="D896" s="43" t="inlineStr">
        <is>
          <t>Q355D</t>
        </is>
      </c>
      <c r="E896" s="43" t="n">
        <v>820</v>
      </c>
      <c r="F896" s="43" t="n">
        <v>600</v>
      </c>
      <c r="G896" s="43" t="n">
        <v>24</v>
      </c>
      <c r="H896" s="79">
        <f>(E896/1000)*(F896/1000)*(G896/1000)*7850</f>
        <v/>
      </c>
      <c r="I896" s="43" t="n">
        <v>2</v>
      </c>
      <c r="J896" s="80">
        <f>H896*I896</f>
        <v/>
      </c>
      <c r="K896" s="43" t="inlineStr">
        <is>
          <t>来源页101</t>
        </is>
      </c>
      <c r="L896" s="43">
        <f>A896</f>
        <v/>
      </c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43" t="n"/>
    </row>
    <row r="897">
      <c r="A897" s="43" t="inlineStr">
        <is>
          <t>P5</t>
        </is>
      </c>
      <c r="B897" s="43" t="inlineStr">
        <is>
          <t>上弦杆拼接</t>
        </is>
      </c>
      <c r="C897" s="43" t="inlineStr">
        <is>
          <t>节段13~节段14</t>
        </is>
      </c>
      <c r="D897" s="43" t="inlineStr">
        <is>
          <t>Q355D</t>
        </is>
      </c>
      <c r="E897" s="43" t="n">
        <v>920</v>
      </c>
      <c r="F897" s="43" t="n">
        <v>1100</v>
      </c>
      <c r="G897" s="43" t="n">
        <v>28</v>
      </c>
      <c r="H897" s="79">
        <f>(E897/1000)*(F897/1000)*(G897/1000)*7850</f>
        <v/>
      </c>
      <c r="I897" s="43" t="n">
        <v>1</v>
      </c>
      <c r="J897" s="80">
        <f>H897*I897</f>
        <v/>
      </c>
      <c r="K897" s="43" t="inlineStr">
        <is>
          <t>来源页101</t>
        </is>
      </c>
      <c r="L897" s="43">
        <f>A897</f>
        <v/>
      </c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43" t="n"/>
    </row>
    <row r="898">
      <c r="A898" s="43" t="inlineStr">
        <is>
          <t>P6</t>
        </is>
      </c>
      <c r="B898" s="43" t="inlineStr">
        <is>
          <t>上弦杆拼接</t>
        </is>
      </c>
      <c r="C898" s="43" t="inlineStr">
        <is>
          <t>节段13~节段14</t>
        </is>
      </c>
      <c r="D898" s="43" t="inlineStr">
        <is>
          <t>Q355D</t>
        </is>
      </c>
      <c r="E898" s="43" t="n">
        <v>920</v>
      </c>
      <c r="F898" s="43" t="n">
        <v>400</v>
      </c>
      <c r="G898" s="43" t="n">
        <v>28</v>
      </c>
      <c r="H898" s="79">
        <f>(E898/1000)*(F898/1000)*(G898/1000)*7850</f>
        <v/>
      </c>
      <c r="I898" s="43" t="n">
        <v>2</v>
      </c>
      <c r="J898" s="80">
        <f>H898*I898</f>
        <v/>
      </c>
      <c r="K898" s="43" t="inlineStr">
        <is>
          <t>来源页101</t>
        </is>
      </c>
      <c r="L898" s="43">
        <f>A898</f>
        <v/>
      </c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43" t="n"/>
    </row>
    <row r="899">
      <c r="A899" s="43" t="inlineStr">
        <is>
          <t>P7</t>
        </is>
      </c>
      <c r="B899" s="43" t="inlineStr">
        <is>
          <t>上弦杆拼接</t>
        </is>
      </c>
      <c r="C899" s="43" t="inlineStr">
        <is>
          <t>节段13~节段14</t>
        </is>
      </c>
      <c r="D899" s="43" t="inlineStr">
        <is>
          <t>Q355D</t>
        </is>
      </c>
      <c r="E899" s="43" t="n">
        <v>920</v>
      </c>
      <c r="F899" s="43" t="n">
        <v>200</v>
      </c>
      <c r="G899" s="43" t="n">
        <v>14</v>
      </c>
      <c r="H899" s="79">
        <f>(E899/1000)*(F899/1000)*(G899/1000)*7850</f>
        <v/>
      </c>
      <c r="I899" s="43" t="n">
        <v>10</v>
      </c>
      <c r="J899" s="80">
        <f>H899*I899</f>
        <v/>
      </c>
      <c r="K899" s="43" t="inlineStr">
        <is>
          <t>来源页101</t>
        </is>
      </c>
      <c r="L899" s="43">
        <f>A899</f>
        <v/>
      </c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43" t="n"/>
    </row>
    <row r="900">
      <c r="A900" s="43" t="inlineStr">
        <is>
          <t>P8</t>
        </is>
      </c>
      <c r="B900" s="43" t="inlineStr">
        <is>
          <t>上弦杆拼接</t>
        </is>
      </c>
      <c r="C900" s="43" t="inlineStr">
        <is>
          <t>节段13~节段14</t>
        </is>
      </c>
      <c r="D900" s="43" t="inlineStr">
        <is>
          <t>Q355D</t>
        </is>
      </c>
      <c r="E900" s="43" t="n">
        <v>600</v>
      </c>
      <c r="F900" s="43" t="n">
        <v>1800</v>
      </c>
      <c r="G900" s="43" t="n">
        <v>12</v>
      </c>
      <c r="H900" s="79">
        <f>(E900/1000)*(F900/1000)*(G900/1000)*7850</f>
        <v/>
      </c>
      <c r="I900" s="43" t="n">
        <v>2</v>
      </c>
      <c r="J900" s="80">
        <f>H900*I900</f>
        <v/>
      </c>
      <c r="K900" s="43" t="inlineStr">
        <is>
          <t>填板；来源页101</t>
        </is>
      </c>
      <c r="L900" s="43">
        <f>A900</f>
        <v/>
      </c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43" t="n"/>
    </row>
    <row r="901">
      <c r="A901" s="43" t="inlineStr">
        <is>
          <t>P9</t>
        </is>
      </c>
      <c r="B901" s="43" t="inlineStr">
        <is>
          <t>上弦杆拼接</t>
        </is>
      </c>
      <c r="C901" s="43" t="inlineStr">
        <is>
          <t>节段13~节段14</t>
        </is>
      </c>
      <c r="D901" s="43" t="inlineStr">
        <is>
          <t>Q355D</t>
        </is>
      </c>
      <c r="E901" s="43" t="n">
        <v>700</v>
      </c>
      <c r="F901" s="43" t="n">
        <v>1100</v>
      </c>
      <c r="G901" s="43" t="n">
        <v>4</v>
      </c>
      <c r="H901" s="79">
        <f>(E901/1000)*(F901/1000)*(G901/1000)*7850</f>
        <v/>
      </c>
      <c r="I901" s="43" t="n">
        <v>0</v>
      </c>
      <c r="J901" s="80">
        <f>H901*I901</f>
        <v/>
      </c>
      <c r="K901" s="43" t="inlineStr">
        <is>
          <t>填板；来源页101</t>
        </is>
      </c>
      <c r="L901" s="43">
        <f>A901</f>
        <v/>
      </c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43" t="n"/>
    </row>
    <row r="902">
      <c r="A902" s="43" t="inlineStr">
        <is>
          <t>M30高强螺栓</t>
        </is>
      </c>
      <c r="B902" s="43" t="inlineStr">
        <is>
          <t>上弦杆拼接</t>
        </is>
      </c>
      <c r="C902" s="43" t="inlineStr">
        <is>
          <t>节段13~节段14</t>
        </is>
      </c>
      <c r="D902" s="43" t="inlineStr">
        <is>
          <t>10.9S</t>
        </is>
      </c>
      <c r="E902" s="43" t="n"/>
      <c r="F902" s="43" t="n"/>
      <c r="G902" s="43" t="n"/>
      <c r="H902" s="79">
        <f>(E902/1000)*(F902/1000)*(G902/1000)*7850</f>
        <v/>
      </c>
      <c r="I902" s="43" t="n">
        <v>424</v>
      </c>
      <c r="J902" s="80">
        <f>H902*I902</f>
        <v/>
      </c>
      <c r="K902" s="43" t="inlineStr">
        <is>
          <t>来源页101</t>
        </is>
      </c>
      <c r="L902" s="43">
        <f>A902</f>
        <v/>
      </c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43" t="n"/>
    </row>
    <row r="903">
      <c r="A903" s="43" t="inlineStr">
        <is>
          <t>K1</t>
        </is>
      </c>
      <c r="B903" s="43" t="inlineStr">
        <is>
          <t>下弦杆拼接</t>
        </is>
      </c>
      <c r="C903" s="43" t="inlineStr">
        <is>
          <t>节段13~节段14</t>
        </is>
      </c>
      <c r="D903" s="43" t="inlineStr">
        <is>
          <t>Q355D</t>
        </is>
      </c>
      <c r="E903" s="43" t="n">
        <v>1020</v>
      </c>
      <c r="F903" s="43" t="n">
        <v>1700</v>
      </c>
      <c r="G903" s="43" t="n">
        <v>24</v>
      </c>
      <c r="H903" s="79">
        <f>(E903/1000)*(F903/1000)*(G903/1000)*7850</f>
        <v/>
      </c>
      <c r="I903" s="43" t="n">
        <v>2</v>
      </c>
      <c r="J903" s="80">
        <f>H903*I903</f>
        <v/>
      </c>
      <c r="K903" s="43" t="inlineStr">
        <is>
          <t>来源页101</t>
        </is>
      </c>
      <c r="L903" s="43">
        <f>A903</f>
        <v/>
      </c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43" t="n"/>
    </row>
    <row r="904">
      <c r="A904" s="43" t="inlineStr">
        <is>
          <t>K2</t>
        </is>
      </c>
      <c r="B904" s="43" t="inlineStr">
        <is>
          <t>下弦杆拼接</t>
        </is>
      </c>
      <c r="C904" s="43" t="inlineStr">
        <is>
          <t>节段13~节段14</t>
        </is>
      </c>
      <c r="D904" s="43" t="inlineStr">
        <is>
          <t>Q355D</t>
        </is>
      </c>
      <c r="E904" s="43" t="n">
        <v>1020</v>
      </c>
      <c r="F904" s="43" t="n">
        <v>800</v>
      </c>
      <c r="G904" s="43" t="n">
        <v>24</v>
      </c>
      <c r="H904" s="79">
        <f>(E904/1000)*(F904/1000)*(G904/1000)*7850</f>
        <v/>
      </c>
      <c r="I904" s="43" t="n">
        <v>4</v>
      </c>
      <c r="J904" s="80">
        <f>H904*I904</f>
        <v/>
      </c>
      <c r="K904" s="43" t="inlineStr">
        <is>
          <t>来源页101</t>
        </is>
      </c>
      <c r="L904" s="43">
        <f>A904</f>
        <v/>
      </c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43" t="n"/>
    </row>
    <row r="905">
      <c r="A905" s="43" t="inlineStr">
        <is>
          <t>K3</t>
        </is>
      </c>
      <c r="B905" s="43" t="inlineStr">
        <is>
          <t>下弦杆拼接</t>
        </is>
      </c>
      <c r="C905" s="43" t="inlineStr">
        <is>
          <t>节段13~节段14</t>
        </is>
      </c>
      <c r="D905" s="43" t="inlineStr">
        <is>
          <t>Q355D</t>
        </is>
      </c>
      <c r="E905" s="43" t="n">
        <v>1320</v>
      </c>
      <c r="F905" s="43" t="n">
        <v>1100</v>
      </c>
      <c r="G905" s="43" t="n">
        <v>36</v>
      </c>
      <c r="H905" s="79">
        <f>(E905/1000)*(F905/1000)*(G905/1000)*7850</f>
        <v/>
      </c>
      <c r="I905" s="43" t="n">
        <v>1</v>
      </c>
      <c r="J905" s="80">
        <f>H905*I905</f>
        <v/>
      </c>
      <c r="K905" s="43" t="inlineStr">
        <is>
          <t>来源页101</t>
        </is>
      </c>
      <c r="L905" s="43">
        <f>A905</f>
        <v/>
      </c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43" t="n"/>
    </row>
    <row r="906">
      <c r="A906" s="43" t="inlineStr">
        <is>
          <t>K4</t>
        </is>
      </c>
      <c r="B906" s="43" t="inlineStr">
        <is>
          <t>下弦杆拼接</t>
        </is>
      </c>
      <c r="C906" s="43" t="inlineStr">
        <is>
          <t>节段13~节段14</t>
        </is>
      </c>
      <c r="D906" s="43" t="inlineStr">
        <is>
          <t>Q355D</t>
        </is>
      </c>
      <c r="E906" s="43" t="n">
        <v>1320</v>
      </c>
      <c r="F906" s="43" t="n">
        <v>400</v>
      </c>
      <c r="G906" s="43" t="n">
        <v>36</v>
      </c>
      <c r="H906" s="79">
        <f>(E906/1000)*(F906/1000)*(G906/1000)*7850</f>
        <v/>
      </c>
      <c r="I906" s="43" t="n">
        <v>2</v>
      </c>
      <c r="J906" s="80">
        <f>H906*I906</f>
        <v/>
      </c>
      <c r="K906" s="43" t="inlineStr">
        <is>
          <t>来源页101</t>
        </is>
      </c>
      <c r="L906" s="43">
        <f>A906</f>
        <v/>
      </c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43" t="n"/>
    </row>
    <row r="907">
      <c r="A907" s="43" t="inlineStr">
        <is>
          <t>K6</t>
        </is>
      </c>
      <c r="B907" s="43" t="inlineStr">
        <is>
          <t>下弦杆拼接</t>
        </is>
      </c>
      <c r="C907" s="43" t="inlineStr">
        <is>
          <t>节段13~节段14</t>
        </is>
      </c>
      <c r="D907" s="43" t="inlineStr">
        <is>
          <t>Q355D</t>
        </is>
      </c>
      <c r="E907" s="43" t="n">
        <v>500</v>
      </c>
      <c r="F907" s="43" t="n">
        <v>1700</v>
      </c>
      <c r="G907" s="43" t="n">
        <v>12</v>
      </c>
      <c r="H907" s="79">
        <f>(E907/1000)*(F907/1000)*(G907/1000)*7850</f>
        <v/>
      </c>
      <c r="I907" s="43" t="n">
        <v>2</v>
      </c>
      <c r="J907" s="80">
        <f>H907*I907</f>
        <v/>
      </c>
      <c r="K907" s="43" t="inlineStr">
        <is>
          <t>填板；来源页101</t>
        </is>
      </c>
      <c r="L907" s="43">
        <f>A907</f>
        <v/>
      </c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43" t="n"/>
    </row>
    <row r="908">
      <c r="A908" s="43" t="inlineStr">
        <is>
          <t>K7</t>
        </is>
      </c>
      <c r="B908" s="43" t="inlineStr">
        <is>
          <t>下弦杆拼接</t>
        </is>
      </c>
      <c r="C908" s="43" t="inlineStr">
        <is>
          <t>节段13~节段14</t>
        </is>
      </c>
      <c r="D908" s="43" t="inlineStr">
        <is>
          <t>Q355D</t>
        </is>
      </c>
      <c r="E908" s="43" t="n">
        <v>650</v>
      </c>
      <c r="F908" s="43" t="n">
        <v>1100</v>
      </c>
      <c r="G908" s="43" t="n">
        <v>4</v>
      </c>
      <c r="H908" s="79">
        <f>(E908/1000)*(F908/1000)*(G908/1000)*7850</f>
        <v/>
      </c>
      <c r="I908" s="43" t="n">
        <v>0</v>
      </c>
      <c r="J908" s="80">
        <f>H908*I908</f>
        <v/>
      </c>
      <c r="K908" s="43" t="inlineStr">
        <is>
          <t>填板；来源页101</t>
        </is>
      </c>
      <c r="L908" s="43">
        <f>A908</f>
        <v/>
      </c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43" t="n"/>
    </row>
    <row r="909">
      <c r="A909" s="43" t="inlineStr">
        <is>
          <t>M30高强螺栓</t>
        </is>
      </c>
      <c r="B909" s="43" t="inlineStr">
        <is>
          <t>下弦杆拼接</t>
        </is>
      </c>
      <c r="C909" s="43" t="inlineStr">
        <is>
          <t>节段13~节段14</t>
        </is>
      </c>
      <c r="D909" s="43" t="inlineStr">
        <is>
          <t>10.9S</t>
        </is>
      </c>
      <c r="E909" s="43" t="n"/>
      <c r="F909" s="43" t="n"/>
      <c r="G909" s="43" t="n"/>
      <c r="H909" s="79">
        <f>(E909/1000)*(F909/1000)*(G909/1000)*7850</f>
        <v/>
      </c>
      <c r="I909" s="43" t="n">
        <v>324</v>
      </c>
      <c r="J909" s="80">
        <f>H909*I909</f>
        <v/>
      </c>
      <c r="K909" s="43" t="inlineStr">
        <is>
          <t>来源页101</t>
        </is>
      </c>
      <c r="L909" s="43">
        <f>A909</f>
        <v/>
      </c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43" t="n"/>
    </row>
    <row r="910">
      <c r="A910" s="43" t="inlineStr">
        <is>
          <t>L1</t>
        </is>
      </c>
      <c r="B910" s="43" t="inlineStr">
        <is>
          <t>腹杆拼接</t>
        </is>
      </c>
      <c r="C910" s="43" t="inlineStr">
        <is>
          <t>节段13~节段14</t>
        </is>
      </c>
      <c r="D910" s="43" t="inlineStr">
        <is>
          <t>Q355D</t>
        </is>
      </c>
      <c r="E910" s="43" t="n">
        <v>1520</v>
      </c>
      <c r="F910" s="43" t="n">
        <v>1100</v>
      </c>
      <c r="G910" s="43" t="n">
        <v>24</v>
      </c>
      <c r="H910" s="79">
        <f>(E910/1000)*(F910/1000)*(G910/1000)*7850</f>
        <v/>
      </c>
      <c r="I910" s="43" t="n">
        <v>2</v>
      </c>
      <c r="J910" s="80">
        <f>H910*I910</f>
        <v/>
      </c>
      <c r="K910" s="43" t="inlineStr">
        <is>
          <t>来源页101</t>
        </is>
      </c>
      <c r="L910" s="43">
        <f>A910</f>
        <v/>
      </c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43" t="n"/>
    </row>
    <row r="911">
      <c r="A911" s="43" t="inlineStr">
        <is>
          <t>L2</t>
        </is>
      </c>
      <c r="B911" s="43" t="inlineStr">
        <is>
          <t>腹杆拼接</t>
        </is>
      </c>
      <c r="C911" s="43" t="inlineStr">
        <is>
          <t>节段13~节段14</t>
        </is>
      </c>
      <c r="D911" s="43" t="inlineStr">
        <is>
          <t>Q355D</t>
        </is>
      </c>
      <c r="E911" s="43" t="n">
        <v>1520</v>
      </c>
      <c r="F911" s="43" t="n">
        <v>500</v>
      </c>
      <c r="G911" s="43" t="n">
        <v>24</v>
      </c>
      <c r="H911" s="79">
        <f>(E911/1000)*(F911/1000)*(G911/1000)*7850</f>
        <v/>
      </c>
      <c r="I911" s="43" t="n">
        <v>4</v>
      </c>
      <c r="J911" s="80">
        <f>H911*I911</f>
        <v/>
      </c>
      <c r="K911" s="43" t="inlineStr">
        <is>
          <t>来源页101</t>
        </is>
      </c>
      <c r="L911" s="43">
        <f>A911</f>
        <v/>
      </c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43" t="n"/>
    </row>
    <row r="912">
      <c r="A912" s="43" t="inlineStr">
        <is>
          <t>L3</t>
        </is>
      </c>
      <c r="B912" s="43" t="inlineStr">
        <is>
          <t>腹杆拼接</t>
        </is>
      </c>
      <c r="C912" s="43" t="inlineStr">
        <is>
          <t>节段13~节段14</t>
        </is>
      </c>
      <c r="D912" s="43" t="inlineStr">
        <is>
          <t>Q355D</t>
        </is>
      </c>
      <c r="E912" s="43" t="n">
        <v>1320</v>
      </c>
      <c r="F912" s="43" t="n">
        <v>1100</v>
      </c>
      <c r="G912" s="43" t="n">
        <v>28</v>
      </c>
      <c r="H912" s="79">
        <f>(E912/1000)*(F912/1000)*(G912/1000)*7850</f>
        <v/>
      </c>
      <c r="I912" s="43" t="n">
        <v>1</v>
      </c>
      <c r="J912" s="80">
        <f>H912*I912</f>
        <v/>
      </c>
      <c r="K912" s="43" t="inlineStr">
        <is>
          <t>来源页101</t>
        </is>
      </c>
      <c r="L912" s="43">
        <f>A912</f>
        <v/>
      </c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43" t="n"/>
    </row>
    <row r="913">
      <c r="A913" s="43" t="inlineStr">
        <is>
          <t>L4</t>
        </is>
      </c>
      <c r="B913" s="43" t="inlineStr">
        <is>
          <t>腹杆拼接</t>
        </is>
      </c>
      <c r="C913" s="43" t="inlineStr">
        <is>
          <t>节段13~节段14</t>
        </is>
      </c>
      <c r="D913" s="43" t="inlineStr">
        <is>
          <t>Q355D</t>
        </is>
      </c>
      <c r="E913" s="43" t="n">
        <v>1320</v>
      </c>
      <c r="F913" s="43" t="n">
        <v>500</v>
      </c>
      <c r="G913" s="43" t="n">
        <v>28</v>
      </c>
      <c r="H913" s="79">
        <f>(E913/1000)*(F913/1000)*(G913/1000)*7850</f>
        <v/>
      </c>
      <c r="I913" s="43" t="n">
        <v>2</v>
      </c>
      <c r="J913" s="80">
        <f>H913*I913</f>
        <v/>
      </c>
      <c r="K913" s="43" t="inlineStr">
        <is>
          <t>来源页101</t>
        </is>
      </c>
      <c r="L913" s="43">
        <f>A913</f>
        <v/>
      </c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43" t="n"/>
    </row>
    <row r="914">
      <c r="A914" s="43" t="inlineStr">
        <is>
          <t>L5</t>
        </is>
      </c>
      <c r="B914" s="43" t="inlineStr">
        <is>
          <t>腹杆拼接</t>
        </is>
      </c>
      <c r="C914" s="43" t="inlineStr">
        <is>
          <t>节段13~节段14</t>
        </is>
      </c>
      <c r="D914" s="43" t="inlineStr">
        <is>
          <t>Q355D</t>
        </is>
      </c>
      <c r="E914" s="43" t="n">
        <v>1520</v>
      </c>
      <c r="F914" s="43" t="n">
        <v>1100</v>
      </c>
      <c r="G914" s="43" t="n">
        <v>44</v>
      </c>
      <c r="H914" s="79">
        <f>(E914/1000)*(F914/1000)*(G914/1000)*7850</f>
        <v/>
      </c>
      <c r="I914" s="43" t="n">
        <v>1</v>
      </c>
      <c r="J914" s="80">
        <f>H914*I914</f>
        <v/>
      </c>
      <c r="K914" s="43" t="inlineStr">
        <is>
          <t>来源页101</t>
        </is>
      </c>
      <c r="L914" s="43">
        <f>A914</f>
        <v/>
      </c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43" t="n"/>
    </row>
    <row r="915">
      <c r="A915" s="43" t="inlineStr">
        <is>
          <t>L6</t>
        </is>
      </c>
      <c r="B915" s="43" t="inlineStr">
        <is>
          <t>腹杆拼接</t>
        </is>
      </c>
      <c r="C915" s="43" t="inlineStr">
        <is>
          <t>节段13~节段14</t>
        </is>
      </c>
      <c r="D915" s="43" t="inlineStr">
        <is>
          <t>Q355D</t>
        </is>
      </c>
      <c r="E915" s="43" t="n">
        <v>1520</v>
      </c>
      <c r="F915" s="43" t="n">
        <v>240</v>
      </c>
      <c r="G915" s="43" t="n">
        <v>44</v>
      </c>
      <c r="H915" s="79">
        <f>(E915/1000)*(F915/1000)*(G915/1000)*7850</f>
        <v/>
      </c>
      <c r="I915" s="43" t="n">
        <v>2</v>
      </c>
      <c r="J915" s="80">
        <f>H915*I915</f>
        <v/>
      </c>
      <c r="K915" s="43" t="inlineStr">
        <is>
          <t>来源页101</t>
        </is>
      </c>
      <c r="L915" s="43">
        <f>A915</f>
        <v/>
      </c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43" t="n"/>
    </row>
    <row r="916">
      <c r="A916" s="43" t="inlineStr">
        <is>
          <t>L7</t>
        </is>
      </c>
      <c r="B916" s="43" t="inlineStr">
        <is>
          <t>腹杆拼接</t>
        </is>
      </c>
      <c r="C916" s="43" t="inlineStr">
        <is>
          <t>节段13~节段14</t>
        </is>
      </c>
      <c r="D916" s="43" t="inlineStr">
        <is>
          <t>Q355D</t>
        </is>
      </c>
      <c r="E916" s="43" t="n">
        <v>1220</v>
      </c>
      <c r="F916" s="43" t="n">
        <v>240</v>
      </c>
      <c r="G916" s="43" t="n">
        <v>24</v>
      </c>
      <c r="H916" s="79">
        <f>(E916/1000)*(F916/1000)*(G916/1000)*7850</f>
        <v/>
      </c>
      <c r="I916" s="43" t="n">
        <v>4</v>
      </c>
      <c r="J916" s="80">
        <f>H916*I916</f>
        <v/>
      </c>
      <c r="K916" s="43" t="inlineStr">
        <is>
          <t>来源页101</t>
        </is>
      </c>
      <c r="L916" s="43">
        <f>A916</f>
        <v/>
      </c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43" t="n"/>
    </row>
    <row r="917">
      <c r="A917" s="43" t="inlineStr"/>
      <c r="B917" s="43" t="inlineStr"/>
      <c r="C917" s="43" t="inlineStr">
        <is>
          <t>节段13~节段14</t>
        </is>
      </c>
      <c r="D917" s="43" t="inlineStr">
        <is>
          <t>Q355D</t>
        </is>
      </c>
      <c r="E917" s="43" t="n"/>
      <c r="F917" s="43" t="n"/>
      <c r="G917" s="43" t="n">
        <v>44</v>
      </c>
      <c r="H917" s="79">
        <f>(E917/1000)*(F917/1000)*(G917/1000)*7850</f>
        <v/>
      </c>
      <c r="I917" s="43" t="n">
        <v>1</v>
      </c>
      <c r="J917" s="80">
        <f>H917*I917</f>
        <v/>
      </c>
      <c r="K917" s="43" t="inlineStr">
        <is>
          <t>来源页102</t>
        </is>
      </c>
      <c r="L917" s="43">
        <f>A917</f>
        <v/>
      </c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43" t="n"/>
    </row>
    <row r="918">
      <c r="A918" s="43" t="inlineStr"/>
      <c r="B918" s="43" t="inlineStr"/>
      <c r="C918" s="43" t="inlineStr">
        <is>
          <t>节段13~节段14</t>
        </is>
      </c>
      <c r="D918" s="43" t="inlineStr">
        <is>
          <t>Q355D</t>
        </is>
      </c>
      <c r="E918" s="43" t="n"/>
      <c r="F918" s="43" t="n"/>
      <c r="G918" s="43" t="n">
        <v>36</v>
      </c>
      <c r="H918" s="79">
        <f>(E918/1000)*(F918/1000)*(G918/1000)*7850</f>
        <v/>
      </c>
      <c r="I918" s="43" t="n">
        <v>1</v>
      </c>
      <c r="J918" s="80">
        <f>H918*I918</f>
        <v/>
      </c>
      <c r="K918" s="43" t="inlineStr">
        <is>
          <t>来源页102</t>
        </is>
      </c>
      <c r="L918" s="43">
        <f>A918</f>
        <v/>
      </c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43" t="n"/>
    </row>
    <row r="919">
      <c r="A919" s="43" t="inlineStr"/>
      <c r="B919" s="43" t="inlineStr"/>
      <c r="C919" s="43" t="inlineStr">
        <is>
          <t>节段13~节段14</t>
        </is>
      </c>
      <c r="D919" s="43" t="inlineStr">
        <is>
          <t>Q355D</t>
        </is>
      </c>
      <c r="E919" s="43" t="n"/>
      <c r="F919" s="43" t="n"/>
      <c r="G919" s="43" t="n">
        <v>28</v>
      </c>
      <c r="H919" s="79">
        <f>(E919/1000)*(F919/1000)*(G919/1000)*7850</f>
        <v/>
      </c>
      <c r="I919" s="43" t="n">
        <v>1</v>
      </c>
      <c r="J919" s="80">
        <f>H919*I919</f>
        <v/>
      </c>
      <c r="K919" s="43" t="inlineStr">
        <is>
          <t>来源页102</t>
        </is>
      </c>
      <c r="L919" s="43">
        <f>A919</f>
        <v/>
      </c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43" t="n"/>
    </row>
    <row r="920">
      <c r="A920" s="43" t="inlineStr"/>
      <c r="B920" s="43" t="inlineStr"/>
      <c r="C920" s="43" t="inlineStr">
        <is>
          <t>节段13~节段14</t>
        </is>
      </c>
      <c r="D920" s="43" t="inlineStr">
        <is>
          <t>Q355D</t>
        </is>
      </c>
      <c r="E920" s="43" t="n"/>
      <c r="F920" s="43" t="n"/>
      <c r="G920" s="43" t="n">
        <v>24</v>
      </c>
      <c r="H920" s="79">
        <f>(E920/1000)*(F920/1000)*(G920/1000)*7850</f>
        <v/>
      </c>
      <c r="I920" s="43" t="n">
        <v>1</v>
      </c>
      <c r="J920" s="80">
        <f>H920*I920</f>
        <v/>
      </c>
      <c r="K920" s="43" t="inlineStr">
        <is>
          <t>来源页102</t>
        </is>
      </c>
      <c r="L920" s="43">
        <f>A920</f>
        <v/>
      </c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43" t="n"/>
    </row>
    <row r="921">
      <c r="A921" s="43" t="inlineStr"/>
      <c r="B921" s="43" t="inlineStr"/>
      <c r="C921" s="43" t="inlineStr">
        <is>
          <t>节段13~节段14</t>
        </is>
      </c>
      <c r="D921" s="43" t="inlineStr">
        <is>
          <t>Q355D</t>
        </is>
      </c>
      <c r="E921" s="43" t="n"/>
      <c r="F921" s="43" t="n"/>
      <c r="G921" s="43" t="n">
        <v>20</v>
      </c>
      <c r="H921" s="79">
        <f>(E921/1000)*(F921/1000)*(G921/1000)*7850</f>
        <v/>
      </c>
      <c r="I921" s="43" t="n">
        <v>1</v>
      </c>
      <c r="J921" s="80">
        <f>H921*I921</f>
        <v/>
      </c>
      <c r="K921" s="43" t="inlineStr">
        <is>
          <t>来源页102</t>
        </is>
      </c>
      <c r="L921" s="43">
        <f>A921</f>
        <v/>
      </c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43" t="n"/>
    </row>
    <row r="922">
      <c r="A922" s="43" t="inlineStr"/>
      <c r="B922" s="43" t="inlineStr"/>
      <c r="C922" s="43" t="inlineStr">
        <is>
          <t>节段13~节段14</t>
        </is>
      </c>
      <c r="D922" s="43" t="inlineStr">
        <is>
          <t>Q355D</t>
        </is>
      </c>
      <c r="E922" s="43" t="n"/>
      <c r="F922" s="43" t="n"/>
      <c r="G922" s="43" t="n">
        <v>14</v>
      </c>
      <c r="H922" s="79">
        <f>(E922/1000)*(F922/1000)*(G922/1000)*7850</f>
        <v/>
      </c>
      <c r="I922" s="43" t="n">
        <v>1</v>
      </c>
      <c r="J922" s="80">
        <f>H922*I922</f>
        <v/>
      </c>
      <c r="K922" s="43" t="inlineStr">
        <is>
          <t>来源页102</t>
        </is>
      </c>
      <c r="L922" s="43">
        <f>A922</f>
        <v/>
      </c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43" t="n"/>
    </row>
    <row r="923">
      <c r="A923" s="43" t="inlineStr"/>
      <c r="B923" s="43" t="inlineStr"/>
      <c r="C923" s="43" t="inlineStr">
        <is>
          <t>节段13~节段14</t>
        </is>
      </c>
      <c r="D923" s="43" t="inlineStr">
        <is>
          <t>Q355D</t>
        </is>
      </c>
      <c r="E923" s="43" t="n"/>
      <c r="F923" s="43" t="n"/>
      <c r="G923" s="43" t="n">
        <v>12</v>
      </c>
      <c r="H923" s="79">
        <f>(E923/1000)*(F923/1000)*(G923/1000)*7850</f>
        <v/>
      </c>
      <c r="I923" s="43" t="n">
        <v>1</v>
      </c>
      <c r="J923" s="80">
        <f>H923*I923</f>
        <v/>
      </c>
      <c r="K923" s="43" t="inlineStr">
        <is>
          <t>来源页102</t>
        </is>
      </c>
      <c r="L923" s="43">
        <f>A923</f>
        <v/>
      </c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43" t="n"/>
    </row>
    <row r="924">
      <c r="A924" s="43" t="inlineStr"/>
      <c r="B924" s="43" t="inlineStr"/>
      <c r="C924" s="43" t="inlineStr">
        <is>
          <t>节段14</t>
        </is>
      </c>
      <c r="D924" s="43" t="inlineStr">
        <is>
          <t>Q355D</t>
        </is>
      </c>
      <c r="E924" s="43" t="n"/>
      <c r="F924" s="43" t="n"/>
      <c r="G924" s="43" t="n">
        <v>44</v>
      </c>
      <c r="H924" s="79">
        <f>(E924/1000)*(F924/1000)*(G924/1000)*7850</f>
        <v/>
      </c>
      <c r="I924" s="43" t="n">
        <v>1</v>
      </c>
      <c r="J924" s="80">
        <f>H924*I924</f>
        <v/>
      </c>
      <c r="K924" s="43" t="inlineStr">
        <is>
          <t>来源页102</t>
        </is>
      </c>
      <c r="L924" s="43">
        <f>A924</f>
        <v/>
      </c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43" t="n"/>
    </row>
    <row r="925">
      <c r="A925" s="43" t="inlineStr"/>
      <c r="B925" s="43" t="inlineStr"/>
      <c r="C925" s="43" t="inlineStr">
        <is>
          <t>节段14</t>
        </is>
      </c>
      <c r="D925" s="43" t="inlineStr">
        <is>
          <t>Q355D</t>
        </is>
      </c>
      <c r="E925" s="43" t="n"/>
      <c r="F925" s="43" t="n"/>
      <c r="G925" s="43" t="n">
        <v>40</v>
      </c>
      <c r="H925" s="79">
        <f>(E925/1000)*(F925/1000)*(G925/1000)*7850</f>
        <v/>
      </c>
      <c r="I925" s="43" t="n">
        <v>1</v>
      </c>
      <c r="J925" s="80">
        <f>H925*I925</f>
        <v/>
      </c>
      <c r="K925" s="43" t="inlineStr">
        <is>
          <t>来源页102</t>
        </is>
      </c>
      <c r="L925" s="43">
        <f>A925</f>
        <v/>
      </c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43" t="n"/>
    </row>
    <row r="926">
      <c r="A926" s="43" t="inlineStr"/>
      <c r="B926" s="43" t="inlineStr"/>
      <c r="C926" s="43" t="inlineStr">
        <is>
          <t>节段14</t>
        </is>
      </c>
      <c r="D926" s="43" t="inlineStr">
        <is>
          <t>Q355D</t>
        </is>
      </c>
      <c r="E926" s="43" t="n"/>
      <c r="F926" s="43" t="n"/>
      <c r="G926" s="43" t="n">
        <v>36</v>
      </c>
      <c r="H926" s="79">
        <f>(E926/1000)*(F926/1000)*(G926/1000)*7850</f>
        <v/>
      </c>
      <c r="I926" s="43" t="n">
        <v>1</v>
      </c>
      <c r="J926" s="80">
        <f>H926*I926</f>
        <v/>
      </c>
      <c r="K926" s="43" t="inlineStr">
        <is>
          <t>来源页102</t>
        </is>
      </c>
      <c r="L926" s="43">
        <f>A926</f>
        <v/>
      </c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43" t="n"/>
    </row>
    <row r="927">
      <c r="A927" s="43" t="inlineStr"/>
      <c r="B927" s="43" t="inlineStr"/>
      <c r="C927" s="43" t="inlineStr">
        <is>
          <t>节段14</t>
        </is>
      </c>
      <c r="D927" s="43" t="inlineStr">
        <is>
          <t>Q355D</t>
        </is>
      </c>
      <c r="E927" s="43" t="n"/>
      <c r="F927" s="43" t="n"/>
      <c r="G927" s="43" t="n">
        <v>32</v>
      </c>
      <c r="H927" s="79">
        <f>(E927/1000)*(F927/1000)*(G927/1000)*7850</f>
        <v/>
      </c>
      <c r="I927" s="43" t="n">
        <v>1</v>
      </c>
      <c r="J927" s="80">
        <f>H927*I927</f>
        <v/>
      </c>
      <c r="K927" s="43" t="inlineStr">
        <is>
          <t>来源页102</t>
        </is>
      </c>
      <c r="L927" s="43">
        <f>A927</f>
        <v/>
      </c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43" t="n"/>
    </row>
    <row r="928">
      <c r="A928" s="43" t="inlineStr"/>
      <c r="B928" s="43" t="inlineStr"/>
      <c r="C928" s="43" t="inlineStr">
        <is>
          <t>节段14</t>
        </is>
      </c>
      <c r="D928" s="43" t="inlineStr">
        <is>
          <t>Q355D</t>
        </is>
      </c>
      <c r="E928" s="43" t="n"/>
      <c r="F928" s="43" t="n"/>
      <c r="G928" s="43" t="n">
        <v>28</v>
      </c>
      <c r="H928" s="79">
        <f>(E928/1000)*(F928/1000)*(G928/1000)*7850</f>
        <v/>
      </c>
      <c r="I928" s="43" t="n">
        <v>1</v>
      </c>
      <c r="J928" s="80">
        <f>H928*I928</f>
        <v/>
      </c>
      <c r="K928" s="43" t="inlineStr">
        <is>
          <t>来源页102</t>
        </is>
      </c>
      <c r="L928" s="43">
        <f>A928</f>
        <v/>
      </c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43" t="n"/>
    </row>
    <row r="929">
      <c r="A929" s="43" t="inlineStr"/>
      <c r="B929" s="43" t="inlineStr"/>
      <c r="C929" s="43" t="inlineStr">
        <is>
          <t>节段14</t>
        </is>
      </c>
      <c r="D929" s="43" t="inlineStr">
        <is>
          <t>Q355D</t>
        </is>
      </c>
      <c r="E929" s="43" t="n"/>
      <c r="F929" s="43" t="n"/>
      <c r="G929" s="43" t="n">
        <v>24</v>
      </c>
      <c r="H929" s="79">
        <f>(E929/1000)*(F929/1000)*(G929/1000)*7850</f>
        <v/>
      </c>
      <c r="I929" s="43" t="n">
        <v>1</v>
      </c>
      <c r="J929" s="80">
        <f>H929*I929</f>
        <v/>
      </c>
      <c r="K929" s="43" t="inlineStr">
        <is>
          <t>来源页102</t>
        </is>
      </c>
      <c r="L929" s="43">
        <f>A929</f>
        <v/>
      </c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43" t="n"/>
    </row>
    <row r="930">
      <c r="A930" s="43" t="inlineStr"/>
      <c r="B930" s="43" t="inlineStr"/>
      <c r="C930" s="43" t="inlineStr">
        <is>
          <t>节段14</t>
        </is>
      </c>
      <c r="D930" s="43" t="inlineStr">
        <is>
          <t>Q355D</t>
        </is>
      </c>
      <c r="E930" s="43" t="n"/>
      <c r="F930" s="43" t="n"/>
      <c r="G930" s="43" t="n">
        <v>20</v>
      </c>
      <c r="H930" s="79">
        <f>(E930/1000)*(F930/1000)*(G930/1000)*7850</f>
        <v/>
      </c>
      <c r="I930" s="43" t="n">
        <v>1</v>
      </c>
      <c r="J930" s="80">
        <f>H930*I930</f>
        <v/>
      </c>
      <c r="K930" s="43" t="inlineStr">
        <is>
          <t>来源页102</t>
        </is>
      </c>
      <c r="L930" s="43">
        <f>A930</f>
        <v/>
      </c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43" t="n"/>
    </row>
    <row r="931">
      <c r="A931" s="43" t="inlineStr"/>
      <c r="B931" s="43" t="inlineStr"/>
      <c r="C931" s="43" t="inlineStr">
        <is>
          <t>节段14</t>
        </is>
      </c>
      <c r="D931" s="43" t="inlineStr">
        <is>
          <t>Q355D</t>
        </is>
      </c>
      <c r="E931" s="43" t="n"/>
      <c r="F931" s="43" t="n"/>
      <c r="G931" s="43" t="n">
        <v>16</v>
      </c>
      <c r="H931" s="79">
        <f>(E931/1000)*(F931/1000)*(G931/1000)*7850</f>
        <v/>
      </c>
      <c r="I931" s="43" t="n">
        <v>1</v>
      </c>
      <c r="J931" s="80">
        <f>H931*I931</f>
        <v/>
      </c>
      <c r="K931" s="43" t="inlineStr">
        <is>
          <t>来源页102</t>
        </is>
      </c>
      <c r="L931" s="43">
        <f>A931</f>
        <v/>
      </c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43" t="n"/>
    </row>
    <row r="932">
      <c r="A932" s="43" t="inlineStr"/>
      <c r="B932" s="43" t="inlineStr"/>
      <c r="C932" s="43" t="inlineStr">
        <is>
          <t>节段14</t>
        </is>
      </c>
      <c r="D932" s="43" t="inlineStr">
        <is>
          <t>Q355D</t>
        </is>
      </c>
      <c r="E932" s="43" t="n"/>
      <c r="F932" s="43" t="n"/>
      <c r="G932" s="43" t="n">
        <v>14</v>
      </c>
      <c r="H932" s="79">
        <f>(E932/1000)*(F932/1000)*(G932/1000)*7850</f>
        <v/>
      </c>
      <c r="I932" s="43" t="n">
        <v>1</v>
      </c>
      <c r="J932" s="80">
        <f>H932*I932</f>
        <v/>
      </c>
      <c r="K932" s="43" t="inlineStr">
        <is>
          <t>来源页102</t>
        </is>
      </c>
      <c r="L932" s="43">
        <f>A932</f>
        <v/>
      </c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43" t="n"/>
    </row>
    <row r="933">
      <c r="A933" s="43" t="inlineStr"/>
      <c r="B933" s="43" t="inlineStr"/>
      <c r="C933" s="43" t="inlineStr">
        <is>
          <t>节段14</t>
        </is>
      </c>
      <c r="D933" s="43" t="inlineStr">
        <is>
          <t>Q355D</t>
        </is>
      </c>
      <c r="E933" s="43" t="n"/>
      <c r="F933" s="43" t="n"/>
      <c r="G933" s="43" t="n">
        <v>4</v>
      </c>
      <c r="H933" s="79">
        <f>(E933/1000)*(F933/1000)*(G933/1000)*7850</f>
        <v/>
      </c>
      <c r="I933" s="43" t="n">
        <v>1</v>
      </c>
      <c r="J933" s="80">
        <f>H933*I933</f>
        <v/>
      </c>
      <c r="K933" s="43" t="inlineStr">
        <is>
          <t>来源页102</t>
        </is>
      </c>
      <c r="L933" s="43">
        <f>A933</f>
        <v/>
      </c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43" t="n"/>
    </row>
    <row r="934">
      <c r="A934" s="43" t="inlineStr"/>
      <c r="B934" s="43" t="inlineStr"/>
      <c r="C934" s="43" t="inlineStr">
        <is>
          <t>节段14</t>
        </is>
      </c>
      <c r="D934" s="43" t="inlineStr">
        <is>
          <t>Q355D</t>
        </is>
      </c>
      <c r="E934" s="43" t="n"/>
      <c r="F934" s="43" t="n"/>
      <c r="G934" s="43" t="n"/>
      <c r="H934" s="79">
        <f>(E934/1000)*(F934/1000)*(G934/1000)*7850</f>
        <v/>
      </c>
      <c r="I934" s="43" t="n">
        <v>1</v>
      </c>
      <c r="J934" s="80">
        <f>H934*I934</f>
        <v/>
      </c>
      <c r="K934" s="43" t="inlineStr">
        <is>
          <t>来源页102</t>
        </is>
      </c>
      <c r="L934" s="43">
        <f>A934</f>
        <v/>
      </c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43" t="n"/>
    </row>
    <row r="935">
      <c r="A935" s="43" t="inlineStr">
        <is>
          <t>N11a</t>
        </is>
      </c>
      <c r="B935" s="43" t="inlineStr">
        <is>
          <t>上弦顶板</t>
        </is>
      </c>
      <c r="C935" s="43" t="inlineStr">
        <is>
          <t>节段14</t>
        </is>
      </c>
      <c r="D935" s="43" t="inlineStr">
        <is>
          <t>Q355D</t>
        </is>
      </c>
      <c r="E935" s="43" t="n"/>
      <c r="F935" s="43" t="n"/>
      <c r="G935" s="43" t="n">
        <v>20</v>
      </c>
      <c r="H935" s="79">
        <f>(E935/1000)*(F935/1000)*(G935/1000)*7850</f>
        <v/>
      </c>
      <c r="I935" s="43" t="n">
        <v>1</v>
      </c>
      <c r="J935" s="80">
        <f>H935*I935</f>
        <v/>
      </c>
      <c r="K935" s="43" t="inlineStr">
        <is>
          <t>来源页102</t>
        </is>
      </c>
      <c r="L935" s="43">
        <f>A935</f>
        <v/>
      </c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43" t="n"/>
    </row>
    <row r="936">
      <c r="A936" s="43" t="inlineStr">
        <is>
          <t>N11b</t>
        </is>
      </c>
      <c r="B936" s="43" t="inlineStr">
        <is>
          <t>上弦顶板</t>
        </is>
      </c>
      <c r="C936" s="43" t="inlineStr">
        <is>
          <t>节段14</t>
        </is>
      </c>
      <c r="D936" s="43" t="inlineStr">
        <is>
          <t>Q355D</t>
        </is>
      </c>
      <c r="E936" s="43" t="n"/>
      <c r="F936" s="43" t="n"/>
      <c r="G936" s="43" t="n">
        <v>20</v>
      </c>
      <c r="H936" s="79">
        <f>(E936/1000)*(F936/1000)*(G936/1000)*7850</f>
        <v/>
      </c>
      <c r="I936" s="43" t="n">
        <v>1</v>
      </c>
      <c r="J936" s="80">
        <f>H936*I936</f>
        <v/>
      </c>
      <c r="K936" s="43" t="inlineStr">
        <is>
          <t>来源页102</t>
        </is>
      </c>
      <c r="L936" s="43">
        <f>A936</f>
        <v/>
      </c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43" t="n"/>
    </row>
    <row r="937">
      <c r="A937" s="43" t="inlineStr">
        <is>
          <t>N12α</t>
        </is>
      </c>
      <c r="B937" s="43" t="inlineStr">
        <is>
          <t>上弦底板</t>
        </is>
      </c>
      <c r="C937" s="43" t="inlineStr">
        <is>
          <t>节段14</t>
        </is>
      </c>
      <c r="D937" s="43" t="inlineStr">
        <is>
          <t>Q355D</t>
        </is>
      </c>
      <c r="E937" s="43" t="n">
        <v>7900</v>
      </c>
      <c r="F937" s="43" t="n">
        <v>1200</v>
      </c>
      <c r="G937" s="43" t="n">
        <v>20</v>
      </c>
      <c r="H937" s="79">
        <f>(E937/1000)*(F937/1000)*(G937/1000)*7850</f>
        <v/>
      </c>
      <c r="I937" s="43" t="n">
        <v>1</v>
      </c>
      <c r="J937" s="80">
        <f>H937*I937</f>
        <v/>
      </c>
      <c r="K937" s="43" t="inlineStr">
        <is>
          <t>来源页102</t>
        </is>
      </c>
      <c r="L937" s="43">
        <f>A937</f>
        <v/>
      </c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43" t="n"/>
    </row>
    <row r="938">
      <c r="A938" s="43" t="inlineStr">
        <is>
          <t>N12b</t>
        </is>
      </c>
      <c r="B938" s="43" t="inlineStr">
        <is>
          <t>上弦底板</t>
        </is>
      </c>
      <c r="C938" s="43" t="inlineStr">
        <is>
          <t>节段14</t>
        </is>
      </c>
      <c r="D938" s="43" t="inlineStr">
        <is>
          <t>Q355D</t>
        </is>
      </c>
      <c r="E938" s="43" t="n">
        <v>7100</v>
      </c>
      <c r="F938" s="43" t="n">
        <v>1200</v>
      </c>
      <c r="G938" s="43" t="n">
        <v>20</v>
      </c>
      <c r="H938" s="79">
        <f>(E938/1000)*(F938/1000)*(G938/1000)*7850</f>
        <v/>
      </c>
      <c r="I938" s="43" t="n">
        <v>1</v>
      </c>
      <c r="J938" s="80">
        <f>H938*I938</f>
        <v/>
      </c>
      <c r="K938" s="43" t="inlineStr">
        <is>
          <t>来源页102</t>
        </is>
      </c>
      <c r="L938" s="43">
        <f>A938</f>
        <v/>
      </c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43" t="n"/>
    </row>
    <row r="939">
      <c r="A939" s="43" t="inlineStr">
        <is>
          <t>N13</t>
        </is>
      </c>
      <c r="B939" s="43" t="inlineStr">
        <is>
          <t>上弦节点板</t>
        </is>
      </c>
      <c r="C939" s="43" t="inlineStr">
        <is>
          <t>节段14</t>
        </is>
      </c>
      <c r="D939" s="43" t="inlineStr">
        <is>
          <t>Q355D</t>
        </is>
      </c>
      <c r="E939" s="43" t="n"/>
      <c r="F939" s="43" t="n"/>
      <c r="G939" s="43" t="n">
        <v>40</v>
      </c>
      <c r="H939" s="79">
        <f>(E939/1000)*(F939/1000)*(G939/1000)*7850</f>
        <v/>
      </c>
      <c r="I939" s="43" t="n">
        <v>2</v>
      </c>
      <c r="J939" s="80">
        <f>H939*I939</f>
        <v/>
      </c>
      <c r="K939" s="43" t="inlineStr">
        <is>
          <t>来源页102</t>
        </is>
      </c>
      <c r="L939" s="43">
        <f>A939</f>
        <v/>
      </c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43" t="n"/>
    </row>
    <row r="940">
      <c r="A940" s="43" t="inlineStr">
        <is>
          <t>N14</t>
        </is>
      </c>
      <c r="B940" s="43" t="inlineStr">
        <is>
          <t>上弦腹板</t>
        </is>
      </c>
      <c r="C940" s="43" t="inlineStr">
        <is>
          <t>节段14</t>
        </is>
      </c>
      <c r="D940" s="43" t="inlineStr">
        <is>
          <t>Q355D</t>
        </is>
      </c>
      <c r="E940" s="43" t="n">
        <v>7300</v>
      </c>
      <c r="F940" s="43" t="n">
        <v>2048</v>
      </c>
      <c r="G940" s="43" t="n">
        <v>28</v>
      </c>
      <c r="H940" s="79">
        <f>(E940/1000)*(F940/1000)*(G940/1000)*7850</f>
        <v/>
      </c>
      <c r="I940" s="43" t="n">
        <v>2</v>
      </c>
      <c r="J940" s="80">
        <f>H940*I940</f>
        <v/>
      </c>
      <c r="K940" s="43" t="inlineStr">
        <is>
          <t>来源页102</t>
        </is>
      </c>
      <c r="L940" s="43">
        <f>A940</f>
        <v/>
      </c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43" t="n"/>
    </row>
    <row r="941">
      <c r="A941" s="43" t="inlineStr">
        <is>
          <t>N15</t>
        </is>
      </c>
      <c r="B941" s="43" t="inlineStr">
        <is>
          <t>上弦横隔板</t>
        </is>
      </c>
      <c r="C941" s="43" t="inlineStr">
        <is>
          <t>节段14</t>
        </is>
      </c>
      <c r="D941" s="43" t="inlineStr">
        <is>
          <t>Q355D</t>
        </is>
      </c>
      <c r="E941" s="43" t="n">
        <v>1980</v>
      </c>
      <c r="F941" s="43" t="n">
        <v>1200</v>
      </c>
      <c r="G941" s="43" t="n">
        <v>16</v>
      </c>
      <c r="H941" s="79">
        <f>(E941/1000)*(F941/1000)*(G941/1000)*7850</f>
        <v/>
      </c>
      <c r="I941" s="43" t="n">
        <v>3</v>
      </c>
      <c r="J941" s="80">
        <f>H941*I941</f>
        <v/>
      </c>
      <c r="K941" s="43" t="inlineStr">
        <is>
          <t>来源页102</t>
        </is>
      </c>
      <c r="L941" s="43">
        <f>A941</f>
        <v/>
      </c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43" t="n"/>
    </row>
    <row r="942">
      <c r="A942" s="43" t="inlineStr">
        <is>
          <t>N15a</t>
        </is>
      </c>
      <c r="B942" s="43" t="inlineStr">
        <is>
          <t>上弦横隔板</t>
        </is>
      </c>
      <c r="C942" s="43" t="inlineStr">
        <is>
          <t>节段14</t>
        </is>
      </c>
      <c r="D942" s="43" t="inlineStr">
        <is>
          <t>Q355D</t>
        </is>
      </c>
      <c r="E942" s="43" t="n">
        <v>1980</v>
      </c>
      <c r="F942" s="43" t="n">
        <v>1200</v>
      </c>
      <c r="G942" s="43" t="n">
        <v>16</v>
      </c>
      <c r="H942" s="79">
        <f>(E942/1000)*(F942/1000)*(G942/1000)*7850</f>
        <v/>
      </c>
      <c r="I942" s="43" t="n">
        <v>2</v>
      </c>
      <c r="J942" s="80">
        <f>H942*I942</f>
        <v/>
      </c>
      <c r="K942" s="43" t="inlineStr">
        <is>
          <t>来源页102</t>
        </is>
      </c>
      <c r="L942" s="43">
        <f>A942</f>
        <v/>
      </c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43" t="n"/>
    </row>
    <row r="943">
      <c r="A943" s="43" t="inlineStr">
        <is>
          <t>N15 ‘</t>
        </is>
      </c>
      <c r="B943" s="43" t="inlineStr">
        <is>
          <t>上弦横隔板</t>
        </is>
      </c>
      <c r="C943" s="43" t="inlineStr">
        <is>
          <t>节段14</t>
        </is>
      </c>
      <c r="D943" s="43" t="inlineStr">
        <is>
          <t>Q355D</t>
        </is>
      </c>
      <c r="E943" s="43" t="n">
        <v>2057</v>
      </c>
      <c r="F943" s="43" t="n">
        <v>200</v>
      </c>
      <c r="G943" s="43" t="n">
        <v>16</v>
      </c>
      <c r="H943" s="79">
        <f>(E943/1000)*(F943/1000)*(G943/1000)*7850</f>
        <v/>
      </c>
      <c r="I943" s="43" t="n">
        <v>3</v>
      </c>
      <c r="J943" s="80">
        <f>H943*I943</f>
        <v/>
      </c>
      <c r="K943" s="43" t="inlineStr">
        <is>
          <t>来源页102</t>
        </is>
      </c>
      <c r="L943" s="43">
        <f>A943</f>
        <v/>
      </c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43" t="n"/>
    </row>
    <row r="944">
      <c r="A944" s="43" t="inlineStr">
        <is>
          <t>N15b</t>
        </is>
      </c>
      <c r="B944" s="43" t="inlineStr">
        <is>
          <t>上弦横隔板</t>
        </is>
      </c>
      <c r="C944" s="43" t="inlineStr">
        <is>
          <t>节段14</t>
        </is>
      </c>
      <c r="D944" s="43" t="inlineStr">
        <is>
          <t>Q355B</t>
        </is>
      </c>
      <c r="E944" s="43" t="n">
        <v>2057</v>
      </c>
      <c r="F944" s="43" t="n">
        <v>40</v>
      </c>
      <c r="G944" s="43" t="n">
        <v>4</v>
      </c>
      <c r="H944" s="79">
        <f>(E944/1000)*(F944/1000)*(G944/1000)*7850</f>
        <v/>
      </c>
      <c r="I944" s="43" t="n">
        <v>4</v>
      </c>
      <c r="J944" s="80">
        <f>H944*I944</f>
        <v/>
      </c>
      <c r="K944" s="43" t="inlineStr">
        <is>
          <t>来源页102</t>
        </is>
      </c>
      <c r="L944" s="43">
        <f>A944</f>
        <v/>
      </c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43" t="n"/>
    </row>
    <row r="945">
      <c r="A945" s="43" t="inlineStr">
        <is>
          <t>N15c</t>
        </is>
      </c>
      <c r="B945" s="43" t="inlineStr">
        <is>
          <t>上弦横隔板</t>
        </is>
      </c>
      <c r="C945" s="43" t="inlineStr">
        <is>
          <t>节段14</t>
        </is>
      </c>
      <c r="D945" s="43" t="inlineStr">
        <is>
          <t>Q355D</t>
        </is>
      </c>
      <c r="E945" s="43" t="n">
        <v>800</v>
      </c>
      <c r="F945" s="43" t="n">
        <v>400</v>
      </c>
      <c r="G945" s="43" t="n">
        <v>16</v>
      </c>
      <c r="H945" s="79">
        <f>(E945/1000)*(F945/1000)*(G945/1000)*7850</f>
        <v/>
      </c>
      <c r="I945" s="43" t="n">
        <v>4</v>
      </c>
      <c r="J945" s="80">
        <f>H945*I945</f>
        <v/>
      </c>
      <c r="K945" s="43" t="inlineStr">
        <is>
          <t>来源页102</t>
        </is>
      </c>
      <c r="L945" s="43">
        <f>A945</f>
        <v/>
      </c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43" t="n"/>
    </row>
    <row r="946">
      <c r="A946" s="43" t="inlineStr">
        <is>
          <t>N16a</t>
        </is>
      </c>
      <c r="B946" s="43" t="inlineStr">
        <is>
          <t>上弦加劲肋</t>
        </is>
      </c>
      <c r="C946" s="43" t="inlineStr">
        <is>
          <t>节段14</t>
        </is>
      </c>
      <c r="D946" s="43" t="inlineStr">
        <is>
          <t>Q355D</t>
        </is>
      </c>
      <c r="E946" s="43" t="n">
        <v>7900</v>
      </c>
      <c r="F946" s="43" t="n">
        <v>280</v>
      </c>
      <c r="G946" s="43" t="n">
        <v>24</v>
      </c>
      <c r="H946" s="79">
        <f>(E946/1000)*(F946/1000)*(G946/1000)*7850</f>
        <v/>
      </c>
      <c r="I946" s="43" t="n">
        <v>6</v>
      </c>
      <c r="J946" s="80">
        <f>H946*I946</f>
        <v/>
      </c>
      <c r="K946" s="43" t="inlineStr">
        <is>
          <t>来源页102</t>
        </is>
      </c>
      <c r="L946" s="43">
        <f>A946</f>
        <v/>
      </c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43" t="n"/>
    </row>
    <row r="947">
      <c r="A947" s="43" t="inlineStr">
        <is>
          <t>N21a</t>
        </is>
      </c>
      <c r="B947" s="43" t="inlineStr">
        <is>
          <t>下弦顶板</t>
        </is>
      </c>
      <c r="C947" s="43" t="inlineStr">
        <is>
          <t>节段14</t>
        </is>
      </c>
      <c r="D947" s="43" t="inlineStr">
        <is>
          <t>Q355D</t>
        </is>
      </c>
      <c r="E947" s="43" t="n">
        <v>7901</v>
      </c>
      <c r="F947" s="43" t="n">
        <v>2500</v>
      </c>
      <c r="G947" s="43" t="n">
        <v>24</v>
      </c>
      <c r="H947" s="79">
        <f>(E947/1000)*(F947/1000)*(G947/1000)*7850</f>
        <v/>
      </c>
      <c r="I947" s="43" t="n">
        <v>1</v>
      </c>
      <c r="J947" s="80">
        <f>H947*I947</f>
        <v/>
      </c>
      <c r="K947" s="43" t="inlineStr">
        <is>
          <t>来源页102</t>
        </is>
      </c>
      <c r="L947" s="43">
        <f>A947</f>
        <v/>
      </c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43" t="n"/>
    </row>
    <row r="948">
      <c r="A948" s="43" t="inlineStr">
        <is>
          <t>N21b</t>
        </is>
      </c>
      <c r="B948" s="43" t="inlineStr">
        <is>
          <t>下弦顶板</t>
        </is>
      </c>
      <c r="C948" s="43" t="inlineStr">
        <is>
          <t>节段14</t>
        </is>
      </c>
      <c r="D948" s="43" t="inlineStr">
        <is>
          <t>Q355D</t>
        </is>
      </c>
      <c r="E948" s="43" t="n">
        <v>7101</v>
      </c>
      <c r="F948" s="43" t="n">
        <v>2500</v>
      </c>
      <c r="G948" s="43" t="n">
        <v>24</v>
      </c>
      <c r="H948" s="79">
        <f>(E948/1000)*(F948/1000)*(G948/1000)*7850</f>
        <v/>
      </c>
      <c r="I948" s="43" t="n">
        <v>1</v>
      </c>
      <c r="J948" s="80">
        <f>H948*I948</f>
        <v/>
      </c>
      <c r="K948" s="43" t="inlineStr">
        <is>
          <t>来源页102</t>
        </is>
      </c>
      <c r="L948" s="43">
        <f>A948</f>
        <v/>
      </c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43" t="n"/>
    </row>
    <row r="949">
      <c r="A949" s="43" t="inlineStr">
        <is>
          <t>N22a</t>
        </is>
      </c>
      <c r="B949" s="43" t="inlineStr">
        <is>
          <t>下弦底板</t>
        </is>
      </c>
      <c r="C949" s="43" t="inlineStr">
        <is>
          <t>节段14</t>
        </is>
      </c>
      <c r="D949" s="43" t="inlineStr">
        <is>
          <t>Q355D</t>
        </is>
      </c>
      <c r="E949" s="43" t="n"/>
      <c r="F949" s="43" t="n"/>
      <c r="G949" s="43" t="n">
        <v>24</v>
      </c>
      <c r="H949" s="79">
        <f>(E949/1000)*(F949/1000)*(G949/1000)*7850</f>
        <v/>
      </c>
      <c r="I949" s="43" t="n">
        <v>1</v>
      </c>
      <c r="J949" s="80">
        <f>H949*I949</f>
        <v/>
      </c>
      <c r="K949" s="43" t="inlineStr">
        <is>
          <t>来源页102</t>
        </is>
      </c>
      <c r="L949" s="43">
        <f>A949</f>
        <v/>
      </c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43" t="n"/>
    </row>
    <row r="950">
      <c r="A950" s="43" t="inlineStr">
        <is>
          <t>N22b</t>
        </is>
      </c>
      <c r="B950" s="43" t="inlineStr">
        <is>
          <t>下弦底板</t>
        </is>
      </c>
      <c r="C950" s="43" t="inlineStr">
        <is>
          <t>节段14</t>
        </is>
      </c>
      <c r="D950" s="43" t="inlineStr">
        <is>
          <t>Q355D</t>
        </is>
      </c>
      <c r="E950" s="43" t="n"/>
      <c r="F950" s="43" t="n"/>
      <c r="G950" s="43" t="n">
        <v>24</v>
      </c>
      <c r="H950" s="79">
        <f>(E950/1000)*(F950/1000)*(G950/1000)*7850</f>
        <v/>
      </c>
      <c r="I950" s="43" t="n">
        <v>1</v>
      </c>
      <c r="J950" s="80">
        <f>H950*I950</f>
        <v/>
      </c>
      <c r="K950" s="43" t="inlineStr">
        <is>
          <t>来源页102</t>
        </is>
      </c>
      <c r="L950" s="43">
        <f>A950</f>
        <v/>
      </c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43" t="n"/>
    </row>
    <row r="951">
      <c r="A951" s="43" t="inlineStr">
        <is>
          <t>N23</t>
        </is>
      </c>
      <c r="B951" s="43" t="inlineStr">
        <is>
          <t>下弦节点板</t>
        </is>
      </c>
      <c r="C951" s="43" t="inlineStr">
        <is>
          <t>节段14</t>
        </is>
      </c>
      <c r="D951" s="43" t="inlineStr">
        <is>
          <t>Q355D</t>
        </is>
      </c>
      <c r="E951" s="43" t="n"/>
      <c r="F951" s="43" t="n"/>
      <c r="G951" s="43" t="n">
        <v>44</v>
      </c>
      <c r="H951" s="79">
        <f>(E951/1000)*(F951/1000)*(G951/1000)*7850</f>
        <v/>
      </c>
      <c r="I951" s="43" t="n">
        <v>2</v>
      </c>
      <c r="J951" s="80">
        <f>H951*I951</f>
        <v/>
      </c>
      <c r="K951" s="43" t="inlineStr">
        <is>
          <t>Z35钢；来源页102</t>
        </is>
      </c>
      <c r="L951" s="43">
        <f>A951</f>
        <v/>
      </c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43" t="n"/>
    </row>
    <row r="952">
      <c r="A952" s="43" t="inlineStr">
        <is>
          <t>N24</t>
        </is>
      </c>
      <c r="B952" s="43" t="inlineStr">
        <is>
          <t>下弦腹板</t>
        </is>
      </c>
      <c r="C952" s="43" t="inlineStr">
        <is>
          <t>节段14</t>
        </is>
      </c>
      <c r="D952" s="43" t="inlineStr">
        <is>
          <t>Q355D</t>
        </is>
      </c>
      <c r="E952" s="43" t="n">
        <v>7301</v>
      </c>
      <c r="F952" s="43" t="n">
        <v>1880</v>
      </c>
      <c r="G952" s="43" t="n">
        <v>32</v>
      </c>
      <c r="H952" s="79">
        <f>(E952/1000)*(F952/1000)*(G952/1000)*7850</f>
        <v/>
      </c>
      <c r="I952" s="43" t="n">
        <v>2</v>
      </c>
      <c r="J952" s="80">
        <f>H952*I952</f>
        <v/>
      </c>
      <c r="K952" s="43" t="inlineStr">
        <is>
          <t>来源页102</t>
        </is>
      </c>
      <c r="L952" s="43">
        <f>A952</f>
        <v/>
      </c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43" t="n"/>
    </row>
    <row r="953">
      <c r="A953" s="43" t="inlineStr">
        <is>
          <t>N25</t>
        </is>
      </c>
      <c r="B953" s="43" t="inlineStr">
        <is>
          <t>下弦横隔板</t>
        </is>
      </c>
      <c r="C953" s="43" t="inlineStr">
        <is>
          <t>节段14</t>
        </is>
      </c>
      <c r="D953" s="43" t="inlineStr">
        <is>
          <t>Q355D</t>
        </is>
      </c>
      <c r="E953" s="43" t="n">
        <v>1800</v>
      </c>
      <c r="F953" s="43" t="n">
        <v>1200</v>
      </c>
      <c r="G953" s="43" t="n">
        <v>16</v>
      </c>
      <c r="H953" s="79">
        <f>(E953/1000)*(F953/1000)*(G953/1000)*7850</f>
        <v/>
      </c>
      <c r="I953" s="43" t="n">
        <v>3</v>
      </c>
      <c r="J953" s="80">
        <f>H953*I953</f>
        <v/>
      </c>
      <c r="K953" s="43" t="inlineStr">
        <is>
          <t>来源页102</t>
        </is>
      </c>
      <c r="L953" s="43">
        <f>A953</f>
        <v/>
      </c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43" t="n"/>
    </row>
    <row r="954">
      <c r="A954" s="43" t="inlineStr">
        <is>
          <t>N25a</t>
        </is>
      </c>
      <c r="B954" s="43" t="inlineStr">
        <is>
          <t>下弦横隔板</t>
        </is>
      </c>
      <c r="C954" s="43" t="inlineStr">
        <is>
          <t>节段14</t>
        </is>
      </c>
      <c r="D954" s="43" t="inlineStr">
        <is>
          <t>Q355D</t>
        </is>
      </c>
      <c r="E954" s="43" t="n">
        <v>1800</v>
      </c>
      <c r="F954" s="43" t="n">
        <v>1200</v>
      </c>
      <c r="G954" s="43" t="n">
        <v>16</v>
      </c>
      <c r="H954" s="79">
        <f>(E954/1000)*(F954/1000)*(G954/1000)*7850</f>
        <v/>
      </c>
      <c r="I954" s="43" t="n">
        <v>2</v>
      </c>
      <c r="J954" s="80">
        <f>H954*I954</f>
        <v/>
      </c>
      <c r="K954" s="43" t="inlineStr">
        <is>
          <t>来源页102</t>
        </is>
      </c>
      <c r="L954" s="43">
        <f>A954</f>
        <v/>
      </c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43" t="n"/>
    </row>
    <row r="955">
      <c r="A955" s="43" t="inlineStr">
        <is>
          <t>N25'</t>
        </is>
      </c>
      <c r="B955" s="43" t="inlineStr">
        <is>
          <t>下弦横隔板</t>
        </is>
      </c>
      <c r="C955" s="43" t="inlineStr">
        <is>
          <t>节段14</t>
        </is>
      </c>
      <c r="D955" s="43" t="inlineStr">
        <is>
          <t>Q355D</t>
        </is>
      </c>
      <c r="E955" s="43" t="n">
        <v>2057</v>
      </c>
      <c r="F955" s="43" t="n">
        <v>200</v>
      </c>
      <c r="G955" s="43" t="n">
        <v>16</v>
      </c>
      <c r="H955" s="79">
        <f>(E955/1000)*(F955/1000)*(G955/1000)*7850</f>
        <v/>
      </c>
      <c r="I955" s="43" t="n">
        <v>3</v>
      </c>
      <c r="J955" s="80">
        <f>H955*I955</f>
        <v/>
      </c>
      <c r="K955" s="43" t="inlineStr">
        <is>
          <t>来源页102</t>
        </is>
      </c>
      <c r="L955" s="43">
        <f>A955</f>
        <v/>
      </c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43" t="n"/>
    </row>
    <row r="956">
      <c r="A956" s="43" t="inlineStr">
        <is>
          <t>N26a</t>
        </is>
      </c>
      <c r="B956" s="43" t="inlineStr">
        <is>
          <t>下弦加劲肋</t>
        </is>
      </c>
      <c r="C956" s="43" t="inlineStr">
        <is>
          <t>节段14</t>
        </is>
      </c>
      <c r="D956" s="43" t="inlineStr">
        <is>
          <t>Q355D</t>
        </is>
      </c>
      <c r="E956" s="43" t="n">
        <v>7901</v>
      </c>
      <c r="F956" s="43" t="n">
        <v>280</v>
      </c>
      <c r="G956" s="43" t="n">
        <v>24</v>
      </c>
      <c r="H956" s="79">
        <f>(E956/1000)*(F956/1000)*(G956/1000)*7850</f>
        <v/>
      </c>
      <c r="I956" s="43" t="n">
        <v>4</v>
      </c>
      <c r="J956" s="80">
        <f>H956*I956</f>
        <v/>
      </c>
      <c r="K956" s="43" t="inlineStr">
        <is>
          <t>来源页102</t>
        </is>
      </c>
      <c r="L956" s="43">
        <f>A956</f>
        <v/>
      </c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43" t="n"/>
    </row>
    <row r="957">
      <c r="A957" s="43" t="inlineStr">
        <is>
          <t>N26b</t>
        </is>
      </c>
      <c r="B957" s="43" t="inlineStr">
        <is>
          <t>下弦加劲肋</t>
        </is>
      </c>
      <c r="C957" s="43" t="inlineStr">
        <is>
          <t>节段14</t>
        </is>
      </c>
      <c r="D957" s="43" t="inlineStr">
        <is>
          <t>Q355D</t>
        </is>
      </c>
      <c r="E957" s="43" t="n">
        <v>7101</v>
      </c>
      <c r="F957" s="43" t="n">
        <v>280</v>
      </c>
      <c r="G957" s="43" t="n">
        <v>24</v>
      </c>
      <c r="H957" s="79">
        <f>(E957/1000)*(F957/1000)*(G957/1000)*7850</f>
        <v/>
      </c>
      <c r="I957" s="43" t="n">
        <v>4</v>
      </c>
      <c r="J957" s="80">
        <f>H957*I957</f>
        <v/>
      </c>
      <c r="K957" s="43" t="inlineStr">
        <is>
          <t>来源页102</t>
        </is>
      </c>
      <c r="L957" s="43">
        <f>A957</f>
        <v/>
      </c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43" t="n"/>
    </row>
    <row r="958">
      <c r="A958" s="43" t="inlineStr">
        <is>
          <t>N26c</t>
        </is>
      </c>
      <c r="B958" s="43" t="inlineStr">
        <is>
          <t>下弦加劲肋</t>
        </is>
      </c>
      <c r="C958" s="43" t="inlineStr">
        <is>
          <t>节段14</t>
        </is>
      </c>
      <c r="D958" s="43" t="inlineStr">
        <is>
          <t>Q355D</t>
        </is>
      </c>
      <c r="E958" s="43" t="n">
        <v>15002</v>
      </c>
      <c r="F958" s="43" t="n">
        <v>170</v>
      </c>
      <c r="G958" s="43" t="n">
        <v>14</v>
      </c>
      <c r="H958" s="79">
        <f>(E958/1000)*(F958/1000)*(G958/1000)*7850</f>
        <v/>
      </c>
      <c r="I958" s="43" t="n">
        <v>2</v>
      </c>
      <c r="J958" s="80">
        <f>H958*I958</f>
        <v/>
      </c>
      <c r="K958" s="43" t="inlineStr">
        <is>
          <t>来源页102</t>
        </is>
      </c>
      <c r="L958" s="43">
        <f>A958</f>
        <v/>
      </c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43" t="n"/>
    </row>
    <row r="959">
      <c r="A959" s="43" t="inlineStr">
        <is>
          <t>N31a</t>
        </is>
      </c>
      <c r="B959" s="43" t="inlineStr">
        <is>
          <t>斜腹杆</t>
        </is>
      </c>
      <c r="C959" s="43" t="inlineStr">
        <is>
          <t>节段14</t>
        </is>
      </c>
      <c r="D959" s="43" t="inlineStr">
        <is>
          <t>Q355D</t>
        </is>
      </c>
      <c r="E959" s="43" t="n">
        <v>11283</v>
      </c>
      <c r="F959" s="43" t="n">
        <v>1200</v>
      </c>
      <c r="G959" s="43" t="n">
        <v>36</v>
      </c>
      <c r="H959" s="79">
        <f>(E959/1000)*(F959/1000)*(G959/1000)*7850</f>
        <v/>
      </c>
      <c r="I959" s="43" t="n">
        <v>1</v>
      </c>
      <c r="J959" s="80">
        <f>H959*I959</f>
        <v/>
      </c>
      <c r="K959" s="43" t="inlineStr">
        <is>
          <t>来源页102</t>
        </is>
      </c>
      <c r="L959" s="43">
        <f>A959</f>
        <v/>
      </c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43" t="n"/>
    </row>
    <row r="960">
      <c r="A960" s="43" t="inlineStr">
        <is>
          <t>N32</t>
        </is>
      </c>
      <c r="B960" s="43" t="inlineStr">
        <is>
          <t>斜腹杆</t>
        </is>
      </c>
      <c r="C960" s="43" t="inlineStr">
        <is>
          <t>节段14</t>
        </is>
      </c>
      <c r="D960" s="43" t="inlineStr">
        <is>
          <t>Q355D</t>
        </is>
      </c>
      <c r="E960" s="43" t="n">
        <v>7383</v>
      </c>
      <c r="F960" s="43" t="n">
        <v>1360</v>
      </c>
      <c r="G960" s="43" t="n">
        <v>36</v>
      </c>
      <c r="H960" s="79">
        <f>(E960/1000)*(F960/1000)*(G960/1000)*7850</f>
        <v/>
      </c>
      <c r="I960" s="43" t="n">
        <v>2</v>
      </c>
      <c r="J960" s="80">
        <f>H960*I960</f>
        <v/>
      </c>
      <c r="K960" s="43" t="inlineStr">
        <is>
          <t>来源页102</t>
        </is>
      </c>
      <c r="L960" s="43">
        <f>A960</f>
        <v/>
      </c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43" t="n"/>
    </row>
    <row r="961">
      <c r="A961" s="43" t="inlineStr">
        <is>
          <t>N33</t>
        </is>
      </c>
      <c r="B961" s="43" t="inlineStr">
        <is>
          <t>斜腹杆</t>
        </is>
      </c>
      <c r="C961" s="43" t="inlineStr">
        <is>
          <t>节段14</t>
        </is>
      </c>
      <c r="D961" s="43" t="inlineStr">
        <is>
          <t>Q355D</t>
        </is>
      </c>
      <c r="E961" s="43" t="n">
        <v>7383</v>
      </c>
      <c r="F961" s="43" t="n">
        <v>320</v>
      </c>
      <c r="G961" s="43" t="n">
        <v>32</v>
      </c>
      <c r="H961" s="79">
        <f>(E961/1000)*(F961/1000)*(G961/1000)*7850</f>
        <v/>
      </c>
      <c r="I961" s="43" t="n">
        <v>2</v>
      </c>
      <c r="J961" s="80">
        <f>H961*I961</f>
        <v/>
      </c>
      <c r="K961" s="43" t="inlineStr">
        <is>
          <t>来源页102</t>
        </is>
      </c>
      <c r="L961" s="43">
        <f>A961</f>
        <v/>
      </c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43" t="n"/>
    </row>
    <row r="962">
      <c r="A962" s="43" t="inlineStr">
        <is>
          <t>N33a</t>
        </is>
      </c>
      <c r="B962" s="43" t="inlineStr">
        <is>
          <t>斜腹杆</t>
        </is>
      </c>
      <c r="C962" s="43" t="inlineStr">
        <is>
          <t>节段14</t>
        </is>
      </c>
      <c r="D962" s="43" t="inlineStr">
        <is>
          <t>Q355D</t>
        </is>
      </c>
      <c r="E962" s="43" t="n">
        <v>9983</v>
      </c>
      <c r="F962" s="43" t="n">
        <v>320</v>
      </c>
      <c r="G962" s="43" t="n">
        <v>32</v>
      </c>
      <c r="H962" s="79">
        <f>(E962/1000)*(F962/1000)*(G962/1000)*7850</f>
        <v/>
      </c>
      <c r="I962" s="43" t="n">
        <v>1</v>
      </c>
      <c r="J962" s="80">
        <f>H962*I962</f>
        <v/>
      </c>
      <c r="K962" s="43" t="inlineStr">
        <is>
          <t>来源页102</t>
        </is>
      </c>
      <c r="L962" s="43">
        <f>A962</f>
        <v/>
      </c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43" t="n"/>
    </row>
    <row r="963">
      <c r="A963" s="43" t="inlineStr">
        <is>
          <t>N33b</t>
        </is>
      </c>
      <c r="B963" s="43" t="inlineStr">
        <is>
          <t>斜腹杆</t>
        </is>
      </c>
      <c r="C963" s="43" t="inlineStr">
        <is>
          <t>节段14</t>
        </is>
      </c>
      <c r="D963" s="43" t="inlineStr">
        <is>
          <t>Q355D</t>
        </is>
      </c>
      <c r="E963" s="43" t="n">
        <v>9883</v>
      </c>
      <c r="F963" s="43" t="n">
        <v>320</v>
      </c>
      <c r="G963" s="43" t="n">
        <v>32</v>
      </c>
      <c r="H963" s="79">
        <f>(E963/1000)*(F963/1000)*(G963/1000)*7850</f>
        <v/>
      </c>
      <c r="I963" s="43" t="n">
        <v>1</v>
      </c>
      <c r="J963" s="80">
        <f>H963*I963</f>
        <v/>
      </c>
      <c r="K963" s="43" t="inlineStr">
        <is>
          <t>来源页102</t>
        </is>
      </c>
      <c r="L963" s="43">
        <f>A963</f>
        <v/>
      </c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43" t="n"/>
    </row>
    <row r="964">
      <c r="A964" s="43" t="inlineStr">
        <is>
          <t>N34</t>
        </is>
      </c>
      <c r="B964" s="43" t="inlineStr">
        <is>
          <t>斜腹杆</t>
        </is>
      </c>
      <c r="C964" s="43" t="inlineStr">
        <is>
          <t>节段14</t>
        </is>
      </c>
      <c r="D964" s="43" t="inlineStr">
        <is>
          <t>Q355D</t>
        </is>
      </c>
      <c r="E964" s="43" t="n">
        <v>1200</v>
      </c>
      <c r="F964" s="43" t="n">
        <v>1200</v>
      </c>
      <c r="G964" s="43" t="n">
        <v>16</v>
      </c>
      <c r="H964" s="79">
        <f>(E964/1000)*(F964/1000)*(G964/1000)*7850</f>
        <v/>
      </c>
      <c r="I964" s="43" t="n">
        <v>3</v>
      </c>
      <c r="J964" s="80">
        <f>H964*I964</f>
        <v/>
      </c>
      <c r="K964" s="43" t="inlineStr">
        <is>
          <t>来源页102</t>
        </is>
      </c>
      <c r="L964" s="43">
        <f>A964</f>
        <v/>
      </c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43" t="n"/>
    </row>
    <row r="965">
      <c r="A965" s="43" t="inlineStr">
        <is>
          <t>N41</t>
        </is>
      </c>
      <c r="B965" s="43" t="inlineStr">
        <is>
          <t>斜腹杆</t>
        </is>
      </c>
      <c r="C965" s="43" t="inlineStr">
        <is>
          <t>节段14</t>
        </is>
      </c>
      <c r="D965" s="43" t="inlineStr">
        <is>
          <t>Q355D</t>
        </is>
      </c>
      <c r="E965" s="43" t="n">
        <v>5458</v>
      </c>
      <c r="F965" s="43" t="n">
        <v>1200</v>
      </c>
      <c r="G965" s="43" t="n">
        <v>36</v>
      </c>
      <c r="H965" s="79">
        <f>(E965/1000)*(F965/1000)*(G965/1000)*7850</f>
        <v/>
      </c>
      <c r="I965" s="43" t="n">
        <v>1</v>
      </c>
      <c r="J965" s="80">
        <f>H965*I965</f>
        <v/>
      </c>
      <c r="K965" s="43" t="inlineStr">
        <is>
          <t>来源页102</t>
        </is>
      </c>
      <c r="L965" s="43">
        <f>A965</f>
        <v/>
      </c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43" t="n"/>
    </row>
    <row r="966">
      <c r="A966" s="43" t="inlineStr">
        <is>
          <t>N41a</t>
        </is>
      </c>
      <c r="B966" s="43" t="inlineStr">
        <is>
          <t>斜腹杆</t>
        </is>
      </c>
      <c r="C966" s="43" t="inlineStr">
        <is>
          <t>节段14</t>
        </is>
      </c>
      <c r="D966" s="43" t="inlineStr">
        <is>
          <t>Q355D</t>
        </is>
      </c>
      <c r="E966" s="43" t="n">
        <v>5758</v>
      </c>
      <c r="F966" s="43" t="n">
        <v>1200</v>
      </c>
      <c r="G966" s="43" t="n">
        <v>36</v>
      </c>
      <c r="H966" s="79">
        <f>(E966/1000)*(F966/1000)*(G966/1000)*7850</f>
        <v/>
      </c>
      <c r="I966" s="43" t="n">
        <v>1</v>
      </c>
      <c r="J966" s="80">
        <f>H966*I966</f>
        <v/>
      </c>
      <c r="K966" s="43" t="inlineStr">
        <is>
          <t>来源页102</t>
        </is>
      </c>
      <c r="L966" s="43">
        <f>A966</f>
        <v/>
      </c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43" t="n"/>
    </row>
    <row r="967">
      <c r="A967" s="43" t="inlineStr">
        <is>
          <t>N42</t>
        </is>
      </c>
      <c r="B967" s="43" t="inlineStr">
        <is>
          <t>斜腹杆</t>
        </is>
      </c>
      <c r="C967" s="43" t="inlineStr">
        <is>
          <t>节段14</t>
        </is>
      </c>
      <c r="D967" s="43" t="inlineStr">
        <is>
          <t>Q355D</t>
        </is>
      </c>
      <c r="E967" s="43" t="n">
        <v>3658</v>
      </c>
      <c r="F967" s="43" t="n">
        <v>1360</v>
      </c>
      <c r="G967" s="43" t="n">
        <v>36</v>
      </c>
      <c r="H967" s="79">
        <f>(E967/1000)*(F967/1000)*(G967/1000)*7850</f>
        <v/>
      </c>
      <c r="I967" s="43" t="n">
        <v>2</v>
      </c>
      <c r="J967" s="80">
        <f>H967*I967</f>
        <v/>
      </c>
      <c r="K967" s="43" t="inlineStr">
        <is>
          <t>来源页102</t>
        </is>
      </c>
      <c r="L967" s="43">
        <f>A967</f>
        <v/>
      </c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43" t="n"/>
    </row>
    <row r="968">
      <c r="A968" s="43" t="inlineStr">
        <is>
          <t>N43</t>
        </is>
      </c>
      <c r="B968" s="43" t="inlineStr">
        <is>
          <t>斜腹杆</t>
        </is>
      </c>
      <c r="C968" s="43" t="inlineStr">
        <is>
          <t>节段14</t>
        </is>
      </c>
      <c r="D968" s="43" t="inlineStr">
        <is>
          <t>Q355D</t>
        </is>
      </c>
      <c r="E968" s="43" t="n">
        <v>3658</v>
      </c>
      <c r="F968" s="43" t="n">
        <v>320</v>
      </c>
      <c r="G968" s="43" t="n">
        <v>32</v>
      </c>
      <c r="H968" s="79">
        <f>(E968/1000)*(F968/1000)*(G968/1000)*7850</f>
        <v/>
      </c>
      <c r="I968" s="43" t="n">
        <v>2</v>
      </c>
      <c r="J968" s="80">
        <f>H968*I968</f>
        <v/>
      </c>
      <c r="K968" s="43" t="inlineStr">
        <is>
          <t>来源页102</t>
        </is>
      </c>
      <c r="L968" s="43">
        <f>A968</f>
        <v/>
      </c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43" t="n"/>
    </row>
    <row r="969">
      <c r="A969" s="43" t="inlineStr">
        <is>
          <t>N43a</t>
        </is>
      </c>
      <c r="B969" s="43" t="inlineStr">
        <is>
          <t>斜腹杆</t>
        </is>
      </c>
      <c r="C969" s="43" t="inlineStr">
        <is>
          <t>节段14</t>
        </is>
      </c>
      <c r="D969" s="43" t="inlineStr">
        <is>
          <t>Q355D</t>
        </is>
      </c>
      <c r="E969" s="43" t="n">
        <v>4758</v>
      </c>
      <c r="F969" s="43" t="n">
        <v>320</v>
      </c>
      <c r="G969" s="43" t="n">
        <v>32</v>
      </c>
      <c r="H969" s="79">
        <f>(E969/1000)*(F969/1000)*(G969/1000)*7850</f>
        <v/>
      </c>
      <c r="I969" s="43" t="n">
        <v>1</v>
      </c>
      <c r="J969" s="80">
        <f>H969*I969</f>
        <v/>
      </c>
      <c r="K969" s="43" t="inlineStr">
        <is>
          <t>来源页102</t>
        </is>
      </c>
      <c r="L969" s="43">
        <f>A969</f>
        <v/>
      </c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43" t="n"/>
    </row>
    <row r="970">
      <c r="A970" s="43" t="inlineStr">
        <is>
          <t>N43b</t>
        </is>
      </c>
      <c r="B970" s="43" t="inlineStr">
        <is>
          <t>斜腹杆</t>
        </is>
      </c>
      <c r="C970" s="43" t="inlineStr">
        <is>
          <t>节段14</t>
        </is>
      </c>
      <c r="D970" s="43" t="inlineStr">
        <is>
          <t>Q355D</t>
        </is>
      </c>
      <c r="E970" s="43" t="n">
        <v>5058</v>
      </c>
      <c r="F970" s="43" t="n">
        <v>320</v>
      </c>
      <c r="G970" s="43" t="n">
        <v>32</v>
      </c>
      <c r="H970" s="79">
        <f>(E970/1000)*(F970/1000)*(G970/1000)*7850</f>
        <v/>
      </c>
      <c r="I970" s="43" t="n">
        <v>1</v>
      </c>
      <c r="J970" s="80">
        <f>H970*I970</f>
        <v/>
      </c>
      <c r="K970" s="43" t="inlineStr">
        <is>
          <t>来源页102</t>
        </is>
      </c>
      <c r="L970" s="43">
        <f>A970</f>
        <v/>
      </c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43" t="n"/>
    </row>
    <row r="971">
      <c r="A971" s="43" t="inlineStr"/>
      <c r="B971" s="43" t="inlineStr">
        <is>
          <t>斜腹杆</t>
        </is>
      </c>
      <c r="C971" s="43" t="inlineStr">
        <is>
          <t>节段14</t>
        </is>
      </c>
      <c r="D971" s="43" t="inlineStr">
        <is>
          <t>Q355D</t>
        </is>
      </c>
      <c r="E971" s="43" t="n">
        <v>1200</v>
      </c>
      <c r="F971" s="43" t="n">
        <v>1200</v>
      </c>
      <c r="G971" s="43" t="n">
        <v>16</v>
      </c>
      <c r="H971" s="79">
        <f>(E971/1000)*(F971/1000)*(G971/1000)*7850</f>
        <v/>
      </c>
      <c r="I971" s="43" t="n">
        <v>2</v>
      </c>
      <c r="J971" s="80">
        <f>H971*I971</f>
        <v/>
      </c>
      <c r="K971" s="43" t="inlineStr">
        <is>
          <t>来源页102</t>
        </is>
      </c>
      <c r="L971" s="43">
        <f>A971</f>
        <v/>
      </c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43" t="n"/>
    </row>
    <row r="972">
      <c r="A972" s="43" t="inlineStr">
        <is>
          <t>N51</t>
        </is>
      </c>
      <c r="B972" s="43" t="inlineStr">
        <is>
          <t>节点板加劲</t>
        </is>
      </c>
      <c r="C972" s="43" t="inlineStr">
        <is>
          <t>节段14</t>
        </is>
      </c>
      <c r="D972" s="43" t="inlineStr">
        <is>
          <t>Q355D</t>
        </is>
      </c>
      <c r="E972" s="43" t="n">
        <v>5883</v>
      </c>
      <c r="F972" s="43" t="n">
        <v>1200</v>
      </c>
      <c r="G972" s="43" t="n">
        <v>36</v>
      </c>
      <c r="H972" s="79">
        <f>(E972/1000)*(F972/1000)*(G972/1000)*7850</f>
        <v/>
      </c>
      <c r="I972" s="43" t="n">
        <v>1</v>
      </c>
      <c r="J972" s="80">
        <f>H972*I972</f>
        <v/>
      </c>
      <c r="K972" s="43" t="inlineStr">
        <is>
          <t>来源页102</t>
        </is>
      </c>
      <c r="L972" s="43">
        <f>A972</f>
        <v/>
      </c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43" t="n"/>
    </row>
    <row r="973">
      <c r="A973" s="43" t="inlineStr">
        <is>
          <t>N52</t>
        </is>
      </c>
      <c r="B973" s="43" t="inlineStr">
        <is>
          <t>节点板加劲</t>
        </is>
      </c>
      <c r="C973" s="43" t="inlineStr">
        <is>
          <t>节段14</t>
        </is>
      </c>
      <c r="D973" s="43" t="inlineStr">
        <is>
          <t>Q355D</t>
        </is>
      </c>
      <c r="E973" s="43" t="n">
        <v>3683</v>
      </c>
      <c r="F973" s="43" t="n">
        <v>1360</v>
      </c>
      <c r="G973" s="43" t="n">
        <v>36</v>
      </c>
      <c r="H973" s="79">
        <f>(E973/1000)*(F973/1000)*(G973/1000)*7850</f>
        <v/>
      </c>
      <c r="I973" s="43" t="n">
        <v>2</v>
      </c>
      <c r="J973" s="80">
        <f>H973*I973</f>
        <v/>
      </c>
      <c r="K973" s="43" t="inlineStr">
        <is>
          <t>来源页102</t>
        </is>
      </c>
      <c r="L973" s="43">
        <f>A973</f>
        <v/>
      </c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43" t="n"/>
    </row>
    <row r="974">
      <c r="A974" s="43" t="inlineStr">
        <is>
          <t>N53</t>
        </is>
      </c>
      <c r="B974" s="43" t="inlineStr">
        <is>
          <t>节点板加劲</t>
        </is>
      </c>
      <c r="C974" s="43" t="inlineStr">
        <is>
          <t>节段14</t>
        </is>
      </c>
      <c r="D974" s="43" t="inlineStr">
        <is>
          <t>Q355D</t>
        </is>
      </c>
      <c r="E974" s="43" t="n">
        <v>3683</v>
      </c>
      <c r="F974" s="43" t="n">
        <v>320</v>
      </c>
      <c r="G974" s="43" t="n">
        <v>32</v>
      </c>
      <c r="H974" s="79">
        <f>(E974/1000)*(F974/1000)*(G974/1000)*7850</f>
        <v/>
      </c>
      <c r="I974" s="43" t="n">
        <v>2</v>
      </c>
      <c r="J974" s="80">
        <f>H974*I974</f>
        <v/>
      </c>
      <c r="K974" s="43" t="inlineStr">
        <is>
          <t>来源页102</t>
        </is>
      </c>
      <c r="L974" s="43">
        <f>A974</f>
        <v/>
      </c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43" t="n"/>
    </row>
    <row r="975">
      <c r="A975" s="43" t="inlineStr">
        <is>
          <t>N53a</t>
        </is>
      </c>
      <c r="B975" s="43" t="inlineStr">
        <is>
          <t>节点板加劲</t>
        </is>
      </c>
      <c r="C975" s="43" t="inlineStr">
        <is>
          <t>节段14</t>
        </is>
      </c>
      <c r="D975" s="43" t="inlineStr">
        <is>
          <t>Q355D</t>
        </is>
      </c>
      <c r="E975" s="43" t="n">
        <v>5183</v>
      </c>
      <c r="F975" s="43" t="n">
        <v>320</v>
      </c>
      <c r="G975" s="43" t="n">
        <v>32</v>
      </c>
      <c r="H975" s="79">
        <f>(E975/1000)*(F975/1000)*(G975/1000)*7850</f>
        <v/>
      </c>
      <c r="I975" s="43" t="n">
        <v>1</v>
      </c>
      <c r="J975" s="80">
        <f>H975*I975</f>
        <v/>
      </c>
      <c r="K975" s="43" t="inlineStr">
        <is>
          <t>来源页102</t>
        </is>
      </c>
      <c r="L975" s="43">
        <f>A975</f>
        <v/>
      </c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43" t="n"/>
    </row>
    <row r="976">
      <c r="A976" s="43" t="inlineStr">
        <is>
          <t>N53b</t>
        </is>
      </c>
      <c r="B976" s="43" t="inlineStr">
        <is>
          <t>节点板加劲</t>
        </is>
      </c>
      <c r="C976" s="43" t="inlineStr">
        <is>
          <t>节段14</t>
        </is>
      </c>
      <c r="D976" s="43" t="inlineStr">
        <is>
          <t>Q355D</t>
        </is>
      </c>
      <c r="E976" s="43" t="n">
        <v>4783</v>
      </c>
      <c r="F976" s="43" t="n">
        <v>320</v>
      </c>
      <c r="G976" s="43" t="n">
        <v>32</v>
      </c>
      <c r="H976" s="79">
        <f>(E976/1000)*(F976/1000)*(G976/1000)*7850</f>
        <v/>
      </c>
      <c r="I976" s="43" t="n">
        <v>1</v>
      </c>
      <c r="J976" s="80">
        <f>H976*I976</f>
        <v/>
      </c>
      <c r="K976" s="43" t="inlineStr">
        <is>
          <t>来源页102</t>
        </is>
      </c>
      <c r="L976" s="43">
        <f>A976</f>
        <v/>
      </c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43" t="n"/>
    </row>
    <row r="977">
      <c r="A977" s="43" t="inlineStr">
        <is>
          <t>N54</t>
        </is>
      </c>
      <c r="B977" s="43" t="inlineStr">
        <is>
          <t>节点板加劲</t>
        </is>
      </c>
      <c r="C977" s="43" t="inlineStr">
        <is>
          <t>节段14</t>
        </is>
      </c>
      <c r="D977" s="43" t="inlineStr">
        <is>
          <t>Q355D</t>
        </is>
      </c>
      <c r="E977" s="43" t="n">
        <v>1200</v>
      </c>
      <c r="F977" s="43" t="n">
        <v>1200</v>
      </c>
      <c r="G977" s="43" t="n">
        <v>16</v>
      </c>
      <c r="H977" s="79">
        <f>(E977/1000)*(F977/1000)*(G977/1000)*7850</f>
        <v/>
      </c>
      <c r="I977" s="43" t="n">
        <v>2</v>
      </c>
      <c r="J977" s="80">
        <f>H977*I977</f>
        <v/>
      </c>
      <c r="K977" s="43" t="inlineStr">
        <is>
          <t>来源页102</t>
        </is>
      </c>
      <c r="L977" s="43">
        <f>A977</f>
        <v/>
      </c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43" t="n"/>
    </row>
    <row r="978">
      <c r="A978" s="43" t="inlineStr">
        <is>
          <t>N55</t>
        </is>
      </c>
      <c r="B978" s="43" t="inlineStr">
        <is>
          <t>节点板加劲</t>
        </is>
      </c>
      <c r="C978" s="43" t="inlineStr">
        <is>
          <t>节段14</t>
        </is>
      </c>
      <c r="D978" s="43" t="inlineStr">
        <is>
          <t>Q355D</t>
        </is>
      </c>
      <c r="E978" s="43" t="n">
        <v>2300</v>
      </c>
      <c r="F978" s="43" t="n">
        <v>320</v>
      </c>
      <c r="G978" s="43" t="n">
        <v>32</v>
      </c>
      <c r="H978" s="79">
        <f>(E978/1000)*(F978/1000)*(G978/1000)*7850</f>
        <v/>
      </c>
      <c r="I978" s="43" t="n">
        <v>4</v>
      </c>
      <c r="J978" s="80">
        <f>H978*I978</f>
        <v/>
      </c>
      <c r="K978" s="43" t="inlineStr">
        <is>
          <t>来源页102</t>
        </is>
      </c>
      <c r="L978" s="43">
        <f>A978</f>
        <v/>
      </c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43" t="n"/>
    </row>
    <row r="979">
      <c r="A979" s="43" t="inlineStr">
        <is>
          <t>N56</t>
        </is>
      </c>
      <c r="B979" s="43" t="inlineStr">
        <is>
          <t>节点板加劲</t>
        </is>
      </c>
      <c r="C979" s="43" t="inlineStr">
        <is>
          <t>节段14</t>
        </is>
      </c>
      <c r="D979" s="43" t="inlineStr">
        <is>
          <t>Q355D</t>
        </is>
      </c>
      <c r="E979" s="43" t="n">
        <v>2200</v>
      </c>
      <c r="F979" s="43" t="n">
        <v>320</v>
      </c>
      <c r="G979" s="43" t="n">
        <v>32</v>
      </c>
      <c r="H979" s="79">
        <f>(E979/1000)*(F979/1000)*(G979/1000)*7850</f>
        <v/>
      </c>
      <c r="I979" s="43" t="n">
        <v>4</v>
      </c>
      <c r="J979" s="80">
        <f>H979*I979</f>
        <v/>
      </c>
      <c r="K979" s="43" t="inlineStr">
        <is>
          <t>来源页102</t>
        </is>
      </c>
      <c r="L979" s="43">
        <f>A979</f>
        <v/>
      </c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43" t="n"/>
    </row>
    <row r="980">
      <c r="A980" s="43" t="inlineStr">
        <is>
          <t>N61a</t>
        </is>
      </c>
      <c r="B980" s="43" t="inlineStr">
        <is>
          <t>横梁接头</t>
        </is>
      </c>
      <c r="C980" s="43" t="inlineStr">
        <is>
          <t>节段14</t>
        </is>
      </c>
      <c r="D980" s="43" t="inlineStr">
        <is>
          <t>Q355D</t>
        </is>
      </c>
      <c r="E980" s="43" t="n">
        <v>1980</v>
      </c>
      <c r="F980" s="43" t="n">
        <v>622</v>
      </c>
      <c r="G980" s="43" t="n">
        <v>14</v>
      </c>
      <c r="H980" s="79">
        <f>(E980/1000)*(F980/1000)*(G980/1000)*7850</f>
        <v/>
      </c>
      <c r="I980" s="43" t="n">
        <v>4</v>
      </c>
      <c r="J980" s="80">
        <f>H980*I980</f>
        <v/>
      </c>
      <c r="K980" s="43" t="inlineStr">
        <is>
          <t>来源页102</t>
        </is>
      </c>
      <c r="L980" s="43">
        <f>A980</f>
        <v/>
      </c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43" t="n"/>
    </row>
    <row r="981">
      <c r="A981" s="43" t="inlineStr">
        <is>
          <t>N62</t>
        </is>
      </c>
      <c r="B981" s="43" t="inlineStr">
        <is>
          <t>横梁接头</t>
        </is>
      </c>
      <c r="C981" s="43" t="inlineStr">
        <is>
          <t>节段14</t>
        </is>
      </c>
      <c r="D981" s="43" t="inlineStr">
        <is>
          <t>Q355D</t>
        </is>
      </c>
      <c r="E981" s="43" t="n"/>
      <c r="F981" s="43" t="n"/>
      <c r="G981" s="43" t="n">
        <v>24</v>
      </c>
      <c r="H981" s="79">
        <f>(E981/1000)*(F981/1000)*(G981/1000)*7850</f>
        <v/>
      </c>
      <c r="I981" s="43" t="n">
        <v>6</v>
      </c>
      <c r="J981" s="80">
        <f>H981*I981</f>
        <v/>
      </c>
      <c r="K981" s="43" t="inlineStr">
        <is>
          <t>来源页102</t>
        </is>
      </c>
      <c r="L981" s="43">
        <f>A981</f>
        <v/>
      </c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43" t="n"/>
    </row>
    <row r="982">
      <c r="A982" s="43" t="inlineStr">
        <is>
          <t>N62a</t>
        </is>
      </c>
      <c r="B982" s="43" t="inlineStr">
        <is>
          <t>横梁接头</t>
        </is>
      </c>
      <c r="C982" s="43" t="inlineStr">
        <is>
          <t>节段14</t>
        </is>
      </c>
      <c r="D982" s="43" t="inlineStr">
        <is>
          <t>Q355D</t>
        </is>
      </c>
      <c r="E982" s="43" t="n"/>
      <c r="F982" s="43" t="n"/>
      <c r="G982" s="43" t="n">
        <v>24</v>
      </c>
      <c r="H982" s="79">
        <f>(E982/1000)*(F982/1000)*(G982/1000)*7850</f>
        <v/>
      </c>
      <c r="I982" s="43" t="n">
        <v>4</v>
      </c>
      <c r="J982" s="80">
        <f>H982*I982</f>
        <v/>
      </c>
      <c r="K982" s="43" t="inlineStr">
        <is>
          <t>来源页102</t>
        </is>
      </c>
      <c r="L982" s="43">
        <f>A982</f>
        <v/>
      </c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43" t="n"/>
    </row>
    <row r="983">
      <c r="A983" s="43" t="inlineStr">
        <is>
          <t>N63</t>
        </is>
      </c>
      <c r="B983" s="43" t="inlineStr">
        <is>
          <t>横梁接头</t>
        </is>
      </c>
      <c r="C983" s="43" t="inlineStr">
        <is>
          <t>节段14</t>
        </is>
      </c>
      <c r="D983" s="43" t="inlineStr">
        <is>
          <t>Q355D</t>
        </is>
      </c>
      <c r="E983" s="43" t="n">
        <v>1800</v>
      </c>
      <c r="F983" s="43" t="n">
        <v>606</v>
      </c>
      <c r="G983" s="43" t="n">
        <v>14</v>
      </c>
      <c r="H983" s="79">
        <f>(E983/1000)*(F983/1000)*(G983/1000)*7850</f>
        <v/>
      </c>
      <c r="I983" s="43" t="n">
        <v>6</v>
      </c>
      <c r="J983" s="80">
        <f>H983*I983</f>
        <v/>
      </c>
      <c r="K983" s="43" t="inlineStr">
        <is>
          <t>来源页102</t>
        </is>
      </c>
      <c r="L983" s="43">
        <f>A983</f>
        <v/>
      </c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43" t="n"/>
    </row>
    <row r="984">
      <c r="A984" s="43" t="inlineStr">
        <is>
          <t>N63a</t>
        </is>
      </c>
      <c r="B984" s="43" t="inlineStr">
        <is>
          <t>横梁接头</t>
        </is>
      </c>
      <c r="C984" s="43" t="inlineStr">
        <is>
          <t>节段14</t>
        </is>
      </c>
      <c r="D984" s="43" t="inlineStr">
        <is>
          <t>Q355D</t>
        </is>
      </c>
      <c r="E984" s="43" t="n">
        <v>1800</v>
      </c>
      <c r="F984" s="43" t="n">
        <v>618</v>
      </c>
      <c r="G984" s="43" t="n">
        <v>14</v>
      </c>
      <c r="H984" s="79">
        <f>(E984/1000)*(F984/1000)*(G984/1000)*7850</f>
        <v/>
      </c>
      <c r="I984" s="43" t="n">
        <v>4</v>
      </c>
      <c r="J984" s="80">
        <f>H984*I984</f>
        <v/>
      </c>
      <c r="K984" s="43" t="inlineStr">
        <is>
          <t>来源页102</t>
        </is>
      </c>
      <c r="L984" s="43">
        <f>A984</f>
        <v/>
      </c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43" t="n"/>
    </row>
    <row r="985">
      <c r="A985" s="43" t="inlineStr">
        <is>
          <t>P1</t>
        </is>
      </c>
      <c r="B985" s="43" t="inlineStr">
        <is>
          <t>上弦杆拼接</t>
        </is>
      </c>
      <c r="C985" s="43" t="inlineStr">
        <is>
          <t>节段14~节段15</t>
        </is>
      </c>
      <c r="D985" s="43" t="inlineStr">
        <is>
          <t>Q355D</t>
        </is>
      </c>
      <c r="E985" s="43" t="n">
        <v>1220</v>
      </c>
      <c r="F985" s="43" t="n">
        <v>1800</v>
      </c>
      <c r="G985" s="43" t="n">
        <v>28</v>
      </c>
      <c r="H985" s="79">
        <f>(E985/1000)*(F985/1000)*(G985/1000)*7850</f>
        <v/>
      </c>
      <c r="I985" s="43" t="n">
        <v>2</v>
      </c>
      <c r="J985" s="80">
        <f>H985*I985</f>
        <v/>
      </c>
      <c r="K985" s="43" t="inlineStr">
        <is>
          <t>来源页105</t>
        </is>
      </c>
      <c r="L985" s="43">
        <f>A985</f>
        <v/>
      </c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43" t="n"/>
    </row>
    <row r="986">
      <c r="A986" s="43" t="inlineStr">
        <is>
          <t>P2</t>
        </is>
      </c>
      <c r="B986" s="43" t="inlineStr">
        <is>
          <t>上弦杆拼接</t>
        </is>
      </c>
      <c r="C986" s="43" t="inlineStr">
        <is>
          <t>节段14~节段15</t>
        </is>
      </c>
      <c r="D986" s="43" t="inlineStr">
        <is>
          <t>Q355D</t>
        </is>
      </c>
      <c r="E986" s="43" t="n">
        <v>1220</v>
      </c>
      <c r="F986" s="43" t="n">
        <v>500</v>
      </c>
      <c r="G986" s="43" t="n">
        <v>28</v>
      </c>
      <c r="H986" s="79">
        <f>(E986/1000)*(F986/1000)*(G986/1000)*7850</f>
        <v/>
      </c>
      <c r="I986" s="43" t="n">
        <v>2</v>
      </c>
      <c r="J986" s="80">
        <f>H986*I986</f>
        <v/>
      </c>
      <c r="K986" s="43" t="inlineStr">
        <is>
          <t>来源页105</t>
        </is>
      </c>
      <c r="L986" s="43">
        <f>A986</f>
        <v/>
      </c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43" t="n"/>
    </row>
    <row r="987">
      <c r="A987" s="43" t="inlineStr">
        <is>
          <t>P3</t>
        </is>
      </c>
      <c r="B987" s="43" t="inlineStr">
        <is>
          <t>上弦杆拼接</t>
        </is>
      </c>
      <c r="C987" s="43" t="inlineStr">
        <is>
          <t>节段14~节段15</t>
        </is>
      </c>
      <c r="D987" s="43" t="inlineStr">
        <is>
          <t>Q355D</t>
        </is>
      </c>
      <c r="E987" s="43" t="n">
        <v>1220</v>
      </c>
      <c r="F987" s="43" t="n">
        <v>500</v>
      </c>
      <c r="G987" s="43" t="n">
        <v>28</v>
      </c>
      <c r="H987" s="79">
        <f>(E987/1000)*(F987/1000)*(G987/1000)*7850</f>
        <v/>
      </c>
      <c r="I987" s="43" t="n">
        <v>2</v>
      </c>
      <c r="J987" s="80">
        <f>H987*I987</f>
        <v/>
      </c>
      <c r="K987" s="43" t="inlineStr">
        <is>
          <t>来源页105</t>
        </is>
      </c>
      <c r="L987" s="43">
        <f>A987</f>
        <v/>
      </c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43" t="n"/>
    </row>
    <row r="988">
      <c r="A988" s="43" t="inlineStr">
        <is>
          <t>P4</t>
        </is>
      </c>
      <c r="B988" s="43" t="inlineStr">
        <is>
          <t>上弦杆拼接</t>
        </is>
      </c>
      <c r="C988" s="43" t="inlineStr">
        <is>
          <t>节段14~节段15</t>
        </is>
      </c>
      <c r="D988" s="43" t="inlineStr">
        <is>
          <t>Q355D</t>
        </is>
      </c>
      <c r="E988" s="43" t="n">
        <v>1220</v>
      </c>
      <c r="F988" s="43" t="n">
        <v>600</v>
      </c>
      <c r="G988" s="43" t="n">
        <v>28</v>
      </c>
      <c r="H988" s="79">
        <f>(E988/1000)*(F988/1000)*(G988/1000)*7850</f>
        <v/>
      </c>
      <c r="I988" s="43" t="n">
        <v>2</v>
      </c>
      <c r="J988" s="80">
        <f>H988*I988</f>
        <v/>
      </c>
      <c r="K988" s="43" t="inlineStr">
        <is>
          <t>来源页105</t>
        </is>
      </c>
      <c r="L988" s="43">
        <f>A988</f>
        <v/>
      </c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43" t="n"/>
    </row>
    <row r="989">
      <c r="A989" s="43" t="inlineStr">
        <is>
          <t>P5</t>
        </is>
      </c>
      <c r="B989" s="43" t="inlineStr">
        <is>
          <t>上弦杆拼接</t>
        </is>
      </c>
      <c r="C989" s="43" t="inlineStr">
        <is>
          <t>节段14~节段15</t>
        </is>
      </c>
      <c r="D989" s="43" t="inlineStr">
        <is>
          <t>Q355D</t>
        </is>
      </c>
      <c r="E989" s="43" t="n">
        <v>1420</v>
      </c>
      <c r="F989" s="43" t="n">
        <v>1100</v>
      </c>
      <c r="G989" s="43" t="n">
        <v>32</v>
      </c>
      <c r="H989" s="79">
        <f>(E989/1000)*(F989/1000)*(G989/1000)*7850</f>
        <v/>
      </c>
      <c r="I989" s="43" t="n">
        <v>1</v>
      </c>
      <c r="J989" s="80">
        <f>H989*I989</f>
        <v/>
      </c>
      <c r="K989" s="43" t="inlineStr">
        <is>
          <t>来源页105</t>
        </is>
      </c>
      <c r="L989" s="43">
        <f>A989</f>
        <v/>
      </c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43" t="n"/>
    </row>
    <row r="990">
      <c r="A990" s="43" t="inlineStr">
        <is>
          <t>P6</t>
        </is>
      </c>
      <c r="B990" s="43" t="inlineStr">
        <is>
          <t>上弦杆拼接</t>
        </is>
      </c>
      <c r="C990" s="43" t="inlineStr">
        <is>
          <t>节段14~节段15</t>
        </is>
      </c>
      <c r="D990" s="43" t="inlineStr">
        <is>
          <t>Q355D</t>
        </is>
      </c>
      <c r="E990" s="43" t="n">
        <v>1420</v>
      </c>
      <c r="F990" s="43" t="n">
        <v>400</v>
      </c>
      <c r="G990" s="43" t="n">
        <v>32</v>
      </c>
      <c r="H990" s="79">
        <f>(E990/1000)*(F990/1000)*(G990/1000)*7850</f>
        <v/>
      </c>
      <c r="I990" s="43" t="n">
        <v>2</v>
      </c>
      <c r="J990" s="80">
        <f>H990*I990</f>
        <v/>
      </c>
      <c r="K990" s="43" t="inlineStr">
        <is>
          <t>来源页105</t>
        </is>
      </c>
      <c r="L990" s="43">
        <f>A990</f>
        <v/>
      </c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43" t="n"/>
    </row>
    <row r="991">
      <c r="A991" s="43" t="inlineStr">
        <is>
          <t>P7</t>
        </is>
      </c>
      <c r="B991" s="43" t="inlineStr">
        <is>
          <t>上弦杆拼接</t>
        </is>
      </c>
      <c r="C991" s="43" t="inlineStr">
        <is>
          <t>节段14~节段15</t>
        </is>
      </c>
      <c r="D991" s="43" t="inlineStr">
        <is>
          <t>Q355D</t>
        </is>
      </c>
      <c r="E991" s="43" t="n">
        <v>920</v>
      </c>
      <c r="F991" s="43" t="n">
        <v>200</v>
      </c>
      <c r="G991" s="43" t="n">
        <v>20</v>
      </c>
      <c r="H991" s="79">
        <f>(E991/1000)*(F991/1000)*(G991/1000)*7850</f>
        <v/>
      </c>
      <c r="I991" s="43" t="n">
        <v>10</v>
      </c>
      <c r="J991" s="80">
        <f>H991*I991</f>
        <v/>
      </c>
      <c r="K991" s="43" t="inlineStr">
        <is>
          <t>来源页105</t>
        </is>
      </c>
      <c r="L991" s="43">
        <f>A991</f>
        <v/>
      </c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43" t="n"/>
    </row>
    <row r="992">
      <c r="A992" s="43" t="inlineStr">
        <is>
          <t>P8</t>
        </is>
      </c>
      <c r="B992" s="43" t="inlineStr">
        <is>
          <t>上弦杆拼接</t>
        </is>
      </c>
      <c r="C992" s="43" t="inlineStr">
        <is>
          <t>节段14~节段15</t>
        </is>
      </c>
      <c r="D992" s="43" t="inlineStr">
        <is>
          <t>Q355D</t>
        </is>
      </c>
      <c r="E992" s="43" t="n">
        <v>600</v>
      </c>
      <c r="F992" s="43" t="n">
        <v>1800</v>
      </c>
      <c r="G992" s="43" t="n">
        <v>8</v>
      </c>
      <c r="H992" s="79">
        <f>(E992/1000)*(F992/1000)*(G992/1000)*7850</f>
        <v/>
      </c>
      <c r="I992" s="43" t="n">
        <v>2</v>
      </c>
      <c r="J992" s="80">
        <f>H992*I992</f>
        <v/>
      </c>
      <c r="K992" s="43" t="inlineStr">
        <is>
          <t>填板；来源页105</t>
        </is>
      </c>
      <c r="L992" s="43">
        <f>A992</f>
        <v/>
      </c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43" t="n"/>
    </row>
    <row r="993">
      <c r="A993" s="43" t="inlineStr">
        <is>
          <t>P9</t>
        </is>
      </c>
      <c r="B993" s="43" t="inlineStr">
        <is>
          <t>上弦杆拼接</t>
        </is>
      </c>
      <c r="C993" s="43" t="inlineStr">
        <is>
          <t>节段14~节段15</t>
        </is>
      </c>
      <c r="D993" s="43" t="inlineStr">
        <is>
          <t>Q355D</t>
        </is>
      </c>
      <c r="E993" s="43" t="n">
        <v>700</v>
      </c>
      <c r="F993" s="43" t="n">
        <v>1100</v>
      </c>
      <c r="G993" s="43" t="n">
        <v>4</v>
      </c>
      <c r="H993" s="79">
        <f>(E993/1000)*(F993/1000)*(G993/1000)*7850</f>
        <v/>
      </c>
      <c r="I993" s="43" t="n">
        <v>1</v>
      </c>
      <c r="J993" s="80">
        <f>H993*I993</f>
        <v/>
      </c>
      <c r="K993" s="43" t="inlineStr">
        <is>
          <t>填板；来源页105</t>
        </is>
      </c>
      <c r="L993" s="43">
        <f>A993</f>
        <v/>
      </c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43" t="n"/>
    </row>
    <row r="994">
      <c r="A994" s="43" t="inlineStr">
        <is>
          <t>M30高强螺栓</t>
        </is>
      </c>
      <c r="B994" s="43" t="inlineStr">
        <is>
          <t>上弦杆拼接</t>
        </is>
      </c>
      <c r="C994" s="43" t="inlineStr">
        <is>
          <t>节段14~节段15</t>
        </is>
      </c>
      <c r="D994" s="43" t="inlineStr">
        <is>
          <t>10.9S</t>
        </is>
      </c>
      <c r="E994" s="43" t="n"/>
      <c r="F994" s="43" t="n"/>
      <c r="G994" s="43" t="n"/>
      <c r="H994" s="79">
        <f>(E994/1000)*(F994/1000)*(G994/1000)*7850</f>
        <v/>
      </c>
      <c r="I994" s="43" t="n">
        <v>508</v>
      </c>
      <c r="J994" s="80">
        <f>H994*I994</f>
        <v/>
      </c>
      <c r="K994" s="43" t="inlineStr">
        <is>
          <t>来源页105</t>
        </is>
      </c>
      <c r="L994" s="43">
        <f>A994</f>
        <v/>
      </c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43" t="n"/>
    </row>
    <row r="995">
      <c r="A995" s="43" t="inlineStr">
        <is>
          <t>K1</t>
        </is>
      </c>
      <c r="B995" s="43" t="inlineStr">
        <is>
          <t>下弦杆拼接</t>
        </is>
      </c>
      <c r="C995" s="43" t="inlineStr">
        <is>
          <t>节段14~节段15</t>
        </is>
      </c>
      <c r="D995" s="43" t="inlineStr">
        <is>
          <t>Q355D</t>
        </is>
      </c>
      <c r="E995" s="43" t="n">
        <v>1020</v>
      </c>
      <c r="F995" s="43" t="n">
        <v>1700</v>
      </c>
      <c r="G995" s="43" t="n">
        <v>24</v>
      </c>
      <c r="H995" s="79">
        <f>(E995/1000)*(F995/1000)*(G995/1000)*7850</f>
        <v/>
      </c>
      <c r="I995" s="43" t="n">
        <v>2</v>
      </c>
      <c r="J995" s="80">
        <f>H995*I995</f>
        <v/>
      </c>
      <c r="K995" s="43" t="inlineStr">
        <is>
          <t>来源页105</t>
        </is>
      </c>
      <c r="L995" s="43">
        <f>A995</f>
        <v/>
      </c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43" t="n"/>
    </row>
    <row r="996">
      <c r="A996" s="43" t="inlineStr">
        <is>
          <t>K2</t>
        </is>
      </c>
      <c r="B996" s="43" t="inlineStr">
        <is>
          <t>下弦杆拼接</t>
        </is>
      </c>
      <c r="C996" s="43" t="inlineStr">
        <is>
          <t>节段14~节段15</t>
        </is>
      </c>
      <c r="D996" s="43" t="inlineStr">
        <is>
          <t>Q355D</t>
        </is>
      </c>
      <c r="E996" s="43" t="n">
        <v>1020</v>
      </c>
      <c r="F996" s="43" t="n">
        <v>800</v>
      </c>
      <c r="G996" s="43" t="n">
        <v>24</v>
      </c>
      <c r="H996" s="79">
        <f>(E996/1000)*(F996/1000)*(G996/1000)*7850</f>
        <v/>
      </c>
      <c r="I996" s="43" t="n">
        <v>4</v>
      </c>
      <c r="J996" s="80">
        <f>H996*I996</f>
        <v/>
      </c>
      <c r="K996" s="43" t="inlineStr">
        <is>
          <t>来源页105</t>
        </is>
      </c>
      <c r="L996" s="43">
        <f>A996</f>
        <v/>
      </c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43" t="n"/>
    </row>
    <row r="997">
      <c r="A997" s="43" t="inlineStr">
        <is>
          <t>K3</t>
        </is>
      </c>
      <c r="B997" s="43" t="inlineStr">
        <is>
          <t>下弦杆拼接</t>
        </is>
      </c>
      <c r="C997" s="43" t="inlineStr">
        <is>
          <t>节段14~节段15</t>
        </is>
      </c>
      <c r="D997" s="43" t="inlineStr">
        <is>
          <t>Q355D</t>
        </is>
      </c>
      <c r="E997" s="43" t="n">
        <v>1320</v>
      </c>
      <c r="F997" s="43" t="n">
        <v>1100</v>
      </c>
      <c r="G997" s="43" t="n">
        <v>36</v>
      </c>
      <c r="H997" s="79">
        <f>(E997/1000)*(F997/1000)*(G997/1000)*7850</f>
        <v/>
      </c>
      <c r="I997" s="43" t="n">
        <v>1</v>
      </c>
      <c r="J997" s="80">
        <f>H997*I997</f>
        <v/>
      </c>
      <c r="K997" s="43" t="inlineStr">
        <is>
          <t>来源页105</t>
        </is>
      </c>
      <c r="L997" s="43">
        <f>A997</f>
        <v/>
      </c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43" t="n"/>
    </row>
    <row r="998">
      <c r="A998" s="43" t="inlineStr">
        <is>
          <t>K4</t>
        </is>
      </c>
      <c r="B998" s="43" t="inlineStr">
        <is>
          <t>下弦杆拼接</t>
        </is>
      </c>
      <c r="C998" s="43" t="inlineStr">
        <is>
          <t>节段14~节段15</t>
        </is>
      </c>
      <c r="D998" s="43" t="inlineStr">
        <is>
          <t>Q355D</t>
        </is>
      </c>
      <c r="E998" s="43" t="n">
        <v>1320</v>
      </c>
      <c r="F998" s="43" t="n">
        <v>400</v>
      </c>
      <c r="G998" s="43" t="n">
        <v>36</v>
      </c>
      <c r="H998" s="79">
        <f>(E998/1000)*(F998/1000)*(G998/1000)*7850</f>
        <v/>
      </c>
      <c r="I998" s="43" t="n">
        <v>2</v>
      </c>
      <c r="J998" s="80">
        <f>H998*I998</f>
        <v/>
      </c>
      <c r="K998" s="43" t="inlineStr">
        <is>
          <t>来源页105</t>
        </is>
      </c>
      <c r="L998" s="43">
        <f>A998</f>
        <v/>
      </c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43" t="n"/>
    </row>
    <row r="999">
      <c r="A999" s="43" t="inlineStr">
        <is>
          <t>K6</t>
        </is>
      </c>
      <c r="B999" s="43" t="inlineStr">
        <is>
          <t>下弦杆拼接</t>
        </is>
      </c>
      <c r="C999" s="43" t="inlineStr">
        <is>
          <t>节段14~节段15</t>
        </is>
      </c>
      <c r="D999" s="43" t="inlineStr">
        <is>
          <t>Q355D</t>
        </is>
      </c>
      <c r="E999" s="43" t="n">
        <v>500</v>
      </c>
      <c r="F999" s="43" t="n">
        <v>1700</v>
      </c>
      <c r="G999" s="43" t="n">
        <v>12</v>
      </c>
      <c r="H999" s="79">
        <f>(E999/1000)*(F999/1000)*(G999/1000)*7850</f>
        <v/>
      </c>
      <c r="I999" s="43" t="n">
        <v>2</v>
      </c>
      <c r="J999" s="80">
        <f>H999*I999</f>
        <v/>
      </c>
      <c r="K999" s="43" t="inlineStr">
        <is>
          <t>填板；来源页105</t>
        </is>
      </c>
      <c r="L999" s="43">
        <f>A999</f>
        <v/>
      </c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43" t="n"/>
    </row>
    <row r="1000">
      <c r="A1000" s="43" t="inlineStr">
        <is>
          <t>K7</t>
        </is>
      </c>
      <c r="B1000" s="43" t="inlineStr">
        <is>
          <t>下弦杆拼接</t>
        </is>
      </c>
      <c r="C1000" s="43" t="inlineStr">
        <is>
          <t>节段14~节段15</t>
        </is>
      </c>
      <c r="D1000" s="43" t="inlineStr">
        <is>
          <t>Q355D</t>
        </is>
      </c>
      <c r="E1000" s="43" t="n">
        <v>650</v>
      </c>
      <c r="F1000" s="43" t="n">
        <v>1100</v>
      </c>
      <c r="G1000" s="43" t="n">
        <v>4</v>
      </c>
      <c r="H1000" s="79">
        <f>(E1000/1000)*(F1000/1000)*(G1000/1000)*7850</f>
        <v/>
      </c>
      <c r="I1000" s="43" t="n">
        <v>0</v>
      </c>
      <c r="J1000" s="80">
        <f>H1000*I1000</f>
        <v/>
      </c>
      <c r="K1000" s="43" t="inlineStr">
        <is>
          <t>填板；来源页105</t>
        </is>
      </c>
      <c r="L1000" s="43">
        <f>A1000</f>
        <v/>
      </c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43" t="n"/>
    </row>
    <row r="1001">
      <c r="A1001" s="43" t="inlineStr">
        <is>
          <t>M30高强螺栓</t>
        </is>
      </c>
      <c r="B1001" s="43" t="inlineStr">
        <is>
          <t>下弦杆拼接</t>
        </is>
      </c>
      <c r="C1001" s="43" t="inlineStr">
        <is>
          <t>节段14~节段15</t>
        </is>
      </c>
      <c r="D1001" s="43" t="inlineStr">
        <is>
          <t>10.9S</t>
        </is>
      </c>
      <c r="E1001" s="43" t="n"/>
      <c r="F1001" s="43" t="n"/>
      <c r="G1001" s="43" t="n"/>
      <c r="H1001" s="79">
        <f>(E1001/1000)*(F1001/1000)*(G1001/1000)*7850</f>
        <v/>
      </c>
      <c r="I1001" s="43" t="n">
        <v>324</v>
      </c>
      <c r="J1001" s="80">
        <f>H1001*I1001</f>
        <v/>
      </c>
      <c r="K1001" s="43" t="inlineStr">
        <is>
          <t>来源页105</t>
        </is>
      </c>
      <c r="L1001" s="43">
        <f>A1001</f>
        <v/>
      </c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43" t="n"/>
    </row>
    <row r="1002">
      <c r="A1002" s="43" t="inlineStr">
        <is>
          <t>L1</t>
        </is>
      </c>
      <c r="B1002" s="43" t="inlineStr">
        <is>
          <t>腹杆拼接</t>
        </is>
      </c>
      <c r="C1002" s="43" t="inlineStr">
        <is>
          <t>节段14~节段15</t>
        </is>
      </c>
      <c r="D1002" s="43" t="inlineStr">
        <is>
          <t>Q355D</t>
        </is>
      </c>
      <c r="E1002" s="43" t="n">
        <v>1520</v>
      </c>
      <c r="F1002" s="43" t="n">
        <v>1100</v>
      </c>
      <c r="G1002" s="43" t="n">
        <v>24</v>
      </c>
      <c r="H1002" s="79">
        <f>(E1002/1000)*(F1002/1000)*(G1002/1000)*7850</f>
        <v/>
      </c>
      <c r="I1002" s="43" t="n">
        <v>2</v>
      </c>
      <c r="J1002" s="80">
        <f>H1002*I1002</f>
        <v/>
      </c>
      <c r="K1002" s="43" t="inlineStr">
        <is>
          <t>来源页105</t>
        </is>
      </c>
      <c r="L1002" s="43">
        <f>A1002</f>
        <v/>
      </c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43" t="n"/>
    </row>
    <row r="1003">
      <c r="A1003" s="43" t="inlineStr">
        <is>
          <t>L2</t>
        </is>
      </c>
      <c r="B1003" s="43" t="inlineStr">
        <is>
          <t>腹杆拼接</t>
        </is>
      </c>
      <c r="C1003" s="43" t="inlineStr">
        <is>
          <t>节段14~节段15</t>
        </is>
      </c>
      <c r="D1003" s="43" t="inlineStr">
        <is>
          <t>Q355D</t>
        </is>
      </c>
      <c r="E1003" s="43" t="n">
        <v>1520</v>
      </c>
      <c r="F1003" s="43" t="n">
        <v>500</v>
      </c>
      <c r="G1003" s="43" t="n">
        <v>24</v>
      </c>
      <c r="H1003" s="79">
        <f>(E1003/1000)*(F1003/1000)*(G1003/1000)*7850</f>
        <v/>
      </c>
      <c r="I1003" s="43" t="n">
        <v>4</v>
      </c>
      <c r="J1003" s="80">
        <f>H1003*I1003</f>
        <v/>
      </c>
      <c r="K1003" s="43" t="inlineStr">
        <is>
          <t>来源页105</t>
        </is>
      </c>
      <c r="L1003" s="43">
        <f>A1003</f>
        <v/>
      </c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43" t="n"/>
    </row>
    <row r="1004">
      <c r="A1004" s="43" t="inlineStr">
        <is>
          <t>L3</t>
        </is>
      </c>
      <c r="B1004" s="43" t="inlineStr">
        <is>
          <t>腹杆拼接</t>
        </is>
      </c>
      <c r="C1004" s="43" t="inlineStr">
        <is>
          <t>节段14~节段15</t>
        </is>
      </c>
      <c r="D1004" s="43" t="inlineStr">
        <is>
          <t>Q355D</t>
        </is>
      </c>
      <c r="E1004" s="43" t="n">
        <v>1320</v>
      </c>
      <c r="F1004" s="43" t="n">
        <v>1100</v>
      </c>
      <c r="G1004" s="43" t="n">
        <v>28</v>
      </c>
      <c r="H1004" s="79">
        <f>(E1004/1000)*(F1004/1000)*(G1004/1000)*7850</f>
        <v/>
      </c>
      <c r="I1004" s="43" t="n">
        <v>1</v>
      </c>
      <c r="J1004" s="80">
        <f>H1004*I1004</f>
        <v/>
      </c>
      <c r="K1004" s="43" t="inlineStr">
        <is>
          <t>来源页105</t>
        </is>
      </c>
      <c r="L1004" s="43">
        <f>A1004</f>
        <v/>
      </c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43" t="n"/>
    </row>
    <row r="1005">
      <c r="A1005" s="43" t="inlineStr">
        <is>
          <t>L4</t>
        </is>
      </c>
      <c r="B1005" s="43" t="inlineStr">
        <is>
          <t>腹杆拼接</t>
        </is>
      </c>
      <c r="C1005" s="43" t="inlineStr">
        <is>
          <t>节段14~节段15</t>
        </is>
      </c>
      <c r="D1005" s="43" t="inlineStr">
        <is>
          <t>Q355D</t>
        </is>
      </c>
      <c r="E1005" s="43" t="n">
        <v>1320</v>
      </c>
      <c r="F1005" s="43" t="n">
        <v>500</v>
      </c>
      <c r="G1005" s="43" t="n">
        <v>28</v>
      </c>
      <c r="H1005" s="79">
        <f>(E1005/1000)*(F1005/1000)*(G1005/1000)*7850</f>
        <v/>
      </c>
      <c r="I1005" s="43" t="n">
        <v>2</v>
      </c>
      <c r="J1005" s="80">
        <f>H1005*I1005</f>
        <v/>
      </c>
      <c r="K1005" s="43" t="inlineStr">
        <is>
          <t>来源页105</t>
        </is>
      </c>
      <c r="L1005" s="43">
        <f>A1005</f>
        <v/>
      </c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43" t="n"/>
    </row>
    <row r="1006">
      <c r="A1006" s="43" t="inlineStr">
        <is>
          <t>L5</t>
        </is>
      </c>
      <c r="B1006" s="43" t="inlineStr">
        <is>
          <t>腹杆拼接</t>
        </is>
      </c>
      <c r="C1006" s="43" t="inlineStr">
        <is>
          <t>节段14~节段15</t>
        </is>
      </c>
      <c r="D1006" s="43" t="inlineStr">
        <is>
          <t>Q355D</t>
        </is>
      </c>
      <c r="E1006" s="43" t="n">
        <v>1520</v>
      </c>
      <c r="F1006" s="43" t="n">
        <v>1100</v>
      </c>
      <c r="G1006" s="43" t="n">
        <v>44</v>
      </c>
      <c r="H1006" s="79">
        <f>(E1006/1000)*(F1006/1000)*(G1006/1000)*7850</f>
        <v/>
      </c>
      <c r="I1006" s="43" t="n">
        <v>1</v>
      </c>
      <c r="J1006" s="80">
        <f>H1006*I1006</f>
        <v/>
      </c>
      <c r="K1006" s="43" t="inlineStr">
        <is>
          <t>来源页105</t>
        </is>
      </c>
      <c r="L1006" s="43">
        <f>A1006</f>
        <v/>
      </c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43" t="n"/>
    </row>
    <row r="1007">
      <c r="A1007" s="43" t="inlineStr">
        <is>
          <t>L6</t>
        </is>
      </c>
      <c r="B1007" s="43" t="inlineStr">
        <is>
          <t>腹杆拼接</t>
        </is>
      </c>
      <c r="C1007" s="43" t="inlineStr">
        <is>
          <t>节段14~节段15</t>
        </is>
      </c>
      <c r="D1007" s="43" t="inlineStr">
        <is>
          <t>Q355D</t>
        </is>
      </c>
      <c r="E1007" s="43" t="n">
        <v>1520</v>
      </c>
      <c r="F1007" s="43" t="n">
        <v>240</v>
      </c>
      <c r="G1007" s="43" t="n">
        <v>44</v>
      </c>
      <c r="H1007" s="79">
        <f>(E1007/1000)*(F1007/1000)*(G1007/1000)*7850</f>
        <v/>
      </c>
      <c r="I1007" s="43" t="n">
        <v>2</v>
      </c>
      <c r="J1007" s="80">
        <f>H1007*I1007</f>
        <v/>
      </c>
      <c r="K1007" s="43" t="inlineStr">
        <is>
          <t>来源页105</t>
        </is>
      </c>
      <c r="L1007" s="43">
        <f>A1007</f>
        <v/>
      </c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43" t="n"/>
    </row>
    <row r="1008">
      <c r="A1008" s="43" t="inlineStr">
        <is>
          <t>L7</t>
        </is>
      </c>
      <c r="B1008" s="43" t="inlineStr">
        <is>
          <t>腹杆拼接</t>
        </is>
      </c>
      <c r="C1008" s="43" t="inlineStr">
        <is>
          <t>节段14~节段15</t>
        </is>
      </c>
      <c r="D1008" s="43" t="inlineStr">
        <is>
          <t>Q355D</t>
        </is>
      </c>
      <c r="E1008" s="43" t="n">
        <v>1220</v>
      </c>
      <c r="F1008" s="43" t="n">
        <v>240</v>
      </c>
      <c r="G1008" s="43" t="n">
        <v>24</v>
      </c>
      <c r="H1008" s="79">
        <f>(E1008/1000)*(F1008/1000)*(G1008/1000)*7850</f>
        <v/>
      </c>
      <c r="I1008" s="43" t="n">
        <v>4</v>
      </c>
      <c r="J1008" s="80">
        <f>H1008*I1008</f>
        <v/>
      </c>
      <c r="K1008" s="43" t="inlineStr">
        <is>
          <t>来源页105</t>
        </is>
      </c>
      <c r="L1008" s="43">
        <f>A1008</f>
        <v/>
      </c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43" t="n"/>
    </row>
    <row r="1009">
      <c r="A1009" s="43" t="inlineStr">
        <is>
          <t>L8</t>
        </is>
      </c>
      <c r="B1009" s="43" t="inlineStr">
        <is>
          <t>腹杆拼接</t>
        </is>
      </c>
      <c r="C1009" s="43" t="inlineStr">
        <is>
          <t>节段14~节段15</t>
        </is>
      </c>
      <c r="D1009" s="43" t="inlineStr">
        <is>
          <t>Q355D</t>
        </is>
      </c>
      <c r="E1009" s="43" t="n">
        <v>1320</v>
      </c>
      <c r="F1009" s="43" t="n">
        <v>240</v>
      </c>
      <c r="G1009" s="43" t="n">
        <v>24</v>
      </c>
      <c r="H1009" s="79">
        <f>(E1009/1000)*(F1009/1000)*(G1009/1000)*7850</f>
        <v/>
      </c>
      <c r="I1009" s="43" t="n">
        <v>2</v>
      </c>
      <c r="J1009" s="80">
        <f>H1009*I1009</f>
        <v/>
      </c>
      <c r="K1009" s="43" t="inlineStr">
        <is>
          <t>来源页105</t>
        </is>
      </c>
      <c r="L1009" s="43">
        <f>A1009</f>
        <v/>
      </c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43" t="n"/>
    </row>
    <row r="1010">
      <c r="A1010" s="43" t="inlineStr"/>
      <c r="B1010" s="43" t="inlineStr"/>
      <c r="C1010" s="43" t="inlineStr">
        <is>
          <t>节段14~节段15</t>
        </is>
      </c>
      <c r="D1010" s="43" t="inlineStr">
        <is>
          <t>Q355D</t>
        </is>
      </c>
      <c r="E1010" s="43" t="n"/>
      <c r="F1010" s="43" t="n"/>
      <c r="G1010" s="43" t="n">
        <v>44</v>
      </c>
      <c r="H1010" s="79">
        <f>(E1010/1000)*(F1010/1000)*(G1010/1000)*7850</f>
        <v/>
      </c>
      <c r="I1010" s="43" t="n">
        <v>1</v>
      </c>
      <c r="J1010" s="80">
        <f>H1010*I1010</f>
        <v/>
      </c>
      <c r="K1010" s="43" t="inlineStr">
        <is>
          <t>来源页106</t>
        </is>
      </c>
      <c r="L1010" s="43">
        <f>A1010</f>
        <v/>
      </c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43" t="n"/>
    </row>
    <row r="1011">
      <c r="A1011" s="43" t="inlineStr"/>
      <c r="B1011" s="43" t="inlineStr"/>
      <c r="C1011" s="43" t="inlineStr">
        <is>
          <t>节段14~节段15</t>
        </is>
      </c>
      <c r="D1011" s="43" t="inlineStr">
        <is>
          <t>Q355D</t>
        </is>
      </c>
      <c r="E1011" s="43" t="n"/>
      <c r="F1011" s="43" t="n"/>
      <c r="G1011" s="43" t="n">
        <v>36</v>
      </c>
      <c r="H1011" s="79">
        <f>(E1011/1000)*(F1011/1000)*(G1011/1000)*7850</f>
        <v/>
      </c>
      <c r="I1011" s="43" t="n">
        <v>1</v>
      </c>
      <c r="J1011" s="80">
        <f>H1011*I1011</f>
        <v/>
      </c>
      <c r="K1011" s="43" t="inlineStr">
        <is>
          <t>来源页106</t>
        </is>
      </c>
      <c r="L1011" s="43">
        <f>A1011</f>
        <v/>
      </c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43" t="n"/>
    </row>
    <row r="1012">
      <c r="A1012" s="43" t="inlineStr"/>
      <c r="B1012" s="43" t="inlineStr"/>
      <c r="C1012" s="43" t="inlineStr">
        <is>
          <t>节段14~节段15</t>
        </is>
      </c>
      <c r="D1012" s="43" t="inlineStr">
        <is>
          <t>Q355D</t>
        </is>
      </c>
      <c r="E1012" s="43" t="n"/>
      <c r="F1012" s="43" t="n"/>
      <c r="G1012" s="43" t="n">
        <v>32</v>
      </c>
      <c r="H1012" s="79">
        <f>(E1012/1000)*(F1012/1000)*(G1012/1000)*7850</f>
        <v/>
      </c>
      <c r="I1012" s="43" t="n">
        <v>1</v>
      </c>
      <c r="J1012" s="80">
        <f>H1012*I1012</f>
        <v/>
      </c>
      <c r="K1012" s="43" t="inlineStr">
        <is>
          <t>来源页106</t>
        </is>
      </c>
      <c r="L1012" s="43">
        <f>A1012</f>
        <v/>
      </c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43" t="n"/>
    </row>
    <row r="1013">
      <c r="A1013" s="43" t="inlineStr"/>
      <c r="B1013" s="43" t="inlineStr"/>
      <c r="C1013" s="43" t="inlineStr">
        <is>
          <t>节段14~节段15</t>
        </is>
      </c>
      <c r="D1013" s="43" t="inlineStr">
        <is>
          <t>Q355D</t>
        </is>
      </c>
      <c r="E1013" s="43" t="n"/>
      <c r="F1013" s="43" t="n"/>
      <c r="G1013" s="43" t="n">
        <v>28</v>
      </c>
      <c r="H1013" s="79">
        <f>(E1013/1000)*(F1013/1000)*(G1013/1000)*7850</f>
        <v/>
      </c>
      <c r="I1013" s="43" t="n">
        <v>1</v>
      </c>
      <c r="J1013" s="80">
        <f>H1013*I1013</f>
        <v/>
      </c>
      <c r="K1013" s="43" t="inlineStr">
        <is>
          <t>来源页106</t>
        </is>
      </c>
      <c r="L1013" s="43">
        <f>A1013</f>
        <v/>
      </c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43" t="n"/>
    </row>
    <row r="1014">
      <c r="A1014" s="43" t="inlineStr"/>
      <c r="B1014" s="43" t="inlineStr"/>
      <c r="C1014" s="43" t="inlineStr">
        <is>
          <t>节段14~节段15</t>
        </is>
      </c>
      <c r="D1014" s="43" t="inlineStr">
        <is>
          <t>Q355D</t>
        </is>
      </c>
      <c r="E1014" s="43" t="n"/>
      <c r="F1014" s="43" t="n"/>
      <c r="G1014" s="43" t="n">
        <v>24</v>
      </c>
      <c r="H1014" s="79">
        <f>(E1014/1000)*(F1014/1000)*(G1014/1000)*7850</f>
        <v/>
      </c>
      <c r="I1014" s="43" t="n">
        <v>1</v>
      </c>
      <c r="J1014" s="80">
        <f>H1014*I1014</f>
        <v/>
      </c>
      <c r="K1014" s="43" t="inlineStr">
        <is>
          <t>来源页106</t>
        </is>
      </c>
      <c r="L1014" s="43">
        <f>A1014</f>
        <v/>
      </c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43" t="n"/>
    </row>
    <row r="1015">
      <c r="A1015" s="43" t="inlineStr"/>
      <c r="B1015" s="43" t="inlineStr"/>
      <c r="C1015" s="43" t="inlineStr">
        <is>
          <t>节段14~节段15</t>
        </is>
      </c>
      <c r="D1015" s="43" t="inlineStr">
        <is>
          <t>Q355D</t>
        </is>
      </c>
      <c r="E1015" s="43" t="n"/>
      <c r="F1015" s="43" t="n"/>
      <c r="G1015" s="43" t="n">
        <v>20</v>
      </c>
      <c r="H1015" s="79">
        <f>(E1015/1000)*(F1015/1000)*(G1015/1000)*7850</f>
        <v/>
      </c>
      <c r="I1015" s="43" t="n">
        <v>1</v>
      </c>
      <c r="J1015" s="80">
        <f>H1015*I1015</f>
        <v/>
      </c>
      <c r="K1015" s="43" t="inlineStr">
        <is>
          <t>来源页106</t>
        </is>
      </c>
      <c r="L1015" s="43">
        <f>A1015</f>
        <v/>
      </c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43" t="n"/>
    </row>
    <row r="1016">
      <c r="A1016" s="43" t="inlineStr"/>
      <c r="B1016" s="43" t="inlineStr"/>
      <c r="C1016" s="43" t="inlineStr">
        <is>
          <t>节段14~节段15</t>
        </is>
      </c>
      <c r="D1016" s="43" t="inlineStr">
        <is>
          <t>Q355D</t>
        </is>
      </c>
      <c r="E1016" s="43" t="n"/>
      <c r="F1016" s="43" t="n"/>
      <c r="G1016" s="43" t="n">
        <v>12</v>
      </c>
      <c r="H1016" s="79">
        <f>(E1016/1000)*(F1016/1000)*(G1016/1000)*7850</f>
        <v/>
      </c>
      <c r="I1016" s="43" t="n">
        <v>1</v>
      </c>
      <c r="J1016" s="80">
        <f>H1016*I1016</f>
        <v/>
      </c>
      <c r="K1016" s="43" t="inlineStr">
        <is>
          <t>来源页106</t>
        </is>
      </c>
      <c r="L1016" s="43">
        <f>A1016</f>
        <v/>
      </c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43" t="n"/>
    </row>
    <row r="1017">
      <c r="A1017" s="43" t="inlineStr"/>
      <c r="B1017" s="43" t="inlineStr"/>
      <c r="C1017" s="43" t="inlineStr">
        <is>
          <t>节段14~节段15</t>
        </is>
      </c>
      <c r="D1017" s="43" t="inlineStr">
        <is>
          <t>Q355D</t>
        </is>
      </c>
      <c r="E1017" s="43" t="n"/>
      <c r="F1017" s="43" t="n"/>
      <c r="G1017" s="43" t="n">
        <v>8</v>
      </c>
      <c r="H1017" s="79">
        <f>(E1017/1000)*(F1017/1000)*(G1017/1000)*7850</f>
        <v/>
      </c>
      <c r="I1017" s="43" t="n">
        <v>1</v>
      </c>
      <c r="J1017" s="80">
        <f>H1017*I1017</f>
        <v/>
      </c>
      <c r="K1017" s="43" t="inlineStr">
        <is>
          <t>来源页106</t>
        </is>
      </c>
      <c r="L1017" s="43">
        <f>A1017</f>
        <v/>
      </c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43" t="n"/>
    </row>
    <row r="1018">
      <c r="A1018" s="43" t="inlineStr"/>
      <c r="B1018" s="43" t="inlineStr"/>
      <c r="C1018" s="43" t="inlineStr">
        <is>
          <t>节段14~节段15</t>
        </is>
      </c>
      <c r="D1018" s="43" t="inlineStr">
        <is>
          <t>Q355D</t>
        </is>
      </c>
      <c r="E1018" s="43" t="n"/>
      <c r="F1018" s="43" t="n"/>
      <c r="G1018" s="43" t="n">
        <v>4</v>
      </c>
      <c r="H1018" s="79">
        <f>(E1018/1000)*(F1018/1000)*(G1018/1000)*7850</f>
        <v/>
      </c>
      <c r="I1018" s="43" t="n">
        <v>1</v>
      </c>
      <c r="J1018" s="80">
        <f>H1018*I1018</f>
        <v/>
      </c>
      <c r="K1018" s="43" t="inlineStr">
        <is>
          <t>来源页106</t>
        </is>
      </c>
      <c r="L1018" s="43">
        <f>A1018</f>
        <v/>
      </c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43" t="n"/>
    </row>
    <row r="1019">
      <c r="A1019" s="43" t="inlineStr"/>
      <c r="B1019" s="43" t="inlineStr"/>
      <c r="C1019" s="43" t="inlineStr">
        <is>
          <t>节段14~节段15</t>
        </is>
      </c>
      <c r="D1019" s="43" t="inlineStr">
        <is>
          <t>10.9S高强螺栓</t>
        </is>
      </c>
      <c r="E1019" s="43" t="n"/>
      <c r="F1019" s="43" t="n"/>
      <c r="G1019" s="43" t="n"/>
      <c r="H1019" s="79">
        <f>(E1019/1000)*(F1019/1000)*(G1019/1000)*7850</f>
        <v/>
      </c>
      <c r="I1019" s="43" t="n">
        <v>1</v>
      </c>
      <c r="J1019" s="80">
        <f>H1019*I1019</f>
        <v/>
      </c>
      <c r="K1019" s="43" t="inlineStr">
        <is>
          <t>来源页106</t>
        </is>
      </c>
      <c r="L1019" s="43">
        <f>A1019</f>
        <v/>
      </c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43" t="n"/>
    </row>
    <row r="1020">
      <c r="A1020" s="43" t="inlineStr"/>
      <c r="B1020" s="43" t="inlineStr"/>
      <c r="C1020" s="43" t="inlineStr">
        <is>
          <t>节段14~节段15</t>
        </is>
      </c>
      <c r="D1020" s="43" t="inlineStr">
        <is>
          <t>10.9S高强螺栓</t>
        </is>
      </c>
      <c r="E1020" s="43" t="n"/>
      <c r="F1020" s="43" t="n"/>
      <c r="G1020" s="43" t="n"/>
      <c r="H1020" s="79">
        <f>(E1020/1000)*(F1020/1000)*(G1020/1000)*7850</f>
        <v/>
      </c>
      <c r="I1020" s="43" t="n">
        <v>1</v>
      </c>
      <c r="J1020" s="80">
        <f>H1020*I1020</f>
        <v/>
      </c>
      <c r="K1020" s="43" t="inlineStr">
        <is>
          <t>来源页106</t>
        </is>
      </c>
      <c r="L1020" s="43">
        <f>A1020</f>
        <v/>
      </c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43" t="n"/>
    </row>
    <row r="1021">
      <c r="A1021" s="43" t="inlineStr">
        <is>
          <t>N11a</t>
        </is>
      </c>
      <c r="B1021" s="43" t="inlineStr">
        <is>
          <t>上弦顶板</t>
        </is>
      </c>
      <c r="C1021" s="43" t="inlineStr">
        <is>
          <t>节段15</t>
        </is>
      </c>
      <c r="D1021" s="43" t="inlineStr">
        <is>
          <t>Q420D</t>
        </is>
      </c>
      <c r="E1021" s="43" t="n"/>
      <c r="F1021" s="43" t="n"/>
      <c r="G1021" s="43" t="n">
        <v>40</v>
      </c>
      <c r="H1021" s="79">
        <f>(E1021/1000)*(F1021/1000)*(G1021/1000)*7850</f>
        <v/>
      </c>
      <c r="I1021" s="43" t="n">
        <v>1</v>
      </c>
      <c r="J1021" s="80">
        <f>H1021*I1021</f>
        <v/>
      </c>
      <c r="K1021" s="43" t="inlineStr">
        <is>
          <t>来源页106</t>
        </is>
      </c>
      <c r="L1021" s="43">
        <f>A1021</f>
        <v/>
      </c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43" t="n"/>
    </row>
    <row r="1022">
      <c r="A1022" s="43" t="inlineStr">
        <is>
          <t>N11b</t>
        </is>
      </c>
      <c r="B1022" s="43" t="inlineStr">
        <is>
          <t>上弦顶板</t>
        </is>
      </c>
      <c r="C1022" s="43" t="inlineStr">
        <is>
          <t>节段15</t>
        </is>
      </c>
      <c r="D1022" s="43" t="inlineStr">
        <is>
          <t>Q355D</t>
        </is>
      </c>
      <c r="E1022" s="43" t="n"/>
      <c r="F1022" s="43" t="n"/>
      <c r="G1022" s="43" t="n">
        <v>24</v>
      </c>
      <c r="H1022" s="79">
        <f>(E1022/1000)*(F1022/1000)*(G1022/1000)*7850</f>
        <v/>
      </c>
      <c r="I1022" s="43" t="n">
        <v>1</v>
      </c>
      <c r="J1022" s="80">
        <f>H1022*I1022</f>
        <v/>
      </c>
      <c r="K1022" s="43" t="inlineStr">
        <is>
          <t>来源页106</t>
        </is>
      </c>
      <c r="L1022" s="43">
        <f>A1022</f>
        <v/>
      </c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43" t="n"/>
    </row>
    <row r="1023">
      <c r="A1023" s="43" t="inlineStr">
        <is>
          <t>N12α</t>
        </is>
      </c>
      <c r="B1023" s="43" t="inlineStr">
        <is>
          <t>上弦底板</t>
        </is>
      </c>
      <c r="C1023" s="43" t="inlineStr">
        <is>
          <t>节段15</t>
        </is>
      </c>
      <c r="D1023" s="43" t="inlineStr">
        <is>
          <t>Q420D</t>
        </is>
      </c>
      <c r="E1023" s="43" t="n">
        <v>7900</v>
      </c>
      <c r="F1023" s="43" t="n">
        <v>1200</v>
      </c>
      <c r="G1023" s="43" t="n">
        <v>40</v>
      </c>
      <c r="H1023" s="79">
        <f>(E1023/1000)*(F1023/1000)*(G1023/1000)*7850</f>
        <v/>
      </c>
      <c r="I1023" s="43" t="n">
        <v>1</v>
      </c>
      <c r="J1023" s="80">
        <f>H1023*I1023</f>
        <v/>
      </c>
      <c r="K1023" s="43" t="inlineStr">
        <is>
          <t>来源页106</t>
        </is>
      </c>
      <c r="L1023" s="43">
        <f>A1023</f>
        <v/>
      </c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43" t="n"/>
    </row>
    <row r="1024">
      <c r="A1024" s="43" t="inlineStr">
        <is>
          <t>N12b</t>
        </is>
      </c>
      <c r="B1024" s="43" t="inlineStr">
        <is>
          <t>上弦底板</t>
        </is>
      </c>
      <c r="C1024" s="43" t="inlineStr">
        <is>
          <t>节段15</t>
        </is>
      </c>
      <c r="D1024" s="43" t="inlineStr">
        <is>
          <t>Q355D</t>
        </is>
      </c>
      <c r="E1024" s="43" t="n">
        <v>7100</v>
      </c>
      <c r="F1024" s="43" t="n">
        <v>1200</v>
      </c>
      <c r="G1024" s="43" t="n">
        <v>24</v>
      </c>
      <c r="H1024" s="79">
        <f>(E1024/1000)*(F1024/1000)*(G1024/1000)*7850</f>
        <v/>
      </c>
      <c r="I1024" s="43" t="n">
        <v>1</v>
      </c>
      <c r="J1024" s="80">
        <f>H1024*I1024</f>
        <v/>
      </c>
      <c r="K1024" s="43" t="inlineStr">
        <is>
          <t>来源页106</t>
        </is>
      </c>
      <c r="L1024" s="43">
        <f>A1024</f>
        <v/>
      </c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43" t="n"/>
    </row>
    <row r="1025">
      <c r="A1025" s="43" t="inlineStr">
        <is>
          <t>N13</t>
        </is>
      </c>
      <c r="B1025" s="43" t="inlineStr">
        <is>
          <t>上弦节点板</t>
        </is>
      </c>
      <c r="C1025" s="43" t="inlineStr">
        <is>
          <t>节段15</t>
        </is>
      </c>
      <c r="D1025" s="43" t="inlineStr">
        <is>
          <t>Q420D</t>
        </is>
      </c>
      <c r="E1025" s="43" t="n"/>
      <c r="F1025" s="43" t="n"/>
      <c r="G1025" s="43" t="n">
        <v>48</v>
      </c>
      <c r="H1025" s="79">
        <f>(E1025/1000)*(F1025/1000)*(G1025/1000)*7850</f>
        <v/>
      </c>
      <c r="I1025" s="43" t="n">
        <v>2</v>
      </c>
      <c r="J1025" s="80">
        <f>H1025*I1025</f>
        <v/>
      </c>
      <c r="K1025" s="43" t="inlineStr">
        <is>
          <t>来源页106</t>
        </is>
      </c>
      <c r="L1025" s="43">
        <f>A1025</f>
        <v/>
      </c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43" t="n"/>
    </row>
    <row r="1026">
      <c r="A1026" s="43" t="inlineStr">
        <is>
          <t>N14</t>
        </is>
      </c>
      <c r="B1026" s="43" t="inlineStr">
        <is>
          <t>上弦腹板</t>
        </is>
      </c>
      <c r="C1026" s="43" t="inlineStr">
        <is>
          <t>节段15</t>
        </is>
      </c>
      <c r="D1026" s="43" t="inlineStr">
        <is>
          <t>Q355D</t>
        </is>
      </c>
      <c r="E1026" s="43" t="n">
        <v>7300</v>
      </c>
      <c r="F1026" s="43" t="n">
        <v>2048</v>
      </c>
      <c r="G1026" s="43" t="n">
        <v>32</v>
      </c>
      <c r="H1026" s="79">
        <f>(E1026/1000)*(F1026/1000)*(G1026/1000)*7850</f>
        <v/>
      </c>
      <c r="I1026" s="43" t="n">
        <v>2</v>
      </c>
      <c r="J1026" s="80">
        <f>H1026*I1026</f>
        <v/>
      </c>
      <c r="K1026" s="43" t="inlineStr">
        <is>
          <t>来源页106</t>
        </is>
      </c>
      <c r="L1026" s="43">
        <f>A1026</f>
        <v/>
      </c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43" t="n"/>
    </row>
    <row r="1027">
      <c r="A1027" s="43" t="inlineStr">
        <is>
          <t>N15</t>
        </is>
      </c>
      <c r="B1027" s="43" t="inlineStr">
        <is>
          <t>上弦横隔板</t>
        </is>
      </c>
      <c r="C1027" s="43" t="inlineStr">
        <is>
          <t>节段15</t>
        </is>
      </c>
      <c r="D1027" s="43" t="inlineStr">
        <is>
          <t>Q355D</t>
        </is>
      </c>
      <c r="E1027" s="43" t="n">
        <v>1960</v>
      </c>
      <c r="F1027" s="43" t="n">
        <v>1200</v>
      </c>
      <c r="G1027" s="43" t="n">
        <v>16</v>
      </c>
      <c r="H1027" s="79">
        <f>(E1027/1000)*(F1027/1000)*(G1027/1000)*7850</f>
        <v/>
      </c>
      <c r="I1027" s="43" t="n">
        <v>3</v>
      </c>
      <c r="J1027" s="80">
        <f>H1027*I1027</f>
        <v/>
      </c>
      <c r="K1027" s="43" t="inlineStr">
        <is>
          <t>来源页106</t>
        </is>
      </c>
      <c r="L1027" s="43">
        <f>A1027</f>
        <v/>
      </c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43" t="n"/>
    </row>
    <row r="1028">
      <c r="A1028" s="43" t="inlineStr">
        <is>
          <t>N15α</t>
        </is>
      </c>
      <c r="B1028" s="43" t="inlineStr">
        <is>
          <t>上弦横隔板</t>
        </is>
      </c>
      <c r="C1028" s="43" t="inlineStr">
        <is>
          <t>节段15</t>
        </is>
      </c>
      <c r="D1028" s="43" t="inlineStr">
        <is>
          <t>Q355D</t>
        </is>
      </c>
      <c r="E1028" s="43" t="n">
        <v>1976</v>
      </c>
      <c r="F1028" s="43" t="n">
        <v>1200</v>
      </c>
      <c r="G1028" s="43" t="n">
        <v>16</v>
      </c>
      <c r="H1028" s="79">
        <f>(E1028/1000)*(F1028/1000)*(G1028/1000)*7850</f>
        <v/>
      </c>
      <c r="I1028" s="43" t="n">
        <v>2</v>
      </c>
      <c r="J1028" s="80">
        <f>H1028*I1028</f>
        <v/>
      </c>
      <c r="K1028" s="43" t="inlineStr">
        <is>
          <t>来源页106</t>
        </is>
      </c>
      <c r="L1028" s="43">
        <f>A1028</f>
        <v/>
      </c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43" t="n"/>
    </row>
    <row r="1029">
      <c r="A1029" s="43" t="inlineStr">
        <is>
          <t>N15 ‘</t>
        </is>
      </c>
      <c r="B1029" s="43" t="inlineStr">
        <is>
          <t>上弦横隔板</t>
        </is>
      </c>
      <c r="C1029" s="43" t="inlineStr">
        <is>
          <t>节段15</t>
        </is>
      </c>
      <c r="D1029" s="43" t="inlineStr">
        <is>
          <t>Q355D</t>
        </is>
      </c>
      <c r="E1029" s="43" t="n">
        <v>2057</v>
      </c>
      <c r="F1029" s="43" t="n">
        <v>200</v>
      </c>
      <c r="G1029" s="43" t="n">
        <v>16</v>
      </c>
      <c r="H1029" s="79">
        <f>(E1029/1000)*(F1029/1000)*(G1029/1000)*7850</f>
        <v/>
      </c>
      <c r="I1029" s="43" t="n">
        <v>3</v>
      </c>
      <c r="J1029" s="80">
        <f>H1029*I1029</f>
        <v/>
      </c>
      <c r="K1029" s="43" t="inlineStr">
        <is>
          <t>来源页106</t>
        </is>
      </c>
      <c r="L1029" s="43">
        <f>A1029</f>
        <v/>
      </c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43" t="n"/>
    </row>
    <row r="1030">
      <c r="A1030" s="43" t="inlineStr">
        <is>
          <t>N15b</t>
        </is>
      </c>
      <c r="B1030" s="43" t="inlineStr">
        <is>
          <t>上弦横隔板</t>
        </is>
      </c>
      <c r="C1030" s="43" t="inlineStr">
        <is>
          <t>节段15</t>
        </is>
      </c>
      <c r="D1030" s="43" t="inlineStr">
        <is>
          <t>Q355B</t>
        </is>
      </c>
      <c r="E1030" s="43" t="n">
        <v>2057</v>
      </c>
      <c r="F1030" s="43" t="n">
        <v>40</v>
      </c>
      <c r="G1030" s="43" t="n">
        <v>4</v>
      </c>
      <c r="H1030" s="79">
        <f>(E1030/1000)*(F1030/1000)*(G1030/1000)*7850</f>
        <v/>
      </c>
      <c r="I1030" s="43" t="n">
        <v>4</v>
      </c>
      <c r="J1030" s="80">
        <f>H1030*I1030</f>
        <v/>
      </c>
      <c r="K1030" s="43" t="inlineStr">
        <is>
          <t>来源页106</t>
        </is>
      </c>
      <c r="L1030" s="43">
        <f>A1030</f>
        <v/>
      </c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43" t="n"/>
    </row>
    <row r="1031">
      <c r="A1031" s="43" t="inlineStr">
        <is>
          <t>N15c</t>
        </is>
      </c>
      <c r="B1031" s="43" t="inlineStr">
        <is>
          <t>上弦横隔板</t>
        </is>
      </c>
      <c r="C1031" s="43" t="inlineStr">
        <is>
          <t>节段15</t>
        </is>
      </c>
      <c r="D1031" s="43" t="inlineStr">
        <is>
          <t>Q355D</t>
        </is>
      </c>
      <c r="E1031" s="43" t="n">
        <v>800</v>
      </c>
      <c r="F1031" s="43" t="n">
        <v>400</v>
      </c>
      <c r="G1031" s="43" t="n">
        <v>16</v>
      </c>
      <c r="H1031" s="79">
        <f>(E1031/1000)*(F1031/1000)*(G1031/1000)*7850</f>
        <v/>
      </c>
      <c r="I1031" s="43" t="n">
        <v>4</v>
      </c>
      <c r="J1031" s="80">
        <f>H1031*I1031</f>
        <v/>
      </c>
      <c r="K1031" s="43" t="inlineStr">
        <is>
          <t>来源页106</t>
        </is>
      </c>
      <c r="L1031" s="43">
        <f>A1031</f>
        <v/>
      </c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43" t="n"/>
    </row>
    <row r="1032">
      <c r="A1032" s="43" t="inlineStr">
        <is>
          <t>N21α</t>
        </is>
      </c>
      <c r="B1032" s="43" t="inlineStr">
        <is>
          <t>下弦顶板</t>
        </is>
      </c>
      <c r="C1032" s="43" t="inlineStr">
        <is>
          <t>节段15</t>
        </is>
      </c>
      <c r="D1032" s="43" t="inlineStr">
        <is>
          <t>Q355D</t>
        </is>
      </c>
      <c r="E1032" s="43" t="n">
        <v>7900</v>
      </c>
      <c r="F1032" s="43" t="n">
        <v>2500</v>
      </c>
      <c r="G1032" s="43" t="n">
        <v>24</v>
      </c>
      <c r="H1032" s="79">
        <f>(E1032/1000)*(F1032/1000)*(G1032/1000)*7850</f>
        <v/>
      </c>
      <c r="I1032" s="43" t="n">
        <v>1</v>
      </c>
      <c r="J1032" s="80">
        <f>H1032*I1032</f>
        <v/>
      </c>
      <c r="K1032" s="43" t="inlineStr">
        <is>
          <t>来源页106</t>
        </is>
      </c>
      <c r="L1032" s="43">
        <f>A1032</f>
        <v/>
      </c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43" t="n"/>
    </row>
    <row r="1033">
      <c r="A1033" s="43" t="inlineStr">
        <is>
          <t>N21b</t>
        </is>
      </c>
      <c r="B1033" s="43" t="inlineStr">
        <is>
          <t>下弦顶板</t>
        </is>
      </c>
      <c r="C1033" s="43" t="inlineStr">
        <is>
          <t>节段15</t>
        </is>
      </c>
      <c r="D1033" s="43" t="inlineStr">
        <is>
          <t>Q355D</t>
        </is>
      </c>
      <c r="E1033" s="43" t="n">
        <v>7100</v>
      </c>
      <c r="F1033" s="43" t="n">
        <v>2500</v>
      </c>
      <c r="G1033" s="43" t="n">
        <v>24</v>
      </c>
      <c r="H1033" s="79">
        <f>(E1033/1000)*(F1033/1000)*(G1033/1000)*7850</f>
        <v/>
      </c>
      <c r="I1033" s="43" t="n">
        <v>1</v>
      </c>
      <c r="J1033" s="80">
        <f>H1033*I1033</f>
        <v/>
      </c>
      <c r="K1033" s="43" t="inlineStr">
        <is>
          <t>来源页106</t>
        </is>
      </c>
      <c r="L1033" s="43">
        <f>A1033</f>
        <v/>
      </c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43" t="n"/>
    </row>
    <row r="1034">
      <c r="A1034" s="43" t="inlineStr">
        <is>
          <t>N22α</t>
        </is>
      </c>
      <c r="B1034" s="43" t="inlineStr">
        <is>
          <t>下弦底板</t>
        </is>
      </c>
      <c r="C1034" s="43" t="inlineStr">
        <is>
          <t>节段15</t>
        </is>
      </c>
      <c r="D1034" s="43" t="inlineStr">
        <is>
          <t>Q355D</t>
        </is>
      </c>
      <c r="E1034" s="43" t="n"/>
      <c r="F1034" s="43" t="n"/>
      <c r="G1034" s="43" t="n">
        <v>24</v>
      </c>
      <c r="H1034" s="79">
        <f>(E1034/1000)*(F1034/1000)*(G1034/1000)*7850</f>
        <v/>
      </c>
      <c r="I1034" s="43" t="n">
        <v>1</v>
      </c>
      <c r="J1034" s="80">
        <f>H1034*I1034</f>
        <v/>
      </c>
      <c r="K1034" s="43" t="inlineStr">
        <is>
          <t>来源页106</t>
        </is>
      </c>
      <c r="L1034" s="43">
        <f>A1034</f>
        <v/>
      </c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43" t="n"/>
    </row>
    <row r="1035">
      <c r="A1035" s="43" t="inlineStr">
        <is>
          <t>N22b</t>
        </is>
      </c>
      <c r="B1035" s="43" t="inlineStr">
        <is>
          <t>下弦底板</t>
        </is>
      </c>
      <c r="C1035" s="43" t="inlineStr">
        <is>
          <t>节段15</t>
        </is>
      </c>
      <c r="D1035" s="43" t="inlineStr">
        <is>
          <t>Q355D</t>
        </is>
      </c>
      <c r="E1035" s="43" t="n"/>
      <c r="F1035" s="43" t="n"/>
      <c r="G1035" s="43" t="n">
        <v>24</v>
      </c>
      <c r="H1035" s="79">
        <f>(E1035/1000)*(F1035/1000)*(G1035/1000)*7850</f>
        <v/>
      </c>
      <c r="I1035" s="43" t="n">
        <v>1</v>
      </c>
      <c r="J1035" s="80">
        <f>H1035*I1035</f>
        <v/>
      </c>
      <c r="K1035" s="43" t="inlineStr">
        <is>
          <t>来源页106</t>
        </is>
      </c>
      <c r="L1035" s="43">
        <f>A1035</f>
        <v/>
      </c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43" t="n"/>
    </row>
    <row r="1036">
      <c r="A1036" s="43" t="inlineStr">
        <is>
          <t>N23</t>
        </is>
      </c>
      <c r="B1036" s="43" t="inlineStr">
        <is>
          <t>下弦节点板</t>
        </is>
      </c>
      <c r="C1036" s="43" t="inlineStr">
        <is>
          <t>节段15</t>
        </is>
      </c>
      <c r="D1036" s="43" t="inlineStr">
        <is>
          <t>Q355D</t>
        </is>
      </c>
      <c r="E1036" s="43" t="n"/>
      <c r="F1036" s="43" t="n"/>
      <c r="G1036" s="43" t="n">
        <v>44</v>
      </c>
      <c r="H1036" s="79">
        <f>(E1036/1000)*(F1036/1000)*(G1036/1000)*7850</f>
        <v/>
      </c>
      <c r="I1036" s="43" t="n">
        <v>2</v>
      </c>
      <c r="J1036" s="80">
        <f>H1036*I1036</f>
        <v/>
      </c>
      <c r="K1036" s="43" t="inlineStr">
        <is>
          <t>Z35钢；来源页106</t>
        </is>
      </c>
      <c r="L1036" s="43">
        <f>A1036</f>
        <v/>
      </c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43" t="n"/>
    </row>
    <row r="1037">
      <c r="A1037" s="43" t="inlineStr">
        <is>
          <t>N24</t>
        </is>
      </c>
      <c r="B1037" s="43" t="inlineStr">
        <is>
          <t>下弦腹板</t>
        </is>
      </c>
      <c r="C1037" s="43" t="inlineStr">
        <is>
          <t>节段15</t>
        </is>
      </c>
      <c r="D1037" s="43" t="inlineStr">
        <is>
          <t>Q355D</t>
        </is>
      </c>
      <c r="E1037" s="43" t="n">
        <v>7300</v>
      </c>
      <c r="F1037" s="43" t="n">
        <v>1880</v>
      </c>
      <c r="G1037" s="43" t="n">
        <v>32</v>
      </c>
      <c r="H1037" s="79">
        <f>(E1037/1000)*(F1037/1000)*(G1037/1000)*7850</f>
        <v/>
      </c>
      <c r="I1037" s="43" t="n">
        <v>2</v>
      </c>
      <c r="J1037" s="80">
        <f>H1037*I1037</f>
        <v/>
      </c>
      <c r="K1037" s="43" t="inlineStr">
        <is>
          <t>来源页106</t>
        </is>
      </c>
      <c r="L1037" s="43">
        <f>A1037</f>
        <v/>
      </c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43" t="n"/>
    </row>
    <row r="1038">
      <c r="A1038" s="43" t="inlineStr">
        <is>
          <t>N25</t>
        </is>
      </c>
      <c r="B1038" s="43" t="inlineStr">
        <is>
          <t>下弦横隔板</t>
        </is>
      </c>
      <c r="C1038" s="43" t="inlineStr">
        <is>
          <t>节段15</t>
        </is>
      </c>
      <c r="D1038" s="43" t="inlineStr">
        <is>
          <t>Q355D</t>
        </is>
      </c>
      <c r="E1038" s="43" t="n">
        <v>1800</v>
      </c>
      <c r="F1038" s="43" t="n">
        <v>1200</v>
      </c>
      <c r="G1038" s="43" t="n">
        <v>16</v>
      </c>
      <c r="H1038" s="79">
        <f>(E1038/1000)*(F1038/1000)*(G1038/1000)*7850</f>
        <v/>
      </c>
      <c r="I1038" s="43" t="n">
        <v>3</v>
      </c>
      <c r="J1038" s="80">
        <f>H1038*I1038</f>
        <v/>
      </c>
      <c r="K1038" s="43" t="inlineStr">
        <is>
          <t>来源页106</t>
        </is>
      </c>
      <c r="L1038" s="43">
        <f>A1038</f>
        <v/>
      </c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43" t="n"/>
    </row>
    <row r="1039">
      <c r="A1039" s="43" t="inlineStr">
        <is>
          <t>N25a</t>
        </is>
      </c>
      <c r="B1039" s="43" t="inlineStr">
        <is>
          <t>下弦横隔板</t>
        </is>
      </c>
      <c r="C1039" s="43" t="inlineStr">
        <is>
          <t>节段15</t>
        </is>
      </c>
      <c r="D1039" s="43" t="inlineStr">
        <is>
          <t>Q355D</t>
        </is>
      </c>
      <c r="E1039" s="43" t="n">
        <v>1800</v>
      </c>
      <c r="F1039" s="43" t="n">
        <v>1200</v>
      </c>
      <c r="G1039" s="43" t="n">
        <v>16</v>
      </c>
      <c r="H1039" s="79">
        <f>(E1039/1000)*(F1039/1000)*(G1039/1000)*7850</f>
        <v/>
      </c>
      <c r="I1039" s="43" t="n">
        <v>2</v>
      </c>
      <c r="J1039" s="80">
        <f>H1039*I1039</f>
        <v/>
      </c>
      <c r="K1039" s="43" t="inlineStr">
        <is>
          <t>来源页106</t>
        </is>
      </c>
      <c r="L1039" s="43">
        <f>A1039</f>
        <v/>
      </c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43" t="n"/>
    </row>
    <row r="1040">
      <c r="A1040" s="43" t="inlineStr">
        <is>
          <t>N25'</t>
        </is>
      </c>
      <c r="B1040" s="43" t="inlineStr">
        <is>
          <t>下弦横隔板</t>
        </is>
      </c>
      <c r="C1040" s="43" t="inlineStr">
        <is>
          <t>节段15</t>
        </is>
      </c>
      <c r="D1040" s="43" t="inlineStr">
        <is>
          <t>Q355D</t>
        </is>
      </c>
      <c r="E1040" s="43" t="n">
        <v>2057</v>
      </c>
      <c r="F1040" s="43" t="n">
        <v>200</v>
      </c>
      <c r="G1040" s="43" t="n">
        <v>16</v>
      </c>
      <c r="H1040" s="79">
        <f>(E1040/1000)*(F1040/1000)*(G1040/1000)*7850</f>
        <v/>
      </c>
      <c r="I1040" s="43" t="n">
        <v>5</v>
      </c>
      <c r="J1040" s="80">
        <f>H1040*I1040</f>
        <v/>
      </c>
      <c r="K1040" s="43" t="inlineStr">
        <is>
          <t>来源页106</t>
        </is>
      </c>
      <c r="L1040" s="43">
        <f>A1040</f>
        <v/>
      </c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43" t="n"/>
    </row>
    <row r="1041">
      <c r="A1041" s="43" t="inlineStr">
        <is>
          <t>N26a</t>
        </is>
      </c>
      <c r="B1041" s="43" t="inlineStr">
        <is>
          <t>下弦加劲肋</t>
        </is>
      </c>
      <c r="C1041" s="43" t="inlineStr">
        <is>
          <t>节段15</t>
        </is>
      </c>
      <c r="D1041" s="43" t="inlineStr">
        <is>
          <t>Q355D</t>
        </is>
      </c>
      <c r="E1041" s="43" t="n">
        <v>7900</v>
      </c>
      <c r="F1041" s="43" t="n">
        <v>280</v>
      </c>
      <c r="G1041" s="43" t="n">
        <v>24</v>
      </c>
      <c r="H1041" s="79">
        <f>(E1041/1000)*(F1041/1000)*(G1041/1000)*7850</f>
        <v/>
      </c>
      <c r="I1041" s="43" t="n">
        <v>4</v>
      </c>
      <c r="J1041" s="80">
        <f>H1041*I1041</f>
        <v/>
      </c>
      <c r="K1041" s="43" t="inlineStr">
        <is>
          <t>来源页106</t>
        </is>
      </c>
      <c r="L1041" s="43">
        <f>A1041</f>
        <v/>
      </c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43" t="n"/>
    </row>
    <row r="1042">
      <c r="A1042" s="43" t="inlineStr">
        <is>
          <t>N26b</t>
        </is>
      </c>
      <c r="B1042" s="43" t="inlineStr">
        <is>
          <t>下弦加劲肋</t>
        </is>
      </c>
      <c r="C1042" s="43" t="inlineStr">
        <is>
          <t>节段15</t>
        </is>
      </c>
      <c r="D1042" s="43" t="inlineStr">
        <is>
          <t>Q355D</t>
        </is>
      </c>
      <c r="E1042" s="43" t="n">
        <v>7100</v>
      </c>
      <c r="F1042" s="43" t="n">
        <v>320</v>
      </c>
      <c r="G1042" s="43" t="n">
        <v>32</v>
      </c>
      <c r="H1042" s="79">
        <f>(E1042/1000)*(F1042/1000)*(G1042/1000)*7850</f>
        <v/>
      </c>
      <c r="I1042" s="43" t="n">
        <v>4</v>
      </c>
      <c r="J1042" s="80">
        <f>H1042*I1042</f>
        <v/>
      </c>
      <c r="K1042" s="43" t="inlineStr">
        <is>
          <t>来源页106</t>
        </is>
      </c>
      <c r="L1042" s="43">
        <f>A1042</f>
        <v/>
      </c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43" t="n"/>
    </row>
    <row r="1043">
      <c r="A1043" s="43" t="inlineStr">
        <is>
          <t>N26c</t>
        </is>
      </c>
      <c r="B1043" s="43" t="inlineStr">
        <is>
          <t>下弦加劲肋</t>
        </is>
      </c>
      <c r="C1043" s="43" t="inlineStr">
        <is>
          <t>节段15</t>
        </is>
      </c>
      <c r="D1043" s="43" t="inlineStr">
        <is>
          <t>Q355D</t>
        </is>
      </c>
      <c r="E1043" s="43" t="n">
        <v>15000</v>
      </c>
      <c r="F1043" s="43" t="n">
        <v>170</v>
      </c>
      <c r="G1043" s="43" t="n">
        <v>14</v>
      </c>
      <c r="H1043" s="79">
        <f>(E1043/1000)*(F1043/1000)*(G1043/1000)*7850</f>
        <v/>
      </c>
      <c r="I1043" s="43" t="n">
        <v>2</v>
      </c>
      <c r="J1043" s="80">
        <f>H1043*I1043</f>
        <v/>
      </c>
      <c r="K1043" s="43" t="inlineStr">
        <is>
          <t>来源页106</t>
        </is>
      </c>
      <c r="L1043" s="43">
        <f>A1043</f>
        <v/>
      </c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43" t="n"/>
    </row>
    <row r="1044">
      <c r="A1044" s="43" t="inlineStr">
        <is>
          <t>N31</t>
        </is>
      </c>
      <c r="B1044" s="43" t="inlineStr">
        <is>
          <t>斜腹杆</t>
        </is>
      </c>
      <c r="C1044" s="43" t="inlineStr">
        <is>
          <t>节段15</t>
        </is>
      </c>
      <c r="D1044" s="43" t="inlineStr">
        <is>
          <t>Q355D</t>
        </is>
      </c>
      <c r="E1044" s="43" t="n">
        <v>11322</v>
      </c>
      <c r="F1044" s="43" t="n">
        <v>1200</v>
      </c>
      <c r="G1044" s="43" t="n">
        <v>36</v>
      </c>
      <c r="H1044" s="79">
        <f>(E1044/1000)*(F1044/1000)*(G1044/1000)*7850</f>
        <v/>
      </c>
      <c r="I1044" s="43" t="n">
        <v>1</v>
      </c>
      <c r="J1044" s="80">
        <f>H1044*I1044</f>
        <v/>
      </c>
      <c r="K1044" s="43" t="inlineStr">
        <is>
          <t>来源页106</t>
        </is>
      </c>
      <c r="L1044" s="43">
        <f>A1044</f>
        <v/>
      </c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43" t="n"/>
    </row>
    <row r="1045">
      <c r="A1045" s="43" t="inlineStr">
        <is>
          <t>N31a</t>
        </is>
      </c>
      <c r="B1045" s="43" t="inlineStr">
        <is>
          <t>斜腹杆</t>
        </is>
      </c>
      <c r="C1045" s="43" t="inlineStr">
        <is>
          <t>节段15</t>
        </is>
      </c>
      <c r="D1045" s="43" t="inlineStr">
        <is>
          <t>Q355D</t>
        </is>
      </c>
      <c r="E1045" s="43" t="n">
        <v>11222</v>
      </c>
      <c r="F1045" s="43" t="n">
        <v>1200</v>
      </c>
      <c r="G1045" s="43" t="n">
        <v>36</v>
      </c>
      <c r="H1045" s="79">
        <f>(E1045/1000)*(F1045/1000)*(G1045/1000)*7850</f>
        <v/>
      </c>
      <c r="I1045" s="43" t="n">
        <v>1</v>
      </c>
      <c r="J1045" s="80">
        <f>H1045*I1045</f>
        <v/>
      </c>
      <c r="K1045" s="43" t="inlineStr">
        <is>
          <t>来源页106</t>
        </is>
      </c>
      <c r="L1045" s="43">
        <f>A1045</f>
        <v/>
      </c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43" t="n"/>
    </row>
    <row r="1046">
      <c r="A1046" s="43" t="inlineStr">
        <is>
          <t>N32</t>
        </is>
      </c>
      <c r="B1046" s="43" t="inlineStr">
        <is>
          <t>斜腹杆</t>
        </is>
      </c>
      <c r="C1046" s="43" t="inlineStr">
        <is>
          <t>节段15</t>
        </is>
      </c>
      <c r="D1046" s="43" t="inlineStr">
        <is>
          <t>Q355D</t>
        </is>
      </c>
      <c r="E1046" s="43" t="n">
        <v>7322</v>
      </c>
      <c r="F1046" s="43" t="n">
        <v>1360</v>
      </c>
      <c r="G1046" s="43" t="n">
        <v>36</v>
      </c>
      <c r="H1046" s="79">
        <f>(E1046/1000)*(F1046/1000)*(G1046/1000)*7850</f>
        <v/>
      </c>
      <c r="I1046" s="43" t="n">
        <v>2</v>
      </c>
      <c r="J1046" s="80">
        <f>H1046*I1046</f>
        <v/>
      </c>
      <c r="K1046" s="43" t="inlineStr">
        <is>
          <t>来源页106</t>
        </is>
      </c>
      <c r="L1046" s="43">
        <f>A1046</f>
        <v/>
      </c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43" t="n"/>
    </row>
    <row r="1047">
      <c r="A1047" s="43" t="inlineStr">
        <is>
          <t>N33</t>
        </is>
      </c>
      <c r="B1047" s="43" t="inlineStr">
        <is>
          <t>斜腹杆</t>
        </is>
      </c>
      <c r="C1047" s="43" t="inlineStr">
        <is>
          <t>节段15</t>
        </is>
      </c>
      <c r="D1047" s="43" t="inlineStr">
        <is>
          <t>Q355D</t>
        </is>
      </c>
      <c r="E1047" s="43" t="n">
        <v>7322</v>
      </c>
      <c r="F1047" s="43" t="n">
        <v>320</v>
      </c>
      <c r="G1047" s="43" t="n">
        <v>32</v>
      </c>
      <c r="H1047" s="79">
        <f>(E1047/1000)*(F1047/1000)*(G1047/1000)*7850</f>
        <v/>
      </c>
      <c r="I1047" s="43" t="n">
        <v>2</v>
      </c>
      <c r="J1047" s="80">
        <f>H1047*I1047</f>
        <v/>
      </c>
      <c r="K1047" s="43" t="inlineStr">
        <is>
          <t>来源页106</t>
        </is>
      </c>
      <c r="L1047" s="43">
        <f>A1047</f>
        <v/>
      </c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43" t="n"/>
    </row>
    <row r="1048">
      <c r="A1048" s="43" t="inlineStr">
        <is>
          <t>N33a</t>
        </is>
      </c>
      <c r="B1048" s="43" t="inlineStr">
        <is>
          <t>斜腹杆</t>
        </is>
      </c>
      <c r="C1048" s="43" t="inlineStr">
        <is>
          <t>节段15</t>
        </is>
      </c>
      <c r="D1048" s="43" t="inlineStr">
        <is>
          <t>Q355D</t>
        </is>
      </c>
      <c r="E1048" s="43" t="n">
        <v>9922</v>
      </c>
      <c r="F1048" s="43" t="n">
        <v>320</v>
      </c>
      <c r="G1048" s="43" t="n">
        <v>32</v>
      </c>
      <c r="H1048" s="79">
        <f>(E1048/1000)*(F1048/1000)*(G1048/1000)*7850</f>
        <v/>
      </c>
      <c r="I1048" s="43" t="n">
        <v>1</v>
      </c>
      <c r="J1048" s="80">
        <f>H1048*I1048</f>
        <v/>
      </c>
      <c r="K1048" s="43" t="inlineStr">
        <is>
          <t>来源页106</t>
        </is>
      </c>
      <c r="L1048" s="43">
        <f>A1048</f>
        <v/>
      </c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43" t="n"/>
    </row>
    <row r="1049">
      <c r="A1049" s="43" t="inlineStr">
        <is>
          <t>N33b</t>
        </is>
      </c>
      <c r="B1049" s="43" t="inlineStr">
        <is>
          <t>斜腹杆</t>
        </is>
      </c>
      <c r="C1049" s="43" t="inlineStr">
        <is>
          <t>节段15</t>
        </is>
      </c>
      <c r="D1049" s="43" t="inlineStr">
        <is>
          <t>Q355D</t>
        </is>
      </c>
      <c r="E1049" s="43" t="n">
        <v>9822</v>
      </c>
      <c r="F1049" s="43" t="n">
        <v>320</v>
      </c>
      <c r="G1049" s="43" t="n">
        <v>32</v>
      </c>
      <c r="H1049" s="79">
        <f>(E1049/1000)*(F1049/1000)*(G1049/1000)*7850</f>
        <v/>
      </c>
      <c r="I1049" s="43" t="n">
        <v>1</v>
      </c>
      <c r="J1049" s="80">
        <f>H1049*I1049</f>
        <v/>
      </c>
      <c r="K1049" s="43" t="inlineStr">
        <is>
          <t>来源页106</t>
        </is>
      </c>
      <c r="L1049" s="43">
        <f>A1049</f>
        <v/>
      </c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43" t="n"/>
    </row>
    <row r="1050">
      <c r="A1050" s="43" t="inlineStr">
        <is>
          <t>N34</t>
        </is>
      </c>
      <c r="B1050" s="43" t="inlineStr">
        <is>
          <t>斜腹杆</t>
        </is>
      </c>
      <c r="C1050" s="43" t="inlineStr">
        <is>
          <t>节段15</t>
        </is>
      </c>
      <c r="D1050" s="43" t="inlineStr">
        <is>
          <t>Q355D</t>
        </is>
      </c>
      <c r="E1050" s="43" t="n">
        <v>1200</v>
      </c>
      <c r="F1050" s="43" t="n">
        <v>1200</v>
      </c>
      <c r="G1050" s="43" t="n">
        <v>16</v>
      </c>
      <c r="H1050" s="79">
        <f>(E1050/1000)*(F1050/1000)*(G1050/1000)*7850</f>
        <v/>
      </c>
      <c r="I1050" s="43" t="n">
        <v>3</v>
      </c>
      <c r="J1050" s="80">
        <f>H1050*I1050</f>
        <v/>
      </c>
      <c r="K1050" s="43" t="inlineStr">
        <is>
          <t>来源页106</t>
        </is>
      </c>
      <c r="L1050" s="43">
        <f>A1050</f>
        <v/>
      </c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43" t="n"/>
    </row>
    <row r="1051">
      <c r="A1051" s="43" t="inlineStr">
        <is>
          <t>N41</t>
        </is>
      </c>
      <c r="B1051" s="43" t="inlineStr">
        <is>
          <t>斜腹杆</t>
        </is>
      </c>
      <c r="C1051" s="43" t="inlineStr">
        <is>
          <t>节段15</t>
        </is>
      </c>
      <c r="D1051" s="43" t="inlineStr">
        <is>
          <t>Q355D</t>
        </is>
      </c>
      <c r="E1051" s="43" t="n">
        <v>5440</v>
      </c>
      <c r="F1051" s="43" t="n">
        <v>1200</v>
      </c>
      <c r="G1051" s="43" t="n">
        <v>48</v>
      </c>
      <c r="H1051" s="79">
        <f>(E1051/1000)*(F1051/1000)*(G1051/1000)*7850</f>
        <v/>
      </c>
      <c r="I1051" s="43" t="n">
        <v>1</v>
      </c>
      <c r="J1051" s="80">
        <f>H1051*I1051</f>
        <v/>
      </c>
      <c r="K1051" s="43" t="inlineStr">
        <is>
          <t>来源页106</t>
        </is>
      </c>
      <c r="L1051" s="43">
        <f>A1051</f>
        <v/>
      </c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43" t="n"/>
    </row>
    <row r="1052">
      <c r="A1052" s="43" t="inlineStr">
        <is>
          <t>N41α</t>
        </is>
      </c>
      <c r="B1052" s="43" t="inlineStr">
        <is>
          <t>斜腹杆</t>
        </is>
      </c>
      <c r="C1052" s="43" t="inlineStr">
        <is>
          <t>节段15</t>
        </is>
      </c>
      <c r="D1052" s="43" t="inlineStr">
        <is>
          <t>Q355D</t>
        </is>
      </c>
      <c r="E1052" s="43" t="n">
        <v>5740</v>
      </c>
      <c r="F1052" s="43" t="n">
        <v>1200</v>
      </c>
      <c r="G1052" s="43" t="n">
        <v>48</v>
      </c>
      <c r="H1052" s="79">
        <f>(E1052/1000)*(F1052/1000)*(G1052/1000)*7850</f>
        <v/>
      </c>
      <c r="I1052" s="43" t="n">
        <v>1</v>
      </c>
      <c r="J1052" s="80">
        <f>H1052*I1052</f>
        <v/>
      </c>
      <c r="K1052" s="43" t="inlineStr">
        <is>
          <t>来源页106</t>
        </is>
      </c>
      <c r="L1052" s="43">
        <f>A1052</f>
        <v/>
      </c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43" t="n"/>
    </row>
    <row r="1053">
      <c r="A1053" s="43" t="inlineStr">
        <is>
          <t>N42</t>
        </is>
      </c>
      <c r="B1053" s="43" t="inlineStr">
        <is>
          <t>斜腹杆</t>
        </is>
      </c>
      <c r="C1053" s="43" t="inlineStr">
        <is>
          <t>节段15</t>
        </is>
      </c>
      <c r="D1053" s="43" t="inlineStr">
        <is>
          <t>Q355D</t>
        </is>
      </c>
      <c r="E1053" s="43" t="n">
        <v>3640</v>
      </c>
      <c r="F1053" s="43" t="n">
        <v>1760</v>
      </c>
      <c r="G1053" s="43" t="n">
        <v>48</v>
      </c>
      <c r="H1053" s="79">
        <f>(E1053/1000)*(F1053/1000)*(G1053/1000)*7850</f>
        <v/>
      </c>
      <c r="I1053" s="43" t="n">
        <v>2</v>
      </c>
      <c r="J1053" s="80">
        <f>H1053*I1053</f>
        <v/>
      </c>
      <c r="K1053" s="43" t="inlineStr">
        <is>
          <t>来源页106</t>
        </is>
      </c>
      <c r="L1053" s="43">
        <f>A1053</f>
        <v/>
      </c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43" t="n"/>
    </row>
    <row r="1054">
      <c r="A1054" s="43" t="inlineStr">
        <is>
          <t>N43</t>
        </is>
      </c>
      <c r="B1054" s="43" t="inlineStr">
        <is>
          <t>斜腹杆</t>
        </is>
      </c>
      <c r="C1054" s="43" t="inlineStr">
        <is>
          <t>节段15</t>
        </is>
      </c>
      <c r="D1054" s="43" t="inlineStr">
        <is>
          <t>Q355D</t>
        </is>
      </c>
      <c r="E1054" s="43" t="n">
        <v>3640</v>
      </c>
      <c r="F1054" s="43" t="n">
        <v>320</v>
      </c>
      <c r="G1054" s="43" t="n">
        <v>32</v>
      </c>
      <c r="H1054" s="79">
        <f>(E1054/1000)*(F1054/1000)*(G1054/1000)*7850</f>
        <v/>
      </c>
      <c r="I1054" s="43" t="n">
        <v>4</v>
      </c>
      <c r="J1054" s="80">
        <f>H1054*I1054</f>
        <v/>
      </c>
      <c r="K1054" s="43" t="inlineStr">
        <is>
          <t>来源页106</t>
        </is>
      </c>
      <c r="L1054" s="43">
        <f>A1054</f>
        <v/>
      </c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43" t="n"/>
    </row>
    <row r="1055">
      <c r="A1055" s="43" t="inlineStr">
        <is>
          <t>N43a</t>
        </is>
      </c>
      <c r="B1055" s="43" t="inlineStr">
        <is>
          <t>斜腹杆</t>
        </is>
      </c>
      <c r="C1055" s="43" t="inlineStr">
        <is>
          <t>节段15</t>
        </is>
      </c>
      <c r="D1055" s="43" t="inlineStr">
        <is>
          <t>Q355D</t>
        </is>
      </c>
      <c r="E1055" s="43" t="n">
        <v>4740</v>
      </c>
      <c r="F1055" s="43" t="n">
        <v>320</v>
      </c>
      <c r="G1055" s="43" t="n">
        <v>32</v>
      </c>
      <c r="H1055" s="79">
        <f>(E1055/1000)*(F1055/1000)*(G1055/1000)*7850</f>
        <v/>
      </c>
      <c r="I1055" s="43" t="n">
        <v>1</v>
      </c>
      <c r="J1055" s="80">
        <f>H1055*I1055</f>
        <v/>
      </c>
      <c r="K1055" s="43" t="inlineStr">
        <is>
          <t>来源页106</t>
        </is>
      </c>
      <c r="L1055" s="43">
        <f>A1055</f>
        <v/>
      </c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43" t="n"/>
    </row>
    <row r="1056">
      <c r="A1056" s="43" t="inlineStr">
        <is>
          <t>N43b</t>
        </is>
      </c>
      <c r="B1056" s="43" t="inlineStr">
        <is>
          <t>斜腹杆</t>
        </is>
      </c>
      <c r="C1056" s="43" t="inlineStr">
        <is>
          <t>节段15</t>
        </is>
      </c>
      <c r="D1056" s="43" t="inlineStr">
        <is>
          <t>Q355D</t>
        </is>
      </c>
      <c r="E1056" s="43" t="n">
        <v>5040</v>
      </c>
      <c r="F1056" s="43" t="n">
        <v>320</v>
      </c>
      <c r="G1056" s="43" t="n">
        <v>32</v>
      </c>
      <c r="H1056" s="79">
        <f>(E1056/1000)*(F1056/1000)*(G1056/1000)*7850</f>
        <v/>
      </c>
      <c r="I1056" s="43" t="n">
        <v>1</v>
      </c>
      <c r="J1056" s="80">
        <f>H1056*I1056</f>
        <v/>
      </c>
      <c r="K1056" s="43" t="inlineStr">
        <is>
          <t>来源页106</t>
        </is>
      </c>
      <c r="L1056" s="43">
        <f>A1056</f>
        <v/>
      </c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43" t="n"/>
    </row>
    <row r="1057">
      <c r="A1057" s="43" t="inlineStr">
        <is>
          <t>N44</t>
        </is>
      </c>
      <c r="B1057" s="43" t="inlineStr">
        <is>
          <t>斜腹杆</t>
        </is>
      </c>
      <c r="C1057" s="43" t="inlineStr">
        <is>
          <t>节段15</t>
        </is>
      </c>
      <c r="D1057" s="43" t="inlineStr">
        <is>
          <t>Q355D</t>
        </is>
      </c>
      <c r="E1057" s="43" t="n">
        <v>1200</v>
      </c>
      <c r="F1057" s="43" t="n">
        <v>1600</v>
      </c>
      <c r="G1057" s="43" t="n">
        <v>16</v>
      </c>
      <c r="H1057" s="79">
        <f>(E1057/1000)*(F1057/1000)*(G1057/1000)*7850</f>
        <v/>
      </c>
      <c r="I1057" s="43" t="n">
        <v>2</v>
      </c>
      <c r="J1057" s="80">
        <f>H1057*I1057</f>
        <v/>
      </c>
      <c r="K1057" s="43" t="inlineStr">
        <is>
          <t>来源页106</t>
        </is>
      </c>
      <c r="L1057" s="43">
        <f>A1057</f>
        <v/>
      </c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43" t="n"/>
    </row>
    <row r="1058">
      <c r="A1058" s="43" t="inlineStr">
        <is>
          <t>N5 1</t>
        </is>
      </c>
      <c r="B1058" s="43" t="inlineStr">
        <is>
          <t>节点板加劲</t>
        </is>
      </c>
      <c r="C1058" s="43" t="inlineStr">
        <is>
          <t>节段15</t>
        </is>
      </c>
      <c r="D1058" s="43" t="inlineStr">
        <is>
          <t>Q355D</t>
        </is>
      </c>
      <c r="E1058" s="43" t="n">
        <v>5858</v>
      </c>
      <c r="F1058" s="43" t="n">
        <v>1200</v>
      </c>
      <c r="G1058" s="43" t="n">
        <v>48</v>
      </c>
      <c r="H1058" s="79">
        <f>(E1058/1000)*(F1058/1000)*(G1058/1000)*7850</f>
        <v/>
      </c>
      <c r="I1058" s="43" t="n">
        <v>1</v>
      </c>
      <c r="J1058" s="80">
        <f>H1058*I1058</f>
        <v/>
      </c>
      <c r="K1058" s="43" t="inlineStr">
        <is>
          <t>来源页106</t>
        </is>
      </c>
      <c r="L1058" s="43">
        <f>A1058</f>
        <v/>
      </c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43" t="n"/>
    </row>
    <row r="1059">
      <c r="A1059" s="43" t="inlineStr">
        <is>
          <t>N51α</t>
        </is>
      </c>
      <c r="B1059" s="43" t="inlineStr">
        <is>
          <t>节点板加劲</t>
        </is>
      </c>
      <c r="C1059" s="43" t="inlineStr">
        <is>
          <t>节段15</t>
        </is>
      </c>
      <c r="D1059" s="43" t="inlineStr">
        <is>
          <t>Q355D</t>
        </is>
      </c>
      <c r="E1059" s="43" t="n">
        <v>5458</v>
      </c>
      <c r="F1059" s="43" t="n">
        <v>1200</v>
      </c>
      <c r="G1059" s="43" t="n">
        <v>48</v>
      </c>
      <c r="H1059" s="79">
        <f>(E1059/1000)*(F1059/1000)*(G1059/1000)*7850</f>
        <v/>
      </c>
      <c r="I1059" s="43" t="n">
        <v>1</v>
      </c>
      <c r="J1059" s="80">
        <f>H1059*I1059</f>
        <v/>
      </c>
      <c r="K1059" s="43" t="inlineStr">
        <is>
          <t>来源页106</t>
        </is>
      </c>
      <c r="L1059" s="43">
        <f>A1059</f>
        <v/>
      </c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43" t="n"/>
    </row>
    <row r="1060">
      <c r="A1060" s="43" t="inlineStr">
        <is>
          <t>N52</t>
        </is>
      </c>
      <c r="B1060" s="43" t="inlineStr">
        <is>
          <t>节点板加劲</t>
        </is>
      </c>
      <c r="C1060" s="43" t="inlineStr">
        <is>
          <t>节段15</t>
        </is>
      </c>
      <c r="D1060" s="43" t="inlineStr">
        <is>
          <t>Q355D</t>
        </is>
      </c>
      <c r="E1060" s="43" t="n">
        <v>3658</v>
      </c>
      <c r="F1060" s="43" t="n">
        <v>1360</v>
      </c>
      <c r="G1060" s="43" t="n">
        <v>48</v>
      </c>
      <c r="H1060" s="79">
        <f>(E1060/1000)*(F1060/1000)*(G1060/1000)*7850</f>
        <v/>
      </c>
      <c r="I1060" s="43" t="n">
        <v>2</v>
      </c>
      <c r="J1060" s="80">
        <f>H1060*I1060</f>
        <v/>
      </c>
      <c r="K1060" s="43" t="inlineStr">
        <is>
          <t>来源页106</t>
        </is>
      </c>
      <c r="L1060" s="43">
        <f>A1060</f>
        <v/>
      </c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43" t="n"/>
    </row>
    <row r="1061">
      <c r="A1061" s="43" t="inlineStr">
        <is>
          <t>N53</t>
        </is>
      </c>
      <c r="B1061" s="43" t="inlineStr">
        <is>
          <t>节点板加劲</t>
        </is>
      </c>
      <c r="C1061" s="43" t="inlineStr">
        <is>
          <t>节段15</t>
        </is>
      </c>
      <c r="D1061" s="43" t="inlineStr">
        <is>
          <t>Q355D</t>
        </is>
      </c>
      <c r="E1061" s="43" t="n">
        <v>3658</v>
      </c>
      <c r="F1061" s="43" t="n">
        <v>320</v>
      </c>
      <c r="G1061" s="43" t="n">
        <v>32</v>
      </c>
      <c r="H1061" s="79">
        <f>(E1061/1000)*(F1061/1000)*(G1061/1000)*7850</f>
        <v/>
      </c>
      <c r="I1061" s="43" t="n">
        <v>2</v>
      </c>
      <c r="J1061" s="80">
        <f>H1061*I1061</f>
        <v/>
      </c>
      <c r="K1061" s="43" t="inlineStr">
        <is>
          <t>来源页106</t>
        </is>
      </c>
      <c r="L1061" s="43">
        <f>A1061</f>
        <v/>
      </c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43" t="n"/>
    </row>
    <row r="1062">
      <c r="A1062" s="43" t="inlineStr">
        <is>
          <t>N53a</t>
        </is>
      </c>
      <c r="B1062" s="43" t="inlineStr">
        <is>
          <t>节点板加劲</t>
        </is>
      </c>
      <c r="C1062" s="43" t="inlineStr">
        <is>
          <t>节段15</t>
        </is>
      </c>
      <c r="D1062" s="43" t="inlineStr">
        <is>
          <t>Q355D</t>
        </is>
      </c>
      <c r="E1062" s="43" t="n">
        <v>5158</v>
      </c>
      <c r="F1062" s="43" t="n">
        <v>320</v>
      </c>
      <c r="G1062" s="43" t="n">
        <v>32</v>
      </c>
      <c r="H1062" s="79">
        <f>(E1062/1000)*(F1062/1000)*(G1062/1000)*7850</f>
        <v/>
      </c>
      <c r="I1062" s="43" t="n">
        <v>1</v>
      </c>
      <c r="J1062" s="80">
        <f>H1062*I1062</f>
        <v/>
      </c>
      <c r="K1062" s="43" t="inlineStr">
        <is>
          <t>来源页106</t>
        </is>
      </c>
      <c r="L1062" s="43">
        <f>A1062</f>
        <v/>
      </c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43" t="n"/>
    </row>
    <row r="1063">
      <c r="A1063" s="43" t="inlineStr">
        <is>
          <t>N53b</t>
        </is>
      </c>
      <c r="B1063" s="43" t="inlineStr">
        <is>
          <t>节点板加劲</t>
        </is>
      </c>
      <c r="C1063" s="43" t="inlineStr">
        <is>
          <t>节段15</t>
        </is>
      </c>
      <c r="D1063" s="43" t="inlineStr">
        <is>
          <t>Q355D</t>
        </is>
      </c>
      <c r="E1063" s="43" t="n">
        <v>4758</v>
      </c>
      <c r="F1063" s="43" t="n">
        <v>320</v>
      </c>
      <c r="G1063" s="43" t="n">
        <v>32</v>
      </c>
      <c r="H1063" s="79">
        <f>(E1063/1000)*(F1063/1000)*(G1063/1000)*7850</f>
        <v/>
      </c>
      <c r="I1063" s="43" t="n">
        <v>1</v>
      </c>
      <c r="J1063" s="80">
        <f>H1063*I1063</f>
        <v/>
      </c>
      <c r="K1063" s="43" t="inlineStr">
        <is>
          <t>来源页106</t>
        </is>
      </c>
      <c r="L1063" s="43">
        <f>A1063</f>
        <v/>
      </c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43" t="n"/>
    </row>
    <row r="1064">
      <c r="A1064" s="43" t="inlineStr">
        <is>
          <t>N54</t>
        </is>
      </c>
      <c r="B1064" s="43" t="inlineStr">
        <is>
          <t>节点板加劲</t>
        </is>
      </c>
      <c r="C1064" s="43" t="inlineStr">
        <is>
          <t>节段15</t>
        </is>
      </c>
      <c r="D1064" s="43" t="inlineStr">
        <is>
          <t>Q355D</t>
        </is>
      </c>
      <c r="E1064" s="43" t="n">
        <v>1200</v>
      </c>
      <c r="F1064" s="43" t="n">
        <v>1200</v>
      </c>
      <c r="G1064" s="43" t="n">
        <v>16</v>
      </c>
      <c r="H1064" s="79">
        <f>(E1064/1000)*(F1064/1000)*(G1064/1000)*7850</f>
        <v/>
      </c>
      <c r="I1064" s="43" t="n">
        <v>2</v>
      </c>
      <c r="J1064" s="80">
        <f>H1064*I1064</f>
        <v/>
      </c>
      <c r="K1064" s="43" t="inlineStr">
        <is>
          <t>来源页106</t>
        </is>
      </c>
      <c r="L1064" s="43">
        <f>A1064</f>
        <v/>
      </c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43" t="n"/>
    </row>
    <row r="1065">
      <c r="A1065" s="43" t="inlineStr">
        <is>
          <t>N56</t>
        </is>
      </c>
      <c r="B1065" s="43" t="inlineStr">
        <is>
          <t>节点板加劲</t>
        </is>
      </c>
      <c r="C1065" s="43" t="inlineStr">
        <is>
          <t>节段15</t>
        </is>
      </c>
      <c r="D1065" s="43" t="inlineStr">
        <is>
          <t>Q355D</t>
        </is>
      </c>
      <c r="E1065" s="43" t="n">
        <v>2200</v>
      </c>
      <c r="F1065" s="43" t="n">
        <v>320</v>
      </c>
      <c r="G1065" s="43" t="n">
        <v>32</v>
      </c>
      <c r="H1065" s="79">
        <f>(E1065/1000)*(F1065/1000)*(G1065/1000)*7850</f>
        <v/>
      </c>
      <c r="I1065" s="43" t="n">
        <v>4</v>
      </c>
      <c r="J1065" s="80">
        <f>H1065*I1065</f>
        <v/>
      </c>
      <c r="K1065" s="43" t="inlineStr">
        <is>
          <t>来源页106</t>
        </is>
      </c>
      <c r="L1065" s="43">
        <f>A1065</f>
        <v/>
      </c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43" t="n"/>
    </row>
    <row r="1066">
      <c r="A1066" s="43" t="inlineStr">
        <is>
          <t>N61a</t>
        </is>
      </c>
      <c r="B1066" s="43" t="inlineStr">
        <is>
          <t>横梁接头</t>
        </is>
      </c>
      <c r="C1066" s="43" t="inlineStr">
        <is>
          <t>节段15</t>
        </is>
      </c>
      <c r="D1066" s="43" t="inlineStr">
        <is>
          <t>Q355D</t>
        </is>
      </c>
      <c r="E1066" s="43" t="n">
        <v>1976</v>
      </c>
      <c r="F1066" s="43" t="n">
        <v>618</v>
      </c>
      <c r="G1066" s="43" t="n">
        <v>14</v>
      </c>
      <c r="H1066" s="79">
        <f>(E1066/1000)*(F1066/1000)*(G1066/1000)*7850</f>
        <v/>
      </c>
      <c r="I1066" s="43" t="n">
        <v>4</v>
      </c>
      <c r="J1066" s="80">
        <f>H1066*I1066</f>
        <v/>
      </c>
      <c r="K1066" s="43" t="inlineStr">
        <is>
          <t>来源页106</t>
        </is>
      </c>
      <c r="L1066" s="43">
        <f>A1066</f>
        <v/>
      </c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43" t="n"/>
    </row>
    <row r="1067">
      <c r="A1067" s="43" t="inlineStr">
        <is>
          <t>N62</t>
        </is>
      </c>
      <c r="B1067" s="43" t="inlineStr">
        <is>
          <t>横梁接头</t>
        </is>
      </c>
      <c r="C1067" s="43" t="inlineStr">
        <is>
          <t>节段15</t>
        </is>
      </c>
      <c r="D1067" s="43" t="inlineStr">
        <is>
          <t>Q355D</t>
        </is>
      </c>
      <c r="E1067" s="43" t="n"/>
      <c r="F1067" s="43" t="n"/>
      <c r="G1067" s="43" t="n">
        <v>24</v>
      </c>
      <c r="H1067" s="79">
        <f>(E1067/1000)*(F1067/1000)*(G1067/1000)*7850</f>
        <v/>
      </c>
      <c r="I1067" s="43" t="n">
        <v>6</v>
      </c>
      <c r="J1067" s="80">
        <f>H1067*I1067</f>
        <v/>
      </c>
      <c r="K1067" s="43" t="inlineStr">
        <is>
          <t>来源页106</t>
        </is>
      </c>
      <c r="L1067" s="43">
        <f>A1067</f>
        <v/>
      </c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43" t="n"/>
    </row>
    <row r="1068">
      <c r="A1068" s="43" t="inlineStr">
        <is>
          <t>N62a</t>
        </is>
      </c>
      <c r="B1068" s="43" t="inlineStr">
        <is>
          <t>横梁接头</t>
        </is>
      </c>
      <c r="C1068" s="43" t="inlineStr">
        <is>
          <t>节段15</t>
        </is>
      </c>
      <c r="D1068" s="43" t="inlineStr">
        <is>
          <t>Q355D</t>
        </is>
      </c>
      <c r="E1068" s="43" t="n"/>
      <c r="F1068" s="43" t="n"/>
      <c r="G1068" s="43" t="n">
        <v>24</v>
      </c>
      <c r="H1068" s="79">
        <f>(E1068/1000)*(F1068/1000)*(G1068/1000)*7850</f>
        <v/>
      </c>
      <c r="I1068" s="43" t="n">
        <v>4</v>
      </c>
      <c r="J1068" s="80">
        <f>H1068*I1068</f>
        <v/>
      </c>
      <c r="K1068" s="43" t="inlineStr">
        <is>
          <t>来源页106</t>
        </is>
      </c>
      <c r="L1068" s="43">
        <f>A1068</f>
        <v/>
      </c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43" t="n"/>
    </row>
    <row r="1069">
      <c r="A1069" s="43" t="inlineStr">
        <is>
          <t>N63a</t>
        </is>
      </c>
      <c r="B1069" s="43" t="inlineStr">
        <is>
          <t>横梁接头</t>
        </is>
      </c>
      <c r="C1069" s="43" t="inlineStr">
        <is>
          <t>节段15</t>
        </is>
      </c>
      <c r="D1069" s="43" t="inlineStr">
        <is>
          <t>Q355D</t>
        </is>
      </c>
      <c r="E1069" s="43" t="n">
        <v>1800</v>
      </c>
      <c r="F1069" s="43" t="n">
        <v>618</v>
      </c>
      <c r="G1069" s="43" t="n">
        <v>14</v>
      </c>
      <c r="H1069" s="79">
        <f>(E1069/1000)*(F1069/1000)*(G1069/1000)*7850</f>
        <v/>
      </c>
      <c r="I1069" s="43" t="n">
        <v>4</v>
      </c>
      <c r="J1069" s="80">
        <f>H1069*I1069</f>
        <v/>
      </c>
      <c r="K1069" s="43" t="inlineStr">
        <is>
          <t>来源页106</t>
        </is>
      </c>
      <c r="L1069" s="43">
        <f>A1069</f>
        <v/>
      </c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43" t="n"/>
    </row>
    <row r="1070">
      <c r="A1070" s="43" t="inlineStr">
        <is>
          <t>P1</t>
        </is>
      </c>
      <c r="B1070" s="43" t="inlineStr">
        <is>
          <t>上弦杆拼接</t>
        </is>
      </c>
      <c r="C1070" s="43" t="inlineStr">
        <is>
          <t>节段15~节段16</t>
        </is>
      </c>
      <c r="D1070" s="43" t="inlineStr">
        <is>
          <t>Q420D</t>
        </is>
      </c>
      <c r="E1070" s="43" t="n">
        <v>1820</v>
      </c>
      <c r="F1070" s="43" t="n">
        <v>1800</v>
      </c>
      <c r="G1070" s="43" t="n">
        <v>40</v>
      </c>
      <c r="H1070" s="79">
        <f>(E1070/1000)*(F1070/1000)*(G1070/1000)*7850</f>
        <v/>
      </c>
      <c r="I1070" s="43" t="n">
        <v>2</v>
      </c>
      <c r="J1070" s="80">
        <f>H1070*I1070</f>
        <v/>
      </c>
      <c r="K1070" s="43" t="inlineStr">
        <is>
          <t>来源页109</t>
        </is>
      </c>
      <c r="L1070" s="43">
        <f>A1070</f>
        <v/>
      </c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43" t="n"/>
    </row>
    <row r="1071">
      <c r="A1071" s="43" t="inlineStr">
        <is>
          <t>P2</t>
        </is>
      </c>
      <c r="B1071" s="43" t="inlineStr">
        <is>
          <t>上弦杆拼接</t>
        </is>
      </c>
      <c r="C1071" s="43" t="inlineStr">
        <is>
          <t>节段15~节段16</t>
        </is>
      </c>
      <c r="D1071" s="43" t="inlineStr">
        <is>
          <t>Q420D</t>
        </is>
      </c>
      <c r="E1071" s="43" t="n">
        <v>1820</v>
      </c>
      <c r="F1071" s="43" t="n">
        <v>500</v>
      </c>
      <c r="G1071" s="43" t="n">
        <v>40</v>
      </c>
      <c r="H1071" s="79">
        <f>(E1071/1000)*(F1071/1000)*(G1071/1000)*7850</f>
        <v/>
      </c>
      <c r="I1071" s="43" t="n">
        <v>2</v>
      </c>
      <c r="J1071" s="80">
        <f>H1071*I1071</f>
        <v/>
      </c>
      <c r="K1071" s="43" t="inlineStr">
        <is>
          <t>来源页109</t>
        </is>
      </c>
      <c r="L1071" s="43">
        <f>A1071</f>
        <v/>
      </c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43" t="n"/>
    </row>
    <row r="1072">
      <c r="A1072" s="43" t="inlineStr">
        <is>
          <t>P3</t>
        </is>
      </c>
      <c r="B1072" s="43" t="inlineStr">
        <is>
          <t>上弦杆拼接</t>
        </is>
      </c>
      <c r="C1072" s="43" t="inlineStr">
        <is>
          <t>节段15~节段16</t>
        </is>
      </c>
      <c r="D1072" s="43" t="inlineStr">
        <is>
          <t>Q420D</t>
        </is>
      </c>
      <c r="E1072" s="43" t="n">
        <v>1820</v>
      </c>
      <c r="F1072" s="43" t="n">
        <v>500</v>
      </c>
      <c r="G1072" s="43" t="n">
        <v>40</v>
      </c>
      <c r="H1072" s="79">
        <f>(E1072/1000)*(F1072/1000)*(G1072/1000)*7850</f>
        <v/>
      </c>
      <c r="I1072" s="43" t="n">
        <v>2</v>
      </c>
      <c r="J1072" s="80">
        <f>H1072*I1072</f>
        <v/>
      </c>
      <c r="K1072" s="43" t="inlineStr">
        <is>
          <t>来源页109</t>
        </is>
      </c>
      <c r="L1072" s="43">
        <f>A1072</f>
        <v/>
      </c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43" t="n"/>
    </row>
    <row r="1073">
      <c r="A1073" s="43" t="inlineStr">
        <is>
          <t>P4</t>
        </is>
      </c>
      <c r="B1073" s="43" t="inlineStr">
        <is>
          <t>上弦杆拼接</t>
        </is>
      </c>
      <c r="C1073" s="43" t="inlineStr">
        <is>
          <t>节段15~节段16</t>
        </is>
      </c>
      <c r="D1073" s="43" t="inlineStr">
        <is>
          <t>Q420D</t>
        </is>
      </c>
      <c r="E1073" s="43" t="n">
        <v>1820</v>
      </c>
      <c r="F1073" s="43" t="n">
        <v>600</v>
      </c>
      <c r="G1073" s="43" t="n">
        <v>40</v>
      </c>
      <c r="H1073" s="79">
        <f>(E1073/1000)*(F1073/1000)*(G1073/1000)*7850</f>
        <v/>
      </c>
      <c r="I1073" s="43" t="n">
        <v>2</v>
      </c>
      <c r="J1073" s="80">
        <f>H1073*I1073</f>
        <v/>
      </c>
      <c r="K1073" s="43" t="inlineStr">
        <is>
          <t>来源页109</t>
        </is>
      </c>
      <c r="L1073" s="43">
        <f>A1073</f>
        <v/>
      </c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43" t="n"/>
    </row>
    <row r="1074">
      <c r="A1074" s="43" t="inlineStr">
        <is>
          <t>P5</t>
        </is>
      </c>
      <c r="B1074" s="43" t="inlineStr">
        <is>
          <t>上弦杆拼接</t>
        </is>
      </c>
      <c r="C1074" s="43" t="inlineStr">
        <is>
          <t>节段15~节段16</t>
        </is>
      </c>
      <c r="D1074" s="43" t="inlineStr">
        <is>
          <t>Q420D</t>
        </is>
      </c>
      <c r="E1074" s="43" t="n">
        <v>1720</v>
      </c>
      <c r="F1074" s="43" t="n">
        <v>1100</v>
      </c>
      <c r="G1074" s="43" t="n">
        <v>44</v>
      </c>
      <c r="H1074" s="79">
        <f>(E1074/1000)*(F1074/1000)*(G1074/1000)*7850</f>
        <v/>
      </c>
      <c r="I1074" s="43" t="n">
        <v>1</v>
      </c>
      <c r="J1074" s="80">
        <f>H1074*I1074</f>
        <v/>
      </c>
      <c r="K1074" s="43" t="inlineStr">
        <is>
          <t>来源页109</t>
        </is>
      </c>
      <c r="L1074" s="43">
        <f>A1074</f>
        <v/>
      </c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43" t="n"/>
    </row>
    <row r="1075">
      <c r="A1075" s="43" t="inlineStr">
        <is>
          <t>P6</t>
        </is>
      </c>
      <c r="B1075" s="43" t="inlineStr">
        <is>
          <t>上弦杆拼接</t>
        </is>
      </c>
      <c r="C1075" s="43" t="inlineStr">
        <is>
          <t>节段15~节段16</t>
        </is>
      </c>
      <c r="D1075" s="43" t="inlineStr">
        <is>
          <t>Q420D</t>
        </is>
      </c>
      <c r="E1075" s="43" t="n">
        <v>1720</v>
      </c>
      <c r="F1075" s="43" t="n">
        <v>400</v>
      </c>
      <c r="G1075" s="43" t="n">
        <v>44</v>
      </c>
      <c r="H1075" s="79">
        <f>(E1075/1000)*(F1075/1000)*(G1075/1000)*7850</f>
        <v/>
      </c>
      <c r="I1075" s="43" t="n">
        <v>2</v>
      </c>
      <c r="J1075" s="80">
        <f>H1075*I1075</f>
        <v/>
      </c>
      <c r="K1075" s="43" t="inlineStr">
        <is>
          <t>来源页109</t>
        </is>
      </c>
      <c r="L1075" s="43">
        <f>A1075</f>
        <v/>
      </c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43" t="n"/>
    </row>
    <row r="1076">
      <c r="A1076" s="43" t="inlineStr">
        <is>
          <t>P7</t>
        </is>
      </c>
      <c r="B1076" s="43" t="inlineStr">
        <is>
          <t>上弦杆拼接</t>
        </is>
      </c>
      <c r="C1076" s="43" t="inlineStr">
        <is>
          <t>节段15~节段16</t>
        </is>
      </c>
      <c r="D1076" s="43" t="inlineStr">
        <is>
          <t>Q420D</t>
        </is>
      </c>
      <c r="E1076" s="43" t="n">
        <v>1320</v>
      </c>
      <c r="F1076" s="43" t="n">
        <v>240</v>
      </c>
      <c r="G1076" s="43" t="n">
        <v>24</v>
      </c>
      <c r="H1076" s="79">
        <f>(E1076/1000)*(F1076/1000)*(G1076/1000)*7850</f>
        <v/>
      </c>
      <c r="I1076" s="43" t="n">
        <v>10</v>
      </c>
      <c r="J1076" s="80">
        <f>H1076*I1076</f>
        <v/>
      </c>
      <c r="K1076" s="43" t="inlineStr">
        <is>
          <t>来源页109</t>
        </is>
      </c>
      <c r="L1076" s="43">
        <f>A1076</f>
        <v/>
      </c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43" t="n"/>
    </row>
    <row r="1077">
      <c r="A1077" s="43" t="inlineStr">
        <is>
          <t>M30高强螺栓</t>
        </is>
      </c>
      <c r="B1077" s="43" t="inlineStr">
        <is>
          <t>上弦杆拼接</t>
        </is>
      </c>
      <c r="C1077" s="43" t="inlineStr">
        <is>
          <t>节段15~节段16</t>
        </is>
      </c>
      <c r="D1077" s="43" t="inlineStr">
        <is>
          <t>10.9S</t>
        </is>
      </c>
      <c r="E1077" s="43" t="n"/>
      <c r="F1077" s="43" t="n"/>
      <c r="G1077" s="43" t="n"/>
      <c r="H1077" s="79">
        <f>(E1077/1000)*(F1077/1000)*(G1077/1000)*7850</f>
        <v/>
      </c>
      <c r="I1077" s="43" t="n">
        <v>780</v>
      </c>
      <c r="J1077" s="80">
        <f>H1077*I1077</f>
        <v/>
      </c>
      <c r="K1077" s="43" t="inlineStr">
        <is>
          <t>来源页109</t>
        </is>
      </c>
      <c r="L1077" s="43">
        <f>A1077</f>
        <v/>
      </c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43" t="n"/>
    </row>
    <row r="1078">
      <c r="A1078" s="43" t="inlineStr">
        <is>
          <t>K1</t>
        </is>
      </c>
      <c r="B1078" s="43" t="inlineStr">
        <is>
          <t>下弦杆拼接</t>
        </is>
      </c>
      <c r="C1078" s="43" t="inlineStr">
        <is>
          <t>节段15~节段16</t>
        </is>
      </c>
      <c r="D1078" s="43" t="inlineStr">
        <is>
          <t>Q355D</t>
        </is>
      </c>
      <c r="E1078" s="43" t="n">
        <v>1020</v>
      </c>
      <c r="F1078" s="43" t="n">
        <v>1700</v>
      </c>
      <c r="G1078" s="43" t="n">
        <v>24</v>
      </c>
      <c r="H1078" s="79">
        <f>(E1078/1000)*(F1078/1000)*(G1078/1000)*7850</f>
        <v/>
      </c>
      <c r="I1078" s="43" t="n">
        <v>2</v>
      </c>
      <c r="J1078" s="80">
        <f>H1078*I1078</f>
        <v/>
      </c>
      <c r="K1078" s="43" t="inlineStr">
        <is>
          <t>来源页109</t>
        </is>
      </c>
      <c r="L1078" s="43">
        <f>A1078</f>
        <v/>
      </c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43" t="n"/>
    </row>
    <row r="1079">
      <c r="A1079" s="43" t="inlineStr">
        <is>
          <t>K2</t>
        </is>
      </c>
      <c r="B1079" s="43" t="inlineStr">
        <is>
          <t>下弦杆拼接</t>
        </is>
      </c>
      <c r="C1079" s="43" t="inlineStr">
        <is>
          <t>节段15~节段16</t>
        </is>
      </c>
      <c r="D1079" s="43" t="inlineStr">
        <is>
          <t>Q355D</t>
        </is>
      </c>
      <c r="E1079" s="43" t="n">
        <v>1020</v>
      </c>
      <c r="F1079" s="43" t="n">
        <v>800</v>
      </c>
      <c r="G1079" s="43" t="n">
        <v>24</v>
      </c>
      <c r="H1079" s="79">
        <f>(E1079/1000)*(F1079/1000)*(G1079/1000)*7850</f>
        <v/>
      </c>
      <c r="I1079" s="43" t="n">
        <v>4</v>
      </c>
      <c r="J1079" s="80">
        <f>H1079*I1079</f>
        <v/>
      </c>
      <c r="K1079" s="43" t="inlineStr">
        <is>
          <t>来源页109</t>
        </is>
      </c>
      <c r="L1079" s="43">
        <f>A1079</f>
        <v/>
      </c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43" t="n"/>
    </row>
    <row r="1080">
      <c r="A1080" s="43" t="inlineStr">
        <is>
          <t>K3</t>
        </is>
      </c>
      <c r="B1080" s="43" t="inlineStr">
        <is>
          <t>下弦杆拼接</t>
        </is>
      </c>
      <c r="C1080" s="43" t="inlineStr">
        <is>
          <t>节段15~节段16</t>
        </is>
      </c>
      <c r="D1080" s="43" t="inlineStr">
        <is>
          <t>Q355D</t>
        </is>
      </c>
      <c r="E1080" s="43" t="n">
        <v>1320</v>
      </c>
      <c r="F1080" s="43" t="n">
        <v>1100</v>
      </c>
      <c r="G1080" s="43" t="n">
        <v>36</v>
      </c>
      <c r="H1080" s="79">
        <f>(E1080/1000)*(F1080/1000)*(G1080/1000)*7850</f>
        <v/>
      </c>
      <c r="I1080" s="43" t="n">
        <v>1</v>
      </c>
      <c r="J1080" s="80">
        <f>H1080*I1080</f>
        <v/>
      </c>
      <c r="K1080" s="43" t="inlineStr">
        <is>
          <t>来源页109</t>
        </is>
      </c>
      <c r="L1080" s="43">
        <f>A1080</f>
        <v/>
      </c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43" t="n"/>
    </row>
    <row r="1081">
      <c r="A1081" s="43" t="inlineStr">
        <is>
          <t>K4</t>
        </is>
      </c>
      <c r="B1081" s="43" t="inlineStr">
        <is>
          <t>下弦杆拼接</t>
        </is>
      </c>
      <c r="C1081" s="43" t="inlineStr">
        <is>
          <t>节段15~节段16</t>
        </is>
      </c>
      <c r="D1081" s="43" t="inlineStr">
        <is>
          <t>Q355D</t>
        </is>
      </c>
      <c r="E1081" s="43" t="n">
        <v>1320</v>
      </c>
      <c r="F1081" s="43" t="n">
        <v>400</v>
      </c>
      <c r="G1081" s="43" t="n">
        <v>36</v>
      </c>
      <c r="H1081" s="79">
        <f>(E1081/1000)*(F1081/1000)*(G1081/1000)*7850</f>
        <v/>
      </c>
      <c r="I1081" s="43" t="n">
        <v>2</v>
      </c>
      <c r="J1081" s="80">
        <f>H1081*I1081</f>
        <v/>
      </c>
      <c r="K1081" s="43" t="inlineStr">
        <is>
          <t>来源页109</t>
        </is>
      </c>
      <c r="L1081" s="43">
        <f>A1081</f>
        <v/>
      </c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43" t="n"/>
    </row>
    <row r="1082">
      <c r="A1082" s="43" t="inlineStr">
        <is>
          <t>K6</t>
        </is>
      </c>
      <c r="B1082" s="43" t="inlineStr">
        <is>
          <t>下弦杆拼接</t>
        </is>
      </c>
      <c r="C1082" s="43" t="inlineStr">
        <is>
          <t>节段15~节段16</t>
        </is>
      </c>
      <c r="D1082" s="43" t="inlineStr">
        <is>
          <t>Q355D</t>
        </is>
      </c>
      <c r="E1082" s="43" t="n">
        <v>500</v>
      </c>
      <c r="F1082" s="43" t="n">
        <v>1700</v>
      </c>
      <c r="G1082" s="43" t="n">
        <v>16</v>
      </c>
      <c r="H1082" s="79">
        <f>(E1082/1000)*(F1082/1000)*(G1082/1000)*7850</f>
        <v/>
      </c>
      <c r="I1082" s="43" t="n">
        <v>2</v>
      </c>
      <c r="J1082" s="80">
        <f>H1082*I1082</f>
        <v/>
      </c>
      <c r="K1082" s="43" t="inlineStr">
        <is>
          <t>填板；来源页109</t>
        </is>
      </c>
      <c r="L1082" s="43">
        <f>A1082</f>
        <v/>
      </c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43" t="n"/>
    </row>
    <row r="1083">
      <c r="A1083" s="43" t="inlineStr">
        <is>
          <t>K7</t>
        </is>
      </c>
      <c r="B1083" s="43" t="inlineStr">
        <is>
          <t>下弦杆拼接</t>
        </is>
      </c>
      <c r="C1083" s="43" t="inlineStr">
        <is>
          <t>节段15~节段16</t>
        </is>
      </c>
      <c r="D1083" s="43" t="inlineStr">
        <is>
          <t>Q355D</t>
        </is>
      </c>
      <c r="E1083" s="43" t="n">
        <v>650</v>
      </c>
      <c r="F1083" s="43" t="n">
        <v>1100</v>
      </c>
      <c r="G1083" s="43" t="n">
        <v>8</v>
      </c>
      <c r="H1083" s="79">
        <f>(E1083/1000)*(F1083/1000)*(G1083/1000)*7850</f>
        <v/>
      </c>
      <c r="I1083" s="43" t="n">
        <v>1</v>
      </c>
      <c r="J1083" s="80">
        <f>H1083*I1083</f>
        <v/>
      </c>
      <c r="K1083" s="43" t="inlineStr">
        <is>
          <t>填板；来源页109</t>
        </is>
      </c>
      <c r="L1083" s="43">
        <f>A1083</f>
        <v/>
      </c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43" t="n"/>
    </row>
    <row r="1084">
      <c r="A1084" s="43" t="inlineStr">
        <is>
          <t>M30高强螺栓</t>
        </is>
      </c>
      <c r="B1084" s="43" t="inlineStr">
        <is>
          <t>下弦杆拼接</t>
        </is>
      </c>
      <c r="C1084" s="43" t="inlineStr">
        <is>
          <t>节段15~节段16</t>
        </is>
      </c>
      <c r="D1084" s="43" t="inlineStr">
        <is>
          <t>10.9S</t>
        </is>
      </c>
      <c r="E1084" s="43" t="n"/>
      <c r="F1084" s="43" t="n"/>
      <c r="G1084" s="43" t="n"/>
      <c r="H1084" s="79">
        <f>(E1084/1000)*(F1084/1000)*(G1084/1000)*7850</f>
        <v/>
      </c>
      <c r="I1084" s="43" t="n">
        <v>324</v>
      </c>
      <c r="J1084" s="80">
        <f>H1084*I1084</f>
        <v/>
      </c>
      <c r="K1084" s="43" t="inlineStr">
        <is>
          <t>来源页109</t>
        </is>
      </c>
      <c r="L1084" s="43">
        <f>A1084</f>
        <v/>
      </c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43" t="n"/>
    </row>
    <row r="1085">
      <c r="A1085" s="43" t="inlineStr">
        <is>
          <t>L1</t>
        </is>
      </c>
      <c r="B1085" s="43" t="inlineStr">
        <is>
          <t>腹杆拼接</t>
        </is>
      </c>
      <c r="C1085" s="43" t="inlineStr">
        <is>
          <t>节段15~节段16</t>
        </is>
      </c>
      <c r="D1085" s="43" t="inlineStr">
        <is>
          <t>Q420D</t>
        </is>
      </c>
      <c r="E1085" s="43" t="n">
        <v>1520</v>
      </c>
      <c r="F1085" s="43" t="n">
        <v>1500</v>
      </c>
      <c r="G1085" s="43" t="n">
        <v>32</v>
      </c>
      <c r="H1085" s="79">
        <f>(E1085/1000)*(F1085/1000)*(G1085/1000)*7850</f>
        <v/>
      </c>
      <c r="I1085" s="43" t="n">
        <v>2</v>
      </c>
      <c r="J1085" s="80">
        <f>H1085*I1085</f>
        <v/>
      </c>
      <c r="K1085" s="43" t="inlineStr">
        <is>
          <t>来源页109</t>
        </is>
      </c>
      <c r="L1085" s="43">
        <f>A1085</f>
        <v/>
      </c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43" t="n"/>
    </row>
    <row r="1086">
      <c r="A1086" s="43" t="inlineStr">
        <is>
          <t>L2</t>
        </is>
      </c>
      <c r="B1086" s="43" t="inlineStr">
        <is>
          <t>腹杆拼接</t>
        </is>
      </c>
      <c r="C1086" s="43" t="inlineStr">
        <is>
          <t>节段15~节段16</t>
        </is>
      </c>
      <c r="D1086" s="43" t="inlineStr">
        <is>
          <t>Q420D</t>
        </is>
      </c>
      <c r="E1086" s="43" t="n">
        <v>1520</v>
      </c>
      <c r="F1086" s="43" t="n">
        <v>400</v>
      </c>
      <c r="G1086" s="43" t="n">
        <v>32</v>
      </c>
      <c r="H1086" s="79">
        <f>(E1086/1000)*(F1086/1000)*(G1086/1000)*7850</f>
        <v/>
      </c>
      <c r="I1086" s="43" t="n">
        <v>4</v>
      </c>
      <c r="J1086" s="80">
        <f>H1086*I1086</f>
        <v/>
      </c>
      <c r="K1086" s="43" t="inlineStr">
        <is>
          <t>来源页109</t>
        </is>
      </c>
      <c r="L1086" s="43">
        <f>A1086</f>
        <v/>
      </c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43" t="n"/>
    </row>
    <row r="1087">
      <c r="A1087" s="43" t="inlineStr">
        <is>
          <t>L3</t>
        </is>
      </c>
      <c r="B1087" s="43" t="inlineStr">
        <is>
          <t>腹杆拼接</t>
        </is>
      </c>
      <c r="C1087" s="43" t="inlineStr">
        <is>
          <t>节段15~节段16</t>
        </is>
      </c>
      <c r="D1087" s="43" t="inlineStr">
        <is>
          <t>Q420D</t>
        </is>
      </c>
      <c r="E1087" s="43" t="n">
        <v>1520</v>
      </c>
      <c r="F1087" s="43" t="n">
        <v>500</v>
      </c>
      <c r="G1087" s="43" t="n">
        <v>32</v>
      </c>
      <c r="H1087" s="79">
        <f>(E1087/1000)*(F1087/1000)*(G1087/1000)*7850</f>
        <v/>
      </c>
      <c r="I1087" s="43" t="n">
        <v>2</v>
      </c>
      <c r="J1087" s="80">
        <f>H1087*I1087</f>
        <v/>
      </c>
      <c r="K1087" s="43" t="inlineStr">
        <is>
          <t>来源页109</t>
        </is>
      </c>
      <c r="L1087" s="43">
        <f>A1087</f>
        <v/>
      </c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43" t="n"/>
    </row>
    <row r="1088">
      <c r="A1088" s="43" t="inlineStr">
        <is>
          <t>L4</t>
        </is>
      </c>
      <c r="B1088" s="43" t="inlineStr">
        <is>
          <t>腹杆拼接</t>
        </is>
      </c>
      <c r="C1088" s="43" t="inlineStr">
        <is>
          <t>节段15~节段16</t>
        </is>
      </c>
      <c r="D1088" s="43" t="inlineStr">
        <is>
          <t>Q420D</t>
        </is>
      </c>
      <c r="E1088" s="43" t="n">
        <v>1520</v>
      </c>
      <c r="F1088" s="43" t="n">
        <v>1100</v>
      </c>
      <c r="G1088" s="43" t="n">
        <v>28</v>
      </c>
      <c r="H1088" s="79">
        <f>(E1088/1000)*(F1088/1000)*(G1088/1000)*7850</f>
        <v/>
      </c>
      <c r="I1088" s="43" t="n">
        <v>1</v>
      </c>
      <c r="J1088" s="80">
        <f>H1088*I1088</f>
        <v/>
      </c>
      <c r="K1088" s="43" t="inlineStr">
        <is>
          <t>来源页109</t>
        </is>
      </c>
      <c r="L1088" s="43">
        <f>A1088</f>
        <v/>
      </c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43" t="n"/>
    </row>
    <row r="1089">
      <c r="A1089" s="43" t="inlineStr">
        <is>
          <t>L5</t>
        </is>
      </c>
      <c r="B1089" s="43" t="inlineStr">
        <is>
          <t>腹杆拼接</t>
        </is>
      </c>
      <c r="C1089" s="43" t="inlineStr">
        <is>
          <t>节段15~节段16</t>
        </is>
      </c>
      <c r="D1089" s="43" t="inlineStr">
        <is>
          <t>Q420D</t>
        </is>
      </c>
      <c r="E1089" s="43" t="n">
        <v>1520</v>
      </c>
      <c r="F1089" s="43" t="n">
        <v>500</v>
      </c>
      <c r="G1089" s="43" t="n">
        <v>28</v>
      </c>
      <c r="H1089" s="79">
        <f>(E1089/1000)*(F1089/1000)*(G1089/1000)*7850</f>
        <v/>
      </c>
      <c r="I1089" s="43" t="n">
        <v>2</v>
      </c>
      <c r="J1089" s="80">
        <f>H1089*I1089</f>
        <v/>
      </c>
      <c r="K1089" s="43" t="inlineStr">
        <is>
          <t>来源页109</t>
        </is>
      </c>
      <c r="L1089" s="43">
        <f>A1089</f>
        <v/>
      </c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43" t="n"/>
    </row>
    <row r="1090">
      <c r="A1090" s="43" t="inlineStr">
        <is>
          <t>L6</t>
        </is>
      </c>
      <c r="B1090" s="43" t="inlineStr">
        <is>
          <t>腹杆拼接</t>
        </is>
      </c>
      <c r="C1090" s="43" t="inlineStr">
        <is>
          <t>节段15~节段16</t>
        </is>
      </c>
      <c r="D1090" s="43" t="inlineStr">
        <is>
          <t>Q420D</t>
        </is>
      </c>
      <c r="E1090" s="43" t="n">
        <v>1520</v>
      </c>
      <c r="F1090" s="43" t="n">
        <v>1100</v>
      </c>
      <c r="G1090" s="43" t="n">
        <v>40</v>
      </c>
      <c r="H1090" s="79">
        <f>(E1090/1000)*(F1090/1000)*(G1090/1000)*7850</f>
        <v/>
      </c>
      <c r="I1090" s="43" t="n">
        <v>1</v>
      </c>
      <c r="J1090" s="80">
        <f>H1090*I1090</f>
        <v/>
      </c>
      <c r="K1090" s="43" t="inlineStr">
        <is>
          <t>来源页109</t>
        </is>
      </c>
      <c r="L1090" s="43">
        <f>A1090</f>
        <v/>
      </c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43" t="n"/>
    </row>
    <row r="1091">
      <c r="A1091" s="43" t="inlineStr">
        <is>
          <t>L7</t>
        </is>
      </c>
      <c r="B1091" s="43" t="inlineStr">
        <is>
          <t>腹杆拼接</t>
        </is>
      </c>
      <c r="C1091" s="43" t="inlineStr">
        <is>
          <t>节段15~节段16</t>
        </is>
      </c>
      <c r="D1091" s="43" t="inlineStr">
        <is>
          <t>Q420D</t>
        </is>
      </c>
      <c r="E1091" s="43" t="n">
        <v>1520</v>
      </c>
      <c r="F1091" s="43" t="n">
        <v>400</v>
      </c>
      <c r="G1091" s="43" t="n">
        <v>40</v>
      </c>
      <c r="H1091" s="79">
        <f>(E1091/1000)*(F1091/1000)*(G1091/1000)*7850</f>
        <v/>
      </c>
      <c r="I1091" s="43" t="n">
        <v>2</v>
      </c>
      <c r="J1091" s="80">
        <f>H1091*I1091</f>
        <v/>
      </c>
      <c r="K1091" s="43" t="inlineStr">
        <is>
          <t>来源页109</t>
        </is>
      </c>
      <c r="L1091" s="43">
        <f>A1091</f>
        <v/>
      </c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43" t="n"/>
    </row>
    <row r="1092">
      <c r="A1092" s="43" t="inlineStr">
        <is>
          <t>L8</t>
        </is>
      </c>
      <c r="B1092" s="43" t="inlineStr">
        <is>
          <t>腹杆拼接</t>
        </is>
      </c>
      <c r="C1092" s="43" t="inlineStr">
        <is>
          <t>节段15~节段16</t>
        </is>
      </c>
      <c r="D1092" s="43" t="inlineStr">
        <is>
          <t>Q420D</t>
        </is>
      </c>
      <c r="E1092" s="43" t="n">
        <v>1320</v>
      </c>
      <c r="F1092" s="43" t="n">
        <v>240</v>
      </c>
      <c r="G1092" s="43" t="n">
        <v>24</v>
      </c>
      <c r="H1092" s="79">
        <f>(E1092/1000)*(F1092/1000)*(G1092/1000)*7850</f>
        <v/>
      </c>
      <c r="I1092" s="43" t="n">
        <v>10</v>
      </c>
      <c r="J1092" s="80">
        <f>H1092*I1092</f>
        <v/>
      </c>
      <c r="K1092" s="43" t="inlineStr">
        <is>
          <t>来源页109</t>
        </is>
      </c>
      <c r="L1092" s="43">
        <f>A1092</f>
        <v/>
      </c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43" t="n"/>
    </row>
    <row r="1093">
      <c r="A1093" s="43" t="inlineStr">
        <is>
          <t>N11a</t>
        </is>
      </c>
      <c r="B1093" s="43" t="inlineStr">
        <is>
          <t>上弦顶板</t>
        </is>
      </c>
      <c r="C1093" s="43" t="inlineStr">
        <is>
          <t>节段16</t>
        </is>
      </c>
      <c r="D1093" s="43" t="inlineStr">
        <is>
          <t>Q420D</t>
        </is>
      </c>
      <c r="E1093" s="43" t="n"/>
      <c r="F1093" s="43" t="n"/>
      <c r="G1093" s="43" t="n">
        <v>40</v>
      </c>
      <c r="H1093" s="79">
        <f>(E1093/1000)*(F1093/1000)*(G1093/1000)*7850</f>
        <v/>
      </c>
      <c r="I1093" s="43" t="n">
        <v>1</v>
      </c>
      <c r="J1093" s="80">
        <f>H1093*I1093</f>
        <v/>
      </c>
      <c r="K1093" s="43" t="inlineStr">
        <is>
          <t>来源页110</t>
        </is>
      </c>
      <c r="L1093" s="43">
        <f>A1093</f>
        <v/>
      </c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43" t="n"/>
    </row>
    <row r="1094">
      <c r="A1094" s="43" t="inlineStr">
        <is>
          <t>N11b</t>
        </is>
      </c>
      <c r="B1094" s="43" t="inlineStr">
        <is>
          <t>上弦顶板</t>
        </is>
      </c>
      <c r="C1094" s="43" t="inlineStr">
        <is>
          <t>节段16</t>
        </is>
      </c>
      <c r="D1094" s="43" t="inlineStr">
        <is>
          <t>Q420D</t>
        </is>
      </c>
      <c r="E1094" s="43" t="n"/>
      <c r="F1094" s="43" t="n"/>
      <c r="G1094" s="43" t="n">
        <v>40</v>
      </c>
      <c r="H1094" s="79">
        <f>(E1094/1000)*(F1094/1000)*(G1094/1000)*7850</f>
        <v/>
      </c>
      <c r="I1094" s="43" t="n">
        <v>1</v>
      </c>
      <c r="J1094" s="80">
        <f>H1094*I1094</f>
        <v/>
      </c>
      <c r="K1094" s="43" t="inlineStr">
        <is>
          <t>来源页110</t>
        </is>
      </c>
      <c r="L1094" s="43">
        <f>A1094</f>
        <v/>
      </c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43" t="n"/>
    </row>
    <row r="1095">
      <c r="A1095" s="43" t="inlineStr">
        <is>
          <t>N12a</t>
        </is>
      </c>
      <c r="B1095" s="43" t="inlineStr">
        <is>
          <t>上弦底板</t>
        </is>
      </c>
      <c r="C1095" s="43" t="inlineStr">
        <is>
          <t>节段16</t>
        </is>
      </c>
      <c r="D1095" s="43" t="inlineStr">
        <is>
          <t>Q420D</t>
        </is>
      </c>
      <c r="E1095" s="43" t="n">
        <v>7900</v>
      </c>
      <c r="F1095" s="43" t="n">
        <v>1200</v>
      </c>
      <c r="G1095" s="43" t="n">
        <v>40</v>
      </c>
      <c r="H1095" s="79">
        <f>(E1095/1000)*(F1095/1000)*(G1095/1000)*7850</f>
        <v/>
      </c>
      <c r="I1095" s="43" t="n">
        <v>1</v>
      </c>
      <c r="J1095" s="80">
        <f>H1095*I1095</f>
        <v/>
      </c>
      <c r="K1095" s="43" t="inlineStr">
        <is>
          <t>来源页110</t>
        </is>
      </c>
      <c r="L1095" s="43">
        <f>A1095</f>
        <v/>
      </c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43" t="n"/>
    </row>
    <row r="1096">
      <c r="A1096" s="43" t="inlineStr">
        <is>
          <t>N12b</t>
        </is>
      </c>
      <c r="B1096" s="43" t="inlineStr">
        <is>
          <t>上弦底板</t>
        </is>
      </c>
      <c r="C1096" s="43" t="inlineStr">
        <is>
          <t>节段16</t>
        </is>
      </c>
      <c r="D1096" s="43" t="inlineStr">
        <is>
          <t>Q420D</t>
        </is>
      </c>
      <c r="E1096" s="43" t="n">
        <v>6950</v>
      </c>
      <c r="F1096" s="43" t="n">
        <v>1200</v>
      </c>
      <c r="G1096" s="43" t="n">
        <v>40</v>
      </c>
      <c r="H1096" s="79">
        <f>(E1096/1000)*(F1096/1000)*(G1096/1000)*7850</f>
        <v/>
      </c>
      <c r="I1096" s="43" t="n">
        <v>1</v>
      </c>
      <c r="J1096" s="80">
        <f>H1096*I1096</f>
        <v/>
      </c>
      <c r="K1096" s="43" t="inlineStr">
        <is>
          <t>来源页110</t>
        </is>
      </c>
      <c r="L1096" s="43">
        <f>A1096</f>
        <v/>
      </c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43" t="n"/>
    </row>
    <row r="1097">
      <c r="A1097" s="43" t="inlineStr">
        <is>
          <t>N13</t>
        </is>
      </c>
      <c r="B1097" s="43" t="inlineStr">
        <is>
          <t>上弦节点板</t>
        </is>
      </c>
      <c r="C1097" s="43" t="inlineStr">
        <is>
          <t>节段16</t>
        </is>
      </c>
      <c r="D1097" s="43" t="inlineStr">
        <is>
          <t>Q420D</t>
        </is>
      </c>
      <c r="E1097" s="43" t="n"/>
      <c r="F1097" s="43" t="n"/>
      <c r="G1097" s="43" t="n">
        <v>44</v>
      </c>
      <c r="H1097" s="79">
        <f>(E1097/1000)*(F1097/1000)*(G1097/1000)*7850</f>
        <v/>
      </c>
      <c r="I1097" s="43" t="n">
        <v>2</v>
      </c>
      <c r="J1097" s="80">
        <f>H1097*I1097</f>
        <v/>
      </c>
      <c r="K1097" s="43" t="inlineStr">
        <is>
          <t>来源页110</t>
        </is>
      </c>
      <c r="L1097" s="43">
        <f>A1097</f>
        <v/>
      </c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43" t="n"/>
    </row>
    <row r="1098">
      <c r="A1098" s="43" t="inlineStr">
        <is>
          <t>N14</t>
        </is>
      </c>
      <c r="B1098" s="43" t="inlineStr">
        <is>
          <t>上弦腹板</t>
        </is>
      </c>
      <c r="C1098" s="43" t="inlineStr">
        <is>
          <t>节段16</t>
        </is>
      </c>
      <c r="D1098" s="43" t="inlineStr">
        <is>
          <t>Q420D</t>
        </is>
      </c>
      <c r="E1098" s="43" t="n">
        <v>7150</v>
      </c>
      <c r="F1098" s="43" t="n">
        <v>2048</v>
      </c>
      <c r="G1098" s="43" t="n">
        <v>48</v>
      </c>
      <c r="H1098" s="79">
        <f>(E1098/1000)*(F1098/1000)*(G1098/1000)*7850</f>
        <v/>
      </c>
      <c r="I1098" s="43" t="n">
        <v>2</v>
      </c>
      <c r="J1098" s="80">
        <f>H1098*I1098</f>
        <v/>
      </c>
      <c r="K1098" s="43" t="inlineStr">
        <is>
          <t>来源页110</t>
        </is>
      </c>
      <c r="L1098" s="43">
        <f>A1098</f>
        <v/>
      </c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43" t="n"/>
    </row>
    <row r="1099">
      <c r="A1099" s="43" t="inlineStr">
        <is>
          <t>N15</t>
        </is>
      </c>
      <c r="B1099" s="43" t="inlineStr">
        <is>
          <t>上弦横隔板</t>
        </is>
      </c>
      <c r="C1099" s="43" t="inlineStr">
        <is>
          <t>节段16</t>
        </is>
      </c>
      <c r="D1099" s="43" t="inlineStr">
        <is>
          <t>Q420D</t>
        </is>
      </c>
      <c r="E1099" s="43" t="n">
        <v>1960</v>
      </c>
      <c r="F1099" s="43" t="n">
        <v>1200</v>
      </c>
      <c r="G1099" s="43" t="n">
        <v>16</v>
      </c>
      <c r="H1099" s="79">
        <f>(E1099/1000)*(F1099/1000)*(G1099/1000)*7850</f>
        <v/>
      </c>
      <c r="I1099" s="43" t="n">
        <v>3</v>
      </c>
      <c r="J1099" s="80">
        <f>H1099*I1099</f>
        <v/>
      </c>
      <c r="K1099" s="43" t="inlineStr">
        <is>
          <t>来源页110</t>
        </is>
      </c>
      <c r="L1099" s="43">
        <f>A1099</f>
        <v/>
      </c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43" t="n"/>
    </row>
    <row r="1100">
      <c r="A1100" s="43" t="inlineStr">
        <is>
          <t>N15a</t>
        </is>
      </c>
      <c r="B1100" s="43" t="inlineStr">
        <is>
          <t>上弦横隔板</t>
        </is>
      </c>
      <c r="C1100" s="43" t="inlineStr">
        <is>
          <t>节段16</t>
        </is>
      </c>
      <c r="D1100" s="43" t="inlineStr">
        <is>
          <t>Q420D</t>
        </is>
      </c>
      <c r="E1100" s="43" t="n">
        <v>1960</v>
      </c>
      <c r="F1100" s="43" t="n">
        <v>1200</v>
      </c>
      <c r="G1100" s="43" t="n">
        <v>16</v>
      </c>
      <c r="H1100" s="79">
        <f>(E1100/1000)*(F1100/1000)*(G1100/1000)*7850</f>
        <v/>
      </c>
      <c r="I1100" s="43" t="n">
        <v>2</v>
      </c>
      <c r="J1100" s="80">
        <f>H1100*I1100</f>
        <v/>
      </c>
      <c r="K1100" s="43" t="inlineStr">
        <is>
          <t>来源页110</t>
        </is>
      </c>
      <c r="L1100" s="43">
        <f>A1100</f>
        <v/>
      </c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43" t="n"/>
    </row>
    <row r="1101">
      <c r="A1101" s="43" t="inlineStr">
        <is>
          <t>N15‘</t>
        </is>
      </c>
      <c r="B1101" s="43" t="inlineStr">
        <is>
          <t>上弦横隔板</t>
        </is>
      </c>
      <c r="C1101" s="43" t="inlineStr">
        <is>
          <t>节段16</t>
        </is>
      </c>
      <c r="D1101" s="43" t="inlineStr">
        <is>
          <t>Q420D</t>
        </is>
      </c>
      <c r="E1101" s="43" t="n">
        <v>2057</v>
      </c>
      <c r="F1101" s="43" t="n">
        <v>200</v>
      </c>
      <c r="G1101" s="43" t="n">
        <v>16</v>
      </c>
      <c r="H1101" s="79">
        <f>(E1101/1000)*(F1101/1000)*(G1101/1000)*7850</f>
        <v/>
      </c>
      <c r="I1101" s="43" t="n">
        <v>3</v>
      </c>
      <c r="J1101" s="80">
        <f>H1101*I1101</f>
        <v/>
      </c>
      <c r="K1101" s="43" t="inlineStr">
        <is>
          <t>来源页110</t>
        </is>
      </c>
      <c r="L1101" s="43">
        <f>A1101</f>
        <v/>
      </c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43" t="n"/>
    </row>
    <row r="1102">
      <c r="A1102" s="43" t="inlineStr">
        <is>
          <t>N15b</t>
        </is>
      </c>
      <c r="B1102" s="43" t="inlineStr">
        <is>
          <t>上弦横隔板</t>
        </is>
      </c>
      <c r="C1102" s="43" t="inlineStr">
        <is>
          <t>节段16</t>
        </is>
      </c>
      <c r="D1102" s="43" t="inlineStr">
        <is>
          <t>Q355B</t>
        </is>
      </c>
      <c r="E1102" s="43" t="n">
        <v>2057</v>
      </c>
      <c r="F1102" s="43" t="n">
        <v>40</v>
      </c>
      <c r="G1102" s="43" t="n">
        <v>4</v>
      </c>
      <c r="H1102" s="79">
        <f>(E1102/1000)*(F1102/1000)*(G1102/1000)*7850</f>
        <v/>
      </c>
      <c r="I1102" s="43" t="n">
        <v>4</v>
      </c>
      <c r="J1102" s="80">
        <f>H1102*I1102</f>
        <v/>
      </c>
      <c r="K1102" s="43" t="inlineStr">
        <is>
          <t>来源页110</t>
        </is>
      </c>
      <c r="L1102" s="43">
        <f>A1102</f>
        <v/>
      </c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43" t="n"/>
    </row>
    <row r="1103">
      <c r="A1103" s="43" t="inlineStr">
        <is>
          <t>N15c</t>
        </is>
      </c>
      <c r="B1103" s="43" t="inlineStr">
        <is>
          <t>上弦横隔板</t>
        </is>
      </c>
      <c r="C1103" s="43" t="inlineStr">
        <is>
          <t>节段16</t>
        </is>
      </c>
      <c r="D1103" s="43" t="inlineStr">
        <is>
          <t>Q420D</t>
        </is>
      </c>
      <c r="E1103" s="43" t="n">
        <v>800</v>
      </c>
      <c r="F1103" s="43" t="n">
        <v>400</v>
      </c>
      <c r="G1103" s="43" t="n">
        <v>16</v>
      </c>
      <c r="H1103" s="79">
        <f>(E1103/1000)*(F1103/1000)*(G1103/1000)*7850</f>
        <v/>
      </c>
      <c r="I1103" s="43" t="n">
        <v>4</v>
      </c>
      <c r="J1103" s="80">
        <f>H1103*I1103</f>
        <v/>
      </c>
      <c r="K1103" s="43" t="inlineStr">
        <is>
          <t>来源页110</t>
        </is>
      </c>
      <c r="L1103" s="43">
        <f>A1103</f>
        <v/>
      </c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43" t="n"/>
    </row>
    <row r="1104">
      <c r="A1104" s="43" t="inlineStr">
        <is>
          <t>N16a</t>
        </is>
      </c>
      <c r="B1104" s="43" t="inlineStr">
        <is>
          <t>上弦加劲助</t>
        </is>
      </c>
      <c r="C1104" s="43" t="inlineStr">
        <is>
          <t>节段16</t>
        </is>
      </c>
      <c r="D1104" s="43" t="inlineStr">
        <is>
          <t>Q420D</t>
        </is>
      </c>
      <c r="E1104" s="43" t="n">
        <v>7900</v>
      </c>
      <c r="F1104" s="43" t="n">
        <v>320</v>
      </c>
      <c r="G1104" s="43" t="n">
        <v>32</v>
      </c>
      <c r="H1104" s="79">
        <f>(E1104/1000)*(F1104/1000)*(G1104/1000)*7850</f>
        <v/>
      </c>
      <c r="I1104" s="43" t="n">
        <v>6</v>
      </c>
      <c r="J1104" s="80">
        <f>H1104*I1104</f>
        <v/>
      </c>
      <c r="K1104" s="43" t="inlineStr">
        <is>
          <t>来源页110</t>
        </is>
      </c>
      <c r="L1104" s="43">
        <f>A1104</f>
        <v/>
      </c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43" t="n"/>
    </row>
    <row r="1105">
      <c r="A1105" s="43" t="inlineStr">
        <is>
          <t>N21a</t>
        </is>
      </c>
      <c r="B1105" s="43" t="inlineStr">
        <is>
          <t>下弦顶板</t>
        </is>
      </c>
      <c r="C1105" s="43" t="inlineStr">
        <is>
          <t>节段16</t>
        </is>
      </c>
      <c r="D1105" s="43" t="inlineStr">
        <is>
          <t>Q420D</t>
        </is>
      </c>
      <c r="E1105" s="43" t="n">
        <v>7900</v>
      </c>
      <c r="F1105" s="43" t="n">
        <v>2500</v>
      </c>
      <c r="G1105" s="43" t="n">
        <v>32</v>
      </c>
      <c r="H1105" s="79">
        <f>(E1105/1000)*(F1105/1000)*(G1105/1000)*7850</f>
        <v/>
      </c>
      <c r="I1105" s="43" t="n">
        <v>1</v>
      </c>
      <c r="J1105" s="80">
        <f>H1105*I1105</f>
        <v/>
      </c>
      <c r="K1105" s="43" t="inlineStr">
        <is>
          <t>来源页110</t>
        </is>
      </c>
      <c r="L1105" s="43">
        <f>A1105</f>
        <v/>
      </c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43" t="n"/>
    </row>
    <row r="1106">
      <c r="A1106" s="43" t="inlineStr">
        <is>
          <t>N21b</t>
        </is>
      </c>
      <c r="B1106" s="43" t="inlineStr">
        <is>
          <t>下弦顶板</t>
        </is>
      </c>
      <c r="C1106" s="43" t="inlineStr">
        <is>
          <t>节段16</t>
        </is>
      </c>
      <c r="D1106" s="43" t="inlineStr">
        <is>
          <t>Q420D</t>
        </is>
      </c>
      <c r="E1106" s="43" t="n">
        <v>7100</v>
      </c>
      <c r="F1106" s="43" t="n">
        <v>2500</v>
      </c>
      <c r="G1106" s="43" t="n">
        <v>32</v>
      </c>
      <c r="H1106" s="79">
        <f>(E1106/1000)*(F1106/1000)*(G1106/1000)*7850</f>
        <v/>
      </c>
      <c r="I1106" s="43" t="n">
        <v>1</v>
      </c>
      <c r="J1106" s="80">
        <f>H1106*I1106</f>
        <v/>
      </c>
      <c r="K1106" s="43" t="inlineStr">
        <is>
          <t>来源页110</t>
        </is>
      </c>
      <c r="L1106" s="43">
        <f>A1106</f>
        <v/>
      </c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43" t="n"/>
    </row>
    <row r="1107">
      <c r="A1107" s="43" t="inlineStr">
        <is>
          <t>N22a</t>
        </is>
      </c>
      <c r="B1107" s="43" t="inlineStr">
        <is>
          <t>下弦底板</t>
        </is>
      </c>
      <c r="C1107" s="43" t="inlineStr">
        <is>
          <t>节段16</t>
        </is>
      </c>
      <c r="D1107" s="43" t="inlineStr">
        <is>
          <t>Q420D</t>
        </is>
      </c>
      <c r="E1107" s="43" t="n"/>
      <c r="F1107" s="43" t="n"/>
      <c r="G1107" s="43" t="n">
        <v>32</v>
      </c>
      <c r="H1107" s="79">
        <f>(E1107/1000)*(F1107/1000)*(G1107/1000)*7850</f>
        <v/>
      </c>
      <c r="I1107" s="43" t="n">
        <v>1</v>
      </c>
      <c r="J1107" s="80">
        <f>H1107*I1107</f>
        <v/>
      </c>
      <c r="K1107" s="43" t="inlineStr">
        <is>
          <t>来源页110</t>
        </is>
      </c>
      <c r="L1107" s="43">
        <f>A1107</f>
        <v/>
      </c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43" t="n"/>
    </row>
    <row r="1108">
      <c r="A1108" s="43" t="inlineStr">
        <is>
          <t>N22b</t>
        </is>
      </c>
      <c r="B1108" s="43" t="inlineStr">
        <is>
          <t>下弦底板</t>
        </is>
      </c>
      <c r="C1108" s="43" t="inlineStr">
        <is>
          <t>节段16</t>
        </is>
      </c>
      <c r="D1108" s="43" t="inlineStr">
        <is>
          <t>Q420D</t>
        </is>
      </c>
      <c r="E1108" s="43" t="n"/>
      <c r="F1108" s="43" t="n"/>
      <c r="G1108" s="43" t="n">
        <v>32</v>
      </c>
      <c r="H1108" s="79">
        <f>(E1108/1000)*(F1108/1000)*(G1108/1000)*7850</f>
        <v/>
      </c>
      <c r="I1108" s="43" t="n">
        <v>1</v>
      </c>
      <c r="J1108" s="80">
        <f>H1108*I1108</f>
        <v/>
      </c>
      <c r="K1108" s="43" t="inlineStr">
        <is>
          <t>来源页110</t>
        </is>
      </c>
      <c r="L1108" s="43">
        <f>A1108</f>
        <v/>
      </c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43" t="n"/>
    </row>
    <row r="1109">
      <c r="A1109" s="43" t="inlineStr">
        <is>
          <t>N23</t>
        </is>
      </c>
      <c r="B1109" s="43" t="inlineStr">
        <is>
          <t>下弦节点板</t>
        </is>
      </c>
      <c r="C1109" s="43" t="inlineStr">
        <is>
          <t>节段16</t>
        </is>
      </c>
      <c r="D1109" s="43" t="inlineStr">
        <is>
          <t>Q420D</t>
        </is>
      </c>
      <c r="E1109" s="43" t="n"/>
      <c r="F1109" s="43" t="n"/>
      <c r="G1109" s="43" t="n">
        <v>44</v>
      </c>
      <c r="H1109" s="79">
        <f>(E1109/1000)*(F1109/1000)*(G1109/1000)*7850</f>
        <v/>
      </c>
      <c r="I1109" s="43" t="n">
        <v>2</v>
      </c>
      <c r="J1109" s="80">
        <f>H1109*I1109</f>
        <v/>
      </c>
      <c r="K1109" s="43" t="inlineStr">
        <is>
          <t>Z35钢；来源页110</t>
        </is>
      </c>
      <c r="L1109" s="43">
        <f>A1109</f>
        <v/>
      </c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43" t="n"/>
    </row>
    <row r="1110">
      <c r="A1110" s="43" t="inlineStr">
        <is>
          <t>N24</t>
        </is>
      </c>
      <c r="B1110" s="43" t="inlineStr">
        <is>
          <t>下弦腹板</t>
        </is>
      </c>
      <c r="C1110" s="43" t="inlineStr">
        <is>
          <t>节段16</t>
        </is>
      </c>
      <c r="D1110" s="43" t="inlineStr">
        <is>
          <t>Q420D</t>
        </is>
      </c>
      <c r="E1110" s="43" t="n">
        <v>7300</v>
      </c>
      <c r="F1110" s="43" t="n">
        <v>1880</v>
      </c>
      <c r="G1110" s="43" t="n">
        <v>44</v>
      </c>
      <c r="H1110" s="79">
        <f>(E1110/1000)*(F1110/1000)*(G1110/1000)*7850</f>
        <v/>
      </c>
      <c r="I1110" s="43" t="n">
        <v>2</v>
      </c>
      <c r="J1110" s="80">
        <f>H1110*I1110</f>
        <v/>
      </c>
      <c r="K1110" s="43" t="inlineStr">
        <is>
          <t>来源页110</t>
        </is>
      </c>
      <c r="L1110" s="43">
        <f>A1110</f>
        <v/>
      </c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43" t="n"/>
    </row>
    <row r="1111">
      <c r="A1111" s="43" t="inlineStr">
        <is>
          <t>N25</t>
        </is>
      </c>
      <c r="B1111" s="43" t="inlineStr">
        <is>
          <t>下弦横隔板</t>
        </is>
      </c>
      <c r="C1111" s="43" t="inlineStr">
        <is>
          <t>节段16</t>
        </is>
      </c>
      <c r="D1111" s="43" t="inlineStr">
        <is>
          <t>Q420D</t>
        </is>
      </c>
      <c r="E1111" s="43" t="n">
        <v>1800</v>
      </c>
      <c r="F1111" s="43" t="n">
        <v>1200</v>
      </c>
      <c r="G1111" s="43" t="n">
        <v>16</v>
      </c>
      <c r="H1111" s="79">
        <f>(E1111/1000)*(F1111/1000)*(G1111/1000)*7850</f>
        <v/>
      </c>
      <c r="I1111" s="43" t="n">
        <v>3</v>
      </c>
      <c r="J1111" s="80">
        <f>H1111*I1111</f>
        <v/>
      </c>
      <c r="K1111" s="43" t="inlineStr">
        <is>
          <t>来源页110</t>
        </is>
      </c>
      <c r="L1111" s="43">
        <f>A1111</f>
        <v/>
      </c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43" t="n"/>
    </row>
    <row r="1112">
      <c r="A1112" s="43" t="inlineStr">
        <is>
          <t>N25a</t>
        </is>
      </c>
      <c r="B1112" s="43" t="inlineStr">
        <is>
          <t>下弦横隔板</t>
        </is>
      </c>
      <c r="C1112" s="43" t="inlineStr">
        <is>
          <t>节段16</t>
        </is>
      </c>
      <c r="D1112" s="43" t="inlineStr">
        <is>
          <t>Q420D</t>
        </is>
      </c>
      <c r="E1112" s="43" t="n">
        <v>1800</v>
      </c>
      <c r="F1112" s="43" t="n">
        <v>1200</v>
      </c>
      <c r="G1112" s="43" t="n">
        <v>16</v>
      </c>
      <c r="H1112" s="79">
        <f>(E1112/1000)*(F1112/1000)*(G1112/1000)*7850</f>
        <v/>
      </c>
      <c r="I1112" s="43" t="n">
        <v>2</v>
      </c>
      <c r="J1112" s="80">
        <f>H1112*I1112</f>
        <v/>
      </c>
      <c r="K1112" s="43" t="inlineStr">
        <is>
          <t>来源页110</t>
        </is>
      </c>
      <c r="L1112" s="43">
        <f>A1112</f>
        <v/>
      </c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43" t="n"/>
    </row>
    <row r="1113">
      <c r="A1113" s="43" t="inlineStr">
        <is>
          <t>N25'</t>
        </is>
      </c>
      <c r="B1113" s="43" t="inlineStr">
        <is>
          <t>下弦横隔板</t>
        </is>
      </c>
      <c r="C1113" s="43" t="inlineStr">
        <is>
          <t>节段16</t>
        </is>
      </c>
      <c r="D1113" s="43" t="inlineStr">
        <is>
          <t>Q420D</t>
        </is>
      </c>
      <c r="E1113" s="43" t="n">
        <v>2057</v>
      </c>
      <c r="F1113" s="43" t="n">
        <v>200</v>
      </c>
      <c r="G1113" s="43" t="n">
        <v>16</v>
      </c>
      <c r="H1113" s="79">
        <f>(E1113/1000)*(F1113/1000)*(G1113/1000)*7850</f>
        <v/>
      </c>
      <c r="I1113" s="43" t="n">
        <v>3</v>
      </c>
      <c r="J1113" s="80">
        <f>H1113*I1113</f>
        <v/>
      </c>
      <c r="K1113" s="43" t="inlineStr">
        <is>
          <t>来源页110</t>
        </is>
      </c>
      <c r="L1113" s="43">
        <f>A1113</f>
        <v/>
      </c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43" t="n"/>
    </row>
    <row r="1114">
      <c r="A1114" s="43" t="inlineStr">
        <is>
          <t>N26a</t>
        </is>
      </c>
      <c r="B1114" s="43" t="inlineStr">
        <is>
          <t>下弦加劲肋</t>
        </is>
      </c>
      <c r="C1114" s="43" t="inlineStr">
        <is>
          <t>节段16</t>
        </is>
      </c>
      <c r="D1114" s="43" t="inlineStr">
        <is>
          <t>Q420D</t>
        </is>
      </c>
      <c r="E1114" s="43" t="n">
        <v>7900</v>
      </c>
      <c r="F1114" s="43" t="n">
        <v>320</v>
      </c>
      <c r="G1114" s="43" t="n">
        <v>32</v>
      </c>
      <c r="H1114" s="79">
        <f>(E1114/1000)*(F1114/1000)*(G1114/1000)*7850</f>
        <v/>
      </c>
      <c r="I1114" s="43" t="n">
        <v>4</v>
      </c>
      <c r="J1114" s="80">
        <f>H1114*I1114</f>
        <v/>
      </c>
      <c r="K1114" s="43" t="inlineStr">
        <is>
          <t>来源页110</t>
        </is>
      </c>
      <c r="L1114" s="43">
        <f>A1114</f>
        <v/>
      </c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43" t="n"/>
    </row>
    <row r="1115">
      <c r="A1115" s="43" t="inlineStr">
        <is>
          <t>N26b</t>
        </is>
      </c>
      <c r="B1115" s="43" t="inlineStr">
        <is>
          <t>下弦加劲肋</t>
        </is>
      </c>
      <c r="C1115" s="43" t="inlineStr">
        <is>
          <t>节段16</t>
        </is>
      </c>
      <c r="D1115" s="43" t="inlineStr">
        <is>
          <t>Q420D</t>
        </is>
      </c>
      <c r="E1115" s="43" t="n">
        <v>7100</v>
      </c>
      <c r="F1115" s="43" t="n">
        <v>320</v>
      </c>
      <c r="G1115" s="43" t="n">
        <v>32</v>
      </c>
      <c r="H1115" s="79">
        <f>(E1115/1000)*(F1115/1000)*(G1115/1000)*7850</f>
        <v/>
      </c>
      <c r="I1115" s="43" t="n">
        <v>4</v>
      </c>
      <c r="J1115" s="80">
        <f>H1115*I1115</f>
        <v/>
      </c>
      <c r="K1115" s="43" t="inlineStr">
        <is>
          <t>来源页110</t>
        </is>
      </c>
      <c r="L1115" s="43">
        <f>A1115</f>
        <v/>
      </c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43" t="n"/>
    </row>
    <row r="1116">
      <c r="A1116" s="43" t="inlineStr">
        <is>
          <t>N26c</t>
        </is>
      </c>
      <c r="B1116" s="43" t="inlineStr">
        <is>
          <t>下弦加劲肋</t>
        </is>
      </c>
      <c r="C1116" s="43" t="inlineStr">
        <is>
          <t>节段16</t>
        </is>
      </c>
      <c r="D1116" s="43" t="inlineStr">
        <is>
          <t>Q420D</t>
        </is>
      </c>
      <c r="E1116" s="43" t="n">
        <v>15000</v>
      </c>
      <c r="F1116" s="43" t="n">
        <v>170</v>
      </c>
      <c r="G1116" s="43" t="n">
        <v>14</v>
      </c>
      <c r="H1116" s="79">
        <f>(E1116/1000)*(F1116/1000)*(G1116/1000)*7850</f>
        <v/>
      </c>
      <c r="I1116" s="43" t="n">
        <v>2</v>
      </c>
      <c r="J1116" s="80">
        <f>H1116*I1116</f>
        <v/>
      </c>
      <c r="K1116" s="43" t="inlineStr">
        <is>
          <t>来源页110</t>
        </is>
      </c>
      <c r="L1116" s="43">
        <f>A1116</f>
        <v/>
      </c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43" t="n"/>
    </row>
    <row r="1117">
      <c r="A1117" s="43" t="inlineStr">
        <is>
          <t>N31</t>
        </is>
      </c>
      <c r="B1117" s="43" t="inlineStr">
        <is>
          <t>斜腹杆</t>
        </is>
      </c>
      <c r="C1117" s="43" t="inlineStr">
        <is>
          <t>节段16</t>
        </is>
      </c>
      <c r="D1117" s="43" t="inlineStr">
        <is>
          <t>Q420D</t>
        </is>
      </c>
      <c r="E1117" s="43" t="n">
        <v>10875</v>
      </c>
      <c r="F1117" s="43" t="n">
        <v>1200</v>
      </c>
      <c r="G1117" s="43" t="n">
        <v>40</v>
      </c>
      <c r="H1117" s="79">
        <f>(E1117/1000)*(F1117/1000)*(G1117/1000)*7850</f>
        <v/>
      </c>
      <c r="I1117" s="43" t="n">
        <v>1</v>
      </c>
      <c r="J1117" s="80">
        <f>H1117*I1117</f>
        <v/>
      </c>
      <c r="K1117" s="43" t="inlineStr">
        <is>
          <t>来源页110</t>
        </is>
      </c>
      <c r="L1117" s="43">
        <f>A1117</f>
        <v/>
      </c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43" t="n"/>
    </row>
    <row r="1118">
      <c r="A1118" s="43" t="inlineStr">
        <is>
          <t>N31a</t>
        </is>
      </c>
      <c r="B1118" s="43" t="inlineStr">
        <is>
          <t>斜腹杆</t>
        </is>
      </c>
      <c r="C1118" s="43" t="inlineStr">
        <is>
          <t>节段16</t>
        </is>
      </c>
      <c r="D1118" s="43" t="inlineStr">
        <is>
          <t>Q420D</t>
        </is>
      </c>
      <c r="E1118" s="43" t="n">
        <v>11075</v>
      </c>
      <c r="F1118" s="43" t="n">
        <v>1200</v>
      </c>
      <c r="G1118" s="43" t="n">
        <v>40</v>
      </c>
      <c r="H1118" s="79">
        <f>(E1118/1000)*(F1118/1000)*(G1118/1000)*7850</f>
        <v/>
      </c>
      <c r="I1118" s="43" t="n">
        <v>1</v>
      </c>
      <c r="J1118" s="80">
        <f>H1118*I1118</f>
        <v/>
      </c>
      <c r="K1118" s="43" t="inlineStr">
        <is>
          <t>来源页110</t>
        </is>
      </c>
      <c r="L1118" s="43">
        <f>A1118</f>
        <v/>
      </c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43" t="n"/>
    </row>
    <row r="1119">
      <c r="A1119" s="43" t="inlineStr">
        <is>
          <t>N32</t>
        </is>
      </c>
      <c r="B1119" s="43" t="inlineStr">
        <is>
          <t>斜腹杆</t>
        </is>
      </c>
      <c r="C1119" s="43" t="inlineStr">
        <is>
          <t>节段16</t>
        </is>
      </c>
      <c r="D1119" s="43" t="inlineStr">
        <is>
          <t>Q420D</t>
        </is>
      </c>
      <c r="E1119" s="43" t="n">
        <v>7275</v>
      </c>
      <c r="F1119" s="43" t="n">
        <v>1760</v>
      </c>
      <c r="G1119" s="43" t="n">
        <v>40</v>
      </c>
      <c r="H1119" s="79">
        <f>(E1119/1000)*(F1119/1000)*(G1119/1000)*7850</f>
        <v/>
      </c>
      <c r="I1119" s="43" t="n">
        <v>2</v>
      </c>
      <c r="J1119" s="80">
        <f>H1119*I1119</f>
        <v/>
      </c>
      <c r="K1119" s="43" t="inlineStr">
        <is>
          <t>来源页110</t>
        </is>
      </c>
      <c r="L1119" s="43">
        <f>A1119</f>
        <v/>
      </c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43" t="n"/>
    </row>
    <row r="1120">
      <c r="A1120" s="43" t="inlineStr">
        <is>
          <t>N33</t>
        </is>
      </c>
      <c r="B1120" s="43" t="inlineStr">
        <is>
          <t>斜腹杆</t>
        </is>
      </c>
      <c r="C1120" s="43" t="inlineStr">
        <is>
          <t>节段16</t>
        </is>
      </c>
      <c r="D1120" s="43" t="inlineStr">
        <is>
          <t>Q420D</t>
        </is>
      </c>
      <c r="E1120" s="43" t="n">
        <v>7275</v>
      </c>
      <c r="F1120" s="43" t="n">
        <v>320</v>
      </c>
      <c r="G1120" s="43" t="n">
        <v>32</v>
      </c>
      <c r="H1120" s="79">
        <f>(E1120/1000)*(F1120/1000)*(G1120/1000)*7850</f>
        <v/>
      </c>
      <c r="I1120" s="43" t="n">
        <v>4</v>
      </c>
      <c r="J1120" s="80">
        <f>H1120*I1120</f>
        <v/>
      </c>
      <c r="K1120" s="43" t="inlineStr">
        <is>
          <t>来源页110</t>
        </is>
      </c>
      <c r="L1120" s="43">
        <f>A1120</f>
        <v/>
      </c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43" t="n"/>
    </row>
    <row r="1121">
      <c r="A1121" s="43" t="inlineStr">
        <is>
          <t>N33a</t>
        </is>
      </c>
      <c r="B1121" s="43" t="inlineStr">
        <is>
          <t>斜腹杆</t>
        </is>
      </c>
      <c r="C1121" s="43" t="inlineStr">
        <is>
          <t>节段16</t>
        </is>
      </c>
      <c r="D1121" s="43" t="inlineStr">
        <is>
          <t>Q420D</t>
        </is>
      </c>
      <c r="E1121" s="43" t="n">
        <v>9475</v>
      </c>
      <c r="F1121" s="43" t="n">
        <v>320</v>
      </c>
      <c r="G1121" s="43" t="n">
        <v>32</v>
      </c>
      <c r="H1121" s="79">
        <f>(E1121/1000)*(F1121/1000)*(G1121/1000)*7850</f>
        <v/>
      </c>
      <c r="I1121" s="43" t="n">
        <v>1</v>
      </c>
      <c r="J1121" s="80">
        <f>H1121*I1121</f>
        <v/>
      </c>
      <c r="K1121" s="43" t="inlineStr">
        <is>
          <t>来源页110</t>
        </is>
      </c>
      <c r="L1121" s="43">
        <f>A1121</f>
        <v/>
      </c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43" t="n"/>
    </row>
    <row r="1122">
      <c r="A1122" s="43" t="inlineStr">
        <is>
          <t>N33b</t>
        </is>
      </c>
      <c r="B1122" s="43" t="inlineStr">
        <is>
          <t>斜腹杆</t>
        </is>
      </c>
      <c r="C1122" s="43" t="inlineStr">
        <is>
          <t>节段16</t>
        </is>
      </c>
      <c r="D1122" s="43" t="inlineStr">
        <is>
          <t>Q420D</t>
        </is>
      </c>
      <c r="E1122" s="43" t="n">
        <v>9675</v>
      </c>
      <c r="F1122" s="43" t="n">
        <v>320</v>
      </c>
      <c r="G1122" s="43" t="n">
        <v>32</v>
      </c>
      <c r="H1122" s="79">
        <f>(E1122/1000)*(F1122/1000)*(G1122/1000)*7850</f>
        <v/>
      </c>
      <c r="I1122" s="43" t="n">
        <v>1</v>
      </c>
      <c r="J1122" s="80">
        <f>H1122*I1122</f>
        <v/>
      </c>
      <c r="K1122" s="43" t="inlineStr">
        <is>
          <t>来源页110</t>
        </is>
      </c>
      <c r="L1122" s="43">
        <f>A1122</f>
        <v/>
      </c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43" t="n"/>
    </row>
    <row r="1123">
      <c r="A1123" s="43" t="inlineStr">
        <is>
          <t>N34</t>
        </is>
      </c>
      <c r="B1123" s="43" t="inlineStr">
        <is>
          <t>斜腹杆</t>
        </is>
      </c>
      <c r="C1123" s="43" t="inlineStr">
        <is>
          <t>节段16</t>
        </is>
      </c>
      <c r="D1123" s="43" t="inlineStr">
        <is>
          <t>Q420D</t>
        </is>
      </c>
      <c r="E1123" s="43" t="n">
        <v>1200</v>
      </c>
      <c r="F1123" s="43" t="n">
        <v>1600</v>
      </c>
      <c r="G1123" s="43" t="n">
        <v>16</v>
      </c>
      <c r="H1123" s="79">
        <f>(E1123/1000)*(F1123/1000)*(G1123/1000)*7850</f>
        <v/>
      </c>
      <c r="I1123" s="43" t="n">
        <v>3</v>
      </c>
      <c r="J1123" s="80">
        <f>H1123*I1123</f>
        <v/>
      </c>
      <c r="K1123" s="43" t="inlineStr">
        <is>
          <t>来源页110</t>
        </is>
      </c>
      <c r="L1123" s="43">
        <f>A1123</f>
        <v/>
      </c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43" t="n"/>
    </row>
    <row r="1124">
      <c r="A1124" s="43" t="inlineStr">
        <is>
          <t>N41</t>
        </is>
      </c>
      <c r="B1124" s="43" t="inlineStr">
        <is>
          <t>斜腹杆</t>
        </is>
      </c>
      <c r="C1124" s="43" t="inlineStr">
        <is>
          <t>节段16</t>
        </is>
      </c>
      <c r="D1124" s="43" t="inlineStr">
        <is>
          <t>Q420D</t>
        </is>
      </c>
      <c r="E1124" s="43" t="n">
        <v>5429</v>
      </c>
      <c r="F1124" s="43" t="n">
        <v>1200</v>
      </c>
      <c r="G1124" s="43" t="n">
        <v>40</v>
      </c>
      <c r="H1124" s="79">
        <f>(E1124/1000)*(F1124/1000)*(G1124/1000)*7850</f>
        <v/>
      </c>
      <c r="I1124" s="43" t="n">
        <v>1</v>
      </c>
      <c r="J1124" s="80">
        <f>H1124*I1124</f>
        <v/>
      </c>
      <c r="K1124" s="43" t="inlineStr">
        <is>
          <t>来源页110</t>
        </is>
      </c>
      <c r="L1124" s="43">
        <f>A1124</f>
        <v/>
      </c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43" t="n"/>
    </row>
    <row r="1125">
      <c r="A1125" s="43" t="inlineStr">
        <is>
          <t>N41a</t>
        </is>
      </c>
      <c r="B1125" s="43" t="inlineStr">
        <is>
          <t>斜腹杆</t>
        </is>
      </c>
      <c r="C1125" s="43" t="inlineStr">
        <is>
          <t>节段16</t>
        </is>
      </c>
      <c r="D1125" s="43" t="inlineStr">
        <is>
          <t>Q420D</t>
        </is>
      </c>
      <c r="E1125" s="43" t="n">
        <v>5629</v>
      </c>
      <c r="F1125" s="43" t="n">
        <v>1200</v>
      </c>
      <c r="G1125" s="43" t="n">
        <v>40</v>
      </c>
      <c r="H1125" s="79">
        <f>(E1125/1000)*(F1125/1000)*(G1125/1000)*7850</f>
        <v/>
      </c>
      <c r="I1125" s="43" t="n">
        <v>1</v>
      </c>
      <c r="J1125" s="80">
        <f>H1125*I1125</f>
        <v/>
      </c>
      <c r="K1125" s="43" t="inlineStr">
        <is>
          <t>来源页110</t>
        </is>
      </c>
      <c r="L1125" s="43">
        <f>A1125</f>
        <v/>
      </c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43" t="n"/>
    </row>
    <row r="1126">
      <c r="A1126" s="43" t="inlineStr">
        <is>
          <t>N42</t>
        </is>
      </c>
      <c r="B1126" s="43" t="inlineStr">
        <is>
          <t>斜腹杆</t>
        </is>
      </c>
      <c r="C1126" s="43" t="inlineStr">
        <is>
          <t>节段16</t>
        </is>
      </c>
      <c r="D1126" s="43" t="inlineStr">
        <is>
          <t>Q420D</t>
        </is>
      </c>
      <c r="E1126" s="43" t="n">
        <v>3629</v>
      </c>
      <c r="F1126" s="43" t="n">
        <v>1760</v>
      </c>
      <c r="G1126" s="43" t="n">
        <v>40</v>
      </c>
      <c r="H1126" s="79">
        <f>(E1126/1000)*(F1126/1000)*(G1126/1000)*7850</f>
        <v/>
      </c>
      <c r="I1126" s="43" t="n">
        <v>2</v>
      </c>
      <c r="J1126" s="80">
        <f>H1126*I1126</f>
        <v/>
      </c>
      <c r="K1126" s="43" t="inlineStr">
        <is>
          <t>来源页110</t>
        </is>
      </c>
      <c r="L1126" s="43">
        <f>A1126</f>
        <v/>
      </c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43" t="n"/>
    </row>
    <row r="1127">
      <c r="A1127" s="43" t="inlineStr">
        <is>
          <t>N43</t>
        </is>
      </c>
      <c r="B1127" s="43" t="inlineStr">
        <is>
          <t>斜腹杆</t>
        </is>
      </c>
      <c r="C1127" s="43" t="inlineStr">
        <is>
          <t>节段16</t>
        </is>
      </c>
      <c r="D1127" s="43" t="inlineStr">
        <is>
          <t>Q420D</t>
        </is>
      </c>
      <c r="E1127" s="43" t="n">
        <v>3629</v>
      </c>
      <c r="F1127" s="43" t="n">
        <v>320</v>
      </c>
      <c r="G1127" s="43" t="n">
        <v>32</v>
      </c>
      <c r="H1127" s="79">
        <f>(E1127/1000)*(F1127/1000)*(G1127/1000)*7850</f>
        <v/>
      </c>
      <c r="I1127" s="43" t="n">
        <v>4</v>
      </c>
      <c r="J1127" s="80">
        <f>H1127*I1127</f>
        <v/>
      </c>
      <c r="K1127" s="43" t="inlineStr">
        <is>
          <t>来源页110</t>
        </is>
      </c>
      <c r="L1127" s="43">
        <f>A1127</f>
        <v/>
      </c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43" t="n"/>
    </row>
    <row r="1128">
      <c r="A1128" s="43" t="inlineStr">
        <is>
          <t>N43a</t>
        </is>
      </c>
      <c r="B1128" s="43" t="inlineStr">
        <is>
          <t>斜腹杆</t>
        </is>
      </c>
      <c r="C1128" s="43" t="inlineStr">
        <is>
          <t>节段16</t>
        </is>
      </c>
      <c r="D1128" s="43" t="inlineStr">
        <is>
          <t>Q420D</t>
        </is>
      </c>
      <c r="E1128" s="43" t="n">
        <v>4729</v>
      </c>
      <c r="F1128" s="43" t="n">
        <v>320</v>
      </c>
      <c r="G1128" s="43" t="n">
        <v>32</v>
      </c>
      <c r="H1128" s="79">
        <f>(E1128/1000)*(F1128/1000)*(G1128/1000)*7850</f>
        <v/>
      </c>
      <c r="I1128" s="43" t="n">
        <v>1</v>
      </c>
      <c r="J1128" s="80">
        <f>H1128*I1128</f>
        <v/>
      </c>
      <c r="K1128" s="43" t="inlineStr">
        <is>
          <t>来源页110</t>
        </is>
      </c>
      <c r="L1128" s="43">
        <f>A1128</f>
        <v/>
      </c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43" t="n"/>
    </row>
    <row r="1129">
      <c r="A1129" s="43" t="inlineStr">
        <is>
          <t>N44</t>
        </is>
      </c>
      <c r="B1129" s="43" t="inlineStr">
        <is>
          <t>斜腹杆</t>
        </is>
      </c>
      <c r="C1129" s="43" t="inlineStr">
        <is>
          <t>节段16</t>
        </is>
      </c>
      <c r="D1129" s="43" t="inlineStr">
        <is>
          <t>Q420D</t>
        </is>
      </c>
      <c r="E1129" s="43" t="n">
        <v>1200</v>
      </c>
      <c r="F1129" s="43" t="n">
        <v>1600</v>
      </c>
      <c r="G1129" s="43" t="n">
        <v>16</v>
      </c>
      <c r="H1129" s="79">
        <f>(E1129/1000)*(F1129/1000)*(G1129/1000)*7850</f>
        <v/>
      </c>
      <c r="I1129" s="43" t="n">
        <v>3</v>
      </c>
      <c r="J1129" s="80">
        <f>H1129*I1129</f>
        <v/>
      </c>
      <c r="K1129" s="43" t="inlineStr">
        <is>
          <t>来源页110</t>
        </is>
      </c>
      <c r="L1129" s="43">
        <f>A1129</f>
        <v/>
      </c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43" t="n"/>
    </row>
    <row r="1130">
      <c r="A1130" s="43" t="inlineStr">
        <is>
          <t>N51</t>
        </is>
      </c>
      <c r="B1130" s="43" t="inlineStr">
        <is>
          <t>节点板加劲</t>
        </is>
      </c>
      <c r="C1130" s="43" t="inlineStr">
        <is>
          <t>节段16</t>
        </is>
      </c>
      <c r="D1130" s="43" t="inlineStr">
        <is>
          <t>Q420D</t>
        </is>
      </c>
      <c r="E1130" s="43" t="n">
        <v>5440</v>
      </c>
      <c r="F1130" s="43" t="n">
        <v>1200</v>
      </c>
      <c r="G1130" s="43" t="n">
        <v>40</v>
      </c>
      <c r="H1130" s="79">
        <f>(E1130/1000)*(F1130/1000)*(G1130/1000)*7850</f>
        <v/>
      </c>
      <c r="I1130" s="43" t="n">
        <v>1</v>
      </c>
      <c r="J1130" s="80">
        <f>H1130*I1130</f>
        <v/>
      </c>
      <c r="K1130" s="43" t="inlineStr">
        <is>
          <t>来源页110</t>
        </is>
      </c>
      <c r="L1130" s="43">
        <f>A1130</f>
        <v/>
      </c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43" t="n"/>
    </row>
    <row r="1131">
      <c r="A1131" s="43" t="inlineStr">
        <is>
          <t>N51α</t>
        </is>
      </c>
      <c r="B1131" s="43" t="inlineStr">
        <is>
          <t>节点板加劲</t>
        </is>
      </c>
      <c r="C1131" s="43" t="inlineStr">
        <is>
          <t>节段16</t>
        </is>
      </c>
      <c r="D1131" s="43" t="inlineStr">
        <is>
          <t>Q420D</t>
        </is>
      </c>
      <c r="E1131" s="43" t="n">
        <v>5640</v>
      </c>
      <c r="F1131" s="43" t="n">
        <v>1200</v>
      </c>
      <c r="G1131" s="43" t="n">
        <v>40</v>
      </c>
      <c r="H1131" s="79">
        <f>(E1131/1000)*(F1131/1000)*(G1131/1000)*7850</f>
        <v/>
      </c>
      <c r="I1131" s="43" t="n">
        <v>1</v>
      </c>
      <c r="J1131" s="80">
        <f>H1131*I1131</f>
        <v/>
      </c>
      <c r="K1131" s="43" t="inlineStr">
        <is>
          <t>来源页110</t>
        </is>
      </c>
      <c r="L1131" s="43">
        <f>A1131</f>
        <v/>
      </c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43" t="n"/>
    </row>
    <row r="1132">
      <c r="A1132" s="43" t="inlineStr">
        <is>
          <t>N52</t>
        </is>
      </c>
      <c r="B1132" s="43" t="inlineStr">
        <is>
          <t>节点板加劲</t>
        </is>
      </c>
      <c r="C1132" s="43" t="inlineStr">
        <is>
          <t>节段16</t>
        </is>
      </c>
      <c r="D1132" s="43" t="inlineStr">
        <is>
          <t>Q420D</t>
        </is>
      </c>
      <c r="E1132" s="43" t="n">
        <v>3640</v>
      </c>
      <c r="F1132" s="43" t="n">
        <v>1760</v>
      </c>
      <c r="G1132" s="43" t="n">
        <v>40</v>
      </c>
      <c r="H1132" s="79">
        <f>(E1132/1000)*(F1132/1000)*(G1132/1000)*7850</f>
        <v/>
      </c>
      <c r="I1132" s="43" t="n">
        <v>2</v>
      </c>
      <c r="J1132" s="80">
        <f>H1132*I1132</f>
        <v/>
      </c>
      <c r="K1132" s="43" t="inlineStr">
        <is>
          <t>来源页110</t>
        </is>
      </c>
      <c r="L1132" s="43">
        <f>A1132</f>
        <v/>
      </c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43" t="n"/>
    </row>
    <row r="1133">
      <c r="A1133" s="43" t="inlineStr">
        <is>
          <t>N53</t>
        </is>
      </c>
      <c r="B1133" s="43" t="inlineStr">
        <is>
          <t>节点板加劲</t>
        </is>
      </c>
      <c r="C1133" s="43" t="inlineStr">
        <is>
          <t>节段16</t>
        </is>
      </c>
      <c r="D1133" s="43" t="inlineStr">
        <is>
          <t>Q420D</t>
        </is>
      </c>
      <c r="E1133" s="43" t="n">
        <v>3640</v>
      </c>
      <c r="F1133" s="43" t="n">
        <v>320</v>
      </c>
      <c r="G1133" s="43" t="n">
        <v>32</v>
      </c>
      <c r="H1133" s="79">
        <f>(E1133/1000)*(F1133/1000)*(G1133/1000)*7850</f>
        <v/>
      </c>
      <c r="I1133" s="43" t="n">
        <v>4</v>
      </c>
      <c r="J1133" s="80">
        <f>H1133*I1133</f>
        <v/>
      </c>
      <c r="K1133" s="43" t="inlineStr">
        <is>
          <t>来源页110</t>
        </is>
      </c>
      <c r="L1133" s="43">
        <f>A1133</f>
        <v/>
      </c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43" t="n"/>
    </row>
    <row r="1134">
      <c r="A1134" s="43" t="inlineStr">
        <is>
          <t>N53a</t>
        </is>
      </c>
      <c r="B1134" s="43" t="inlineStr">
        <is>
          <t>节点板加劲</t>
        </is>
      </c>
      <c r="C1134" s="43" t="inlineStr">
        <is>
          <t>节段16</t>
        </is>
      </c>
      <c r="D1134" s="43" t="inlineStr">
        <is>
          <t>Q420D</t>
        </is>
      </c>
      <c r="E1134" s="43" t="n">
        <v>4740</v>
      </c>
      <c r="F1134" s="43" t="n">
        <v>320</v>
      </c>
      <c r="G1134" s="43" t="n">
        <v>32</v>
      </c>
      <c r="H1134" s="79">
        <f>(E1134/1000)*(F1134/1000)*(G1134/1000)*7850</f>
        <v/>
      </c>
      <c r="I1134" s="43" t="n">
        <v>1</v>
      </c>
      <c r="J1134" s="80">
        <f>H1134*I1134</f>
        <v/>
      </c>
      <c r="K1134" s="43" t="inlineStr">
        <is>
          <t>来源页110</t>
        </is>
      </c>
      <c r="L1134" s="43">
        <f>A1134</f>
        <v/>
      </c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43" t="n"/>
    </row>
    <row r="1135">
      <c r="A1135" s="43" t="inlineStr">
        <is>
          <t>N53b</t>
        </is>
      </c>
      <c r="B1135" s="43" t="inlineStr">
        <is>
          <t>节点板加劲</t>
        </is>
      </c>
      <c r="C1135" s="43" t="inlineStr">
        <is>
          <t>节段16</t>
        </is>
      </c>
      <c r="D1135" s="43" t="inlineStr">
        <is>
          <t>Q420D</t>
        </is>
      </c>
      <c r="E1135" s="43" t="n">
        <v>4940</v>
      </c>
      <c r="F1135" s="43" t="n">
        <v>320</v>
      </c>
      <c r="G1135" s="43" t="n">
        <v>32</v>
      </c>
      <c r="H1135" s="79">
        <f>(E1135/1000)*(F1135/1000)*(G1135/1000)*7850</f>
        <v/>
      </c>
      <c r="I1135" s="43" t="n">
        <v>1</v>
      </c>
      <c r="J1135" s="80">
        <f>H1135*I1135</f>
        <v/>
      </c>
      <c r="K1135" s="43" t="inlineStr">
        <is>
          <t>来源页110</t>
        </is>
      </c>
      <c r="L1135" s="43">
        <f>A1135</f>
        <v/>
      </c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43" t="n"/>
    </row>
    <row r="1136">
      <c r="A1136" s="43" t="inlineStr">
        <is>
          <t>N54</t>
        </is>
      </c>
      <c r="B1136" s="43" t="inlineStr">
        <is>
          <t>节点板加劲</t>
        </is>
      </c>
      <c r="C1136" s="43" t="inlineStr">
        <is>
          <t>节段16</t>
        </is>
      </c>
      <c r="D1136" s="43" t="inlineStr">
        <is>
          <t>Q420D</t>
        </is>
      </c>
      <c r="E1136" s="43" t="n">
        <v>1200</v>
      </c>
      <c r="F1136" s="43" t="n">
        <v>1600</v>
      </c>
      <c r="G1136" s="43" t="n">
        <v>16</v>
      </c>
      <c r="H1136" s="79">
        <f>(E1136/1000)*(F1136/1000)*(G1136/1000)*7850</f>
        <v/>
      </c>
      <c r="I1136" s="43" t="n">
        <v>3</v>
      </c>
      <c r="J1136" s="80">
        <f>H1136*I1136</f>
        <v/>
      </c>
      <c r="K1136" s="43" t="inlineStr">
        <is>
          <t>来源页110</t>
        </is>
      </c>
      <c r="L1136" s="43">
        <f>A1136</f>
        <v/>
      </c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43" t="n"/>
    </row>
    <row r="1137">
      <c r="A1137" s="43" t="inlineStr">
        <is>
          <t>N55</t>
        </is>
      </c>
      <c r="B1137" s="43" t="inlineStr">
        <is>
          <t>节点板加劲</t>
        </is>
      </c>
      <c r="C1137" s="43" t="inlineStr">
        <is>
          <t>节段16</t>
        </is>
      </c>
      <c r="D1137" s="43" t="inlineStr">
        <is>
          <t>Q420D</t>
        </is>
      </c>
      <c r="E1137" s="43" t="n">
        <v>2100</v>
      </c>
      <c r="F1137" s="43" t="n">
        <v>320</v>
      </c>
      <c r="G1137" s="43" t="n">
        <v>32</v>
      </c>
      <c r="H1137" s="79">
        <f>(E1137/1000)*(F1137/1000)*(G1137/1000)*7850</f>
        <v/>
      </c>
      <c r="I1137" s="43" t="n">
        <v>8</v>
      </c>
      <c r="J1137" s="80">
        <f>H1137*I1137</f>
        <v/>
      </c>
      <c r="K1137" s="43" t="inlineStr">
        <is>
          <t>来源页110</t>
        </is>
      </c>
      <c r="L1137" s="43">
        <f>A1137</f>
        <v/>
      </c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43" t="n"/>
    </row>
    <row r="1138">
      <c r="A1138" s="43" t="inlineStr">
        <is>
          <t>N56</t>
        </is>
      </c>
      <c r="B1138" s="43" t="inlineStr">
        <is>
          <t>节点板加劲</t>
        </is>
      </c>
      <c r="C1138" s="43" t="inlineStr">
        <is>
          <t>节段16</t>
        </is>
      </c>
      <c r="D1138" s="43" t="inlineStr">
        <is>
          <t>Q420D</t>
        </is>
      </c>
      <c r="E1138" s="43" t="n">
        <v>2000</v>
      </c>
      <c r="F1138" s="43" t="n">
        <v>320</v>
      </c>
      <c r="G1138" s="43" t="n">
        <v>32</v>
      </c>
      <c r="H1138" s="79">
        <f>(E1138/1000)*(F1138/1000)*(G1138/1000)*7850</f>
        <v/>
      </c>
      <c r="I1138" s="43" t="n">
        <v>8</v>
      </c>
      <c r="J1138" s="80">
        <f>H1138*I1138</f>
        <v/>
      </c>
      <c r="K1138" s="43" t="inlineStr">
        <is>
          <t>来源页110</t>
        </is>
      </c>
      <c r="L1138" s="43">
        <f>A1138</f>
        <v/>
      </c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43" t="n"/>
    </row>
    <row r="1139">
      <c r="A1139" s="43" t="inlineStr">
        <is>
          <t>N61a</t>
        </is>
      </c>
      <c r="B1139" s="43" t="inlineStr">
        <is>
          <t>横梁接头</t>
        </is>
      </c>
      <c r="C1139" s="43" t="inlineStr">
        <is>
          <t>节段16</t>
        </is>
      </c>
      <c r="D1139" s="43" t="inlineStr">
        <is>
          <t>Q355D</t>
        </is>
      </c>
      <c r="E1139" s="43" t="n">
        <v>1960</v>
      </c>
      <c r="F1139" s="43" t="n">
        <v>602</v>
      </c>
      <c r="G1139" s="43" t="n">
        <v>14</v>
      </c>
      <c r="H1139" s="79">
        <f>(E1139/1000)*(F1139/1000)*(G1139/1000)*7850</f>
        <v/>
      </c>
      <c r="I1139" s="43" t="n">
        <v>4</v>
      </c>
      <c r="J1139" s="80">
        <f>H1139*I1139</f>
        <v/>
      </c>
      <c r="K1139" s="43" t="inlineStr">
        <is>
          <t>来源页110</t>
        </is>
      </c>
      <c r="L1139" s="43">
        <f>A1139</f>
        <v/>
      </c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43" t="n"/>
    </row>
    <row r="1140">
      <c r="A1140" s="43" t="inlineStr">
        <is>
          <t>N62</t>
        </is>
      </c>
      <c r="B1140" s="43" t="inlineStr">
        <is>
          <t>横梁接头</t>
        </is>
      </c>
      <c r="C1140" s="43" t="inlineStr">
        <is>
          <t>节段16</t>
        </is>
      </c>
      <c r="D1140" s="43" t="inlineStr">
        <is>
          <t>Q355D</t>
        </is>
      </c>
      <c r="E1140" s="43" t="n"/>
      <c r="F1140" s="43" t="n"/>
      <c r="G1140" s="43" t="n">
        <v>24</v>
      </c>
      <c r="H1140" s="79">
        <f>(E1140/1000)*(F1140/1000)*(G1140/1000)*7850</f>
        <v/>
      </c>
      <c r="I1140" s="43" t="n">
        <v>6</v>
      </c>
      <c r="J1140" s="80">
        <f>H1140*I1140</f>
        <v/>
      </c>
      <c r="K1140" s="43" t="inlineStr">
        <is>
          <t>来源页110</t>
        </is>
      </c>
      <c r="L1140" s="43">
        <f>A1140</f>
        <v/>
      </c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43" t="n"/>
    </row>
    <row r="1141">
      <c r="A1141" s="43" t="inlineStr">
        <is>
          <t>N62a</t>
        </is>
      </c>
      <c r="B1141" s="43" t="inlineStr">
        <is>
          <t>横梁接头</t>
        </is>
      </c>
      <c r="C1141" s="43" t="inlineStr">
        <is>
          <t>节段16</t>
        </is>
      </c>
      <c r="D1141" s="43" t="inlineStr">
        <is>
          <t>Q355D</t>
        </is>
      </c>
      <c r="E1141" s="43" t="n"/>
      <c r="F1141" s="43" t="n"/>
      <c r="G1141" s="43" t="n">
        <v>24</v>
      </c>
      <c r="H1141" s="79">
        <f>(E1141/1000)*(F1141/1000)*(G1141/1000)*7850</f>
        <v/>
      </c>
      <c r="I1141" s="43" t="n">
        <v>4</v>
      </c>
      <c r="J1141" s="80">
        <f>H1141*I1141</f>
        <v/>
      </c>
      <c r="K1141" s="43" t="inlineStr">
        <is>
          <t>来源页110</t>
        </is>
      </c>
      <c r="L1141" s="43">
        <f>A1141</f>
        <v/>
      </c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43" t="n"/>
    </row>
    <row r="1142">
      <c r="A1142" s="43" t="inlineStr">
        <is>
          <t>N63</t>
        </is>
      </c>
      <c r="B1142" s="43" t="inlineStr">
        <is>
          <t>横梁接头</t>
        </is>
      </c>
      <c r="C1142" s="43" t="inlineStr">
        <is>
          <t>节段16</t>
        </is>
      </c>
      <c r="D1142" s="43" t="inlineStr">
        <is>
          <t>Q355D</t>
        </is>
      </c>
      <c r="E1142" s="43" t="n">
        <v>1800</v>
      </c>
      <c r="F1142" s="43" t="n">
        <v>606</v>
      </c>
      <c r="G1142" s="43" t="n">
        <v>14</v>
      </c>
      <c r="H1142" s="79">
        <f>(E1142/1000)*(F1142/1000)*(G1142/1000)*7850</f>
        <v/>
      </c>
      <c r="I1142" s="43" t="n">
        <v>6</v>
      </c>
      <c r="J1142" s="80">
        <f>H1142*I1142</f>
        <v/>
      </c>
      <c r="K1142" s="43" t="inlineStr">
        <is>
          <t>来源页110</t>
        </is>
      </c>
      <c r="L1142" s="43">
        <f>A1142</f>
        <v/>
      </c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43" t="n"/>
    </row>
    <row r="1143">
      <c r="A1143" s="43" t="inlineStr">
        <is>
          <t>N63a</t>
        </is>
      </c>
      <c r="B1143" s="43" t="inlineStr">
        <is>
          <t>横梁接头</t>
        </is>
      </c>
      <c r="C1143" s="43" t="inlineStr">
        <is>
          <t>节段16</t>
        </is>
      </c>
      <c r="D1143" s="43" t="inlineStr">
        <is>
          <t>Q355D</t>
        </is>
      </c>
      <c r="E1143" s="43" t="n">
        <v>1800</v>
      </c>
      <c r="F1143" s="43" t="n">
        <v>606</v>
      </c>
      <c r="G1143" s="43" t="n">
        <v>14</v>
      </c>
      <c r="H1143" s="79">
        <f>(E1143/1000)*(F1143/1000)*(G1143/1000)*7850</f>
        <v/>
      </c>
      <c r="I1143" s="43" t="n">
        <v>4</v>
      </c>
      <c r="J1143" s="80">
        <f>H1143*I1143</f>
        <v/>
      </c>
      <c r="K1143" s="43" t="inlineStr">
        <is>
          <t>来源页110</t>
        </is>
      </c>
      <c r="L1143" s="43">
        <f>A1143</f>
        <v/>
      </c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43" t="n"/>
    </row>
    <row r="1144">
      <c r="A1144" s="43" t="inlineStr">
        <is>
          <t>P1</t>
        </is>
      </c>
      <c r="B1144" s="43" t="inlineStr"/>
      <c r="C1144" s="43" t="inlineStr">
        <is>
          <t>节段16~节段17</t>
        </is>
      </c>
      <c r="D1144" s="43" t="inlineStr">
        <is>
          <t>Q420D</t>
        </is>
      </c>
      <c r="E1144" s="43" t="n">
        <v>1820</v>
      </c>
      <c r="F1144" s="43" t="n">
        <v>1800</v>
      </c>
      <c r="G1144" s="43" t="n">
        <v>40</v>
      </c>
      <c r="H1144" s="79">
        <f>(E1144/1000)*(F1144/1000)*(G1144/1000)*7850</f>
        <v/>
      </c>
      <c r="I1144" s="43" t="n">
        <v>2</v>
      </c>
      <c r="J1144" s="80">
        <f>H1144*I1144</f>
        <v/>
      </c>
      <c r="K1144" s="43" t="inlineStr">
        <is>
          <t>来源页114</t>
        </is>
      </c>
      <c r="L1144" s="43">
        <f>A1144</f>
        <v/>
      </c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43" t="n"/>
    </row>
    <row r="1145">
      <c r="A1145" s="43" t="inlineStr">
        <is>
          <t>P2</t>
        </is>
      </c>
      <c r="B1145" s="43" t="inlineStr"/>
      <c r="C1145" s="43" t="inlineStr">
        <is>
          <t>节段16~节段17</t>
        </is>
      </c>
      <c r="D1145" s="43" t="inlineStr">
        <is>
          <t>Q420D</t>
        </is>
      </c>
      <c r="E1145" s="43" t="n">
        <v>1820</v>
      </c>
      <c r="F1145" s="43" t="n">
        <v>500</v>
      </c>
      <c r="G1145" s="43" t="n">
        <v>40</v>
      </c>
      <c r="H1145" s="79">
        <f>(E1145/1000)*(F1145/1000)*(G1145/1000)*7850</f>
        <v/>
      </c>
      <c r="I1145" s="43" t="n">
        <v>2</v>
      </c>
      <c r="J1145" s="80">
        <f>H1145*I1145</f>
        <v/>
      </c>
      <c r="K1145" s="43" t="inlineStr">
        <is>
          <t>来源页114</t>
        </is>
      </c>
      <c r="L1145" s="43">
        <f>A1145</f>
        <v/>
      </c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43" t="n"/>
    </row>
    <row r="1146">
      <c r="A1146" s="43" t="inlineStr">
        <is>
          <t>P3</t>
        </is>
      </c>
      <c r="B1146" s="43" t="inlineStr"/>
      <c r="C1146" s="43" t="inlineStr">
        <is>
          <t>节段16~节段17</t>
        </is>
      </c>
      <c r="D1146" s="43" t="inlineStr">
        <is>
          <t>Q420D</t>
        </is>
      </c>
      <c r="E1146" s="43" t="n">
        <v>1820</v>
      </c>
      <c r="F1146" s="43" t="n">
        <v>500</v>
      </c>
      <c r="G1146" s="43" t="n">
        <v>40</v>
      </c>
      <c r="H1146" s="79">
        <f>(E1146/1000)*(F1146/1000)*(G1146/1000)*7850</f>
        <v/>
      </c>
      <c r="I1146" s="43" t="n">
        <v>2</v>
      </c>
      <c r="J1146" s="80">
        <f>H1146*I1146</f>
        <v/>
      </c>
      <c r="K1146" s="43" t="inlineStr">
        <is>
          <t>来源页114</t>
        </is>
      </c>
      <c r="L1146" s="43">
        <f>A1146</f>
        <v/>
      </c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43" t="n"/>
    </row>
    <row r="1147">
      <c r="A1147" s="43" t="inlineStr">
        <is>
          <t>P4</t>
        </is>
      </c>
      <c r="B1147" s="43" t="inlineStr"/>
      <c r="C1147" s="43" t="inlineStr">
        <is>
          <t>节段16~节段17</t>
        </is>
      </c>
      <c r="D1147" s="43" t="inlineStr">
        <is>
          <t>Q420D</t>
        </is>
      </c>
      <c r="E1147" s="43" t="n">
        <v>1820</v>
      </c>
      <c r="F1147" s="43" t="n">
        <v>600</v>
      </c>
      <c r="G1147" s="43" t="n">
        <v>40</v>
      </c>
      <c r="H1147" s="79">
        <f>(E1147/1000)*(F1147/1000)*(G1147/1000)*7850</f>
        <v/>
      </c>
      <c r="I1147" s="43" t="n">
        <v>2</v>
      </c>
      <c r="J1147" s="80">
        <f>H1147*I1147</f>
        <v/>
      </c>
      <c r="K1147" s="43" t="inlineStr">
        <is>
          <t>来源页114</t>
        </is>
      </c>
      <c r="L1147" s="43">
        <f>A1147</f>
        <v/>
      </c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43" t="n"/>
    </row>
    <row r="1148">
      <c r="A1148" s="43" t="inlineStr">
        <is>
          <t>P5</t>
        </is>
      </c>
      <c r="B1148" s="43" t="inlineStr"/>
      <c r="C1148" s="43" t="inlineStr">
        <is>
          <t>节段16~节段17</t>
        </is>
      </c>
      <c r="D1148" s="43" t="inlineStr">
        <is>
          <t>Q420D</t>
        </is>
      </c>
      <c r="E1148" s="43" t="n">
        <v>1720</v>
      </c>
      <c r="F1148" s="43" t="n">
        <v>1100</v>
      </c>
      <c r="G1148" s="43" t="n">
        <v>44</v>
      </c>
      <c r="H1148" s="79">
        <f>(E1148/1000)*(F1148/1000)*(G1148/1000)*7850</f>
        <v/>
      </c>
      <c r="I1148" s="43" t="n">
        <v>1</v>
      </c>
      <c r="J1148" s="80">
        <f>H1148*I1148</f>
        <v/>
      </c>
      <c r="K1148" s="43" t="inlineStr">
        <is>
          <t>来源页114</t>
        </is>
      </c>
      <c r="L1148" s="43">
        <f>A1148</f>
        <v/>
      </c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43" t="n"/>
    </row>
    <row r="1149">
      <c r="A1149" s="43" t="inlineStr">
        <is>
          <t>P6</t>
        </is>
      </c>
      <c r="B1149" s="43" t="inlineStr"/>
      <c r="C1149" s="43" t="inlineStr">
        <is>
          <t>节段16~节段17</t>
        </is>
      </c>
      <c r="D1149" s="43" t="inlineStr">
        <is>
          <t>Q420D</t>
        </is>
      </c>
      <c r="E1149" s="43" t="n">
        <v>1720</v>
      </c>
      <c r="F1149" s="43" t="n">
        <v>400</v>
      </c>
      <c r="G1149" s="43" t="n">
        <v>44</v>
      </c>
      <c r="H1149" s="79">
        <f>(E1149/1000)*(F1149/1000)*(G1149/1000)*7850</f>
        <v/>
      </c>
      <c r="I1149" s="43" t="n">
        <v>2</v>
      </c>
      <c r="J1149" s="80">
        <f>H1149*I1149</f>
        <v/>
      </c>
      <c r="K1149" s="43" t="inlineStr">
        <is>
          <t>来源页114</t>
        </is>
      </c>
      <c r="L1149" s="43">
        <f>A1149</f>
        <v/>
      </c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43" t="n"/>
    </row>
    <row r="1150">
      <c r="A1150" s="43" t="inlineStr">
        <is>
          <t>P7</t>
        </is>
      </c>
      <c r="B1150" s="43" t="inlineStr"/>
      <c r="C1150" s="43" t="inlineStr">
        <is>
          <t>节段16~节段17</t>
        </is>
      </c>
      <c r="D1150" s="43" t="inlineStr">
        <is>
          <t>Q420D</t>
        </is>
      </c>
      <c r="E1150" s="43" t="n">
        <v>1320</v>
      </c>
      <c r="F1150" s="43" t="n">
        <v>240</v>
      </c>
      <c r="G1150" s="43" t="n">
        <v>24</v>
      </c>
      <c r="H1150" s="79">
        <f>(E1150/1000)*(F1150/1000)*(G1150/1000)*7850</f>
        <v/>
      </c>
      <c r="I1150" s="43" t="n">
        <v>10</v>
      </c>
      <c r="J1150" s="80">
        <f>H1150*I1150</f>
        <v/>
      </c>
      <c r="K1150" s="43" t="inlineStr">
        <is>
          <t>来源页114</t>
        </is>
      </c>
      <c r="L1150" s="43">
        <f>A1150</f>
        <v/>
      </c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43" t="n"/>
    </row>
    <row r="1151">
      <c r="A1151" s="43" t="inlineStr">
        <is>
          <t>M30高强螺栓</t>
        </is>
      </c>
      <c r="B1151" s="43" t="inlineStr"/>
      <c r="C1151" s="43" t="inlineStr">
        <is>
          <t>节段16~节段17</t>
        </is>
      </c>
      <c r="D1151" s="43" t="inlineStr">
        <is>
          <t>10.9S</t>
        </is>
      </c>
      <c r="E1151" s="43" t="n"/>
      <c r="F1151" s="43" t="n"/>
      <c r="G1151" s="43" t="n"/>
      <c r="H1151" s="79">
        <f>(E1151/1000)*(F1151/1000)*(G1151/1000)*7850</f>
        <v/>
      </c>
      <c r="I1151" s="43" t="n">
        <v>780</v>
      </c>
      <c r="J1151" s="80">
        <f>H1151*I1151</f>
        <v/>
      </c>
      <c r="K1151" s="43" t="inlineStr">
        <is>
          <t>来源页114</t>
        </is>
      </c>
      <c r="L1151" s="43">
        <f>A1151</f>
        <v/>
      </c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43" t="n"/>
    </row>
    <row r="1152">
      <c r="A1152" s="43" t="inlineStr">
        <is>
          <t>K1</t>
        </is>
      </c>
      <c r="B1152" s="43" t="inlineStr"/>
      <c r="C1152" s="43" t="inlineStr">
        <is>
          <t>节段16~节段17</t>
        </is>
      </c>
      <c r="D1152" s="43" t="inlineStr">
        <is>
          <t>Q420D</t>
        </is>
      </c>
      <c r="E1152" s="43" t="n">
        <v>1220</v>
      </c>
      <c r="F1152" s="43" t="n">
        <v>1700</v>
      </c>
      <c r="G1152" s="43" t="n">
        <v>28</v>
      </c>
      <c r="H1152" s="79">
        <f>(E1152/1000)*(F1152/1000)*(G1152/1000)*7850</f>
        <v/>
      </c>
      <c r="I1152" s="43" t="n">
        <v>2</v>
      </c>
      <c r="J1152" s="80">
        <f>H1152*I1152</f>
        <v/>
      </c>
      <c r="K1152" s="43" t="inlineStr">
        <is>
          <t>来源页114</t>
        </is>
      </c>
      <c r="L1152" s="43">
        <f>A1152</f>
        <v/>
      </c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43" t="n"/>
    </row>
    <row r="1153">
      <c r="A1153" s="43" t="inlineStr">
        <is>
          <t>K2</t>
        </is>
      </c>
      <c r="B1153" s="43" t="inlineStr"/>
      <c r="C1153" s="43" t="inlineStr">
        <is>
          <t>节段16~节段17</t>
        </is>
      </c>
      <c r="D1153" s="43" t="inlineStr">
        <is>
          <t>Q420D</t>
        </is>
      </c>
      <c r="E1153" s="43" t="n">
        <v>1220</v>
      </c>
      <c r="F1153" s="43" t="n">
        <v>800</v>
      </c>
      <c r="G1153" s="43" t="n">
        <v>28</v>
      </c>
      <c r="H1153" s="79">
        <f>(E1153/1000)*(F1153/1000)*(G1153/1000)*7850</f>
        <v/>
      </c>
      <c r="I1153" s="43" t="n">
        <v>4</v>
      </c>
      <c r="J1153" s="80">
        <f>H1153*I1153</f>
        <v/>
      </c>
      <c r="K1153" s="43" t="inlineStr">
        <is>
          <t>来源页114</t>
        </is>
      </c>
      <c r="L1153" s="43">
        <f>A1153</f>
        <v/>
      </c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43" t="n"/>
    </row>
    <row r="1154">
      <c r="A1154" s="43" t="inlineStr">
        <is>
          <t>K3</t>
        </is>
      </c>
      <c r="B1154" s="43" t="inlineStr"/>
      <c r="C1154" s="43" t="inlineStr">
        <is>
          <t>节段16~节段17</t>
        </is>
      </c>
      <c r="D1154" s="43" t="inlineStr">
        <is>
          <t>Q420D</t>
        </is>
      </c>
      <c r="E1154" s="43" t="n">
        <v>1520</v>
      </c>
      <c r="F1154" s="43" t="n">
        <v>1100</v>
      </c>
      <c r="G1154" s="43" t="n">
        <v>36</v>
      </c>
      <c r="H1154" s="79">
        <f>(E1154/1000)*(F1154/1000)*(G1154/1000)*7850</f>
        <v/>
      </c>
      <c r="I1154" s="43" t="n">
        <v>1</v>
      </c>
      <c r="J1154" s="80">
        <f>H1154*I1154</f>
        <v/>
      </c>
      <c r="K1154" s="43" t="inlineStr">
        <is>
          <t>来源页114</t>
        </is>
      </c>
      <c r="L1154" s="43">
        <f>A1154</f>
        <v/>
      </c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43" t="n"/>
    </row>
    <row r="1155">
      <c r="A1155" s="43" t="inlineStr">
        <is>
          <t>K4</t>
        </is>
      </c>
      <c r="B1155" s="43" t="inlineStr"/>
      <c r="C1155" s="43" t="inlineStr">
        <is>
          <t>节段16~节段17</t>
        </is>
      </c>
      <c r="D1155" s="43" t="inlineStr">
        <is>
          <t>Q420D</t>
        </is>
      </c>
      <c r="E1155" s="43" t="n">
        <v>1520</v>
      </c>
      <c r="F1155" s="43" t="n">
        <v>400</v>
      </c>
      <c r="G1155" s="43" t="n">
        <v>36</v>
      </c>
      <c r="H1155" s="79">
        <f>(E1155/1000)*(F1155/1000)*(G1155/1000)*7850</f>
        <v/>
      </c>
      <c r="I1155" s="43" t="n">
        <v>2</v>
      </c>
      <c r="J1155" s="80">
        <f>H1155*I1155</f>
        <v/>
      </c>
      <c r="K1155" s="43" t="inlineStr">
        <is>
          <t>来源页114</t>
        </is>
      </c>
      <c r="L1155" s="43">
        <f>A1155</f>
        <v/>
      </c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43" t="n"/>
    </row>
    <row r="1156">
      <c r="A1156" s="43" t="inlineStr">
        <is>
          <t>K6</t>
        </is>
      </c>
      <c r="B1156" s="43" t="inlineStr"/>
      <c r="C1156" s="43" t="inlineStr">
        <is>
          <t>节段16~节段17</t>
        </is>
      </c>
      <c r="D1156" s="43" t="inlineStr">
        <is>
          <t>Q420D</t>
        </is>
      </c>
      <c r="E1156" s="43" t="n">
        <v>650</v>
      </c>
      <c r="F1156" s="43" t="n">
        <v>1100</v>
      </c>
      <c r="G1156" s="43" t="n">
        <v>4</v>
      </c>
      <c r="H1156" s="79">
        <f>(E1156/1000)*(F1156/1000)*(G1156/1000)*7850</f>
        <v/>
      </c>
      <c r="I1156" s="43" t="n">
        <v>1</v>
      </c>
      <c r="J1156" s="80">
        <f>H1156*I1156</f>
        <v/>
      </c>
      <c r="K1156" s="43" t="inlineStr">
        <is>
          <t>填板；来源页114</t>
        </is>
      </c>
      <c r="L1156" s="43">
        <f>A1156</f>
        <v/>
      </c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43" t="n"/>
    </row>
    <row r="1157">
      <c r="A1157" s="43" t="inlineStr">
        <is>
          <t>M30高强螺栓</t>
        </is>
      </c>
      <c r="B1157" s="43" t="inlineStr"/>
      <c r="C1157" s="43" t="inlineStr">
        <is>
          <t>节段16~节段17</t>
        </is>
      </c>
      <c r="D1157" s="43" t="inlineStr">
        <is>
          <t>10.9S</t>
        </is>
      </c>
      <c r="E1157" s="43" t="n"/>
      <c r="F1157" s="43" t="n"/>
      <c r="G1157" s="43" t="n"/>
      <c r="H1157" s="79">
        <f>(E1157/1000)*(F1157/1000)*(G1157/1000)*7850</f>
        <v/>
      </c>
      <c r="I1157" s="43" t="n">
        <v>580</v>
      </c>
      <c r="J1157" s="80">
        <f>H1157*I1157</f>
        <v/>
      </c>
      <c r="K1157" s="43" t="inlineStr">
        <is>
          <t>来源页114</t>
        </is>
      </c>
      <c r="L1157" s="43">
        <f>A1157</f>
        <v/>
      </c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43" t="n"/>
    </row>
    <row r="1158">
      <c r="A1158" s="43" t="inlineStr">
        <is>
          <t>L1</t>
        </is>
      </c>
      <c r="B1158" s="43" t="inlineStr"/>
      <c r="C1158" s="43" t="inlineStr">
        <is>
          <t>节段16~节段17</t>
        </is>
      </c>
      <c r="D1158" s="43" t="inlineStr">
        <is>
          <t>Q420D</t>
        </is>
      </c>
      <c r="E1158" s="43" t="n">
        <v>1520</v>
      </c>
      <c r="F1158" s="43" t="n">
        <v>1500</v>
      </c>
      <c r="G1158" s="43" t="n">
        <v>32</v>
      </c>
      <c r="H1158" s="79">
        <f>(E1158/1000)*(F1158/1000)*(G1158/1000)*7850</f>
        <v/>
      </c>
      <c r="I1158" s="43" t="n">
        <v>2</v>
      </c>
      <c r="J1158" s="80">
        <f>H1158*I1158</f>
        <v/>
      </c>
      <c r="K1158" s="43" t="inlineStr">
        <is>
          <t>来源页114</t>
        </is>
      </c>
      <c r="L1158" s="43">
        <f>A1158</f>
        <v/>
      </c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43" t="n"/>
    </row>
    <row r="1159">
      <c r="A1159" s="43" t="inlineStr">
        <is>
          <t>L2</t>
        </is>
      </c>
      <c r="B1159" s="43" t="inlineStr"/>
      <c r="C1159" s="43" t="inlineStr">
        <is>
          <t>节段16~节段17</t>
        </is>
      </c>
      <c r="D1159" s="43" t="inlineStr">
        <is>
          <t>Q420D</t>
        </is>
      </c>
      <c r="E1159" s="43" t="n">
        <v>1520</v>
      </c>
      <c r="F1159" s="43" t="n">
        <v>400</v>
      </c>
      <c r="G1159" s="43" t="n">
        <v>32</v>
      </c>
      <c r="H1159" s="79">
        <f>(E1159/1000)*(F1159/1000)*(G1159/1000)*7850</f>
        <v/>
      </c>
      <c r="I1159" s="43" t="n">
        <v>4</v>
      </c>
      <c r="J1159" s="80">
        <f>H1159*I1159</f>
        <v/>
      </c>
      <c r="K1159" s="43" t="inlineStr">
        <is>
          <t>来源页114</t>
        </is>
      </c>
      <c r="L1159" s="43">
        <f>A1159</f>
        <v/>
      </c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43" t="n"/>
    </row>
    <row r="1160">
      <c r="A1160" s="43" t="inlineStr">
        <is>
          <t>L3</t>
        </is>
      </c>
      <c r="B1160" s="43" t="inlineStr"/>
      <c r="C1160" s="43" t="inlineStr">
        <is>
          <t>节段16~节段17</t>
        </is>
      </c>
      <c r="D1160" s="43" t="inlineStr">
        <is>
          <t>Q420D</t>
        </is>
      </c>
      <c r="E1160" s="43" t="n">
        <v>1520</v>
      </c>
      <c r="F1160" s="43" t="n">
        <v>500</v>
      </c>
      <c r="G1160" s="43" t="n">
        <v>32</v>
      </c>
      <c r="H1160" s="79">
        <f>(E1160/1000)*(F1160/1000)*(G1160/1000)*7850</f>
        <v/>
      </c>
      <c r="I1160" s="43" t="n">
        <v>2</v>
      </c>
      <c r="J1160" s="80">
        <f>H1160*I1160</f>
        <v/>
      </c>
      <c r="K1160" s="43" t="inlineStr">
        <is>
          <t>来源页114</t>
        </is>
      </c>
      <c r="L1160" s="43">
        <f>A1160</f>
        <v/>
      </c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43" t="n"/>
    </row>
    <row r="1161">
      <c r="A1161" s="43" t="inlineStr">
        <is>
          <t>L4</t>
        </is>
      </c>
      <c r="B1161" s="43" t="inlineStr"/>
      <c r="C1161" s="43" t="inlineStr">
        <is>
          <t>节段16~节段17</t>
        </is>
      </c>
      <c r="D1161" s="43" t="inlineStr">
        <is>
          <t>Q420D</t>
        </is>
      </c>
      <c r="E1161" s="43" t="n">
        <v>1520</v>
      </c>
      <c r="F1161" s="43" t="n">
        <v>1100</v>
      </c>
      <c r="G1161" s="43" t="n">
        <v>28</v>
      </c>
      <c r="H1161" s="79">
        <f>(E1161/1000)*(F1161/1000)*(G1161/1000)*7850</f>
        <v/>
      </c>
      <c r="I1161" s="43" t="n">
        <v>1</v>
      </c>
      <c r="J1161" s="80">
        <f>H1161*I1161</f>
        <v/>
      </c>
      <c r="K1161" s="43" t="inlineStr">
        <is>
          <t>来源页114</t>
        </is>
      </c>
      <c r="L1161" s="43">
        <f>A1161</f>
        <v/>
      </c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43" t="n"/>
    </row>
    <row r="1162">
      <c r="A1162" s="43" t="inlineStr">
        <is>
          <t>L5</t>
        </is>
      </c>
      <c r="B1162" s="43" t="inlineStr"/>
      <c r="C1162" s="43" t="inlineStr">
        <is>
          <t>节段16~节段17</t>
        </is>
      </c>
      <c r="D1162" s="43" t="inlineStr">
        <is>
          <t>Q420D</t>
        </is>
      </c>
      <c r="E1162" s="43" t="n">
        <v>1520</v>
      </c>
      <c r="F1162" s="43" t="n">
        <v>500</v>
      </c>
      <c r="G1162" s="43" t="n">
        <v>28</v>
      </c>
      <c r="H1162" s="79">
        <f>(E1162/1000)*(F1162/1000)*(G1162/1000)*7850</f>
        <v/>
      </c>
      <c r="I1162" s="43" t="n">
        <v>2</v>
      </c>
      <c r="J1162" s="80">
        <f>H1162*I1162</f>
        <v/>
      </c>
      <c r="K1162" s="43" t="inlineStr">
        <is>
          <t>来源页114</t>
        </is>
      </c>
      <c r="L1162" s="43">
        <f>A1162</f>
        <v/>
      </c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43" t="n"/>
    </row>
    <row r="1163">
      <c r="A1163" s="43" t="inlineStr">
        <is>
          <t>L6</t>
        </is>
      </c>
      <c r="B1163" s="43" t="inlineStr"/>
      <c r="C1163" s="43" t="inlineStr">
        <is>
          <t>节段16~节段17</t>
        </is>
      </c>
      <c r="D1163" s="43" t="inlineStr">
        <is>
          <t>Q420D</t>
        </is>
      </c>
      <c r="E1163" s="43" t="n">
        <v>1520</v>
      </c>
      <c r="F1163" s="43" t="n">
        <v>1100</v>
      </c>
      <c r="G1163" s="43" t="n">
        <v>40</v>
      </c>
      <c r="H1163" s="79">
        <f>(E1163/1000)*(F1163/1000)*(G1163/1000)*7850</f>
        <v/>
      </c>
      <c r="I1163" s="43" t="n">
        <v>1</v>
      </c>
      <c r="J1163" s="80">
        <f>H1163*I1163</f>
        <v/>
      </c>
      <c r="K1163" s="43" t="inlineStr">
        <is>
          <t>来源页114</t>
        </is>
      </c>
      <c r="L1163" s="43">
        <f>A1163</f>
        <v/>
      </c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43" t="n"/>
    </row>
    <row r="1164">
      <c r="A1164" s="43" t="inlineStr">
        <is>
          <t>L7</t>
        </is>
      </c>
      <c r="B1164" s="43" t="inlineStr"/>
      <c r="C1164" s="43" t="inlineStr">
        <is>
          <t>节段16~节段17</t>
        </is>
      </c>
      <c r="D1164" s="43" t="inlineStr">
        <is>
          <t>Q420D</t>
        </is>
      </c>
      <c r="E1164" s="43" t="n">
        <v>1520</v>
      </c>
      <c r="F1164" s="43" t="n">
        <v>400</v>
      </c>
      <c r="G1164" s="43" t="n">
        <v>40</v>
      </c>
      <c r="H1164" s="79">
        <f>(E1164/1000)*(F1164/1000)*(G1164/1000)*7850</f>
        <v/>
      </c>
      <c r="I1164" s="43" t="n">
        <v>2</v>
      </c>
      <c r="J1164" s="80">
        <f>H1164*I1164</f>
        <v/>
      </c>
      <c r="K1164" s="43" t="inlineStr">
        <is>
          <t>来源页114</t>
        </is>
      </c>
      <c r="L1164" s="43">
        <f>A1164</f>
        <v/>
      </c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43" t="n"/>
    </row>
    <row r="1165">
      <c r="A1165" s="43" t="inlineStr">
        <is>
          <t>L8</t>
        </is>
      </c>
      <c r="B1165" s="43" t="inlineStr"/>
      <c r="C1165" s="43" t="inlineStr">
        <is>
          <t>节段16~节段17</t>
        </is>
      </c>
      <c r="D1165" s="43" t="inlineStr">
        <is>
          <t>Q420D</t>
        </is>
      </c>
      <c r="E1165" s="43" t="n">
        <v>1320</v>
      </c>
      <c r="F1165" s="43" t="n">
        <v>240</v>
      </c>
      <c r="G1165" s="43" t="n">
        <v>24</v>
      </c>
      <c r="H1165" s="79">
        <f>(E1165/1000)*(F1165/1000)*(G1165/1000)*7850</f>
        <v/>
      </c>
      <c r="I1165" s="43" t="n">
        <v>10</v>
      </c>
      <c r="J1165" s="80">
        <f>H1165*I1165</f>
        <v/>
      </c>
      <c r="K1165" s="43" t="inlineStr">
        <is>
          <t>来源页114</t>
        </is>
      </c>
      <c r="L1165" s="43">
        <f>A1165</f>
        <v/>
      </c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43" t="n"/>
    </row>
    <row r="1166">
      <c r="A1166" s="43" t="inlineStr">
        <is>
          <t>M30高强螺栓</t>
        </is>
      </c>
      <c r="B1166" s="43" t="inlineStr"/>
      <c r="C1166" s="43" t="inlineStr">
        <is>
          <t>节段16~节段17</t>
        </is>
      </c>
      <c r="D1166" s="43" t="inlineStr">
        <is>
          <t>10.9S</t>
        </is>
      </c>
      <c r="E1166" s="43" t="n"/>
      <c r="F1166" s="43" t="n"/>
      <c r="G1166" s="43" t="n"/>
      <c r="H1166" s="79">
        <f>(E1166/1000)*(F1166/1000)*(G1166/1000)*7850</f>
        <v/>
      </c>
      <c r="I1166" s="43" t="n">
        <v>752</v>
      </c>
      <c r="J1166" s="80">
        <f>H1166*I1166</f>
        <v/>
      </c>
      <c r="K1166" s="43" t="inlineStr">
        <is>
          <t>来源页114</t>
        </is>
      </c>
      <c r="L1166" s="43">
        <f>A1166</f>
        <v/>
      </c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43" t="n"/>
    </row>
    <row r="1167">
      <c r="A1167" s="43" t="inlineStr"/>
      <c r="B1167" s="43" t="inlineStr"/>
      <c r="C1167" s="43" t="inlineStr">
        <is>
          <t>节段16~节段17</t>
        </is>
      </c>
      <c r="D1167" s="43" t="inlineStr">
        <is>
          <t>Q420D</t>
        </is>
      </c>
      <c r="E1167" s="43" t="n"/>
      <c r="F1167" s="43" t="n"/>
      <c r="G1167" s="43" t="n">
        <v>44</v>
      </c>
      <c r="H1167" s="79">
        <f>(E1167/1000)*(F1167/1000)*(G1167/1000)*7850</f>
        <v/>
      </c>
      <c r="I1167" s="43" t="n">
        <v>1</v>
      </c>
      <c r="J1167" s="80">
        <f>H1167*I1167</f>
        <v/>
      </c>
      <c r="K1167" s="43" t="inlineStr">
        <is>
          <t>来源页115</t>
        </is>
      </c>
      <c r="L1167" s="43">
        <f>A1167</f>
        <v/>
      </c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43" t="n"/>
    </row>
    <row r="1168">
      <c r="A1168" s="43" t="inlineStr"/>
      <c r="B1168" s="43" t="inlineStr"/>
      <c r="C1168" s="43" t="inlineStr">
        <is>
          <t>节段16~节段17</t>
        </is>
      </c>
      <c r="D1168" s="43" t="inlineStr">
        <is>
          <t>Q420D</t>
        </is>
      </c>
      <c r="E1168" s="43" t="n"/>
      <c r="F1168" s="43" t="n"/>
      <c r="G1168" s="43" t="n">
        <v>40</v>
      </c>
      <c r="H1168" s="79">
        <f>(E1168/1000)*(F1168/1000)*(G1168/1000)*7850</f>
        <v/>
      </c>
      <c r="I1168" s="43" t="n">
        <v>1</v>
      </c>
      <c r="J1168" s="80">
        <f>H1168*I1168</f>
        <v/>
      </c>
      <c r="K1168" s="43" t="inlineStr">
        <is>
          <t>来源页115</t>
        </is>
      </c>
      <c r="L1168" s="43">
        <f>A1168</f>
        <v/>
      </c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43" t="n"/>
    </row>
    <row r="1169">
      <c r="A1169" s="43" t="inlineStr"/>
      <c r="B1169" s="43" t="inlineStr"/>
      <c r="C1169" s="43" t="inlineStr">
        <is>
          <t>节段16~节段17</t>
        </is>
      </c>
      <c r="D1169" s="43" t="inlineStr">
        <is>
          <t>Q420D</t>
        </is>
      </c>
      <c r="E1169" s="43" t="n"/>
      <c r="F1169" s="43" t="n"/>
      <c r="G1169" s="43" t="n">
        <v>36</v>
      </c>
      <c r="H1169" s="79">
        <f>(E1169/1000)*(F1169/1000)*(G1169/1000)*7850</f>
        <v/>
      </c>
      <c r="I1169" s="43" t="n">
        <v>1</v>
      </c>
      <c r="J1169" s="80">
        <f>H1169*I1169</f>
        <v/>
      </c>
      <c r="K1169" s="43" t="inlineStr">
        <is>
          <t>来源页115</t>
        </is>
      </c>
      <c r="L1169" s="43">
        <f>A1169</f>
        <v/>
      </c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43" t="n"/>
    </row>
    <row r="1170">
      <c r="A1170" s="43" t="inlineStr"/>
      <c r="B1170" s="43" t="inlineStr"/>
      <c r="C1170" s="43" t="inlineStr">
        <is>
          <t>节段16~节段17</t>
        </is>
      </c>
      <c r="D1170" s="43" t="inlineStr">
        <is>
          <t>Q420D</t>
        </is>
      </c>
      <c r="E1170" s="43" t="n"/>
      <c r="F1170" s="43" t="n"/>
      <c r="G1170" s="43" t="n">
        <v>32</v>
      </c>
      <c r="H1170" s="79">
        <f>(E1170/1000)*(F1170/1000)*(G1170/1000)*7850</f>
        <v/>
      </c>
      <c r="I1170" s="43" t="n">
        <v>1</v>
      </c>
      <c r="J1170" s="80">
        <f>H1170*I1170</f>
        <v/>
      </c>
      <c r="K1170" s="43" t="inlineStr">
        <is>
          <t>来源页115</t>
        </is>
      </c>
      <c r="L1170" s="43">
        <f>A1170</f>
        <v/>
      </c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43" t="n"/>
    </row>
    <row r="1171">
      <c r="A1171" s="43" t="inlineStr"/>
      <c r="B1171" s="43" t="inlineStr"/>
      <c r="C1171" s="43" t="inlineStr">
        <is>
          <t>节段16~节段17</t>
        </is>
      </c>
      <c r="D1171" s="43" t="inlineStr">
        <is>
          <t>Q420D</t>
        </is>
      </c>
      <c r="E1171" s="43" t="n"/>
      <c r="F1171" s="43" t="n"/>
      <c r="G1171" s="43" t="n">
        <v>28</v>
      </c>
      <c r="H1171" s="79">
        <f>(E1171/1000)*(F1171/1000)*(G1171/1000)*7850</f>
        <v/>
      </c>
      <c r="I1171" s="43" t="n">
        <v>1</v>
      </c>
      <c r="J1171" s="80">
        <f>H1171*I1171</f>
        <v/>
      </c>
      <c r="K1171" s="43" t="inlineStr">
        <is>
          <t>来源页115</t>
        </is>
      </c>
      <c r="L1171" s="43">
        <f>A1171</f>
        <v/>
      </c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43" t="n"/>
    </row>
    <row r="1172">
      <c r="A1172" s="43" t="inlineStr"/>
      <c r="B1172" s="43" t="inlineStr"/>
      <c r="C1172" s="43" t="inlineStr">
        <is>
          <t>节段16~节段17</t>
        </is>
      </c>
      <c r="D1172" s="43" t="inlineStr">
        <is>
          <t>Q420D</t>
        </is>
      </c>
      <c r="E1172" s="43" t="n"/>
      <c r="F1172" s="43" t="n"/>
      <c r="G1172" s="43" t="n">
        <v>24</v>
      </c>
      <c r="H1172" s="79">
        <f>(E1172/1000)*(F1172/1000)*(G1172/1000)*7850</f>
        <v/>
      </c>
      <c r="I1172" s="43" t="n">
        <v>1</v>
      </c>
      <c r="J1172" s="80">
        <f>H1172*I1172</f>
        <v/>
      </c>
      <c r="K1172" s="43" t="inlineStr">
        <is>
          <t>来源页115</t>
        </is>
      </c>
      <c r="L1172" s="43">
        <f>A1172</f>
        <v/>
      </c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43" t="n"/>
    </row>
    <row r="1173">
      <c r="A1173" s="43" t="inlineStr"/>
      <c r="B1173" s="43" t="inlineStr"/>
      <c r="C1173" s="43" t="inlineStr">
        <is>
          <t>节段16~节段17</t>
        </is>
      </c>
      <c r="D1173" s="43" t="inlineStr">
        <is>
          <t>Q420D</t>
        </is>
      </c>
      <c r="E1173" s="43" t="n"/>
      <c r="F1173" s="43" t="n"/>
      <c r="G1173" s="43" t="n">
        <v>4</v>
      </c>
      <c r="H1173" s="79">
        <f>(E1173/1000)*(F1173/1000)*(G1173/1000)*7850</f>
        <v/>
      </c>
      <c r="I1173" s="43" t="n">
        <v>1</v>
      </c>
      <c r="J1173" s="80">
        <f>H1173*I1173</f>
        <v/>
      </c>
      <c r="K1173" s="43" t="inlineStr">
        <is>
          <t>来源页115</t>
        </is>
      </c>
      <c r="L1173" s="43">
        <f>A1173</f>
        <v/>
      </c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43" t="n"/>
    </row>
    <row r="1174">
      <c r="A1174" s="43" t="inlineStr"/>
      <c r="B1174" s="43" t="inlineStr"/>
      <c r="C1174" s="43" t="inlineStr">
        <is>
          <t>节段16~节段17</t>
        </is>
      </c>
      <c r="D1174" s="43" t="inlineStr">
        <is>
          <t>10.9S高强螺栓</t>
        </is>
      </c>
      <c r="E1174" s="43" t="n"/>
      <c r="F1174" s="43" t="n"/>
      <c r="G1174" s="43" t="n"/>
      <c r="H1174" s="79">
        <f>(E1174/1000)*(F1174/1000)*(G1174/1000)*7850</f>
        <v/>
      </c>
      <c r="I1174" s="43" t="n">
        <v>1</v>
      </c>
      <c r="J1174" s="80">
        <f>H1174*I1174</f>
        <v/>
      </c>
      <c r="K1174" s="43" t="inlineStr">
        <is>
          <t>来源页115</t>
        </is>
      </c>
      <c r="L1174" s="43">
        <f>A1174</f>
        <v/>
      </c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43" t="n"/>
    </row>
    <row r="1175">
      <c r="A1175" s="43" t="inlineStr"/>
      <c r="B1175" s="43" t="inlineStr"/>
      <c r="C1175" s="43" t="inlineStr">
        <is>
          <t>节段17</t>
        </is>
      </c>
      <c r="D1175" s="43" t="inlineStr">
        <is>
          <t>Q420D</t>
        </is>
      </c>
      <c r="E1175" s="43" t="n"/>
      <c r="F1175" s="43" t="n"/>
      <c r="G1175" s="43" t="n">
        <v>80</v>
      </c>
      <c r="H1175" s="79">
        <f>(E1175/1000)*(F1175/1000)*(G1175/1000)*7850</f>
        <v/>
      </c>
      <c r="I1175" s="43" t="n">
        <v>1</v>
      </c>
      <c r="J1175" s="80">
        <f>H1175*I1175</f>
        <v/>
      </c>
      <c r="K1175" s="43" t="inlineStr">
        <is>
          <t>来源页115</t>
        </is>
      </c>
      <c r="L1175" s="43">
        <f>A1175</f>
        <v/>
      </c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43" t="n"/>
    </row>
    <row r="1176">
      <c r="A1176" s="43" t="inlineStr"/>
      <c r="B1176" s="43" t="inlineStr"/>
      <c r="C1176" s="43" t="inlineStr">
        <is>
          <t>节段17</t>
        </is>
      </c>
      <c r="D1176" s="43" t="inlineStr">
        <is>
          <t>Q420D</t>
        </is>
      </c>
      <c r="E1176" s="43" t="n"/>
      <c r="F1176" s="43" t="n"/>
      <c r="G1176" s="43" t="n">
        <v>48</v>
      </c>
      <c r="H1176" s="79">
        <f>(E1176/1000)*(F1176/1000)*(G1176/1000)*7850</f>
        <v/>
      </c>
      <c r="I1176" s="43" t="n">
        <v>1</v>
      </c>
      <c r="J1176" s="80">
        <f>H1176*I1176</f>
        <v/>
      </c>
      <c r="K1176" s="43" t="inlineStr">
        <is>
          <t>来源页115</t>
        </is>
      </c>
      <c r="L1176" s="43">
        <f>A1176</f>
        <v/>
      </c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43" t="n"/>
    </row>
    <row r="1177">
      <c r="A1177" s="43" t="inlineStr"/>
      <c r="B1177" s="43" t="inlineStr"/>
      <c r="C1177" s="43" t="inlineStr">
        <is>
          <t>节段17</t>
        </is>
      </c>
      <c r="D1177" s="43" t="inlineStr">
        <is>
          <t>Q420D</t>
        </is>
      </c>
      <c r="E1177" s="43" t="n"/>
      <c r="F1177" s="43" t="n"/>
      <c r="G1177" s="43" t="n">
        <v>44</v>
      </c>
      <c r="H1177" s="79">
        <f>(E1177/1000)*(F1177/1000)*(G1177/1000)*7850</f>
        <v/>
      </c>
      <c r="I1177" s="43" t="n">
        <v>1</v>
      </c>
      <c r="J1177" s="80">
        <f>H1177*I1177</f>
        <v/>
      </c>
      <c r="K1177" s="43" t="inlineStr">
        <is>
          <t>来源页115</t>
        </is>
      </c>
      <c r="L1177" s="43">
        <f>A1177</f>
        <v/>
      </c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43" t="n"/>
    </row>
    <row r="1178">
      <c r="A1178" s="43" t="inlineStr"/>
      <c r="B1178" s="43" t="inlineStr"/>
      <c r="C1178" s="43" t="inlineStr">
        <is>
          <t>节段17</t>
        </is>
      </c>
      <c r="D1178" s="43" t="inlineStr">
        <is>
          <t>Q420D</t>
        </is>
      </c>
      <c r="E1178" s="43" t="n"/>
      <c r="F1178" s="43" t="n"/>
      <c r="G1178" s="43" t="n">
        <v>40</v>
      </c>
      <c r="H1178" s="79">
        <f>(E1178/1000)*(F1178/1000)*(G1178/1000)*7850</f>
        <v/>
      </c>
      <c r="I1178" s="43" t="n">
        <v>1</v>
      </c>
      <c r="J1178" s="80">
        <f>H1178*I1178</f>
        <v/>
      </c>
      <c r="K1178" s="43" t="inlineStr">
        <is>
          <t>来源页115</t>
        </is>
      </c>
      <c r="L1178" s="43">
        <f>A1178</f>
        <v/>
      </c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43" t="n"/>
    </row>
    <row r="1179">
      <c r="A1179" s="43" t="inlineStr"/>
      <c r="B1179" s="43" t="inlineStr"/>
      <c r="C1179" s="43" t="inlineStr">
        <is>
          <t>节段17</t>
        </is>
      </c>
      <c r="D1179" s="43" t="inlineStr">
        <is>
          <t>Q420D</t>
        </is>
      </c>
      <c r="E1179" s="43" t="n"/>
      <c r="F1179" s="43" t="n"/>
      <c r="G1179" s="43" t="n">
        <v>36</v>
      </c>
      <c r="H1179" s="79">
        <f>(E1179/1000)*(F1179/1000)*(G1179/1000)*7850</f>
        <v/>
      </c>
      <c r="I1179" s="43" t="n">
        <v>1</v>
      </c>
      <c r="J1179" s="80">
        <f>H1179*I1179</f>
        <v/>
      </c>
      <c r="K1179" s="43" t="inlineStr">
        <is>
          <t>来源页115</t>
        </is>
      </c>
      <c r="L1179" s="43">
        <f>A1179</f>
        <v/>
      </c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43" t="n"/>
    </row>
    <row r="1180">
      <c r="A1180" s="43" t="inlineStr"/>
      <c r="B1180" s="43" t="inlineStr"/>
      <c r="C1180" s="43" t="inlineStr">
        <is>
          <t>节段17</t>
        </is>
      </c>
      <c r="D1180" s="43" t="inlineStr">
        <is>
          <t>Q420D</t>
        </is>
      </c>
      <c r="E1180" s="43" t="n"/>
      <c r="F1180" s="43" t="n"/>
      <c r="G1180" s="43" t="n">
        <v>32</v>
      </c>
      <c r="H1180" s="79">
        <f>(E1180/1000)*(F1180/1000)*(G1180/1000)*7850</f>
        <v/>
      </c>
      <c r="I1180" s="43" t="n">
        <v>1</v>
      </c>
      <c r="J1180" s="80">
        <f>H1180*I1180</f>
        <v/>
      </c>
      <c r="K1180" s="43" t="inlineStr">
        <is>
          <t>来源页115</t>
        </is>
      </c>
      <c r="L1180" s="43">
        <f>A1180</f>
        <v/>
      </c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43" t="n"/>
    </row>
    <row r="1181">
      <c r="A1181" s="43" t="inlineStr"/>
      <c r="B1181" s="43" t="inlineStr"/>
      <c r="C1181" s="43" t="inlineStr">
        <is>
          <t>节段17</t>
        </is>
      </c>
      <c r="D1181" s="43" t="inlineStr">
        <is>
          <t>Q420D</t>
        </is>
      </c>
      <c r="E1181" s="43" t="n"/>
      <c r="F1181" s="43" t="n"/>
      <c r="G1181" s="43" t="n">
        <v>16</v>
      </c>
      <c r="H1181" s="79">
        <f>(E1181/1000)*(F1181/1000)*(G1181/1000)*7850</f>
        <v/>
      </c>
      <c r="I1181" s="43" t="n">
        <v>1</v>
      </c>
      <c r="J1181" s="80">
        <f>H1181*I1181</f>
        <v/>
      </c>
      <c r="K1181" s="43" t="inlineStr">
        <is>
          <t>来源页115</t>
        </is>
      </c>
      <c r="L1181" s="43">
        <f>A1181</f>
        <v/>
      </c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43" t="n"/>
    </row>
    <row r="1182">
      <c r="A1182" s="43" t="inlineStr"/>
      <c r="B1182" s="43" t="inlineStr"/>
      <c r="C1182" s="43" t="inlineStr">
        <is>
          <t>节段17</t>
        </is>
      </c>
      <c r="D1182" s="43" t="inlineStr">
        <is>
          <t>Q420D</t>
        </is>
      </c>
      <c r="E1182" s="43" t="n"/>
      <c r="F1182" s="43" t="n"/>
      <c r="G1182" s="43" t="n">
        <v>14</v>
      </c>
      <c r="H1182" s="79">
        <f>(E1182/1000)*(F1182/1000)*(G1182/1000)*7850</f>
        <v/>
      </c>
      <c r="I1182" s="43" t="n">
        <v>1</v>
      </c>
      <c r="J1182" s="80">
        <f>H1182*I1182</f>
        <v/>
      </c>
      <c r="K1182" s="43" t="inlineStr">
        <is>
          <t>来源页115</t>
        </is>
      </c>
      <c r="L1182" s="43">
        <f>A1182</f>
        <v/>
      </c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43" t="n"/>
    </row>
    <row r="1183">
      <c r="A1183" s="43" t="inlineStr"/>
      <c r="B1183" s="43" t="inlineStr"/>
      <c r="C1183" s="43" t="inlineStr">
        <is>
          <t>节段17</t>
        </is>
      </c>
      <c r="D1183" s="43" t="inlineStr">
        <is>
          <t>Q420D</t>
        </is>
      </c>
      <c r="E1183" s="43" t="n"/>
      <c r="F1183" s="43" t="n"/>
      <c r="G1183" s="43" t="n">
        <v>4</v>
      </c>
      <c r="H1183" s="79">
        <f>(E1183/1000)*(F1183/1000)*(G1183/1000)*7850</f>
        <v/>
      </c>
      <c r="I1183" s="43" t="n">
        <v>1</v>
      </c>
      <c r="J1183" s="80">
        <f>H1183*I1183</f>
        <v/>
      </c>
      <c r="K1183" s="43" t="inlineStr">
        <is>
          <t>来源页115</t>
        </is>
      </c>
      <c r="L1183" s="43">
        <f>A1183</f>
        <v/>
      </c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43" t="n"/>
    </row>
    <row r="1184">
      <c r="A1184" s="43" t="inlineStr"/>
      <c r="B1184" s="43" t="inlineStr"/>
      <c r="C1184" s="43" t="inlineStr">
        <is>
          <t>节段17</t>
        </is>
      </c>
      <c r="D1184" s="43" t="inlineStr">
        <is>
          <t>Q355D</t>
        </is>
      </c>
      <c r="E1184" s="43" t="n"/>
      <c r="F1184" s="43" t="n"/>
      <c r="G1184" s="43" t="n">
        <v>24</v>
      </c>
      <c r="H1184" s="79">
        <f>(E1184/1000)*(F1184/1000)*(G1184/1000)*7850</f>
        <v/>
      </c>
      <c r="I1184" s="43" t="n">
        <v>1</v>
      </c>
      <c r="J1184" s="80">
        <f>H1184*I1184</f>
        <v/>
      </c>
      <c r="K1184" s="43" t="inlineStr">
        <is>
          <t>来源页115</t>
        </is>
      </c>
      <c r="L1184" s="43">
        <f>A1184</f>
        <v/>
      </c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43" t="n"/>
    </row>
    <row r="1185">
      <c r="A1185" s="43" t="inlineStr"/>
      <c r="B1185" s="43" t="inlineStr"/>
      <c r="C1185" s="43" t="inlineStr">
        <is>
          <t>节段17</t>
        </is>
      </c>
      <c r="D1185" s="43" t="inlineStr">
        <is>
          <t>Q355D</t>
        </is>
      </c>
      <c r="E1185" s="43" t="n"/>
      <c r="F1185" s="43" t="n"/>
      <c r="G1185" s="43" t="n">
        <v>14</v>
      </c>
      <c r="H1185" s="79">
        <f>(E1185/1000)*(F1185/1000)*(G1185/1000)*7850</f>
        <v/>
      </c>
      <c r="I1185" s="43" t="n">
        <v>1</v>
      </c>
      <c r="J1185" s="80">
        <f>H1185*I1185</f>
        <v/>
      </c>
      <c r="K1185" s="43" t="inlineStr">
        <is>
          <t>来源页115</t>
        </is>
      </c>
      <c r="L1185" s="43">
        <f>A1185</f>
        <v/>
      </c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43" t="n"/>
    </row>
    <row r="1186">
      <c r="A1186" s="43" t="inlineStr">
        <is>
          <t>N11a</t>
        </is>
      </c>
      <c r="B1186" s="43" t="inlineStr">
        <is>
          <t>上弦顶板</t>
        </is>
      </c>
      <c r="C1186" s="43" t="inlineStr">
        <is>
          <t>节段17</t>
        </is>
      </c>
      <c r="D1186" s="43" t="inlineStr">
        <is>
          <t>Q420D</t>
        </is>
      </c>
      <c r="E1186" s="43" t="n"/>
      <c r="F1186" s="43" t="n"/>
      <c r="G1186" s="43" t="n">
        <v>40</v>
      </c>
      <c r="H1186" s="79">
        <f>(E1186/1000)*(F1186/1000)*(G1186/1000)*7850</f>
        <v/>
      </c>
      <c r="I1186" s="43" t="n">
        <v>1</v>
      </c>
      <c r="J1186" s="80">
        <f>H1186*I1186</f>
        <v/>
      </c>
      <c r="K1186" s="43" t="inlineStr">
        <is>
          <t>来源页115</t>
        </is>
      </c>
      <c r="L1186" s="43">
        <f>A1186</f>
        <v/>
      </c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43" t="n"/>
    </row>
    <row r="1187">
      <c r="A1187" s="43" t="inlineStr">
        <is>
          <t>N11b</t>
        </is>
      </c>
      <c r="B1187" s="43" t="inlineStr">
        <is>
          <t>上弦顶板</t>
        </is>
      </c>
      <c r="C1187" s="43" t="inlineStr">
        <is>
          <t>节段17</t>
        </is>
      </c>
      <c r="D1187" s="43" t="inlineStr">
        <is>
          <t>Q420D</t>
        </is>
      </c>
      <c r="E1187" s="43" t="n"/>
      <c r="F1187" s="43" t="n"/>
      <c r="G1187" s="43" t="n">
        <v>40</v>
      </c>
      <c r="H1187" s="79">
        <f>(E1187/1000)*(F1187/1000)*(G1187/1000)*7850</f>
        <v/>
      </c>
      <c r="I1187" s="43" t="n">
        <v>1</v>
      </c>
      <c r="J1187" s="80">
        <f>H1187*I1187</f>
        <v/>
      </c>
      <c r="K1187" s="43" t="inlineStr">
        <is>
          <t>来源页115</t>
        </is>
      </c>
      <c r="L1187" s="43">
        <f>A1187</f>
        <v/>
      </c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43" t="n"/>
    </row>
    <row r="1188">
      <c r="A1188" s="43" t="inlineStr">
        <is>
          <t>N12a</t>
        </is>
      </c>
      <c r="B1188" s="43" t="inlineStr">
        <is>
          <t>上弦底板</t>
        </is>
      </c>
      <c r="C1188" s="43" t="inlineStr">
        <is>
          <t>节段17</t>
        </is>
      </c>
      <c r="D1188" s="43" t="inlineStr">
        <is>
          <t>Q420D</t>
        </is>
      </c>
      <c r="E1188" s="43" t="n">
        <v>7900</v>
      </c>
      <c r="F1188" s="43" t="n">
        <v>1200</v>
      </c>
      <c r="G1188" s="43" t="n">
        <v>40</v>
      </c>
      <c r="H1188" s="79">
        <f>(E1188/1000)*(F1188/1000)*(G1188/1000)*7850</f>
        <v/>
      </c>
      <c r="I1188" s="43" t="n">
        <v>1</v>
      </c>
      <c r="J1188" s="80">
        <f>H1188*I1188</f>
        <v/>
      </c>
      <c r="K1188" s="43" t="inlineStr">
        <is>
          <t>来源页115</t>
        </is>
      </c>
      <c r="L1188" s="43">
        <f>A1188</f>
        <v/>
      </c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43" t="n"/>
    </row>
    <row r="1189">
      <c r="A1189" s="43" t="inlineStr">
        <is>
          <t>N12b</t>
        </is>
      </c>
      <c r="B1189" s="43" t="inlineStr">
        <is>
          <t>上弦底板</t>
        </is>
      </c>
      <c r="C1189" s="43" t="inlineStr">
        <is>
          <t>节段17</t>
        </is>
      </c>
      <c r="D1189" s="43" t="inlineStr">
        <is>
          <t>Q420D</t>
        </is>
      </c>
      <c r="E1189" s="43" t="n">
        <v>7100</v>
      </c>
      <c r="F1189" s="43" t="n">
        <v>1200</v>
      </c>
      <c r="G1189" s="43" t="n">
        <v>40</v>
      </c>
      <c r="H1189" s="79">
        <f>(E1189/1000)*(F1189/1000)*(G1189/1000)*7850</f>
        <v/>
      </c>
      <c r="I1189" s="43" t="n">
        <v>1</v>
      </c>
      <c r="J1189" s="80">
        <f>H1189*I1189</f>
        <v/>
      </c>
      <c r="K1189" s="43" t="inlineStr">
        <is>
          <t>来源页115</t>
        </is>
      </c>
      <c r="L1189" s="43">
        <f>A1189</f>
        <v/>
      </c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43" t="n"/>
    </row>
    <row r="1190">
      <c r="A1190" s="43" t="inlineStr">
        <is>
          <t>N13</t>
        </is>
      </c>
      <c r="B1190" s="43" t="inlineStr">
        <is>
          <t>上弦节点板</t>
        </is>
      </c>
      <c r="C1190" s="43" t="inlineStr">
        <is>
          <t>节段17</t>
        </is>
      </c>
      <c r="D1190" s="43" t="inlineStr">
        <is>
          <t>Q420D</t>
        </is>
      </c>
      <c r="E1190" s="43" t="n"/>
      <c r="F1190" s="43" t="n"/>
      <c r="G1190" s="43" t="n">
        <v>44</v>
      </c>
      <c r="H1190" s="79">
        <f>(E1190/1000)*(F1190/1000)*(G1190/1000)*7850</f>
        <v/>
      </c>
      <c r="I1190" s="43" t="n">
        <v>2</v>
      </c>
      <c r="J1190" s="80">
        <f>H1190*I1190</f>
        <v/>
      </c>
      <c r="K1190" s="43" t="inlineStr">
        <is>
          <t>来源页115</t>
        </is>
      </c>
      <c r="L1190" s="43">
        <f>A1190</f>
        <v/>
      </c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43" t="n"/>
    </row>
    <row r="1191">
      <c r="A1191" s="43" t="inlineStr">
        <is>
          <t>N14</t>
        </is>
      </c>
      <c r="B1191" s="43" t="inlineStr">
        <is>
          <t>上弦腹板</t>
        </is>
      </c>
      <c r="C1191" s="43" t="inlineStr">
        <is>
          <t>节段17</t>
        </is>
      </c>
      <c r="D1191" s="43" t="inlineStr">
        <is>
          <t>Q420D</t>
        </is>
      </c>
      <c r="E1191" s="43" t="n">
        <v>7300</v>
      </c>
      <c r="F1191" s="43" t="n">
        <v>2048</v>
      </c>
      <c r="G1191" s="43" t="n">
        <v>48</v>
      </c>
      <c r="H1191" s="79">
        <f>(E1191/1000)*(F1191/1000)*(G1191/1000)*7850</f>
        <v/>
      </c>
      <c r="I1191" s="43" t="n">
        <v>2</v>
      </c>
      <c r="J1191" s="80">
        <f>H1191*I1191</f>
        <v/>
      </c>
      <c r="K1191" s="43" t="inlineStr">
        <is>
          <t>来源页115</t>
        </is>
      </c>
      <c r="L1191" s="43">
        <f>A1191</f>
        <v/>
      </c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43" t="n"/>
    </row>
    <row r="1192">
      <c r="A1192" s="43" t="inlineStr">
        <is>
          <t>N15</t>
        </is>
      </c>
      <c r="B1192" s="43" t="inlineStr">
        <is>
          <t>上弦横隔板</t>
        </is>
      </c>
      <c r="C1192" s="43" t="inlineStr">
        <is>
          <t>节段17</t>
        </is>
      </c>
      <c r="D1192" s="43" t="inlineStr">
        <is>
          <t>Q420D</t>
        </is>
      </c>
      <c r="E1192" s="43" t="n">
        <v>1960</v>
      </c>
      <c r="F1192" s="43" t="n">
        <v>1200</v>
      </c>
      <c r="G1192" s="43" t="n">
        <v>16</v>
      </c>
      <c r="H1192" s="79">
        <f>(E1192/1000)*(F1192/1000)*(G1192/1000)*7850</f>
        <v/>
      </c>
      <c r="I1192" s="43" t="n">
        <v>3</v>
      </c>
      <c r="J1192" s="80">
        <f>H1192*I1192</f>
        <v/>
      </c>
      <c r="K1192" s="43" t="inlineStr">
        <is>
          <t>来源页115</t>
        </is>
      </c>
      <c r="L1192" s="43">
        <f>A1192</f>
        <v/>
      </c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43" t="n"/>
    </row>
    <row r="1193">
      <c r="A1193" s="43" t="inlineStr">
        <is>
          <t>N15a</t>
        </is>
      </c>
      <c r="B1193" s="43" t="inlineStr">
        <is>
          <t>上弦横隔板</t>
        </is>
      </c>
      <c r="C1193" s="43" t="inlineStr">
        <is>
          <t>节段17</t>
        </is>
      </c>
      <c r="D1193" s="43" t="inlineStr">
        <is>
          <t>Q420D</t>
        </is>
      </c>
      <c r="E1193" s="43" t="n">
        <v>1960</v>
      </c>
      <c r="F1193" s="43" t="n">
        <v>1200</v>
      </c>
      <c r="G1193" s="43" t="n">
        <v>16</v>
      </c>
      <c r="H1193" s="79">
        <f>(E1193/1000)*(F1193/1000)*(G1193/1000)*7850</f>
        <v/>
      </c>
      <c r="I1193" s="43" t="n">
        <v>2</v>
      </c>
      <c r="J1193" s="80">
        <f>H1193*I1193</f>
        <v/>
      </c>
      <c r="K1193" s="43" t="inlineStr">
        <is>
          <t>来源页115</t>
        </is>
      </c>
      <c r="L1193" s="43">
        <f>A1193</f>
        <v/>
      </c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43" t="n"/>
    </row>
    <row r="1194">
      <c r="A1194" s="43" t="inlineStr">
        <is>
          <t>N15‘</t>
        </is>
      </c>
      <c r="B1194" s="43" t="inlineStr">
        <is>
          <t>上弦横隔板</t>
        </is>
      </c>
      <c r="C1194" s="43" t="inlineStr">
        <is>
          <t>节段17</t>
        </is>
      </c>
      <c r="D1194" s="43" t="inlineStr">
        <is>
          <t>Q420D</t>
        </is>
      </c>
      <c r="E1194" s="43" t="n">
        <v>2057</v>
      </c>
      <c r="F1194" s="43" t="n">
        <v>200</v>
      </c>
      <c r="G1194" s="43" t="n">
        <v>16</v>
      </c>
      <c r="H1194" s="79">
        <f>(E1194/1000)*(F1194/1000)*(G1194/1000)*7850</f>
        <v/>
      </c>
      <c r="I1194" s="43" t="n">
        <v>3</v>
      </c>
      <c r="J1194" s="80">
        <f>H1194*I1194</f>
        <v/>
      </c>
      <c r="K1194" s="43" t="inlineStr">
        <is>
          <t>来源页115</t>
        </is>
      </c>
      <c r="L1194" s="43">
        <f>A1194</f>
        <v/>
      </c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43" t="n"/>
    </row>
    <row r="1195">
      <c r="A1195" s="43" t="inlineStr">
        <is>
          <t>N15b</t>
        </is>
      </c>
      <c r="B1195" s="43" t="inlineStr">
        <is>
          <t>上弦横隔板</t>
        </is>
      </c>
      <c r="C1195" s="43" t="inlineStr">
        <is>
          <t>节段17</t>
        </is>
      </c>
      <c r="D1195" s="43" t="inlineStr">
        <is>
          <t>Q355B</t>
        </is>
      </c>
      <c r="E1195" s="43" t="n">
        <v>2057</v>
      </c>
      <c r="F1195" s="43" t="n">
        <v>40</v>
      </c>
      <c r="G1195" s="43" t="n">
        <v>4</v>
      </c>
      <c r="H1195" s="79">
        <f>(E1195/1000)*(F1195/1000)*(G1195/1000)*7850</f>
        <v/>
      </c>
      <c r="I1195" s="43" t="n">
        <v>4</v>
      </c>
      <c r="J1195" s="80">
        <f>H1195*I1195</f>
        <v/>
      </c>
      <c r="K1195" s="43" t="inlineStr">
        <is>
          <t>来源页115</t>
        </is>
      </c>
      <c r="L1195" s="43">
        <f>A1195</f>
        <v/>
      </c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43" t="n"/>
    </row>
    <row r="1196">
      <c r="A1196" s="43" t="inlineStr">
        <is>
          <t>N15c</t>
        </is>
      </c>
      <c r="B1196" s="43" t="inlineStr">
        <is>
          <t>上弦横隔板</t>
        </is>
      </c>
      <c r="C1196" s="43" t="inlineStr">
        <is>
          <t>节段17</t>
        </is>
      </c>
      <c r="D1196" s="43" t="inlineStr">
        <is>
          <t>Q420D</t>
        </is>
      </c>
      <c r="E1196" s="43" t="n">
        <v>800</v>
      </c>
      <c r="F1196" s="43" t="n">
        <v>400</v>
      </c>
      <c r="G1196" s="43" t="n">
        <v>16</v>
      </c>
      <c r="H1196" s="79">
        <f>(E1196/1000)*(F1196/1000)*(G1196/1000)*7850</f>
        <v/>
      </c>
      <c r="I1196" s="43" t="n">
        <v>4</v>
      </c>
      <c r="J1196" s="80">
        <f>H1196*I1196</f>
        <v/>
      </c>
      <c r="K1196" s="43" t="inlineStr">
        <is>
          <t>来源页115</t>
        </is>
      </c>
      <c r="L1196" s="43">
        <f>A1196</f>
        <v/>
      </c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43" t="n"/>
    </row>
    <row r="1197">
      <c r="A1197" s="43" t="inlineStr">
        <is>
          <t>N16a</t>
        </is>
      </c>
      <c r="B1197" s="43" t="inlineStr">
        <is>
          <t>上弦加劲肋</t>
        </is>
      </c>
      <c r="C1197" s="43" t="inlineStr">
        <is>
          <t>节段17</t>
        </is>
      </c>
      <c r="D1197" s="43" t="inlineStr">
        <is>
          <t>Q420D</t>
        </is>
      </c>
      <c r="E1197" s="43" t="n">
        <v>7900</v>
      </c>
      <c r="F1197" s="43" t="n">
        <v>320</v>
      </c>
      <c r="G1197" s="43" t="n">
        <v>32</v>
      </c>
      <c r="H1197" s="79">
        <f>(E1197/1000)*(F1197/1000)*(G1197/1000)*7850</f>
        <v/>
      </c>
      <c r="I1197" s="43" t="n">
        <v>6</v>
      </c>
      <c r="J1197" s="80">
        <f>H1197*I1197</f>
        <v/>
      </c>
      <c r="K1197" s="43" t="inlineStr">
        <is>
          <t>来源页115</t>
        </is>
      </c>
      <c r="L1197" s="43">
        <f>A1197</f>
        <v/>
      </c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43" t="n"/>
    </row>
    <row r="1198">
      <c r="A1198" s="43" t="inlineStr">
        <is>
          <t>N16b</t>
        </is>
      </c>
      <c r="B1198" s="43" t="inlineStr">
        <is>
          <t>上弦加劲肋</t>
        </is>
      </c>
      <c r="C1198" s="43" t="inlineStr">
        <is>
          <t>节段17</t>
        </is>
      </c>
      <c r="D1198" s="43" t="inlineStr">
        <is>
          <t>Q420D</t>
        </is>
      </c>
      <c r="E1198" s="43" t="n">
        <v>7100</v>
      </c>
      <c r="F1198" s="43" t="n">
        <v>320</v>
      </c>
      <c r="G1198" s="43" t="n">
        <v>32</v>
      </c>
      <c r="H1198" s="79">
        <f>(E1198/1000)*(F1198/1000)*(G1198/1000)*7850</f>
        <v/>
      </c>
      <c r="I1198" s="43" t="n">
        <v>6</v>
      </c>
      <c r="J1198" s="80">
        <f>H1198*I1198</f>
        <v/>
      </c>
      <c r="K1198" s="43" t="inlineStr">
        <is>
          <t>来源页115</t>
        </is>
      </c>
      <c r="L1198" s="43">
        <f>A1198</f>
        <v/>
      </c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43" t="n"/>
    </row>
    <row r="1199">
      <c r="A1199" s="43" t="inlineStr">
        <is>
          <t>N21a</t>
        </is>
      </c>
      <c r="B1199" s="43" t="inlineStr">
        <is>
          <t>下弦顶板</t>
        </is>
      </c>
      <c r="C1199" s="43" t="inlineStr">
        <is>
          <t>节段17</t>
        </is>
      </c>
      <c r="D1199" s="43" t="inlineStr">
        <is>
          <t>Q420D</t>
        </is>
      </c>
      <c r="E1199" s="43" t="n">
        <v>7901</v>
      </c>
      <c r="F1199" s="43" t="n">
        <v>2500</v>
      </c>
      <c r="G1199" s="43" t="n">
        <v>32</v>
      </c>
      <c r="H1199" s="79">
        <f>(E1199/1000)*(F1199/1000)*(G1199/1000)*7850</f>
        <v/>
      </c>
      <c r="I1199" s="43" t="n">
        <v>1</v>
      </c>
      <c r="J1199" s="80">
        <f>H1199*I1199</f>
        <v/>
      </c>
      <c r="K1199" s="43" t="inlineStr">
        <is>
          <t>来源页115</t>
        </is>
      </c>
      <c r="L1199" s="43">
        <f>A1199</f>
        <v/>
      </c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43" t="n"/>
    </row>
    <row r="1200">
      <c r="A1200" s="43" t="inlineStr">
        <is>
          <t>N21b</t>
        </is>
      </c>
      <c r="B1200" s="43" t="inlineStr">
        <is>
          <t>下弦顶板</t>
        </is>
      </c>
      <c r="C1200" s="43" t="inlineStr">
        <is>
          <t>节段17</t>
        </is>
      </c>
      <c r="D1200" s="43" t="inlineStr">
        <is>
          <t>Q420D</t>
        </is>
      </c>
      <c r="E1200" s="43" t="n">
        <v>6950</v>
      </c>
      <c r="F1200" s="43" t="n">
        <v>2500</v>
      </c>
      <c r="G1200" s="43" t="n">
        <v>32</v>
      </c>
      <c r="H1200" s="79">
        <f>(E1200/1000)*(F1200/1000)*(G1200/1000)*7850</f>
        <v/>
      </c>
      <c r="I1200" s="43" t="n">
        <v>1</v>
      </c>
      <c r="J1200" s="80">
        <f>H1200*I1200</f>
        <v/>
      </c>
      <c r="K1200" s="43" t="inlineStr">
        <is>
          <t>来源页115</t>
        </is>
      </c>
      <c r="L1200" s="43">
        <f>A1200</f>
        <v/>
      </c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43" t="n"/>
    </row>
    <row r="1201">
      <c r="A1201" s="43" t="inlineStr">
        <is>
          <t>N22a</t>
        </is>
      </c>
      <c r="B1201" s="43" t="inlineStr">
        <is>
          <t>下弦底板</t>
        </is>
      </c>
      <c r="C1201" s="43" t="inlineStr">
        <is>
          <t>节段17</t>
        </is>
      </c>
      <c r="D1201" s="43" t="inlineStr">
        <is>
          <t>Q420D</t>
        </is>
      </c>
      <c r="E1201" s="43" t="n"/>
      <c r="F1201" s="43" t="n"/>
      <c r="G1201" s="43" t="n">
        <v>40</v>
      </c>
      <c r="H1201" s="79">
        <f>(E1201/1000)*(F1201/1000)*(G1201/1000)*7850</f>
        <v/>
      </c>
      <c r="I1201" s="43" t="n">
        <v>1</v>
      </c>
      <c r="J1201" s="80">
        <f>H1201*I1201</f>
        <v/>
      </c>
      <c r="K1201" s="43" t="inlineStr">
        <is>
          <t>来源页115</t>
        </is>
      </c>
      <c r="L1201" s="43">
        <f>A1201</f>
        <v/>
      </c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43" t="n"/>
    </row>
    <row r="1202">
      <c r="A1202" s="43" t="inlineStr">
        <is>
          <t>N22b</t>
        </is>
      </c>
      <c r="B1202" s="43" t="inlineStr">
        <is>
          <t>下弦底板</t>
        </is>
      </c>
      <c r="C1202" s="43" t="inlineStr">
        <is>
          <t>节段17</t>
        </is>
      </c>
      <c r="D1202" s="43" t="inlineStr">
        <is>
          <t>Q420D</t>
        </is>
      </c>
      <c r="E1202" s="43" t="n"/>
      <c r="F1202" s="43" t="n"/>
      <c r="G1202" s="43" t="n">
        <v>32</v>
      </c>
      <c r="H1202" s="79">
        <f>(E1202/1000)*(F1202/1000)*(G1202/1000)*7850</f>
        <v/>
      </c>
      <c r="I1202" s="43" t="n">
        <v>1</v>
      </c>
      <c r="J1202" s="80">
        <f>H1202*I1202</f>
        <v/>
      </c>
      <c r="K1202" s="43" t="inlineStr">
        <is>
          <t>来源页115</t>
        </is>
      </c>
      <c r="L1202" s="43">
        <f>A1202</f>
        <v/>
      </c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43" t="n"/>
    </row>
    <row r="1203">
      <c r="A1203" s="43" t="inlineStr">
        <is>
          <t>N23</t>
        </is>
      </c>
      <c r="B1203" s="43" t="inlineStr">
        <is>
          <t>下弦节点板</t>
        </is>
      </c>
      <c r="C1203" s="43" t="inlineStr">
        <is>
          <t>节段17</t>
        </is>
      </c>
      <c r="D1203" s="43" t="inlineStr">
        <is>
          <t>Q420D</t>
        </is>
      </c>
      <c r="E1203" s="43" t="n"/>
      <c r="F1203" s="43" t="n"/>
      <c r="G1203" s="43" t="n">
        <v>44</v>
      </c>
      <c r="H1203" s="79">
        <f>(E1203/1000)*(F1203/1000)*(G1203/1000)*7850</f>
        <v/>
      </c>
      <c r="I1203" s="43" t="n">
        <v>2</v>
      </c>
      <c r="J1203" s="80">
        <f>H1203*I1203</f>
        <v/>
      </c>
      <c r="K1203" s="43" t="inlineStr">
        <is>
          <t>Z35钢；来源页115</t>
        </is>
      </c>
      <c r="L1203" s="43">
        <f>A1203</f>
        <v/>
      </c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43" t="n"/>
    </row>
    <row r="1204">
      <c r="A1204" s="43" t="inlineStr">
        <is>
          <t>N24</t>
        </is>
      </c>
      <c r="B1204" s="43" t="inlineStr">
        <is>
          <t>下弦腹板</t>
        </is>
      </c>
      <c r="C1204" s="43" t="inlineStr">
        <is>
          <t>节段17</t>
        </is>
      </c>
      <c r="D1204" s="43" t="inlineStr">
        <is>
          <t>Q420D</t>
        </is>
      </c>
      <c r="E1204" s="43" t="n">
        <v>7150</v>
      </c>
      <c r="F1204" s="43" t="n">
        <v>1880</v>
      </c>
      <c r="G1204" s="43" t="n">
        <v>44</v>
      </c>
      <c r="H1204" s="79">
        <f>(E1204/1000)*(F1204/1000)*(G1204/1000)*7850</f>
        <v/>
      </c>
      <c r="I1204" s="43" t="n">
        <v>2</v>
      </c>
      <c r="J1204" s="80">
        <f>H1204*I1204</f>
        <v/>
      </c>
      <c r="K1204" s="43" t="inlineStr">
        <is>
          <t>来源页115</t>
        </is>
      </c>
      <c r="L1204" s="43">
        <f>A1204</f>
        <v/>
      </c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43" t="n"/>
    </row>
    <row r="1205">
      <c r="A1205" s="43" t="inlineStr">
        <is>
          <t>N25</t>
        </is>
      </c>
      <c r="B1205" s="43" t="inlineStr">
        <is>
          <t>下弦横隔板</t>
        </is>
      </c>
      <c r="C1205" s="43" t="inlineStr">
        <is>
          <t>节段17</t>
        </is>
      </c>
      <c r="D1205" s="43" t="inlineStr">
        <is>
          <t>Q420D</t>
        </is>
      </c>
      <c r="E1205" s="43" t="n">
        <v>1800</v>
      </c>
      <c r="F1205" s="43" t="n">
        <v>1200</v>
      </c>
      <c r="G1205" s="43" t="n">
        <v>16</v>
      </c>
      <c r="H1205" s="79">
        <f>(E1205/1000)*(F1205/1000)*(G1205/1000)*7850</f>
        <v/>
      </c>
      <c r="I1205" s="43" t="n">
        <v>3</v>
      </c>
      <c r="J1205" s="80">
        <f>H1205*I1205</f>
        <v/>
      </c>
      <c r="K1205" s="43" t="inlineStr">
        <is>
          <t>来源页115</t>
        </is>
      </c>
      <c r="L1205" s="43">
        <f>A1205</f>
        <v/>
      </c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43" t="n"/>
    </row>
    <row r="1206">
      <c r="A1206" s="43" t="inlineStr">
        <is>
          <t>N25a</t>
        </is>
      </c>
      <c r="B1206" s="43" t="inlineStr">
        <is>
          <t>下弦横隔板</t>
        </is>
      </c>
      <c r="C1206" s="43" t="inlineStr">
        <is>
          <t>节段17</t>
        </is>
      </c>
      <c r="D1206" s="43" t="inlineStr">
        <is>
          <t>Q420D</t>
        </is>
      </c>
      <c r="E1206" s="43" t="n">
        <v>1800</v>
      </c>
      <c r="F1206" s="43" t="n">
        <v>1200</v>
      </c>
      <c r="G1206" s="43" t="n">
        <v>16</v>
      </c>
      <c r="H1206" s="79">
        <f>(E1206/1000)*(F1206/1000)*(G1206/1000)*7850</f>
        <v/>
      </c>
      <c r="I1206" s="43" t="n">
        <v>2</v>
      </c>
      <c r="J1206" s="80">
        <f>H1206*I1206</f>
        <v/>
      </c>
      <c r="K1206" s="43" t="inlineStr">
        <is>
          <t>来源页115</t>
        </is>
      </c>
      <c r="L1206" s="43">
        <f>A1206</f>
        <v/>
      </c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43" t="n"/>
    </row>
    <row r="1207">
      <c r="A1207" s="43" t="inlineStr">
        <is>
          <t>N25'</t>
        </is>
      </c>
      <c r="B1207" s="43" t="inlineStr">
        <is>
          <t>下弦横隔板</t>
        </is>
      </c>
      <c r="C1207" s="43" t="inlineStr">
        <is>
          <t>节段17</t>
        </is>
      </c>
      <c r="D1207" s="43" t="inlineStr">
        <is>
          <t>Q420D</t>
        </is>
      </c>
      <c r="E1207" s="43" t="n">
        <v>2057</v>
      </c>
      <c r="F1207" s="43" t="n">
        <v>200</v>
      </c>
      <c r="G1207" s="43" t="n">
        <v>16</v>
      </c>
      <c r="H1207" s="79">
        <f>(E1207/1000)*(F1207/1000)*(G1207/1000)*7850</f>
        <v/>
      </c>
      <c r="I1207" s="43" t="n">
        <v>3</v>
      </c>
      <c r="J1207" s="80">
        <f>H1207*I1207</f>
        <v/>
      </c>
      <c r="K1207" s="43" t="inlineStr">
        <is>
          <t>来源页115</t>
        </is>
      </c>
      <c r="L1207" s="43">
        <f>A1207</f>
        <v/>
      </c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43" t="n"/>
    </row>
    <row r="1208">
      <c r="A1208" s="43" t="inlineStr">
        <is>
          <t>N26a</t>
        </is>
      </c>
      <c r="B1208" s="43" t="inlineStr">
        <is>
          <t>下弦加劲肋</t>
        </is>
      </c>
      <c r="C1208" s="43" t="inlineStr">
        <is>
          <t>节段17</t>
        </is>
      </c>
      <c r="D1208" s="43" t="inlineStr">
        <is>
          <t>Q420D</t>
        </is>
      </c>
      <c r="E1208" s="43" t="n">
        <v>7901</v>
      </c>
      <c r="F1208" s="43" t="n">
        <v>320</v>
      </c>
      <c r="G1208" s="43" t="n">
        <v>32</v>
      </c>
      <c r="H1208" s="79">
        <f>(E1208/1000)*(F1208/1000)*(G1208/1000)*7850</f>
        <v/>
      </c>
      <c r="I1208" s="43" t="n">
        <v>4</v>
      </c>
      <c r="J1208" s="80">
        <f>H1208*I1208</f>
        <v/>
      </c>
      <c r="K1208" s="43" t="inlineStr">
        <is>
          <t>来源页115</t>
        </is>
      </c>
      <c r="L1208" s="43">
        <f>A1208</f>
        <v/>
      </c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43" t="n"/>
    </row>
    <row r="1209">
      <c r="A1209" s="43" t="inlineStr">
        <is>
          <t>N26b</t>
        </is>
      </c>
      <c r="B1209" s="43" t="inlineStr">
        <is>
          <t>下弦加劲肋</t>
        </is>
      </c>
      <c r="C1209" s="43" t="inlineStr">
        <is>
          <t>节段17</t>
        </is>
      </c>
      <c r="D1209" s="43" t="inlineStr">
        <is>
          <t>Q420D</t>
        </is>
      </c>
      <c r="E1209" s="43" t="n">
        <v>6950</v>
      </c>
      <c r="F1209" s="43" t="n">
        <v>320</v>
      </c>
      <c r="G1209" s="43" t="n">
        <v>32</v>
      </c>
      <c r="H1209" s="79">
        <f>(E1209/1000)*(F1209/1000)*(G1209/1000)*7850</f>
        <v/>
      </c>
      <c r="I1209" s="43" t="n">
        <v>4</v>
      </c>
      <c r="J1209" s="80">
        <f>H1209*I1209</f>
        <v/>
      </c>
      <c r="K1209" s="43" t="inlineStr">
        <is>
          <t>来源页115</t>
        </is>
      </c>
      <c r="L1209" s="43">
        <f>A1209</f>
        <v/>
      </c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43" t="n"/>
    </row>
    <row r="1210">
      <c r="A1210" s="43" t="inlineStr">
        <is>
          <t>N26c</t>
        </is>
      </c>
      <c r="B1210" s="43" t="inlineStr">
        <is>
          <t>下弦加劲肋</t>
        </is>
      </c>
      <c r="C1210" s="43" t="inlineStr">
        <is>
          <t>节段17</t>
        </is>
      </c>
      <c r="D1210" s="43" t="inlineStr">
        <is>
          <t>Q420D</t>
        </is>
      </c>
      <c r="E1210" s="43" t="n">
        <v>14851</v>
      </c>
      <c r="F1210" s="43" t="n">
        <v>170</v>
      </c>
      <c r="G1210" s="43" t="n">
        <v>14</v>
      </c>
      <c r="H1210" s="79">
        <f>(E1210/1000)*(F1210/1000)*(G1210/1000)*7850</f>
        <v/>
      </c>
      <c r="I1210" s="43" t="n">
        <v>2</v>
      </c>
      <c r="J1210" s="80">
        <f>H1210*I1210</f>
        <v/>
      </c>
      <c r="K1210" s="43" t="inlineStr">
        <is>
          <t>来源页115</t>
        </is>
      </c>
      <c r="L1210" s="43">
        <f>A1210</f>
        <v/>
      </c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43" t="n"/>
    </row>
    <row r="1211">
      <c r="A1211" s="43" t="inlineStr">
        <is>
          <t>N31</t>
        </is>
      </c>
      <c r="B1211" s="43" t="inlineStr">
        <is>
          <t>斜腹杆</t>
        </is>
      </c>
      <c r="C1211" s="43" t="inlineStr">
        <is>
          <t>节段17</t>
        </is>
      </c>
      <c r="D1211" s="43" t="inlineStr">
        <is>
          <t>Q420D</t>
        </is>
      </c>
      <c r="E1211" s="43" t="n">
        <v>10842</v>
      </c>
      <c r="F1211" s="43" t="n">
        <v>1200</v>
      </c>
      <c r="G1211" s="43" t="n">
        <v>40</v>
      </c>
      <c r="H1211" s="79">
        <f>(E1211/1000)*(F1211/1000)*(G1211/1000)*7850</f>
        <v/>
      </c>
      <c r="I1211" s="43" t="n">
        <v>1</v>
      </c>
      <c r="J1211" s="80">
        <f>H1211*I1211</f>
        <v/>
      </c>
      <c r="K1211" s="43" t="inlineStr">
        <is>
          <t>来源页115</t>
        </is>
      </c>
      <c r="L1211" s="43">
        <f>A1211</f>
        <v/>
      </c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43" t="n"/>
    </row>
    <row r="1212">
      <c r="A1212" s="43" t="inlineStr">
        <is>
          <t>N31a</t>
        </is>
      </c>
      <c r="B1212" s="43" t="inlineStr">
        <is>
          <t>斜腹杆</t>
        </is>
      </c>
      <c r="C1212" s="43" t="inlineStr">
        <is>
          <t>节段17</t>
        </is>
      </c>
      <c r="D1212" s="43" t="inlineStr">
        <is>
          <t>Q420D</t>
        </is>
      </c>
      <c r="E1212" s="43" t="n">
        <v>11042</v>
      </c>
      <c r="F1212" s="43" t="n">
        <v>1200</v>
      </c>
      <c r="G1212" s="43" t="n">
        <v>40</v>
      </c>
      <c r="H1212" s="79">
        <f>(E1212/1000)*(F1212/1000)*(G1212/1000)*7850</f>
        <v/>
      </c>
      <c r="I1212" s="43" t="n">
        <v>1</v>
      </c>
      <c r="J1212" s="80">
        <f>H1212*I1212</f>
        <v/>
      </c>
      <c r="K1212" s="43" t="inlineStr">
        <is>
          <t>来源页115</t>
        </is>
      </c>
      <c r="L1212" s="43">
        <f>A1212</f>
        <v/>
      </c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43" t="n"/>
    </row>
    <row r="1213">
      <c r="A1213" s="43" t="inlineStr">
        <is>
          <t>N32</t>
        </is>
      </c>
      <c r="B1213" s="43" t="inlineStr">
        <is>
          <t>斜腹杆</t>
        </is>
      </c>
      <c r="C1213" s="43" t="inlineStr">
        <is>
          <t>节段17</t>
        </is>
      </c>
      <c r="D1213" s="43" t="inlineStr">
        <is>
          <t>Q420D</t>
        </is>
      </c>
      <c r="E1213" s="43" t="n">
        <v>7242</v>
      </c>
      <c r="F1213" s="43" t="n">
        <v>1760</v>
      </c>
      <c r="G1213" s="43" t="n">
        <v>40</v>
      </c>
      <c r="H1213" s="79">
        <f>(E1213/1000)*(F1213/1000)*(G1213/1000)*7850</f>
        <v/>
      </c>
      <c r="I1213" s="43" t="n">
        <v>2</v>
      </c>
      <c r="J1213" s="80">
        <f>H1213*I1213</f>
        <v/>
      </c>
      <c r="K1213" s="43" t="inlineStr">
        <is>
          <t>来源页115</t>
        </is>
      </c>
      <c r="L1213" s="43">
        <f>A1213</f>
        <v/>
      </c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43" t="n"/>
    </row>
    <row r="1214">
      <c r="A1214" s="43" t="inlineStr">
        <is>
          <t>N33</t>
        </is>
      </c>
      <c r="B1214" s="43" t="inlineStr">
        <is>
          <t>斜腹杆</t>
        </is>
      </c>
      <c r="C1214" s="43" t="inlineStr">
        <is>
          <t>节段17</t>
        </is>
      </c>
      <c r="D1214" s="43" t="inlineStr">
        <is>
          <t>Q420D</t>
        </is>
      </c>
      <c r="E1214" s="43" t="n">
        <v>7242</v>
      </c>
      <c r="F1214" s="43" t="n">
        <v>320</v>
      </c>
      <c r="G1214" s="43" t="n">
        <v>32</v>
      </c>
      <c r="H1214" s="79">
        <f>(E1214/1000)*(F1214/1000)*(G1214/1000)*7850</f>
        <v/>
      </c>
      <c r="I1214" s="43" t="n">
        <v>4</v>
      </c>
      <c r="J1214" s="80">
        <f>H1214*I1214</f>
        <v/>
      </c>
      <c r="K1214" s="43" t="inlineStr">
        <is>
          <t>来源页115</t>
        </is>
      </c>
      <c r="L1214" s="43">
        <f>A1214</f>
        <v/>
      </c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43" t="n"/>
    </row>
    <row r="1215">
      <c r="A1215" s="43" t="inlineStr">
        <is>
          <t>N33a</t>
        </is>
      </c>
      <c r="B1215" s="43" t="inlineStr">
        <is>
          <t>斜腹杆</t>
        </is>
      </c>
      <c r="C1215" s="43" t="inlineStr">
        <is>
          <t>节段17</t>
        </is>
      </c>
      <c r="D1215" s="43" t="inlineStr">
        <is>
          <t>Q420D</t>
        </is>
      </c>
      <c r="E1215" s="43" t="n">
        <v>9442</v>
      </c>
      <c r="F1215" s="43" t="n">
        <v>320</v>
      </c>
      <c r="G1215" s="43" t="n">
        <v>32</v>
      </c>
      <c r="H1215" s="79">
        <f>(E1215/1000)*(F1215/1000)*(G1215/1000)*7850</f>
        <v/>
      </c>
      <c r="I1215" s="43" t="n">
        <v>1</v>
      </c>
      <c r="J1215" s="80">
        <f>H1215*I1215</f>
        <v/>
      </c>
      <c r="K1215" s="43" t="inlineStr">
        <is>
          <t>来源页115</t>
        </is>
      </c>
      <c r="L1215" s="43">
        <f>A1215</f>
        <v/>
      </c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43" t="n"/>
    </row>
    <row r="1216">
      <c r="A1216" s="43" t="inlineStr">
        <is>
          <t>N33b</t>
        </is>
      </c>
      <c r="B1216" s="43" t="inlineStr">
        <is>
          <t>斜腹杆</t>
        </is>
      </c>
      <c r="C1216" s="43" t="inlineStr">
        <is>
          <t>节段17</t>
        </is>
      </c>
      <c r="D1216" s="43" t="inlineStr">
        <is>
          <t>Q420D</t>
        </is>
      </c>
      <c r="E1216" s="43" t="n">
        <v>9642</v>
      </c>
      <c r="F1216" s="43" t="n">
        <v>320</v>
      </c>
      <c r="G1216" s="43" t="n">
        <v>32</v>
      </c>
      <c r="H1216" s="79">
        <f>(E1216/1000)*(F1216/1000)*(G1216/1000)*7850</f>
        <v/>
      </c>
      <c r="I1216" s="43" t="n">
        <v>1</v>
      </c>
      <c r="J1216" s="80">
        <f>H1216*I1216</f>
        <v/>
      </c>
      <c r="K1216" s="43" t="inlineStr">
        <is>
          <t>来源页115</t>
        </is>
      </c>
      <c r="L1216" s="43">
        <f>A1216</f>
        <v/>
      </c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43" t="n"/>
    </row>
    <row r="1217">
      <c r="A1217" s="43" t="inlineStr">
        <is>
          <t>N34</t>
        </is>
      </c>
      <c r="B1217" s="43" t="inlineStr">
        <is>
          <t>斜腹杆</t>
        </is>
      </c>
      <c r="C1217" s="43" t="inlineStr">
        <is>
          <t>节段17</t>
        </is>
      </c>
      <c r="D1217" s="43" t="inlineStr">
        <is>
          <t>Q420D</t>
        </is>
      </c>
      <c r="E1217" s="43" t="n">
        <v>1200</v>
      </c>
      <c r="F1217" s="43" t="n">
        <v>1600</v>
      </c>
      <c r="G1217" s="43" t="n">
        <v>16</v>
      </c>
      <c r="H1217" s="79">
        <f>(E1217/1000)*(F1217/1000)*(G1217/1000)*7850</f>
        <v/>
      </c>
      <c r="I1217" s="43" t="n">
        <v>3</v>
      </c>
      <c r="J1217" s="80">
        <f>H1217*I1217</f>
        <v/>
      </c>
      <c r="K1217" s="43" t="inlineStr">
        <is>
          <t>来源页115</t>
        </is>
      </c>
      <c r="L1217" s="43">
        <f>A1217</f>
        <v/>
      </c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43" t="n"/>
    </row>
    <row r="1218">
      <c r="A1218" s="43" t="inlineStr">
        <is>
          <t>N41</t>
        </is>
      </c>
      <c r="B1218" s="43" t="inlineStr">
        <is>
          <t>斜腹杆</t>
        </is>
      </c>
      <c r="C1218" s="43" t="inlineStr">
        <is>
          <t>节段17</t>
        </is>
      </c>
      <c r="D1218" s="43" t="inlineStr">
        <is>
          <t>Q420D</t>
        </is>
      </c>
      <c r="E1218" s="43" t="n">
        <v>5426</v>
      </c>
      <c r="F1218" s="43" t="n">
        <v>1200</v>
      </c>
      <c r="G1218" s="43" t="n">
        <v>36</v>
      </c>
      <c r="H1218" s="79">
        <f>(E1218/1000)*(F1218/1000)*(G1218/1000)*7850</f>
        <v/>
      </c>
      <c r="I1218" s="43" t="n">
        <v>1</v>
      </c>
      <c r="J1218" s="80">
        <f>H1218*I1218</f>
        <v/>
      </c>
      <c r="K1218" s="43" t="inlineStr">
        <is>
          <t>来源页115</t>
        </is>
      </c>
      <c r="L1218" s="43">
        <f>A1218</f>
        <v/>
      </c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43" t="n"/>
    </row>
    <row r="1219">
      <c r="A1219" s="43" t="inlineStr">
        <is>
          <t>N41a</t>
        </is>
      </c>
      <c r="B1219" s="43" t="inlineStr">
        <is>
          <t>斜腹杆</t>
        </is>
      </c>
      <c r="C1219" s="43" t="inlineStr">
        <is>
          <t>节段17</t>
        </is>
      </c>
      <c r="D1219" s="43" t="inlineStr">
        <is>
          <t>Q420D</t>
        </is>
      </c>
      <c r="E1219" s="43" t="n">
        <v>5726</v>
      </c>
      <c r="F1219" s="43" t="n">
        <v>1200</v>
      </c>
      <c r="G1219" s="43" t="n">
        <v>36</v>
      </c>
      <c r="H1219" s="79">
        <f>(E1219/1000)*(F1219/1000)*(G1219/1000)*7850</f>
        <v/>
      </c>
      <c r="I1219" s="43" t="n">
        <v>1</v>
      </c>
      <c r="J1219" s="80">
        <f>H1219*I1219</f>
        <v/>
      </c>
      <c r="K1219" s="43" t="inlineStr">
        <is>
          <t>来源页115</t>
        </is>
      </c>
      <c r="L1219" s="43">
        <f>A1219</f>
        <v/>
      </c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43" t="n"/>
    </row>
    <row r="1220">
      <c r="A1220" s="43" t="inlineStr">
        <is>
          <t>N42</t>
        </is>
      </c>
      <c r="B1220" s="43" t="inlineStr">
        <is>
          <t>斜腹杆</t>
        </is>
      </c>
      <c r="C1220" s="43" t="inlineStr">
        <is>
          <t>节段17</t>
        </is>
      </c>
      <c r="D1220" s="43" t="inlineStr">
        <is>
          <t>Q420D</t>
        </is>
      </c>
      <c r="E1220" s="43" t="n">
        <v>3626</v>
      </c>
      <c r="F1220" s="43" t="n">
        <v>1360</v>
      </c>
      <c r="G1220" s="43" t="n">
        <v>36</v>
      </c>
      <c r="H1220" s="79">
        <f>(E1220/1000)*(F1220/1000)*(G1220/1000)*7850</f>
        <v/>
      </c>
      <c r="I1220" s="43" t="n">
        <v>2</v>
      </c>
      <c r="J1220" s="80">
        <f>H1220*I1220</f>
        <v/>
      </c>
      <c r="K1220" s="43" t="inlineStr">
        <is>
          <t>来源页115</t>
        </is>
      </c>
      <c r="L1220" s="43">
        <f>A1220</f>
        <v/>
      </c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43" t="n"/>
    </row>
    <row r="1221">
      <c r="A1221" s="43" t="inlineStr">
        <is>
          <t>N43</t>
        </is>
      </c>
      <c r="B1221" s="43" t="inlineStr">
        <is>
          <t>斜腹杆</t>
        </is>
      </c>
      <c r="C1221" s="43" t="inlineStr">
        <is>
          <t>节段17</t>
        </is>
      </c>
      <c r="D1221" s="43" t="inlineStr">
        <is>
          <t>Q420D</t>
        </is>
      </c>
      <c r="E1221" s="43" t="n">
        <v>3626</v>
      </c>
      <c r="F1221" s="43" t="n">
        <v>320</v>
      </c>
      <c r="G1221" s="43" t="n">
        <v>32</v>
      </c>
      <c r="H1221" s="79">
        <f>(E1221/1000)*(F1221/1000)*(G1221/1000)*7850</f>
        <v/>
      </c>
      <c r="I1221" s="43" t="n">
        <v>2</v>
      </c>
      <c r="J1221" s="80">
        <f>H1221*I1221</f>
        <v/>
      </c>
      <c r="K1221" s="43" t="inlineStr">
        <is>
          <t>来源页115</t>
        </is>
      </c>
      <c r="L1221" s="43">
        <f>A1221</f>
        <v/>
      </c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43" t="n"/>
    </row>
    <row r="1222">
      <c r="A1222" s="43" t="inlineStr">
        <is>
          <t>N43a</t>
        </is>
      </c>
      <c r="B1222" s="43" t="inlineStr">
        <is>
          <t>斜腹杆</t>
        </is>
      </c>
      <c r="C1222" s="43" t="inlineStr">
        <is>
          <t>节段17</t>
        </is>
      </c>
      <c r="D1222" s="43" t="inlineStr">
        <is>
          <t>Q420D</t>
        </is>
      </c>
      <c r="E1222" s="43" t="n">
        <v>4726</v>
      </c>
      <c r="F1222" s="43" t="n">
        <v>320</v>
      </c>
      <c r="G1222" s="43" t="n">
        <v>32</v>
      </c>
      <c r="H1222" s="79">
        <f>(E1222/1000)*(F1222/1000)*(G1222/1000)*7850</f>
        <v/>
      </c>
      <c r="I1222" s="43" t="n">
        <v>1</v>
      </c>
      <c r="J1222" s="80">
        <f>H1222*I1222</f>
        <v/>
      </c>
      <c r="K1222" s="43" t="inlineStr">
        <is>
          <t>来源页115</t>
        </is>
      </c>
      <c r="L1222" s="43">
        <f>A1222</f>
        <v/>
      </c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43" t="n"/>
    </row>
    <row r="1223">
      <c r="A1223" s="43" t="inlineStr">
        <is>
          <t>N43b</t>
        </is>
      </c>
      <c r="B1223" s="43" t="inlineStr">
        <is>
          <t>斜腹杆</t>
        </is>
      </c>
      <c r="C1223" s="43" t="inlineStr">
        <is>
          <t>节段17</t>
        </is>
      </c>
      <c r="D1223" s="43" t="inlineStr">
        <is>
          <t>Q420D</t>
        </is>
      </c>
      <c r="E1223" s="43" t="n">
        <v>5026</v>
      </c>
      <c r="F1223" s="43" t="n">
        <v>320</v>
      </c>
      <c r="G1223" s="43" t="n">
        <v>32</v>
      </c>
      <c r="H1223" s="79">
        <f>(E1223/1000)*(F1223/1000)*(G1223/1000)*7850</f>
        <v/>
      </c>
      <c r="I1223" s="43" t="n">
        <v>1</v>
      </c>
      <c r="J1223" s="80">
        <f>H1223*I1223</f>
        <v/>
      </c>
      <c r="K1223" s="43" t="inlineStr">
        <is>
          <t>来源页115</t>
        </is>
      </c>
      <c r="L1223" s="43">
        <f>A1223</f>
        <v/>
      </c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43" t="n"/>
    </row>
    <row r="1224">
      <c r="A1224" s="43" t="inlineStr">
        <is>
          <t>N44</t>
        </is>
      </c>
      <c r="B1224" s="43" t="inlineStr">
        <is>
          <t>斜腹杆</t>
        </is>
      </c>
      <c r="C1224" s="43" t="inlineStr">
        <is>
          <t>节段17</t>
        </is>
      </c>
      <c r="D1224" s="43" t="inlineStr">
        <is>
          <t>Q420D</t>
        </is>
      </c>
      <c r="E1224" s="43" t="n">
        <v>1200</v>
      </c>
      <c r="F1224" s="43" t="n">
        <v>1200</v>
      </c>
      <c r="G1224" s="43" t="n">
        <v>16</v>
      </c>
      <c r="H1224" s="79">
        <f>(E1224/1000)*(F1224/1000)*(G1224/1000)*7850</f>
        <v/>
      </c>
      <c r="I1224" s="43" t="n">
        <v>2</v>
      </c>
      <c r="J1224" s="80">
        <f>H1224*I1224</f>
        <v/>
      </c>
      <c r="K1224" s="43" t="inlineStr">
        <is>
          <t>来源页115</t>
        </is>
      </c>
      <c r="L1224" s="43">
        <f>A1224</f>
        <v/>
      </c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43" t="n"/>
    </row>
    <row r="1225">
      <c r="A1225" s="43" t="inlineStr">
        <is>
          <t>N51</t>
        </is>
      </c>
      <c r="B1225" s="43" t="inlineStr">
        <is>
          <t>节点板加劲</t>
        </is>
      </c>
      <c r="C1225" s="43" t="inlineStr">
        <is>
          <t>节段17</t>
        </is>
      </c>
      <c r="D1225" s="43" t="inlineStr">
        <is>
          <t>Q420D</t>
        </is>
      </c>
      <c r="E1225" s="43" t="n">
        <v>5629</v>
      </c>
      <c r="F1225" s="43" t="n">
        <v>1200</v>
      </c>
      <c r="G1225" s="43" t="n">
        <v>40</v>
      </c>
      <c r="H1225" s="79">
        <f>(E1225/1000)*(F1225/1000)*(G1225/1000)*7850</f>
        <v/>
      </c>
      <c r="I1225" s="43" t="n">
        <v>1</v>
      </c>
      <c r="J1225" s="80">
        <f>H1225*I1225</f>
        <v/>
      </c>
      <c r="K1225" s="43" t="inlineStr">
        <is>
          <t>来源页115</t>
        </is>
      </c>
      <c r="L1225" s="43">
        <f>A1225</f>
        <v/>
      </c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43" t="n"/>
    </row>
    <row r="1226">
      <c r="A1226" s="43" t="inlineStr">
        <is>
          <t>N51a</t>
        </is>
      </c>
      <c r="B1226" s="43" t="inlineStr">
        <is>
          <t>节点板加劲</t>
        </is>
      </c>
      <c r="C1226" s="43" t="inlineStr">
        <is>
          <t>节段17</t>
        </is>
      </c>
      <c r="D1226" s="43" t="inlineStr">
        <is>
          <t>Q420D</t>
        </is>
      </c>
      <c r="E1226" s="43" t="n">
        <v>5229</v>
      </c>
      <c r="F1226" s="43" t="n">
        <v>1200</v>
      </c>
      <c r="G1226" s="43" t="n">
        <v>40</v>
      </c>
      <c r="H1226" s="79">
        <f>(E1226/1000)*(F1226/1000)*(G1226/1000)*7850</f>
        <v/>
      </c>
      <c r="I1226" s="43" t="n">
        <v>1</v>
      </c>
      <c r="J1226" s="80">
        <f>H1226*I1226</f>
        <v/>
      </c>
      <c r="K1226" s="43" t="inlineStr">
        <is>
          <t>来源页115</t>
        </is>
      </c>
      <c r="L1226" s="43">
        <f>A1226</f>
        <v/>
      </c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43" t="n"/>
    </row>
    <row r="1227">
      <c r="A1227" s="43" t="inlineStr">
        <is>
          <t>N52</t>
        </is>
      </c>
      <c r="B1227" s="43" t="inlineStr">
        <is>
          <t>节点板加劲</t>
        </is>
      </c>
      <c r="C1227" s="43" t="inlineStr">
        <is>
          <t>节段17</t>
        </is>
      </c>
      <c r="D1227" s="43" t="inlineStr">
        <is>
          <t>Q420D</t>
        </is>
      </c>
      <c r="E1227" s="43" t="n">
        <v>3629</v>
      </c>
      <c r="F1227" s="43" t="n">
        <v>1760</v>
      </c>
      <c r="G1227" s="43" t="n">
        <v>40</v>
      </c>
      <c r="H1227" s="79">
        <f>(E1227/1000)*(F1227/1000)*(G1227/1000)*7850</f>
        <v/>
      </c>
      <c r="I1227" s="43" t="n">
        <v>2</v>
      </c>
      <c r="J1227" s="80">
        <f>H1227*I1227</f>
        <v/>
      </c>
      <c r="K1227" s="43" t="inlineStr">
        <is>
          <t>来源页115</t>
        </is>
      </c>
      <c r="L1227" s="43">
        <f>A1227</f>
        <v/>
      </c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43" t="n"/>
    </row>
    <row r="1228">
      <c r="A1228" s="43" t="inlineStr">
        <is>
          <t>N53</t>
        </is>
      </c>
      <c r="B1228" s="43" t="inlineStr">
        <is>
          <t>节点板加劲</t>
        </is>
      </c>
      <c r="C1228" s="43" t="inlineStr">
        <is>
          <t>节段17</t>
        </is>
      </c>
      <c r="D1228" s="43" t="inlineStr">
        <is>
          <t>Q420D</t>
        </is>
      </c>
      <c r="E1228" s="43" t="n">
        <v>3629</v>
      </c>
      <c r="F1228" s="43" t="n">
        <v>320</v>
      </c>
      <c r="G1228" s="43" t="n">
        <v>32</v>
      </c>
      <c r="H1228" s="79">
        <f>(E1228/1000)*(F1228/1000)*(G1228/1000)*7850</f>
        <v/>
      </c>
      <c r="I1228" s="43" t="n">
        <v>4</v>
      </c>
      <c r="J1228" s="80">
        <f>H1228*I1228</f>
        <v/>
      </c>
      <c r="K1228" s="43" t="inlineStr">
        <is>
          <t>来源页115</t>
        </is>
      </c>
      <c r="L1228" s="43">
        <f>A1228</f>
        <v/>
      </c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43" t="n"/>
    </row>
    <row r="1229">
      <c r="A1229" s="43" t="inlineStr">
        <is>
          <t>N53a</t>
        </is>
      </c>
      <c r="B1229" s="43" t="inlineStr">
        <is>
          <t>节点板加劲</t>
        </is>
      </c>
      <c r="C1229" s="43" t="inlineStr">
        <is>
          <t>节段17</t>
        </is>
      </c>
      <c r="D1229" s="43" t="inlineStr">
        <is>
          <t>Q420D</t>
        </is>
      </c>
      <c r="E1229" s="43" t="n">
        <v>4229</v>
      </c>
      <c r="F1229" s="43" t="n">
        <v>320</v>
      </c>
      <c r="G1229" s="43" t="n">
        <v>32</v>
      </c>
      <c r="H1229" s="79">
        <f>(E1229/1000)*(F1229/1000)*(G1229/1000)*7850</f>
        <v/>
      </c>
      <c r="I1229" s="43" t="n">
        <v>1</v>
      </c>
      <c r="J1229" s="80">
        <f>H1229*I1229</f>
        <v/>
      </c>
      <c r="K1229" s="43" t="inlineStr">
        <is>
          <t>来源页115</t>
        </is>
      </c>
      <c r="L1229" s="43">
        <f>A1229</f>
        <v/>
      </c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43" t="n"/>
    </row>
    <row r="1230">
      <c r="A1230" s="43" t="inlineStr">
        <is>
          <t>N53b</t>
        </is>
      </c>
      <c r="B1230" s="43" t="inlineStr">
        <is>
          <t>节点板加劲</t>
        </is>
      </c>
      <c r="C1230" s="43" t="inlineStr">
        <is>
          <t>节段17</t>
        </is>
      </c>
      <c r="D1230" s="43" t="inlineStr">
        <is>
          <t>Q420D</t>
        </is>
      </c>
      <c r="E1230" s="43" t="n">
        <v>3829</v>
      </c>
      <c r="F1230" s="43" t="n">
        <v>320</v>
      </c>
      <c r="G1230" s="43" t="n">
        <v>32</v>
      </c>
      <c r="H1230" s="79">
        <f>(E1230/1000)*(F1230/1000)*(G1230/1000)*7850</f>
        <v/>
      </c>
      <c r="I1230" s="43" t="n">
        <v>1</v>
      </c>
      <c r="J1230" s="80">
        <f>H1230*I1230</f>
        <v/>
      </c>
      <c r="K1230" s="43" t="inlineStr">
        <is>
          <t>来源页115</t>
        </is>
      </c>
      <c r="L1230" s="43">
        <f>A1230</f>
        <v/>
      </c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43" t="n"/>
    </row>
    <row r="1231">
      <c r="A1231" s="43" t="inlineStr">
        <is>
          <t>N54</t>
        </is>
      </c>
      <c r="B1231" s="43" t="inlineStr">
        <is>
          <t>节点板加劲</t>
        </is>
      </c>
      <c r="C1231" s="43" t="inlineStr">
        <is>
          <t>节段17</t>
        </is>
      </c>
      <c r="D1231" s="43" t="inlineStr">
        <is>
          <t>Q420D</t>
        </is>
      </c>
      <c r="E1231" s="43" t="n">
        <v>1200</v>
      </c>
      <c r="F1231" s="43" t="n">
        <v>1600</v>
      </c>
      <c r="G1231" s="43" t="n">
        <v>16</v>
      </c>
      <c r="H1231" s="79">
        <f>(E1231/1000)*(F1231/1000)*(G1231/1000)*7850</f>
        <v/>
      </c>
      <c r="I1231" s="43" t="n">
        <v>2</v>
      </c>
      <c r="J1231" s="80">
        <f>H1231*I1231</f>
        <v/>
      </c>
      <c r="K1231" s="43" t="inlineStr">
        <is>
          <t>来源页115</t>
        </is>
      </c>
      <c r="L1231" s="43">
        <f>A1231</f>
        <v/>
      </c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43" t="n"/>
    </row>
    <row r="1232">
      <c r="A1232" s="43" t="inlineStr">
        <is>
          <t>N55</t>
        </is>
      </c>
      <c r="B1232" s="43" t="inlineStr">
        <is>
          <t>节点板加劲</t>
        </is>
      </c>
      <c r="C1232" s="43" t="inlineStr">
        <is>
          <t>节段17</t>
        </is>
      </c>
      <c r="D1232" s="43" t="inlineStr">
        <is>
          <t>Q420D</t>
        </is>
      </c>
      <c r="E1232" s="43" t="n">
        <v>2100</v>
      </c>
      <c r="F1232" s="43" t="n">
        <v>320</v>
      </c>
      <c r="G1232" s="43" t="n">
        <v>32</v>
      </c>
      <c r="H1232" s="79">
        <f>(E1232/1000)*(F1232/1000)*(G1232/1000)*7850</f>
        <v/>
      </c>
      <c r="I1232" s="43" t="n">
        <v>6</v>
      </c>
      <c r="J1232" s="80">
        <f>H1232*I1232</f>
        <v/>
      </c>
      <c r="K1232" s="43" t="inlineStr">
        <is>
          <t>来源页115</t>
        </is>
      </c>
      <c r="L1232" s="43">
        <f>A1232</f>
        <v/>
      </c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43" t="n"/>
    </row>
    <row r="1233">
      <c r="A1233" s="43" t="inlineStr">
        <is>
          <t>N56</t>
        </is>
      </c>
      <c r="B1233" s="43" t="inlineStr">
        <is>
          <t>节点板加劲</t>
        </is>
      </c>
      <c r="C1233" s="43" t="inlineStr">
        <is>
          <t>节段17</t>
        </is>
      </c>
      <c r="D1233" s="43" t="inlineStr">
        <is>
          <t>Q420D</t>
        </is>
      </c>
      <c r="E1233" s="43" t="n">
        <v>2000</v>
      </c>
      <c r="F1233" s="43" t="n">
        <v>320</v>
      </c>
      <c r="G1233" s="43" t="n">
        <v>32</v>
      </c>
      <c r="H1233" s="79">
        <f>(E1233/1000)*(F1233/1000)*(G1233/1000)*7850</f>
        <v/>
      </c>
      <c r="I1233" s="43" t="n">
        <v>8</v>
      </c>
      <c r="J1233" s="80">
        <f>H1233*I1233</f>
        <v/>
      </c>
      <c r="K1233" s="43" t="inlineStr">
        <is>
          <t>来源页115</t>
        </is>
      </c>
      <c r="L1233" s="43">
        <f>A1233</f>
        <v/>
      </c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43" t="n"/>
    </row>
    <row r="1234">
      <c r="A1234" s="43" t="inlineStr">
        <is>
          <t>N61</t>
        </is>
      </c>
      <c r="B1234" s="43" t="inlineStr">
        <is>
          <t>横梁接头</t>
        </is>
      </c>
      <c r="C1234" s="43" t="inlineStr">
        <is>
          <t>节段17</t>
        </is>
      </c>
      <c r="D1234" s="43" t="inlineStr">
        <is>
          <t>Q355D</t>
        </is>
      </c>
      <c r="E1234" s="43" t="n">
        <v>1960</v>
      </c>
      <c r="F1234" s="43" t="n">
        <v>606</v>
      </c>
      <c r="G1234" s="43" t="n">
        <v>14</v>
      </c>
      <c r="H1234" s="79">
        <f>(E1234/1000)*(F1234/1000)*(G1234/1000)*7850</f>
        <v/>
      </c>
      <c r="I1234" s="43" t="n">
        <v>6</v>
      </c>
      <c r="J1234" s="80">
        <f>H1234*I1234</f>
        <v/>
      </c>
      <c r="K1234" s="43" t="inlineStr">
        <is>
          <t>来源页115</t>
        </is>
      </c>
      <c r="L1234" s="43">
        <f>A1234</f>
        <v/>
      </c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43" t="n"/>
    </row>
    <row r="1235">
      <c r="A1235" s="43" t="inlineStr">
        <is>
          <t>N61a</t>
        </is>
      </c>
      <c r="B1235" s="43" t="inlineStr">
        <is>
          <t>横梁接头</t>
        </is>
      </c>
      <c r="C1235" s="43" t="inlineStr">
        <is>
          <t>节段17</t>
        </is>
      </c>
      <c r="D1235" s="43" t="inlineStr">
        <is>
          <t>Q355D</t>
        </is>
      </c>
      <c r="E1235" s="43" t="n">
        <v>1960</v>
      </c>
      <c r="F1235" s="43" t="n">
        <v>602</v>
      </c>
      <c r="G1235" s="43" t="n">
        <v>14</v>
      </c>
      <c r="H1235" s="79">
        <f>(E1235/1000)*(F1235/1000)*(G1235/1000)*7850</f>
        <v/>
      </c>
      <c r="I1235" s="43" t="n">
        <v>4</v>
      </c>
      <c r="J1235" s="80">
        <f>H1235*I1235</f>
        <v/>
      </c>
      <c r="K1235" s="43" t="inlineStr">
        <is>
          <t>来源页115</t>
        </is>
      </c>
      <c r="L1235" s="43">
        <f>A1235</f>
        <v/>
      </c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43" t="n"/>
    </row>
    <row r="1236">
      <c r="A1236" s="43" t="inlineStr">
        <is>
          <t>N62</t>
        </is>
      </c>
      <c r="B1236" s="43" t="inlineStr">
        <is>
          <t>横梁接头</t>
        </is>
      </c>
      <c r="C1236" s="43" t="inlineStr">
        <is>
          <t>节段17</t>
        </is>
      </c>
      <c r="D1236" s="43" t="inlineStr">
        <is>
          <t>Q355D</t>
        </is>
      </c>
      <c r="E1236" s="43" t="n"/>
      <c r="F1236" s="43" t="n"/>
      <c r="G1236" s="43" t="n">
        <v>24</v>
      </c>
      <c r="H1236" s="79">
        <f>(E1236/1000)*(F1236/1000)*(G1236/1000)*7850</f>
        <v/>
      </c>
      <c r="I1236" s="43" t="n">
        <v>6</v>
      </c>
      <c r="J1236" s="80">
        <f>H1236*I1236</f>
        <v/>
      </c>
      <c r="K1236" s="43" t="inlineStr">
        <is>
          <t>来源页115</t>
        </is>
      </c>
      <c r="L1236" s="43">
        <f>A1236</f>
        <v/>
      </c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43" t="n"/>
    </row>
    <row r="1237">
      <c r="A1237" s="43" t="inlineStr">
        <is>
          <t>N62a</t>
        </is>
      </c>
      <c r="B1237" s="43" t="inlineStr">
        <is>
          <t>横梁接头</t>
        </is>
      </c>
      <c r="C1237" s="43" t="inlineStr">
        <is>
          <t>节段17</t>
        </is>
      </c>
      <c r="D1237" s="43" t="inlineStr">
        <is>
          <t>Q355D</t>
        </is>
      </c>
      <c r="E1237" s="43" t="n"/>
      <c r="F1237" s="43" t="n"/>
      <c r="G1237" s="43" t="n">
        <v>24</v>
      </c>
      <c r="H1237" s="79">
        <f>(E1237/1000)*(F1237/1000)*(G1237/1000)*7850</f>
        <v/>
      </c>
      <c r="I1237" s="43" t="n">
        <v>4</v>
      </c>
      <c r="J1237" s="80">
        <f>H1237*I1237</f>
        <v/>
      </c>
      <c r="K1237" s="43" t="inlineStr">
        <is>
          <t>来源页115</t>
        </is>
      </c>
      <c r="L1237" s="43">
        <f>A1237</f>
        <v/>
      </c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43" t="n"/>
    </row>
    <row r="1238">
      <c r="A1238" s="43" t="inlineStr">
        <is>
          <t>N63</t>
        </is>
      </c>
      <c r="B1238" s="43" t="inlineStr">
        <is>
          <t>横梁接头</t>
        </is>
      </c>
      <c r="C1238" s="43" t="inlineStr">
        <is>
          <t>节段17</t>
        </is>
      </c>
      <c r="D1238" s="43" t="inlineStr">
        <is>
          <t>Q355D</t>
        </is>
      </c>
      <c r="E1238" s="43" t="n">
        <v>1800</v>
      </c>
      <c r="F1238" s="43" t="n">
        <v>606</v>
      </c>
      <c r="G1238" s="43" t="n">
        <v>14</v>
      </c>
      <c r="H1238" s="79">
        <f>(E1238/1000)*(F1238/1000)*(G1238/1000)*7850</f>
        <v/>
      </c>
      <c r="I1238" s="43" t="n">
        <v>4</v>
      </c>
      <c r="J1238" s="80">
        <f>H1238*I1238</f>
        <v/>
      </c>
      <c r="K1238" s="43" t="inlineStr">
        <is>
          <t>来源页115</t>
        </is>
      </c>
      <c r="L1238" s="43">
        <f>A1238</f>
        <v/>
      </c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43" t="n"/>
    </row>
    <row r="1239">
      <c r="A1239" s="43" t="inlineStr">
        <is>
          <t>N63a</t>
        </is>
      </c>
      <c r="B1239" s="43" t="inlineStr">
        <is>
          <t>横梁接头</t>
        </is>
      </c>
      <c r="C1239" s="43" t="inlineStr">
        <is>
          <t>节段17</t>
        </is>
      </c>
      <c r="D1239" s="43" t="inlineStr">
        <is>
          <t>Q355D</t>
        </is>
      </c>
      <c r="E1239" s="43" t="n">
        <v>1800</v>
      </c>
      <c r="F1239" s="43" t="n">
        <v>606</v>
      </c>
      <c r="G1239" s="43" t="n">
        <v>14</v>
      </c>
      <c r="H1239" s="79">
        <f>(E1239/1000)*(F1239/1000)*(G1239/1000)*7850</f>
        <v/>
      </c>
      <c r="I1239" s="43" t="n">
        <v>4</v>
      </c>
      <c r="J1239" s="80">
        <f>H1239*I1239</f>
        <v/>
      </c>
      <c r="K1239" s="43" t="inlineStr">
        <is>
          <t>来源页115</t>
        </is>
      </c>
      <c r="L1239" s="43">
        <f>A1239</f>
        <v/>
      </c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43" t="n"/>
    </row>
    <row r="1240">
      <c r="A1240" s="43" t="inlineStr">
        <is>
          <t>N81</t>
        </is>
      </c>
      <c r="B1240" s="43" t="inlineStr">
        <is>
          <t>支座加劲</t>
        </is>
      </c>
      <c r="C1240" s="43" t="inlineStr">
        <is>
          <t>节段17</t>
        </is>
      </c>
      <c r="D1240" s="43" t="inlineStr">
        <is>
          <t>Q420D</t>
        </is>
      </c>
      <c r="E1240" s="43" t="n">
        <v>1800</v>
      </c>
      <c r="F1240" s="43" t="n">
        <v>1200</v>
      </c>
      <c r="G1240" s="43" t="n">
        <v>32</v>
      </c>
      <c r="H1240" s="79">
        <f>(E1240/1000)*(F1240/1000)*(G1240/1000)*7850</f>
        <v/>
      </c>
      <c r="I1240" s="43" t="n">
        <v>5</v>
      </c>
      <c r="J1240" s="80">
        <f>H1240*I1240</f>
        <v/>
      </c>
      <c r="K1240" s="43" t="inlineStr">
        <is>
          <t>来源页115</t>
        </is>
      </c>
      <c r="L1240" s="43">
        <f>A1240</f>
        <v/>
      </c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43" t="n"/>
    </row>
    <row r="1241">
      <c r="A1241" s="43" t="inlineStr">
        <is>
          <t>N82</t>
        </is>
      </c>
      <c r="B1241" s="43" t="inlineStr">
        <is>
          <t>支座加劲</t>
        </is>
      </c>
      <c r="C1241" s="43" t="inlineStr">
        <is>
          <t>节段17</t>
        </is>
      </c>
      <c r="D1241" s="43" t="inlineStr">
        <is>
          <t>Q420D</t>
        </is>
      </c>
      <c r="E1241" s="43" t="n">
        <v>1800</v>
      </c>
      <c r="F1241" s="43" t="n">
        <v>602</v>
      </c>
      <c r="G1241" s="43" t="n">
        <v>44</v>
      </c>
      <c r="H1241" s="79">
        <f>(E1241/1000)*(F1241/1000)*(G1241/1000)*7850</f>
        <v/>
      </c>
      <c r="I1241" s="43" t="n">
        <v>6</v>
      </c>
      <c r="J1241" s="80">
        <f>H1241*I1241</f>
        <v/>
      </c>
      <c r="K1241" s="43" t="inlineStr">
        <is>
          <t>来源页115</t>
        </is>
      </c>
      <c r="L1241" s="43">
        <f>A1241</f>
        <v/>
      </c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43" t="n"/>
    </row>
    <row r="1242">
      <c r="A1242" s="43" t="inlineStr">
        <is>
          <t>N83</t>
        </is>
      </c>
      <c r="B1242" s="43" t="inlineStr">
        <is>
          <t>支座加劲</t>
        </is>
      </c>
      <c r="C1242" s="43" t="inlineStr">
        <is>
          <t>节段17</t>
        </is>
      </c>
      <c r="D1242" s="43" t="inlineStr">
        <is>
          <t>Q420D</t>
        </is>
      </c>
      <c r="E1242" s="43" t="n">
        <v>2800</v>
      </c>
      <c r="F1242" s="43" t="n">
        <v>2650</v>
      </c>
      <c r="G1242" s="43" t="n">
        <v>80</v>
      </c>
      <c r="H1242" s="79">
        <f>(E1242/1000)*(F1242/1000)*(G1242/1000)*7850</f>
        <v/>
      </c>
      <c r="I1242" s="43" t="n">
        <v>1</v>
      </c>
      <c r="J1242" s="80">
        <f>H1242*I1242</f>
        <v/>
      </c>
      <c r="K1242" s="43" t="inlineStr">
        <is>
          <t>来源页115</t>
        </is>
      </c>
      <c r="L1242" s="43">
        <f>A1242</f>
        <v/>
      </c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43" t="n"/>
    </row>
    <row r="1243">
      <c r="A1243" s="43" t="inlineStr">
        <is>
          <t>N84</t>
        </is>
      </c>
      <c r="B1243" s="43" t="inlineStr">
        <is>
          <t>支座加劲</t>
        </is>
      </c>
      <c r="C1243" s="43" t="inlineStr">
        <is>
          <t>节段17</t>
        </is>
      </c>
      <c r="D1243" s="43" t="inlineStr">
        <is>
          <t>Q420D</t>
        </is>
      </c>
      <c r="E1243" s="43" t="n">
        <v>1000</v>
      </c>
      <c r="F1243" s="43" t="n">
        <v>568</v>
      </c>
      <c r="G1243" s="43" t="n">
        <v>32</v>
      </c>
      <c r="H1243" s="79">
        <f>(E1243/1000)*(F1243/1000)*(G1243/1000)*7850</f>
        <v/>
      </c>
      <c r="I1243" s="43" t="n">
        <v>4</v>
      </c>
      <c r="J1243" s="80">
        <f>H1243*I1243</f>
        <v/>
      </c>
      <c r="K1243" s="43" t="inlineStr">
        <is>
          <t>来源页115</t>
        </is>
      </c>
      <c r="L1243" s="43">
        <f>A1243</f>
        <v/>
      </c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43" t="n"/>
    </row>
    <row r="1244">
      <c r="A1244" s="43" t="inlineStr">
        <is>
          <t>N85</t>
        </is>
      </c>
      <c r="B1244" s="43" t="inlineStr">
        <is>
          <t>支座加劲</t>
        </is>
      </c>
      <c r="C1244" s="43" t="inlineStr">
        <is>
          <t>节段17</t>
        </is>
      </c>
      <c r="D1244" s="43" t="inlineStr">
        <is>
          <t>Q420D</t>
        </is>
      </c>
      <c r="E1244" s="43" t="n">
        <v>1350</v>
      </c>
      <c r="F1244" s="43" t="n">
        <v>570</v>
      </c>
      <c r="G1244" s="43" t="n">
        <v>32</v>
      </c>
      <c r="H1244" s="79">
        <f>(E1244/1000)*(F1244/1000)*(G1244/1000)*7850</f>
        <v/>
      </c>
      <c r="I1244" s="43" t="n">
        <v>4</v>
      </c>
      <c r="J1244" s="80">
        <f>H1244*I1244</f>
        <v/>
      </c>
      <c r="K1244" s="43" t="inlineStr">
        <is>
          <t>来源页115</t>
        </is>
      </c>
      <c r="L1244" s="43">
        <f>A1244</f>
        <v/>
      </c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43" t="n"/>
    </row>
    <row r="1245">
      <c r="A1245" s="43" t="inlineStr">
        <is>
          <t>P1</t>
        </is>
      </c>
      <c r="B1245" s="43" t="inlineStr">
        <is>
          <t>上弦杆拼接</t>
        </is>
      </c>
      <c r="C1245" s="43" t="inlineStr">
        <is>
          <t>节段17~节段18</t>
        </is>
      </c>
      <c r="D1245" s="43" t="inlineStr">
        <is>
          <t>Q420D</t>
        </is>
      </c>
      <c r="E1245" s="43" t="n">
        <v>1820</v>
      </c>
      <c r="F1245" s="43" t="n">
        <v>1800</v>
      </c>
      <c r="G1245" s="43" t="n">
        <v>40</v>
      </c>
      <c r="H1245" s="79">
        <f>(E1245/1000)*(F1245/1000)*(G1245/1000)*7850</f>
        <v/>
      </c>
      <c r="I1245" s="43" t="n">
        <v>2</v>
      </c>
      <c r="J1245" s="80">
        <f>H1245*I1245</f>
        <v/>
      </c>
      <c r="K1245" s="43" t="inlineStr">
        <is>
          <t>来源页118</t>
        </is>
      </c>
      <c r="L1245" s="43">
        <f>A1245</f>
        <v/>
      </c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43" t="n"/>
    </row>
    <row r="1246">
      <c r="A1246" s="43" t="inlineStr">
        <is>
          <t>P2</t>
        </is>
      </c>
      <c r="B1246" s="43" t="inlineStr">
        <is>
          <t>上弦杆拼接</t>
        </is>
      </c>
      <c r="C1246" s="43" t="inlineStr">
        <is>
          <t>节段17~节段18</t>
        </is>
      </c>
      <c r="D1246" s="43" t="inlineStr">
        <is>
          <t>Q420D</t>
        </is>
      </c>
      <c r="E1246" s="43" t="n">
        <v>1820</v>
      </c>
      <c r="F1246" s="43" t="n">
        <v>500</v>
      </c>
      <c r="G1246" s="43" t="n">
        <v>40</v>
      </c>
      <c r="H1246" s="79">
        <f>(E1246/1000)*(F1246/1000)*(G1246/1000)*7850</f>
        <v/>
      </c>
      <c r="I1246" s="43" t="n">
        <v>2</v>
      </c>
      <c r="J1246" s="80">
        <f>H1246*I1246</f>
        <v/>
      </c>
      <c r="K1246" s="43" t="inlineStr">
        <is>
          <t>来源页118</t>
        </is>
      </c>
      <c r="L1246" s="43">
        <f>A1246</f>
        <v/>
      </c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43" t="n"/>
    </row>
    <row r="1247">
      <c r="A1247" s="43" t="inlineStr">
        <is>
          <t>P3</t>
        </is>
      </c>
      <c r="B1247" s="43" t="inlineStr">
        <is>
          <t>上弦杆拼接</t>
        </is>
      </c>
      <c r="C1247" s="43" t="inlineStr">
        <is>
          <t>节段17~节段18</t>
        </is>
      </c>
      <c r="D1247" s="43" t="inlineStr">
        <is>
          <t>Q420D</t>
        </is>
      </c>
      <c r="E1247" s="43" t="n">
        <v>1820</v>
      </c>
      <c r="F1247" s="43" t="n">
        <v>500</v>
      </c>
      <c r="G1247" s="43" t="n">
        <v>40</v>
      </c>
      <c r="H1247" s="79">
        <f>(E1247/1000)*(F1247/1000)*(G1247/1000)*7850</f>
        <v/>
      </c>
      <c r="I1247" s="43" t="n">
        <v>2</v>
      </c>
      <c r="J1247" s="80">
        <f>H1247*I1247</f>
        <v/>
      </c>
      <c r="K1247" s="43" t="inlineStr">
        <is>
          <t>来源页118</t>
        </is>
      </c>
      <c r="L1247" s="43">
        <f>A1247</f>
        <v/>
      </c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43" t="n"/>
    </row>
    <row r="1248">
      <c r="A1248" s="43" t="inlineStr">
        <is>
          <t>P4</t>
        </is>
      </c>
      <c r="B1248" s="43" t="inlineStr">
        <is>
          <t>上弦杆拼接</t>
        </is>
      </c>
      <c r="C1248" s="43" t="inlineStr">
        <is>
          <t>节段17~节段18</t>
        </is>
      </c>
      <c r="D1248" s="43" t="inlineStr">
        <is>
          <t>Q420D</t>
        </is>
      </c>
      <c r="E1248" s="43" t="n">
        <v>1820</v>
      </c>
      <c r="F1248" s="43" t="n">
        <v>600</v>
      </c>
      <c r="G1248" s="43" t="n">
        <v>40</v>
      </c>
      <c r="H1248" s="79">
        <f>(E1248/1000)*(F1248/1000)*(G1248/1000)*7850</f>
        <v/>
      </c>
      <c r="I1248" s="43" t="n">
        <v>2</v>
      </c>
      <c r="J1248" s="80">
        <f>H1248*I1248</f>
        <v/>
      </c>
      <c r="K1248" s="43" t="inlineStr">
        <is>
          <t>来源页118</t>
        </is>
      </c>
      <c r="L1248" s="43">
        <f>A1248</f>
        <v/>
      </c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43" t="n"/>
    </row>
    <row r="1249">
      <c r="A1249" s="43" t="inlineStr">
        <is>
          <t>P5</t>
        </is>
      </c>
      <c r="B1249" s="43" t="inlineStr">
        <is>
          <t>上弦杆拼接</t>
        </is>
      </c>
      <c r="C1249" s="43" t="inlineStr">
        <is>
          <t>节段17~节段18</t>
        </is>
      </c>
      <c r="D1249" s="43" t="inlineStr">
        <is>
          <t>Q420D</t>
        </is>
      </c>
      <c r="E1249" s="43" t="n">
        <v>1720</v>
      </c>
      <c r="F1249" s="43" t="n">
        <v>1100</v>
      </c>
      <c r="G1249" s="43" t="n">
        <v>44</v>
      </c>
      <c r="H1249" s="79">
        <f>(E1249/1000)*(F1249/1000)*(G1249/1000)*7850</f>
        <v/>
      </c>
      <c r="I1249" s="43" t="n">
        <v>1</v>
      </c>
      <c r="J1249" s="80">
        <f>H1249*I1249</f>
        <v/>
      </c>
      <c r="K1249" s="43" t="inlineStr">
        <is>
          <t>来源页118</t>
        </is>
      </c>
      <c r="L1249" s="43">
        <f>A1249</f>
        <v/>
      </c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43" t="n"/>
    </row>
    <row r="1250">
      <c r="A1250" s="43" t="inlineStr">
        <is>
          <t>P6</t>
        </is>
      </c>
      <c r="B1250" s="43" t="inlineStr">
        <is>
          <t>上弦杆拼接</t>
        </is>
      </c>
      <c r="C1250" s="43" t="inlineStr">
        <is>
          <t>节段17~节段18</t>
        </is>
      </c>
      <c r="D1250" s="43" t="inlineStr">
        <is>
          <t>Q420D</t>
        </is>
      </c>
      <c r="E1250" s="43" t="n">
        <v>1720</v>
      </c>
      <c r="F1250" s="43" t="n">
        <v>400</v>
      </c>
      <c r="G1250" s="43" t="n">
        <v>44</v>
      </c>
      <c r="H1250" s="79">
        <f>(E1250/1000)*(F1250/1000)*(G1250/1000)*7850</f>
        <v/>
      </c>
      <c r="I1250" s="43" t="n">
        <v>2</v>
      </c>
      <c r="J1250" s="80">
        <f>H1250*I1250</f>
        <v/>
      </c>
      <c r="K1250" s="43" t="inlineStr">
        <is>
          <t>来源页118</t>
        </is>
      </c>
      <c r="L1250" s="43">
        <f>A1250</f>
        <v/>
      </c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43" t="n"/>
    </row>
    <row r="1251">
      <c r="A1251" s="43" t="inlineStr">
        <is>
          <t>P7</t>
        </is>
      </c>
      <c r="B1251" s="43" t="inlineStr">
        <is>
          <t>上弦杆拼接</t>
        </is>
      </c>
      <c r="C1251" s="43" t="inlineStr">
        <is>
          <t>节段17~节段18</t>
        </is>
      </c>
      <c r="D1251" s="43" t="inlineStr">
        <is>
          <t>Q420D</t>
        </is>
      </c>
      <c r="E1251" s="43" t="n">
        <v>1320</v>
      </c>
      <c r="F1251" s="43" t="n">
        <v>240</v>
      </c>
      <c r="G1251" s="43" t="n">
        <v>24</v>
      </c>
      <c r="H1251" s="79">
        <f>(E1251/1000)*(F1251/1000)*(G1251/1000)*7850</f>
        <v/>
      </c>
      <c r="I1251" s="43" t="n">
        <v>10</v>
      </c>
      <c r="J1251" s="80">
        <f>H1251*I1251</f>
        <v/>
      </c>
      <c r="K1251" s="43" t="inlineStr">
        <is>
          <t>来源页118</t>
        </is>
      </c>
      <c r="L1251" s="43">
        <f>A1251</f>
        <v/>
      </c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43" t="n"/>
    </row>
    <row r="1252">
      <c r="A1252" s="43" t="inlineStr">
        <is>
          <t>M30高强螺栓</t>
        </is>
      </c>
      <c r="B1252" s="43" t="inlineStr">
        <is>
          <t>上弦杆拼接</t>
        </is>
      </c>
      <c r="C1252" s="43" t="inlineStr">
        <is>
          <t>节段17~节段18</t>
        </is>
      </c>
      <c r="D1252" s="43" t="inlineStr">
        <is>
          <t>10.9S</t>
        </is>
      </c>
      <c r="E1252" s="43" t="n"/>
      <c r="F1252" s="43" t="n"/>
      <c r="G1252" s="43" t="n"/>
      <c r="H1252" s="79">
        <f>(E1252/1000)*(F1252/1000)*(G1252/1000)*7850</f>
        <v/>
      </c>
      <c r="I1252" s="43" t="n">
        <v>780</v>
      </c>
      <c r="J1252" s="80">
        <f>H1252*I1252</f>
        <v/>
      </c>
      <c r="K1252" s="43" t="inlineStr">
        <is>
          <t>来源页118</t>
        </is>
      </c>
      <c r="L1252" s="43">
        <f>A1252</f>
        <v/>
      </c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43" t="n"/>
    </row>
    <row r="1253">
      <c r="A1253" s="43" t="inlineStr">
        <is>
          <t>K1</t>
        </is>
      </c>
      <c r="B1253" s="43" t="inlineStr">
        <is>
          <t>下弦杆拼接</t>
        </is>
      </c>
      <c r="C1253" s="43" t="inlineStr">
        <is>
          <t>节段17~节段18</t>
        </is>
      </c>
      <c r="D1253" s="43" t="inlineStr">
        <is>
          <t>Q420D</t>
        </is>
      </c>
      <c r="E1253" s="43" t="n">
        <v>1220</v>
      </c>
      <c r="F1253" s="43" t="n">
        <v>1700</v>
      </c>
      <c r="G1253" s="43" t="n">
        <v>28</v>
      </c>
      <c r="H1253" s="79">
        <f>(E1253/1000)*(F1253/1000)*(G1253/1000)*7850</f>
        <v/>
      </c>
      <c r="I1253" s="43" t="n">
        <v>2</v>
      </c>
      <c r="J1253" s="80">
        <f>H1253*I1253</f>
        <v/>
      </c>
      <c r="K1253" s="43" t="inlineStr">
        <is>
          <t>来源页118</t>
        </is>
      </c>
      <c r="L1253" s="43">
        <f>A1253</f>
        <v/>
      </c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43" t="n"/>
    </row>
    <row r="1254">
      <c r="A1254" s="43" t="inlineStr">
        <is>
          <t>K2</t>
        </is>
      </c>
      <c r="B1254" s="43" t="inlineStr">
        <is>
          <t>下弦杆拼接</t>
        </is>
      </c>
      <c r="C1254" s="43" t="inlineStr">
        <is>
          <t>节段17~节段18</t>
        </is>
      </c>
      <c r="D1254" s="43" t="inlineStr">
        <is>
          <t>Q420D</t>
        </is>
      </c>
      <c r="E1254" s="43" t="n">
        <v>1220</v>
      </c>
      <c r="F1254" s="43" t="n">
        <v>800</v>
      </c>
      <c r="G1254" s="43" t="n">
        <v>28</v>
      </c>
      <c r="H1254" s="79">
        <f>(E1254/1000)*(F1254/1000)*(G1254/1000)*7850</f>
        <v/>
      </c>
      <c r="I1254" s="43" t="n">
        <v>4</v>
      </c>
      <c r="J1254" s="80">
        <f>H1254*I1254</f>
        <v/>
      </c>
      <c r="K1254" s="43" t="inlineStr">
        <is>
          <t>来源页118</t>
        </is>
      </c>
      <c r="L1254" s="43">
        <f>A1254</f>
        <v/>
      </c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43" t="n"/>
    </row>
    <row r="1255">
      <c r="A1255" s="43" t="inlineStr">
        <is>
          <t>K3</t>
        </is>
      </c>
      <c r="B1255" s="43" t="inlineStr">
        <is>
          <t>下弦杆拼接</t>
        </is>
      </c>
      <c r="C1255" s="43" t="inlineStr">
        <is>
          <t>节段17~节段18</t>
        </is>
      </c>
      <c r="D1255" s="43" t="inlineStr">
        <is>
          <t>Q420D</t>
        </is>
      </c>
      <c r="E1255" s="43" t="n">
        <v>1520</v>
      </c>
      <c r="F1255" s="43" t="n">
        <v>1100</v>
      </c>
      <c r="G1255" s="43" t="n">
        <v>36</v>
      </c>
      <c r="H1255" s="79">
        <f>(E1255/1000)*(F1255/1000)*(G1255/1000)*7850</f>
        <v/>
      </c>
      <c r="I1255" s="43" t="n">
        <v>1</v>
      </c>
      <c r="J1255" s="80">
        <f>H1255*I1255</f>
        <v/>
      </c>
      <c r="K1255" s="43" t="inlineStr">
        <is>
          <t>来源页118</t>
        </is>
      </c>
      <c r="L1255" s="43">
        <f>A1255</f>
        <v/>
      </c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43" t="n"/>
    </row>
    <row r="1256">
      <c r="A1256" s="43" t="inlineStr">
        <is>
          <t>K4</t>
        </is>
      </c>
      <c r="B1256" s="43" t="inlineStr">
        <is>
          <t>下弦杆拼接</t>
        </is>
      </c>
      <c r="C1256" s="43" t="inlineStr">
        <is>
          <t>节段17~节段18</t>
        </is>
      </c>
      <c r="D1256" s="43" t="inlineStr">
        <is>
          <t>Q420D</t>
        </is>
      </c>
      <c r="E1256" s="43" t="n">
        <v>1520</v>
      </c>
      <c r="F1256" s="43" t="n">
        <v>400</v>
      </c>
      <c r="G1256" s="43" t="n">
        <v>36</v>
      </c>
      <c r="H1256" s="79">
        <f>(E1256/1000)*(F1256/1000)*(G1256/1000)*7850</f>
        <v/>
      </c>
      <c r="I1256" s="43" t="n">
        <v>2</v>
      </c>
      <c r="J1256" s="80">
        <f>H1256*I1256</f>
        <v/>
      </c>
      <c r="K1256" s="43" t="inlineStr">
        <is>
          <t>来源页118</t>
        </is>
      </c>
      <c r="L1256" s="43">
        <f>A1256</f>
        <v/>
      </c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43" t="n"/>
    </row>
    <row r="1257">
      <c r="A1257" s="43" t="inlineStr">
        <is>
          <t>K6</t>
        </is>
      </c>
      <c r="B1257" s="43" t="inlineStr">
        <is>
          <t>下弦杆拼接</t>
        </is>
      </c>
      <c r="C1257" s="43" t="inlineStr">
        <is>
          <t>节段17~节段18</t>
        </is>
      </c>
      <c r="D1257" s="43" t="inlineStr">
        <is>
          <t>Q420D</t>
        </is>
      </c>
      <c r="E1257" s="43" t="n">
        <v>650</v>
      </c>
      <c r="F1257" s="43" t="n">
        <v>1100</v>
      </c>
      <c r="G1257" s="43" t="n">
        <v>4</v>
      </c>
      <c r="H1257" s="79">
        <f>(E1257/1000)*(F1257/1000)*(G1257/1000)*7850</f>
        <v/>
      </c>
      <c r="I1257" s="43" t="n">
        <v>1</v>
      </c>
      <c r="J1257" s="80">
        <f>H1257*I1257</f>
        <v/>
      </c>
      <c r="K1257" s="43" t="inlineStr">
        <is>
          <t>填板；来源页118</t>
        </is>
      </c>
      <c r="L1257" s="43">
        <f>A1257</f>
        <v/>
      </c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43" t="n"/>
    </row>
    <row r="1258">
      <c r="A1258" s="43" t="inlineStr">
        <is>
          <t>M30高强螺栓</t>
        </is>
      </c>
      <c r="B1258" s="43" t="inlineStr">
        <is>
          <t>下弦杆拼接</t>
        </is>
      </c>
      <c r="C1258" s="43" t="inlineStr">
        <is>
          <t>节段17~节段18</t>
        </is>
      </c>
      <c r="D1258" s="43" t="inlineStr">
        <is>
          <t>10.9S</t>
        </is>
      </c>
      <c r="E1258" s="43" t="n"/>
      <c r="F1258" s="43" t="n"/>
      <c r="G1258" s="43" t="n"/>
      <c r="H1258" s="79">
        <f>(E1258/1000)*(F1258/1000)*(G1258/1000)*7850</f>
        <v/>
      </c>
      <c r="I1258" s="43" t="n">
        <v>580</v>
      </c>
      <c r="J1258" s="80">
        <f>H1258*I1258</f>
        <v/>
      </c>
      <c r="K1258" s="43" t="inlineStr">
        <is>
          <t>来源页118</t>
        </is>
      </c>
      <c r="L1258" s="43">
        <f>A1258</f>
        <v/>
      </c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43" t="n"/>
    </row>
    <row r="1259">
      <c r="A1259" s="43" t="inlineStr">
        <is>
          <t>L1</t>
        </is>
      </c>
      <c r="B1259" s="43" t="inlineStr">
        <is>
          <t>腹杆拼接</t>
        </is>
      </c>
      <c r="C1259" s="43" t="inlineStr">
        <is>
          <t>节段17~节段18</t>
        </is>
      </c>
      <c r="D1259" s="43" t="inlineStr">
        <is>
          <t>Q355D</t>
        </is>
      </c>
      <c r="E1259" s="43" t="n">
        <v>1520</v>
      </c>
      <c r="F1259" s="43" t="n">
        <v>1100</v>
      </c>
      <c r="G1259" s="43" t="n">
        <v>24</v>
      </c>
      <c r="H1259" s="79">
        <f>(E1259/1000)*(F1259/1000)*(G1259/1000)*7850</f>
        <v/>
      </c>
      <c r="I1259" s="43" t="n">
        <v>2</v>
      </c>
      <c r="J1259" s="80">
        <f>H1259*I1259</f>
        <v/>
      </c>
      <c r="K1259" s="43" t="inlineStr">
        <is>
          <t>来源页118</t>
        </is>
      </c>
      <c r="L1259" s="43">
        <f>A1259</f>
        <v/>
      </c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43" t="n"/>
    </row>
    <row r="1260">
      <c r="A1260" s="43" t="inlineStr">
        <is>
          <t>L2</t>
        </is>
      </c>
      <c r="B1260" s="43" t="inlineStr">
        <is>
          <t>腹杆拼接</t>
        </is>
      </c>
      <c r="C1260" s="43" t="inlineStr">
        <is>
          <t>节段17~节段18</t>
        </is>
      </c>
      <c r="D1260" s="43" t="inlineStr">
        <is>
          <t>Q355D</t>
        </is>
      </c>
      <c r="E1260" s="43" t="n">
        <v>1520</v>
      </c>
      <c r="F1260" s="43" t="n">
        <v>500</v>
      </c>
      <c r="G1260" s="43" t="n">
        <v>24</v>
      </c>
      <c r="H1260" s="79">
        <f>(E1260/1000)*(F1260/1000)*(G1260/1000)*7850</f>
        <v/>
      </c>
      <c r="I1260" s="43" t="n">
        <v>4</v>
      </c>
      <c r="J1260" s="80">
        <f>H1260*I1260</f>
        <v/>
      </c>
      <c r="K1260" s="43" t="inlineStr">
        <is>
          <t>来源页118</t>
        </is>
      </c>
      <c r="L1260" s="43">
        <f>A1260</f>
        <v/>
      </c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43" t="n"/>
    </row>
    <row r="1261">
      <c r="A1261" s="43" t="inlineStr">
        <is>
          <t>L3</t>
        </is>
      </c>
      <c r="B1261" s="43" t="inlineStr">
        <is>
          <t>腹杆拼接</t>
        </is>
      </c>
      <c r="C1261" s="43" t="inlineStr">
        <is>
          <t>节段17~节段18</t>
        </is>
      </c>
      <c r="D1261" s="43" t="inlineStr">
        <is>
          <t>Q355D</t>
        </is>
      </c>
      <c r="E1261" s="43" t="n">
        <v>1320</v>
      </c>
      <c r="F1261" s="43" t="n">
        <v>1100</v>
      </c>
      <c r="G1261" s="43" t="n">
        <v>28</v>
      </c>
      <c r="H1261" s="79">
        <f>(E1261/1000)*(F1261/1000)*(G1261/1000)*7850</f>
        <v/>
      </c>
      <c r="I1261" s="43" t="n">
        <v>1</v>
      </c>
      <c r="J1261" s="80">
        <f>H1261*I1261</f>
        <v/>
      </c>
      <c r="K1261" s="43" t="inlineStr">
        <is>
          <t>来源页118</t>
        </is>
      </c>
      <c r="L1261" s="43">
        <f>A1261</f>
        <v/>
      </c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43" t="n"/>
    </row>
    <row r="1262">
      <c r="A1262" s="43" t="inlineStr">
        <is>
          <t>L4</t>
        </is>
      </c>
      <c r="B1262" s="43" t="inlineStr">
        <is>
          <t>腹杆拼接</t>
        </is>
      </c>
      <c r="C1262" s="43" t="inlineStr">
        <is>
          <t>节段17~节段18</t>
        </is>
      </c>
      <c r="D1262" s="43" t="inlineStr">
        <is>
          <t>Q355D</t>
        </is>
      </c>
      <c r="E1262" s="43" t="n">
        <v>1320</v>
      </c>
      <c r="F1262" s="43" t="n">
        <v>500</v>
      </c>
      <c r="G1262" s="43" t="n">
        <v>28</v>
      </c>
      <c r="H1262" s="79">
        <f>(E1262/1000)*(F1262/1000)*(G1262/1000)*7850</f>
        <v/>
      </c>
      <c r="I1262" s="43" t="n">
        <v>2</v>
      </c>
      <c r="J1262" s="80">
        <f>H1262*I1262</f>
        <v/>
      </c>
      <c r="K1262" s="43" t="inlineStr">
        <is>
          <t>来源页118</t>
        </is>
      </c>
      <c r="L1262" s="43">
        <f>A1262</f>
        <v/>
      </c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43" t="n"/>
    </row>
    <row r="1263">
      <c r="A1263" s="43" t="inlineStr">
        <is>
          <t>L5</t>
        </is>
      </c>
      <c r="B1263" s="43" t="inlineStr">
        <is>
          <t>腹杆拼接</t>
        </is>
      </c>
      <c r="C1263" s="43" t="inlineStr">
        <is>
          <t>节段17~节段18</t>
        </is>
      </c>
      <c r="D1263" s="43" t="inlineStr">
        <is>
          <t>Q355D</t>
        </is>
      </c>
      <c r="E1263" s="43" t="n">
        <v>1520</v>
      </c>
      <c r="F1263" s="43" t="n">
        <v>1100</v>
      </c>
      <c r="G1263" s="43" t="n">
        <v>44</v>
      </c>
      <c r="H1263" s="79">
        <f>(E1263/1000)*(F1263/1000)*(G1263/1000)*7850</f>
        <v/>
      </c>
      <c r="I1263" s="43" t="n">
        <v>1</v>
      </c>
      <c r="J1263" s="80">
        <f>H1263*I1263</f>
        <v/>
      </c>
      <c r="K1263" s="43" t="inlineStr">
        <is>
          <t>来源页118</t>
        </is>
      </c>
      <c r="L1263" s="43">
        <f>A1263</f>
        <v/>
      </c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43" t="n"/>
    </row>
    <row r="1264">
      <c r="A1264" s="43" t="inlineStr">
        <is>
          <t>L6</t>
        </is>
      </c>
      <c r="B1264" s="43" t="inlineStr">
        <is>
          <t>腹杆拼接</t>
        </is>
      </c>
      <c r="C1264" s="43" t="inlineStr">
        <is>
          <t>节段17~节段18</t>
        </is>
      </c>
      <c r="D1264" s="43" t="inlineStr">
        <is>
          <t>Q355D</t>
        </is>
      </c>
      <c r="E1264" s="43" t="n">
        <v>1520</v>
      </c>
      <c r="F1264" s="43" t="n">
        <v>240</v>
      </c>
      <c r="G1264" s="43" t="n">
        <v>44</v>
      </c>
      <c r="H1264" s="79">
        <f>(E1264/1000)*(F1264/1000)*(G1264/1000)*7850</f>
        <v/>
      </c>
      <c r="I1264" s="43" t="n">
        <v>2</v>
      </c>
      <c r="J1264" s="80">
        <f>H1264*I1264</f>
        <v/>
      </c>
      <c r="K1264" s="43" t="inlineStr">
        <is>
          <t>来源页118</t>
        </is>
      </c>
      <c r="L1264" s="43">
        <f>A1264</f>
        <v/>
      </c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43" t="n"/>
    </row>
    <row r="1265">
      <c r="A1265" s="43" t="inlineStr">
        <is>
          <t>L7</t>
        </is>
      </c>
      <c r="B1265" s="43" t="inlineStr">
        <is>
          <t>腹杆拼接</t>
        </is>
      </c>
      <c r="C1265" s="43" t="inlineStr">
        <is>
          <t>节段17~节段18</t>
        </is>
      </c>
      <c r="D1265" s="43" t="inlineStr">
        <is>
          <t>Q355D</t>
        </is>
      </c>
      <c r="E1265" s="43" t="n">
        <v>1220</v>
      </c>
      <c r="F1265" s="43" t="n">
        <v>240</v>
      </c>
      <c r="G1265" s="43" t="n">
        <v>24</v>
      </c>
      <c r="H1265" s="79">
        <f>(E1265/1000)*(F1265/1000)*(G1265/1000)*7850</f>
        <v/>
      </c>
      <c r="I1265" s="43" t="n">
        <v>4</v>
      </c>
      <c r="J1265" s="80">
        <f>H1265*I1265</f>
        <v/>
      </c>
      <c r="K1265" s="43" t="inlineStr">
        <is>
          <t>来源页118</t>
        </is>
      </c>
      <c r="L1265" s="43">
        <f>A1265</f>
        <v/>
      </c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43" t="n"/>
    </row>
    <row r="1266">
      <c r="A1266" s="43" t="inlineStr">
        <is>
          <t>L8</t>
        </is>
      </c>
      <c r="B1266" s="43" t="inlineStr">
        <is>
          <t>腹杆拼接</t>
        </is>
      </c>
      <c r="C1266" s="43" t="inlineStr">
        <is>
          <t>节段17~节段18</t>
        </is>
      </c>
      <c r="D1266" s="43" t="inlineStr">
        <is>
          <t>Q355D</t>
        </is>
      </c>
      <c r="E1266" s="43" t="n">
        <v>1320</v>
      </c>
      <c r="F1266" s="43" t="n">
        <v>240</v>
      </c>
      <c r="G1266" s="43" t="n">
        <v>24</v>
      </c>
      <c r="H1266" s="79">
        <f>(E1266/1000)*(F1266/1000)*(G1266/1000)*7850</f>
        <v/>
      </c>
      <c r="I1266" s="43" t="n">
        <v>2</v>
      </c>
      <c r="J1266" s="80">
        <f>H1266*I1266</f>
        <v/>
      </c>
      <c r="K1266" s="43" t="inlineStr">
        <is>
          <t>来源页118</t>
        </is>
      </c>
      <c r="L1266" s="43">
        <f>A1266</f>
        <v/>
      </c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43" t="n"/>
    </row>
    <row r="1267">
      <c r="A1267" s="43" t="inlineStr">
        <is>
          <t>M30高强螺栓</t>
        </is>
      </c>
      <c r="B1267" s="43" t="inlineStr">
        <is>
          <t>腹杆拼接</t>
        </is>
      </c>
      <c r="C1267" s="43" t="inlineStr">
        <is>
          <t>节段17~节段18</t>
        </is>
      </c>
      <c r="D1267" s="43" t="inlineStr">
        <is>
          <t>10.9S</t>
        </is>
      </c>
      <c r="E1267" s="43" t="n"/>
      <c r="F1267" s="43" t="n"/>
      <c r="G1267" s="43" t="n"/>
      <c r="H1267" s="79">
        <f>(E1267/1000)*(F1267/1000)*(G1267/1000)*7850</f>
        <v/>
      </c>
      <c r="I1267" s="43" t="n">
        <v>540</v>
      </c>
      <c r="J1267" s="80">
        <f>H1267*I1267</f>
        <v/>
      </c>
      <c r="K1267" s="43" t="inlineStr">
        <is>
          <t>来源页118</t>
        </is>
      </c>
      <c r="L1267" s="43">
        <f>A1267</f>
        <v/>
      </c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43" t="n"/>
    </row>
    <row r="1268">
      <c r="A1268" s="43" t="inlineStr"/>
      <c r="B1268" s="43" t="inlineStr"/>
      <c r="C1268" s="43" t="inlineStr">
        <is>
          <t>节段18</t>
        </is>
      </c>
      <c r="D1268" s="43" t="inlineStr">
        <is>
          <t>Q420D</t>
        </is>
      </c>
      <c r="E1268" s="43" t="n"/>
      <c r="F1268" s="43" t="n"/>
      <c r="G1268" s="43" t="n">
        <v>48</v>
      </c>
      <c r="H1268" s="79">
        <f>(E1268/1000)*(F1268/1000)*(G1268/1000)*7850</f>
        <v/>
      </c>
      <c r="I1268" s="43" t="n">
        <v>1</v>
      </c>
      <c r="J1268" s="80">
        <f>H1268*I1268</f>
        <v/>
      </c>
      <c r="K1268" s="43" t="inlineStr">
        <is>
          <t>来源页119</t>
        </is>
      </c>
      <c r="L1268" s="43">
        <f>A1268</f>
        <v/>
      </c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43" t="n"/>
    </row>
    <row r="1269">
      <c r="A1269" s="43" t="inlineStr"/>
      <c r="B1269" s="43" t="inlineStr"/>
      <c r="C1269" s="43" t="inlineStr">
        <is>
          <t>节段18</t>
        </is>
      </c>
      <c r="D1269" s="43" t="inlineStr">
        <is>
          <t>Q420D</t>
        </is>
      </c>
      <c r="E1269" s="43" t="n"/>
      <c r="F1269" s="43" t="n"/>
      <c r="G1269" s="43" t="n">
        <v>40</v>
      </c>
      <c r="H1269" s="79">
        <f>(E1269/1000)*(F1269/1000)*(G1269/1000)*7850</f>
        <v/>
      </c>
      <c r="I1269" s="43" t="n">
        <v>1</v>
      </c>
      <c r="J1269" s="80">
        <f>H1269*I1269</f>
        <v/>
      </c>
      <c r="K1269" s="43" t="inlineStr">
        <is>
          <t>来源页119</t>
        </is>
      </c>
      <c r="L1269" s="43">
        <f>A1269</f>
        <v/>
      </c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43" t="n"/>
    </row>
    <row r="1270">
      <c r="A1270" s="43" t="inlineStr"/>
      <c r="B1270" s="43" t="inlineStr"/>
      <c r="C1270" s="43" t="inlineStr">
        <is>
          <t>节段18</t>
        </is>
      </c>
      <c r="D1270" s="43" t="inlineStr">
        <is>
          <t>Q420D</t>
        </is>
      </c>
      <c r="E1270" s="43" t="n"/>
      <c r="F1270" s="43" t="n"/>
      <c r="G1270" s="43" t="n">
        <v>32</v>
      </c>
      <c r="H1270" s="79">
        <f>(E1270/1000)*(F1270/1000)*(G1270/1000)*7850</f>
        <v/>
      </c>
      <c r="I1270" s="43" t="n">
        <v>1</v>
      </c>
      <c r="J1270" s="80">
        <f>H1270*I1270</f>
        <v/>
      </c>
      <c r="K1270" s="43" t="inlineStr">
        <is>
          <t>来源页119</t>
        </is>
      </c>
      <c r="L1270" s="43">
        <f>A1270</f>
        <v/>
      </c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43" t="n"/>
    </row>
    <row r="1271">
      <c r="A1271" s="43" t="inlineStr"/>
      <c r="B1271" s="43" t="inlineStr"/>
      <c r="C1271" s="43" t="inlineStr">
        <is>
          <t>节段18</t>
        </is>
      </c>
      <c r="D1271" s="43" t="inlineStr">
        <is>
          <t>Q420D</t>
        </is>
      </c>
      <c r="E1271" s="43" t="n"/>
      <c r="F1271" s="43" t="n"/>
      <c r="G1271" s="43" t="n">
        <v>16</v>
      </c>
      <c r="H1271" s="79">
        <f>(E1271/1000)*(F1271/1000)*(G1271/1000)*7850</f>
        <v/>
      </c>
      <c r="I1271" s="43" t="n">
        <v>1</v>
      </c>
      <c r="J1271" s="80">
        <f>H1271*I1271</f>
        <v/>
      </c>
      <c r="K1271" s="43" t="inlineStr">
        <is>
          <t>来源页119</t>
        </is>
      </c>
      <c r="L1271" s="43">
        <f>A1271</f>
        <v/>
      </c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43" t="n"/>
    </row>
    <row r="1272">
      <c r="A1272" s="43" t="inlineStr"/>
      <c r="B1272" s="43" t="inlineStr"/>
      <c r="C1272" s="43" t="inlineStr">
        <is>
          <t>节段18</t>
        </is>
      </c>
      <c r="D1272" s="43" t="inlineStr">
        <is>
          <t>Q420D</t>
        </is>
      </c>
      <c r="E1272" s="43" t="n"/>
      <c r="F1272" s="43" t="n"/>
      <c r="G1272" s="43" t="n">
        <v>4</v>
      </c>
      <c r="H1272" s="79">
        <f>(E1272/1000)*(F1272/1000)*(G1272/1000)*7850</f>
        <v/>
      </c>
      <c r="I1272" s="43" t="n">
        <v>1</v>
      </c>
      <c r="J1272" s="80">
        <f>H1272*I1272</f>
        <v/>
      </c>
      <c r="K1272" s="43" t="inlineStr">
        <is>
          <t>来源页119</t>
        </is>
      </c>
      <c r="L1272" s="43">
        <f>A1272</f>
        <v/>
      </c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43" t="n"/>
    </row>
    <row r="1273">
      <c r="A1273" s="43" t="inlineStr"/>
      <c r="B1273" s="43" t="inlineStr"/>
      <c r="C1273" s="43" t="inlineStr">
        <is>
          <t>节段18</t>
        </is>
      </c>
      <c r="D1273" s="43" t="inlineStr">
        <is>
          <t>Q355D</t>
        </is>
      </c>
      <c r="E1273" s="43" t="n"/>
      <c r="F1273" s="43" t="n"/>
      <c r="G1273" s="43" t="n">
        <v>36</v>
      </c>
      <c r="H1273" s="79">
        <f>(E1273/1000)*(F1273/1000)*(G1273/1000)*7850</f>
        <v/>
      </c>
      <c r="I1273" s="43" t="n">
        <v>1</v>
      </c>
      <c r="J1273" s="80">
        <f>H1273*I1273</f>
        <v/>
      </c>
      <c r="K1273" s="43" t="inlineStr">
        <is>
          <t>来源页119</t>
        </is>
      </c>
      <c r="L1273" s="43">
        <f>A1273</f>
        <v/>
      </c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43" t="n"/>
    </row>
    <row r="1274">
      <c r="A1274" s="43" t="inlineStr"/>
      <c r="B1274" s="43" t="inlineStr"/>
      <c r="C1274" s="43" t="inlineStr">
        <is>
          <t>节段18</t>
        </is>
      </c>
      <c r="D1274" s="43" t="inlineStr">
        <is>
          <t>Q355D</t>
        </is>
      </c>
      <c r="E1274" s="43" t="n"/>
      <c r="F1274" s="43" t="n"/>
      <c r="G1274" s="43" t="n">
        <v>32</v>
      </c>
      <c r="H1274" s="79">
        <f>(E1274/1000)*(F1274/1000)*(G1274/1000)*7850</f>
        <v/>
      </c>
      <c r="I1274" s="43" t="n">
        <v>1</v>
      </c>
      <c r="J1274" s="80">
        <f>H1274*I1274</f>
        <v/>
      </c>
      <c r="K1274" s="43" t="inlineStr">
        <is>
          <t>来源页119</t>
        </is>
      </c>
      <c r="L1274" s="43">
        <f>A1274</f>
        <v/>
      </c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43" t="n"/>
    </row>
    <row r="1275">
      <c r="A1275" s="43" t="inlineStr"/>
      <c r="B1275" s="43" t="inlineStr"/>
      <c r="C1275" s="43" t="inlineStr">
        <is>
          <t>节段18</t>
        </is>
      </c>
      <c r="D1275" s="43" t="inlineStr">
        <is>
          <t>Q355D</t>
        </is>
      </c>
      <c r="E1275" s="43" t="n"/>
      <c r="F1275" s="43" t="n"/>
      <c r="G1275" s="43" t="n">
        <v>24</v>
      </c>
      <c r="H1275" s="79">
        <f>(E1275/1000)*(F1275/1000)*(G1275/1000)*7850</f>
        <v/>
      </c>
      <c r="I1275" s="43" t="n">
        <v>1</v>
      </c>
      <c r="J1275" s="80">
        <f>H1275*I1275</f>
        <v/>
      </c>
      <c r="K1275" s="43" t="inlineStr">
        <is>
          <t>来源页119</t>
        </is>
      </c>
      <c r="L1275" s="43">
        <f>A1275</f>
        <v/>
      </c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43" t="n"/>
    </row>
    <row r="1276">
      <c r="A1276" s="43" t="inlineStr"/>
      <c r="B1276" s="43" t="inlineStr"/>
      <c r="C1276" s="43" t="inlineStr">
        <is>
          <t>节段18</t>
        </is>
      </c>
      <c r="D1276" s="43" t="inlineStr">
        <is>
          <t>Q355D</t>
        </is>
      </c>
      <c r="E1276" s="43" t="n"/>
      <c r="F1276" s="43" t="n"/>
      <c r="G1276" s="43" t="n">
        <v>16</v>
      </c>
      <c r="H1276" s="79">
        <f>(E1276/1000)*(F1276/1000)*(G1276/1000)*7850</f>
        <v/>
      </c>
      <c r="I1276" s="43" t="n">
        <v>1</v>
      </c>
      <c r="J1276" s="80">
        <f>H1276*I1276</f>
        <v/>
      </c>
      <c r="K1276" s="43" t="inlineStr">
        <is>
          <t>来源页119</t>
        </is>
      </c>
      <c r="L1276" s="43">
        <f>A1276</f>
        <v/>
      </c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43" t="n"/>
    </row>
    <row r="1277">
      <c r="A1277" s="43" t="inlineStr"/>
      <c r="B1277" s="43" t="inlineStr"/>
      <c r="C1277" s="43" t="inlineStr">
        <is>
          <t>节段18</t>
        </is>
      </c>
      <c r="D1277" s="43" t="inlineStr">
        <is>
          <t>Q355D</t>
        </is>
      </c>
      <c r="E1277" s="43" t="n"/>
      <c r="F1277" s="43" t="n"/>
      <c r="G1277" s="43" t="n">
        <v>14</v>
      </c>
      <c r="H1277" s="79">
        <f>(E1277/1000)*(F1277/1000)*(G1277/1000)*7850</f>
        <v/>
      </c>
      <c r="I1277" s="43" t="n">
        <v>1</v>
      </c>
      <c r="J1277" s="80">
        <f>H1277*I1277</f>
        <v/>
      </c>
      <c r="K1277" s="43" t="inlineStr">
        <is>
          <t>来源页119</t>
        </is>
      </c>
      <c r="L1277" s="43">
        <f>A1277</f>
        <v/>
      </c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43" t="n"/>
    </row>
    <row r="1278">
      <c r="A1278" s="43" t="inlineStr"/>
      <c r="B1278" s="43" t="inlineStr"/>
      <c r="C1278" s="43" t="inlineStr">
        <is>
          <t>节段18</t>
        </is>
      </c>
      <c r="D1278" s="43" t="inlineStr">
        <is>
          <t>Q355D</t>
        </is>
      </c>
      <c r="E1278" s="43" t="n"/>
      <c r="F1278" s="43" t="n"/>
      <c r="G1278" s="43" t="n"/>
      <c r="H1278" s="79">
        <f>(E1278/1000)*(F1278/1000)*(G1278/1000)*7850</f>
        <v/>
      </c>
      <c r="I1278" s="43" t="n">
        <v>1</v>
      </c>
      <c r="J1278" s="80">
        <f>H1278*I1278</f>
        <v/>
      </c>
      <c r="K1278" s="43" t="inlineStr">
        <is>
          <t>来源页119</t>
        </is>
      </c>
      <c r="L1278" s="43">
        <f>A1278</f>
        <v/>
      </c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43" t="n"/>
    </row>
    <row r="1279">
      <c r="A1279" s="43" t="inlineStr"/>
      <c r="B1279" s="43" t="inlineStr"/>
      <c r="C1279" s="43" t="inlineStr">
        <is>
          <t>节段18</t>
        </is>
      </c>
      <c r="D1279" s="43" t="inlineStr">
        <is>
          <t>Q355D</t>
        </is>
      </c>
      <c r="E1279" s="43" t="n"/>
      <c r="F1279" s="43" t="n"/>
      <c r="G1279" s="43" t="n"/>
      <c r="H1279" s="79">
        <f>(E1279/1000)*(F1279/1000)*(G1279/1000)*7850</f>
        <v/>
      </c>
      <c r="I1279" s="43" t="n">
        <v>1</v>
      </c>
      <c r="J1279" s="80">
        <f>H1279*I1279</f>
        <v/>
      </c>
      <c r="K1279" s="43" t="inlineStr">
        <is>
          <t>来源页119</t>
        </is>
      </c>
      <c r="L1279" s="43">
        <f>A1279</f>
        <v/>
      </c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43" t="n"/>
    </row>
    <row r="1280">
      <c r="A1280" s="43" t="inlineStr"/>
      <c r="B1280" s="43" t="inlineStr"/>
      <c r="C1280" s="43" t="inlineStr">
        <is>
          <t>节段18</t>
        </is>
      </c>
      <c r="D1280" s="43" t="inlineStr">
        <is>
          <t>Q355D</t>
        </is>
      </c>
      <c r="E1280" s="43" t="n"/>
      <c r="F1280" s="43" t="n"/>
      <c r="G1280" s="43" t="n"/>
      <c r="H1280" s="79">
        <f>(E1280/1000)*(F1280/1000)*(G1280/1000)*7850</f>
        <v/>
      </c>
      <c r="I1280" s="43" t="n">
        <v>1</v>
      </c>
      <c r="J1280" s="80">
        <f>H1280*I1280</f>
        <v/>
      </c>
      <c r="K1280" s="43" t="inlineStr">
        <is>
          <t>来源页119</t>
        </is>
      </c>
      <c r="L1280" s="43">
        <f>A1280</f>
        <v/>
      </c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43" t="n"/>
    </row>
    <row r="1281">
      <c r="A1281" s="43" t="inlineStr">
        <is>
          <t>N11a</t>
        </is>
      </c>
      <c r="B1281" s="43" t="inlineStr">
        <is>
          <t>上弦顶板</t>
        </is>
      </c>
      <c r="C1281" s="43" t="inlineStr">
        <is>
          <t>节段18</t>
        </is>
      </c>
      <c r="D1281" s="43" t="inlineStr">
        <is>
          <t>Q420D</t>
        </is>
      </c>
      <c r="E1281" s="43" t="n"/>
      <c r="F1281" s="43" t="n"/>
      <c r="G1281" s="43" t="n">
        <v>40</v>
      </c>
      <c r="H1281" s="79">
        <f>(E1281/1000)*(F1281/1000)*(G1281/1000)*7850</f>
        <v/>
      </c>
      <c r="I1281" s="43" t="n">
        <v>1</v>
      </c>
      <c r="J1281" s="80">
        <f>H1281*I1281</f>
        <v/>
      </c>
      <c r="K1281" s="43" t="inlineStr">
        <is>
          <t>来源页119</t>
        </is>
      </c>
      <c r="L1281" s="43">
        <f>A1281</f>
        <v/>
      </c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43" t="n"/>
    </row>
    <row r="1282">
      <c r="A1282" s="43" t="inlineStr">
        <is>
          <t>N11b</t>
        </is>
      </c>
      <c r="B1282" s="43" t="inlineStr">
        <is>
          <t>上弦顶板</t>
        </is>
      </c>
      <c r="C1282" s="43" t="inlineStr">
        <is>
          <t>节段18</t>
        </is>
      </c>
      <c r="D1282" s="43" t="inlineStr">
        <is>
          <t>Q420D</t>
        </is>
      </c>
      <c r="E1282" s="43" t="n"/>
      <c r="F1282" s="43" t="n"/>
      <c r="G1282" s="43" t="n">
        <v>40</v>
      </c>
      <c r="H1282" s="79">
        <f>(E1282/1000)*(F1282/1000)*(G1282/1000)*7850</f>
        <v/>
      </c>
      <c r="I1282" s="43" t="n">
        <v>1</v>
      </c>
      <c r="J1282" s="80">
        <f>H1282*I1282</f>
        <v/>
      </c>
      <c r="K1282" s="43" t="inlineStr">
        <is>
          <t>来源页119</t>
        </is>
      </c>
      <c r="L1282" s="43">
        <f>A1282</f>
        <v/>
      </c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43" t="n"/>
    </row>
    <row r="1283">
      <c r="A1283" s="43" t="inlineStr">
        <is>
          <t>N12α</t>
        </is>
      </c>
      <c r="B1283" s="43" t="inlineStr">
        <is>
          <t>上弦底板</t>
        </is>
      </c>
      <c r="C1283" s="43" t="inlineStr">
        <is>
          <t>节段18</t>
        </is>
      </c>
      <c r="D1283" s="43" t="inlineStr">
        <is>
          <t>Q420D</t>
        </is>
      </c>
      <c r="E1283" s="43" t="n">
        <v>7900</v>
      </c>
      <c r="F1283" s="43" t="n">
        <v>1200</v>
      </c>
      <c r="G1283" s="43" t="n">
        <v>40</v>
      </c>
      <c r="H1283" s="79">
        <f>(E1283/1000)*(F1283/1000)*(G1283/1000)*7850</f>
        <v/>
      </c>
      <c r="I1283" s="43" t="n">
        <v>1</v>
      </c>
      <c r="J1283" s="80">
        <f>H1283*I1283</f>
        <v/>
      </c>
      <c r="K1283" s="43" t="inlineStr">
        <is>
          <t>来源页119</t>
        </is>
      </c>
      <c r="L1283" s="43">
        <f>A1283</f>
        <v/>
      </c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43" t="n"/>
    </row>
    <row r="1284">
      <c r="A1284" s="43" t="inlineStr">
        <is>
          <t>N12b</t>
        </is>
      </c>
      <c r="B1284" s="43" t="inlineStr">
        <is>
          <t>上弦底板</t>
        </is>
      </c>
      <c r="C1284" s="43" t="inlineStr">
        <is>
          <t>节段18</t>
        </is>
      </c>
      <c r="D1284" s="43" t="inlineStr">
        <is>
          <t>Q420D</t>
        </is>
      </c>
      <c r="E1284" s="43" t="n">
        <v>7100</v>
      </c>
      <c r="F1284" s="43" t="n">
        <v>1200</v>
      </c>
      <c r="G1284" s="43" t="n">
        <v>40</v>
      </c>
      <c r="H1284" s="79">
        <f>(E1284/1000)*(F1284/1000)*(G1284/1000)*7850</f>
        <v/>
      </c>
      <c r="I1284" s="43" t="n">
        <v>1</v>
      </c>
      <c r="J1284" s="80">
        <f>H1284*I1284</f>
        <v/>
      </c>
      <c r="K1284" s="43" t="inlineStr">
        <is>
          <t>来源页119</t>
        </is>
      </c>
      <c r="L1284" s="43">
        <f>A1284</f>
        <v/>
      </c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43" t="n"/>
    </row>
    <row r="1285">
      <c r="A1285" s="43" t="inlineStr">
        <is>
          <t>N13</t>
        </is>
      </c>
      <c r="B1285" s="43" t="inlineStr">
        <is>
          <t>上弦节点板</t>
        </is>
      </c>
      <c r="C1285" s="43" t="inlineStr">
        <is>
          <t>节段18</t>
        </is>
      </c>
      <c r="D1285" s="43" t="inlineStr">
        <is>
          <t>Q420D</t>
        </is>
      </c>
      <c r="E1285" s="43" t="n"/>
      <c r="F1285" s="43" t="n"/>
      <c r="G1285" s="43" t="n">
        <v>48</v>
      </c>
      <c r="H1285" s="79">
        <f>(E1285/1000)*(F1285/1000)*(G1285/1000)*7850</f>
        <v/>
      </c>
      <c r="I1285" s="43" t="n">
        <v>2</v>
      </c>
      <c r="J1285" s="80">
        <f>H1285*I1285</f>
        <v/>
      </c>
      <c r="K1285" s="43" t="inlineStr">
        <is>
          <t>来源页119</t>
        </is>
      </c>
      <c r="L1285" s="43">
        <f>A1285</f>
        <v/>
      </c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43" t="n"/>
    </row>
    <row r="1286">
      <c r="A1286" s="43" t="inlineStr">
        <is>
          <t>N14</t>
        </is>
      </c>
      <c r="B1286" s="43" t="inlineStr">
        <is>
          <t>上弦腹板</t>
        </is>
      </c>
      <c r="C1286" s="43" t="inlineStr">
        <is>
          <t>节段18</t>
        </is>
      </c>
      <c r="D1286" s="43" t="inlineStr">
        <is>
          <t>Q420D</t>
        </is>
      </c>
      <c r="E1286" s="43" t="n">
        <v>7300</v>
      </c>
      <c r="F1286" s="43" t="n">
        <v>2048</v>
      </c>
      <c r="G1286" s="43" t="n">
        <v>48</v>
      </c>
      <c r="H1286" s="79">
        <f>(E1286/1000)*(F1286/1000)*(G1286/1000)*7850</f>
        <v/>
      </c>
      <c r="I1286" s="43" t="n">
        <v>2</v>
      </c>
      <c r="J1286" s="80">
        <f>H1286*I1286</f>
        <v/>
      </c>
      <c r="K1286" s="43" t="inlineStr">
        <is>
          <t>来源页119</t>
        </is>
      </c>
      <c r="L1286" s="43">
        <f>A1286</f>
        <v/>
      </c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43" t="n"/>
    </row>
    <row r="1287">
      <c r="A1287" s="43" t="inlineStr">
        <is>
          <t>N15</t>
        </is>
      </c>
      <c r="B1287" s="43" t="inlineStr">
        <is>
          <t>上弦横隔板</t>
        </is>
      </c>
      <c r="C1287" s="43" t="inlineStr">
        <is>
          <t>节段18</t>
        </is>
      </c>
      <c r="D1287" s="43" t="inlineStr">
        <is>
          <t>Q420D</t>
        </is>
      </c>
      <c r="E1287" s="43" t="n">
        <v>1960</v>
      </c>
      <c r="F1287" s="43" t="n">
        <v>1200</v>
      </c>
      <c r="G1287" s="43" t="n">
        <v>16</v>
      </c>
      <c r="H1287" s="79">
        <f>(E1287/1000)*(F1287/1000)*(G1287/1000)*7850</f>
        <v/>
      </c>
      <c r="I1287" s="43" t="n">
        <v>3</v>
      </c>
      <c r="J1287" s="80">
        <f>H1287*I1287</f>
        <v/>
      </c>
      <c r="K1287" s="43" t="inlineStr">
        <is>
          <t>来源页119</t>
        </is>
      </c>
      <c r="L1287" s="43">
        <f>A1287</f>
        <v/>
      </c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43" t="n"/>
    </row>
    <row r="1288">
      <c r="A1288" s="43" t="inlineStr">
        <is>
          <t>N15a</t>
        </is>
      </c>
      <c r="B1288" s="43" t="inlineStr">
        <is>
          <t>上弦横隔板</t>
        </is>
      </c>
      <c r="C1288" s="43" t="inlineStr">
        <is>
          <t>节段18</t>
        </is>
      </c>
      <c r="D1288" s="43" t="inlineStr">
        <is>
          <t>Q420D</t>
        </is>
      </c>
      <c r="E1288" s="43" t="n">
        <v>1960</v>
      </c>
      <c r="F1288" s="43" t="n">
        <v>1200</v>
      </c>
      <c r="G1288" s="43" t="n">
        <v>16</v>
      </c>
      <c r="H1288" s="79">
        <f>(E1288/1000)*(F1288/1000)*(G1288/1000)*7850</f>
        <v/>
      </c>
      <c r="I1288" s="43" t="n">
        <v>2</v>
      </c>
      <c r="J1288" s="80">
        <f>H1288*I1288</f>
        <v/>
      </c>
      <c r="K1288" s="43" t="inlineStr">
        <is>
          <t>来源页119</t>
        </is>
      </c>
      <c r="L1288" s="43">
        <f>A1288</f>
        <v/>
      </c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43" t="n"/>
    </row>
    <row r="1289">
      <c r="A1289" s="43" t="inlineStr">
        <is>
          <t>N15 “</t>
        </is>
      </c>
      <c r="B1289" s="43" t="inlineStr">
        <is>
          <t>上弦横隔板</t>
        </is>
      </c>
      <c r="C1289" s="43" t="inlineStr">
        <is>
          <t>节段18</t>
        </is>
      </c>
      <c r="D1289" s="43" t="inlineStr">
        <is>
          <t>Q420D</t>
        </is>
      </c>
      <c r="E1289" s="43" t="n">
        <v>2057</v>
      </c>
      <c r="F1289" s="43" t="n">
        <v>200</v>
      </c>
      <c r="G1289" s="43" t="n">
        <v>16</v>
      </c>
      <c r="H1289" s="79">
        <f>(E1289/1000)*(F1289/1000)*(G1289/1000)*7850</f>
        <v/>
      </c>
      <c r="I1289" s="43" t="n">
        <v>3</v>
      </c>
      <c r="J1289" s="80">
        <f>H1289*I1289</f>
        <v/>
      </c>
      <c r="K1289" s="43" t="inlineStr">
        <is>
          <t>来源页119</t>
        </is>
      </c>
      <c r="L1289" s="43">
        <f>A1289</f>
        <v/>
      </c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43" t="n"/>
    </row>
    <row r="1290">
      <c r="A1290" s="43" t="inlineStr">
        <is>
          <t>N15b</t>
        </is>
      </c>
      <c r="B1290" s="43" t="inlineStr">
        <is>
          <t>上弦横隔板</t>
        </is>
      </c>
      <c r="C1290" s="43" t="inlineStr">
        <is>
          <t>节段18</t>
        </is>
      </c>
      <c r="D1290" s="43" t="inlineStr">
        <is>
          <t>Q355B</t>
        </is>
      </c>
      <c r="E1290" s="43" t="n">
        <v>2057</v>
      </c>
      <c r="F1290" s="43" t="n">
        <v>40</v>
      </c>
      <c r="G1290" s="43" t="n">
        <v>4</v>
      </c>
      <c r="H1290" s="79">
        <f>(E1290/1000)*(F1290/1000)*(G1290/1000)*7850</f>
        <v/>
      </c>
      <c r="I1290" s="43" t="n">
        <v>4</v>
      </c>
      <c r="J1290" s="80">
        <f>H1290*I1290</f>
        <v/>
      </c>
      <c r="K1290" s="43" t="inlineStr">
        <is>
          <t>来源页119</t>
        </is>
      </c>
      <c r="L1290" s="43">
        <f>A1290</f>
        <v/>
      </c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43" t="n"/>
    </row>
    <row r="1291">
      <c r="A1291" s="43" t="inlineStr">
        <is>
          <t>N15c</t>
        </is>
      </c>
      <c r="B1291" s="43" t="inlineStr">
        <is>
          <t>上弦横隔板</t>
        </is>
      </c>
      <c r="C1291" s="43" t="inlineStr">
        <is>
          <t>节段18</t>
        </is>
      </c>
      <c r="D1291" s="43" t="inlineStr">
        <is>
          <t>Q420D</t>
        </is>
      </c>
      <c r="E1291" s="43" t="n">
        <v>800</v>
      </c>
      <c r="F1291" s="43" t="n">
        <v>400</v>
      </c>
      <c r="G1291" s="43" t="n">
        <v>16</v>
      </c>
      <c r="H1291" s="79">
        <f>(E1291/1000)*(F1291/1000)*(G1291/1000)*7850</f>
        <v/>
      </c>
      <c r="I1291" s="43" t="n">
        <v>4</v>
      </c>
      <c r="J1291" s="80">
        <f>H1291*I1291</f>
        <v/>
      </c>
      <c r="K1291" s="43" t="inlineStr">
        <is>
          <t>来源页119</t>
        </is>
      </c>
      <c r="L1291" s="43">
        <f>A1291</f>
        <v/>
      </c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43" t="n"/>
    </row>
    <row r="1292">
      <c r="A1292" s="43" t="inlineStr">
        <is>
          <t>N21a</t>
        </is>
      </c>
      <c r="B1292" s="43" t="inlineStr">
        <is>
          <t>下弦顶板</t>
        </is>
      </c>
      <c r="C1292" s="43" t="inlineStr">
        <is>
          <t>节段18</t>
        </is>
      </c>
      <c r="D1292" s="43" t="inlineStr">
        <is>
          <t>Q420D</t>
        </is>
      </c>
      <c r="E1292" s="43" t="n">
        <v>7900</v>
      </c>
      <c r="F1292" s="43" t="n">
        <v>2500</v>
      </c>
      <c r="G1292" s="43" t="n">
        <v>32</v>
      </c>
      <c r="H1292" s="79">
        <f>(E1292/1000)*(F1292/1000)*(G1292/1000)*7850</f>
        <v/>
      </c>
      <c r="I1292" s="43" t="n">
        <v>1</v>
      </c>
      <c r="J1292" s="80">
        <f>H1292*I1292</f>
        <v/>
      </c>
      <c r="K1292" s="43" t="inlineStr">
        <is>
          <t>来源页119</t>
        </is>
      </c>
      <c r="L1292" s="43">
        <f>A1292</f>
        <v/>
      </c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43" t="n"/>
    </row>
    <row r="1293">
      <c r="A1293" s="43" t="inlineStr">
        <is>
          <t>N21b</t>
        </is>
      </c>
      <c r="B1293" s="43" t="inlineStr">
        <is>
          <t>下弦顶板</t>
        </is>
      </c>
      <c r="C1293" s="43" t="inlineStr">
        <is>
          <t>节段18</t>
        </is>
      </c>
      <c r="D1293" s="43" t="inlineStr">
        <is>
          <t>Q355D</t>
        </is>
      </c>
      <c r="E1293" s="43" t="n">
        <v>7100</v>
      </c>
      <c r="F1293" s="43" t="n">
        <v>2500</v>
      </c>
      <c r="G1293" s="43" t="n">
        <v>24</v>
      </c>
      <c r="H1293" s="79">
        <f>(E1293/1000)*(F1293/1000)*(G1293/1000)*7850</f>
        <v/>
      </c>
      <c r="I1293" s="43" t="n">
        <v>1</v>
      </c>
      <c r="J1293" s="80">
        <f>H1293*I1293</f>
        <v/>
      </c>
      <c r="K1293" s="43" t="inlineStr">
        <is>
          <t>来源页119</t>
        </is>
      </c>
      <c r="L1293" s="43">
        <f>A1293</f>
        <v/>
      </c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43" t="n"/>
    </row>
    <row r="1294">
      <c r="A1294" s="43" t="inlineStr">
        <is>
          <t>N22a</t>
        </is>
      </c>
      <c r="B1294" s="43" t="inlineStr">
        <is>
          <t>下弦底板</t>
        </is>
      </c>
      <c r="C1294" s="43" t="inlineStr">
        <is>
          <t>节段18</t>
        </is>
      </c>
      <c r="D1294" s="43" t="inlineStr">
        <is>
          <t>Q420D</t>
        </is>
      </c>
      <c r="E1294" s="43" t="n"/>
      <c r="F1294" s="43" t="n"/>
      <c r="G1294" s="43" t="n">
        <v>32</v>
      </c>
      <c r="H1294" s="79">
        <f>(E1294/1000)*(F1294/1000)*(G1294/1000)*7850</f>
        <v/>
      </c>
      <c r="I1294" s="43" t="n">
        <v>1</v>
      </c>
      <c r="J1294" s="80">
        <f>H1294*I1294</f>
        <v/>
      </c>
      <c r="K1294" s="43" t="inlineStr">
        <is>
          <t>来源页119</t>
        </is>
      </c>
      <c r="L1294" s="43">
        <f>A1294</f>
        <v/>
      </c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43" t="n"/>
    </row>
    <row r="1295">
      <c r="A1295" s="43" t="inlineStr">
        <is>
          <t>N22b</t>
        </is>
      </c>
      <c r="B1295" s="43" t="inlineStr">
        <is>
          <t>下弦底板</t>
        </is>
      </c>
      <c r="C1295" s="43" t="inlineStr">
        <is>
          <t>节段18</t>
        </is>
      </c>
      <c r="D1295" s="43" t="inlineStr">
        <is>
          <t>Q355D</t>
        </is>
      </c>
      <c r="E1295" s="43" t="n"/>
      <c r="F1295" s="43" t="n"/>
      <c r="G1295" s="43" t="n">
        <v>24</v>
      </c>
      <c r="H1295" s="79">
        <f>(E1295/1000)*(F1295/1000)*(G1295/1000)*7850</f>
        <v/>
      </c>
      <c r="I1295" s="43" t="n">
        <v>1</v>
      </c>
      <c r="J1295" s="80">
        <f>H1295*I1295</f>
        <v/>
      </c>
      <c r="K1295" s="43" t="inlineStr">
        <is>
          <t>来源页119</t>
        </is>
      </c>
      <c r="L1295" s="43">
        <f>A1295</f>
        <v/>
      </c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43" t="n"/>
    </row>
    <row r="1296">
      <c r="A1296" s="43" t="inlineStr">
        <is>
          <t>N23</t>
        </is>
      </c>
      <c r="B1296" s="43" t="inlineStr">
        <is>
          <t>下弦节点板</t>
        </is>
      </c>
      <c r="C1296" s="43" t="inlineStr">
        <is>
          <t>节段18</t>
        </is>
      </c>
      <c r="D1296" s="43" t="inlineStr">
        <is>
          <t>Q420D</t>
        </is>
      </c>
      <c r="E1296" s="43" t="n"/>
      <c r="F1296" s="43" t="n"/>
      <c r="G1296" s="43" t="n">
        <v>48</v>
      </c>
      <c r="H1296" s="79">
        <f>(E1296/1000)*(F1296/1000)*(G1296/1000)*7850</f>
        <v/>
      </c>
      <c r="I1296" s="43" t="n">
        <v>2</v>
      </c>
      <c r="J1296" s="80">
        <f>H1296*I1296</f>
        <v/>
      </c>
      <c r="K1296" s="43" t="inlineStr">
        <is>
          <t>Z35钢；来源页119</t>
        </is>
      </c>
      <c r="L1296" s="43">
        <f>A1296</f>
        <v/>
      </c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43" t="n"/>
    </row>
    <row r="1297">
      <c r="A1297" s="43" t="inlineStr">
        <is>
          <t>N24</t>
        </is>
      </c>
      <c r="B1297" s="43" t="inlineStr">
        <is>
          <t>下弦腹板</t>
        </is>
      </c>
      <c r="C1297" s="43" t="inlineStr">
        <is>
          <t>节段18</t>
        </is>
      </c>
      <c r="D1297" s="43" t="inlineStr">
        <is>
          <t>Q355D</t>
        </is>
      </c>
      <c r="E1297" s="43" t="n">
        <v>7300</v>
      </c>
      <c r="F1297" s="43" t="n">
        <v>1880</v>
      </c>
      <c r="G1297" s="43" t="n">
        <v>32</v>
      </c>
      <c r="H1297" s="79">
        <f>(E1297/1000)*(F1297/1000)*(G1297/1000)*7850</f>
        <v/>
      </c>
      <c r="I1297" s="43" t="n">
        <v>2</v>
      </c>
      <c r="J1297" s="80">
        <f>H1297*I1297</f>
        <v/>
      </c>
      <c r="K1297" s="43" t="inlineStr">
        <is>
          <t>来源页119</t>
        </is>
      </c>
      <c r="L1297" s="43">
        <f>A1297</f>
        <v/>
      </c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43" t="n"/>
    </row>
    <row r="1298">
      <c r="A1298" s="43" t="inlineStr">
        <is>
          <t>N25</t>
        </is>
      </c>
      <c r="B1298" s="43" t="inlineStr">
        <is>
          <t>下弦横隔板</t>
        </is>
      </c>
      <c r="C1298" s="43" t="inlineStr">
        <is>
          <t>节段18</t>
        </is>
      </c>
      <c r="D1298" s="43" t="inlineStr">
        <is>
          <t>Q355D</t>
        </is>
      </c>
      <c r="E1298" s="43" t="n">
        <v>1800</v>
      </c>
      <c r="F1298" s="43" t="n">
        <v>1200</v>
      </c>
      <c r="G1298" s="43" t="n">
        <v>16</v>
      </c>
      <c r="H1298" s="79">
        <f>(E1298/1000)*(F1298/1000)*(G1298/1000)*7850</f>
        <v/>
      </c>
      <c r="I1298" s="43" t="n">
        <v>3</v>
      </c>
      <c r="J1298" s="80">
        <f>H1298*I1298</f>
        <v/>
      </c>
      <c r="K1298" s="43" t="inlineStr">
        <is>
          <t>来源页119</t>
        </is>
      </c>
      <c r="L1298" s="43">
        <f>A1298</f>
        <v/>
      </c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43" t="n"/>
    </row>
    <row r="1299">
      <c r="A1299" s="43" t="inlineStr">
        <is>
          <t>N25a</t>
        </is>
      </c>
      <c r="B1299" s="43" t="inlineStr">
        <is>
          <t>下弦横隔板</t>
        </is>
      </c>
      <c r="C1299" s="43" t="inlineStr">
        <is>
          <t>节段18</t>
        </is>
      </c>
      <c r="D1299" s="43" t="inlineStr">
        <is>
          <t>Q355D</t>
        </is>
      </c>
      <c r="E1299" s="43" t="n">
        <v>1800</v>
      </c>
      <c r="F1299" s="43" t="n">
        <v>1200</v>
      </c>
      <c r="G1299" s="43" t="n">
        <v>16</v>
      </c>
      <c r="H1299" s="79">
        <f>(E1299/1000)*(F1299/1000)*(G1299/1000)*7850</f>
        <v/>
      </c>
      <c r="I1299" s="43" t="n">
        <v>2</v>
      </c>
      <c r="J1299" s="80">
        <f>H1299*I1299</f>
        <v/>
      </c>
      <c r="K1299" s="43" t="inlineStr">
        <is>
          <t>来源页119</t>
        </is>
      </c>
      <c r="L1299" s="43">
        <f>A1299</f>
        <v/>
      </c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43" t="n"/>
    </row>
    <row r="1300">
      <c r="A1300" s="43" t="inlineStr">
        <is>
          <t>N25'</t>
        </is>
      </c>
      <c r="B1300" s="43" t="inlineStr">
        <is>
          <t>下弦横隔板</t>
        </is>
      </c>
      <c r="C1300" s="43" t="inlineStr">
        <is>
          <t>节段18</t>
        </is>
      </c>
      <c r="D1300" s="43" t="inlineStr">
        <is>
          <t>Q355D</t>
        </is>
      </c>
      <c r="E1300" s="43" t="n">
        <v>2057</v>
      </c>
      <c r="F1300" s="43" t="n">
        <v>200</v>
      </c>
      <c r="G1300" s="43" t="n">
        <v>16</v>
      </c>
      <c r="H1300" s="79">
        <f>(E1300/1000)*(F1300/1000)*(G1300/1000)*7850</f>
        <v/>
      </c>
      <c r="I1300" s="43" t="n">
        <v>3</v>
      </c>
      <c r="J1300" s="80">
        <f>H1300*I1300</f>
        <v/>
      </c>
      <c r="K1300" s="43" t="inlineStr">
        <is>
          <t>来源页119</t>
        </is>
      </c>
      <c r="L1300" s="43">
        <f>A1300</f>
        <v/>
      </c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43" t="n"/>
    </row>
    <row r="1301">
      <c r="A1301" s="43" t="inlineStr">
        <is>
          <t>N26a</t>
        </is>
      </c>
      <c r="B1301" s="43" t="inlineStr">
        <is>
          <t>下弦加劲肋</t>
        </is>
      </c>
      <c r="C1301" s="43" t="inlineStr">
        <is>
          <t>节段18</t>
        </is>
      </c>
      <c r="D1301" s="43" t="inlineStr">
        <is>
          <t>Q420D</t>
        </is>
      </c>
      <c r="E1301" s="43" t="n">
        <v>7900</v>
      </c>
      <c r="F1301" s="43" t="n">
        <v>320</v>
      </c>
      <c r="G1301" s="43" t="n">
        <v>32</v>
      </c>
      <c r="H1301" s="79">
        <f>(E1301/1000)*(F1301/1000)*(G1301/1000)*7850</f>
        <v/>
      </c>
      <c r="I1301" s="43" t="n">
        <v>4</v>
      </c>
      <c r="J1301" s="80">
        <f>H1301*I1301</f>
        <v/>
      </c>
      <c r="K1301" s="43" t="inlineStr">
        <is>
          <t>来源页119</t>
        </is>
      </c>
      <c r="L1301" s="43">
        <f>A1301</f>
        <v/>
      </c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43" t="n"/>
    </row>
    <row r="1302">
      <c r="A1302" s="43" t="inlineStr">
        <is>
          <t>N26b</t>
        </is>
      </c>
      <c r="B1302" s="43" t="inlineStr">
        <is>
          <t>下弦加劲肋</t>
        </is>
      </c>
      <c r="C1302" s="43" t="inlineStr">
        <is>
          <t>节段18</t>
        </is>
      </c>
      <c r="D1302" s="43" t="inlineStr">
        <is>
          <t>Q355D</t>
        </is>
      </c>
      <c r="E1302" s="43" t="n">
        <v>7100</v>
      </c>
      <c r="F1302" s="43" t="n">
        <v>320</v>
      </c>
      <c r="G1302" s="43" t="n">
        <v>32</v>
      </c>
      <c r="H1302" s="79">
        <f>(E1302/1000)*(F1302/1000)*(G1302/1000)*7850</f>
        <v/>
      </c>
      <c r="I1302" s="43" t="n">
        <v>4</v>
      </c>
      <c r="J1302" s="80">
        <f>H1302*I1302</f>
        <v/>
      </c>
      <c r="K1302" s="43" t="inlineStr">
        <is>
          <t>来源页119</t>
        </is>
      </c>
      <c r="L1302" s="43">
        <f>A1302</f>
        <v/>
      </c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43" t="n"/>
    </row>
    <row r="1303">
      <c r="A1303" s="43" t="inlineStr">
        <is>
          <t>N26c</t>
        </is>
      </c>
      <c r="B1303" s="43" t="inlineStr">
        <is>
          <t>下弦加劲肋</t>
        </is>
      </c>
      <c r="C1303" s="43" t="inlineStr">
        <is>
          <t>节段18</t>
        </is>
      </c>
      <c r="D1303" s="43" t="inlineStr">
        <is>
          <t>Q355D</t>
        </is>
      </c>
      <c r="E1303" s="43" t="n">
        <v>15000</v>
      </c>
      <c r="F1303" s="43" t="n">
        <v>170</v>
      </c>
      <c r="G1303" s="43" t="n">
        <v>14</v>
      </c>
      <c r="H1303" s="79">
        <f>(E1303/1000)*(F1303/1000)*(G1303/1000)*7850</f>
        <v/>
      </c>
      <c r="I1303" s="43" t="n">
        <v>2</v>
      </c>
      <c r="J1303" s="80">
        <f>H1303*I1303</f>
        <v/>
      </c>
      <c r="K1303" s="43" t="inlineStr">
        <is>
          <t>来源页119</t>
        </is>
      </c>
      <c r="L1303" s="43">
        <f>A1303</f>
        <v/>
      </c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43" t="n"/>
    </row>
    <row r="1304">
      <c r="A1304" s="43" t="inlineStr">
        <is>
          <t>N31</t>
        </is>
      </c>
      <c r="B1304" s="43" t="inlineStr">
        <is>
          <t>斜腹杆</t>
        </is>
      </c>
      <c r="C1304" s="43" t="inlineStr">
        <is>
          <t>节段18</t>
        </is>
      </c>
      <c r="D1304" s="43" t="inlineStr">
        <is>
          <t>Q355D</t>
        </is>
      </c>
      <c r="E1304" s="43" t="n">
        <v>10823</v>
      </c>
      <c r="F1304" s="43" t="n">
        <v>1200</v>
      </c>
      <c r="G1304" s="43" t="n">
        <v>36</v>
      </c>
      <c r="H1304" s="79">
        <f>(E1304/1000)*(F1304/1000)*(G1304/1000)*7850</f>
        <v/>
      </c>
      <c r="I1304" s="43" t="n">
        <v>1</v>
      </c>
      <c r="J1304" s="80">
        <f>H1304*I1304</f>
        <v/>
      </c>
      <c r="K1304" s="43" t="inlineStr">
        <is>
          <t>来源页119</t>
        </is>
      </c>
      <c r="L1304" s="43">
        <f>A1304</f>
        <v/>
      </c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43" t="n"/>
    </row>
    <row r="1305">
      <c r="A1305" s="43" t="inlineStr">
        <is>
          <t>N31a</t>
        </is>
      </c>
      <c r="B1305" s="43" t="inlineStr">
        <is>
          <t>斜腹杆</t>
        </is>
      </c>
      <c r="C1305" s="43" t="inlineStr">
        <is>
          <t>节段18</t>
        </is>
      </c>
      <c r="D1305" s="43" t="inlineStr">
        <is>
          <t>Q355D</t>
        </is>
      </c>
      <c r="E1305" s="43" t="n">
        <v>11023</v>
      </c>
      <c r="F1305" s="43" t="n">
        <v>1200</v>
      </c>
      <c r="G1305" s="43" t="n">
        <v>36</v>
      </c>
      <c r="H1305" s="79">
        <f>(E1305/1000)*(F1305/1000)*(G1305/1000)*7850</f>
        <v/>
      </c>
      <c r="I1305" s="43" t="n">
        <v>1</v>
      </c>
      <c r="J1305" s="80">
        <f>H1305*I1305</f>
        <v/>
      </c>
      <c r="K1305" s="43" t="inlineStr">
        <is>
          <t>来源页119</t>
        </is>
      </c>
      <c r="L1305" s="43">
        <f>A1305</f>
        <v/>
      </c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43" t="n"/>
    </row>
    <row r="1306">
      <c r="A1306" s="43" t="inlineStr">
        <is>
          <t>N32</t>
        </is>
      </c>
      <c r="B1306" s="43" t="inlineStr">
        <is>
          <t>斜腹杆</t>
        </is>
      </c>
      <c r="C1306" s="43" t="inlineStr">
        <is>
          <t>节段18</t>
        </is>
      </c>
      <c r="D1306" s="43" t="inlineStr">
        <is>
          <t>Q355D</t>
        </is>
      </c>
      <c r="E1306" s="43" t="n">
        <v>7223</v>
      </c>
      <c r="F1306" s="43" t="n">
        <v>1360</v>
      </c>
      <c r="G1306" s="43" t="n">
        <v>36</v>
      </c>
      <c r="H1306" s="79">
        <f>(E1306/1000)*(F1306/1000)*(G1306/1000)*7850</f>
        <v/>
      </c>
      <c r="I1306" s="43" t="n">
        <v>2</v>
      </c>
      <c r="J1306" s="80">
        <f>H1306*I1306</f>
        <v/>
      </c>
      <c r="K1306" s="43" t="inlineStr">
        <is>
          <t>来源页119</t>
        </is>
      </c>
      <c r="L1306" s="43">
        <f>A1306</f>
        <v/>
      </c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43" t="n"/>
    </row>
    <row r="1307">
      <c r="A1307" s="43" t="inlineStr">
        <is>
          <t>N33</t>
        </is>
      </c>
      <c r="B1307" s="43" t="inlineStr">
        <is>
          <t>斜腹杆</t>
        </is>
      </c>
      <c r="C1307" s="43" t="inlineStr">
        <is>
          <t>节段18</t>
        </is>
      </c>
      <c r="D1307" s="43" t="inlineStr">
        <is>
          <t>Q355D</t>
        </is>
      </c>
      <c r="E1307" s="43" t="n">
        <v>7223</v>
      </c>
      <c r="F1307" s="43" t="n">
        <v>320</v>
      </c>
      <c r="G1307" s="43" t="n">
        <v>32</v>
      </c>
      <c r="H1307" s="79">
        <f>(E1307/1000)*(F1307/1000)*(G1307/1000)*7850</f>
        <v/>
      </c>
      <c r="I1307" s="43" t="n">
        <v>2</v>
      </c>
      <c r="J1307" s="80">
        <f>H1307*I1307</f>
        <v/>
      </c>
      <c r="K1307" s="43" t="inlineStr">
        <is>
          <t>来源页119</t>
        </is>
      </c>
      <c r="L1307" s="43">
        <f>A1307</f>
        <v/>
      </c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43" t="n"/>
    </row>
    <row r="1308">
      <c r="A1308" s="43" t="inlineStr">
        <is>
          <t>N33a</t>
        </is>
      </c>
      <c r="B1308" s="43" t="inlineStr">
        <is>
          <t>斜腹杆</t>
        </is>
      </c>
      <c r="C1308" s="43" t="inlineStr">
        <is>
          <t>节段18</t>
        </is>
      </c>
      <c r="D1308" s="43" t="inlineStr">
        <is>
          <t>Q355D</t>
        </is>
      </c>
      <c r="E1308" s="43" t="n">
        <v>9423</v>
      </c>
      <c r="F1308" s="43" t="n">
        <v>320</v>
      </c>
      <c r="G1308" s="43" t="n">
        <v>32</v>
      </c>
      <c r="H1308" s="79">
        <f>(E1308/1000)*(F1308/1000)*(G1308/1000)*7850</f>
        <v/>
      </c>
      <c r="I1308" s="43" t="n">
        <v>1</v>
      </c>
      <c r="J1308" s="80">
        <f>H1308*I1308</f>
        <v/>
      </c>
      <c r="K1308" s="43" t="inlineStr">
        <is>
          <t>来源页119</t>
        </is>
      </c>
      <c r="L1308" s="43">
        <f>A1308</f>
        <v/>
      </c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43" t="n"/>
    </row>
    <row r="1309">
      <c r="A1309" s="43" t="inlineStr">
        <is>
          <t>N33b</t>
        </is>
      </c>
      <c r="B1309" s="43" t="inlineStr">
        <is>
          <t>斜腹杆</t>
        </is>
      </c>
      <c r="C1309" s="43" t="inlineStr">
        <is>
          <t>节段18</t>
        </is>
      </c>
      <c r="D1309" s="43" t="inlineStr">
        <is>
          <t>Q355D</t>
        </is>
      </c>
      <c r="E1309" s="43" t="n">
        <v>9623</v>
      </c>
      <c r="F1309" s="43" t="n">
        <v>320</v>
      </c>
      <c r="G1309" s="43" t="n">
        <v>32</v>
      </c>
      <c r="H1309" s="79">
        <f>(E1309/1000)*(F1309/1000)*(G1309/1000)*7850</f>
        <v/>
      </c>
      <c r="I1309" s="43" t="n">
        <v>1</v>
      </c>
      <c r="J1309" s="80">
        <f>H1309*I1309</f>
        <v/>
      </c>
      <c r="K1309" s="43" t="inlineStr">
        <is>
          <t>来源页119</t>
        </is>
      </c>
      <c r="L1309" s="43">
        <f>A1309</f>
        <v/>
      </c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43" t="n"/>
    </row>
    <row r="1310">
      <c r="A1310" s="43" t="inlineStr">
        <is>
          <t>N34</t>
        </is>
      </c>
      <c r="B1310" s="43" t="inlineStr">
        <is>
          <t>斜腹杆</t>
        </is>
      </c>
      <c r="C1310" s="43" t="inlineStr">
        <is>
          <t>节段18</t>
        </is>
      </c>
      <c r="D1310" s="43" t="inlineStr">
        <is>
          <t>Q355D</t>
        </is>
      </c>
      <c r="E1310" s="43" t="n">
        <v>1200</v>
      </c>
      <c r="F1310" s="43" t="n">
        <v>1200</v>
      </c>
      <c r="G1310" s="43" t="n">
        <v>16</v>
      </c>
      <c r="H1310" s="79">
        <f>(E1310/1000)*(F1310/1000)*(G1310/1000)*7850</f>
        <v/>
      </c>
      <c r="I1310" s="43" t="n">
        <v>3</v>
      </c>
      <c r="J1310" s="80">
        <f>H1310*I1310</f>
        <v/>
      </c>
      <c r="K1310" s="43" t="inlineStr">
        <is>
          <t>来源页119</t>
        </is>
      </c>
      <c r="L1310" s="43">
        <f>A1310</f>
        <v/>
      </c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43" t="n"/>
    </row>
    <row r="1311">
      <c r="A1311" s="43" t="inlineStr">
        <is>
          <t>N41</t>
        </is>
      </c>
      <c r="B1311" s="43" t="inlineStr">
        <is>
          <t>斜腹杆</t>
        </is>
      </c>
      <c r="C1311" s="43" t="inlineStr">
        <is>
          <t>节段18</t>
        </is>
      </c>
      <c r="D1311" s="43" t="inlineStr">
        <is>
          <t>Q355D</t>
        </is>
      </c>
      <c r="E1311" s="43" t="n">
        <v>5429</v>
      </c>
      <c r="F1311" s="43" t="n">
        <v>1200</v>
      </c>
      <c r="G1311" s="43" t="n">
        <v>36</v>
      </c>
      <c r="H1311" s="79">
        <f>(E1311/1000)*(F1311/1000)*(G1311/1000)*7850</f>
        <v/>
      </c>
      <c r="I1311" s="43" t="n">
        <v>1</v>
      </c>
      <c r="J1311" s="80">
        <f>H1311*I1311</f>
        <v/>
      </c>
      <c r="K1311" s="43" t="inlineStr">
        <is>
          <t>来源页119</t>
        </is>
      </c>
      <c r="L1311" s="43">
        <f>A1311</f>
        <v/>
      </c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43" t="n"/>
    </row>
    <row r="1312">
      <c r="A1312" s="43" t="inlineStr">
        <is>
          <t>N41a</t>
        </is>
      </c>
      <c r="B1312" s="43" t="inlineStr">
        <is>
          <t>斜腹杆</t>
        </is>
      </c>
      <c r="C1312" s="43" t="inlineStr">
        <is>
          <t>节段18</t>
        </is>
      </c>
      <c r="D1312" s="43" t="inlineStr">
        <is>
          <t>Q355D</t>
        </is>
      </c>
      <c r="E1312" s="43" t="n">
        <v>5629</v>
      </c>
      <c r="F1312" s="43" t="n">
        <v>1200</v>
      </c>
      <c r="G1312" s="43" t="n">
        <v>36</v>
      </c>
      <c r="H1312" s="79">
        <f>(E1312/1000)*(F1312/1000)*(G1312/1000)*7850</f>
        <v/>
      </c>
      <c r="I1312" s="43" t="n">
        <v>1</v>
      </c>
      <c r="J1312" s="80">
        <f>H1312*I1312</f>
        <v/>
      </c>
      <c r="K1312" s="43" t="inlineStr">
        <is>
          <t>来源页119</t>
        </is>
      </c>
      <c r="L1312" s="43">
        <f>A1312</f>
        <v/>
      </c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43" t="n"/>
    </row>
    <row r="1313">
      <c r="A1313" s="43" t="inlineStr">
        <is>
          <t>N42</t>
        </is>
      </c>
      <c r="B1313" s="43" t="inlineStr">
        <is>
          <t>斜腹杆</t>
        </is>
      </c>
      <c r="C1313" s="43" t="inlineStr">
        <is>
          <t>节段18</t>
        </is>
      </c>
      <c r="D1313" s="43" t="inlineStr">
        <is>
          <t>Q355D</t>
        </is>
      </c>
      <c r="E1313" s="43" t="n">
        <v>3629</v>
      </c>
      <c r="F1313" s="43" t="n">
        <v>1360</v>
      </c>
      <c r="G1313" s="43" t="n">
        <v>36</v>
      </c>
      <c r="H1313" s="79">
        <f>(E1313/1000)*(F1313/1000)*(G1313/1000)*7850</f>
        <v/>
      </c>
      <c r="I1313" s="43" t="n">
        <v>2</v>
      </c>
      <c r="J1313" s="80">
        <f>H1313*I1313</f>
        <v/>
      </c>
      <c r="K1313" s="43" t="inlineStr">
        <is>
          <t>来源页119</t>
        </is>
      </c>
      <c r="L1313" s="43">
        <f>A1313</f>
        <v/>
      </c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43" t="n"/>
    </row>
    <row r="1314">
      <c r="A1314" s="43" t="inlineStr">
        <is>
          <t>N43</t>
        </is>
      </c>
      <c r="B1314" s="43" t="inlineStr">
        <is>
          <t>斜腹杆</t>
        </is>
      </c>
      <c r="C1314" s="43" t="inlineStr">
        <is>
          <t>节段18</t>
        </is>
      </c>
      <c r="D1314" s="43" t="inlineStr">
        <is>
          <t>Q355D</t>
        </is>
      </c>
      <c r="E1314" s="43" t="n">
        <v>3629</v>
      </c>
      <c r="F1314" s="43" t="n">
        <v>320</v>
      </c>
      <c r="G1314" s="43" t="n">
        <v>32</v>
      </c>
      <c r="H1314" s="79">
        <f>(E1314/1000)*(F1314/1000)*(G1314/1000)*7850</f>
        <v/>
      </c>
      <c r="I1314" s="43" t="n">
        <v>4</v>
      </c>
      <c r="J1314" s="80">
        <f>H1314*I1314</f>
        <v/>
      </c>
      <c r="K1314" s="43" t="inlineStr">
        <is>
          <t>来源页119</t>
        </is>
      </c>
      <c r="L1314" s="43">
        <f>A1314</f>
        <v/>
      </c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43" t="n"/>
    </row>
    <row r="1315">
      <c r="A1315" s="43" t="inlineStr">
        <is>
          <t>N43a</t>
        </is>
      </c>
      <c r="B1315" s="43" t="inlineStr">
        <is>
          <t>斜腹杆</t>
        </is>
      </c>
      <c r="C1315" s="43" t="inlineStr">
        <is>
          <t>节段18</t>
        </is>
      </c>
      <c r="D1315" s="43" t="inlineStr">
        <is>
          <t>Q355D</t>
        </is>
      </c>
      <c r="E1315" s="43" t="n">
        <v>4729</v>
      </c>
      <c r="F1315" s="43" t="n">
        <v>320</v>
      </c>
      <c r="G1315" s="43" t="n">
        <v>32</v>
      </c>
      <c r="H1315" s="79">
        <f>(E1315/1000)*(F1315/1000)*(G1315/1000)*7850</f>
        <v/>
      </c>
      <c r="I1315" s="43" t="n">
        <v>1</v>
      </c>
      <c r="J1315" s="80">
        <f>H1315*I1315</f>
        <v/>
      </c>
      <c r="K1315" s="43" t="inlineStr">
        <is>
          <t>来源页119</t>
        </is>
      </c>
      <c r="L1315" s="43">
        <f>A1315</f>
        <v/>
      </c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43" t="n"/>
    </row>
    <row r="1316">
      <c r="A1316" s="43" t="inlineStr">
        <is>
          <t>N43b</t>
        </is>
      </c>
      <c r="B1316" s="43" t="inlineStr">
        <is>
          <t>斜腹杆</t>
        </is>
      </c>
      <c r="C1316" s="43" t="inlineStr">
        <is>
          <t>节段18</t>
        </is>
      </c>
      <c r="D1316" s="43" t="inlineStr">
        <is>
          <t>Q355D</t>
        </is>
      </c>
      <c r="E1316" s="43" t="n">
        <v>4929</v>
      </c>
      <c r="F1316" s="43" t="n">
        <v>320</v>
      </c>
      <c r="G1316" s="43" t="n">
        <v>32</v>
      </c>
      <c r="H1316" s="79">
        <f>(E1316/1000)*(F1316/1000)*(G1316/1000)*7850</f>
        <v/>
      </c>
      <c r="I1316" s="43" t="n">
        <v>1</v>
      </c>
      <c r="J1316" s="80">
        <f>H1316*I1316</f>
        <v/>
      </c>
      <c r="K1316" s="43" t="inlineStr">
        <is>
          <t>来源页119</t>
        </is>
      </c>
      <c r="L1316" s="43">
        <f>A1316</f>
        <v/>
      </c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43" t="n"/>
    </row>
    <row r="1317">
      <c r="A1317" s="43" t="inlineStr">
        <is>
          <t>N44</t>
        </is>
      </c>
      <c r="B1317" s="43" t="inlineStr">
        <is>
          <t>斜腹杆</t>
        </is>
      </c>
      <c r="C1317" s="43" t="inlineStr">
        <is>
          <t>节段18</t>
        </is>
      </c>
      <c r="D1317" s="43" t="inlineStr">
        <is>
          <t>Q355D</t>
        </is>
      </c>
      <c r="E1317" s="43" t="n">
        <v>1200</v>
      </c>
      <c r="F1317" s="43" t="n">
        <v>1200</v>
      </c>
      <c r="G1317" s="43" t="n">
        <v>16</v>
      </c>
      <c r="H1317" s="79">
        <f>(E1317/1000)*(F1317/1000)*(G1317/1000)*7850</f>
        <v/>
      </c>
      <c r="I1317" s="43" t="n">
        <v>3</v>
      </c>
      <c r="J1317" s="80">
        <f>H1317*I1317</f>
        <v/>
      </c>
      <c r="K1317" s="43" t="inlineStr">
        <is>
          <t>来源页119</t>
        </is>
      </c>
      <c r="L1317" s="43">
        <f>A1317</f>
        <v/>
      </c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43" t="n"/>
    </row>
    <row r="1318">
      <c r="A1318" s="43" t="inlineStr">
        <is>
          <t>N51</t>
        </is>
      </c>
      <c r="B1318" s="43" t="inlineStr">
        <is>
          <t>节点板加劲</t>
        </is>
      </c>
      <c r="C1318" s="43" t="inlineStr">
        <is>
          <t>节段18</t>
        </is>
      </c>
      <c r="D1318" s="43" t="inlineStr">
        <is>
          <t>Q355D</t>
        </is>
      </c>
      <c r="E1318" s="43" t="n">
        <v>5426</v>
      </c>
      <c r="F1318" s="43" t="n">
        <v>1200</v>
      </c>
      <c r="G1318" s="43" t="n">
        <v>36</v>
      </c>
      <c r="H1318" s="79">
        <f>(E1318/1000)*(F1318/1000)*(G1318/1000)*7850</f>
        <v/>
      </c>
      <c r="I1318" s="43" t="n">
        <v>1</v>
      </c>
      <c r="J1318" s="80">
        <f>H1318*I1318</f>
        <v/>
      </c>
      <c r="K1318" s="43" t="inlineStr">
        <is>
          <t>来源页119</t>
        </is>
      </c>
      <c r="L1318" s="43">
        <f>A1318</f>
        <v/>
      </c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43" t="n"/>
    </row>
    <row r="1319">
      <c r="A1319" s="43" t="inlineStr">
        <is>
          <t>N51a</t>
        </is>
      </c>
      <c r="B1319" s="43" t="inlineStr">
        <is>
          <t>节点板加劲</t>
        </is>
      </c>
      <c r="C1319" s="43" t="inlineStr">
        <is>
          <t>节段18</t>
        </is>
      </c>
      <c r="D1319" s="43" t="inlineStr">
        <is>
          <t>Q355D</t>
        </is>
      </c>
      <c r="E1319" s="43" t="n">
        <v>5626</v>
      </c>
      <c r="F1319" s="43" t="n">
        <v>1200</v>
      </c>
      <c r="G1319" s="43" t="n">
        <v>36</v>
      </c>
      <c r="H1319" s="79">
        <f>(E1319/1000)*(F1319/1000)*(G1319/1000)*7850</f>
        <v/>
      </c>
      <c r="I1319" s="43" t="n">
        <v>1</v>
      </c>
      <c r="J1319" s="80">
        <f>H1319*I1319</f>
        <v/>
      </c>
      <c r="K1319" s="43" t="inlineStr">
        <is>
          <t>来源页119</t>
        </is>
      </c>
      <c r="L1319" s="43">
        <f>A1319</f>
        <v/>
      </c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43" t="n"/>
    </row>
    <row r="1320">
      <c r="A1320" s="43" t="inlineStr">
        <is>
          <t>N52</t>
        </is>
      </c>
      <c r="B1320" s="43" t="inlineStr">
        <is>
          <t>节点板加劲</t>
        </is>
      </c>
      <c r="C1320" s="43" t="inlineStr">
        <is>
          <t>节段18</t>
        </is>
      </c>
      <c r="D1320" s="43" t="inlineStr">
        <is>
          <t>Q355D</t>
        </is>
      </c>
      <c r="E1320" s="43" t="n">
        <v>3626</v>
      </c>
      <c r="F1320" s="43" t="n">
        <v>1360</v>
      </c>
      <c r="G1320" s="43" t="n">
        <v>36</v>
      </c>
      <c r="H1320" s="79">
        <f>(E1320/1000)*(F1320/1000)*(G1320/1000)*7850</f>
        <v/>
      </c>
      <c r="I1320" s="43" t="n">
        <v>2</v>
      </c>
      <c r="J1320" s="80">
        <f>H1320*I1320</f>
        <v/>
      </c>
      <c r="K1320" s="43" t="inlineStr">
        <is>
          <t>来源页119</t>
        </is>
      </c>
      <c r="L1320" s="43">
        <f>A1320</f>
        <v/>
      </c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43" t="n"/>
    </row>
    <row r="1321">
      <c r="A1321" s="43" t="inlineStr">
        <is>
          <t>N53</t>
        </is>
      </c>
      <c r="B1321" s="43" t="inlineStr">
        <is>
          <t>节点板加劲</t>
        </is>
      </c>
      <c r="C1321" s="43" t="inlineStr">
        <is>
          <t>节段18</t>
        </is>
      </c>
      <c r="D1321" s="43" t="inlineStr">
        <is>
          <t>Q355D</t>
        </is>
      </c>
      <c r="E1321" s="43" t="n">
        <v>3626</v>
      </c>
      <c r="F1321" s="43" t="n">
        <v>320</v>
      </c>
      <c r="G1321" s="43" t="n">
        <v>32</v>
      </c>
      <c r="H1321" s="79">
        <f>(E1321/1000)*(F1321/1000)*(G1321/1000)*7850</f>
        <v/>
      </c>
      <c r="I1321" s="43" t="n">
        <v>4</v>
      </c>
      <c r="J1321" s="80">
        <f>H1321*I1321</f>
        <v/>
      </c>
      <c r="K1321" s="43" t="inlineStr">
        <is>
          <t>来源页119</t>
        </is>
      </c>
      <c r="L1321" s="43">
        <f>A1321</f>
        <v/>
      </c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43" t="n"/>
    </row>
    <row r="1322">
      <c r="A1322" s="43" t="inlineStr">
        <is>
          <t>N53a</t>
        </is>
      </c>
      <c r="B1322" s="43" t="inlineStr">
        <is>
          <t>节点板加劲</t>
        </is>
      </c>
      <c r="C1322" s="43" t="inlineStr">
        <is>
          <t>节段18</t>
        </is>
      </c>
      <c r="D1322" s="43" t="inlineStr">
        <is>
          <t>Q355D</t>
        </is>
      </c>
      <c r="E1322" s="43" t="n">
        <v>4726</v>
      </c>
      <c r="F1322" s="43" t="n">
        <v>320</v>
      </c>
      <c r="G1322" s="43" t="n">
        <v>32</v>
      </c>
      <c r="H1322" s="79">
        <f>(E1322/1000)*(F1322/1000)*(G1322/1000)*7850</f>
        <v/>
      </c>
      <c r="I1322" s="43" t="n">
        <v>1</v>
      </c>
      <c r="J1322" s="80">
        <f>H1322*I1322</f>
        <v/>
      </c>
      <c r="K1322" s="43" t="inlineStr">
        <is>
          <t>来源页119</t>
        </is>
      </c>
      <c r="L1322" s="43">
        <f>A1322</f>
        <v/>
      </c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43" t="n"/>
    </row>
    <row r="1323">
      <c r="A1323" s="43" t="inlineStr">
        <is>
          <t>N53b</t>
        </is>
      </c>
      <c r="B1323" s="43" t="inlineStr">
        <is>
          <t>节点板加劲</t>
        </is>
      </c>
      <c r="C1323" s="43" t="inlineStr">
        <is>
          <t>节段18</t>
        </is>
      </c>
      <c r="D1323" s="43" t="inlineStr">
        <is>
          <t>Q355D</t>
        </is>
      </c>
      <c r="E1323" s="43" t="n">
        <v>4926</v>
      </c>
      <c r="F1323" s="43" t="n">
        <v>320</v>
      </c>
      <c r="G1323" s="43" t="n">
        <v>32</v>
      </c>
      <c r="H1323" s="79">
        <f>(E1323/1000)*(F1323/1000)*(G1323/1000)*7850</f>
        <v/>
      </c>
      <c r="I1323" s="43" t="n">
        <v>1</v>
      </c>
      <c r="J1323" s="80">
        <f>H1323*I1323</f>
        <v/>
      </c>
      <c r="K1323" s="43" t="inlineStr">
        <is>
          <t>来源页119</t>
        </is>
      </c>
      <c r="L1323" s="43">
        <f>A1323</f>
        <v/>
      </c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43" t="n"/>
    </row>
    <row r="1324">
      <c r="A1324" s="43" t="inlineStr">
        <is>
          <t>N54</t>
        </is>
      </c>
      <c r="B1324" s="43" t="inlineStr">
        <is>
          <t>节点板加劲</t>
        </is>
      </c>
      <c r="C1324" s="43" t="inlineStr">
        <is>
          <t>节段18</t>
        </is>
      </c>
      <c r="D1324" s="43" t="inlineStr">
        <is>
          <t>Q355D</t>
        </is>
      </c>
      <c r="E1324" s="43" t="n">
        <v>1200</v>
      </c>
      <c r="F1324" s="43" t="n">
        <v>1200</v>
      </c>
      <c r="G1324" s="43" t="n">
        <v>16</v>
      </c>
      <c r="H1324" s="79">
        <f>(E1324/1000)*(F1324/1000)*(G1324/1000)*7850</f>
        <v/>
      </c>
      <c r="I1324" s="43" t="n">
        <v>3</v>
      </c>
      <c r="J1324" s="80">
        <f>H1324*I1324</f>
        <v/>
      </c>
      <c r="K1324" s="43" t="inlineStr">
        <is>
          <t>来源页119</t>
        </is>
      </c>
      <c r="L1324" s="43">
        <f>A1324</f>
        <v/>
      </c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43" t="n"/>
    </row>
    <row r="1325">
      <c r="A1325" s="43" t="inlineStr">
        <is>
          <t>N55</t>
        </is>
      </c>
      <c r="B1325" s="43" t="inlineStr">
        <is>
          <t>节点板加劲</t>
        </is>
      </c>
      <c r="C1325" s="43" t="inlineStr">
        <is>
          <t>节段18</t>
        </is>
      </c>
      <c r="D1325" s="43" t="inlineStr">
        <is>
          <t>Q355D</t>
        </is>
      </c>
      <c r="E1325" s="43" t="n">
        <v>2300</v>
      </c>
      <c r="F1325" s="43" t="n">
        <v>320</v>
      </c>
      <c r="G1325" s="43" t="n">
        <v>32</v>
      </c>
      <c r="H1325" s="79">
        <f>(E1325/1000)*(F1325/1000)*(G1325/1000)*7850</f>
        <v/>
      </c>
      <c r="I1325" s="43" t="n">
        <v>4</v>
      </c>
      <c r="J1325" s="80">
        <f>H1325*I1325</f>
        <v/>
      </c>
      <c r="K1325" s="43" t="inlineStr">
        <is>
          <t>来源页119</t>
        </is>
      </c>
      <c r="L1325" s="43">
        <f>A1325</f>
        <v/>
      </c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43" t="n"/>
    </row>
    <row r="1326">
      <c r="A1326" s="43" t="inlineStr">
        <is>
          <t>N56</t>
        </is>
      </c>
      <c r="B1326" s="43" t="inlineStr">
        <is>
          <t>节点板加劲</t>
        </is>
      </c>
      <c r="C1326" s="43" t="inlineStr">
        <is>
          <t>节段18</t>
        </is>
      </c>
      <c r="D1326" s="43" t="inlineStr">
        <is>
          <t>Q355D</t>
        </is>
      </c>
      <c r="E1326" s="43" t="n">
        <v>2200</v>
      </c>
      <c r="F1326" s="43" t="n">
        <v>320</v>
      </c>
      <c r="G1326" s="43" t="n">
        <v>32</v>
      </c>
      <c r="H1326" s="79">
        <f>(E1326/1000)*(F1326/1000)*(G1326/1000)*7850</f>
        <v/>
      </c>
      <c r="I1326" s="43" t="n">
        <v>4</v>
      </c>
      <c r="J1326" s="80">
        <f>H1326*I1326</f>
        <v/>
      </c>
      <c r="K1326" s="43" t="inlineStr">
        <is>
          <t>来源页119</t>
        </is>
      </c>
      <c r="L1326" s="43">
        <f>A1326</f>
        <v/>
      </c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43" t="n"/>
    </row>
    <row r="1327">
      <c r="A1327" s="43" t="inlineStr">
        <is>
          <t>N61a</t>
        </is>
      </c>
      <c r="B1327" s="43" t="inlineStr">
        <is>
          <t>横梁接头</t>
        </is>
      </c>
      <c r="C1327" s="43" t="inlineStr">
        <is>
          <t>节段18</t>
        </is>
      </c>
      <c r="D1327" s="43" t="inlineStr">
        <is>
          <t>Q355D</t>
        </is>
      </c>
      <c r="E1327" s="43" t="n">
        <v>1960</v>
      </c>
      <c r="F1327" s="43" t="n">
        <v>602</v>
      </c>
      <c r="G1327" s="43" t="n">
        <v>14</v>
      </c>
      <c r="H1327" s="79">
        <f>(E1327/1000)*(F1327/1000)*(G1327/1000)*7850</f>
        <v/>
      </c>
      <c r="I1327" s="43" t="n">
        <v>4</v>
      </c>
      <c r="J1327" s="80">
        <f>H1327*I1327</f>
        <v/>
      </c>
      <c r="K1327" s="43" t="inlineStr">
        <is>
          <t>来源页119</t>
        </is>
      </c>
      <c r="L1327" s="43">
        <f>A1327</f>
        <v/>
      </c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43" t="n"/>
    </row>
    <row r="1328">
      <c r="A1328" s="43" t="inlineStr">
        <is>
          <t>N62a</t>
        </is>
      </c>
      <c r="B1328" s="43" t="inlineStr">
        <is>
          <t>横梁接头</t>
        </is>
      </c>
      <c r="C1328" s="43" t="inlineStr">
        <is>
          <t>节段18</t>
        </is>
      </c>
      <c r="D1328" s="43" t="inlineStr">
        <is>
          <t>Q355D</t>
        </is>
      </c>
      <c r="E1328" s="43" t="n"/>
      <c r="F1328" s="43" t="n"/>
      <c r="G1328" s="43" t="n">
        <v>24</v>
      </c>
      <c r="H1328" s="79">
        <f>(E1328/1000)*(F1328/1000)*(G1328/1000)*7850</f>
        <v/>
      </c>
      <c r="I1328" s="43" t="n">
        <v>4</v>
      </c>
      <c r="J1328" s="80">
        <f>H1328*I1328</f>
        <v/>
      </c>
      <c r="K1328" s="43" t="inlineStr">
        <is>
          <t>来源页119</t>
        </is>
      </c>
      <c r="L1328" s="43">
        <f>A1328</f>
        <v/>
      </c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43" t="n"/>
    </row>
    <row r="1329">
      <c r="A1329" s="43" t="inlineStr">
        <is>
          <t>N63a</t>
        </is>
      </c>
      <c r="B1329" s="43" t="inlineStr">
        <is>
          <t>横梁接头</t>
        </is>
      </c>
      <c r="C1329" s="43" t="inlineStr">
        <is>
          <t>节段18</t>
        </is>
      </c>
      <c r="D1329" s="43" t="inlineStr">
        <is>
          <t>Q355D</t>
        </is>
      </c>
      <c r="E1329" s="43" t="n">
        <v>1800</v>
      </c>
      <c r="F1329" s="43" t="n">
        <v>618</v>
      </c>
      <c r="G1329" s="43" t="n">
        <v>14</v>
      </c>
      <c r="H1329" s="79">
        <f>(E1329/1000)*(F1329/1000)*(G1329/1000)*7850</f>
        <v/>
      </c>
      <c r="I1329" s="43" t="n">
        <v>4</v>
      </c>
      <c r="J1329" s="80">
        <f>H1329*I1329</f>
        <v/>
      </c>
      <c r="K1329" s="43" t="inlineStr">
        <is>
          <t>来源页119</t>
        </is>
      </c>
      <c r="L1329" s="43">
        <f>A1329</f>
        <v/>
      </c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43" t="n"/>
    </row>
    <row r="1330">
      <c r="A1330" s="43" t="inlineStr">
        <is>
          <t>P1</t>
        </is>
      </c>
      <c r="B1330" s="43" t="inlineStr">
        <is>
          <t>上弦杆拼接</t>
        </is>
      </c>
      <c r="C1330" s="43" t="inlineStr">
        <is>
          <t>节段18~节段19</t>
        </is>
      </c>
      <c r="D1330" s="43" t="inlineStr">
        <is>
          <t>Q355D</t>
        </is>
      </c>
      <c r="E1330" s="43" t="n">
        <v>1220</v>
      </c>
      <c r="F1330" s="43" t="n">
        <v>1800</v>
      </c>
      <c r="G1330" s="43" t="n">
        <v>28</v>
      </c>
      <c r="H1330" s="79">
        <f>(E1330/1000)*(F1330/1000)*(G1330/1000)*7850</f>
        <v/>
      </c>
      <c r="I1330" s="43" t="n">
        <v>2</v>
      </c>
      <c r="J1330" s="80">
        <f>H1330*I1330</f>
        <v/>
      </c>
      <c r="K1330" s="43" t="inlineStr">
        <is>
          <t>来源页122</t>
        </is>
      </c>
      <c r="L1330" s="43">
        <f>A1330</f>
        <v/>
      </c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43" t="n"/>
    </row>
    <row r="1331">
      <c r="A1331" s="43" t="inlineStr">
        <is>
          <t>P2</t>
        </is>
      </c>
      <c r="B1331" s="43" t="inlineStr">
        <is>
          <t>上弦杆拼接</t>
        </is>
      </c>
      <c r="C1331" s="43" t="inlineStr">
        <is>
          <t>节段18~节段19</t>
        </is>
      </c>
      <c r="D1331" s="43" t="inlineStr">
        <is>
          <t>Q355D</t>
        </is>
      </c>
      <c r="E1331" s="43" t="n">
        <v>1220</v>
      </c>
      <c r="F1331" s="43" t="n">
        <v>500</v>
      </c>
      <c r="G1331" s="43" t="n">
        <v>28</v>
      </c>
      <c r="H1331" s="79">
        <f>(E1331/1000)*(F1331/1000)*(G1331/1000)*7850</f>
        <v/>
      </c>
      <c r="I1331" s="43" t="n">
        <v>2</v>
      </c>
      <c r="J1331" s="80">
        <f>H1331*I1331</f>
        <v/>
      </c>
      <c r="K1331" s="43" t="inlineStr">
        <is>
          <t>来源页122</t>
        </is>
      </c>
      <c r="L1331" s="43">
        <f>A1331</f>
        <v/>
      </c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43" t="n"/>
    </row>
    <row r="1332">
      <c r="A1332" s="43" t="inlineStr">
        <is>
          <t>P3</t>
        </is>
      </c>
      <c r="B1332" s="43" t="inlineStr">
        <is>
          <t>上弦杆拼接</t>
        </is>
      </c>
      <c r="C1332" s="43" t="inlineStr">
        <is>
          <t>节段18~节段19</t>
        </is>
      </c>
      <c r="D1332" s="43" t="inlineStr">
        <is>
          <t>Q355D</t>
        </is>
      </c>
      <c r="E1332" s="43" t="n">
        <v>1220</v>
      </c>
      <c r="F1332" s="43" t="n">
        <v>500</v>
      </c>
      <c r="G1332" s="43" t="n">
        <v>28</v>
      </c>
      <c r="H1332" s="79">
        <f>(E1332/1000)*(F1332/1000)*(G1332/1000)*7850</f>
        <v/>
      </c>
      <c r="I1332" s="43" t="n">
        <v>2</v>
      </c>
      <c r="J1332" s="80">
        <f>H1332*I1332</f>
        <v/>
      </c>
      <c r="K1332" s="43" t="inlineStr">
        <is>
          <t>来源页122</t>
        </is>
      </c>
      <c r="L1332" s="43">
        <f>A1332</f>
        <v/>
      </c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43" t="n"/>
    </row>
    <row r="1333">
      <c r="A1333" s="43" t="inlineStr">
        <is>
          <t>P4</t>
        </is>
      </c>
      <c r="B1333" s="43" t="inlineStr">
        <is>
          <t>上弦杆拼接</t>
        </is>
      </c>
      <c r="C1333" s="43" t="inlineStr">
        <is>
          <t>节段18~节段19</t>
        </is>
      </c>
      <c r="D1333" s="43" t="inlineStr">
        <is>
          <t>Q355D</t>
        </is>
      </c>
      <c r="E1333" s="43" t="n">
        <v>1220</v>
      </c>
      <c r="F1333" s="43" t="n">
        <v>600</v>
      </c>
      <c r="G1333" s="43" t="n">
        <v>28</v>
      </c>
      <c r="H1333" s="79">
        <f>(E1333/1000)*(F1333/1000)*(G1333/1000)*7850</f>
        <v/>
      </c>
      <c r="I1333" s="43" t="n">
        <v>2</v>
      </c>
      <c r="J1333" s="80">
        <f>H1333*I1333</f>
        <v/>
      </c>
      <c r="K1333" s="43" t="inlineStr">
        <is>
          <t>来源页122</t>
        </is>
      </c>
      <c r="L1333" s="43">
        <f>A1333</f>
        <v/>
      </c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43" t="n"/>
    </row>
    <row r="1334">
      <c r="A1334" s="43" t="inlineStr">
        <is>
          <t>P5</t>
        </is>
      </c>
      <c r="B1334" s="43" t="inlineStr">
        <is>
          <t>上弦杆拼接</t>
        </is>
      </c>
      <c r="C1334" s="43" t="inlineStr">
        <is>
          <t>节段18~节段19</t>
        </is>
      </c>
      <c r="D1334" s="43" t="inlineStr">
        <is>
          <t>Q355D</t>
        </is>
      </c>
      <c r="E1334" s="43" t="n">
        <v>1420</v>
      </c>
      <c r="F1334" s="43" t="n">
        <v>1100</v>
      </c>
      <c r="G1334" s="43" t="n">
        <v>32</v>
      </c>
      <c r="H1334" s="79">
        <f>(E1334/1000)*(F1334/1000)*(G1334/1000)*7850</f>
        <v/>
      </c>
      <c r="I1334" s="43" t="n">
        <v>1</v>
      </c>
      <c r="J1334" s="80">
        <f>H1334*I1334</f>
        <v/>
      </c>
      <c r="K1334" s="43" t="inlineStr">
        <is>
          <t>来源页122</t>
        </is>
      </c>
      <c r="L1334" s="43">
        <f>A1334</f>
        <v/>
      </c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43" t="n"/>
    </row>
    <row r="1335">
      <c r="A1335" s="43" t="inlineStr">
        <is>
          <t>P6</t>
        </is>
      </c>
      <c r="B1335" s="43" t="inlineStr">
        <is>
          <t>上弦杆拼接</t>
        </is>
      </c>
      <c r="C1335" s="43" t="inlineStr">
        <is>
          <t>节段18~节段19</t>
        </is>
      </c>
      <c r="D1335" s="43" t="inlineStr">
        <is>
          <t>Q355D</t>
        </is>
      </c>
      <c r="E1335" s="43" t="n">
        <v>1420</v>
      </c>
      <c r="F1335" s="43" t="n">
        <v>400</v>
      </c>
      <c r="G1335" s="43" t="n">
        <v>32</v>
      </c>
      <c r="H1335" s="79">
        <f>(E1335/1000)*(F1335/1000)*(G1335/1000)*7850</f>
        <v/>
      </c>
      <c r="I1335" s="43" t="n">
        <v>2</v>
      </c>
      <c r="J1335" s="80">
        <f>H1335*I1335</f>
        <v/>
      </c>
      <c r="K1335" s="43" t="inlineStr">
        <is>
          <t>来源页122</t>
        </is>
      </c>
      <c r="L1335" s="43">
        <f>A1335</f>
        <v/>
      </c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43" t="n"/>
    </row>
    <row r="1336">
      <c r="A1336" s="43" t="inlineStr">
        <is>
          <t>P7</t>
        </is>
      </c>
      <c r="B1336" s="43" t="inlineStr">
        <is>
          <t>上弦杆拼接</t>
        </is>
      </c>
      <c r="C1336" s="43" t="inlineStr">
        <is>
          <t>节段18~节段19</t>
        </is>
      </c>
      <c r="D1336" s="43" t="inlineStr">
        <is>
          <t>Q355D</t>
        </is>
      </c>
      <c r="E1336" s="43" t="n">
        <v>920</v>
      </c>
      <c r="F1336" s="43" t="n">
        <v>200</v>
      </c>
      <c r="G1336" s="43" t="n">
        <v>20</v>
      </c>
      <c r="H1336" s="79">
        <f>(E1336/1000)*(F1336/1000)*(G1336/1000)*7850</f>
        <v/>
      </c>
      <c r="I1336" s="43" t="n">
        <v>10</v>
      </c>
      <c r="J1336" s="80">
        <f>H1336*I1336</f>
        <v/>
      </c>
      <c r="K1336" s="43" t="inlineStr">
        <is>
          <t>来源页122</t>
        </is>
      </c>
      <c r="L1336" s="43">
        <f>A1336</f>
        <v/>
      </c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43" t="n"/>
    </row>
    <row r="1337">
      <c r="A1337" s="43" t="inlineStr">
        <is>
          <t>P8</t>
        </is>
      </c>
      <c r="B1337" s="43" t="inlineStr">
        <is>
          <t>上弦杆拼接</t>
        </is>
      </c>
      <c r="C1337" s="43" t="inlineStr">
        <is>
          <t>节段18~节段19</t>
        </is>
      </c>
      <c r="D1337" s="43" t="inlineStr">
        <is>
          <t>Q355D</t>
        </is>
      </c>
      <c r="E1337" s="43" t="n">
        <v>600</v>
      </c>
      <c r="F1337" s="43" t="n">
        <v>1800</v>
      </c>
      <c r="G1337" s="43" t="n">
        <v>16</v>
      </c>
      <c r="H1337" s="79">
        <f>(E1337/1000)*(F1337/1000)*(G1337/1000)*7850</f>
        <v/>
      </c>
      <c r="I1337" s="43" t="n">
        <v>2</v>
      </c>
      <c r="J1337" s="80">
        <f>H1337*I1337</f>
        <v/>
      </c>
      <c r="K1337" s="43" t="inlineStr">
        <is>
          <t>填板；来源页122</t>
        </is>
      </c>
      <c r="L1337" s="43">
        <f>A1337</f>
        <v/>
      </c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43" t="n"/>
    </row>
    <row r="1338">
      <c r="A1338" s="43" t="inlineStr">
        <is>
          <t>P9</t>
        </is>
      </c>
      <c r="B1338" s="43" t="inlineStr">
        <is>
          <t>上弦杆拼接</t>
        </is>
      </c>
      <c r="C1338" s="43" t="inlineStr">
        <is>
          <t>节段18~节段19</t>
        </is>
      </c>
      <c r="D1338" s="43" t="inlineStr">
        <is>
          <t>Q355D</t>
        </is>
      </c>
      <c r="E1338" s="43" t="n">
        <v>700</v>
      </c>
      <c r="F1338" s="43" t="n">
        <v>1100</v>
      </c>
      <c r="G1338" s="43" t="n">
        <v>16</v>
      </c>
      <c r="H1338" s="79">
        <f>(E1338/1000)*(F1338/1000)*(G1338/1000)*7850</f>
        <v/>
      </c>
      <c r="I1338" s="43" t="n">
        <v>1</v>
      </c>
      <c r="J1338" s="80">
        <f>H1338*I1338</f>
        <v/>
      </c>
      <c r="K1338" s="43" t="inlineStr">
        <is>
          <t>填板；来源页122</t>
        </is>
      </c>
      <c r="L1338" s="43">
        <f>A1338</f>
        <v/>
      </c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43" t="n"/>
    </row>
    <row r="1339">
      <c r="A1339" s="43" t="inlineStr">
        <is>
          <t>M30高强螺栓</t>
        </is>
      </c>
      <c r="B1339" s="43" t="inlineStr">
        <is>
          <t>上弦杆拼接</t>
        </is>
      </c>
      <c r="C1339" s="43" t="inlineStr">
        <is>
          <t>节段18~节段19</t>
        </is>
      </c>
      <c r="D1339" s="43" t="inlineStr">
        <is>
          <t>10.9S</t>
        </is>
      </c>
      <c r="E1339" s="43" t="n"/>
      <c r="F1339" s="43" t="n"/>
      <c r="G1339" s="43" t="n"/>
      <c r="H1339" s="79">
        <f>(E1339/1000)*(F1339/1000)*(G1339/1000)*7850</f>
        <v/>
      </c>
      <c r="I1339" s="43" t="n">
        <v>508</v>
      </c>
      <c r="J1339" s="80">
        <f>H1339*I1339</f>
        <v/>
      </c>
      <c r="K1339" s="43" t="inlineStr">
        <is>
          <t>来源页122</t>
        </is>
      </c>
      <c r="L1339" s="43">
        <f>A1339</f>
        <v/>
      </c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43" t="n"/>
    </row>
    <row r="1340">
      <c r="A1340" s="43" t="inlineStr">
        <is>
          <t>K1</t>
        </is>
      </c>
      <c r="B1340" s="43" t="inlineStr">
        <is>
          <t>下弦杆拼接</t>
        </is>
      </c>
      <c r="C1340" s="43" t="inlineStr">
        <is>
          <t>节段18~节段19</t>
        </is>
      </c>
      <c r="D1340" s="43" t="inlineStr">
        <is>
          <t>Q355D</t>
        </is>
      </c>
      <c r="E1340" s="43" t="n">
        <v>1020</v>
      </c>
      <c r="F1340" s="43" t="n">
        <v>1700</v>
      </c>
      <c r="G1340" s="43" t="n">
        <v>24</v>
      </c>
      <c r="H1340" s="79">
        <f>(E1340/1000)*(F1340/1000)*(G1340/1000)*7850</f>
        <v/>
      </c>
      <c r="I1340" s="43" t="n">
        <v>2</v>
      </c>
      <c r="J1340" s="80">
        <f>H1340*I1340</f>
        <v/>
      </c>
      <c r="K1340" s="43" t="inlineStr">
        <is>
          <t>来源页122</t>
        </is>
      </c>
      <c r="L1340" s="43">
        <f>A1340</f>
        <v/>
      </c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43" t="n"/>
    </row>
    <row r="1341">
      <c r="A1341" s="43" t="inlineStr">
        <is>
          <t>K2</t>
        </is>
      </c>
      <c r="B1341" s="43" t="inlineStr">
        <is>
          <t>下弦杆拼接</t>
        </is>
      </c>
      <c r="C1341" s="43" t="inlineStr">
        <is>
          <t>节段18~节段19</t>
        </is>
      </c>
      <c r="D1341" s="43" t="inlineStr">
        <is>
          <t>Q355D</t>
        </is>
      </c>
      <c r="E1341" s="43" t="n">
        <v>1020</v>
      </c>
      <c r="F1341" s="43" t="n">
        <v>800</v>
      </c>
      <c r="G1341" s="43" t="n">
        <v>24</v>
      </c>
      <c r="H1341" s="79">
        <f>(E1341/1000)*(F1341/1000)*(G1341/1000)*7850</f>
        <v/>
      </c>
      <c r="I1341" s="43" t="n">
        <v>4</v>
      </c>
      <c r="J1341" s="80">
        <f>H1341*I1341</f>
        <v/>
      </c>
      <c r="K1341" s="43" t="inlineStr">
        <is>
          <t>来源页122</t>
        </is>
      </c>
      <c r="L1341" s="43">
        <f>A1341</f>
        <v/>
      </c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43" t="n"/>
    </row>
    <row r="1342">
      <c r="A1342" s="43" t="inlineStr">
        <is>
          <t>K3</t>
        </is>
      </c>
      <c r="B1342" s="43" t="inlineStr">
        <is>
          <t>下弦杆拼接</t>
        </is>
      </c>
      <c r="C1342" s="43" t="inlineStr">
        <is>
          <t>节段18~节段19</t>
        </is>
      </c>
      <c r="D1342" s="43" t="inlineStr">
        <is>
          <t>Q355D</t>
        </is>
      </c>
      <c r="E1342" s="43" t="n">
        <v>1320</v>
      </c>
      <c r="F1342" s="43" t="n">
        <v>1100</v>
      </c>
      <c r="G1342" s="43" t="n">
        <v>36</v>
      </c>
      <c r="H1342" s="79">
        <f>(E1342/1000)*(F1342/1000)*(G1342/1000)*7850</f>
        <v/>
      </c>
      <c r="I1342" s="43" t="n">
        <v>1</v>
      </c>
      <c r="J1342" s="80">
        <f>H1342*I1342</f>
        <v/>
      </c>
      <c r="K1342" s="43" t="inlineStr">
        <is>
          <t>来源页122</t>
        </is>
      </c>
      <c r="L1342" s="43">
        <f>A1342</f>
        <v/>
      </c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43" t="n"/>
    </row>
    <row r="1343">
      <c r="A1343" s="43" t="inlineStr">
        <is>
          <t>K4</t>
        </is>
      </c>
      <c r="B1343" s="43" t="inlineStr">
        <is>
          <t>下弦杆拼接</t>
        </is>
      </c>
      <c r="C1343" s="43" t="inlineStr">
        <is>
          <t>节段18~节段19</t>
        </is>
      </c>
      <c r="D1343" s="43" t="inlineStr">
        <is>
          <t>Q355D</t>
        </is>
      </c>
      <c r="E1343" s="43" t="n">
        <v>1320</v>
      </c>
      <c r="F1343" s="43" t="n">
        <v>400</v>
      </c>
      <c r="G1343" s="43" t="n">
        <v>36</v>
      </c>
      <c r="H1343" s="79">
        <f>(E1343/1000)*(F1343/1000)*(G1343/1000)*7850</f>
        <v/>
      </c>
      <c r="I1343" s="43" t="n">
        <v>2</v>
      </c>
      <c r="J1343" s="80">
        <f>H1343*I1343</f>
        <v/>
      </c>
      <c r="K1343" s="43" t="inlineStr">
        <is>
          <t>来源页122</t>
        </is>
      </c>
      <c r="L1343" s="43">
        <f>A1343</f>
        <v/>
      </c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43" t="n"/>
    </row>
    <row r="1344">
      <c r="A1344" s="43" t="inlineStr">
        <is>
          <t>K6</t>
        </is>
      </c>
      <c r="B1344" s="43" t="inlineStr">
        <is>
          <t>下弦杆拼接</t>
        </is>
      </c>
      <c r="C1344" s="43" t="inlineStr">
        <is>
          <t>节段18~节段19</t>
        </is>
      </c>
      <c r="D1344" s="43" t="inlineStr">
        <is>
          <t>Q355D</t>
        </is>
      </c>
      <c r="E1344" s="43" t="n">
        <v>500</v>
      </c>
      <c r="F1344" s="43" t="n">
        <v>1700</v>
      </c>
      <c r="G1344" s="43" t="n">
        <v>8</v>
      </c>
      <c r="H1344" s="79">
        <f>(E1344/1000)*(F1344/1000)*(G1344/1000)*7850</f>
        <v/>
      </c>
      <c r="I1344" s="43" t="n">
        <v>2</v>
      </c>
      <c r="J1344" s="80">
        <f>H1344*I1344</f>
        <v/>
      </c>
      <c r="K1344" s="43" t="inlineStr">
        <is>
          <t>填板；来源页122</t>
        </is>
      </c>
      <c r="L1344" s="43">
        <f>A1344</f>
        <v/>
      </c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43" t="n"/>
    </row>
    <row r="1345">
      <c r="A1345" s="43" t="inlineStr">
        <is>
          <t>K7</t>
        </is>
      </c>
      <c r="B1345" s="43" t="inlineStr">
        <is>
          <t>下弦杆拼接</t>
        </is>
      </c>
      <c r="C1345" s="43" t="inlineStr">
        <is>
          <t>节段18~节段19</t>
        </is>
      </c>
      <c r="D1345" s="43" t="inlineStr">
        <is>
          <t>Q355D</t>
        </is>
      </c>
      <c r="E1345" s="43" t="n">
        <v>650</v>
      </c>
      <c r="F1345" s="43" t="n">
        <v>1100</v>
      </c>
      <c r="G1345" s="43" t="n">
        <v>4</v>
      </c>
      <c r="H1345" s="79">
        <f>(E1345/1000)*(F1345/1000)*(G1345/1000)*7850</f>
        <v/>
      </c>
      <c r="I1345" s="43" t="n">
        <v>1</v>
      </c>
      <c r="J1345" s="80">
        <f>H1345*I1345</f>
        <v/>
      </c>
      <c r="K1345" s="43" t="inlineStr">
        <is>
          <t>填板；来源页122</t>
        </is>
      </c>
      <c r="L1345" s="43">
        <f>A1345</f>
        <v/>
      </c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43" t="n"/>
    </row>
    <row r="1346">
      <c r="A1346" s="43" t="inlineStr">
        <is>
          <t>M30高强螺栓</t>
        </is>
      </c>
      <c r="B1346" s="43" t="inlineStr">
        <is>
          <t>下弦杆拼接</t>
        </is>
      </c>
      <c r="C1346" s="43" t="inlineStr">
        <is>
          <t>节段18~节段19</t>
        </is>
      </c>
      <c r="D1346" s="43" t="inlineStr">
        <is>
          <t>10.9S</t>
        </is>
      </c>
      <c r="E1346" s="43" t="n"/>
      <c r="F1346" s="43" t="n"/>
      <c r="G1346" s="43" t="n"/>
      <c r="H1346" s="79">
        <f>(E1346/1000)*(F1346/1000)*(G1346/1000)*7850</f>
        <v/>
      </c>
      <c r="I1346" s="43" t="n">
        <v>324</v>
      </c>
      <c r="J1346" s="80">
        <f>H1346*I1346</f>
        <v/>
      </c>
      <c r="K1346" s="43" t="inlineStr">
        <is>
          <t>来源页122</t>
        </is>
      </c>
      <c r="L1346" s="43">
        <f>A1346</f>
        <v/>
      </c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43" t="n"/>
    </row>
    <row r="1347">
      <c r="A1347" s="43" t="inlineStr">
        <is>
          <t>L1</t>
        </is>
      </c>
      <c r="B1347" s="43" t="inlineStr">
        <is>
          <t>腹杆拼接</t>
        </is>
      </c>
      <c r="C1347" s="43" t="inlineStr">
        <is>
          <t>节段18~节段19</t>
        </is>
      </c>
      <c r="D1347" s="43" t="inlineStr">
        <is>
          <t>Q355D</t>
        </is>
      </c>
      <c r="E1347" s="43" t="n">
        <v>1520</v>
      </c>
      <c r="F1347" s="43" t="n">
        <v>1100</v>
      </c>
      <c r="G1347" s="43" t="n">
        <v>24</v>
      </c>
      <c r="H1347" s="79">
        <f>(E1347/1000)*(F1347/1000)*(G1347/1000)*7850</f>
        <v/>
      </c>
      <c r="I1347" s="43" t="n">
        <v>2</v>
      </c>
      <c r="J1347" s="80">
        <f>H1347*I1347</f>
        <v/>
      </c>
      <c r="K1347" s="43" t="inlineStr">
        <is>
          <t>来源页122</t>
        </is>
      </c>
      <c r="L1347" s="43">
        <f>A1347</f>
        <v/>
      </c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43" t="n"/>
    </row>
    <row r="1348">
      <c r="A1348" s="43" t="inlineStr">
        <is>
          <t>L2</t>
        </is>
      </c>
      <c r="B1348" s="43" t="inlineStr">
        <is>
          <t>腹杆拼接</t>
        </is>
      </c>
      <c r="C1348" s="43" t="inlineStr">
        <is>
          <t>节段18~节段19</t>
        </is>
      </c>
      <c r="D1348" s="43" t="inlineStr">
        <is>
          <t>Q355D</t>
        </is>
      </c>
      <c r="E1348" s="43" t="n">
        <v>1520</v>
      </c>
      <c r="F1348" s="43" t="n">
        <v>500</v>
      </c>
      <c r="G1348" s="43" t="n">
        <v>24</v>
      </c>
      <c r="H1348" s="79">
        <f>(E1348/1000)*(F1348/1000)*(G1348/1000)*7850</f>
        <v/>
      </c>
      <c r="I1348" s="43" t="n">
        <v>4</v>
      </c>
      <c r="J1348" s="80">
        <f>H1348*I1348</f>
        <v/>
      </c>
      <c r="K1348" s="43" t="inlineStr">
        <is>
          <t>来源页122</t>
        </is>
      </c>
      <c r="L1348" s="43">
        <f>A1348</f>
        <v/>
      </c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43" t="n"/>
    </row>
    <row r="1349">
      <c r="A1349" s="43" t="inlineStr">
        <is>
          <t>L3</t>
        </is>
      </c>
      <c r="B1349" s="43" t="inlineStr">
        <is>
          <t>腹杆拼接</t>
        </is>
      </c>
      <c r="C1349" s="43" t="inlineStr">
        <is>
          <t>节段18~节段19</t>
        </is>
      </c>
      <c r="D1349" s="43" t="inlineStr">
        <is>
          <t>Q355D</t>
        </is>
      </c>
      <c r="E1349" s="43" t="n">
        <v>1320</v>
      </c>
      <c r="F1349" s="43" t="n">
        <v>1100</v>
      </c>
      <c r="G1349" s="43" t="n">
        <v>28</v>
      </c>
      <c r="H1349" s="79">
        <f>(E1349/1000)*(F1349/1000)*(G1349/1000)*7850</f>
        <v/>
      </c>
      <c r="I1349" s="43" t="n">
        <v>1</v>
      </c>
      <c r="J1349" s="80">
        <f>H1349*I1349</f>
        <v/>
      </c>
      <c r="K1349" s="43" t="inlineStr">
        <is>
          <t>来源页122</t>
        </is>
      </c>
      <c r="L1349" s="43">
        <f>A1349</f>
        <v/>
      </c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43" t="n"/>
    </row>
    <row r="1350">
      <c r="A1350" s="43" t="inlineStr">
        <is>
          <t>L4</t>
        </is>
      </c>
      <c r="B1350" s="43" t="inlineStr">
        <is>
          <t>腹杆拼接</t>
        </is>
      </c>
      <c r="C1350" s="43" t="inlineStr">
        <is>
          <t>节段18~节段19</t>
        </is>
      </c>
      <c r="D1350" s="43" t="inlineStr">
        <is>
          <t>Q355D</t>
        </is>
      </c>
      <c r="E1350" s="43" t="n">
        <v>1320</v>
      </c>
      <c r="F1350" s="43" t="n">
        <v>500</v>
      </c>
      <c r="G1350" s="43" t="n">
        <v>28</v>
      </c>
      <c r="H1350" s="79">
        <f>(E1350/1000)*(F1350/1000)*(G1350/1000)*7850</f>
        <v/>
      </c>
      <c r="I1350" s="43" t="n">
        <v>2</v>
      </c>
      <c r="J1350" s="80">
        <f>H1350*I1350</f>
        <v/>
      </c>
      <c r="K1350" s="43" t="inlineStr">
        <is>
          <t>来源页122</t>
        </is>
      </c>
      <c r="L1350" s="43">
        <f>A1350</f>
        <v/>
      </c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43" t="n"/>
    </row>
    <row r="1351">
      <c r="A1351" s="43" t="inlineStr">
        <is>
          <t>L5</t>
        </is>
      </c>
      <c r="B1351" s="43" t="inlineStr">
        <is>
          <t>腹杆拼接</t>
        </is>
      </c>
      <c r="C1351" s="43" t="inlineStr">
        <is>
          <t>节段18~节段19</t>
        </is>
      </c>
      <c r="D1351" s="43" t="inlineStr">
        <is>
          <t>Q355D</t>
        </is>
      </c>
      <c r="E1351" s="43" t="n">
        <v>1520</v>
      </c>
      <c r="F1351" s="43" t="n">
        <v>1100</v>
      </c>
      <c r="G1351" s="43" t="n">
        <v>44</v>
      </c>
      <c r="H1351" s="79">
        <f>(E1351/1000)*(F1351/1000)*(G1351/1000)*7850</f>
        <v/>
      </c>
      <c r="I1351" s="43" t="n">
        <v>1</v>
      </c>
      <c r="J1351" s="80">
        <f>H1351*I1351</f>
        <v/>
      </c>
      <c r="K1351" s="43" t="inlineStr">
        <is>
          <t>来源页122</t>
        </is>
      </c>
      <c r="L1351" s="43">
        <f>A1351</f>
        <v/>
      </c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43" t="n"/>
    </row>
    <row r="1352">
      <c r="A1352" s="43" t="inlineStr">
        <is>
          <t>L6</t>
        </is>
      </c>
      <c r="B1352" s="43" t="inlineStr">
        <is>
          <t>腹杆拼接</t>
        </is>
      </c>
      <c r="C1352" s="43" t="inlineStr">
        <is>
          <t>节段18~节段19</t>
        </is>
      </c>
      <c r="D1352" s="43" t="inlineStr">
        <is>
          <t>Q355D</t>
        </is>
      </c>
      <c r="E1352" s="43" t="n">
        <v>1520</v>
      </c>
      <c r="F1352" s="43" t="n">
        <v>240</v>
      </c>
      <c r="G1352" s="43" t="n">
        <v>44</v>
      </c>
      <c r="H1352" s="79">
        <f>(E1352/1000)*(F1352/1000)*(G1352/1000)*7850</f>
        <v/>
      </c>
      <c r="I1352" s="43" t="n">
        <v>2</v>
      </c>
      <c r="J1352" s="80">
        <f>H1352*I1352</f>
        <v/>
      </c>
      <c r="K1352" s="43" t="inlineStr">
        <is>
          <t>来源页122</t>
        </is>
      </c>
      <c r="L1352" s="43">
        <f>A1352</f>
        <v/>
      </c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43" t="n"/>
    </row>
    <row r="1353">
      <c r="A1353" s="43" t="inlineStr">
        <is>
          <t>L7</t>
        </is>
      </c>
      <c r="B1353" s="43" t="inlineStr">
        <is>
          <t>腹杆拼接</t>
        </is>
      </c>
      <c r="C1353" s="43" t="inlineStr">
        <is>
          <t>节段18~节段19</t>
        </is>
      </c>
      <c r="D1353" s="43" t="inlineStr">
        <is>
          <t>Q355D</t>
        </is>
      </c>
      <c r="E1353" s="43" t="n">
        <v>1220</v>
      </c>
      <c r="F1353" s="43" t="n">
        <v>240</v>
      </c>
      <c r="G1353" s="43" t="n">
        <v>24</v>
      </c>
      <c r="H1353" s="79">
        <f>(E1353/1000)*(F1353/1000)*(G1353/1000)*7850</f>
        <v/>
      </c>
      <c r="I1353" s="43" t="n">
        <v>4</v>
      </c>
      <c r="J1353" s="80">
        <f>H1353*I1353</f>
        <v/>
      </c>
      <c r="K1353" s="43" t="inlineStr">
        <is>
          <t>来源页122</t>
        </is>
      </c>
      <c r="L1353" s="43">
        <f>A1353</f>
        <v/>
      </c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43" t="n"/>
    </row>
    <row r="1354">
      <c r="A1354" s="43" t="inlineStr">
        <is>
          <t>L8</t>
        </is>
      </c>
      <c r="B1354" s="43" t="inlineStr">
        <is>
          <t>腹杆拼接</t>
        </is>
      </c>
      <c r="C1354" s="43" t="inlineStr">
        <is>
          <t>节段18~节段19</t>
        </is>
      </c>
      <c r="D1354" s="43" t="inlineStr">
        <is>
          <t>Q355D</t>
        </is>
      </c>
      <c r="E1354" s="43" t="n">
        <v>1320</v>
      </c>
      <c r="F1354" s="43" t="n">
        <v>240</v>
      </c>
      <c r="G1354" s="43" t="n">
        <v>24</v>
      </c>
      <c r="H1354" s="79">
        <f>(E1354/1000)*(F1354/1000)*(G1354/1000)*7850</f>
        <v/>
      </c>
      <c r="I1354" s="43" t="n">
        <v>2</v>
      </c>
      <c r="J1354" s="80">
        <f>H1354*I1354</f>
        <v/>
      </c>
      <c r="K1354" s="43" t="inlineStr">
        <is>
          <t>来源页122</t>
        </is>
      </c>
      <c r="L1354" s="43">
        <f>A1354</f>
        <v/>
      </c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43" t="n"/>
    </row>
    <row r="1355">
      <c r="A1355" s="43" t="inlineStr"/>
      <c r="B1355" s="43" t="inlineStr"/>
      <c r="C1355" s="43" t="inlineStr">
        <is>
          <t>节段18~节段19</t>
        </is>
      </c>
      <c r="D1355" s="43" t="inlineStr">
        <is>
          <t>Q355D</t>
        </is>
      </c>
      <c r="E1355" s="43" t="n"/>
      <c r="F1355" s="43" t="n"/>
      <c r="G1355" s="43" t="n">
        <v>44</v>
      </c>
      <c r="H1355" s="79">
        <f>(E1355/1000)*(F1355/1000)*(G1355/1000)*7850</f>
        <v/>
      </c>
      <c r="I1355" s="43" t="n">
        <v>1</v>
      </c>
      <c r="J1355" s="80">
        <f>H1355*I1355</f>
        <v/>
      </c>
      <c r="K1355" s="43" t="inlineStr">
        <is>
          <t>来源页123</t>
        </is>
      </c>
      <c r="L1355" s="43">
        <f>A1355</f>
        <v/>
      </c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43" t="n"/>
    </row>
    <row r="1356">
      <c r="A1356" s="43" t="inlineStr"/>
      <c r="B1356" s="43" t="inlineStr"/>
      <c r="C1356" s="43" t="inlineStr">
        <is>
          <t>节段18~节段19</t>
        </is>
      </c>
      <c r="D1356" s="43" t="inlineStr">
        <is>
          <t>Q355D</t>
        </is>
      </c>
      <c r="E1356" s="43" t="n"/>
      <c r="F1356" s="43" t="n"/>
      <c r="G1356" s="43" t="n">
        <v>36</v>
      </c>
      <c r="H1356" s="79">
        <f>(E1356/1000)*(F1356/1000)*(G1356/1000)*7850</f>
        <v/>
      </c>
      <c r="I1356" s="43" t="n">
        <v>1</v>
      </c>
      <c r="J1356" s="80">
        <f>H1356*I1356</f>
        <v/>
      </c>
      <c r="K1356" s="43" t="inlineStr">
        <is>
          <t>来源页123</t>
        </is>
      </c>
      <c r="L1356" s="43">
        <f>A1356</f>
        <v/>
      </c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43" t="n"/>
    </row>
    <row r="1357">
      <c r="A1357" s="43" t="inlineStr"/>
      <c r="B1357" s="43" t="inlineStr"/>
      <c r="C1357" s="43" t="inlineStr">
        <is>
          <t>节段18~节段19</t>
        </is>
      </c>
      <c r="D1357" s="43" t="inlineStr">
        <is>
          <t>Q355D</t>
        </is>
      </c>
      <c r="E1357" s="43" t="n"/>
      <c r="F1357" s="43" t="n"/>
      <c r="G1357" s="43" t="n">
        <v>32</v>
      </c>
      <c r="H1357" s="79">
        <f>(E1357/1000)*(F1357/1000)*(G1357/1000)*7850</f>
        <v/>
      </c>
      <c r="I1357" s="43" t="n">
        <v>1</v>
      </c>
      <c r="J1357" s="80">
        <f>H1357*I1357</f>
        <v/>
      </c>
      <c r="K1357" s="43" t="inlineStr">
        <is>
          <t>来源页123</t>
        </is>
      </c>
      <c r="L1357" s="43">
        <f>A1357</f>
        <v/>
      </c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43" t="n"/>
    </row>
    <row r="1358">
      <c r="A1358" s="43" t="inlineStr"/>
      <c r="B1358" s="43" t="inlineStr"/>
      <c r="C1358" s="43" t="inlineStr">
        <is>
          <t>节段18~节段19</t>
        </is>
      </c>
      <c r="D1358" s="43" t="inlineStr">
        <is>
          <t>Q355D</t>
        </is>
      </c>
      <c r="E1358" s="43" t="n"/>
      <c r="F1358" s="43" t="n"/>
      <c r="G1358" s="43" t="n">
        <v>28</v>
      </c>
      <c r="H1358" s="79">
        <f>(E1358/1000)*(F1358/1000)*(G1358/1000)*7850</f>
        <v/>
      </c>
      <c r="I1358" s="43" t="n">
        <v>1</v>
      </c>
      <c r="J1358" s="80">
        <f>H1358*I1358</f>
        <v/>
      </c>
      <c r="K1358" s="43" t="inlineStr">
        <is>
          <t>来源页123</t>
        </is>
      </c>
      <c r="L1358" s="43">
        <f>A1358</f>
        <v/>
      </c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43" t="n"/>
    </row>
    <row r="1359">
      <c r="A1359" s="43" t="inlineStr"/>
      <c r="B1359" s="43" t="inlineStr"/>
      <c r="C1359" s="43" t="inlineStr">
        <is>
          <t>节段18~节段19</t>
        </is>
      </c>
      <c r="D1359" s="43" t="inlineStr">
        <is>
          <t>Q355D</t>
        </is>
      </c>
      <c r="E1359" s="43" t="n"/>
      <c r="F1359" s="43" t="n"/>
      <c r="G1359" s="43" t="n">
        <v>24</v>
      </c>
      <c r="H1359" s="79">
        <f>(E1359/1000)*(F1359/1000)*(G1359/1000)*7850</f>
        <v/>
      </c>
      <c r="I1359" s="43" t="n">
        <v>1</v>
      </c>
      <c r="J1359" s="80">
        <f>H1359*I1359</f>
        <v/>
      </c>
      <c r="K1359" s="43" t="inlineStr">
        <is>
          <t>来源页123</t>
        </is>
      </c>
      <c r="L1359" s="43">
        <f>A1359</f>
        <v/>
      </c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43" t="n"/>
    </row>
    <row r="1360">
      <c r="A1360" s="43" t="inlineStr"/>
      <c r="B1360" s="43" t="inlineStr"/>
      <c r="C1360" s="43" t="inlineStr">
        <is>
          <t>节段18~节段19</t>
        </is>
      </c>
      <c r="D1360" s="43" t="inlineStr">
        <is>
          <t>Q355D</t>
        </is>
      </c>
      <c r="E1360" s="43" t="n"/>
      <c r="F1360" s="43" t="n"/>
      <c r="G1360" s="43" t="n">
        <v>20</v>
      </c>
      <c r="H1360" s="79">
        <f>(E1360/1000)*(F1360/1000)*(G1360/1000)*7850</f>
        <v/>
      </c>
      <c r="I1360" s="43" t="n">
        <v>1</v>
      </c>
      <c r="J1360" s="80">
        <f>H1360*I1360</f>
        <v/>
      </c>
      <c r="K1360" s="43" t="inlineStr">
        <is>
          <t>来源页123</t>
        </is>
      </c>
      <c r="L1360" s="43">
        <f>A1360</f>
        <v/>
      </c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43" t="n"/>
    </row>
    <row r="1361">
      <c r="A1361" s="43" t="inlineStr"/>
      <c r="B1361" s="43" t="inlineStr"/>
      <c r="C1361" s="43" t="inlineStr">
        <is>
          <t>节段18~节段19</t>
        </is>
      </c>
      <c r="D1361" s="43" t="inlineStr">
        <is>
          <t>Q355D</t>
        </is>
      </c>
      <c r="E1361" s="43" t="n"/>
      <c r="F1361" s="43" t="n"/>
      <c r="G1361" s="43" t="n">
        <v>16</v>
      </c>
      <c r="H1361" s="79">
        <f>(E1361/1000)*(F1361/1000)*(G1361/1000)*7850</f>
        <v/>
      </c>
      <c r="I1361" s="43" t="n">
        <v>1</v>
      </c>
      <c r="J1361" s="80">
        <f>H1361*I1361</f>
        <v/>
      </c>
      <c r="K1361" s="43" t="inlineStr">
        <is>
          <t>来源页123</t>
        </is>
      </c>
      <c r="L1361" s="43">
        <f>A1361</f>
        <v/>
      </c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43" t="n"/>
    </row>
    <row r="1362">
      <c r="A1362" s="43" t="inlineStr"/>
      <c r="B1362" s="43" t="inlineStr"/>
      <c r="C1362" s="43" t="inlineStr">
        <is>
          <t>节段18~节段19</t>
        </is>
      </c>
      <c r="D1362" s="43" t="inlineStr">
        <is>
          <t>Q355D</t>
        </is>
      </c>
      <c r="E1362" s="43" t="n"/>
      <c r="F1362" s="43" t="n"/>
      <c r="G1362" s="43" t="n">
        <v>8</v>
      </c>
      <c r="H1362" s="79">
        <f>(E1362/1000)*(F1362/1000)*(G1362/1000)*7850</f>
        <v/>
      </c>
      <c r="I1362" s="43" t="n">
        <v>1</v>
      </c>
      <c r="J1362" s="80">
        <f>H1362*I1362</f>
        <v/>
      </c>
      <c r="K1362" s="43" t="inlineStr">
        <is>
          <t>来源页123</t>
        </is>
      </c>
      <c r="L1362" s="43">
        <f>A1362</f>
        <v/>
      </c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43" t="n"/>
    </row>
    <row r="1363">
      <c r="A1363" s="43" t="inlineStr"/>
      <c r="B1363" s="43" t="inlineStr"/>
      <c r="C1363" s="43" t="inlineStr">
        <is>
          <t>节段18~节段19</t>
        </is>
      </c>
      <c r="D1363" s="43" t="inlineStr">
        <is>
          <t>Q355D</t>
        </is>
      </c>
      <c r="E1363" s="43" t="n"/>
      <c r="F1363" s="43" t="n"/>
      <c r="G1363" s="43" t="n">
        <v>4</v>
      </c>
      <c r="H1363" s="79">
        <f>(E1363/1000)*(F1363/1000)*(G1363/1000)*7850</f>
        <v/>
      </c>
      <c r="I1363" s="43" t="n">
        <v>1</v>
      </c>
      <c r="J1363" s="80">
        <f>H1363*I1363</f>
        <v/>
      </c>
      <c r="K1363" s="43" t="inlineStr">
        <is>
          <t>来源页123</t>
        </is>
      </c>
      <c r="L1363" s="43">
        <f>A1363</f>
        <v/>
      </c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43" t="n"/>
    </row>
    <row r="1364">
      <c r="A1364" s="43" t="inlineStr"/>
      <c r="B1364" s="43" t="inlineStr"/>
      <c r="C1364" s="43" t="inlineStr">
        <is>
          <t>节段18~节段19</t>
        </is>
      </c>
      <c r="D1364" s="43" t="inlineStr">
        <is>
          <t>10.9S高强螺栓</t>
        </is>
      </c>
      <c r="E1364" s="43" t="n"/>
      <c r="F1364" s="43" t="n"/>
      <c r="G1364" s="43" t="n"/>
      <c r="H1364" s="79">
        <f>(E1364/1000)*(F1364/1000)*(G1364/1000)*7850</f>
        <v/>
      </c>
      <c r="I1364" s="43" t="n">
        <v>1</v>
      </c>
      <c r="J1364" s="80">
        <f>H1364*I1364</f>
        <v/>
      </c>
      <c r="K1364" s="43" t="inlineStr">
        <is>
          <t>来源页123</t>
        </is>
      </c>
      <c r="L1364" s="43">
        <f>A1364</f>
        <v/>
      </c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43" t="n"/>
    </row>
    <row r="1365">
      <c r="A1365" s="43" t="inlineStr"/>
      <c r="B1365" s="43" t="inlineStr"/>
      <c r="C1365" s="43" t="inlineStr">
        <is>
          <t>节段19</t>
        </is>
      </c>
      <c r="D1365" s="43" t="inlineStr">
        <is>
          <t>Q355D</t>
        </is>
      </c>
      <c r="E1365" s="43" t="n"/>
      <c r="F1365" s="43" t="n"/>
      <c r="G1365" s="43" t="n">
        <v>40</v>
      </c>
      <c r="H1365" s="79">
        <f>(E1365/1000)*(F1365/1000)*(G1365/1000)*7850</f>
        <v/>
      </c>
      <c r="I1365" s="43" t="n">
        <v>1</v>
      </c>
      <c r="J1365" s="80">
        <f>H1365*I1365</f>
        <v/>
      </c>
      <c r="K1365" s="43" t="inlineStr">
        <is>
          <t>来源页123</t>
        </is>
      </c>
      <c r="L1365" s="43">
        <f>A1365</f>
        <v/>
      </c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43" t="n"/>
    </row>
    <row r="1366">
      <c r="A1366" s="43" t="inlineStr"/>
      <c r="B1366" s="43" t="inlineStr"/>
      <c r="C1366" s="43" t="inlineStr">
        <is>
          <t>节段19</t>
        </is>
      </c>
      <c r="D1366" s="43" t="inlineStr">
        <is>
          <t>Q355D</t>
        </is>
      </c>
      <c r="E1366" s="43" t="n"/>
      <c r="F1366" s="43" t="n"/>
      <c r="G1366" s="43" t="n">
        <v>36</v>
      </c>
      <c r="H1366" s="79">
        <f>(E1366/1000)*(F1366/1000)*(G1366/1000)*7850</f>
        <v/>
      </c>
      <c r="I1366" s="43" t="n">
        <v>1</v>
      </c>
      <c r="J1366" s="80">
        <f>H1366*I1366</f>
        <v/>
      </c>
      <c r="K1366" s="43" t="inlineStr">
        <is>
          <t>来源页123</t>
        </is>
      </c>
      <c r="L1366" s="43">
        <f>A1366</f>
        <v/>
      </c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43" t="n"/>
    </row>
    <row r="1367">
      <c r="A1367" s="43" t="inlineStr"/>
      <c r="B1367" s="43" t="inlineStr"/>
      <c r="C1367" s="43" t="inlineStr">
        <is>
          <t>节段19</t>
        </is>
      </c>
      <c r="D1367" s="43" t="inlineStr">
        <is>
          <t>Q355D</t>
        </is>
      </c>
      <c r="E1367" s="43" t="n"/>
      <c r="F1367" s="43" t="n"/>
      <c r="G1367" s="43" t="n">
        <v>32</v>
      </c>
      <c r="H1367" s="79">
        <f>(E1367/1000)*(F1367/1000)*(G1367/1000)*7850</f>
        <v/>
      </c>
      <c r="I1367" s="43" t="n">
        <v>1</v>
      </c>
      <c r="J1367" s="80">
        <f>H1367*I1367</f>
        <v/>
      </c>
      <c r="K1367" s="43" t="inlineStr">
        <is>
          <t>来源页123</t>
        </is>
      </c>
      <c r="L1367" s="43">
        <f>A1367</f>
        <v/>
      </c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43" t="n"/>
    </row>
    <row r="1368">
      <c r="A1368" s="43" t="inlineStr"/>
      <c r="B1368" s="43" t="inlineStr"/>
      <c r="C1368" s="43" t="inlineStr">
        <is>
          <t>节段19</t>
        </is>
      </c>
      <c r="D1368" s="43" t="inlineStr">
        <is>
          <t>Q355D</t>
        </is>
      </c>
      <c r="E1368" s="43" t="n"/>
      <c r="F1368" s="43" t="n"/>
      <c r="G1368" s="43" t="n">
        <v>24</v>
      </c>
      <c r="H1368" s="79">
        <f>(E1368/1000)*(F1368/1000)*(G1368/1000)*7850</f>
        <v/>
      </c>
      <c r="I1368" s="43" t="n">
        <v>1</v>
      </c>
      <c r="J1368" s="80">
        <f>H1368*I1368</f>
        <v/>
      </c>
      <c r="K1368" s="43" t="inlineStr">
        <is>
          <t>来源页123</t>
        </is>
      </c>
      <c r="L1368" s="43">
        <f>A1368</f>
        <v/>
      </c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43" t="n"/>
    </row>
    <row r="1369">
      <c r="A1369" s="43" t="inlineStr"/>
      <c r="B1369" s="43" t="inlineStr"/>
      <c r="C1369" s="43" t="inlineStr">
        <is>
          <t>节段19</t>
        </is>
      </c>
      <c r="D1369" s="43" t="inlineStr">
        <is>
          <t>Q355D</t>
        </is>
      </c>
      <c r="E1369" s="43" t="n"/>
      <c r="F1369" s="43" t="n"/>
      <c r="G1369" s="43" t="n">
        <v>20</v>
      </c>
      <c r="H1369" s="79">
        <f>(E1369/1000)*(F1369/1000)*(G1369/1000)*7850</f>
        <v/>
      </c>
      <c r="I1369" s="43" t="n">
        <v>1</v>
      </c>
      <c r="J1369" s="80">
        <f>H1369*I1369</f>
        <v/>
      </c>
      <c r="K1369" s="43" t="inlineStr">
        <is>
          <t>来源页123</t>
        </is>
      </c>
      <c r="L1369" s="43">
        <f>A1369</f>
        <v/>
      </c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43" t="n"/>
    </row>
    <row r="1370">
      <c r="A1370" s="43" t="inlineStr"/>
      <c r="B1370" s="43" t="inlineStr"/>
      <c r="C1370" s="43" t="inlineStr">
        <is>
          <t>节段19</t>
        </is>
      </c>
      <c r="D1370" s="43" t="inlineStr">
        <is>
          <t>Q355D</t>
        </is>
      </c>
      <c r="E1370" s="43" t="n"/>
      <c r="F1370" s="43" t="n"/>
      <c r="G1370" s="43" t="n">
        <v>16</v>
      </c>
      <c r="H1370" s="79">
        <f>(E1370/1000)*(F1370/1000)*(G1370/1000)*7850</f>
        <v/>
      </c>
      <c r="I1370" s="43" t="n">
        <v>1</v>
      </c>
      <c r="J1370" s="80">
        <f>H1370*I1370</f>
        <v/>
      </c>
      <c r="K1370" s="43" t="inlineStr">
        <is>
          <t>来源页123</t>
        </is>
      </c>
      <c r="L1370" s="43">
        <f>A1370</f>
        <v/>
      </c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43" t="n"/>
    </row>
    <row r="1371">
      <c r="A1371" s="43" t="inlineStr"/>
      <c r="B1371" s="43" t="inlineStr"/>
      <c r="C1371" s="43" t="inlineStr">
        <is>
          <t>节段19</t>
        </is>
      </c>
      <c r="D1371" s="43" t="inlineStr">
        <is>
          <t>Q355D</t>
        </is>
      </c>
      <c r="E1371" s="43" t="n"/>
      <c r="F1371" s="43" t="n"/>
      <c r="G1371" s="43" t="n">
        <v>14</v>
      </c>
      <c r="H1371" s="79">
        <f>(E1371/1000)*(F1371/1000)*(G1371/1000)*7850</f>
        <v/>
      </c>
      <c r="I1371" s="43" t="n">
        <v>1</v>
      </c>
      <c r="J1371" s="80">
        <f>H1371*I1371</f>
        <v/>
      </c>
      <c r="K1371" s="43" t="inlineStr">
        <is>
          <t>来源页123</t>
        </is>
      </c>
      <c r="L1371" s="43">
        <f>A1371</f>
        <v/>
      </c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43" t="n"/>
    </row>
    <row r="1372">
      <c r="A1372" s="43" t="inlineStr"/>
      <c r="B1372" s="43" t="inlineStr"/>
      <c r="C1372" s="43" t="inlineStr">
        <is>
          <t>节段19</t>
        </is>
      </c>
      <c r="D1372" s="43" t="inlineStr">
        <is>
          <t>Q355D</t>
        </is>
      </c>
      <c r="E1372" s="43" t="n"/>
      <c r="F1372" s="43" t="n"/>
      <c r="G1372" s="43" t="n">
        <v>4</v>
      </c>
      <c r="H1372" s="79">
        <f>(E1372/1000)*(F1372/1000)*(G1372/1000)*7850</f>
        <v/>
      </c>
      <c r="I1372" s="43" t="n">
        <v>1</v>
      </c>
      <c r="J1372" s="80">
        <f>H1372*I1372</f>
        <v/>
      </c>
      <c r="K1372" s="43" t="inlineStr">
        <is>
          <t>来源页123</t>
        </is>
      </c>
      <c r="L1372" s="43">
        <f>A1372</f>
        <v/>
      </c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43" t="n"/>
    </row>
    <row r="1373">
      <c r="A1373" s="43" t="inlineStr"/>
      <c r="B1373" s="43" t="inlineStr"/>
      <c r="C1373" s="43" t="inlineStr">
        <is>
          <t>节段19</t>
        </is>
      </c>
      <c r="D1373" s="43" t="inlineStr">
        <is>
          <t>Q355D</t>
        </is>
      </c>
      <c r="E1373" s="43" t="n"/>
      <c r="F1373" s="43" t="n"/>
      <c r="G1373" s="43" t="n"/>
      <c r="H1373" s="79">
        <f>(E1373/1000)*(F1373/1000)*(G1373/1000)*7850</f>
        <v/>
      </c>
      <c r="I1373" s="43" t="n">
        <v>1</v>
      </c>
      <c r="J1373" s="80">
        <f>H1373*I1373</f>
        <v/>
      </c>
      <c r="K1373" s="43" t="inlineStr">
        <is>
          <t>来源页123</t>
        </is>
      </c>
      <c r="L1373" s="43">
        <f>A1373</f>
        <v/>
      </c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43" t="n"/>
    </row>
    <row r="1374">
      <c r="A1374" s="43" t="inlineStr">
        <is>
          <t>N11a</t>
        </is>
      </c>
      <c r="B1374" s="43" t="inlineStr">
        <is>
          <t>上弦顶板</t>
        </is>
      </c>
      <c r="C1374" s="43" t="inlineStr">
        <is>
          <t>节段19</t>
        </is>
      </c>
      <c r="D1374" s="43" t="inlineStr">
        <is>
          <t>Q355D</t>
        </is>
      </c>
      <c r="E1374" s="43" t="n"/>
      <c r="F1374" s="43" t="n"/>
      <c r="G1374" s="43" t="n">
        <v>20</v>
      </c>
      <c r="H1374" s="79">
        <f>(E1374/1000)*(F1374/1000)*(G1374/1000)*7850</f>
        <v/>
      </c>
      <c r="I1374" s="43" t="n">
        <v>1</v>
      </c>
      <c r="J1374" s="80">
        <f>H1374*I1374</f>
        <v/>
      </c>
      <c r="K1374" s="43" t="inlineStr">
        <is>
          <t>来源页123</t>
        </is>
      </c>
      <c r="L1374" s="43">
        <f>A1374</f>
        <v/>
      </c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43" t="n"/>
    </row>
    <row r="1375">
      <c r="A1375" s="43" t="inlineStr">
        <is>
          <t>N11b</t>
        </is>
      </c>
      <c r="B1375" s="43" t="inlineStr">
        <is>
          <t>上弦顶板</t>
        </is>
      </c>
      <c r="C1375" s="43" t="inlineStr">
        <is>
          <t>节段19</t>
        </is>
      </c>
      <c r="D1375" s="43" t="inlineStr">
        <is>
          <t>Q355D</t>
        </is>
      </c>
      <c r="E1375" s="43" t="n"/>
      <c r="F1375" s="43" t="n"/>
      <c r="G1375" s="43" t="n">
        <v>24</v>
      </c>
      <c r="H1375" s="79">
        <f>(E1375/1000)*(F1375/1000)*(G1375/1000)*7850</f>
        <v/>
      </c>
      <c r="I1375" s="43" t="n">
        <v>1</v>
      </c>
      <c r="J1375" s="80">
        <f>H1375*I1375</f>
        <v/>
      </c>
      <c r="K1375" s="43" t="inlineStr">
        <is>
          <t>来源页123</t>
        </is>
      </c>
      <c r="L1375" s="43">
        <f>A1375</f>
        <v/>
      </c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43" t="n"/>
    </row>
    <row r="1376">
      <c r="A1376" s="43" t="inlineStr">
        <is>
          <t>N12a</t>
        </is>
      </c>
      <c r="B1376" s="43" t="inlineStr">
        <is>
          <t>上弦底板</t>
        </is>
      </c>
      <c r="C1376" s="43" t="inlineStr">
        <is>
          <t>节段19</t>
        </is>
      </c>
      <c r="D1376" s="43" t="inlineStr">
        <is>
          <t>Q355D</t>
        </is>
      </c>
      <c r="E1376" s="43" t="n">
        <v>7900</v>
      </c>
      <c r="F1376" s="43" t="n">
        <v>1200</v>
      </c>
      <c r="G1376" s="43" t="n">
        <v>20</v>
      </c>
      <c r="H1376" s="79">
        <f>(E1376/1000)*(F1376/1000)*(G1376/1000)*7850</f>
        <v/>
      </c>
      <c r="I1376" s="43" t="n">
        <v>1</v>
      </c>
      <c r="J1376" s="80">
        <f>H1376*I1376</f>
        <v/>
      </c>
      <c r="K1376" s="43" t="inlineStr">
        <is>
          <t>来源页123</t>
        </is>
      </c>
      <c r="L1376" s="43">
        <f>A1376</f>
        <v/>
      </c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43" t="n"/>
    </row>
    <row r="1377">
      <c r="A1377" s="43" t="inlineStr">
        <is>
          <t>N12b</t>
        </is>
      </c>
      <c r="B1377" s="43" t="inlineStr">
        <is>
          <t>上弦底板</t>
        </is>
      </c>
      <c r="C1377" s="43" t="inlineStr">
        <is>
          <t>节段19</t>
        </is>
      </c>
      <c r="D1377" s="43" t="inlineStr">
        <is>
          <t>Q355D</t>
        </is>
      </c>
      <c r="E1377" s="43" t="n">
        <v>7100</v>
      </c>
      <c r="F1377" s="43" t="n">
        <v>1200</v>
      </c>
      <c r="G1377" s="43" t="n">
        <v>24</v>
      </c>
      <c r="H1377" s="79">
        <f>(E1377/1000)*(F1377/1000)*(G1377/1000)*7850</f>
        <v/>
      </c>
      <c r="I1377" s="43" t="n">
        <v>1</v>
      </c>
      <c r="J1377" s="80">
        <f>H1377*I1377</f>
        <v/>
      </c>
      <c r="K1377" s="43" t="inlineStr">
        <is>
          <t>来源页123</t>
        </is>
      </c>
      <c r="L1377" s="43">
        <f>A1377</f>
        <v/>
      </c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43" t="n"/>
    </row>
    <row r="1378">
      <c r="A1378" s="43" t="inlineStr">
        <is>
          <t>N13</t>
        </is>
      </c>
      <c r="B1378" s="43" t="inlineStr">
        <is>
          <t>上弦节点板</t>
        </is>
      </c>
      <c r="C1378" s="43" t="inlineStr">
        <is>
          <t>节段19</t>
        </is>
      </c>
      <c r="D1378" s="43" t="inlineStr">
        <is>
          <t>Q355D</t>
        </is>
      </c>
      <c r="E1378" s="43" t="n"/>
      <c r="F1378" s="43" t="n"/>
      <c r="G1378" s="43" t="n">
        <v>40</v>
      </c>
      <c r="H1378" s="79">
        <f>(E1378/1000)*(F1378/1000)*(G1378/1000)*7850</f>
        <v/>
      </c>
      <c r="I1378" s="43" t="n">
        <v>2</v>
      </c>
      <c r="J1378" s="80">
        <f>H1378*I1378</f>
        <v/>
      </c>
      <c r="K1378" s="43" t="inlineStr">
        <is>
          <t>来源页123</t>
        </is>
      </c>
      <c r="L1378" s="43">
        <f>A1378</f>
        <v/>
      </c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43" t="n"/>
    </row>
    <row r="1379">
      <c r="A1379" s="43" t="inlineStr">
        <is>
          <t>N14</t>
        </is>
      </c>
      <c r="B1379" s="43" t="inlineStr">
        <is>
          <t>上弦腹板</t>
        </is>
      </c>
      <c r="C1379" s="43" t="inlineStr">
        <is>
          <t>节段19</t>
        </is>
      </c>
      <c r="D1379" s="43" t="inlineStr">
        <is>
          <t>Q355D</t>
        </is>
      </c>
      <c r="E1379" s="43" t="n">
        <v>7300</v>
      </c>
      <c r="F1379" s="43" t="n">
        <v>2048</v>
      </c>
      <c r="G1379" s="43" t="n">
        <v>32</v>
      </c>
      <c r="H1379" s="79">
        <f>(E1379/1000)*(F1379/1000)*(G1379/1000)*7850</f>
        <v/>
      </c>
      <c r="I1379" s="43" t="n">
        <v>2</v>
      </c>
      <c r="J1379" s="80">
        <f>H1379*I1379</f>
        <v/>
      </c>
      <c r="K1379" s="43" t="inlineStr">
        <is>
          <t>来源页123</t>
        </is>
      </c>
      <c r="L1379" s="43">
        <f>A1379</f>
        <v/>
      </c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43" t="n"/>
    </row>
    <row r="1380">
      <c r="A1380" s="43" t="inlineStr">
        <is>
          <t>N15</t>
        </is>
      </c>
      <c r="B1380" s="43" t="inlineStr">
        <is>
          <t>上弦横隔板</t>
        </is>
      </c>
      <c r="C1380" s="43" t="inlineStr">
        <is>
          <t>节段19</t>
        </is>
      </c>
      <c r="D1380" s="43" t="inlineStr">
        <is>
          <t>Q355D</t>
        </is>
      </c>
      <c r="E1380" s="43" t="n">
        <v>1980</v>
      </c>
      <c r="F1380" s="43" t="n">
        <v>1200</v>
      </c>
      <c r="G1380" s="43" t="n">
        <v>16</v>
      </c>
      <c r="H1380" s="79">
        <f>(E1380/1000)*(F1380/1000)*(G1380/1000)*7850</f>
        <v/>
      </c>
      <c r="I1380" s="43" t="n">
        <v>3</v>
      </c>
      <c r="J1380" s="80">
        <f>H1380*I1380</f>
        <v/>
      </c>
      <c r="K1380" s="43" t="inlineStr">
        <is>
          <t>来源页123</t>
        </is>
      </c>
      <c r="L1380" s="43">
        <f>A1380</f>
        <v/>
      </c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43" t="n"/>
    </row>
    <row r="1381">
      <c r="A1381" s="43" t="inlineStr">
        <is>
          <t>N15a</t>
        </is>
      </c>
      <c r="B1381" s="43" t="inlineStr">
        <is>
          <t>上弦横隔板</t>
        </is>
      </c>
      <c r="C1381" s="43" t="inlineStr">
        <is>
          <t>节段19</t>
        </is>
      </c>
      <c r="D1381" s="43" t="inlineStr">
        <is>
          <t>Q355D</t>
        </is>
      </c>
      <c r="E1381" s="43" t="n">
        <v>1976</v>
      </c>
      <c r="F1381" s="43" t="n">
        <v>1200</v>
      </c>
      <c r="G1381" s="43" t="n">
        <v>16</v>
      </c>
      <c r="H1381" s="79">
        <f>(E1381/1000)*(F1381/1000)*(G1381/1000)*7850</f>
        <v/>
      </c>
      <c r="I1381" s="43" t="n">
        <v>2</v>
      </c>
      <c r="J1381" s="80">
        <f>H1381*I1381</f>
        <v/>
      </c>
      <c r="K1381" s="43" t="inlineStr">
        <is>
          <t>来源页123</t>
        </is>
      </c>
      <c r="L1381" s="43">
        <f>A1381</f>
        <v/>
      </c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43" t="n"/>
    </row>
    <row r="1382">
      <c r="A1382" s="43" t="inlineStr">
        <is>
          <t>N15‘</t>
        </is>
      </c>
      <c r="B1382" s="43" t="inlineStr">
        <is>
          <t>上弦横隔板</t>
        </is>
      </c>
      <c r="C1382" s="43" t="inlineStr">
        <is>
          <t>节段19</t>
        </is>
      </c>
      <c r="D1382" s="43" t="inlineStr">
        <is>
          <t>Q355D</t>
        </is>
      </c>
      <c r="E1382" s="43" t="n">
        <v>2057</v>
      </c>
      <c r="F1382" s="43" t="n">
        <v>200</v>
      </c>
      <c r="G1382" s="43" t="n">
        <v>16</v>
      </c>
      <c r="H1382" s="79">
        <f>(E1382/1000)*(F1382/1000)*(G1382/1000)*7850</f>
        <v/>
      </c>
      <c r="I1382" s="43" t="n">
        <v>3</v>
      </c>
      <c r="J1382" s="80">
        <f>H1382*I1382</f>
        <v/>
      </c>
      <c r="K1382" s="43" t="inlineStr">
        <is>
          <t>来源页123</t>
        </is>
      </c>
      <c r="L1382" s="43">
        <f>A1382</f>
        <v/>
      </c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43" t="n"/>
    </row>
    <row r="1383">
      <c r="A1383" s="43" t="inlineStr">
        <is>
          <t>N15b</t>
        </is>
      </c>
      <c r="B1383" s="43" t="inlineStr">
        <is>
          <t>上弦横隔板</t>
        </is>
      </c>
      <c r="C1383" s="43" t="inlineStr">
        <is>
          <t>节段19</t>
        </is>
      </c>
      <c r="D1383" s="43" t="inlineStr">
        <is>
          <t>Q355B</t>
        </is>
      </c>
      <c r="E1383" s="43" t="n">
        <v>2057</v>
      </c>
      <c r="F1383" s="43" t="n">
        <v>40</v>
      </c>
      <c r="G1383" s="43" t="n">
        <v>4</v>
      </c>
      <c r="H1383" s="79">
        <f>(E1383/1000)*(F1383/1000)*(G1383/1000)*7850</f>
        <v/>
      </c>
      <c r="I1383" s="43" t="n">
        <v>4</v>
      </c>
      <c r="J1383" s="80">
        <f>H1383*I1383</f>
        <v/>
      </c>
      <c r="K1383" s="43" t="inlineStr">
        <is>
          <t>来源页123</t>
        </is>
      </c>
      <c r="L1383" s="43">
        <f>A1383</f>
        <v/>
      </c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43" t="n"/>
    </row>
    <row r="1384">
      <c r="A1384" s="43" t="inlineStr">
        <is>
          <t>N15c</t>
        </is>
      </c>
      <c r="B1384" s="43" t="inlineStr">
        <is>
          <t>上弦横隔板</t>
        </is>
      </c>
      <c r="C1384" s="43" t="inlineStr">
        <is>
          <t>节段19</t>
        </is>
      </c>
      <c r="D1384" s="43" t="inlineStr">
        <is>
          <t>Q355D</t>
        </is>
      </c>
      <c r="E1384" s="43" t="n">
        <v>800</v>
      </c>
      <c r="F1384" s="43" t="n">
        <v>400</v>
      </c>
      <c r="G1384" s="43" t="n">
        <v>16</v>
      </c>
      <c r="H1384" s="79">
        <f>(E1384/1000)*(F1384/1000)*(G1384/1000)*7850</f>
        <v/>
      </c>
      <c r="I1384" s="43" t="n">
        <v>4</v>
      </c>
      <c r="J1384" s="80">
        <f>H1384*I1384</f>
        <v/>
      </c>
      <c r="K1384" s="43" t="inlineStr">
        <is>
          <t>来源页123</t>
        </is>
      </c>
      <c r="L1384" s="43">
        <f>A1384</f>
        <v/>
      </c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43" t="n"/>
    </row>
    <row r="1385">
      <c r="A1385" s="43" t="inlineStr">
        <is>
          <t>N16a</t>
        </is>
      </c>
      <c r="B1385" s="43" t="inlineStr">
        <is>
          <t>上弦加劲肋</t>
        </is>
      </c>
      <c r="C1385" s="43" t="inlineStr">
        <is>
          <t>节段19</t>
        </is>
      </c>
      <c r="D1385" s="43" t="inlineStr">
        <is>
          <t>Q355D</t>
        </is>
      </c>
      <c r="E1385" s="43" t="n">
        <v>7900</v>
      </c>
      <c r="F1385" s="43" t="n">
        <v>240</v>
      </c>
      <c r="G1385" s="43" t="n">
        <v>20</v>
      </c>
      <c r="H1385" s="79">
        <f>(E1385/1000)*(F1385/1000)*(G1385/1000)*7850</f>
        <v/>
      </c>
      <c r="I1385" s="43" t="n">
        <v>6</v>
      </c>
      <c r="J1385" s="80">
        <f>H1385*I1385</f>
        <v/>
      </c>
      <c r="K1385" s="43" t="inlineStr">
        <is>
          <t>来源页123</t>
        </is>
      </c>
      <c r="L1385" s="43">
        <f>A1385</f>
        <v/>
      </c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43" t="n"/>
    </row>
    <row r="1386">
      <c r="A1386" s="43" t="inlineStr">
        <is>
          <t>N21a</t>
        </is>
      </c>
      <c r="B1386" s="43" t="inlineStr">
        <is>
          <t>下弦顶板</t>
        </is>
      </c>
      <c r="C1386" s="43" t="inlineStr">
        <is>
          <t>节段19</t>
        </is>
      </c>
      <c r="D1386" s="43" t="inlineStr">
        <is>
          <t>Q355D</t>
        </is>
      </c>
      <c r="E1386" s="43" t="n">
        <v>7900</v>
      </c>
      <c r="F1386" s="43" t="n">
        <v>2500</v>
      </c>
      <c r="G1386" s="43" t="n">
        <v>20</v>
      </c>
      <c r="H1386" s="79">
        <f>(E1386/1000)*(F1386/1000)*(G1386/1000)*7850</f>
        <v/>
      </c>
      <c r="I1386" s="43" t="n">
        <v>1</v>
      </c>
      <c r="J1386" s="80">
        <f>H1386*I1386</f>
        <v/>
      </c>
      <c r="K1386" s="43" t="inlineStr">
        <is>
          <t>来源页123</t>
        </is>
      </c>
      <c r="L1386" s="43">
        <f>A1386</f>
        <v/>
      </c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43" t="n"/>
    </row>
    <row r="1387">
      <c r="A1387" s="43" t="inlineStr">
        <is>
          <t>N21b</t>
        </is>
      </c>
      <c r="B1387" s="43" t="inlineStr">
        <is>
          <t>下弦顶板</t>
        </is>
      </c>
      <c r="C1387" s="43" t="inlineStr">
        <is>
          <t>节段19</t>
        </is>
      </c>
      <c r="D1387" s="43" t="inlineStr">
        <is>
          <t>Q355D</t>
        </is>
      </c>
      <c r="E1387" s="43" t="n">
        <v>7100</v>
      </c>
      <c r="F1387" s="43" t="n">
        <v>2500</v>
      </c>
      <c r="G1387" s="43" t="n">
        <v>20</v>
      </c>
      <c r="H1387" s="79">
        <f>(E1387/1000)*(F1387/1000)*(G1387/1000)*7850</f>
        <v/>
      </c>
      <c r="I1387" s="43" t="n">
        <v>1</v>
      </c>
      <c r="J1387" s="80">
        <f>H1387*I1387</f>
        <v/>
      </c>
      <c r="K1387" s="43" t="inlineStr">
        <is>
          <t>来源页123</t>
        </is>
      </c>
      <c r="L1387" s="43">
        <f>A1387</f>
        <v/>
      </c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43" t="n"/>
    </row>
    <row r="1388">
      <c r="A1388" s="43" t="inlineStr">
        <is>
          <t>N22a</t>
        </is>
      </c>
      <c r="B1388" s="43" t="inlineStr">
        <is>
          <t>下弦底板</t>
        </is>
      </c>
      <c r="C1388" s="43" t="inlineStr">
        <is>
          <t>节段19</t>
        </is>
      </c>
      <c r="D1388" s="43" t="inlineStr">
        <is>
          <t>Q355D</t>
        </is>
      </c>
      <c r="E1388" s="43" t="n"/>
      <c r="F1388" s="43" t="n"/>
      <c r="G1388" s="43" t="n">
        <v>20</v>
      </c>
      <c r="H1388" s="79">
        <f>(E1388/1000)*(F1388/1000)*(G1388/1000)*7850</f>
        <v/>
      </c>
      <c r="I1388" s="43" t="n">
        <v>1</v>
      </c>
      <c r="J1388" s="80">
        <f>H1388*I1388</f>
        <v/>
      </c>
      <c r="K1388" s="43" t="inlineStr">
        <is>
          <t>来源页123</t>
        </is>
      </c>
      <c r="L1388" s="43">
        <f>A1388</f>
        <v/>
      </c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43" t="n"/>
    </row>
    <row r="1389">
      <c r="A1389" s="43" t="inlineStr">
        <is>
          <t>N22b</t>
        </is>
      </c>
      <c r="B1389" s="43" t="inlineStr">
        <is>
          <t>下弦底板</t>
        </is>
      </c>
      <c r="C1389" s="43" t="inlineStr">
        <is>
          <t>节段19</t>
        </is>
      </c>
      <c r="D1389" s="43" t="inlineStr">
        <is>
          <t>Q355D</t>
        </is>
      </c>
      <c r="E1389" s="43" t="n"/>
      <c r="F1389" s="43" t="n"/>
      <c r="G1389" s="43" t="n">
        <v>20</v>
      </c>
      <c r="H1389" s="79">
        <f>(E1389/1000)*(F1389/1000)*(G1389/1000)*7850</f>
        <v/>
      </c>
      <c r="I1389" s="43" t="n">
        <v>1</v>
      </c>
      <c r="J1389" s="80">
        <f>H1389*I1389</f>
        <v/>
      </c>
      <c r="K1389" s="43" t="inlineStr">
        <is>
          <t>来源页123</t>
        </is>
      </c>
      <c r="L1389" s="43">
        <f>A1389</f>
        <v/>
      </c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43" t="n"/>
    </row>
    <row r="1390">
      <c r="A1390" s="43" t="inlineStr">
        <is>
          <t>N23</t>
        </is>
      </c>
      <c r="B1390" s="43" t="inlineStr">
        <is>
          <t>下弦节点板</t>
        </is>
      </c>
      <c r="C1390" s="43" t="inlineStr">
        <is>
          <t>节段19</t>
        </is>
      </c>
      <c r="D1390" s="43" t="inlineStr">
        <is>
          <t>Q355D</t>
        </is>
      </c>
      <c r="E1390" s="43" t="n"/>
      <c r="F1390" s="43" t="n"/>
      <c r="G1390" s="43" t="n">
        <v>40</v>
      </c>
      <c r="H1390" s="79">
        <f>(E1390/1000)*(F1390/1000)*(G1390/1000)*7850</f>
        <v/>
      </c>
      <c r="I1390" s="43" t="n">
        <v>2</v>
      </c>
      <c r="J1390" s="80">
        <f>H1390*I1390</f>
        <v/>
      </c>
      <c r="K1390" s="43" t="inlineStr">
        <is>
          <t>Z35钢；来源页123</t>
        </is>
      </c>
      <c r="L1390" s="43">
        <f>A1390</f>
        <v/>
      </c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43" t="n"/>
    </row>
    <row r="1391">
      <c r="A1391" s="43" t="inlineStr">
        <is>
          <t>N24</t>
        </is>
      </c>
      <c r="B1391" s="43" t="inlineStr">
        <is>
          <t>下弦腹板</t>
        </is>
      </c>
      <c r="C1391" s="43" t="inlineStr">
        <is>
          <t>节段19</t>
        </is>
      </c>
      <c r="D1391" s="43" t="inlineStr">
        <is>
          <t>Q355D</t>
        </is>
      </c>
      <c r="E1391" s="43" t="n">
        <v>7300</v>
      </c>
      <c r="F1391" s="43" t="n">
        <v>1880</v>
      </c>
      <c r="G1391" s="43" t="n">
        <v>24</v>
      </c>
      <c r="H1391" s="79">
        <f>(E1391/1000)*(F1391/1000)*(G1391/1000)*7850</f>
        <v/>
      </c>
      <c r="I1391" s="43" t="n">
        <v>2</v>
      </c>
      <c r="J1391" s="80">
        <f>H1391*I1391</f>
        <v/>
      </c>
      <c r="K1391" s="43" t="inlineStr">
        <is>
          <t>来源页123</t>
        </is>
      </c>
      <c r="L1391" s="43">
        <f>A1391</f>
        <v/>
      </c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43" t="n"/>
    </row>
    <row r="1392">
      <c r="A1392" s="43" t="inlineStr">
        <is>
          <t>N25</t>
        </is>
      </c>
      <c r="B1392" s="43" t="inlineStr">
        <is>
          <t>下弦横隔板</t>
        </is>
      </c>
      <c r="C1392" s="43" t="inlineStr">
        <is>
          <t>节段19</t>
        </is>
      </c>
      <c r="D1392" s="43" t="inlineStr">
        <is>
          <t>Q355D</t>
        </is>
      </c>
      <c r="E1392" s="43" t="n">
        <v>1800</v>
      </c>
      <c r="F1392" s="43" t="n">
        <v>1200</v>
      </c>
      <c r="G1392" s="43" t="n">
        <v>16</v>
      </c>
      <c r="H1392" s="79">
        <f>(E1392/1000)*(F1392/1000)*(G1392/1000)*7850</f>
        <v/>
      </c>
      <c r="I1392" s="43" t="n">
        <v>3</v>
      </c>
      <c r="J1392" s="80">
        <f>H1392*I1392</f>
        <v/>
      </c>
      <c r="K1392" s="43" t="inlineStr">
        <is>
          <t>来源页123</t>
        </is>
      </c>
      <c r="L1392" s="43">
        <f>A1392</f>
        <v/>
      </c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43" t="n"/>
    </row>
    <row r="1393">
      <c r="A1393" s="43" t="inlineStr">
        <is>
          <t>N25a</t>
        </is>
      </c>
      <c r="B1393" s="43" t="inlineStr">
        <is>
          <t>下弦横隔板</t>
        </is>
      </c>
      <c r="C1393" s="43" t="inlineStr">
        <is>
          <t>节段19</t>
        </is>
      </c>
      <c r="D1393" s="43" t="inlineStr">
        <is>
          <t>Q355D</t>
        </is>
      </c>
      <c r="E1393" s="43" t="n">
        <v>1800</v>
      </c>
      <c r="F1393" s="43" t="n">
        <v>1200</v>
      </c>
      <c r="G1393" s="43" t="n">
        <v>16</v>
      </c>
      <c r="H1393" s="79">
        <f>(E1393/1000)*(F1393/1000)*(G1393/1000)*7850</f>
        <v/>
      </c>
      <c r="I1393" s="43" t="n">
        <v>2</v>
      </c>
      <c r="J1393" s="80">
        <f>H1393*I1393</f>
        <v/>
      </c>
      <c r="K1393" s="43" t="inlineStr">
        <is>
          <t>来源页123</t>
        </is>
      </c>
      <c r="L1393" s="43">
        <f>A1393</f>
        <v/>
      </c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43" t="n"/>
    </row>
    <row r="1394">
      <c r="A1394" s="43" t="inlineStr">
        <is>
          <t>N25'</t>
        </is>
      </c>
      <c r="B1394" s="43" t="inlineStr">
        <is>
          <t>下弦横隔板</t>
        </is>
      </c>
      <c r="C1394" s="43" t="inlineStr">
        <is>
          <t>节段19</t>
        </is>
      </c>
      <c r="D1394" s="43" t="inlineStr">
        <is>
          <t>Q355D</t>
        </is>
      </c>
      <c r="E1394" s="43" t="n">
        <v>2057</v>
      </c>
      <c r="F1394" s="43" t="n">
        <v>200</v>
      </c>
      <c r="G1394" s="43" t="n">
        <v>16</v>
      </c>
      <c r="H1394" s="79">
        <f>(E1394/1000)*(F1394/1000)*(G1394/1000)*7850</f>
        <v/>
      </c>
      <c r="I1394" s="43" t="n">
        <v>5</v>
      </c>
      <c r="J1394" s="80">
        <f>H1394*I1394</f>
        <v/>
      </c>
      <c r="K1394" s="43" t="inlineStr">
        <is>
          <t>来源页123</t>
        </is>
      </c>
      <c r="L1394" s="43">
        <f>A1394</f>
        <v/>
      </c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43" t="n"/>
    </row>
    <row r="1395">
      <c r="A1395" s="43" t="inlineStr">
        <is>
          <t>N26a</t>
        </is>
      </c>
      <c r="B1395" s="43" t="inlineStr">
        <is>
          <t>下弦加劲肋</t>
        </is>
      </c>
      <c r="C1395" s="43" t="inlineStr">
        <is>
          <t>节段19</t>
        </is>
      </c>
      <c r="D1395" s="43" t="inlineStr">
        <is>
          <t>Q355D</t>
        </is>
      </c>
      <c r="E1395" s="43" t="n">
        <v>7900</v>
      </c>
      <c r="F1395" s="43" t="n">
        <v>320</v>
      </c>
      <c r="G1395" s="43" t="n">
        <v>32</v>
      </c>
      <c r="H1395" s="79">
        <f>(E1395/1000)*(F1395/1000)*(G1395/1000)*7850</f>
        <v/>
      </c>
      <c r="I1395" s="43" t="n">
        <v>4</v>
      </c>
      <c r="J1395" s="80">
        <f>H1395*I1395</f>
        <v/>
      </c>
      <c r="K1395" s="43" t="inlineStr">
        <is>
          <t>来源页123</t>
        </is>
      </c>
      <c r="L1395" s="43">
        <f>A1395</f>
        <v/>
      </c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43" t="n"/>
    </row>
    <row r="1396">
      <c r="A1396" s="43" t="inlineStr">
        <is>
          <t>N26b</t>
        </is>
      </c>
      <c r="B1396" s="43" t="inlineStr">
        <is>
          <t>下弦加劲肋</t>
        </is>
      </c>
      <c r="C1396" s="43" t="inlineStr">
        <is>
          <t>节段19</t>
        </is>
      </c>
      <c r="D1396" s="43" t="inlineStr">
        <is>
          <t>Q355D</t>
        </is>
      </c>
      <c r="E1396" s="43" t="n">
        <v>7100</v>
      </c>
      <c r="F1396" s="43" t="n">
        <v>240</v>
      </c>
      <c r="G1396" s="43" t="n">
        <v>20</v>
      </c>
      <c r="H1396" s="79">
        <f>(E1396/1000)*(F1396/1000)*(G1396/1000)*7850</f>
        <v/>
      </c>
      <c r="I1396" s="43" t="n">
        <v>4</v>
      </c>
      <c r="J1396" s="80">
        <f>H1396*I1396</f>
        <v/>
      </c>
      <c r="K1396" s="43" t="inlineStr">
        <is>
          <t>来源页123</t>
        </is>
      </c>
      <c r="L1396" s="43">
        <f>A1396</f>
        <v/>
      </c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43" t="n"/>
    </row>
    <row r="1397">
      <c r="A1397" s="43" t="inlineStr">
        <is>
          <t>N26c</t>
        </is>
      </c>
      <c r="B1397" s="43" t="inlineStr">
        <is>
          <t>下弦加劲肋</t>
        </is>
      </c>
      <c r="C1397" s="43" t="inlineStr">
        <is>
          <t>节段19</t>
        </is>
      </c>
      <c r="D1397" s="43" t="inlineStr">
        <is>
          <t>Q355D</t>
        </is>
      </c>
      <c r="E1397" s="43" t="n">
        <v>15000</v>
      </c>
      <c r="F1397" s="43" t="n">
        <v>170</v>
      </c>
      <c r="G1397" s="43" t="n">
        <v>14</v>
      </c>
      <c r="H1397" s="79">
        <f>(E1397/1000)*(F1397/1000)*(G1397/1000)*7850</f>
        <v/>
      </c>
      <c r="I1397" s="43" t="n">
        <v>2</v>
      </c>
      <c r="J1397" s="80">
        <f>H1397*I1397</f>
        <v/>
      </c>
      <c r="K1397" s="43" t="inlineStr">
        <is>
          <t>来源页123</t>
        </is>
      </c>
      <c r="L1397" s="43">
        <f>A1397</f>
        <v/>
      </c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43" t="n"/>
    </row>
    <row r="1398">
      <c r="A1398" s="43" t="inlineStr">
        <is>
          <t>N31</t>
        </is>
      </c>
      <c r="B1398" s="43" t="inlineStr">
        <is>
          <t>斜腹杆</t>
        </is>
      </c>
      <c r="C1398" s="43" t="inlineStr">
        <is>
          <t>节段19</t>
        </is>
      </c>
      <c r="D1398" s="43" t="inlineStr">
        <is>
          <t>Q355D</t>
        </is>
      </c>
      <c r="E1398" s="43" t="n">
        <v>10818</v>
      </c>
      <c r="F1398" s="43" t="n">
        <v>1200</v>
      </c>
      <c r="G1398" s="43" t="n">
        <v>36</v>
      </c>
      <c r="H1398" s="79">
        <f>(E1398/1000)*(F1398/1000)*(G1398/1000)*7850</f>
        <v/>
      </c>
      <c r="I1398" s="43" t="n">
        <v>1</v>
      </c>
      <c r="J1398" s="80">
        <f>H1398*I1398</f>
        <v/>
      </c>
      <c r="K1398" s="43" t="inlineStr">
        <is>
          <t>来源页123</t>
        </is>
      </c>
      <c r="L1398" s="43">
        <f>A1398</f>
        <v/>
      </c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43" t="n"/>
    </row>
    <row r="1399">
      <c r="A1399" s="43" t="inlineStr">
        <is>
          <t>N31a</t>
        </is>
      </c>
      <c r="B1399" s="43" t="inlineStr">
        <is>
          <t>斜腹杆</t>
        </is>
      </c>
      <c r="C1399" s="43" t="inlineStr">
        <is>
          <t>节段19</t>
        </is>
      </c>
      <c r="D1399" s="43" t="inlineStr">
        <is>
          <t>Q355D</t>
        </is>
      </c>
      <c r="E1399" s="43" t="n">
        <v>11018</v>
      </c>
      <c r="F1399" s="43" t="n">
        <v>1200</v>
      </c>
      <c r="G1399" s="43" t="n">
        <v>36</v>
      </c>
      <c r="H1399" s="79">
        <f>(E1399/1000)*(F1399/1000)*(G1399/1000)*7850</f>
        <v/>
      </c>
      <c r="I1399" s="43" t="n">
        <v>1</v>
      </c>
      <c r="J1399" s="80">
        <f>H1399*I1399</f>
        <v/>
      </c>
      <c r="K1399" s="43" t="inlineStr">
        <is>
          <t>来源页123</t>
        </is>
      </c>
      <c r="L1399" s="43">
        <f>A1399</f>
        <v/>
      </c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43" t="n"/>
    </row>
    <row r="1400">
      <c r="A1400" s="43" t="inlineStr">
        <is>
          <t>N32</t>
        </is>
      </c>
      <c r="B1400" s="43" t="inlineStr">
        <is>
          <t>斜腹杆</t>
        </is>
      </c>
      <c r="C1400" s="43" t="inlineStr">
        <is>
          <t>节段19</t>
        </is>
      </c>
      <c r="D1400" s="43" t="inlineStr">
        <is>
          <t>Q355D</t>
        </is>
      </c>
      <c r="E1400" s="43" t="n">
        <v>7218</v>
      </c>
      <c r="F1400" s="43" t="n">
        <v>1360</v>
      </c>
      <c r="G1400" s="43" t="n">
        <v>36</v>
      </c>
      <c r="H1400" s="79">
        <f>(E1400/1000)*(F1400/1000)*(G1400/1000)*7850</f>
        <v/>
      </c>
      <c r="I1400" s="43" t="n">
        <v>2</v>
      </c>
      <c r="J1400" s="80">
        <f>H1400*I1400</f>
        <v/>
      </c>
      <c r="K1400" s="43" t="inlineStr">
        <is>
          <t>来源页123</t>
        </is>
      </c>
      <c r="L1400" s="43">
        <f>A1400</f>
        <v/>
      </c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43" t="n"/>
    </row>
    <row r="1401">
      <c r="A1401" s="43" t="inlineStr">
        <is>
          <t>N33</t>
        </is>
      </c>
      <c r="B1401" s="43" t="inlineStr">
        <is>
          <t>斜腹杆</t>
        </is>
      </c>
      <c r="C1401" s="43" t="inlineStr">
        <is>
          <t>节段19</t>
        </is>
      </c>
      <c r="D1401" s="43" t="inlineStr">
        <is>
          <t>Q355D</t>
        </is>
      </c>
      <c r="E1401" s="43" t="n">
        <v>7218</v>
      </c>
      <c r="F1401" s="43" t="n">
        <v>320</v>
      </c>
      <c r="G1401" s="43" t="n">
        <v>32</v>
      </c>
      <c r="H1401" s="79">
        <f>(E1401/1000)*(F1401/1000)*(G1401/1000)*7850</f>
        <v/>
      </c>
      <c r="I1401" s="43" t="n">
        <v>2</v>
      </c>
      <c r="J1401" s="80">
        <f>H1401*I1401</f>
        <v/>
      </c>
      <c r="K1401" s="43" t="inlineStr">
        <is>
          <t>来源页123</t>
        </is>
      </c>
      <c r="L1401" s="43">
        <f>A1401</f>
        <v/>
      </c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43" t="n"/>
    </row>
    <row r="1402">
      <c r="A1402" s="43" t="inlineStr">
        <is>
          <t>N33a</t>
        </is>
      </c>
      <c r="B1402" s="43" t="inlineStr">
        <is>
          <t>斜腹杆</t>
        </is>
      </c>
      <c r="C1402" s="43" t="inlineStr">
        <is>
          <t>节段19</t>
        </is>
      </c>
      <c r="D1402" s="43" t="inlineStr">
        <is>
          <t>Q355D</t>
        </is>
      </c>
      <c r="E1402" s="43" t="n">
        <v>9418</v>
      </c>
      <c r="F1402" s="43" t="n">
        <v>320</v>
      </c>
      <c r="G1402" s="43" t="n">
        <v>32</v>
      </c>
      <c r="H1402" s="79">
        <f>(E1402/1000)*(F1402/1000)*(G1402/1000)*7850</f>
        <v/>
      </c>
      <c r="I1402" s="43" t="n">
        <v>1</v>
      </c>
      <c r="J1402" s="80">
        <f>H1402*I1402</f>
        <v/>
      </c>
      <c r="K1402" s="43" t="inlineStr">
        <is>
          <t>来源页123</t>
        </is>
      </c>
      <c r="L1402" s="43">
        <f>A1402</f>
        <v/>
      </c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43" t="n"/>
    </row>
    <row r="1403">
      <c r="A1403" s="43" t="inlineStr">
        <is>
          <t>N33b</t>
        </is>
      </c>
      <c r="B1403" s="43" t="inlineStr">
        <is>
          <t>斜腹杆</t>
        </is>
      </c>
      <c r="C1403" s="43" t="inlineStr">
        <is>
          <t>节段19</t>
        </is>
      </c>
      <c r="D1403" s="43" t="inlineStr">
        <is>
          <t>Q355D</t>
        </is>
      </c>
      <c r="E1403" s="43" t="n">
        <v>9618</v>
      </c>
      <c r="F1403" s="43" t="n">
        <v>320</v>
      </c>
      <c r="G1403" s="43" t="n">
        <v>32</v>
      </c>
      <c r="H1403" s="79">
        <f>(E1403/1000)*(F1403/1000)*(G1403/1000)*7850</f>
        <v/>
      </c>
      <c r="I1403" s="43" t="n">
        <v>1</v>
      </c>
      <c r="J1403" s="80">
        <f>H1403*I1403</f>
        <v/>
      </c>
      <c r="K1403" s="43" t="inlineStr">
        <is>
          <t>来源页123</t>
        </is>
      </c>
      <c r="L1403" s="43">
        <f>A1403</f>
        <v/>
      </c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43" t="n"/>
    </row>
    <row r="1404">
      <c r="A1404" s="43" t="inlineStr">
        <is>
          <t>N34</t>
        </is>
      </c>
      <c r="B1404" s="43" t="inlineStr">
        <is>
          <t>斜腹杆</t>
        </is>
      </c>
      <c r="C1404" s="43" t="inlineStr">
        <is>
          <t>节段19</t>
        </is>
      </c>
      <c r="D1404" s="43" t="inlineStr">
        <is>
          <t>Q355D</t>
        </is>
      </c>
      <c r="E1404" s="43" t="n">
        <v>1200</v>
      </c>
      <c r="F1404" s="43" t="n">
        <v>1200</v>
      </c>
      <c r="G1404" s="43" t="n">
        <v>16</v>
      </c>
      <c r="H1404" s="79">
        <f>(E1404/1000)*(F1404/1000)*(G1404/1000)*7850</f>
        <v/>
      </c>
      <c r="I1404" s="43" t="n">
        <v>3</v>
      </c>
      <c r="J1404" s="80">
        <f>H1404*I1404</f>
        <v/>
      </c>
      <c r="K1404" s="43" t="inlineStr">
        <is>
          <t>来源页123</t>
        </is>
      </c>
      <c r="L1404" s="43">
        <f>A1404</f>
        <v/>
      </c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43" t="n"/>
    </row>
    <row r="1405">
      <c r="A1405" s="43" t="inlineStr">
        <is>
          <t>N41</t>
        </is>
      </c>
      <c r="B1405" s="43" t="inlineStr">
        <is>
          <t>斜腹杆</t>
        </is>
      </c>
      <c r="C1405" s="43" t="inlineStr">
        <is>
          <t>节段19</t>
        </is>
      </c>
      <c r="D1405" s="43" t="inlineStr">
        <is>
          <t>Q355D</t>
        </is>
      </c>
      <c r="E1405" s="43" t="n">
        <v>3640</v>
      </c>
      <c r="F1405" s="43" t="n">
        <v>900</v>
      </c>
      <c r="G1405" s="43" t="n">
        <v>36</v>
      </c>
      <c r="H1405" s="79">
        <f>(E1405/1000)*(F1405/1000)*(G1405/1000)*7850</f>
        <v/>
      </c>
      <c r="I1405" s="43" t="n">
        <v>2</v>
      </c>
      <c r="J1405" s="80">
        <f>H1405*I1405</f>
        <v/>
      </c>
      <c r="K1405" s="43" t="inlineStr">
        <is>
          <t>来源页123</t>
        </is>
      </c>
      <c r="L1405" s="43">
        <f>A1405</f>
        <v/>
      </c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43" t="n"/>
    </row>
    <row r="1406">
      <c r="A1406" s="43" t="inlineStr">
        <is>
          <t>N42</t>
        </is>
      </c>
      <c r="B1406" s="43" t="inlineStr">
        <is>
          <t>斜腹杆</t>
        </is>
      </c>
      <c r="C1406" s="43" t="inlineStr">
        <is>
          <t>节段19</t>
        </is>
      </c>
      <c r="D1406" s="43" t="inlineStr">
        <is>
          <t>Q355D</t>
        </is>
      </c>
      <c r="E1406" s="43" t="n">
        <v>5940</v>
      </c>
      <c r="F1406" s="43" t="n">
        <v>1200</v>
      </c>
      <c r="G1406" s="43" t="n">
        <v>32</v>
      </c>
      <c r="H1406" s="79">
        <f>(E1406/1000)*(F1406/1000)*(G1406/1000)*7850</f>
        <v/>
      </c>
      <c r="I1406" s="43" t="n">
        <v>1</v>
      </c>
      <c r="J1406" s="80">
        <f>H1406*I1406</f>
        <v/>
      </c>
      <c r="K1406" s="43" t="inlineStr">
        <is>
          <t>来源页123</t>
        </is>
      </c>
      <c r="L1406" s="43">
        <f>A1406</f>
        <v/>
      </c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43" t="n"/>
    </row>
    <row r="1407">
      <c r="A1407" s="43" t="inlineStr">
        <is>
          <t>N43</t>
        </is>
      </c>
      <c r="B1407" s="43" t="inlineStr">
        <is>
          <t>斜腹杆</t>
        </is>
      </c>
      <c r="C1407" s="43" t="inlineStr">
        <is>
          <t>节段19</t>
        </is>
      </c>
      <c r="D1407" s="43" t="inlineStr">
        <is>
          <t>Q355D</t>
        </is>
      </c>
      <c r="E1407" s="43" t="n">
        <v>5240</v>
      </c>
      <c r="F1407" s="43" t="n">
        <v>240</v>
      </c>
      <c r="G1407" s="43" t="n">
        <v>24</v>
      </c>
      <c r="H1407" s="79">
        <f>(E1407/1000)*(F1407/1000)*(G1407/1000)*7850</f>
        <v/>
      </c>
      <c r="I1407" s="43" t="n">
        <v>2</v>
      </c>
      <c r="J1407" s="80">
        <f>H1407*I1407</f>
        <v/>
      </c>
      <c r="K1407" s="43" t="inlineStr">
        <is>
          <t>来源页123</t>
        </is>
      </c>
      <c r="L1407" s="43">
        <f>A1407</f>
        <v/>
      </c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43" t="n"/>
    </row>
    <row r="1408">
      <c r="A1408" s="43" t="inlineStr">
        <is>
          <t>N51</t>
        </is>
      </c>
      <c r="B1408" s="43" t="inlineStr">
        <is>
          <t>节点板加劲</t>
        </is>
      </c>
      <c r="C1408" s="43" t="inlineStr">
        <is>
          <t>节段19</t>
        </is>
      </c>
      <c r="D1408" s="43" t="inlineStr">
        <is>
          <t>Q355D</t>
        </is>
      </c>
      <c r="E1408" s="43" t="n">
        <v>5829</v>
      </c>
      <c r="F1408" s="43" t="n">
        <v>1200</v>
      </c>
      <c r="G1408" s="43" t="n">
        <v>36</v>
      </c>
      <c r="H1408" s="79">
        <f>(E1408/1000)*(F1408/1000)*(G1408/1000)*7850</f>
        <v/>
      </c>
      <c r="I1408" s="43" t="n">
        <v>1</v>
      </c>
      <c r="J1408" s="80">
        <f>H1408*I1408</f>
        <v/>
      </c>
      <c r="K1408" s="43" t="inlineStr">
        <is>
          <t>来源页123</t>
        </is>
      </c>
      <c r="L1408" s="43">
        <f>A1408</f>
        <v/>
      </c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43" t="n"/>
    </row>
    <row r="1409">
      <c r="A1409" s="43" t="inlineStr">
        <is>
          <t>N51a</t>
        </is>
      </c>
      <c r="B1409" s="43" t="inlineStr">
        <is>
          <t>节点板加劲</t>
        </is>
      </c>
      <c r="C1409" s="43" t="inlineStr">
        <is>
          <t>节段19</t>
        </is>
      </c>
      <c r="D1409" s="43" t="inlineStr">
        <is>
          <t>Q355D</t>
        </is>
      </c>
      <c r="E1409" s="43" t="n">
        <v>5429</v>
      </c>
      <c r="F1409" s="43" t="n">
        <v>1200</v>
      </c>
      <c r="G1409" s="43" t="n">
        <v>36</v>
      </c>
      <c r="H1409" s="79">
        <f>(E1409/1000)*(F1409/1000)*(G1409/1000)*7850</f>
        <v/>
      </c>
      <c r="I1409" s="43" t="n">
        <v>1</v>
      </c>
      <c r="J1409" s="80">
        <f>H1409*I1409</f>
        <v/>
      </c>
      <c r="K1409" s="43" t="inlineStr">
        <is>
          <t>来源页123</t>
        </is>
      </c>
      <c r="L1409" s="43">
        <f>A1409</f>
        <v/>
      </c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43" t="n"/>
    </row>
    <row r="1410">
      <c r="A1410" s="43" t="inlineStr">
        <is>
          <t>N52</t>
        </is>
      </c>
      <c r="B1410" s="43" t="inlineStr">
        <is>
          <t>节点板加劲</t>
        </is>
      </c>
      <c r="C1410" s="43" t="inlineStr">
        <is>
          <t>节段19</t>
        </is>
      </c>
      <c r="D1410" s="43" t="inlineStr">
        <is>
          <t>Q355D</t>
        </is>
      </c>
      <c r="E1410" s="43" t="n">
        <v>3629</v>
      </c>
      <c r="F1410" s="43" t="n">
        <v>1360</v>
      </c>
      <c r="G1410" s="43" t="n">
        <v>36</v>
      </c>
      <c r="H1410" s="79">
        <f>(E1410/1000)*(F1410/1000)*(G1410/1000)*7850</f>
        <v/>
      </c>
      <c r="I1410" s="43" t="n">
        <v>2</v>
      </c>
      <c r="J1410" s="80">
        <f>H1410*I1410</f>
        <v/>
      </c>
      <c r="K1410" s="43" t="inlineStr">
        <is>
          <t>来源页123</t>
        </is>
      </c>
      <c r="L1410" s="43">
        <f>A1410</f>
        <v/>
      </c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43" t="n"/>
    </row>
    <row r="1411">
      <c r="A1411" s="43" t="inlineStr">
        <is>
          <t>N53</t>
        </is>
      </c>
      <c r="B1411" s="43" t="inlineStr">
        <is>
          <t>节点板加劲</t>
        </is>
      </c>
      <c r="C1411" s="43" t="inlineStr">
        <is>
          <t>节段19</t>
        </is>
      </c>
      <c r="D1411" s="43" t="inlineStr">
        <is>
          <t>Q355D</t>
        </is>
      </c>
      <c r="E1411" s="43" t="n">
        <v>3629</v>
      </c>
      <c r="F1411" s="43" t="n">
        <v>320</v>
      </c>
      <c r="G1411" s="43" t="n">
        <v>32</v>
      </c>
      <c r="H1411" s="79">
        <f>(E1411/1000)*(F1411/1000)*(G1411/1000)*7850</f>
        <v/>
      </c>
      <c r="I1411" s="43" t="n">
        <v>2</v>
      </c>
      <c r="J1411" s="80">
        <f>H1411*I1411</f>
        <v/>
      </c>
      <c r="K1411" s="43" t="inlineStr">
        <is>
          <t>来源页123</t>
        </is>
      </c>
      <c r="L1411" s="43">
        <f>A1411</f>
        <v/>
      </c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43" t="n"/>
    </row>
    <row r="1412">
      <c r="A1412" s="43" t="inlineStr">
        <is>
          <t>N53a</t>
        </is>
      </c>
      <c r="B1412" s="43" t="inlineStr">
        <is>
          <t>节点板加劲</t>
        </is>
      </c>
      <c r="C1412" s="43" t="inlineStr">
        <is>
          <t>节段19</t>
        </is>
      </c>
      <c r="D1412" s="43" t="inlineStr">
        <is>
          <t>Q355D</t>
        </is>
      </c>
      <c r="E1412" s="43" t="n">
        <v>5129</v>
      </c>
      <c r="F1412" s="43" t="n">
        <v>320</v>
      </c>
      <c r="G1412" s="43" t="n">
        <v>32</v>
      </c>
      <c r="H1412" s="79">
        <f>(E1412/1000)*(F1412/1000)*(G1412/1000)*7850</f>
        <v/>
      </c>
      <c r="I1412" s="43" t="n">
        <v>1</v>
      </c>
      <c r="J1412" s="80">
        <f>H1412*I1412</f>
        <v/>
      </c>
      <c r="K1412" s="43" t="inlineStr">
        <is>
          <t>来源页123</t>
        </is>
      </c>
      <c r="L1412" s="43">
        <f>A1412</f>
        <v/>
      </c>
      <c r="M1412" s="81" t="n"/>
      <c r="N1412" s="81" t="n"/>
      <c r="O1412" s="81" t="n"/>
      <c r="P1412" s="81" t="n"/>
      <c r="Q1412" s="81" t="n"/>
      <c r="R1412" s="81" t="n"/>
      <c r="S1412" s="81" t="n"/>
      <c r="T1412" s="81" t="n"/>
      <c r="U1412" s="81" t="n"/>
      <c r="V1412" s="81" t="n"/>
      <c r="W1412" s="43" t="n"/>
    </row>
    <row r="1413">
      <c r="A1413" s="43" t="inlineStr">
        <is>
          <t>N53b</t>
        </is>
      </c>
      <c r="B1413" s="43" t="inlineStr">
        <is>
          <t>节点板加劲</t>
        </is>
      </c>
      <c r="C1413" s="43" t="inlineStr">
        <is>
          <t>节段19</t>
        </is>
      </c>
      <c r="D1413" s="43" t="inlineStr">
        <is>
          <t>Q355D</t>
        </is>
      </c>
      <c r="E1413" s="43" t="n">
        <v>4729</v>
      </c>
      <c r="F1413" s="43" t="n">
        <v>320</v>
      </c>
      <c r="G1413" s="43" t="n">
        <v>32</v>
      </c>
      <c r="H1413" s="79">
        <f>(E1413/1000)*(F1413/1000)*(G1413/1000)*7850</f>
        <v/>
      </c>
      <c r="I1413" s="43" t="n">
        <v>1</v>
      </c>
      <c r="J1413" s="80">
        <f>H1413*I1413</f>
        <v/>
      </c>
      <c r="K1413" s="43" t="inlineStr">
        <is>
          <t>来源页123</t>
        </is>
      </c>
      <c r="L1413" s="43">
        <f>A1413</f>
        <v/>
      </c>
      <c r="M1413" s="81" t="n"/>
      <c r="N1413" s="81" t="n"/>
      <c r="O1413" s="81" t="n"/>
      <c r="P1413" s="81" t="n"/>
      <c r="Q1413" s="81" t="n"/>
      <c r="R1413" s="81" t="n"/>
      <c r="S1413" s="81" t="n"/>
      <c r="T1413" s="81" t="n"/>
      <c r="U1413" s="81" t="n"/>
      <c r="V1413" s="81" t="n"/>
      <c r="W1413" s="43" t="n"/>
    </row>
    <row r="1414">
      <c r="A1414" s="43" t="inlineStr">
        <is>
          <t>N54</t>
        </is>
      </c>
      <c r="B1414" s="43" t="inlineStr">
        <is>
          <t>节点板加劲</t>
        </is>
      </c>
      <c r="C1414" s="43" t="inlineStr">
        <is>
          <t>节段19</t>
        </is>
      </c>
      <c r="D1414" s="43" t="inlineStr">
        <is>
          <t>Q355D</t>
        </is>
      </c>
      <c r="E1414" s="43" t="n">
        <v>1200</v>
      </c>
      <c r="F1414" s="43" t="n">
        <v>1200</v>
      </c>
      <c r="G1414" s="43" t="n">
        <v>16</v>
      </c>
      <c r="H1414" s="79">
        <f>(E1414/1000)*(F1414/1000)*(G1414/1000)*7850</f>
        <v/>
      </c>
      <c r="I1414" s="43" t="n">
        <v>3</v>
      </c>
      <c r="J1414" s="80">
        <f>H1414*I1414</f>
        <v/>
      </c>
      <c r="K1414" s="43" t="inlineStr">
        <is>
          <t>来源页123</t>
        </is>
      </c>
      <c r="L1414" s="43">
        <f>A1414</f>
        <v/>
      </c>
      <c r="M1414" s="81" t="n"/>
      <c r="N1414" s="81" t="n"/>
      <c r="O1414" s="81" t="n"/>
      <c r="P1414" s="81" t="n"/>
      <c r="Q1414" s="81" t="n"/>
      <c r="R1414" s="81" t="n"/>
      <c r="S1414" s="81" t="n"/>
      <c r="T1414" s="81" t="n"/>
      <c r="U1414" s="81" t="n"/>
      <c r="V1414" s="81" t="n"/>
      <c r="W1414" s="43" t="n"/>
    </row>
    <row r="1415">
      <c r="A1415" s="43" t="inlineStr">
        <is>
          <t>N55</t>
        </is>
      </c>
      <c r="B1415" s="43" t="inlineStr">
        <is>
          <t>节点板加劲</t>
        </is>
      </c>
      <c r="C1415" s="43" t="inlineStr">
        <is>
          <t>节段19</t>
        </is>
      </c>
      <c r="D1415" s="43" t="inlineStr">
        <is>
          <t>Q355D</t>
        </is>
      </c>
      <c r="E1415" s="43" t="n">
        <v>2300</v>
      </c>
      <c r="F1415" s="43" t="n">
        <v>320</v>
      </c>
      <c r="G1415" s="43" t="n">
        <v>32</v>
      </c>
      <c r="H1415" s="79">
        <f>(E1415/1000)*(F1415/1000)*(G1415/1000)*7850</f>
        <v/>
      </c>
      <c r="I1415" s="43" t="n">
        <v>2</v>
      </c>
      <c r="J1415" s="80">
        <f>H1415*I1415</f>
        <v/>
      </c>
      <c r="K1415" s="43" t="inlineStr">
        <is>
          <t>来源页123</t>
        </is>
      </c>
      <c r="L1415" s="43">
        <f>A1415</f>
        <v/>
      </c>
      <c r="M1415" s="81" t="n"/>
      <c r="N1415" s="81" t="n"/>
      <c r="O1415" s="81" t="n"/>
      <c r="P1415" s="81" t="n"/>
      <c r="Q1415" s="81" t="n"/>
      <c r="R1415" s="81" t="n"/>
      <c r="S1415" s="81" t="n"/>
      <c r="T1415" s="81" t="n"/>
      <c r="U1415" s="81" t="n"/>
      <c r="V1415" s="81" t="n"/>
      <c r="W1415" s="43" t="n"/>
    </row>
    <row r="1416">
      <c r="A1416" s="43" t="inlineStr">
        <is>
          <t>N56</t>
        </is>
      </c>
      <c r="B1416" s="43" t="inlineStr">
        <is>
          <t>节点板加劲</t>
        </is>
      </c>
      <c r="C1416" s="43" t="inlineStr">
        <is>
          <t>节段19</t>
        </is>
      </c>
      <c r="D1416" s="43" t="inlineStr">
        <is>
          <t>Q355D</t>
        </is>
      </c>
      <c r="E1416" s="43" t="n">
        <v>2200</v>
      </c>
      <c r="F1416" s="43" t="n">
        <v>320</v>
      </c>
      <c r="G1416" s="43" t="n">
        <v>32</v>
      </c>
      <c r="H1416" s="79">
        <f>(E1416/1000)*(F1416/1000)*(G1416/1000)*7850</f>
        <v/>
      </c>
      <c r="I1416" s="43" t="n">
        <v>4</v>
      </c>
      <c r="J1416" s="80">
        <f>H1416*I1416</f>
        <v/>
      </c>
      <c r="K1416" s="43" t="inlineStr">
        <is>
          <t>来源页123</t>
        </is>
      </c>
      <c r="L1416" s="43">
        <f>A1416</f>
        <v/>
      </c>
      <c r="M1416" s="81" t="n"/>
      <c r="N1416" s="81" t="n"/>
      <c r="O1416" s="81" t="n"/>
      <c r="P1416" s="81" t="n"/>
      <c r="Q1416" s="81" t="n"/>
      <c r="R1416" s="81" t="n"/>
      <c r="S1416" s="81" t="n"/>
      <c r="T1416" s="81" t="n"/>
      <c r="U1416" s="81" t="n"/>
      <c r="V1416" s="81" t="n"/>
      <c r="W1416" s="43" t="n"/>
    </row>
    <row r="1417">
      <c r="A1417" s="43" t="inlineStr">
        <is>
          <t>N61</t>
        </is>
      </c>
      <c r="B1417" s="43" t="inlineStr">
        <is>
          <t>横梁接头</t>
        </is>
      </c>
      <c r="C1417" s="43" t="inlineStr">
        <is>
          <t>节段19</t>
        </is>
      </c>
      <c r="D1417" s="43" t="inlineStr">
        <is>
          <t>Q355D</t>
        </is>
      </c>
      <c r="E1417" s="43" t="n">
        <v>1980</v>
      </c>
      <c r="F1417" s="43" t="n">
        <v>610</v>
      </c>
      <c r="G1417" s="43" t="n">
        <v>14</v>
      </c>
      <c r="H1417" s="79">
        <f>(E1417/1000)*(F1417/1000)*(G1417/1000)*7850</f>
        <v/>
      </c>
      <c r="I1417" s="43" t="n">
        <v>6</v>
      </c>
      <c r="J1417" s="80">
        <f>H1417*I1417</f>
        <v/>
      </c>
      <c r="K1417" s="43" t="inlineStr">
        <is>
          <t>来源页123</t>
        </is>
      </c>
      <c r="L1417" s="43">
        <f>A1417</f>
        <v/>
      </c>
      <c r="M1417" s="81" t="n"/>
      <c r="N1417" s="81" t="n"/>
      <c r="O1417" s="81" t="n"/>
      <c r="P1417" s="81" t="n"/>
      <c r="Q1417" s="81" t="n"/>
      <c r="R1417" s="81" t="n"/>
      <c r="S1417" s="81" t="n"/>
      <c r="T1417" s="81" t="n"/>
      <c r="U1417" s="81" t="n"/>
      <c r="V1417" s="81" t="n"/>
      <c r="W1417" s="43" t="n"/>
    </row>
    <row r="1418">
      <c r="A1418" s="43" t="inlineStr">
        <is>
          <t>N61a</t>
        </is>
      </c>
      <c r="B1418" s="43" t="inlineStr">
        <is>
          <t>横梁接头</t>
        </is>
      </c>
      <c r="C1418" s="43" t="inlineStr">
        <is>
          <t>节段19</t>
        </is>
      </c>
      <c r="D1418" s="43" t="inlineStr">
        <is>
          <t>Q355D</t>
        </is>
      </c>
      <c r="E1418" s="43" t="n">
        <v>1976</v>
      </c>
      <c r="F1418" s="43" t="n">
        <v>618</v>
      </c>
      <c r="G1418" s="43" t="n">
        <v>14</v>
      </c>
      <c r="H1418" s="79">
        <f>(E1418/1000)*(F1418/1000)*(G1418/1000)*7850</f>
        <v/>
      </c>
      <c r="I1418" s="43" t="n">
        <v>4</v>
      </c>
      <c r="J1418" s="80">
        <f>H1418*I1418</f>
        <v/>
      </c>
      <c r="K1418" s="43" t="inlineStr">
        <is>
          <t>来源页123</t>
        </is>
      </c>
      <c r="L1418" s="43">
        <f>A1418</f>
        <v/>
      </c>
      <c r="M1418" s="81" t="n"/>
      <c r="N1418" s="81" t="n"/>
      <c r="O1418" s="81" t="n"/>
      <c r="P1418" s="81" t="n"/>
      <c r="Q1418" s="81" t="n"/>
      <c r="R1418" s="81" t="n"/>
      <c r="S1418" s="81" t="n"/>
      <c r="T1418" s="81" t="n"/>
      <c r="U1418" s="81" t="n"/>
      <c r="V1418" s="81" t="n"/>
      <c r="W1418" s="43" t="n"/>
    </row>
    <row r="1419">
      <c r="A1419" s="43" t="inlineStr">
        <is>
          <t>N62</t>
        </is>
      </c>
      <c r="B1419" s="43" t="inlineStr">
        <is>
          <t>横梁接头</t>
        </is>
      </c>
      <c r="C1419" s="43" t="inlineStr">
        <is>
          <t>节段19</t>
        </is>
      </c>
      <c r="D1419" s="43" t="inlineStr">
        <is>
          <t>Q355D</t>
        </is>
      </c>
      <c r="E1419" s="43" t="n"/>
      <c r="F1419" s="43" t="n"/>
      <c r="G1419" s="43" t="n">
        <v>24</v>
      </c>
      <c r="H1419" s="79">
        <f>(E1419/1000)*(F1419/1000)*(G1419/1000)*7850</f>
        <v/>
      </c>
      <c r="I1419" s="43" t="n">
        <v>6</v>
      </c>
      <c r="J1419" s="80">
        <f>H1419*I1419</f>
        <v/>
      </c>
      <c r="K1419" s="43" t="inlineStr">
        <is>
          <t>来源页123</t>
        </is>
      </c>
      <c r="L1419" s="43">
        <f>A1419</f>
        <v/>
      </c>
      <c r="M1419" s="81" t="n"/>
      <c r="N1419" s="81" t="n"/>
      <c r="O1419" s="81" t="n"/>
      <c r="P1419" s="81" t="n"/>
      <c r="Q1419" s="81" t="n"/>
      <c r="R1419" s="81" t="n"/>
      <c r="S1419" s="81" t="n"/>
      <c r="T1419" s="81" t="n"/>
      <c r="U1419" s="81" t="n"/>
      <c r="V1419" s="81" t="n"/>
      <c r="W1419" s="43" t="n"/>
    </row>
    <row r="1420">
      <c r="A1420" s="43" t="inlineStr">
        <is>
          <t>N62a</t>
        </is>
      </c>
      <c r="B1420" s="43" t="inlineStr">
        <is>
          <t>横梁接头</t>
        </is>
      </c>
      <c r="C1420" s="43" t="inlineStr">
        <is>
          <t>节段19</t>
        </is>
      </c>
      <c r="D1420" s="43" t="inlineStr">
        <is>
          <t>Q355D</t>
        </is>
      </c>
      <c r="E1420" s="43" t="n"/>
      <c r="F1420" s="43" t="n"/>
      <c r="G1420" s="43" t="n">
        <v>24</v>
      </c>
      <c r="H1420" s="79">
        <f>(E1420/1000)*(F1420/1000)*(G1420/1000)*7850</f>
        <v/>
      </c>
      <c r="I1420" s="43" t="n">
        <v>4</v>
      </c>
      <c r="J1420" s="80">
        <f>H1420*I1420</f>
        <v/>
      </c>
      <c r="K1420" s="43" t="inlineStr">
        <is>
          <t>来源页123</t>
        </is>
      </c>
      <c r="L1420" s="43">
        <f>A1420</f>
        <v/>
      </c>
      <c r="M1420" s="81" t="n"/>
      <c r="N1420" s="81" t="n"/>
      <c r="O1420" s="81" t="n"/>
      <c r="P1420" s="81" t="n"/>
      <c r="Q1420" s="81" t="n"/>
      <c r="R1420" s="81" t="n"/>
      <c r="S1420" s="81" t="n"/>
      <c r="T1420" s="81" t="n"/>
      <c r="U1420" s="81" t="n"/>
      <c r="V1420" s="81" t="n"/>
      <c r="W1420" s="43" t="n"/>
    </row>
    <row r="1421">
      <c r="A1421" s="43" t="inlineStr">
        <is>
          <t>N63a</t>
        </is>
      </c>
      <c r="B1421" s="43" t="inlineStr">
        <is>
          <t>横梁接头</t>
        </is>
      </c>
      <c r="C1421" s="43" t="inlineStr">
        <is>
          <t>节段19</t>
        </is>
      </c>
      <c r="D1421" s="43" t="inlineStr">
        <is>
          <t>Q355D</t>
        </is>
      </c>
      <c r="E1421" s="43" t="n">
        <v>1800</v>
      </c>
      <c r="F1421" s="43" t="n">
        <v>626</v>
      </c>
      <c r="G1421" s="43" t="n">
        <v>14</v>
      </c>
      <c r="H1421" s="79">
        <f>(E1421/1000)*(F1421/1000)*(G1421/1000)*7850</f>
        <v/>
      </c>
      <c r="I1421" s="43" t="n">
        <v>4</v>
      </c>
      <c r="J1421" s="80">
        <f>H1421*I1421</f>
        <v/>
      </c>
      <c r="K1421" s="43" t="inlineStr">
        <is>
          <t>来源页123</t>
        </is>
      </c>
      <c r="L1421" s="43">
        <f>A1421</f>
        <v/>
      </c>
      <c r="M1421" s="81" t="n"/>
      <c r="N1421" s="81" t="n"/>
      <c r="O1421" s="81" t="n"/>
      <c r="P1421" s="81" t="n"/>
      <c r="Q1421" s="81" t="n"/>
      <c r="R1421" s="81" t="n"/>
      <c r="S1421" s="81" t="n"/>
      <c r="T1421" s="81" t="n"/>
      <c r="U1421" s="81" t="n"/>
      <c r="V1421" s="81" t="n"/>
      <c r="W1421" s="43" t="n"/>
    </row>
    <row r="1422">
      <c r="A1422" s="43" t="inlineStr">
        <is>
          <t>P1</t>
        </is>
      </c>
      <c r="B1422" s="43" t="inlineStr">
        <is>
          <t>上弦杆拼接</t>
        </is>
      </c>
      <c r="C1422" s="43" t="inlineStr"/>
      <c r="D1422" s="43" t="inlineStr">
        <is>
          <t>Q355D</t>
        </is>
      </c>
      <c r="E1422" s="43" t="n">
        <v>1020</v>
      </c>
      <c r="F1422" s="43" t="n">
        <v>1800</v>
      </c>
      <c r="G1422" s="43" t="n">
        <v>16</v>
      </c>
      <c r="H1422" s="79">
        <f>(E1422/1000)*(F1422/1000)*(G1422/1000)*7850</f>
        <v/>
      </c>
      <c r="I1422" s="43" t="n">
        <v>2</v>
      </c>
      <c r="J1422" s="80">
        <f>H1422*I1422</f>
        <v/>
      </c>
      <c r="K1422" s="43" t="inlineStr">
        <is>
          <t>来源页126</t>
        </is>
      </c>
      <c r="L1422" s="43">
        <f>A1422</f>
        <v/>
      </c>
      <c r="M1422" s="81" t="n"/>
      <c r="N1422" s="81" t="n"/>
      <c r="O1422" s="81" t="n"/>
      <c r="P1422" s="81" t="n"/>
      <c r="Q1422" s="81" t="n"/>
      <c r="R1422" s="81" t="n"/>
      <c r="S1422" s="81" t="n"/>
      <c r="T1422" s="81" t="n"/>
      <c r="U1422" s="81" t="n"/>
      <c r="V1422" s="81" t="n"/>
      <c r="W1422" s="43" t="n"/>
    </row>
    <row r="1423">
      <c r="A1423" s="43" t="inlineStr">
        <is>
          <t>P2</t>
        </is>
      </c>
      <c r="B1423" s="43" t="inlineStr">
        <is>
          <t>上弦杆拼接</t>
        </is>
      </c>
      <c r="C1423" s="43" t="inlineStr"/>
      <c r="D1423" s="43" t="inlineStr">
        <is>
          <t>Q355D</t>
        </is>
      </c>
      <c r="E1423" s="43" t="n">
        <v>1020</v>
      </c>
      <c r="F1423" s="43" t="n">
        <v>500</v>
      </c>
      <c r="G1423" s="43" t="n">
        <v>16</v>
      </c>
      <c r="H1423" s="79">
        <f>(E1423/1000)*(F1423/1000)*(G1423/1000)*7850</f>
        <v/>
      </c>
      <c r="I1423" s="43" t="n">
        <v>2</v>
      </c>
      <c r="J1423" s="80">
        <f>H1423*I1423</f>
        <v/>
      </c>
      <c r="K1423" s="43" t="inlineStr">
        <is>
          <t>来源页126</t>
        </is>
      </c>
      <c r="L1423" s="43">
        <f>A1423</f>
        <v/>
      </c>
      <c r="M1423" s="81" t="n"/>
      <c r="N1423" s="81" t="n"/>
      <c r="O1423" s="81" t="n"/>
      <c r="P1423" s="81" t="n"/>
      <c r="Q1423" s="81" t="n"/>
      <c r="R1423" s="81" t="n"/>
      <c r="S1423" s="81" t="n"/>
      <c r="T1423" s="81" t="n"/>
      <c r="U1423" s="81" t="n"/>
      <c r="V1423" s="81" t="n"/>
      <c r="W1423" s="43" t="n"/>
    </row>
    <row r="1424">
      <c r="A1424" s="43" t="inlineStr">
        <is>
          <t>P3</t>
        </is>
      </c>
      <c r="B1424" s="43" t="inlineStr">
        <is>
          <t>上弦杆拼接</t>
        </is>
      </c>
      <c r="C1424" s="43" t="inlineStr"/>
      <c r="D1424" s="43" t="inlineStr">
        <is>
          <t>Q355D</t>
        </is>
      </c>
      <c r="E1424" s="43" t="n">
        <v>1020</v>
      </c>
      <c r="F1424" s="43" t="n">
        <v>500</v>
      </c>
      <c r="G1424" s="43" t="n">
        <v>16</v>
      </c>
      <c r="H1424" s="79">
        <f>(E1424/1000)*(F1424/1000)*(G1424/1000)*7850</f>
        <v/>
      </c>
      <c r="I1424" s="43" t="n">
        <v>2</v>
      </c>
      <c r="J1424" s="80">
        <f>H1424*I1424</f>
        <v/>
      </c>
      <c r="K1424" s="43" t="inlineStr">
        <is>
          <t>来源页126</t>
        </is>
      </c>
      <c r="L1424" s="43">
        <f>A1424</f>
        <v/>
      </c>
      <c r="M1424" s="81" t="n"/>
      <c r="N1424" s="81" t="n"/>
      <c r="O1424" s="81" t="n"/>
      <c r="P1424" s="81" t="n"/>
      <c r="Q1424" s="81" t="n"/>
      <c r="R1424" s="81" t="n"/>
      <c r="S1424" s="81" t="n"/>
      <c r="T1424" s="81" t="n"/>
      <c r="U1424" s="81" t="n"/>
      <c r="V1424" s="81" t="n"/>
      <c r="W1424" s="43" t="n"/>
    </row>
    <row r="1425">
      <c r="A1425" s="43" t="inlineStr">
        <is>
          <t>P4</t>
        </is>
      </c>
      <c r="B1425" s="43" t="inlineStr">
        <is>
          <t>上弦杆拼接</t>
        </is>
      </c>
      <c r="C1425" s="43" t="inlineStr"/>
      <c r="D1425" s="43" t="inlineStr">
        <is>
          <t>Q355D</t>
        </is>
      </c>
      <c r="E1425" s="43" t="n">
        <v>1020</v>
      </c>
      <c r="F1425" s="43" t="n">
        <v>600</v>
      </c>
      <c r="G1425" s="43" t="n">
        <v>16</v>
      </c>
      <c r="H1425" s="79">
        <f>(E1425/1000)*(F1425/1000)*(G1425/1000)*7850</f>
        <v/>
      </c>
      <c r="I1425" s="43" t="n">
        <v>2</v>
      </c>
      <c r="J1425" s="80">
        <f>H1425*I1425</f>
        <v/>
      </c>
      <c r="K1425" s="43" t="inlineStr">
        <is>
          <t>来源页126</t>
        </is>
      </c>
      <c r="L1425" s="43">
        <f>A1425</f>
        <v/>
      </c>
      <c r="M1425" s="81" t="n"/>
      <c r="N1425" s="81" t="n"/>
      <c r="O1425" s="81" t="n"/>
      <c r="P1425" s="81" t="n"/>
      <c r="Q1425" s="81" t="n"/>
      <c r="R1425" s="81" t="n"/>
      <c r="S1425" s="81" t="n"/>
      <c r="T1425" s="81" t="n"/>
      <c r="U1425" s="81" t="n"/>
      <c r="V1425" s="81" t="n"/>
      <c r="W1425" s="43" t="n"/>
    </row>
    <row r="1426">
      <c r="A1426" s="43" t="inlineStr">
        <is>
          <t>P5</t>
        </is>
      </c>
      <c r="B1426" s="43" t="inlineStr">
        <is>
          <t>上弦杆拼接</t>
        </is>
      </c>
      <c r="C1426" s="43" t="inlineStr"/>
      <c r="D1426" s="43" t="inlineStr">
        <is>
          <t>Q355D</t>
        </is>
      </c>
      <c r="E1426" s="43" t="n">
        <v>1420</v>
      </c>
      <c r="F1426" s="43" t="n">
        <v>1100</v>
      </c>
      <c r="G1426" s="43" t="n">
        <v>28</v>
      </c>
      <c r="H1426" s="79">
        <f>(E1426/1000)*(F1426/1000)*(G1426/1000)*7850</f>
        <v/>
      </c>
      <c r="I1426" s="43" t="n">
        <v>1</v>
      </c>
      <c r="J1426" s="80">
        <f>H1426*I1426</f>
        <v/>
      </c>
      <c r="K1426" s="43" t="inlineStr">
        <is>
          <t>来源页126</t>
        </is>
      </c>
      <c r="L1426" s="43">
        <f>A1426</f>
        <v/>
      </c>
      <c r="M1426" s="81" t="n"/>
      <c r="N1426" s="81" t="n"/>
      <c r="O1426" s="81" t="n"/>
      <c r="P1426" s="81" t="n"/>
      <c r="Q1426" s="81" t="n"/>
      <c r="R1426" s="81" t="n"/>
      <c r="S1426" s="81" t="n"/>
      <c r="T1426" s="81" t="n"/>
      <c r="U1426" s="81" t="n"/>
      <c r="V1426" s="81" t="n"/>
      <c r="W1426" s="43" t="n"/>
    </row>
    <row r="1427">
      <c r="A1427" s="43" t="inlineStr">
        <is>
          <t>P6</t>
        </is>
      </c>
      <c r="B1427" s="43" t="inlineStr">
        <is>
          <t>上弦杆拼接</t>
        </is>
      </c>
      <c r="C1427" s="43" t="inlineStr"/>
      <c r="D1427" s="43" t="inlineStr">
        <is>
          <t>Q355D</t>
        </is>
      </c>
      <c r="E1427" s="43" t="n">
        <v>1420</v>
      </c>
      <c r="F1427" s="43" t="n">
        <v>400</v>
      </c>
      <c r="G1427" s="43" t="n">
        <v>28</v>
      </c>
      <c r="H1427" s="79">
        <f>(E1427/1000)*(F1427/1000)*(G1427/1000)*7850</f>
        <v/>
      </c>
      <c r="I1427" s="43" t="n">
        <v>2</v>
      </c>
      <c r="J1427" s="80">
        <f>H1427*I1427</f>
        <v/>
      </c>
      <c r="K1427" s="43" t="inlineStr">
        <is>
          <t>来源页126</t>
        </is>
      </c>
      <c r="L1427" s="43">
        <f>A1427</f>
        <v/>
      </c>
      <c r="M1427" s="81" t="n"/>
      <c r="N1427" s="81" t="n"/>
      <c r="O1427" s="81" t="n"/>
      <c r="P1427" s="81" t="n"/>
      <c r="Q1427" s="81" t="n"/>
      <c r="R1427" s="81" t="n"/>
      <c r="S1427" s="81" t="n"/>
      <c r="T1427" s="81" t="n"/>
      <c r="U1427" s="81" t="n"/>
      <c r="V1427" s="81" t="n"/>
      <c r="W1427" s="43" t="n"/>
    </row>
    <row r="1428">
      <c r="A1428" s="43" t="inlineStr">
        <is>
          <t>P7</t>
        </is>
      </c>
      <c r="B1428" s="43" t="inlineStr">
        <is>
          <t>上弦杆拼接</t>
        </is>
      </c>
      <c r="C1428" s="43" t="inlineStr"/>
      <c r="D1428" s="43" t="inlineStr">
        <is>
          <t>Q355D</t>
        </is>
      </c>
      <c r="E1428" s="43" t="n">
        <v>920</v>
      </c>
      <c r="F1428" s="43" t="n">
        <v>200</v>
      </c>
      <c r="G1428" s="43" t="n">
        <v>20</v>
      </c>
      <c r="H1428" s="79">
        <f>(E1428/1000)*(F1428/1000)*(G1428/1000)*7850</f>
        <v/>
      </c>
      <c r="I1428" s="43" t="n">
        <v>10</v>
      </c>
      <c r="J1428" s="80">
        <f>H1428*I1428</f>
        <v/>
      </c>
      <c r="K1428" s="43" t="inlineStr">
        <is>
          <t>来源页126</t>
        </is>
      </c>
      <c r="L1428" s="43">
        <f>A1428</f>
        <v/>
      </c>
      <c r="M1428" s="81" t="n"/>
      <c r="N1428" s="81" t="n"/>
      <c r="O1428" s="81" t="n"/>
      <c r="P1428" s="81" t="n"/>
      <c r="Q1428" s="81" t="n"/>
      <c r="R1428" s="81" t="n"/>
      <c r="S1428" s="81" t="n"/>
      <c r="T1428" s="81" t="n"/>
      <c r="U1428" s="81" t="n"/>
      <c r="V1428" s="81" t="n"/>
      <c r="W1428" s="43" t="n"/>
    </row>
    <row r="1429">
      <c r="A1429" s="43" t="inlineStr">
        <is>
          <t>P8</t>
        </is>
      </c>
      <c r="B1429" s="43" t="inlineStr">
        <is>
          <t>上弦杆拼接</t>
        </is>
      </c>
      <c r="C1429" s="43" t="inlineStr"/>
      <c r="D1429" s="43" t="inlineStr">
        <is>
          <t>Q355D</t>
        </is>
      </c>
      <c r="E1429" s="43" t="n">
        <v>600</v>
      </c>
      <c r="F1429" s="43" t="n">
        <v>1800</v>
      </c>
      <c r="G1429" s="43" t="n">
        <v>20</v>
      </c>
      <c r="H1429" s="79">
        <f>(E1429/1000)*(F1429/1000)*(G1429/1000)*7850</f>
        <v/>
      </c>
      <c r="I1429" s="43" t="n">
        <v>2</v>
      </c>
      <c r="J1429" s="80">
        <f>H1429*I1429</f>
        <v/>
      </c>
      <c r="K1429" s="43" t="inlineStr">
        <is>
          <t>来源页126</t>
        </is>
      </c>
      <c r="L1429" s="43">
        <f>A1429</f>
        <v/>
      </c>
      <c r="M1429" s="81" t="n"/>
      <c r="N1429" s="81" t="n"/>
      <c r="O1429" s="81" t="n"/>
      <c r="P1429" s="81" t="n"/>
      <c r="Q1429" s="81" t="n"/>
      <c r="R1429" s="81" t="n"/>
      <c r="S1429" s="81" t="n"/>
      <c r="T1429" s="81" t="n"/>
      <c r="U1429" s="81" t="n"/>
      <c r="V1429" s="81" t="n"/>
      <c r="W1429" s="43" t="n"/>
    </row>
    <row r="1430">
      <c r="A1430" s="43" t="inlineStr">
        <is>
          <t>M30高强螺栓</t>
        </is>
      </c>
      <c r="B1430" s="43" t="inlineStr">
        <is>
          <t>上弦杆拼接</t>
        </is>
      </c>
      <c r="C1430" s="43" t="inlineStr"/>
      <c r="D1430" s="43" t="inlineStr">
        <is>
          <t>10.9S</t>
        </is>
      </c>
      <c r="E1430" s="43" t="n"/>
      <c r="F1430" s="43" t="n"/>
      <c r="G1430" s="43" t="n"/>
      <c r="H1430" s="79">
        <f>(E1430/1000)*(F1430/1000)*(G1430/1000)*7850</f>
        <v/>
      </c>
      <c r="I1430" s="43" t="n">
        <v>508</v>
      </c>
      <c r="J1430" s="80">
        <f>H1430*I1430</f>
        <v/>
      </c>
      <c r="K1430" s="43" t="inlineStr">
        <is>
          <t>来源页126</t>
        </is>
      </c>
      <c r="L1430" s="43">
        <f>A1430</f>
        <v/>
      </c>
      <c r="M1430" s="81" t="n"/>
      <c r="N1430" s="81" t="n"/>
      <c r="O1430" s="81" t="n"/>
      <c r="P1430" s="81" t="n"/>
      <c r="Q1430" s="81" t="n"/>
      <c r="R1430" s="81" t="n"/>
      <c r="S1430" s="81" t="n"/>
      <c r="T1430" s="81" t="n"/>
      <c r="U1430" s="81" t="n"/>
      <c r="V1430" s="81" t="n"/>
      <c r="W1430" s="43" t="n"/>
    </row>
    <row r="1431">
      <c r="A1431" s="43" t="inlineStr">
        <is>
          <t>K1</t>
        </is>
      </c>
      <c r="B1431" s="43" t="inlineStr">
        <is>
          <t>下弦杆拼接</t>
        </is>
      </c>
      <c r="C1431" s="43" t="inlineStr"/>
      <c r="D1431" s="43" t="inlineStr">
        <is>
          <t>Q355D</t>
        </is>
      </c>
      <c r="E1431" s="43" t="n">
        <v>820</v>
      </c>
      <c r="F1431" s="43" t="n">
        <v>1700</v>
      </c>
      <c r="G1431" s="43" t="n">
        <v>20</v>
      </c>
      <c r="H1431" s="79">
        <f>(E1431/1000)*(F1431/1000)*(G1431/1000)*7850</f>
        <v/>
      </c>
      <c r="I1431" s="43" t="n">
        <v>2</v>
      </c>
      <c r="J1431" s="80">
        <f>H1431*I1431</f>
        <v/>
      </c>
      <c r="K1431" s="43" t="inlineStr">
        <is>
          <t>来源页126</t>
        </is>
      </c>
      <c r="L1431" s="43">
        <f>A1431</f>
        <v/>
      </c>
      <c r="M1431" s="81" t="n"/>
      <c r="N1431" s="81" t="n"/>
      <c r="O1431" s="81" t="n"/>
      <c r="P1431" s="81" t="n"/>
      <c r="Q1431" s="81" t="n"/>
      <c r="R1431" s="81" t="n"/>
      <c r="S1431" s="81" t="n"/>
      <c r="T1431" s="81" t="n"/>
      <c r="U1431" s="81" t="n"/>
      <c r="V1431" s="81" t="n"/>
      <c r="W1431" s="43" t="n"/>
    </row>
    <row r="1432">
      <c r="A1432" s="43" t="inlineStr">
        <is>
          <t>K2</t>
        </is>
      </c>
      <c r="B1432" s="43" t="inlineStr">
        <is>
          <t>下弦杆拼接</t>
        </is>
      </c>
      <c r="C1432" s="43" t="inlineStr"/>
      <c r="D1432" s="43" t="inlineStr">
        <is>
          <t>Q355D</t>
        </is>
      </c>
      <c r="E1432" s="43" t="n">
        <v>820</v>
      </c>
      <c r="F1432" s="43" t="n">
        <v>800</v>
      </c>
      <c r="G1432" s="43" t="n">
        <v>20</v>
      </c>
      <c r="H1432" s="79">
        <f>(E1432/1000)*(F1432/1000)*(G1432/1000)*7850</f>
        <v/>
      </c>
      <c r="I1432" s="43" t="n">
        <v>4</v>
      </c>
      <c r="J1432" s="80">
        <f>H1432*I1432</f>
        <v/>
      </c>
      <c r="K1432" s="43" t="inlineStr">
        <is>
          <t>来源页126</t>
        </is>
      </c>
      <c r="L1432" s="43">
        <f>A1432</f>
        <v/>
      </c>
      <c r="M1432" s="81" t="n"/>
      <c r="N1432" s="81" t="n"/>
      <c r="O1432" s="81" t="n"/>
      <c r="P1432" s="81" t="n"/>
      <c r="Q1432" s="81" t="n"/>
      <c r="R1432" s="81" t="n"/>
      <c r="S1432" s="81" t="n"/>
      <c r="T1432" s="81" t="n"/>
      <c r="U1432" s="81" t="n"/>
      <c r="V1432" s="81" t="n"/>
      <c r="W1432" s="43" t="n"/>
    </row>
    <row r="1433">
      <c r="A1433" s="43" t="inlineStr">
        <is>
          <t>K3</t>
        </is>
      </c>
      <c r="B1433" s="43" t="inlineStr">
        <is>
          <t>下弦杆拼接</t>
        </is>
      </c>
      <c r="C1433" s="43" t="inlineStr"/>
      <c r="D1433" s="43" t="inlineStr">
        <is>
          <t>Q355D</t>
        </is>
      </c>
      <c r="E1433" s="43" t="n">
        <v>1120</v>
      </c>
      <c r="F1433" s="43" t="n">
        <v>1100</v>
      </c>
      <c r="G1433" s="43" t="n">
        <v>32</v>
      </c>
      <c r="H1433" s="79">
        <f>(E1433/1000)*(F1433/1000)*(G1433/1000)*7850</f>
        <v/>
      </c>
      <c r="I1433" s="43" t="n">
        <v>1</v>
      </c>
      <c r="J1433" s="80">
        <f>H1433*I1433</f>
        <v/>
      </c>
      <c r="K1433" s="43" t="inlineStr">
        <is>
          <t>来源页126</t>
        </is>
      </c>
      <c r="L1433" s="43">
        <f>A1433</f>
        <v/>
      </c>
      <c r="M1433" s="81" t="n"/>
      <c r="N1433" s="81" t="n"/>
      <c r="O1433" s="81" t="n"/>
      <c r="P1433" s="81" t="n"/>
      <c r="Q1433" s="81" t="n"/>
      <c r="R1433" s="81" t="n"/>
      <c r="S1433" s="81" t="n"/>
      <c r="T1433" s="81" t="n"/>
      <c r="U1433" s="81" t="n"/>
      <c r="V1433" s="81" t="n"/>
      <c r="W1433" s="43" t="n"/>
    </row>
    <row r="1434">
      <c r="A1434" s="43" t="inlineStr">
        <is>
          <t>K4</t>
        </is>
      </c>
      <c r="B1434" s="43" t="inlineStr">
        <is>
          <t>下弦杆拼接</t>
        </is>
      </c>
      <c r="C1434" s="43" t="inlineStr"/>
      <c r="D1434" s="43" t="inlineStr">
        <is>
          <t>Q355D</t>
        </is>
      </c>
      <c r="E1434" s="43" t="n">
        <v>1120</v>
      </c>
      <c r="F1434" s="43" t="n">
        <v>400</v>
      </c>
      <c r="G1434" s="43" t="n">
        <v>32</v>
      </c>
      <c r="H1434" s="79">
        <f>(E1434/1000)*(F1434/1000)*(G1434/1000)*7850</f>
        <v/>
      </c>
      <c r="I1434" s="43" t="n">
        <v>2</v>
      </c>
      <c r="J1434" s="80">
        <f>H1434*I1434</f>
        <v/>
      </c>
      <c r="K1434" s="43" t="inlineStr">
        <is>
          <t>来源页126</t>
        </is>
      </c>
      <c r="L1434" s="43">
        <f>A1434</f>
        <v/>
      </c>
      <c r="M1434" s="81" t="n"/>
      <c r="N1434" s="81" t="n"/>
      <c r="O1434" s="81" t="n"/>
      <c r="P1434" s="81" t="n"/>
      <c r="Q1434" s="81" t="n"/>
      <c r="R1434" s="81" t="n"/>
      <c r="S1434" s="81" t="n"/>
      <c r="T1434" s="81" t="n"/>
      <c r="U1434" s="81" t="n"/>
      <c r="V1434" s="81" t="n"/>
      <c r="W1434" s="43" t="n"/>
    </row>
    <row r="1435">
      <c r="A1435" s="43" t="inlineStr">
        <is>
          <t>K6</t>
        </is>
      </c>
      <c r="B1435" s="43" t="inlineStr">
        <is>
          <t>下弦杆拼接</t>
        </is>
      </c>
      <c r="C1435" s="43" t="inlineStr"/>
      <c r="D1435" s="43" t="inlineStr">
        <is>
          <t>Q355D</t>
        </is>
      </c>
      <c r="E1435" s="43" t="n">
        <v>400</v>
      </c>
      <c r="F1435" s="43" t="n">
        <v>1700</v>
      </c>
      <c r="G1435" s="43" t="n">
        <v>20</v>
      </c>
      <c r="H1435" s="79">
        <f>(E1435/1000)*(F1435/1000)*(G1435/1000)*7850</f>
        <v/>
      </c>
      <c r="I1435" s="43" t="n">
        <v>2</v>
      </c>
      <c r="J1435" s="80">
        <f>H1435*I1435</f>
        <v/>
      </c>
      <c r="K1435" s="43" t="inlineStr">
        <is>
          <t>来源页126</t>
        </is>
      </c>
      <c r="L1435" s="43">
        <f>A1435</f>
        <v/>
      </c>
      <c r="M1435" s="81" t="n"/>
      <c r="N1435" s="81" t="n"/>
      <c r="O1435" s="81" t="n"/>
      <c r="P1435" s="81" t="n"/>
      <c r="Q1435" s="81" t="n"/>
      <c r="R1435" s="81" t="n"/>
      <c r="S1435" s="81" t="n"/>
      <c r="T1435" s="81" t="n"/>
      <c r="U1435" s="81" t="n"/>
      <c r="V1435" s="81" t="n"/>
      <c r="W1435" s="43" t="n"/>
    </row>
    <row r="1436">
      <c r="A1436" s="43" t="inlineStr">
        <is>
          <t>M30高强螺栓</t>
        </is>
      </c>
      <c r="B1436" s="43" t="inlineStr">
        <is>
          <t>下弦杆拼接</t>
        </is>
      </c>
      <c r="C1436" s="43" t="inlineStr"/>
      <c r="D1436" s="43" t="inlineStr">
        <is>
          <t>10.9S</t>
        </is>
      </c>
      <c r="E1436" s="43" t="n"/>
      <c r="F1436" s="43" t="n"/>
      <c r="G1436" s="43" t="n"/>
      <c r="H1436" s="79">
        <f>(E1436/1000)*(F1436/1000)*(G1436/1000)*7850</f>
        <v/>
      </c>
      <c r="I1436" s="43" t="n">
        <v>324</v>
      </c>
      <c r="J1436" s="80">
        <f>H1436*I1436</f>
        <v/>
      </c>
      <c r="K1436" s="43" t="inlineStr">
        <is>
          <t>来源页126</t>
        </is>
      </c>
      <c r="L1436" s="43">
        <f>A1436</f>
        <v/>
      </c>
      <c r="M1436" s="81" t="n"/>
      <c r="N1436" s="81" t="n"/>
      <c r="O1436" s="81" t="n"/>
      <c r="P1436" s="81" t="n"/>
      <c r="Q1436" s="81" t="n"/>
      <c r="R1436" s="81" t="n"/>
      <c r="S1436" s="81" t="n"/>
      <c r="T1436" s="81" t="n"/>
      <c r="U1436" s="81" t="n"/>
      <c r="V1436" s="81" t="n"/>
      <c r="W1436" s="43" t="n"/>
    </row>
    <row r="1437">
      <c r="A1437" s="43" t="inlineStr">
        <is>
          <t>L1</t>
        </is>
      </c>
      <c r="B1437" s="43" t="inlineStr">
        <is>
          <t>腹杆拼接</t>
        </is>
      </c>
      <c r="C1437" s="43" t="inlineStr"/>
      <c r="D1437" s="43" t="inlineStr">
        <is>
          <t>Q355D</t>
        </is>
      </c>
      <c r="E1437" s="43" t="n">
        <v>1320</v>
      </c>
      <c r="F1437" s="43" t="n">
        <v>900</v>
      </c>
      <c r="G1437" s="43" t="n">
        <v>28</v>
      </c>
      <c r="H1437" s="79">
        <f>(E1437/1000)*(F1437/1000)*(G1437/1000)*7850</f>
        <v/>
      </c>
      <c r="I1437" s="43" t="n">
        <v>2</v>
      </c>
      <c r="J1437" s="80">
        <f>H1437*I1437</f>
        <v/>
      </c>
      <c r="K1437" s="43" t="inlineStr">
        <is>
          <t>来源页126</t>
        </is>
      </c>
      <c r="L1437" s="43">
        <f>A1437</f>
        <v/>
      </c>
      <c r="M1437" s="81" t="n"/>
      <c r="N1437" s="81" t="n"/>
      <c r="O1437" s="81" t="n"/>
      <c r="P1437" s="81" t="n"/>
      <c r="Q1437" s="81" t="n"/>
      <c r="R1437" s="81" t="n"/>
      <c r="S1437" s="81" t="n"/>
      <c r="T1437" s="81" t="n"/>
      <c r="U1437" s="81" t="n"/>
      <c r="V1437" s="81" t="n"/>
      <c r="W1437" s="43" t="n"/>
    </row>
    <row r="1438">
      <c r="A1438" s="43" t="inlineStr">
        <is>
          <t>L2</t>
        </is>
      </c>
      <c r="B1438" s="43" t="inlineStr">
        <is>
          <t>腹杆拼接</t>
        </is>
      </c>
      <c r="C1438" s="43" t="inlineStr"/>
      <c r="D1438" s="43" t="inlineStr">
        <is>
          <t>Q355D</t>
        </is>
      </c>
      <c r="E1438" s="43" t="n">
        <v>1320</v>
      </c>
      <c r="F1438" s="43" t="n">
        <v>400</v>
      </c>
      <c r="G1438" s="43" t="n">
        <v>28</v>
      </c>
      <c r="H1438" s="79">
        <f>(E1438/1000)*(F1438/1000)*(G1438/1000)*7850</f>
        <v/>
      </c>
      <c r="I1438" s="43" t="n">
        <v>4</v>
      </c>
      <c r="J1438" s="80">
        <f>H1438*I1438</f>
        <v/>
      </c>
      <c r="K1438" s="43" t="inlineStr">
        <is>
          <t>来源页126</t>
        </is>
      </c>
      <c r="L1438" s="43">
        <f>A1438</f>
        <v/>
      </c>
      <c r="M1438" s="81" t="n"/>
      <c r="N1438" s="81" t="n"/>
      <c r="O1438" s="81" t="n"/>
      <c r="P1438" s="81" t="n"/>
      <c r="Q1438" s="81" t="n"/>
      <c r="R1438" s="81" t="n"/>
      <c r="S1438" s="81" t="n"/>
      <c r="T1438" s="81" t="n"/>
      <c r="U1438" s="81" t="n"/>
      <c r="V1438" s="81" t="n"/>
      <c r="W1438" s="43" t="n"/>
    </row>
    <row r="1439">
      <c r="A1439" s="43" t="inlineStr">
        <is>
          <t>L3</t>
        </is>
      </c>
      <c r="B1439" s="43" t="inlineStr">
        <is>
          <t>腹杆拼接</t>
        </is>
      </c>
      <c r="C1439" s="43" t="inlineStr"/>
      <c r="D1439" s="43" t="inlineStr">
        <is>
          <t>Q355D</t>
        </is>
      </c>
      <c r="E1439" s="43" t="n">
        <v>1320</v>
      </c>
      <c r="F1439" s="43" t="n">
        <v>500</v>
      </c>
      <c r="G1439" s="43" t="n">
        <v>28</v>
      </c>
      <c r="H1439" s="79">
        <f>(E1439/1000)*(F1439/1000)*(G1439/1000)*7850</f>
        <v/>
      </c>
      <c r="I1439" s="43" t="n">
        <v>4</v>
      </c>
      <c r="J1439" s="80">
        <f>H1439*I1439</f>
        <v/>
      </c>
      <c r="K1439" s="43" t="inlineStr">
        <is>
          <t>来源页126</t>
        </is>
      </c>
      <c r="L1439" s="43">
        <f>A1439</f>
        <v/>
      </c>
      <c r="M1439" s="81" t="n"/>
      <c r="N1439" s="81" t="n"/>
      <c r="O1439" s="81" t="n"/>
      <c r="P1439" s="81" t="n"/>
      <c r="Q1439" s="81" t="n"/>
      <c r="R1439" s="81" t="n"/>
      <c r="S1439" s="81" t="n"/>
      <c r="T1439" s="81" t="n"/>
      <c r="U1439" s="81" t="n"/>
      <c r="V1439" s="81" t="n"/>
      <c r="W1439" s="43" t="n"/>
    </row>
    <row r="1440">
      <c r="A1440" s="43" t="inlineStr">
        <is>
          <t>L4</t>
        </is>
      </c>
      <c r="B1440" s="43" t="inlineStr">
        <is>
          <t>腹杆拼接</t>
        </is>
      </c>
      <c r="C1440" s="43" t="inlineStr"/>
      <c r="D1440" s="43" t="inlineStr">
        <is>
          <t>Q355D</t>
        </is>
      </c>
      <c r="E1440" s="43" t="n">
        <v>820</v>
      </c>
      <c r="F1440" s="43" t="n">
        <v>200</v>
      </c>
      <c r="G1440" s="43" t="n">
        <v>20</v>
      </c>
      <c r="H1440" s="79">
        <f>(E1440/1000)*(F1440/1000)*(G1440/1000)*7850</f>
        <v/>
      </c>
      <c r="I1440" s="43" t="n">
        <v>4</v>
      </c>
      <c r="J1440" s="80">
        <f>H1440*I1440</f>
        <v/>
      </c>
      <c r="K1440" s="43" t="inlineStr">
        <is>
          <t>来源页126</t>
        </is>
      </c>
      <c r="L1440" s="43">
        <f>A1440</f>
        <v/>
      </c>
      <c r="M1440" s="81" t="n"/>
      <c r="N1440" s="81" t="n"/>
      <c r="O1440" s="81" t="n"/>
      <c r="P1440" s="81" t="n"/>
      <c r="Q1440" s="81" t="n"/>
      <c r="R1440" s="81" t="n"/>
      <c r="S1440" s="81" t="n"/>
      <c r="T1440" s="81" t="n"/>
      <c r="U1440" s="81" t="n"/>
      <c r="V1440" s="81" t="n"/>
      <c r="W1440" s="43" t="n"/>
    </row>
    <row r="1441">
      <c r="A1441" s="43" t="inlineStr">
        <is>
          <t>N11a</t>
        </is>
      </c>
      <c r="B1441" s="43" t="inlineStr">
        <is>
          <t>上弦顶板</t>
        </is>
      </c>
      <c r="C1441" s="43" t="inlineStr">
        <is>
          <t>节段20</t>
        </is>
      </c>
      <c r="D1441" s="43" t="inlineStr">
        <is>
          <t>Q355D</t>
        </is>
      </c>
      <c r="E1441" s="43" t="n"/>
      <c r="F1441" s="43" t="n"/>
      <c r="G1441" s="43" t="n">
        <v>20</v>
      </c>
      <c r="H1441" s="79">
        <f>(E1441/1000)*(F1441/1000)*(G1441/1000)*7850</f>
        <v/>
      </c>
      <c r="I1441" s="43" t="n">
        <v>1</v>
      </c>
      <c r="J1441" s="80">
        <f>H1441*I1441</f>
        <v/>
      </c>
      <c r="K1441" s="43" t="inlineStr">
        <is>
          <t>来源页127</t>
        </is>
      </c>
      <c r="L1441" s="43">
        <f>A1441</f>
        <v/>
      </c>
      <c r="M1441" s="81" t="n"/>
      <c r="N1441" s="81" t="n"/>
      <c r="O1441" s="81" t="n"/>
      <c r="P1441" s="81" t="n"/>
      <c r="Q1441" s="81" t="n"/>
      <c r="R1441" s="81" t="n"/>
      <c r="S1441" s="81" t="n"/>
      <c r="T1441" s="81" t="n"/>
      <c r="U1441" s="81" t="n"/>
      <c r="V1441" s="81" t="n"/>
      <c r="W1441" s="43" t="n"/>
    </row>
    <row r="1442">
      <c r="A1442" s="43" t="inlineStr">
        <is>
          <t>N11b</t>
        </is>
      </c>
      <c r="B1442" s="43" t="inlineStr">
        <is>
          <t>上弦顶板</t>
        </is>
      </c>
      <c r="C1442" s="43" t="inlineStr">
        <is>
          <t>节段20</t>
        </is>
      </c>
      <c r="D1442" s="43" t="inlineStr">
        <is>
          <t>Q355D</t>
        </is>
      </c>
      <c r="E1442" s="43" t="n"/>
      <c r="F1442" s="43" t="n"/>
      <c r="G1442" s="43" t="n">
        <v>20</v>
      </c>
      <c r="H1442" s="79">
        <f>(E1442/1000)*(F1442/1000)*(G1442/1000)*7850</f>
        <v/>
      </c>
      <c r="I1442" s="43" t="n">
        <v>1</v>
      </c>
      <c r="J1442" s="80">
        <f>H1442*I1442</f>
        <v/>
      </c>
      <c r="K1442" s="43" t="inlineStr">
        <is>
          <t>来源页127</t>
        </is>
      </c>
      <c r="L1442" s="43">
        <f>A1442</f>
        <v/>
      </c>
      <c r="M1442" s="81" t="n"/>
      <c r="N1442" s="81" t="n"/>
      <c r="O1442" s="81" t="n"/>
      <c r="P1442" s="81" t="n"/>
      <c r="Q1442" s="81" t="n"/>
      <c r="R1442" s="81" t="n"/>
      <c r="S1442" s="81" t="n"/>
      <c r="T1442" s="81" t="n"/>
      <c r="U1442" s="81" t="n"/>
      <c r="V1442" s="81" t="n"/>
      <c r="W1442" s="43" t="n"/>
    </row>
    <row r="1443">
      <c r="A1443" s="43" t="inlineStr">
        <is>
          <t>N12a</t>
        </is>
      </c>
      <c r="B1443" s="43" t="inlineStr">
        <is>
          <t>上弦底板</t>
        </is>
      </c>
      <c r="C1443" s="43" t="inlineStr">
        <is>
          <t>节段20</t>
        </is>
      </c>
      <c r="D1443" s="43" t="inlineStr">
        <is>
          <t>Q355D</t>
        </is>
      </c>
      <c r="E1443" s="43" t="n">
        <v>7900</v>
      </c>
      <c r="F1443" s="43" t="n">
        <v>1200</v>
      </c>
      <c r="G1443" s="43" t="n">
        <v>20</v>
      </c>
      <c r="H1443" s="79">
        <f>(E1443/1000)*(F1443/1000)*(G1443/1000)*7850</f>
        <v/>
      </c>
      <c r="I1443" s="43" t="n">
        <v>1</v>
      </c>
      <c r="J1443" s="80">
        <f>H1443*I1443</f>
        <v/>
      </c>
      <c r="K1443" s="43" t="inlineStr">
        <is>
          <t>来源页127</t>
        </is>
      </c>
      <c r="L1443" s="43">
        <f>A1443</f>
        <v/>
      </c>
      <c r="M1443" s="81" t="n"/>
      <c r="N1443" s="81" t="n"/>
      <c r="O1443" s="81" t="n"/>
      <c r="P1443" s="81" t="n"/>
      <c r="Q1443" s="81" t="n"/>
      <c r="R1443" s="81" t="n"/>
      <c r="S1443" s="81" t="n"/>
      <c r="T1443" s="81" t="n"/>
      <c r="U1443" s="81" t="n"/>
      <c r="V1443" s="81" t="n"/>
      <c r="W1443" s="43" t="n"/>
    </row>
    <row r="1444">
      <c r="A1444" s="43" t="inlineStr">
        <is>
          <t>N12b</t>
        </is>
      </c>
      <c r="B1444" s="43" t="inlineStr">
        <is>
          <t>上弦底板</t>
        </is>
      </c>
      <c r="C1444" s="43" t="inlineStr">
        <is>
          <t>节段20</t>
        </is>
      </c>
      <c r="D1444" s="43" t="inlineStr">
        <is>
          <t>Q355D</t>
        </is>
      </c>
      <c r="E1444" s="43" t="n">
        <v>7100</v>
      </c>
      <c r="F1444" s="43" t="n">
        <v>1200</v>
      </c>
      <c r="G1444" s="43" t="n">
        <v>20</v>
      </c>
      <c r="H1444" s="79">
        <f>(E1444/1000)*(F1444/1000)*(G1444/1000)*7850</f>
        <v/>
      </c>
      <c r="I1444" s="43" t="n">
        <v>1</v>
      </c>
      <c r="J1444" s="80">
        <f>H1444*I1444</f>
        <v/>
      </c>
      <c r="K1444" s="43" t="inlineStr">
        <is>
          <t>来源页127</t>
        </is>
      </c>
      <c r="L1444" s="43">
        <f>A1444</f>
        <v/>
      </c>
      <c r="M1444" s="81" t="n"/>
      <c r="N1444" s="81" t="n"/>
      <c r="O1444" s="81" t="n"/>
      <c r="P1444" s="81" t="n"/>
      <c r="Q1444" s="81" t="n"/>
      <c r="R1444" s="81" t="n"/>
      <c r="S1444" s="81" t="n"/>
      <c r="T1444" s="81" t="n"/>
      <c r="U1444" s="81" t="n"/>
      <c r="V1444" s="81" t="n"/>
      <c r="W1444" s="43" t="n"/>
    </row>
    <row r="1445">
      <c r="A1445" s="43" t="inlineStr">
        <is>
          <t>N13</t>
        </is>
      </c>
      <c r="B1445" s="43" t="inlineStr">
        <is>
          <t>上弦节点板</t>
        </is>
      </c>
      <c r="C1445" s="43" t="inlineStr">
        <is>
          <t>节段20</t>
        </is>
      </c>
      <c r="D1445" s="43" t="inlineStr">
        <is>
          <t>Q355D</t>
        </is>
      </c>
      <c r="E1445" s="43" t="n"/>
      <c r="F1445" s="43" t="n"/>
      <c r="G1445" s="43" t="n">
        <v>40</v>
      </c>
      <c r="H1445" s="79">
        <f>(E1445/1000)*(F1445/1000)*(G1445/1000)*7850</f>
        <v/>
      </c>
      <c r="I1445" s="43" t="n">
        <v>2</v>
      </c>
      <c r="J1445" s="80">
        <f>H1445*I1445</f>
        <v/>
      </c>
      <c r="K1445" s="43" t="inlineStr">
        <is>
          <t>来源页127</t>
        </is>
      </c>
      <c r="L1445" s="43">
        <f>A1445</f>
        <v/>
      </c>
      <c r="M1445" s="81" t="n"/>
      <c r="N1445" s="81" t="n"/>
      <c r="O1445" s="81" t="n"/>
      <c r="P1445" s="81" t="n"/>
      <c r="Q1445" s="81" t="n"/>
      <c r="R1445" s="81" t="n"/>
      <c r="S1445" s="81" t="n"/>
      <c r="T1445" s="81" t="n"/>
      <c r="U1445" s="81" t="n"/>
      <c r="V1445" s="81" t="n"/>
      <c r="W1445" s="43" t="n"/>
    </row>
    <row r="1446">
      <c r="A1446" s="43" t="inlineStr">
        <is>
          <t>N14</t>
        </is>
      </c>
      <c r="B1446" s="43" t="inlineStr">
        <is>
          <t>上弦腹板</t>
        </is>
      </c>
      <c r="C1446" s="43" t="inlineStr">
        <is>
          <t>节段20</t>
        </is>
      </c>
      <c r="D1446" s="43" t="inlineStr">
        <is>
          <t>Q355D</t>
        </is>
      </c>
      <c r="E1446" s="43" t="n">
        <v>7300</v>
      </c>
      <c r="F1446" s="43" t="n">
        <v>2048</v>
      </c>
      <c r="G1446" s="43" t="n">
        <v>20</v>
      </c>
      <c r="H1446" s="79">
        <f>(E1446/1000)*(F1446/1000)*(G1446/1000)*7850</f>
        <v/>
      </c>
      <c r="I1446" s="43" t="n">
        <v>2</v>
      </c>
      <c r="J1446" s="80">
        <f>H1446*I1446</f>
        <v/>
      </c>
      <c r="K1446" s="43" t="inlineStr">
        <is>
          <t>来源页127</t>
        </is>
      </c>
      <c r="L1446" s="43">
        <f>A1446</f>
        <v/>
      </c>
      <c r="M1446" s="81" t="n"/>
      <c r="N1446" s="81" t="n"/>
      <c r="O1446" s="81" t="n"/>
      <c r="P1446" s="81" t="n"/>
      <c r="Q1446" s="81" t="n"/>
      <c r="R1446" s="81" t="n"/>
      <c r="S1446" s="81" t="n"/>
      <c r="T1446" s="81" t="n"/>
      <c r="U1446" s="81" t="n"/>
      <c r="V1446" s="81" t="n"/>
      <c r="W1446" s="43" t="n"/>
    </row>
    <row r="1447">
      <c r="A1447" s="43" t="inlineStr">
        <is>
          <t>N15</t>
        </is>
      </c>
      <c r="B1447" s="43" t="inlineStr">
        <is>
          <t>上弦横隔板</t>
        </is>
      </c>
      <c r="C1447" s="43" t="inlineStr">
        <is>
          <t>节段20</t>
        </is>
      </c>
      <c r="D1447" s="43" t="inlineStr">
        <is>
          <t>Q355D</t>
        </is>
      </c>
      <c r="E1447" s="43" t="n">
        <v>1980</v>
      </c>
      <c r="F1447" s="43" t="n">
        <v>1200</v>
      </c>
      <c r="G1447" s="43" t="n">
        <v>16</v>
      </c>
      <c r="H1447" s="79">
        <f>(E1447/1000)*(F1447/1000)*(G1447/1000)*7850</f>
        <v/>
      </c>
      <c r="I1447" s="43" t="n">
        <v>3</v>
      </c>
      <c r="J1447" s="80">
        <f>H1447*I1447</f>
        <v/>
      </c>
      <c r="K1447" s="43" t="inlineStr">
        <is>
          <t>来源页127</t>
        </is>
      </c>
      <c r="L1447" s="43">
        <f>A1447</f>
        <v/>
      </c>
      <c r="M1447" s="81" t="n"/>
      <c r="N1447" s="81" t="n"/>
      <c r="O1447" s="81" t="n"/>
      <c r="P1447" s="81" t="n"/>
      <c r="Q1447" s="81" t="n"/>
      <c r="R1447" s="81" t="n"/>
      <c r="S1447" s="81" t="n"/>
      <c r="T1447" s="81" t="n"/>
      <c r="U1447" s="81" t="n"/>
      <c r="V1447" s="81" t="n"/>
      <c r="W1447" s="43" t="n"/>
    </row>
    <row r="1448">
      <c r="A1448" s="43" t="inlineStr">
        <is>
          <t>N15a</t>
        </is>
      </c>
      <c r="B1448" s="43" t="inlineStr">
        <is>
          <t>上弦横隔板</t>
        </is>
      </c>
      <c r="C1448" s="43" t="inlineStr">
        <is>
          <t>节段20</t>
        </is>
      </c>
      <c r="D1448" s="43" t="inlineStr">
        <is>
          <t>Q355D</t>
        </is>
      </c>
      <c r="E1448" s="43" t="n">
        <v>1980</v>
      </c>
      <c r="F1448" s="43" t="n">
        <v>1200</v>
      </c>
      <c r="G1448" s="43" t="n">
        <v>16</v>
      </c>
      <c r="H1448" s="79">
        <f>(E1448/1000)*(F1448/1000)*(G1448/1000)*7850</f>
        <v/>
      </c>
      <c r="I1448" s="43" t="n">
        <v>2</v>
      </c>
      <c r="J1448" s="80">
        <f>H1448*I1448</f>
        <v/>
      </c>
      <c r="K1448" s="43" t="inlineStr">
        <is>
          <t>来源页127</t>
        </is>
      </c>
      <c r="L1448" s="43">
        <f>A1448</f>
        <v/>
      </c>
      <c r="M1448" s="81" t="n"/>
      <c r="N1448" s="81" t="n"/>
      <c r="O1448" s="81" t="n"/>
      <c r="P1448" s="81" t="n"/>
      <c r="Q1448" s="81" t="n"/>
      <c r="R1448" s="81" t="n"/>
      <c r="S1448" s="81" t="n"/>
      <c r="T1448" s="81" t="n"/>
      <c r="U1448" s="81" t="n"/>
      <c r="V1448" s="81" t="n"/>
      <c r="W1448" s="43" t="n"/>
    </row>
    <row r="1449">
      <c r="A1449" s="43" t="inlineStr">
        <is>
          <t>N15‘</t>
        </is>
      </c>
      <c r="B1449" s="43" t="inlineStr">
        <is>
          <t>上弦横隔板</t>
        </is>
      </c>
      <c r="C1449" s="43" t="inlineStr">
        <is>
          <t>节段20</t>
        </is>
      </c>
      <c r="D1449" s="43" t="inlineStr">
        <is>
          <t>Q355D</t>
        </is>
      </c>
      <c r="E1449" s="43" t="n">
        <v>2057</v>
      </c>
      <c r="F1449" s="43" t="n">
        <v>200</v>
      </c>
      <c r="G1449" s="43" t="n">
        <v>16</v>
      </c>
      <c r="H1449" s="79">
        <f>(E1449/1000)*(F1449/1000)*(G1449/1000)*7850</f>
        <v/>
      </c>
      <c r="I1449" s="43" t="n">
        <v>3</v>
      </c>
      <c r="J1449" s="80">
        <f>H1449*I1449</f>
        <v/>
      </c>
      <c r="K1449" s="43" t="inlineStr">
        <is>
          <t>来源页127</t>
        </is>
      </c>
      <c r="L1449" s="43">
        <f>A1449</f>
        <v/>
      </c>
      <c r="M1449" s="81" t="n"/>
      <c r="N1449" s="81" t="n"/>
      <c r="O1449" s="81" t="n"/>
      <c r="P1449" s="81" t="n"/>
      <c r="Q1449" s="81" t="n"/>
      <c r="R1449" s="81" t="n"/>
      <c r="S1449" s="81" t="n"/>
      <c r="T1449" s="81" t="n"/>
      <c r="U1449" s="81" t="n"/>
      <c r="V1449" s="81" t="n"/>
      <c r="W1449" s="43" t="n"/>
    </row>
    <row r="1450">
      <c r="A1450" s="43" t="inlineStr">
        <is>
          <t>N15b</t>
        </is>
      </c>
      <c r="B1450" s="43" t="inlineStr">
        <is>
          <t>上弦横隔板</t>
        </is>
      </c>
      <c r="C1450" s="43" t="inlineStr">
        <is>
          <t>节段20</t>
        </is>
      </c>
      <c r="D1450" s="43" t="inlineStr">
        <is>
          <t>Q355B</t>
        </is>
      </c>
      <c r="E1450" s="43" t="n">
        <v>4113</v>
      </c>
      <c r="F1450" s="43" t="n">
        <v>40</v>
      </c>
      <c r="G1450" s="43" t="n">
        <v>4</v>
      </c>
      <c r="H1450" s="79">
        <f>(E1450/1000)*(F1450/1000)*(G1450/1000)*7850</f>
        <v/>
      </c>
      <c r="I1450" s="43" t="n">
        <v>4</v>
      </c>
      <c r="J1450" s="80">
        <f>H1450*I1450</f>
        <v/>
      </c>
      <c r="K1450" s="43" t="inlineStr">
        <is>
          <t>来源页127</t>
        </is>
      </c>
      <c r="L1450" s="43">
        <f>A1450</f>
        <v/>
      </c>
      <c r="M1450" s="81" t="n"/>
      <c r="N1450" s="81" t="n"/>
      <c r="O1450" s="81" t="n"/>
      <c r="P1450" s="81" t="n"/>
      <c r="Q1450" s="81" t="n"/>
      <c r="R1450" s="81" t="n"/>
      <c r="S1450" s="81" t="n"/>
      <c r="T1450" s="81" t="n"/>
      <c r="U1450" s="81" t="n"/>
      <c r="V1450" s="81" t="n"/>
      <c r="W1450" s="43" t="n"/>
    </row>
    <row r="1451">
      <c r="A1451" s="43" t="inlineStr">
        <is>
          <t>N15c</t>
        </is>
      </c>
      <c r="B1451" s="43" t="inlineStr">
        <is>
          <t>上弦横隔板</t>
        </is>
      </c>
      <c r="C1451" s="43" t="inlineStr">
        <is>
          <t>节段20</t>
        </is>
      </c>
      <c r="D1451" s="43" t="inlineStr">
        <is>
          <t>Q355D</t>
        </is>
      </c>
      <c r="E1451" s="43" t="n">
        <v>800</v>
      </c>
      <c r="F1451" s="43" t="n">
        <v>400</v>
      </c>
      <c r="G1451" s="43" t="n">
        <v>16</v>
      </c>
      <c r="H1451" s="79">
        <f>(E1451/1000)*(F1451/1000)*(G1451/1000)*7850</f>
        <v/>
      </c>
      <c r="I1451" s="43" t="n">
        <v>4</v>
      </c>
      <c r="J1451" s="80">
        <f>H1451*I1451</f>
        <v/>
      </c>
      <c r="K1451" s="43" t="inlineStr">
        <is>
          <t>来源页127</t>
        </is>
      </c>
      <c r="L1451" s="43">
        <f>A1451</f>
        <v/>
      </c>
      <c r="M1451" s="81" t="n"/>
      <c r="N1451" s="81" t="n"/>
      <c r="O1451" s="81" t="n"/>
      <c r="P1451" s="81" t="n"/>
      <c r="Q1451" s="81" t="n"/>
      <c r="R1451" s="81" t="n"/>
      <c r="S1451" s="81" t="n"/>
      <c r="T1451" s="81" t="n"/>
      <c r="U1451" s="81" t="n"/>
      <c r="V1451" s="81" t="n"/>
      <c r="W1451" s="43" t="n"/>
    </row>
    <row r="1452">
      <c r="A1452" s="43" t="inlineStr">
        <is>
          <t>N16b</t>
        </is>
      </c>
      <c r="B1452" s="43" t="inlineStr">
        <is>
          <t>上弦加劲肋</t>
        </is>
      </c>
      <c r="C1452" s="43" t="inlineStr">
        <is>
          <t>节段20</t>
        </is>
      </c>
      <c r="D1452" s="43" t="inlineStr">
        <is>
          <t>Q355D</t>
        </is>
      </c>
      <c r="E1452" s="43" t="n">
        <v>7100</v>
      </c>
      <c r="F1452" s="43" t="n">
        <v>240</v>
      </c>
      <c r="G1452" s="43" t="n">
        <v>20</v>
      </c>
      <c r="H1452" s="79">
        <f>(E1452/1000)*(F1452/1000)*(G1452/1000)*7850</f>
        <v/>
      </c>
      <c r="I1452" s="43" t="n">
        <v>6</v>
      </c>
      <c r="J1452" s="80">
        <f>H1452*I1452</f>
        <v/>
      </c>
      <c r="K1452" s="43" t="inlineStr">
        <is>
          <t>来源页127</t>
        </is>
      </c>
      <c r="L1452" s="43">
        <f>A1452</f>
        <v/>
      </c>
      <c r="M1452" s="81" t="n"/>
      <c r="N1452" s="81" t="n"/>
      <c r="O1452" s="81" t="n"/>
      <c r="P1452" s="81" t="n"/>
      <c r="Q1452" s="81" t="n"/>
      <c r="R1452" s="81" t="n"/>
      <c r="S1452" s="81" t="n"/>
      <c r="T1452" s="81" t="n"/>
      <c r="U1452" s="81" t="n"/>
      <c r="V1452" s="81" t="n"/>
      <c r="W1452" s="43" t="n"/>
    </row>
    <row r="1453">
      <c r="A1453" s="43" t="inlineStr">
        <is>
          <t>N21a</t>
        </is>
      </c>
      <c r="B1453" s="43" t="inlineStr">
        <is>
          <t>下弦顶板</t>
        </is>
      </c>
      <c r="C1453" s="43" t="inlineStr">
        <is>
          <t>节段20</t>
        </is>
      </c>
      <c r="D1453" s="43" t="inlineStr">
        <is>
          <t>Q355D</t>
        </is>
      </c>
      <c r="E1453" s="43" t="n">
        <v>7900</v>
      </c>
      <c r="F1453" s="43" t="n">
        <v>2500</v>
      </c>
      <c r="G1453" s="43" t="n">
        <v>20</v>
      </c>
      <c r="H1453" s="79">
        <f>(E1453/1000)*(F1453/1000)*(G1453/1000)*7850</f>
        <v/>
      </c>
      <c r="I1453" s="43" t="n">
        <v>1</v>
      </c>
      <c r="J1453" s="80">
        <f>H1453*I1453</f>
        <v/>
      </c>
      <c r="K1453" s="43" t="inlineStr">
        <is>
          <t>来源页127</t>
        </is>
      </c>
      <c r="L1453" s="43">
        <f>A1453</f>
        <v/>
      </c>
      <c r="M1453" s="81" t="n"/>
      <c r="N1453" s="81" t="n"/>
      <c r="O1453" s="81" t="n"/>
      <c r="P1453" s="81" t="n"/>
      <c r="Q1453" s="81" t="n"/>
      <c r="R1453" s="81" t="n"/>
      <c r="S1453" s="81" t="n"/>
      <c r="T1453" s="81" t="n"/>
      <c r="U1453" s="81" t="n"/>
      <c r="V1453" s="81" t="n"/>
      <c r="W1453" s="43" t="n"/>
    </row>
    <row r="1454">
      <c r="A1454" s="43" t="inlineStr">
        <is>
          <t>N21b</t>
        </is>
      </c>
      <c r="B1454" s="43" t="inlineStr">
        <is>
          <t>下弦顶板</t>
        </is>
      </c>
      <c r="C1454" s="43" t="inlineStr">
        <is>
          <t>节段20</t>
        </is>
      </c>
      <c r="D1454" s="43" t="inlineStr">
        <is>
          <t>Q355D</t>
        </is>
      </c>
      <c r="E1454" s="43" t="n">
        <v>7100</v>
      </c>
      <c r="F1454" s="43" t="n">
        <v>2500</v>
      </c>
      <c r="G1454" s="43" t="n">
        <v>20</v>
      </c>
      <c r="H1454" s="79">
        <f>(E1454/1000)*(F1454/1000)*(G1454/1000)*7850</f>
        <v/>
      </c>
      <c r="I1454" s="43" t="n">
        <v>1</v>
      </c>
      <c r="J1454" s="80">
        <f>H1454*I1454</f>
        <v/>
      </c>
      <c r="K1454" s="43" t="inlineStr">
        <is>
          <t>来源页127</t>
        </is>
      </c>
      <c r="L1454" s="43">
        <f>A1454</f>
        <v/>
      </c>
      <c r="M1454" s="81" t="n"/>
      <c r="N1454" s="81" t="n"/>
      <c r="O1454" s="81" t="n"/>
      <c r="P1454" s="81" t="n"/>
      <c r="Q1454" s="81" t="n"/>
      <c r="R1454" s="81" t="n"/>
      <c r="S1454" s="81" t="n"/>
      <c r="T1454" s="81" t="n"/>
      <c r="U1454" s="81" t="n"/>
      <c r="V1454" s="81" t="n"/>
      <c r="W1454" s="43" t="n"/>
    </row>
    <row r="1455">
      <c r="A1455" s="43" t="inlineStr">
        <is>
          <t>N22a</t>
        </is>
      </c>
      <c r="B1455" s="43" t="inlineStr">
        <is>
          <t>下弦底板</t>
        </is>
      </c>
      <c r="C1455" s="43" t="inlineStr">
        <is>
          <t>节段20</t>
        </is>
      </c>
      <c r="D1455" s="43" t="inlineStr">
        <is>
          <t>Q355D</t>
        </is>
      </c>
      <c r="E1455" s="43" t="n"/>
      <c r="F1455" s="43" t="n"/>
      <c r="G1455" s="43" t="n">
        <v>20</v>
      </c>
      <c r="H1455" s="79">
        <f>(E1455/1000)*(F1455/1000)*(G1455/1000)*7850</f>
        <v/>
      </c>
      <c r="I1455" s="43" t="n">
        <v>1</v>
      </c>
      <c r="J1455" s="80">
        <f>H1455*I1455</f>
        <v/>
      </c>
      <c r="K1455" s="43" t="inlineStr">
        <is>
          <t>来源页127</t>
        </is>
      </c>
      <c r="L1455" s="43">
        <f>A1455</f>
        <v/>
      </c>
      <c r="M1455" s="81" t="n"/>
      <c r="N1455" s="81" t="n"/>
      <c r="O1455" s="81" t="n"/>
      <c r="P1455" s="81" t="n"/>
      <c r="Q1455" s="81" t="n"/>
      <c r="R1455" s="81" t="n"/>
      <c r="S1455" s="81" t="n"/>
      <c r="T1455" s="81" t="n"/>
      <c r="U1455" s="81" t="n"/>
      <c r="V1455" s="81" t="n"/>
      <c r="W1455" s="43" t="n"/>
    </row>
    <row r="1456">
      <c r="A1456" s="43" t="inlineStr">
        <is>
          <t>N22b</t>
        </is>
      </c>
      <c r="B1456" s="43" t="inlineStr">
        <is>
          <t>下弦底板</t>
        </is>
      </c>
      <c r="C1456" s="43" t="inlineStr">
        <is>
          <t>节段20</t>
        </is>
      </c>
      <c r="D1456" s="43" t="inlineStr">
        <is>
          <t>Q355D</t>
        </is>
      </c>
      <c r="E1456" s="43" t="n"/>
      <c r="F1456" s="43" t="n"/>
      <c r="G1456" s="43" t="n">
        <v>20</v>
      </c>
      <c r="H1456" s="79">
        <f>(E1456/1000)*(F1456/1000)*(G1456/1000)*7850</f>
        <v/>
      </c>
      <c r="I1456" s="43" t="n">
        <v>1</v>
      </c>
      <c r="J1456" s="80">
        <f>H1456*I1456</f>
        <v/>
      </c>
      <c r="K1456" s="43" t="inlineStr">
        <is>
          <t>来源页127</t>
        </is>
      </c>
      <c r="L1456" s="43">
        <f>A1456</f>
        <v/>
      </c>
      <c r="M1456" s="81" t="n"/>
      <c r="N1456" s="81" t="n"/>
      <c r="O1456" s="81" t="n"/>
      <c r="P1456" s="81" t="n"/>
      <c r="Q1456" s="81" t="n"/>
      <c r="R1456" s="81" t="n"/>
      <c r="S1456" s="81" t="n"/>
      <c r="T1456" s="81" t="n"/>
      <c r="U1456" s="81" t="n"/>
      <c r="V1456" s="81" t="n"/>
      <c r="W1456" s="43" t="n"/>
    </row>
    <row r="1457">
      <c r="A1457" s="43" t="inlineStr">
        <is>
          <t>N23</t>
        </is>
      </c>
      <c r="B1457" s="43" t="inlineStr">
        <is>
          <t>下弦节点板</t>
        </is>
      </c>
      <c r="C1457" s="43" t="inlineStr">
        <is>
          <t>节段20</t>
        </is>
      </c>
      <c r="D1457" s="43" t="inlineStr">
        <is>
          <t>Q355D</t>
        </is>
      </c>
      <c r="E1457" s="43" t="n"/>
      <c r="F1457" s="43" t="n"/>
      <c r="G1457" s="43" t="n">
        <v>40</v>
      </c>
      <c r="H1457" s="79">
        <f>(E1457/1000)*(F1457/1000)*(G1457/1000)*7850</f>
        <v/>
      </c>
      <c r="I1457" s="43" t="n">
        <v>2</v>
      </c>
      <c r="J1457" s="80">
        <f>H1457*I1457</f>
        <v/>
      </c>
      <c r="K1457" s="43" t="inlineStr">
        <is>
          <t>Z35钢；来源页127</t>
        </is>
      </c>
      <c r="L1457" s="43">
        <f>A1457</f>
        <v/>
      </c>
      <c r="M1457" s="81" t="n"/>
      <c r="N1457" s="81" t="n"/>
      <c r="O1457" s="81" t="n"/>
      <c r="P1457" s="81" t="n"/>
      <c r="Q1457" s="81" t="n"/>
      <c r="R1457" s="81" t="n"/>
      <c r="S1457" s="81" t="n"/>
      <c r="T1457" s="81" t="n"/>
      <c r="U1457" s="81" t="n"/>
      <c r="V1457" s="81" t="n"/>
      <c r="W1457" s="43" t="n"/>
    </row>
    <row r="1458">
      <c r="A1458" s="43" t="inlineStr">
        <is>
          <t>N24</t>
        </is>
      </c>
      <c r="B1458" s="43" t="inlineStr">
        <is>
          <t>下弦腹板</t>
        </is>
      </c>
      <c r="C1458" s="43" t="inlineStr">
        <is>
          <t>节段20</t>
        </is>
      </c>
      <c r="D1458" s="43" t="inlineStr">
        <is>
          <t>Q355D</t>
        </is>
      </c>
      <c r="E1458" s="43" t="n">
        <v>7300</v>
      </c>
      <c r="F1458" s="43" t="n">
        <v>1880</v>
      </c>
      <c r="G1458" s="43" t="n">
        <v>24</v>
      </c>
      <c r="H1458" s="79">
        <f>(E1458/1000)*(F1458/1000)*(G1458/1000)*7850</f>
        <v/>
      </c>
      <c r="I1458" s="43" t="n">
        <v>2</v>
      </c>
      <c r="J1458" s="80">
        <f>H1458*I1458</f>
        <v/>
      </c>
      <c r="K1458" s="43" t="inlineStr">
        <is>
          <t>来源页127</t>
        </is>
      </c>
      <c r="L1458" s="43">
        <f>A1458</f>
        <v/>
      </c>
      <c r="M1458" s="81" t="n"/>
      <c r="N1458" s="81" t="n"/>
      <c r="O1458" s="81" t="n"/>
      <c r="P1458" s="81" t="n"/>
      <c r="Q1458" s="81" t="n"/>
      <c r="R1458" s="81" t="n"/>
      <c r="S1458" s="81" t="n"/>
      <c r="T1458" s="81" t="n"/>
      <c r="U1458" s="81" t="n"/>
      <c r="V1458" s="81" t="n"/>
      <c r="W1458" s="43" t="n"/>
    </row>
    <row r="1459">
      <c r="A1459" s="43" t="inlineStr">
        <is>
          <t>N25</t>
        </is>
      </c>
      <c r="B1459" s="43" t="inlineStr">
        <is>
          <t>下弦横隔板</t>
        </is>
      </c>
      <c r="C1459" s="43" t="inlineStr">
        <is>
          <t>节段20</t>
        </is>
      </c>
      <c r="D1459" s="43" t="inlineStr">
        <is>
          <t>Q355D</t>
        </is>
      </c>
      <c r="E1459" s="43" t="n">
        <v>1800</v>
      </c>
      <c r="F1459" s="43" t="n">
        <v>1200</v>
      </c>
      <c r="G1459" s="43" t="n">
        <v>16</v>
      </c>
      <c r="H1459" s="79">
        <f>(E1459/1000)*(F1459/1000)*(G1459/1000)*7850</f>
        <v/>
      </c>
      <c r="I1459" s="43" t="n">
        <v>3</v>
      </c>
      <c r="J1459" s="80">
        <f>H1459*I1459</f>
        <v/>
      </c>
      <c r="K1459" s="43" t="inlineStr">
        <is>
          <t>来源页127</t>
        </is>
      </c>
      <c r="L1459" s="43">
        <f>A1459</f>
        <v/>
      </c>
      <c r="M1459" s="81" t="n"/>
      <c r="N1459" s="81" t="n"/>
      <c r="O1459" s="81" t="n"/>
      <c r="P1459" s="81" t="n"/>
      <c r="Q1459" s="81" t="n"/>
      <c r="R1459" s="81" t="n"/>
      <c r="S1459" s="81" t="n"/>
      <c r="T1459" s="81" t="n"/>
      <c r="U1459" s="81" t="n"/>
      <c r="V1459" s="81" t="n"/>
      <c r="W1459" s="43" t="n"/>
    </row>
    <row r="1460">
      <c r="A1460" s="43" t="inlineStr">
        <is>
          <t>N25a</t>
        </is>
      </c>
      <c r="B1460" s="43" t="inlineStr">
        <is>
          <t>下弦横隔板</t>
        </is>
      </c>
      <c r="C1460" s="43" t="inlineStr">
        <is>
          <t>节段20</t>
        </is>
      </c>
      <c r="D1460" s="43" t="inlineStr">
        <is>
          <t>Q355D</t>
        </is>
      </c>
      <c r="E1460" s="43" t="n">
        <v>1800</v>
      </c>
      <c r="F1460" s="43" t="n">
        <v>1200</v>
      </c>
      <c r="G1460" s="43" t="n">
        <v>16</v>
      </c>
      <c r="H1460" s="79">
        <f>(E1460/1000)*(F1460/1000)*(G1460/1000)*7850</f>
        <v/>
      </c>
      <c r="I1460" s="43" t="n">
        <v>2</v>
      </c>
      <c r="J1460" s="80">
        <f>H1460*I1460</f>
        <v/>
      </c>
      <c r="K1460" s="43" t="inlineStr">
        <is>
          <t>来源页127</t>
        </is>
      </c>
      <c r="L1460" s="43">
        <f>A1460</f>
        <v/>
      </c>
      <c r="M1460" s="81" t="n"/>
      <c r="N1460" s="81" t="n"/>
      <c r="O1460" s="81" t="n"/>
      <c r="P1460" s="81" t="n"/>
      <c r="Q1460" s="81" t="n"/>
      <c r="R1460" s="81" t="n"/>
      <c r="S1460" s="81" t="n"/>
      <c r="T1460" s="81" t="n"/>
      <c r="U1460" s="81" t="n"/>
      <c r="V1460" s="81" t="n"/>
      <c r="W1460" s="43" t="n"/>
    </row>
    <row r="1461">
      <c r="A1461" s="43" t="inlineStr">
        <is>
          <t>N25'</t>
        </is>
      </c>
      <c r="B1461" s="43" t="inlineStr">
        <is>
          <t>下弦横隔板</t>
        </is>
      </c>
      <c r="C1461" s="43" t="inlineStr">
        <is>
          <t>节段20</t>
        </is>
      </c>
      <c r="D1461" s="43" t="inlineStr">
        <is>
          <t>Q355D</t>
        </is>
      </c>
      <c r="E1461" s="43" t="n">
        <v>2057</v>
      </c>
      <c r="F1461" s="43" t="n">
        <v>200</v>
      </c>
      <c r="G1461" s="43" t="n">
        <v>16</v>
      </c>
      <c r="H1461" s="79">
        <f>(E1461/1000)*(F1461/1000)*(G1461/1000)*7850</f>
        <v/>
      </c>
      <c r="I1461" s="43" t="n">
        <v>5</v>
      </c>
      <c r="J1461" s="80">
        <f>H1461*I1461</f>
        <v/>
      </c>
      <c r="K1461" s="43" t="inlineStr">
        <is>
          <t>来源页127</t>
        </is>
      </c>
      <c r="L1461" s="43">
        <f>A1461</f>
        <v/>
      </c>
      <c r="M1461" s="81" t="n"/>
      <c r="N1461" s="81" t="n"/>
      <c r="O1461" s="81" t="n"/>
      <c r="P1461" s="81" t="n"/>
      <c r="Q1461" s="81" t="n"/>
      <c r="R1461" s="81" t="n"/>
      <c r="S1461" s="81" t="n"/>
      <c r="T1461" s="81" t="n"/>
      <c r="U1461" s="81" t="n"/>
      <c r="V1461" s="81" t="n"/>
      <c r="W1461" s="43" t="n"/>
    </row>
    <row r="1462">
      <c r="A1462" s="43" t="inlineStr">
        <is>
          <t>N26a</t>
        </is>
      </c>
      <c r="B1462" s="43" t="inlineStr">
        <is>
          <t>下弦加劲肋</t>
        </is>
      </c>
      <c r="C1462" s="43" t="inlineStr">
        <is>
          <t>节段20</t>
        </is>
      </c>
      <c r="D1462" s="43" t="inlineStr">
        <is>
          <t>Q355D</t>
        </is>
      </c>
      <c r="E1462" s="43" t="n">
        <v>7900</v>
      </c>
      <c r="F1462" s="43" t="n">
        <v>240</v>
      </c>
      <c r="G1462" s="43" t="n">
        <v>20</v>
      </c>
      <c r="H1462" s="79">
        <f>(E1462/1000)*(F1462/1000)*(G1462/1000)*7850</f>
        <v/>
      </c>
      <c r="I1462" s="43" t="n">
        <v>4</v>
      </c>
      <c r="J1462" s="80">
        <f>H1462*I1462</f>
        <v/>
      </c>
      <c r="K1462" s="43" t="inlineStr">
        <is>
          <t>来源页127</t>
        </is>
      </c>
      <c r="L1462" s="43">
        <f>A1462</f>
        <v/>
      </c>
      <c r="M1462" s="81" t="n"/>
      <c r="N1462" s="81" t="n"/>
      <c r="O1462" s="81" t="n"/>
      <c r="P1462" s="81" t="n"/>
      <c r="Q1462" s="81" t="n"/>
      <c r="R1462" s="81" t="n"/>
      <c r="S1462" s="81" t="n"/>
      <c r="T1462" s="81" t="n"/>
      <c r="U1462" s="81" t="n"/>
      <c r="V1462" s="81" t="n"/>
      <c r="W1462" s="43" t="n"/>
    </row>
    <row r="1463">
      <c r="A1463" s="43" t="inlineStr">
        <is>
          <t>N26b</t>
        </is>
      </c>
      <c r="B1463" s="43" t="inlineStr">
        <is>
          <t>下弦加劲肋</t>
        </is>
      </c>
      <c r="C1463" s="43" t="inlineStr">
        <is>
          <t>节段20</t>
        </is>
      </c>
      <c r="D1463" s="43" t="inlineStr">
        <is>
          <t>Q355D</t>
        </is>
      </c>
      <c r="E1463" s="43" t="n">
        <v>7100</v>
      </c>
      <c r="F1463" s="43" t="n">
        <v>240</v>
      </c>
      <c r="G1463" s="43" t="n">
        <v>20</v>
      </c>
      <c r="H1463" s="79">
        <f>(E1463/1000)*(F1463/1000)*(G1463/1000)*7850</f>
        <v/>
      </c>
      <c r="I1463" s="43" t="n">
        <v>4</v>
      </c>
      <c r="J1463" s="80">
        <f>H1463*I1463</f>
        <v/>
      </c>
      <c r="K1463" s="43" t="inlineStr">
        <is>
          <t>来源页127</t>
        </is>
      </c>
      <c r="L1463" s="43">
        <f>A1463</f>
        <v/>
      </c>
      <c r="M1463" s="81" t="n"/>
      <c r="N1463" s="81" t="n"/>
      <c r="O1463" s="81" t="n"/>
      <c r="P1463" s="81" t="n"/>
      <c r="Q1463" s="81" t="n"/>
      <c r="R1463" s="81" t="n"/>
      <c r="S1463" s="81" t="n"/>
      <c r="T1463" s="81" t="n"/>
      <c r="U1463" s="81" t="n"/>
      <c r="V1463" s="81" t="n"/>
      <c r="W1463" s="43" t="n"/>
    </row>
    <row r="1464">
      <c r="A1464" s="43" t="inlineStr">
        <is>
          <t>N26c</t>
        </is>
      </c>
      <c r="B1464" s="43" t="inlineStr">
        <is>
          <t>下弦加劲肋</t>
        </is>
      </c>
      <c r="C1464" s="43" t="inlineStr">
        <is>
          <t>节段20</t>
        </is>
      </c>
      <c r="D1464" s="43" t="inlineStr">
        <is>
          <t>Q355D</t>
        </is>
      </c>
      <c r="E1464" s="43" t="n">
        <v>15000</v>
      </c>
      <c r="F1464" s="43" t="n">
        <v>170</v>
      </c>
      <c r="G1464" s="43" t="n">
        <v>14</v>
      </c>
      <c r="H1464" s="79">
        <f>(E1464/1000)*(F1464/1000)*(G1464/1000)*7850</f>
        <v/>
      </c>
      <c r="I1464" s="43" t="n">
        <v>2</v>
      </c>
      <c r="J1464" s="80">
        <f>H1464*I1464</f>
        <v/>
      </c>
      <c r="K1464" s="43" t="inlineStr">
        <is>
          <t>来源页127</t>
        </is>
      </c>
      <c r="L1464" s="43">
        <f>A1464</f>
        <v/>
      </c>
      <c r="M1464" s="81" t="n"/>
      <c r="N1464" s="81" t="n"/>
      <c r="O1464" s="81" t="n"/>
      <c r="P1464" s="81" t="n"/>
      <c r="Q1464" s="81" t="n"/>
      <c r="R1464" s="81" t="n"/>
      <c r="S1464" s="81" t="n"/>
      <c r="T1464" s="81" t="n"/>
      <c r="U1464" s="81" t="n"/>
      <c r="V1464" s="81" t="n"/>
      <c r="W1464" s="43" t="n"/>
    </row>
    <row r="1465">
      <c r="A1465" s="43" t="inlineStr">
        <is>
          <t>N31</t>
        </is>
      </c>
      <c r="B1465" s="43" t="inlineStr">
        <is>
          <t>斜腹杆</t>
        </is>
      </c>
      <c r="C1465" s="43" t="inlineStr">
        <is>
          <t>节段20</t>
        </is>
      </c>
      <c r="D1465" s="43" t="inlineStr">
        <is>
          <t>Q355D</t>
        </is>
      </c>
      <c r="E1465" s="43" t="n">
        <v>7227</v>
      </c>
      <c r="F1465" s="43" t="n">
        <v>900</v>
      </c>
      <c r="G1465" s="43" t="n">
        <v>36</v>
      </c>
      <c r="H1465" s="79">
        <f>(E1465/1000)*(F1465/1000)*(G1465/1000)*7850</f>
        <v/>
      </c>
      <c r="I1465" s="43" t="n">
        <v>2</v>
      </c>
      <c r="J1465" s="80">
        <f>H1465*I1465</f>
        <v/>
      </c>
      <c r="K1465" s="43" t="inlineStr">
        <is>
          <t>来源页127</t>
        </is>
      </c>
      <c r="L1465" s="43">
        <f>A1465</f>
        <v/>
      </c>
      <c r="M1465" s="81" t="n"/>
      <c r="N1465" s="81" t="n"/>
      <c r="O1465" s="81" t="n"/>
      <c r="P1465" s="81" t="n"/>
      <c r="Q1465" s="81" t="n"/>
      <c r="R1465" s="81" t="n"/>
      <c r="S1465" s="81" t="n"/>
      <c r="T1465" s="81" t="n"/>
      <c r="U1465" s="81" t="n"/>
      <c r="V1465" s="81" t="n"/>
      <c r="W1465" s="43" t="n"/>
    </row>
    <row r="1466">
      <c r="A1466" s="43" t="inlineStr">
        <is>
          <t>N32</t>
        </is>
      </c>
      <c r="B1466" s="43" t="inlineStr">
        <is>
          <t>斜腹杆</t>
        </is>
      </c>
      <c r="C1466" s="43" t="inlineStr">
        <is>
          <t>节段20</t>
        </is>
      </c>
      <c r="D1466" s="43" t="inlineStr">
        <is>
          <t>Q355D</t>
        </is>
      </c>
      <c r="E1466" s="43" t="n">
        <v>11727</v>
      </c>
      <c r="F1466" s="43" t="n">
        <v>1200</v>
      </c>
      <c r="G1466" s="43" t="n">
        <v>32</v>
      </c>
      <c r="H1466" s="79">
        <f>(E1466/1000)*(F1466/1000)*(G1466/1000)*7850</f>
        <v/>
      </c>
      <c r="I1466" s="43" t="n">
        <v>1</v>
      </c>
      <c r="J1466" s="80">
        <f>H1466*I1466</f>
        <v/>
      </c>
      <c r="K1466" s="43" t="inlineStr">
        <is>
          <t>来源页127</t>
        </is>
      </c>
      <c r="L1466" s="43">
        <f>A1466</f>
        <v/>
      </c>
      <c r="M1466" s="81" t="n"/>
      <c r="N1466" s="81" t="n"/>
      <c r="O1466" s="81" t="n"/>
      <c r="P1466" s="81" t="n"/>
      <c r="Q1466" s="81" t="n"/>
      <c r="R1466" s="81" t="n"/>
      <c r="S1466" s="81" t="n"/>
      <c r="T1466" s="81" t="n"/>
      <c r="U1466" s="81" t="n"/>
      <c r="V1466" s="81" t="n"/>
      <c r="W1466" s="43" t="n"/>
    </row>
    <row r="1467">
      <c r="A1467" s="43" t="inlineStr">
        <is>
          <t>N33</t>
        </is>
      </c>
      <c r="B1467" s="43" t="inlineStr">
        <is>
          <t>斜腹杆</t>
        </is>
      </c>
      <c r="C1467" s="43" t="inlineStr">
        <is>
          <t>节段20</t>
        </is>
      </c>
      <c r="D1467" s="43" t="inlineStr">
        <is>
          <t>Q355D</t>
        </is>
      </c>
      <c r="E1467" s="43" t="n">
        <v>10327</v>
      </c>
      <c r="F1467" s="43" t="n">
        <v>240</v>
      </c>
      <c r="G1467" s="43" t="n">
        <v>24</v>
      </c>
      <c r="H1467" s="79">
        <f>(E1467/1000)*(F1467/1000)*(G1467/1000)*7850</f>
        <v/>
      </c>
      <c r="I1467" s="43" t="n">
        <v>2</v>
      </c>
      <c r="J1467" s="80">
        <f>H1467*I1467</f>
        <v/>
      </c>
      <c r="K1467" s="43" t="inlineStr">
        <is>
          <t>来源页127</t>
        </is>
      </c>
      <c r="L1467" s="43">
        <f>A1467</f>
        <v/>
      </c>
      <c r="M1467" s="81" t="n"/>
      <c r="N1467" s="81" t="n"/>
      <c r="O1467" s="81" t="n"/>
      <c r="P1467" s="81" t="n"/>
      <c r="Q1467" s="81" t="n"/>
      <c r="R1467" s="81" t="n"/>
      <c r="S1467" s="81" t="n"/>
      <c r="T1467" s="81" t="n"/>
      <c r="U1467" s="81" t="n"/>
      <c r="V1467" s="81" t="n"/>
      <c r="W1467" s="43" t="n"/>
    </row>
    <row r="1468">
      <c r="A1468" s="43" t="inlineStr">
        <is>
          <t>N41</t>
        </is>
      </c>
      <c r="B1468" s="43" t="inlineStr">
        <is>
          <t>斜腹杆</t>
        </is>
      </c>
      <c r="C1468" s="43" t="inlineStr">
        <is>
          <t>节段20</t>
        </is>
      </c>
      <c r="D1468" s="43" t="inlineStr">
        <is>
          <t>Q355D</t>
        </is>
      </c>
      <c r="E1468" s="43" t="n">
        <v>3657</v>
      </c>
      <c r="F1468" s="43" t="n">
        <v>900</v>
      </c>
      <c r="G1468" s="43" t="n">
        <v>36</v>
      </c>
      <c r="H1468" s="79">
        <f>(E1468/1000)*(F1468/1000)*(G1468/1000)*7850</f>
        <v/>
      </c>
      <c r="I1468" s="43" t="n">
        <v>2</v>
      </c>
      <c r="J1468" s="80">
        <f>H1468*I1468</f>
        <v/>
      </c>
      <c r="K1468" s="43" t="inlineStr">
        <is>
          <t>来源页127</t>
        </is>
      </c>
      <c r="L1468" s="43">
        <f>A1468</f>
        <v/>
      </c>
      <c r="M1468" s="81" t="n"/>
      <c r="N1468" s="81" t="n"/>
      <c r="O1468" s="81" t="n"/>
      <c r="P1468" s="81" t="n"/>
      <c r="Q1468" s="81" t="n"/>
      <c r="R1468" s="81" t="n"/>
      <c r="S1468" s="81" t="n"/>
      <c r="T1468" s="81" t="n"/>
      <c r="U1468" s="81" t="n"/>
      <c r="V1468" s="81" t="n"/>
      <c r="W1468" s="43" t="n"/>
    </row>
    <row r="1469">
      <c r="A1469" s="43" t="inlineStr">
        <is>
          <t>N42</t>
        </is>
      </c>
      <c r="B1469" s="43" t="inlineStr">
        <is>
          <t>斜腹杆</t>
        </is>
      </c>
      <c r="C1469" s="43" t="inlineStr">
        <is>
          <t>节段20</t>
        </is>
      </c>
      <c r="D1469" s="43" t="inlineStr">
        <is>
          <t>Q355D</t>
        </is>
      </c>
      <c r="E1469" s="43" t="n">
        <v>5957</v>
      </c>
      <c r="F1469" s="43" t="n">
        <v>1200</v>
      </c>
      <c r="G1469" s="43" t="n">
        <v>32</v>
      </c>
      <c r="H1469" s="79">
        <f>(E1469/1000)*(F1469/1000)*(G1469/1000)*7850</f>
        <v/>
      </c>
      <c r="I1469" s="43" t="n">
        <v>1</v>
      </c>
      <c r="J1469" s="80">
        <f>H1469*I1469</f>
        <v/>
      </c>
      <c r="K1469" s="43" t="inlineStr">
        <is>
          <t>来源页127</t>
        </is>
      </c>
      <c r="L1469" s="43">
        <f>A1469</f>
        <v/>
      </c>
      <c r="M1469" s="81" t="n"/>
      <c r="N1469" s="81" t="n"/>
      <c r="O1469" s="81" t="n"/>
      <c r="P1469" s="81" t="n"/>
      <c r="Q1469" s="81" t="n"/>
      <c r="R1469" s="81" t="n"/>
      <c r="S1469" s="81" t="n"/>
      <c r="T1469" s="81" t="n"/>
      <c r="U1469" s="81" t="n"/>
      <c r="V1469" s="81" t="n"/>
      <c r="W1469" s="43" t="n"/>
    </row>
    <row r="1470">
      <c r="A1470" s="43" t="inlineStr">
        <is>
          <t>N43</t>
        </is>
      </c>
      <c r="B1470" s="43" t="inlineStr">
        <is>
          <t>斜腹杆</t>
        </is>
      </c>
      <c r="C1470" s="43" t="inlineStr">
        <is>
          <t>节段20</t>
        </is>
      </c>
      <c r="D1470" s="43" t="inlineStr">
        <is>
          <t>Q355D</t>
        </is>
      </c>
      <c r="E1470" s="43" t="n">
        <v>5257</v>
      </c>
      <c r="F1470" s="43" t="n">
        <v>240</v>
      </c>
      <c r="G1470" s="43" t="n">
        <v>24</v>
      </c>
      <c r="H1470" s="79">
        <f>(E1470/1000)*(F1470/1000)*(G1470/1000)*7850</f>
        <v/>
      </c>
      <c r="I1470" s="43" t="n">
        <v>2</v>
      </c>
      <c r="J1470" s="80">
        <f>H1470*I1470</f>
        <v/>
      </c>
      <c r="K1470" s="43" t="inlineStr">
        <is>
          <t>来源页127</t>
        </is>
      </c>
      <c r="L1470" s="43">
        <f>A1470</f>
        <v/>
      </c>
      <c r="M1470" s="81" t="n"/>
      <c r="N1470" s="81" t="n"/>
      <c r="O1470" s="81" t="n"/>
      <c r="P1470" s="81" t="n"/>
      <c r="Q1470" s="81" t="n"/>
      <c r="R1470" s="81" t="n"/>
      <c r="S1470" s="81" t="n"/>
      <c r="T1470" s="81" t="n"/>
      <c r="U1470" s="81" t="n"/>
      <c r="V1470" s="81" t="n"/>
      <c r="W1470" s="43" t="n"/>
    </row>
    <row r="1471">
      <c r="A1471" s="43" t="inlineStr">
        <is>
          <t>N51</t>
        </is>
      </c>
      <c r="B1471" s="43" t="inlineStr">
        <is>
          <t>斜腹杆</t>
        </is>
      </c>
      <c r="C1471" s="43" t="inlineStr">
        <is>
          <t>节段20</t>
        </is>
      </c>
      <c r="D1471" s="43" t="inlineStr">
        <is>
          <t>Q355D</t>
        </is>
      </c>
      <c r="E1471" s="43" t="n">
        <v>3640</v>
      </c>
      <c r="F1471" s="43" t="n">
        <v>900</v>
      </c>
      <c r="G1471" s="43" t="n">
        <v>36</v>
      </c>
      <c r="H1471" s="79">
        <f>(E1471/1000)*(F1471/1000)*(G1471/1000)*7850</f>
        <v/>
      </c>
      <c r="I1471" s="43" t="n">
        <v>2</v>
      </c>
      <c r="J1471" s="80">
        <f>H1471*I1471</f>
        <v/>
      </c>
      <c r="K1471" s="43" t="inlineStr">
        <is>
          <t>来源页127</t>
        </is>
      </c>
      <c r="L1471" s="43">
        <f>A1471</f>
        <v/>
      </c>
      <c r="M1471" s="81" t="n"/>
      <c r="N1471" s="81" t="n"/>
      <c r="O1471" s="81" t="n"/>
      <c r="P1471" s="81" t="n"/>
      <c r="Q1471" s="81" t="n"/>
      <c r="R1471" s="81" t="n"/>
      <c r="S1471" s="81" t="n"/>
      <c r="T1471" s="81" t="n"/>
      <c r="U1471" s="81" t="n"/>
      <c r="V1471" s="81" t="n"/>
      <c r="W1471" s="43" t="n"/>
    </row>
    <row r="1472">
      <c r="A1472" s="43" t="inlineStr">
        <is>
          <t>N52</t>
        </is>
      </c>
      <c r="B1472" s="43" t="inlineStr">
        <is>
          <t>斜腹杆</t>
        </is>
      </c>
      <c r="C1472" s="43" t="inlineStr">
        <is>
          <t>节段20</t>
        </is>
      </c>
      <c r="D1472" s="43" t="inlineStr">
        <is>
          <t>Q355D</t>
        </is>
      </c>
      <c r="E1472" s="43" t="n">
        <v>5940</v>
      </c>
      <c r="F1472" s="43" t="n">
        <v>1200</v>
      </c>
      <c r="G1472" s="43" t="n">
        <v>32</v>
      </c>
      <c r="H1472" s="79">
        <f>(E1472/1000)*(F1472/1000)*(G1472/1000)*7850</f>
        <v/>
      </c>
      <c r="I1472" s="43" t="n">
        <v>1</v>
      </c>
      <c r="J1472" s="80">
        <f>H1472*I1472</f>
        <v/>
      </c>
      <c r="K1472" s="43" t="inlineStr">
        <is>
          <t>来源页127</t>
        </is>
      </c>
      <c r="L1472" s="43">
        <f>A1472</f>
        <v/>
      </c>
      <c r="M1472" s="81" t="n"/>
      <c r="N1472" s="81" t="n"/>
      <c r="O1472" s="81" t="n"/>
      <c r="P1472" s="81" t="n"/>
      <c r="Q1472" s="81" t="n"/>
      <c r="R1472" s="81" t="n"/>
      <c r="S1472" s="81" t="n"/>
      <c r="T1472" s="81" t="n"/>
      <c r="U1472" s="81" t="n"/>
      <c r="V1472" s="81" t="n"/>
      <c r="W1472" s="43" t="n"/>
    </row>
    <row r="1473">
      <c r="A1473" s="43" t="inlineStr">
        <is>
          <t>N53</t>
        </is>
      </c>
      <c r="B1473" s="43" t="inlineStr">
        <is>
          <t>斜腹杆</t>
        </is>
      </c>
      <c r="C1473" s="43" t="inlineStr">
        <is>
          <t>节段20</t>
        </is>
      </c>
      <c r="D1473" s="43" t="inlineStr">
        <is>
          <t>Q355D</t>
        </is>
      </c>
      <c r="E1473" s="43" t="n">
        <v>5240</v>
      </c>
      <c r="F1473" s="43" t="n">
        <v>240</v>
      </c>
      <c r="G1473" s="43" t="n">
        <v>24</v>
      </c>
      <c r="H1473" s="79">
        <f>(E1473/1000)*(F1473/1000)*(G1473/1000)*7850</f>
        <v/>
      </c>
      <c r="I1473" s="43" t="n">
        <v>2</v>
      </c>
      <c r="J1473" s="80">
        <f>H1473*I1473</f>
        <v/>
      </c>
      <c r="K1473" s="43" t="inlineStr">
        <is>
          <t>来源页127</t>
        </is>
      </c>
      <c r="L1473" s="43">
        <f>A1473</f>
        <v/>
      </c>
      <c r="M1473" s="81" t="n"/>
      <c r="N1473" s="81" t="n"/>
      <c r="O1473" s="81" t="n"/>
      <c r="P1473" s="81" t="n"/>
      <c r="Q1473" s="81" t="n"/>
      <c r="R1473" s="81" t="n"/>
      <c r="S1473" s="81" t="n"/>
      <c r="T1473" s="81" t="n"/>
      <c r="U1473" s="81" t="n"/>
      <c r="V1473" s="81" t="n"/>
      <c r="W1473" s="43" t="n"/>
    </row>
    <row r="1474">
      <c r="A1474" s="43" t="inlineStr">
        <is>
          <t>N61a</t>
        </is>
      </c>
      <c r="B1474" s="43" t="inlineStr">
        <is>
          <t>横梁接头</t>
        </is>
      </c>
      <c r="C1474" s="43" t="inlineStr">
        <is>
          <t>节段20</t>
        </is>
      </c>
      <c r="D1474" s="43" t="inlineStr">
        <is>
          <t>Q355D</t>
        </is>
      </c>
      <c r="E1474" s="43" t="n">
        <v>1980</v>
      </c>
      <c r="F1474" s="43" t="n">
        <v>630</v>
      </c>
      <c r="G1474" s="43" t="n">
        <v>14</v>
      </c>
      <c r="H1474" s="79">
        <f>(E1474/1000)*(F1474/1000)*(G1474/1000)*7850</f>
        <v/>
      </c>
      <c r="I1474" s="43" t="n">
        <v>4</v>
      </c>
      <c r="J1474" s="80">
        <f>H1474*I1474</f>
        <v/>
      </c>
      <c r="K1474" s="43" t="inlineStr">
        <is>
          <t>来源页127</t>
        </is>
      </c>
      <c r="L1474" s="43">
        <f>A1474</f>
        <v/>
      </c>
      <c r="M1474" s="81" t="n"/>
      <c r="N1474" s="81" t="n"/>
      <c r="O1474" s="81" t="n"/>
      <c r="P1474" s="81" t="n"/>
      <c r="Q1474" s="81" t="n"/>
      <c r="R1474" s="81" t="n"/>
      <c r="S1474" s="81" t="n"/>
      <c r="T1474" s="81" t="n"/>
      <c r="U1474" s="81" t="n"/>
      <c r="V1474" s="81" t="n"/>
      <c r="W1474" s="43" t="n"/>
    </row>
    <row r="1475">
      <c r="A1475" s="43" t="inlineStr">
        <is>
          <t>N62a</t>
        </is>
      </c>
      <c r="B1475" s="43" t="inlineStr">
        <is>
          <t>横梁接头</t>
        </is>
      </c>
      <c r="C1475" s="43" t="inlineStr">
        <is>
          <t>节段20</t>
        </is>
      </c>
      <c r="D1475" s="43" t="inlineStr">
        <is>
          <t>Q355D</t>
        </is>
      </c>
      <c r="E1475" s="43" t="n"/>
      <c r="F1475" s="43" t="n"/>
      <c r="G1475" s="43" t="n">
        <v>24</v>
      </c>
      <c r="H1475" s="79">
        <f>(E1475/1000)*(F1475/1000)*(G1475/1000)*7850</f>
        <v/>
      </c>
      <c r="I1475" s="43" t="n">
        <v>4</v>
      </c>
      <c r="J1475" s="80">
        <f>H1475*I1475</f>
        <v/>
      </c>
      <c r="K1475" s="43" t="inlineStr">
        <is>
          <t>来源页127</t>
        </is>
      </c>
      <c r="L1475" s="43">
        <f>A1475</f>
        <v/>
      </c>
      <c r="M1475" s="81" t="n"/>
      <c r="N1475" s="81" t="n"/>
      <c r="O1475" s="81" t="n"/>
      <c r="P1475" s="81" t="n"/>
      <c r="Q1475" s="81" t="n"/>
      <c r="R1475" s="81" t="n"/>
      <c r="S1475" s="81" t="n"/>
      <c r="T1475" s="81" t="n"/>
      <c r="U1475" s="81" t="n"/>
      <c r="V1475" s="81" t="n"/>
      <c r="W1475" s="43" t="n"/>
    </row>
    <row r="1476">
      <c r="A1476" s="43" t="inlineStr">
        <is>
          <t>N63a</t>
        </is>
      </c>
      <c r="B1476" s="43" t="inlineStr">
        <is>
          <t>横梁接头</t>
        </is>
      </c>
      <c r="C1476" s="43" t="inlineStr">
        <is>
          <t>节段20</t>
        </is>
      </c>
      <c r="D1476" s="43" t="inlineStr">
        <is>
          <t>Q355D</t>
        </is>
      </c>
      <c r="E1476" s="43" t="n">
        <v>1800</v>
      </c>
      <c r="F1476" s="43" t="n">
        <v>626</v>
      </c>
      <c r="G1476" s="43" t="n">
        <v>14</v>
      </c>
      <c r="H1476" s="79">
        <f>(E1476/1000)*(F1476/1000)*(G1476/1000)*7850</f>
        <v/>
      </c>
      <c r="I1476" s="43" t="n">
        <v>4</v>
      </c>
      <c r="J1476" s="80">
        <f>H1476*I1476</f>
        <v/>
      </c>
      <c r="K1476" s="43" t="inlineStr">
        <is>
          <t>来源页127</t>
        </is>
      </c>
      <c r="L1476" s="43">
        <f>A1476</f>
        <v/>
      </c>
      <c r="M1476" s="81" t="n"/>
      <c r="N1476" s="81" t="n"/>
      <c r="O1476" s="81" t="n"/>
      <c r="P1476" s="81" t="n"/>
      <c r="Q1476" s="81" t="n"/>
      <c r="R1476" s="81" t="n"/>
      <c r="S1476" s="81" t="n"/>
      <c r="T1476" s="81" t="n"/>
      <c r="U1476" s="81" t="n"/>
      <c r="V1476" s="81" t="n"/>
      <c r="W1476" s="43" t="n"/>
    </row>
    <row r="1477">
      <c r="A1477" s="43" t="inlineStr">
        <is>
          <t>P1</t>
        </is>
      </c>
      <c r="B1477" s="43" t="inlineStr"/>
      <c r="C1477" s="43" t="inlineStr">
        <is>
          <t>节段20~节段21</t>
        </is>
      </c>
      <c r="D1477" s="43" t="inlineStr">
        <is>
          <t>Q355D</t>
        </is>
      </c>
      <c r="E1477" s="43" t="n">
        <v>1020</v>
      </c>
      <c r="F1477" s="43" t="n">
        <v>1800</v>
      </c>
      <c r="G1477" s="43" t="n">
        <v>16</v>
      </c>
      <c r="H1477" s="79">
        <f>(E1477/1000)*(F1477/1000)*(G1477/1000)*7850</f>
        <v/>
      </c>
      <c r="I1477" s="43" t="n">
        <v>2</v>
      </c>
      <c r="J1477" s="80">
        <f>H1477*I1477</f>
        <v/>
      </c>
      <c r="K1477" s="43" t="inlineStr">
        <is>
          <t>来源页130</t>
        </is>
      </c>
      <c r="L1477" s="43">
        <f>A1477</f>
        <v/>
      </c>
      <c r="M1477" s="81" t="n"/>
      <c r="N1477" s="81" t="n"/>
      <c r="O1477" s="81" t="n"/>
      <c r="P1477" s="81" t="n"/>
      <c r="Q1477" s="81" t="n"/>
      <c r="R1477" s="81" t="n"/>
      <c r="S1477" s="81" t="n"/>
      <c r="T1477" s="81" t="n"/>
      <c r="U1477" s="81" t="n"/>
      <c r="V1477" s="81" t="n"/>
      <c r="W1477" s="43" t="n"/>
    </row>
    <row r="1478">
      <c r="A1478" s="43" t="inlineStr">
        <is>
          <t>P2</t>
        </is>
      </c>
      <c r="B1478" s="43" t="inlineStr"/>
      <c r="C1478" s="43" t="inlineStr">
        <is>
          <t>节段20~节段21</t>
        </is>
      </c>
      <c r="D1478" s="43" t="inlineStr">
        <is>
          <t>Q355D</t>
        </is>
      </c>
      <c r="E1478" s="43" t="n">
        <v>1020</v>
      </c>
      <c r="F1478" s="43" t="n">
        <v>500</v>
      </c>
      <c r="G1478" s="43" t="n">
        <v>16</v>
      </c>
      <c r="H1478" s="79">
        <f>(E1478/1000)*(F1478/1000)*(G1478/1000)*7850</f>
        <v/>
      </c>
      <c r="I1478" s="43" t="n">
        <v>2</v>
      </c>
      <c r="J1478" s="80">
        <f>H1478*I1478</f>
        <v/>
      </c>
      <c r="K1478" s="43" t="inlineStr">
        <is>
          <t>来源页130</t>
        </is>
      </c>
      <c r="L1478" s="43">
        <f>A1478</f>
        <v/>
      </c>
      <c r="M1478" s="81" t="n"/>
      <c r="N1478" s="81" t="n"/>
      <c r="O1478" s="81" t="n"/>
      <c r="P1478" s="81" t="n"/>
      <c r="Q1478" s="81" t="n"/>
      <c r="R1478" s="81" t="n"/>
      <c r="S1478" s="81" t="n"/>
      <c r="T1478" s="81" t="n"/>
      <c r="U1478" s="81" t="n"/>
      <c r="V1478" s="81" t="n"/>
      <c r="W1478" s="43" t="n"/>
    </row>
    <row r="1479">
      <c r="A1479" s="43" t="inlineStr">
        <is>
          <t>P3</t>
        </is>
      </c>
      <c r="B1479" s="43" t="inlineStr"/>
      <c r="C1479" s="43" t="inlineStr">
        <is>
          <t>节段20~节段21</t>
        </is>
      </c>
      <c r="D1479" s="43" t="inlineStr">
        <is>
          <t>Q355D</t>
        </is>
      </c>
      <c r="E1479" s="43" t="n">
        <v>1020</v>
      </c>
      <c r="F1479" s="43" t="n">
        <v>500</v>
      </c>
      <c r="G1479" s="43" t="n">
        <v>16</v>
      </c>
      <c r="H1479" s="79">
        <f>(E1479/1000)*(F1479/1000)*(G1479/1000)*7850</f>
        <v/>
      </c>
      <c r="I1479" s="43" t="n">
        <v>2</v>
      </c>
      <c r="J1479" s="80">
        <f>H1479*I1479</f>
        <v/>
      </c>
      <c r="K1479" s="43" t="inlineStr">
        <is>
          <t>来源页130</t>
        </is>
      </c>
      <c r="L1479" s="43">
        <f>A1479</f>
        <v/>
      </c>
      <c r="M1479" s="81" t="n"/>
      <c r="N1479" s="81" t="n"/>
      <c r="O1479" s="81" t="n"/>
      <c r="P1479" s="81" t="n"/>
      <c r="Q1479" s="81" t="n"/>
      <c r="R1479" s="81" t="n"/>
      <c r="S1479" s="81" t="n"/>
      <c r="T1479" s="81" t="n"/>
      <c r="U1479" s="81" t="n"/>
      <c r="V1479" s="81" t="n"/>
      <c r="W1479" s="43" t="n"/>
    </row>
    <row r="1480">
      <c r="A1480" s="43" t="inlineStr">
        <is>
          <t>P4</t>
        </is>
      </c>
      <c r="B1480" s="43" t="inlineStr"/>
      <c r="C1480" s="43" t="inlineStr">
        <is>
          <t>节段20~节段21</t>
        </is>
      </c>
      <c r="D1480" s="43" t="inlineStr">
        <is>
          <t>Q355D</t>
        </is>
      </c>
      <c r="E1480" s="43" t="n">
        <v>1020</v>
      </c>
      <c r="F1480" s="43" t="n">
        <v>600</v>
      </c>
      <c r="G1480" s="43" t="n">
        <v>16</v>
      </c>
      <c r="H1480" s="79">
        <f>(E1480/1000)*(F1480/1000)*(G1480/1000)*7850</f>
        <v/>
      </c>
      <c r="I1480" s="43" t="n">
        <v>2</v>
      </c>
      <c r="J1480" s="80">
        <f>H1480*I1480</f>
        <v/>
      </c>
      <c r="K1480" s="43" t="inlineStr">
        <is>
          <t>来源页130</t>
        </is>
      </c>
      <c r="L1480" s="43">
        <f>A1480</f>
        <v/>
      </c>
      <c r="M1480" s="81" t="n"/>
      <c r="N1480" s="81" t="n"/>
      <c r="O1480" s="81" t="n"/>
      <c r="P1480" s="81" t="n"/>
      <c r="Q1480" s="81" t="n"/>
      <c r="R1480" s="81" t="n"/>
      <c r="S1480" s="81" t="n"/>
      <c r="T1480" s="81" t="n"/>
      <c r="U1480" s="81" t="n"/>
      <c r="V1480" s="81" t="n"/>
      <c r="W1480" s="43" t="n"/>
    </row>
    <row r="1481">
      <c r="A1481" s="43" t="inlineStr">
        <is>
          <t>P5</t>
        </is>
      </c>
      <c r="B1481" s="43" t="inlineStr"/>
      <c r="C1481" s="43" t="inlineStr">
        <is>
          <t>节段20~节段21</t>
        </is>
      </c>
      <c r="D1481" s="43" t="inlineStr">
        <is>
          <t>Q355D</t>
        </is>
      </c>
      <c r="E1481" s="43" t="n">
        <v>1420</v>
      </c>
      <c r="F1481" s="43" t="n">
        <v>1100</v>
      </c>
      <c r="G1481" s="43" t="n">
        <v>28</v>
      </c>
      <c r="H1481" s="79">
        <f>(E1481/1000)*(F1481/1000)*(G1481/1000)*7850</f>
        <v/>
      </c>
      <c r="I1481" s="43" t="n">
        <v>1</v>
      </c>
      <c r="J1481" s="80">
        <f>H1481*I1481</f>
        <v/>
      </c>
      <c r="K1481" s="43" t="inlineStr">
        <is>
          <t>来源页130</t>
        </is>
      </c>
      <c r="L1481" s="43">
        <f>A1481</f>
        <v/>
      </c>
      <c r="M1481" s="81" t="n"/>
      <c r="N1481" s="81" t="n"/>
      <c r="O1481" s="81" t="n"/>
      <c r="P1481" s="81" t="n"/>
      <c r="Q1481" s="81" t="n"/>
      <c r="R1481" s="81" t="n"/>
      <c r="S1481" s="81" t="n"/>
      <c r="T1481" s="81" t="n"/>
      <c r="U1481" s="81" t="n"/>
      <c r="V1481" s="81" t="n"/>
      <c r="W1481" s="43" t="n"/>
    </row>
    <row r="1482">
      <c r="A1482" s="43" t="inlineStr">
        <is>
          <t>P6</t>
        </is>
      </c>
      <c r="B1482" s="43" t="inlineStr"/>
      <c r="C1482" s="43" t="inlineStr">
        <is>
          <t>节段20~节段21</t>
        </is>
      </c>
      <c r="D1482" s="43" t="inlineStr">
        <is>
          <t>Q355D</t>
        </is>
      </c>
      <c r="E1482" s="43" t="n">
        <v>1420</v>
      </c>
      <c r="F1482" s="43" t="n">
        <v>400</v>
      </c>
      <c r="G1482" s="43" t="n">
        <v>28</v>
      </c>
      <c r="H1482" s="79">
        <f>(E1482/1000)*(F1482/1000)*(G1482/1000)*7850</f>
        <v/>
      </c>
      <c r="I1482" s="43" t="n">
        <v>2</v>
      </c>
      <c r="J1482" s="80">
        <f>H1482*I1482</f>
        <v/>
      </c>
      <c r="K1482" s="43" t="inlineStr">
        <is>
          <t>来源页130</t>
        </is>
      </c>
      <c r="L1482" s="43">
        <f>A1482</f>
        <v/>
      </c>
      <c r="M1482" s="81" t="n"/>
      <c r="N1482" s="81" t="n"/>
      <c r="O1482" s="81" t="n"/>
      <c r="P1482" s="81" t="n"/>
      <c r="Q1482" s="81" t="n"/>
      <c r="R1482" s="81" t="n"/>
      <c r="S1482" s="81" t="n"/>
      <c r="T1482" s="81" t="n"/>
      <c r="U1482" s="81" t="n"/>
      <c r="V1482" s="81" t="n"/>
      <c r="W1482" s="43" t="n"/>
    </row>
    <row r="1483">
      <c r="A1483" s="43" t="inlineStr">
        <is>
          <t>P7</t>
        </is>
      </c>
      <c r="B1483" s="43" t="inlineStr"/>
      <c r="C1483" s="43" t="inlineStr">
        <is>
          <t>节段20~节段21</t>
        </is>
      </c>
      <c r="D1483" s="43" t="inlineStr">
        <is>
          <t>Q355D</t>
        </is>
      </c>
      <c r="E1483" s="43" t="n">
        <v>920</v>
      </c>
      <c r="F1483" s="43" t="n">
        <v>200</v>
      </c>
      <c r="G1483" s="43" t="n">
        <v>20</v>
      </c>
      <c r="H1483" s="79">
        <f>(E1483/1000)*(F1483/1000)*(G1483/1000)*7850</f>
        <v/>
      </c>
      <c r="I1483" s="43" t="n">
        <v>10</v>
      </c>
      <c r="J1483" s="80">
        <f>H1483*I1483</f>
        <v/>
      </c>
      <c r="K1483" s="43" t="inlineStr">
        <is>
          <t>来源页130</t>
        </is>
      </c>
      <c r="L1483" s="43">
        <f>A1483</f>
        <v/>
      </c>
      <c r="M1483" s="81" t="n"/>
      <c r="N1483" s="81" t="n"/>
      <c r="O1483" s="81" t="n"/>
      <c r="P1483" s="81" t="n"/>
      <c r="Q1483" s="81" t="n"/>
      <c r="R1483" s="81" t="n"/>
      <c r="S1483" s="81" t="n"/>
      <c r="T1483" s="81" t="n"/>
      <c r="U1483" s="81" t="n"/>
      <c r="V1483" s="81" t="n"/>
      <c r="W1483" s="43" t="n"/>
    </row>
    <row r="1484">
      <c r="A1484" s="43" t="inlineStr">
        <is>
          <t>P8</t>
        </is>
      </c>
      <c r="B1484" s="43" t="inlineStr"/>
      <c r="C1484" s="43" t="inlineStr">
        <is>
          <t>节段20~节段21</t>
        </is>
      </c>
      <c r="D1484" s="43" t="inlineStr">
        <is>
          <t>Q355D</t>
        </is>
      </c>
      <c r="E1484" s="43" t="n">
        <v>600</v>
      </c>
      <c r="F1484" s="43" t="n">
        <v>1800</v>
      </c>
      <c r="G1484" s="43" t="n">
        <v>20</v>
      </c>
      <c r="H1484" s="79">
        <f>(E1484/1000)*(F1484/1000)*(G1484/1000)*7850</f>
        <v/>
      </c>
      <c r="I1484" s="43" t="n">
        <v>2</v>
      </c>
      <c r="J1484" s="80">
        <f>H1484*I1484</f>
        <v/>
      </c>
      <c r="K1484" s="43" t="inlineStr">
        <is>
          <t>来源页130</t>
        </is>
      </c>
      <c r="L1484" s="43">
        <f>A1484</f>
        <v/>
      </c>
      <c r="M1484" s="81" t="n"/>
      <c r="N1484" s="81" t="n"/>
      <c r="O1484" s="81" t="n"/>
      <c r="P1484" s="81" t="n"/>
      <c r="Q1484" s="81" t="n"/>
      <c r="R1484" s="81" t="n"/>
      <c r="S1484" s="81" t="n"/>
      <c r="T1484" s="81" t="n"/>
      <c r="U1484" s="81" t="n"/>
      <c r="V1484" s="81" t="n"/>
      <c r="W1484" s="43" t="n"/>
    </row>
    <row r="1485">
      <c r="A1485" s="43" t="inlineStr">
        <is>
          <t>M30高强螺栓</t>
        </is>
      </c>
      <c r="B1485" s="43" t="inlineStr"/>
      <c r="C1485" s="43" t="inlineStr">
        <is>
          <t>节段20~节段21</t>
        </is>
      </c>
      <c r="D1485" s="43" t="inlineStr">
        <is>
          <t>10.9S</t>
        </is>
      </c>
      <c r="E1485" s="43" t="n"/>
      <c r="F1485" s="43" t="n"/>
      <c r="G1485" s="43" t="n"/>
      <c r="H1485" s="79">
        <f>(E1485/1000)*(F1485/1000)*(G1485/1000)*7850</f>
        <v/>
      </c>
      <c r="I1485" s="43" t="n">
        <v>508</v>
      </c>
      <c r="J1485" s="80">
        <f>H1485*I1485</f>
        <v/>
      </c>
      <c r="K1485" s="43" t="inlineStr">
        <is>
          <t>来源页130</t>
        </is>
      </c>
      <c r="L1485" s="43">
        <f>A1485</f>
        <v/>
      </c>
      <c r="M1485" s="81" t="n"/>
      <c r="N1485" s="81" t="n"/>
      <c r="O1485" s="81" t="n"/>
      <c r="P1485" s="81" t="n"/>
      <c r="Q1485" s="81" t="n"/>
      <c r="R1485" s="81" t="n"/>
      <c r="S1485" s="81" t="n"/>
      <c r="T1485" s="81" t="n"/>
      <c r="U1485" s="81" t="n"/>
      <c r="V1485" s="81" t="n"/>
      <c r="W1485" s="43" t="n"/>
    </row>
    <row r="1486">
      <c r="A1486" s="43" t="inlineStr">
        <is>
          <t>K1</t>
        </is>
      </c>
      <c r="B1486" s="43" t="inlineStr"/>
      <c r="C1486" s="43" t="inlineStr">
        <is>
          <t>节段20~节段21</t>
        </is>
      </c>
      <c r="D1486" s="43" t="inlineStr">
        <is>
          <t>Q355D</t>
        </is>
      </c>
      <c r="E1486" s="43" t="n">
        <v>820</v>
      </c>
      <c r="F1486" s="43" t="n">
        <v>1700</v>
      </c>
      <c r="G1486" s="43" t="n">
        <v>20</v>
      </c>
      <c r="H1486" s="79">
        <f>(E1486/1000)*(F1486/1000)*(G1486/1000)*7850</f>
        <v/>
      </c>
      <c r="I1486" s="43" t="n">
        <v>2</v>
      </c>
      <c r="J1486" s="80">
        <f>H1486*I1486</f>
        <v/>
      </c>
      <c r="K1486" s="43" t="inlineStr">
        <is>
          <t>来源页130</t>
        </is>
      </c>
      <c r="L1486" s="43">
        <f>A1486</f>
        <v/>
      </c>
      <c r="M1486" s="81" t="n"/>
      <c r="N1486" s="81" t="n"/>
      <c r="O1486" s="81" t="n"/>
      <c r="P1486" s="81" t="n"/>
      <c r="Q1486" s="81" t="n"/>
      <c r="R1486" s="81" t="n"/>
      <c r="S1486" s="81" t="n"/>
      <c r="T1486" s="81" t="n"/>
      <c r="U1486" s="81" t="n"/>
      <c r="V1486" s="81" t="n"/>
      <c r="W1486" s="43" t="n"/>
    </row>
    <row r="1487">
      <c r="A1487" s="43" t="inlineStr">
        <is>
          <t>K2</t>
        </is>
      </c>
      <c r="B1487" s="43" t="inlineStr"/>
      <c r="C1487" s="43" t="inlineStr">
        <is>
          <t>节段20~节段21</t>
        </is>
      </c>
      <c r="D1487" s="43" t="inlineStr">
        <is>
          <t>Q355D</t>
        </is>
      </c>
      <c r="E1487" s="43" t="n">
        <v>820</v>
      </c>
      <c r="F1487" s="43" t="n">
        <v>800</v>
      </c>
      <c r="G1487" s="43" t="n">
        <v>20</v>
      </c>
      <c r="H1487" s="79">
        <f>(E1487/1000)*(F1487/1000)*(G1487/1000)*7850</f>
        <v/>
      </c>
      <c r="I1487" s="43" t="n">
        <v>4</v>
      </c>
      <c r="J1487" s="80">
        <f>H1487*I1487</f>
        <v/>
      </c>
      <c r="K1487" s="43" t="inlineStr">
        <is>
          <t>来源页130</t>
        </is>
      </c>
      <c r="L1487" s="43">
        <f>A1487</f>
        <v/>
      </c>
      <c r="M1487" s="81" t="n"/>
      <c r="N1487" s="81" t="n"/>
      <c r="O1487" s="81" t="n"/>
      <c r="P1487" s="81" t="n"/>
      <c r="Q1487" s="81" t="n"/>
      <c r="R1487" s="81" t="n"/>
      <c r="S1487" s="81" t="n"/>
      <c r="T1487" s="81" t="n"/>
      <c r="U1487" s="81" t="n"/>
      <c r="V1487" s="81" t="n"/>
      <c r="W1487" s="43" t="n"/>
    </row>
    <row r="1488">
      <c r="A1488" s="43" t="inlineStr">
        <is>
          <t>K3</t>
        </is>
      </c>
      <c r="B1488" s="43" t="inlineStr"/>
      <c r="C1488" s="43" t="inlineStr">
        <is>
          <t>节段20~节段21</t>
        </is>
      </c>
      <c r="D1488" s="43" t="inlineStr">
        <is>
          <t>Q355D</t>
        </is>
      </c>
      <c r="E1488" s="43" t="n">
        <v>1120</v>
      </c>
      <c r="F1488" s="43" t="n">
        <v>1100</v>
      </c>
      <c r="G1488" s="43" t="n">
        <v>32</v>
      </c>
      <c r="H1488" s="79">
        <f>(E1488/1000)*(F1488/1000)*(G1488/1000)*7850</f>
        <v/>
      </c>
      <c r="I1488" s="43" t="n">
        <v>1</v>
      </c>
      <c r="J1488" s="80">
        <f>H1488*I1488</f>
        <v/>
      </c>
      <c r="K1488" s="43" t="inlineStr">
        <is>
          <t>来源页130</t>
        </is>
      </c>
      <c r="L1488" s="43">
        <f>A1488</f>
        <v/>
      </c>
      <c r="M1488" s="81" t="n"/>
      <c r="N1488" s="81" t="n"/>
      <c r="O1488" s="81" t="n"/>
      <c r="P1488" s="81" t="n"/>
      <c r="Q1488" s="81" t="n"/>
      <c r="R1488" s="81" t="n"/>
      <c r="S1488" s="81" t="n"/>
      <c r="T1488" s="81" t="n"/>
      <c r="U1488" s="81" t="n"/>
      <c r="V1488" s="81" t="n"/>
      <c r="W1488" s="43" t="n"/>
    </row>
    <row r="1489">
      <c r="A1489" s="43" t="inlineStr">
        <is>
          <t>K4</t>
        </is>
      </c>
      <c r="B1489" s="43" t="inlineStr"/>
      <c r="C1489" s="43" t="inlineStr">
        <is>
          <t>节段20~节段21</t>
        </is>
      </c>
      <c r="D1489" s="43" t="inlineStr">
        <is>
          <t>Q355D</t>
        </is>
      </c>
      <c r="E1489" s="43" t="n">
        <v>1120</v>
      </c>
      <c r="F1489" s="43" t="n">
        <v>400</v>
      </c>
      <c r="G1489" s="43" t="n">
        <v>32</v>
      </c>
      <c r="H1489" s="79">
        <f>(E1489/1000)*(F1489/1000)*(G1489/1000)*7850</f>
        <v/>
      </c>
      <c r="I1489" s="43" t="n">
        <v>2</v>
      </c>
      <c r="J1489" s="80">
        <f>H1489*I1489</f>
        <v/>
      </c>
      <c r="K1489" s="43" t="inlineStr">
        <is>
          <t>来源页130</t>
        </is>
      </c>
      <c r="L1489" s="43">
        <f>A1489</f>
        <v/>
      </c>
      <c r="M1489" s="81" t="n"/>
      <c r="N1489" s="81" t="n"/>
      <c r="O1489" s="81" t="n"/>
      <c r="P1489" s="81" t="n"/>
      <c r="Q1489" s="81" t="n"/>
      <c r="R1489" s="81" t="n"/>
      <c r="S1489" s="81" t="n"/>
      <c r="T1489" s="81" t="n"/>
      <c r="U1489" s="81" t="n"/>
      <c r="V1489" s="81" t="n"/>
      <c r="W1489" s="43" t="n"/>
    </row>
    <row r="1490">
      <c r="A1490" s="43" t="inlineStr">
        <is>
          <t>K5</t>
        </is>
      </c>
      <c r="B1490" s="43" t="inlineStr"/>
      <c r="C1490" s="43" t="inlineStr">
        <is>
          <t>节段20~节段21</t>
        </is>
      </c>
      <c r="D1490" s="43" t="inlineStr">
        <is>
          <t>Q355D</t>
        </is>
      </c>
      <c r="E1490" s="43" t="n">
        <v>920</v>
      </c>
      <c r="F1490" s="43" t="n">
        <v>200</v>
      </c>
      <c r="G1490" s="43" t="n">
        <v>20</v>
      </c>
      <c r="H1490" s="79">
        <f>(E1490/1000)*(F1490/1000)*(G1490/1000)*7850</f>
        <v/>
      </c>
      <c r="I1490" s="43" t="n">
        <v>6</v>
      </c>
      <c r="J1490" s="80">
        <f>H1490*I1490</f>
        <v/>
      </c>
      <c r="K1490" s="43" t="inlineStr">
        <is>
          <t>来源页130</t>
        </is>
      </c>
      <c r="L1490" s="43">
        <f>A1490</f>
        <v/>
      </c>
      <c r="M1490" s="81" t="n"/>
      <c r="N1490" s="81" t="n"/>
      <c r="O1490" s="81" t="n"/>
      <c r="P1490" s="81" t="n"/>
      <c r="Q1490" s="81" t="n"/>
      <c r="R1490" s="81" t="n"/>
      <c r="S1490" s="81" t="n"/>
      <c r="T1490" s="81" t="n"/>
      <c r="U1490" s="81" t="n"/>
      <c r="V1490" s="81" t="n"/>
      <c r="W1490" s="43" t="n"/>
    </row>
    <row r="1491">
      <c r="A1491" s="43" t="inlineStr">
        <is>
          <t>K6</t>
        </is>
      </c>
      <c r="B1491" s="43" t="inlineStr"/>
      <c r="C1491" s="43" t="inlineStr">
        <is>
          <t>节段20~节段21</t>
        </is>
      </c>
      <c r="D1491" s="43" t="inlineStr">
        <is>
          <t>Q355D</t>
        </is>
      </c>
      <c r="E1491" s="43" t="n">
        <v>400</v>
      </c>
      <c r="F1491" s="43" t="n">
        <v>1700</v>
      </c>
      <c r="G1491" s="43" t="n">
        <v>20</v>
      </c>
      <c r="H1491" s="79">
        <f>(E1491/1000)*(F1491/1000)*(G1491/1000)*7850</f>
        <v/>
      </c>
      <c r="I1491" s="43" t="n">
        <v>2</v>
      </c>
      <c r="J1491" s="80">
        <f>H1491*I1491</f>
        <v/>
      </c>
      <c r="K1491" s="43" t="inlineStr">
        <is>
          <t>来源页130</t>
        </is>
      </c>
      <c r="L1491" s="43">
        <f>A1491</f>
        <v/>
      </c>
      <c r="M1491" s="81" t="n"/>
      <c r="N1491" s="81" t="n"/>
      <c r="O1491" s="81" t="n"/>
      <c r="P1491" s="81" t="n"/>
      <c r="Q1491" s="81" t="n"/>
      <c r="R1491" s="81" t="n"/>
      <c r="S1491" s="81" t="n"/>
      <c r="T1491" s="81" t="n"/>
      <c r="U1491" s="81" t="n"/>
      <c r="V1491" s="81" t="n"/>
      <c r="W1491" s="43" t="n"/>
    </row>
    <row r="1492">
      <c r="A1492" s="43" t="inlineStr">
        <is>
          <t>M30高强螺栓</t>
        </is>
      </c>
      <c r="B1492" s="43" t="inlineStr"/>
      <c r="C1492" s="43" t="inlineStr">
        <is>
          <t>节段20~节段21</t>
        </is>
      </c>
      <c r="D1492" s="43" t="inlineStr">
        <is>
          <t>10.9S</t>
        </is>
      </c>
      <c r="E1492" s="43" t="n"/>
      <c r="F1492" s="43" t="n"/>
      <c r="G1492" s="43" t="n"/>
      <c r="H1492" s="79">
        <f>(E1492/1000)*(F1492/1000)*(G1492/1000)*7850</f>
        <v/>
      </c>
      <c r="I1492" s="43" t="n">
        <v>324</v>
      </c>
      <c r="J1492" s="80">
        <f>H1492*I1492</f>
        <v/>
      </c>
      <c r="K1492" s="43" t="inlineStr">
        <is>
          <t>来源页130</t>
        </is>
      </c>
      <c r="L1492" s="43">
        <f>A1492</f>
        <v/>
      </c>
      <c r="M1492" s="81" t="n"/>
      <c r="N1492" s="81" t="n"/>
      <c r="O1492" s="81" t="n"/>
      <c r="P1492" s="81" t="n"/>
      <c r="Q1492" s="81" t="n"/>
      <c r="R1492" s="81" t="n"/>
      <c r="S1492" s="81" t="n"/>
      <c r="T1492" s="81" t="n"/>
      <c r="U1492" s="81" t="n"/>
      <c r="V1492" s="81" t="n"/>
      <c r="W1492" s="43" t="n"/>
    </row>
    <row r="1493">
      <c r="A1493" s="43" t="inlineStr">
        <is>
          <t>L1</t>
        </is>
      </c>
      <c r="B1493" s="43" t="inlineStr"/>
      <c r="C1493" s="43" t="inlineStr">
        <is>
          <t>节段20~节段21</t>
        </is>
      </c>
      <c r="D1493" s="43" t="inlineStr">
        <is>
          <t>Q355D</t>
        </is>
      </c>
      <c r="E1493" s="43" t="n">
        <v>1320</v>
      </c>
      <c r="F1493" s="43" t="n">
        <v>900</v>
      </c>
      <c r="G1493" s="43" t="n">
        <v>28</v>
      </c>
      <c r="H1493" s="79">
        <f>(E1493/1000)*(F1493/1000)*(G1493/1000)*7850</f>
        <v/>
      </c>
      <c r="I1493" s="43" t="n">
        <v>2</v>
      </c>
      <c r="J1493" s="80">
        <f>H1493*I1493</f>
        <v/>
      </c>
      <c r="K1493" s="43" t="inlineStr">
        <is>
          <t>来源页130</t>
        </is>
      </c>
      <c r="L1493" s="43">
        <f>A1493</f>
        <v/>
      </c>
      <c r="M1493" s="81" t="n"/>
      <c r="N1493" s="81" t="n"/>
      <c r="O1493" s="81" t="n"/>
      <c r="P1493" s="81" t="n"/>
      <c r="Q1493" s="81" t="n"/>
      <c r="R1493" s="81" t="n"/>
      <c r="S1493" s="81" t="n"/>
      <c r="T1493" s="81" t="n"/>
      <c r="U1493" s="81" t="n"/>
      <c r="V1493" s="81" t="n"/>
      <c r="W1493" s="43" t="n"/>
    </row>
    <row r="1494">
      <c r="A1494" s="43" t="inlineStr">
        <is>
          <t>L2</t>
        </is>
      </c>
      <c r="B1494" s="43" t="inlineStr"/>
      <c r="C1494" s="43" t="inlineStr">
        <is>
          <t>节段20~节段21</t>
        </is>
      </c>
      <c r="D1494" s="43" t="inlineStr">
        <is>
          <t>Q355D</t>
        </is>
      </c>
      <c r="E1494" s="43" t="n">
        <v>1320</v>
      </c>
      <c r="F1494" s="43" t="n">
        <v>400</v>
      </c>
      <c r="G1494" s="43" t="n">
        <v>28</v>
      </c>
      <c r="H1494" s="79">
        <f>(E1494/1000)*(F1494/1000)*(G1494/1000)*7850</f>
        <v/>
      </c>
      <c r="I1494" s="43" t="n">
        <v>4</v>
      </c>
      <c r="J1494" s="80">
        <f>H1494*I1494</f>
        <v/>
      </c>
      <c r="K1494" s="43" t="inlineStr">
        <is>
          <t>来源页130</t>
        </is>
      </c>
      <c r="L1494" s="43">
        <f>A1494</f>
        <v/>
      </c>
      <c r="M1494" s="81" t="n"/>
      <c r="N1494" s="81" t="n"/>
      <c r="O1494" s="81" t="n"/>
      <c r="P1494" s="81" t="n"/>
      <c r="Q1494" s="81" t="n"/>
      <c r="R1494" s="81" t="n"/>
      <c r="S1494" s="81" t="n"/>
      <c r="T1494" s="81" t="n"/>
      <c r="U1494" s="81" t="n"/>
      <c r="V1494" s="81" t="n"/>
      <c r="W1494" s="43" t="n"/>
    </row>
    <row r="1495">
      <c r="A1495" s="43" t="inlineStr">
        <is>
          <t>L3</t>
        </is>
      </c>
      <c r="B1495" s="43" t="inlineStr"/>
      <c r="C1495" s="43" t="inlineStr">
        <is>
          <t>节段20~节段21</t>
        </is>
      </c>
      <c r="D1495" s="43" t="inlineStr">
        <is>
          <t>Q355D</t>
        </is>
      </c>
      <c r="E1495" s="43" t="n">
        <v>1320</v>
      </c>
      <c r="F1495" s="43" t="n">
        <v>500</v>
      </c>
      <c r="G1495" s="43" t="n">
        <v>28</v>
      </c>
      <c r="H1495" s="79">
        <f>(E1495/1000)*(F1495/1000)*(G1495/1000)*7850</f>
        <v/>
      </c>
      <c r="I1495" s="43" t="n">
        <v>4</v>
      </c>
      <c r="J1495" s="80">
        <f>H1495*I1495</f>
        <v/>
      </c>
      <c r="K1495" s="43" t="inlineStr">
        <is>
          <t>来源页130</t>
        </is>
      </c>
      <c r="L1495" s="43">
        <f>A1495</f>
        <v/>
      </c>
      <c r="M1495" s="81" t="n"/>
      <c r="N1495" s="81" t="n"/>
      <c r="O1495" s="81" t="n"/>
      <c r="P1495" s="81" t="n"/>
      <c r="Q1495" s="81" t="n"/>
      <c r="R1495" s="81" t="n"/>
      <c r="S1495" s="81" t="n"/>
      <c r="T1495" s="81" t="n"/>
      <c r="U1495" s="81" t="n"/>
      <c r="V1495" s="81" t="n"/>
      <c r="W1495" s="43" t="n"/>
    </row>
    <row r="1496">
      <c r="A1496" s="43" t="inlineStr">
        <is>
          <t>L4</t>
        </is>
      </c>
      <c r="B1496" s="43" t="inlineStr"/>
      <c r="C1496" s="43" t="inlineStr">
        <is>
          <t>节段20~节段21</t>
        </is>
      </c>
      <c r="D1496" s="43" t="inlineStr">
        <is>
          <t>Q355D</t>
        </is>
      </c>
      <c r="E1496" s="43" t="n">
        <v>820</v>
      </c>
      <c r="F1496" s="43" t="n">
        <v>200</v>
      </c>
      <c r="G1496" s="43" t="n">
        <v>20</v>
      </c>
      <c r="H1496" s="79">
        <f>(E1496/1000)*(F1496/1000)*(G1496/1000)*7850</f>
        <v/>
      </c>
      <c r="I1496" s="43" t="n">
        <v>4</v>
      </c>
      <c r="J1496" s="80">
        <f>H1496*I1496</f>
        <v/>
      </c>
      <c r="K1496" s="43" t="inlineStr">
        <is>
          <t>来源页130</t>
        </is>
      </c>
      <c r="L1496" s="43">
        <f>A1496</f>
        <v/>
      </c>
      <c r="M1496" s="81" t="n"/>
      <c r="N1496" s="81" t="n"/>
      <c r="O1496" s="81" t="n"/>
      <c r="P1496" s="81" t="n"/>
      <c r="Q1496" s="81" t="n"/>
      <c r="R1496" s="81" t="n"/>
      <c r="S1496" s="81" t="n"/>
      <c r="T1496" s="81" t="n"/>
      <c r="U1496" s="81" t="n"/>
      <c r="V1496" s="81" t="n"/>
      <c r="W1496" s="43" t="n"/>
    </row>
    <row r="1497">
      <c r="A1497" s="43" t="inlineStr">
        <is>
          <t>M30高强螺栓</t>
        </is>
      </c>
      <c r="B1497" s="43" t="inlineStr"/>
      <c r="C1497" s="43" t="inlineStr">
        <is>
          <t>节段20~节段21</t>
        </is>
      </c>
      <c r="D1497" s="43" t="inlineStr">
        <is>
          <t>10.9S</t>
        </is>
      </c>
      <c r="E1497" s="43" t="n"/>
      <c r="F1497" s="43" t="n"/>
      <c r="G1497" s="43" t="n"/>
      <c r="H1497" s="79">
        <f>(E1497/1000)*(F1497/1000)*(G1497/1000)*7850</f>
        <v/>
      </c>
      <c r="I1497" s="43" t="n">
        <v>320</v>
      </c>
      <c r="J1497" s="80">
        <f>H1497*I1497</f>
        <v/>
      </c>
      <c r="K1497" s="43" t="inlineStr">
        <is>
          <t>来源页130</t>
        </is>
      </c>
      <c r="L1497" s="43">
        <f>A1497</f>
        <v/>
      </c>
      <c r="M1497" s="81" t="n"/>
      <c r="N1497" s="81" t="n"/>
      <c r="O1497" s="81" t="n"/>
      <c r="P1497" s="81" t="n"/>
      <c r="Q1497" s="81" t="n"/>
      <c r="R1497" s="81" t="n"/>
      <c r="S1497" s="81" t="n"/>
      <c r="T1497" s="81" t="n"/>
      <c r="U1497" s="81" t="n"/>
      <c r="V1497" s="81" t="n"/>
      <c r="W1497" s="43" t="n"/>
    </row>
    <row r="1498">
      <c r="A1498" s="43" t="inlineStr"/>
      <c r="B1498" s="43" t="inlineStr"/>
      <c r="C1498" s="43" t="inlineStr">
        <is>
          <t>节段21</t>
        </is>
      </c>
      <c r="D1498" s="43" t="inlineStr">
        <is>
          <t>Q355D</t>
        </is>
      </c>
      <c r="E1498" s="43" t="n"/>
      <c r="F1498" s="43" t="n"/>
      <c r="G1498" s="43" t="n">
        <v>40</v>
      </c>
      <c r="H1498" s="79">
        <f>(E1498/1000)*(F1498/1000)*(G1498/1000)*7850</f>
        <v/>
      </c>
      <c r="I1498" s="43" t="n">
        <v>1</v>
      </c>
      <c r="J1498" s="80">
        <f>H1498*I1498</f>
        <v/>
      </c>
      <c r="K1498" s="43" t="inlineStr">
        <is>
          <t>来源页131</t>
        </is>
      </c>
      <c r="L1498" s="43">
        <f>A1498</f>
        <v/>
      </c>
      <c r="M1498" s="81" t="n"/>
      <c r="N1498" s="81" t="n"/>
      <c r="O1498" s="81" t="n"/>
      <c r="P1498" s="81" t="n"/>
      <c r="Q1498" s="81" t="n"/>
      <c r="R1498" s="81" t="n"/>
      <c r="S1498" s="81" t="n"/>
      <c r="T1498" s="81" t="n"/>
      <c r="U1498" s="81" t="n"/>
      <c r="V1498" s="81" t="n"/>
      <c r="W1498" s="43" t="n"/>
    </row>
    <row r="1499">
      <c r="A1499" s="43" t="inlineStr"/>
      <c r="B1499" s="43" t="inlineStr"/>
      <c r="C1499" s="43" t="inlineStr">
        <is>
          <t>节段21</t>
        </is>
      </c>
      <c r="D1499" s="43" t="inlineStr">
        <is>
          <t>Q355D</t>
        </is>
      </c>
      <c r="E1499" s="43" t="n"/>
      <c r="F1499" s="43" t="n"/>
      <c r="G1499" s="43" t="n">
        <v>36</v>
      </c>
      <c r="H1499" s="79">
        <f>(E1499/1000)*(F1499/1000)*(G1499/1000)*7850</f>
        <v/>
      </c>
      <c r="I1499" s="43" t="n">
        <v>1</v>
      </c>
      <c r="J1499" s="80">
        <f>H1499*I1499</f>
        <v/>
      </c>
      <c r="K1499" s="43" t="inlineStr">
        <is>
          <t>来源页131</t>
        </is>
      </c>
      <c r="L1499" s="43">
        <f>A1499</f>
        <v/>
      </c>
      <c r="M1499" s="81" t="n"/>
      <c r="N1499" s="81" t="n"/>
      <c r="O1499" s="81" t="n"/>
      <c r="P1499" s="81" t="n"/>
      <c r="Q1499" s="81" t="n"/>
      <c r="R1499" s="81" t="n"/>
      <c r="S1499" s="81" t="n"/>
      <c r="T1499" s="81" t="n"/>
      <c r="U1499" s="81" t="n"/>
      <c r="V1499" s="81" t="n"/>
      <c r="W1499" s="43" t="n"/>
    </row>
    <row r="1500">
      <c r="A1500" s="43" t="inlineStr"/>
      <c r="B1500" s="43" t="inlineStr"/>
      <c r="C1500" s="43" t="inlineStr">
        <is>
          <t>节段21</t>
        </is>
      </c>
      <c r="D1500" s="43" t="inlineStr">
        <is>
          <t>Q355D</t>
        </is>
      </c>
      <c r="E1500" s="43" t="n"/>
      <c r="F1500" s="43" t="n"/>
      <c r="G1500" s="43" t="n">
        <v>32</v>
      </c>
      <c r="H1500" s="79">
        <f>(E1500/1000)*(F1500/1000)*(G1500/1000)*7850</f>
        <v/>
      </c>
      <c r="I1500" s="43" t="n">
        <v>1</v>
      </c>
      <c r="J1500" s="80">
        <f>H1500*I1500</f>
        <v/>
      </c>
      <c r="K1500" s="43" t="inlineStr">
        <is>
          <t>来源页131</t>
        </is>
      </c>
      <c r="L1500" s="43">
        <f>A1500</f>
        <v/>
      </c>
      <c r="M1500" s="81" t="n"/>
      <c r="N1500" s="81" t="n"/>
      <c r="O1500" s="81" t="n"/>
      <c r="P1500" s="81" t="n"/>
      <c r="Q1500" s="81" t="n"/>
      <c r="R1500" s="81" t="n"/>
      <c r="S1500" s="81" t="n"/>
      <c r="T1500" s="81" t="n"/>
      <c r="U1500" s="81" t="n"/>
      <c r="V1500" s="81" t="n"/>
      <c r="W1500" s="43" t="n"/>
    </row>
    <row r="1501">
      <c r="A1501" s="43" t="inlineStr"/>
      <c r="B1501" s="43" t="inlineStr"/>
      <c r="C1501" s="43" t="inlineStr">
        <is>
          <t>节段21</t>
        </is>
      </c>
      <c r="D1501" s="43" t="inlineStr">
        <is>
          <t>Q355D</t>
        </is>
      </c>
      <c r="E1501" s="43" t="n"/>
      <c r="F1501" s="43" t="n"/>
      <c r="G1501" s="43" t="n">
        <v>24</v>
      </c>
      <c r="H1501" s="79">
        <f>(E1501/1000)*(F1501/1000)*(G1501/1000)*7850</f>
        <v/>
      </c>
      <c r="I1501" s="43" t="n">
        <v>1</v>
      </c>
      <c r="J1501" s="80">
        <f>H1501*I1501</f>
        <v/>
      </c>
      <c r="K1501" s="43" t="inlineStr">
        <is>
          <t>来源页131</t>
        </is>
      </c>
      <c r="L1501" s="43">
        <f>A1501</f>
        <v/>
      </c>
      <c r="M1501" s="81" t="n"/>
      <c r="N1501" s="81" t="n"/>
      <c r="O1501" s="81" t="n"/>
      <c r="P1501" s="81" t="n"/>
      <c r="Q1501" s="81" t="n"/>
      <c r="R1501" s="81" t="n"/>
      <c r="S1501" s="81" t="n"/>
      <c r="T1501" s="81" t="n"/>
      <c r="U1501" s="81" t="n"/>
      <c r="V1501" s="81" t="n"/>
      <c r="W1501" s="43" t="n"/>
    </row>
    <row r="1502">
      <c r="A1502" s="43" t="inlineStr"/>
      <c r="B1502" s="43" t="inlineStr"/>
      <c r="C1502" s="43" t="inlineStr">
        <is>
          <t>节段21</t>
        </is>
      </c>
      <c r="D1502" s="43" t="inlineStr">
        <is>
          <t>Q355D</t>
        </is>
      </c>
      <c r="E1502" s="43" t="n"/>
      <c r="F1502" s="43" t="n"/>
      <c r="G1502" s="43" t="n">
        <v>20</v>
      </c>
      <c r="H1502" s="79">
        <f>(E1502/1000)*(F1502/1000)*(G1502/1000)*7850</f>
        <v/>
      </c>
      <c r="I1502" s="43" t="n">
        <v>1</v>
      </c>
      <c r="J1502" s="80">
        <f>H1502*I1502</f>
        <v/>
      </c>
      <c r="K1502" s="43" t="inlineStr">
        <is>
          <t>来源页131</t>
        </is>
      </c>
      <c r="L1502" s="43">
        <f>A1502</f>
        <v/>
      </c>
      <c r="M1502" s="81" t="n"/>
      <c r="N1502" s="81" t="n"/>
      <c r="O1502" s="81" t="n"/>
      <c r="P1502" s="81" t="n"/>
      <c r="Q1502" s="81" t="n"/>
      <c r="R1502" s="81" t="n"/>
      <c r="S1502" s="81" t="n"/>
      <c r="T1502" s="81" t="n"/>
      <c r="U1502" s="81" t="n"/>
      <c r="V1502" s="81" t="n"/>
      <c r="W1502" s="43" t="n"/>
    </row>
    <row r="1503">
      <c r="A1503" s="43" t="inlineStr"/>
      <c r="B1503" s="43" t="inlineStr"/>
      <c r="C1503" s="43" t="inlineStr">
        <is>
          <t>节段21</t>
        </is>
      </c>
      <c r="D1503" s="43" t="inlineStr">
        <is>
          <t>Q355D</t>
        </is>
      </c>
      <c r="E1503" s="43" t="n"/>
      <c r="F1503" s="43" t="n"/>
      <c r="G1503" s="43" t="n">
        <v>16</v>
      </c>
      <c r="H1503" s="79">
        <f>(E1503/1000)*(F1503/1000)*(G1503/1000)*7850</f>
        <v/>
      </c>
      <c r="I1503" s="43" t="n">
        <v>1</v>
      </c>
      <c r="J1503" s="80">
        <f>H1503*I1503</f>
        <v/>
      </c>
      <c r="K1503" s="43" t="inlineStr">
        <is>
          <t>来源页131</t>
        </is>
      </c>
      <c r="L1503" s="43">
        <f>A1503</f>
        <v/>
      </c>
      <c r="M1503" s="81" t="n"/>
      <c r="N1503" s="81" t="n"/>
      <c r="O1503" s="81" t="n"/>
      <c r="P1503" s="81" t="n"/>
      <c r="Q1503" s="81" t="n"/>
      <c r="R1503" s="81" t="n"/>
      <c r="S1503" s="81" t="n"/>
      <c r="T1503" s="81" t="n"/>
      <c r="U1503" s="81" t="n"/>
      <c r="V1503" s="81" t="n"/>
      <c r="W1503" s="43" t="n"/>
    </row>
    <row r="1504">
      <c r="A1504" s="43" t="inlineStr"/>
      <c r="B1504" s="43" t="inlineStr"/>
      <c r="C1504" s="43" t="inlineStr">
        <is>
          <t>节段21</t>
        </is>
      </c>
      <c r="D1504" s="43" t="inlineStr">
        <is>
          <t>Q355D</t>
        </is>
      </c>
      <c r="E1504" s="43" t="n"/>
      <c r="F1504" s="43" t="n"/>
      <c r="G1504" s="43" t="n">
        <v>14</v>
      </c>
      <c r="H1504" s="79">
        <f>(E1504/1000)*(F1504/1000)*(G1504/1000)*7850</f>
        <v/>
      </c>
      <c r="I1504" s="43" t="n">
        <v>1</v>
      </c>
      <c r="J1504" s="80">
        <f>H1504*I1504</f>
        <v/>
      </c>
      <c r="K1504" s="43" t="inlineStr">
        <is>
          <t>来源页131</t>
        </is>
      </c>
      <c r="L1504" s="43">
        <f>A1504</f>
        <v/>
      </c>
      <c r="M1504" s="81" t="n"/>
      <c r="N1504" s="81" t="n"/>
      <c r="O1504" s="81" t="n"/>
      <c r="P1504" s="81" t="n"/>
      <c r="Q1504" s="81" t="n"/>
      <c r="R1504" s="81" t="n"/>
      <c r="S1504" s="81" t="n"/>
      <c r="T1504" s="81" t="n"/>
      <c r="U1504" s="81" t="n"/>
      <c r="V1504" s="81" t="n"/>
      <c r="W1504" s="43" t="n"/>
    </row>
    <row r="1505">
      <c r="A1505" s="43" t="inlineStr"/>
      <c r="B1505" s="43" t="inlineStr"/>
      <c r="C1505" s="43" t="inlineStr">
        <is>
          <t>节段21</t>
        </is>
      </c>
      <c r="D1505" s="43" t="inlineStr">
        <is>
          <t>Q355D</t>
        </is>
      </c>
      <c r="E1505" s="43" t="n"/>
      <c r="F1505" s="43" t="n"/>
      <c r="G1505" s="43" t="n">
        <v>4</v>
      </c>
      <c r="H1505" s="79">
        <f>(E1505/1000)*(F1505/1000)*(G1505/1000)*7850</f>
        <v/>
      </c>
      <c r="I1505" s="43" t="n">
        <v>1</v>
      </c>
      <c r="J1505" s="80">
        <f>H1505*I1505</f>
        <v/>
      </c>
      <c r="K1505" s="43" t="inlineStr">
        <is>
          <t>来源页131</t>
        </is>
      </c>
      <c r="L1505" s="43">
        <f>A1505</f>
        <v/>
      </c>
      <c r="M1505" s="81" t="n"/>
      <c r="N1505" s="81" t="n"/>
      <c r="O1505" s="81" t="n"/>
      <c r="P1505" s="81" t="n"/>
      <c r="Q1505" s="81" t="n"/>
      <c r="R1505" s="81" t="n"/>
      <c r="S1505" s="81" t="n"/>
      <c r="T1505" s="81" t="n"/>
      <c r="U1505" s="81" t="n"/>
      <c r="V1505" s="81" t="n"/>
      <c r="W1505" s="43" t="n"/>
    </row>
    <row r="1506">
      <c r="A1506" s="43" t="inlineStr"/>
      <c r="B1506" s="43" t="inlineStr"/>
      <c r="C1506" s="43" t="inlineStr">
        <is>
          <t>节段21</t>
        </is>
      </c>
      <c r="D1506" s="43" t="inlineStr">
        <is>
          <t>Q355D</t>
        </is>
      </c>
      <c r="E1506" s="43" t="n"/>
      <c r="F1506" s="43" t="n"/>
      <c r="G1506" s="43" t="n"/>
      <c r="H1506" s="79">
        <f>(E1506/1000)*(F1506/1000)*(G1506/1000)*7850</f>
        <v/>
      </c>
      <c r="I1506" s="43" t="n">
        <v>1</v>
      </c>
      <c r="J1506" s="80">
        <f>H1506*I1506</f>
        <v/>
      </c>
      <c r="K1506" s="43" t="inlineStr">
        <is>
          <t>来源页131</t>
        </is>
      </c>
      <c r="L1506" s="43">
        <f>A1506</f>
        <v/>
      </c>
      <c r="M1506" s="81" t="n"/>
      <c r="N1506" s="81" t="n"/>
      <c r="O1506" s="81" t="n"/>
      <c r="P1506" s="81" t="n"/>
      <c r="Q1506" s="81" t="n"/>
      <c r="R1506" s="81" t="n"/>
      <c r="S1506" s="81" t="n"/>
      <c r="T1506" s="81" t="n"/>
      <c r="U1506" s="81" t="n"/>
      <c r="V1506" s="81" t="n"/>
      <c r="W1506" s="43" t="n"/>
    </row>
    <row r="1507">
      <c r="A1507" s="43" t="inlineStr">
        <is>
          <t>N11a</t>
        </is>
      </c>
      <c r="B1507" s="43" t="inlineStr">
        <is>
          <t>上弦顶板</t>
        </is>
      </c>
      <c r="C1507" s="43" t="inlineStr">
        <is>
          <t>节段21</t>
        </is>
      </c>
      <c r="D1507" s="43" t="inlineStr">
        <is>
          <t>Q355D</t>
        </is>
      </c>
      <c r="E1507" s="43" t="n"/>
      <c r="F1507" s="43" t="n"/>
      <c r="G1507" s="43" t="n">
        <v>20</v>
      </c>
      <c r="H1507" s="79">
        <f>(E1507/1000)*(F1507/1000)*(G1507/1000)*7850</f>
        <v/>
      </c>
      <c r="I1507" s="43" t="n">
        <v>1</v>
      </c>
      <c r="J1507" s="80">
        <f>H1507*I1507</f>
        <v/>
      </c>
      <c r="K1507" s="43" t="inlineStr">
        <is>
          <t>来源页131</t>
        </is>
      </c>
      <c r="L1507" s="43">
        <f>A1507</f>
        <v/>
      </c>
      <c r="M1507" s="81" t="n"/>
      <c r="N1507" s="81" t="n"/>
      <c r="O1507" s="81" t="n"/>
      <c r="P1507" s="81" t="n"/>
      <c r="Q1507" s="81" t="n"/>
      <c r="R1507" s="81" t="n"/>
      <c r="S1507" s="81" t="n"/>
      <c r="T1507" s="81" t="n"/>
      <c r="U1507" s="81" t="n"/>
      <c r="V1507" s="81" t="n"/>
      <c r="W1507" s="43" t="n"/>
    </row>
    <row r="1508">
      <c r="A1508" s="43" t="inlineStr">
        <is>
          <t>N11b</t>
        </is>
      </c>
      <c r="B1508" s="43" t="inlineStr">
        <is>
          <t>上弦顶板</t>
        </is>
      </c>
      <c r="C1508" s="43" t="inlineStr">
        <is>
          <t>节段21</t>
        </is>
      </c>
      <c r="D1508" s="43" t="inlineStr">
        <is>
          <t>Q355D</t>
        </is>
      </c>
      <c r="E1508" s="43" t="n"/>
      <c r="F1508" s="43" t="n"/>
      <c r="G1508" s="43" t="n">
        <v>20</v>
      </c>
      <c r="H1508" s="79">
        <f>(E1508/1000)*(F1508/1000)*(G1508/1000)*7850</f>
        <v/>
      </c>
      <c r="I1508" s="43" t="n">
        <v>1</v>
      </c>
      <c r="J1508" s="80">
        <f>H1508*I1508</f>
        <v/>
      </c>
      <c r="K1508" s="43" t="inlineStr">
        <is>
          <t>来源页131</t>
        </is>
      </c>
      <c r="L1508" s="43">
        <f>A1508</f>
        <v/>
      </c>
      <c r="M1508" s="81" t="n"/>
      <c r="N1508" s="81" t="n"/>
      <c r="O1508" s="81" t="n"/>
      <c r="P1508" s="81" t="n"/>
      <c r="Q1508" s="81" t="n"/>
      <c r="R1508" s="81" t="n"/>
      <c r="S1508" s="81" t="n"/>
      <c r="T1508" s="81" t="n"/>
      <c r="U1508" s="81" t="n"/>
      <c r="V1508" s="81" t="n"/>
      <c r="W1508" s="43" t="n"/>
    </row>
    <row r="1509">
      <c r="A1509" s="43" t="inlineStr">
        <is>
          <t>N12a</t>
        </is>
      </c>
      <c r="B1509" s="43" t="inlineStr">
        <is>
          <t>上弦底板</t>
        </is>
      </c>
      <c r="C1509" s="43" t="inlineStr">
        <is>
          <t>节段21</t>
        </is>
      </c>
      <c r="D1509" s="43" t="inlineStr">
        <is>
          <t>Q355D</t>
        </is>
      </c>
      <c r="E1509" s="43" t="n">
        <v>7900</v>
      </c>
      <c r="F1509" s="43" t="n">
        <v>1200</v>
      </c>
      <c r="G1509" s="43" t="n">
        <v>20</v>
      </c>
      <c r="H1509" s="79">
        <f>(E1509/1000)*(F1509/1000)*(G1509/1000)*7850</f>
        <v/>
      </c>
      <c r="I1509" s="43" t="n">
        <v>1</v>
      </c>
      <c r="J1509" s="80">
        <f>H1509*I1509</f>
        <v/>
      </c>
      <c r="K1509" s="43" t="inlineStr">
        <is>
          <t>来源页131</t>
        </is>
      </c>
      <c r="L1509" s="43">
        <f>A1509</f>
        <v/>
      </c>
      <c r="M1509" s="81" t="n"/>
      <c r="N1509" s="81" t="n"/>
      <c r="O1509" s="81" t="n"/>
      <c r="P1509" s="81" t="n"/>
      <c r="Q1509" s="81" t="n"/>
      <c r="R1509" s="81" t="n"/>
      <c r="S1509" s="81" t="n"/>
      <c r="T1509" s="81" t="n"/>
      <c r="U1509" s="81" t="n"/>
      <c r="V1509" s="81" t="n"/>
      <c r="W1509" s="43" t="n"/>
    </row>
    <row r="1510">
      <c r="A1510" s="43" t="inlineStr">
        <is>
          <t>N12b</t>
        </is>
      </c>
      <c r="B1510" s="43" t="inlineStr">
        <is>
          <t>上弦底板</t>
        </is>
      </c>
      <c r="C1510" s="43" t="inlineStr">
        <is>
          <t>节段21</t>
        </is>
      </c>
      <c r="D1510" s="43" t="inlineStr">
        <is>
          <t>Q355D</t>
        </is>
      </c>
      <c r="E1510" s="43" t="n">
        <v>8600</v>
      </c>
      <c r="F1510" s="43" t="n">
        <v>1200</v>
      </c>
      <c r="G1510" s="43" t="n">
        <v>20</v>
      </c>
      <c r="H1510" s="79">
        <f>(E1510/1000)*(F1510/1000)*(G1510/1000)*7850</f>
        <v/>
      </c>
      <c r="I1510" s="43" t="n">
        <v>1</v>
      </c>
      <c r="J1510" s="80">
        <f>H1510*I1510</f>
        <v/>
      </c>
      <c r="K1510" s="43" t="inlineStr">
        <is>
          <t>来源页131</t>
        </is>
      </c>
      <c r="L1510" s="43">
        <f>A1510</f>
        <v/>
      </c>
      <c r="M1510" s="81" t="n"/>
      <c r="N1510" s="81" t="n"/>
      <c r="O1510" s="81" t="n"/>
      <c r="P1510" s="81" t="n"/>
      <c r="Q1510" s="81" t="n"/>
      <c r="R1510" s="81" t="n"/>
      <c r="S1510" s="81" t="n"/>
      <c r="T1510" s="81" t="n"/>
      <c r="U1510" s="81" t="n"/>
      <c r="V1510" s="81" t="n"/>
      <c r="W1510" s="43" t="n"/>
    </row>
    <row r="1511">
      <c r="A1511" s="43" t="inlineStr">
        <is>
          <t>N13</t>
        </is>
      </c>
      <c r="B1511" s="43" t="inlineStr">
        <is>
          <t>上弦节点板</t>
        </is>
      </c>
      <c r="C1511" s="43" t="inlineStr">
        <is>
          <t>节段21</t>
        </is>
      </c>
      <c r="D1511" s="43" t="inlineStr">
        <is>
          <t>Q355D</t>
        </is>
      </c>
      <c r="E1511" s="43" t="n"/>
      <c r="F1511" s="43" t="n"/>
      <c r="G1511" s="43" t="n">
        <v>40</v>
      </c>
      <c r="H1511" s="79">
        <f>(E1511/1000)*(F1511/1000)*(G1511/1000)*7850</f>
        <v/>
      </c>
      <c r="I1511" s="43" t="n">
        <v>2</v>
      </c>
      <c r="J1511" s="80">
        <f>H1511*I1511</f>
        <v/>
      </c>
      <c r="K1511" s="43" t="inlineStr">
        <is>
          <t>来源页131</t>
        </is>
      </c>
      <c r="L1511" s="43">
        <f>A1511</f>
        <v/>
      </c>
      <c r="M1511" s="81" t="n"/>
      <c r="N1511" s="81" t="n"/>
      <c r="O1511" s="81" t="n"/>
      <c r="P1511" s="81" t="n"/>
      <c r="Q1511" s="81" t="n"/>
      <c r="R1511" s="81" t="n"/>
      <c r="S1511" s="81" t="n"/>
      <c r="T1511" s="81" t="n"/>
      <c r="U1511" s="81" t="n"/>
      <c r="V1511" s="81" t="n"/>
      <c r="W1511" s="43" t="n"/>
    </row>
    <row r="1512">
      <c r="A1512" s="43" t="inlineStr">
        <is>
          <t>N14</t>
        </is>
      </c>
      <c r="B1512" s="43" t="inlineStr">
        <is>
          <t>上弦腹板</t>
        </is>
      </c>
      <c r="C1512" s="43" t="inlineStr">
        <is>
          <t>节段21</t>
        </is>
      </c>
      <c r="D1512" s="43" t="inlineStr">
        <is>
          <t>Q355D</t>
        </is>
      </c>
      <c r="E1512" s="43" t="n">
        <v>8800</v>
      </c>
      <c r="F1512" s="43" t="n">
        <v>2048</v>
      </c>
      <c r="G1512" s="43" t="n">
        <v>20</v>
      </c>
      <c r="H1512" s="79">
        <f>(E1512/1000)*(F1512/1000)*(G1512/1000)*7850</f>
        <v/>
      </c>
      <c r="I1512" s="43" t="n">
        <v>2</v>
      </c>
      <c r="J1512" s="80">
        <f>H1512*I1512</f>
        <v/>
      </c>
      <c r="K1512" s="43" t="inlineStr">
        <is>
          <t>来源页131</t>
        </is>
      </c>
      <c r="L1512" s="43">
        <f>A1512</f>
        <v/>
      </c>
      <c r="M1512" s="81" t="n"/>
      <c r="N1512" s="81" t="n"/>
      <c r="O1512" s="81" t="n"/>
      <c r="P1512" s="81" t="n"/>
      <c r="Q1512" s="81" t="n"/>
      <c r="R1512" s="81" t="n"/>
      <c r="S1512" s="81" t="n"/>
      <c r="T1512" s="81" t="n"/>
      <c r="U1512" s="81" t="n"/>
      <c r="V1512" s="81" t="n"/>
      <c r="W1512" s="43" t="n"/>
    </row>
    <row r="1513">
      <c r="A1513" s="43" t="inlineStr">
        <is>
          <t>N15</t>
        </is>
      </c>
      <c r="B1513" s="43" t="inlineStr">
        <is>
          <t>上弦横隔板</t>
        </is>
      </c>
      <c r="C1513" s="43" t="inlineStr">
        <is>
          <t>节段21</t>
        </is>
      </c>
      <c r="D1513" s="43" t="inlineStr">
        <is>
          <t>Q355D</t>
        </is>
      </c>
      <c r="E1513" s="43" t="n">
        <v>1980</v>
      </c>
      <c r="F1513" s="43" t="n">
        <v>1200</v>
      </c>
      <c r="G1513" s="43" t="n">
        <v>16</v>
      </c>
      <c r="H1513" s="79">
        <f>(E1513/1000)*(F1513/1000)*(G1513/1000)*7850</f>
        <v/>
      </c>
      <c r="I1513" s="43" t="n">
        <v>3</v>
      </c>
      <c r="J1513" s="80">
        <f>H1513*I1513</f>
        <v/>
      </c>
      <c r="K1513" s="43" t="inlineStr">
        <is>
          <t>来源页131</t>
        </is>
      </c>
      <c r="L1513" s="43">
        <f>A1513</f>
        <v/>
      </c>
      <c r="M1513" s="81" t="n"/>
      <c r="N1513" s="81" t="n"/>
      <c r="O1513" s="81" t="n"/>
      <c r="P1513" s="81" t="n"/>
      <c r="Q1513" s="81" t="n"/>
      <c r="R1513" s="81" t="n"/>
      <c r="S1513" s="81" t="n"/>
      <c r="T1513" s="81" t="n"/>
      <c r="U1513" s="81" t="n"/>
      <c r="V1513" s="81" t="n"/>
      <c r="W1513" s="43" t="n"/>
    </row>
    <row r="1514">
      <c r="A1514" s="43" t="inlineStr">
        <is>
          <t>N15a</t>
        </is>
      </c>
      <c r="B1514" s="43" t="inlineStr">
        <is>
          <t>上弦横隔板</t>
        </is>
      </c>
      <c r="C1514" s="43" t="inlineStr">
        <is>
          <t>节段21</t>
        </is>
      </c>
      <c r="D1514" s="43" t="inlineStr">
        <is>
          <t>Q355D</t>
        </is>
      </c>
      <c r="E1514" s="43" t="n">
        <v>1980</v>
      </c>
      <c r="F1514" s="43" t="n">
        <v>1200</v>
      </c>
      <c r="G1514" s="43" t="n">
        <v>16</v>
      </c>
      <c r="H1514" s="79">
        <f>(E1514/1000)*(F1514/1000)*(G1514/1000)*7850</f>
        <v/>
      </c>
      <c r="I1514" s="43" t="n">
        <v>3</v>
      </c>
      <c r="J1514" s="80">
        <f>H1514*I1514</f>
        <v/>
      </c>
      <c r="K1514" s="43" t="inlineStr">
        <is>
          <t>来源页131</t>
        </is>
      </c>
      <c r="L1514" s="43">
        <f>A1514</f>
        <v/>
      </c>
      <c r="M1514" s="81" t="n"/>
      <c r="N1514" s="81" t="n"/>
      <c r="O1514" s="81" t="n"/>
      <c r="P1514" s="81" t="n"/>
      <c r="Q1514" s="81" t="n"/>
      <c r="R1514" s="81" t="n"/>
      <c r="S1514" s="81" t="n"/>
      <c r="T1514" s="81" t="n"/>
      <c r="U1514" s="81" t="n"/>
      <c r="V1514" s="81" t="n"/>
      <c r="W1514" s="43" t="n"/>
    </row>
    <row r="1515">
      <c r="A1515" s="43" t="inlineStr">
        <is>
          <t>N15‘</t>
        </is>
      </c>
      <c r="B1515" s="43" t="inlineStr">
        <is>
          <t>上弦横隔板</t>
        </is>
      </c>
      <c r="C1515" s="43" t="inlineStr">
        <is>
          <t>节段21</t>
        </is>
      </c>
      <c r="D1515" s="43" t="inlineStr">
        <is>
          <t>Q355D</t>
        </is>
      </c>
      <c r="E1515" s="43" t="n">
        <v>2057</v>
      </c>
      <c r="F1515" s="43" t="n">
        <v>200</v>
      </c>
      <c r="G1515" s="43" t="n">
        <v>16</v>
      </c>
      <c r="H1515" s="79">
        <f>(E1515/1000)*(F1515/1000)*(G1515/1000)*7850</f>
        <v/>
      </c>
      <c r="I1515" s="43" t="n">
        <v>4</v>
      </c>
      <c r="J1515" s="80">
        <f>H1515*I1515</f>
        <v/>
      </c>
      <c r="K1515" s="43" t="inlineStr">
        <is>
          <t>来源页131</t>
        </is>
      </c>
      <c r="L1515" s="43">
        <f>A1515</f>
        <v/>
      </c>
      <c r="M1515" s="81" t="n"/>
      <c r="N1515" s="81" t="n"/>
      <c r="O1515" s="81" t="n"/>
      <c r="P1515" s="81" t="n"/>
      <c r="Q1515" s="81" t="n"/>
      <c r="R1515" s="81" t="n"/>
      <c r="S1515" s="81" t="n"/>
      <c r="T1515" s="81" t="n"/>
      <c r="U1515" s="81" t="n"/>
      <c r="V1515" s="81" t="n"/>
      <c r="W1515" s="43" t="n"/>
    </row>
    <row r="1516">
      <c r="A1516" s="43" t="inlineStr">
        <is>
          <t>N15b</t>
        </is>
      </c>
      <c r="B1516" s="43" t="inlineStr">
        <is>
          <t>上弦横隔板</t>
        </is>
      </c>
      <c r="C1516" s="43" t="inlineStr">
        <is>
          <t>节段21</t>
        </is>
      </c>
      <c r="D1516" s="43" t="inlineStr">
        <is>
          <t>Q355B</t>
        </is>
      </c>
      <c r="E1516" s="43" t="n">
        <v>2057</v>
      </c>
      <c r="F1516" s="43" t="n">
        <v>40</v>
      </c>
      <c r="G1516" s="43" t="n">
        <v>4</v>
      </c>
      <c r="H1516" s="79">
        <f>(E1516/1000)*(F1516/1000)*(G1516/1000)*7850</f>
        <v/>
      </c>
      <c r="I1516" s="43" t="n">
        <v>4</v>
      </c>
      <c r="J1516" s="80">
        <f>H1516*I1516</f>
        <v/>
      </c>
      <c r="K1516" s="43" t="inlineStr">
        <is>
          <t>来源页131</t>
        </is>
      </c>
      <c r="L1516" s="43">
        <f>A1516</f>
        <v/>
      </c>
      <c r="M1516" s="81" t="n"/>
      <c r="N1516" s="81" t="n"/>
      <c r="O1516" s="81" t="n"/>
      <c r="P1516" s="81" t="n"/>
      <c r="Q1516" s="81" t="n"/>
      <c r="R1516" s="81" t="n"/>
      <c r="S1516" s="81" t="n"/>
      <c r="T1516" s="81" t="n"/>
      <c r="U1516" s="81" t="n"/>
      <c r="V1516" s="81" t="n"/>
      <c r="W1516" s="43" t="n"/>
    </row>
    <row r="1517">
      <c r="A1517" s="43" t="inlineStr">
        <is>
          <t>N15c</t>
        </is>
      </c>
      <c r="B1517" s="43" t="inlineStr">
        <is>
          <t>上弦横隔板</t>
        </is>
      </c>
      <c r="C1517" s="43" t="inlineStr">
        <is>
          <t>节段21</t>
        </is>
      </c>
      <c r="D1517" s="43" t="inlineStr">
        <is>
          <t>Q355D</t>
        </is>
      </c>
      <c r="E1517" s="43" t="n">
        <v>800</v>
      </c>
      <c r="F1517" s="43" t="n">
        <v>400</v>
      </c>
      <c r="G1517" s="43" t="n">
        <v>16</v>
      </c>
      <c r="H1517" s="79">
        <f>(E1517/1000)*(F1517/1000)*(G1517/1000)*7850</f>
        <v/>
      </c>
      <c r="I1517" s="43" t="n">
        <v>4</v>
      </c>
      <c r="J1517" s="80">
        <f>H1517*I1517</f>
        <v/>
      </c>
      <c r="K1517" s="43" t="inlineStr">
        <is>
          <t>来源页131</t>
        </is>
      </c>
      <c r="L1517" s="43">
        <f>A1517</f>
        <v/>
      </c>
      <c r="M1517" s="81" t="n"/>
      <c r="N1517" s="81" t="n"/>
      <c r="O1517" s="81" t="n"/>
      <c r="P1517" s="81" t="n"/>
      <c r="Q1517" s="81" t="n"/>
      <c r="R1517" s="81" t="n"/>
      <c r="S1517" s="81" t="n"/>
      <c r="T1517" s="81" t="n"/>
      <c r="U1517" s="81" t="n"/>
      <c r="V1517" s="81" t="n"/>
      <c r="W1517" s="43" t="n"/>
    </row>
    <row r="1518">
      <c r="A1518" s="43" t="inlineStr">
        <is>
          <t>N16b</t>
        </is>
      </c>
      <c r="B1518" s="43" t="inlineStr">
        <is>
          <t>上弦加劲肋</t>
        </is>
      </c>
      <c r="C1518" s="43" t="inlineStr">
        <is>
          <t>节段21</t>
        </is>
      </c>
      <c r="D1518" s="43" t="inlineStr">
        <is>
          <t>Q355D</t>
        </is>
      </c>
      <c r="E1518" s="43" t="n">
        <v>8600</v>
      </c>
      <c r="F1518" s="43" t="n">
        <v>240</v>
      </c>
      <c r="G1518" s="43" t="n">
        <v>20</v>
      </c>
      <c r="H1518" s="79">
        <f>(E1518/1000)*(F1518/1000)*(G1518/1000)*7850</f>
        <v/>
      </c>
      <c r="I1518" s="43" t="n">
        <v>6</v>
      </c>
      <c r="J1518" s="80">
        <f>H1518*I1518</f>
        <v/>
      </c>
      <c r="K1518" s="43" t="inlineStr">
        <is>
          <t>来源页131</t>
        </is>
      </c>
      <c r="L1518" s="43">
        <f>A1518</f>
        <v/>
      </c>
      <c r="M1518" s="81" t="n"/>
      <c r="N1518" s="81" t="n"/>
      <c r="O1518" s="81" t="n"/>
      <c r="P1518" s="81" t="n"/>
      <c r="Q1518" s="81" t="n"/>
      <c r="R1518" s="81" t="n"/>
      <c r="S1518" s="81" t="n"/>
      <c r="T1518" s="81" t="n"/>
      <c r="U1518" s="81" t="n"/>
      <c r="V1518" s="81" t="n"/>
      <c r="W1518" s="43" t="n"/>
    </row>
    <row r="1519">
      <c r="A1519" s="43" t="inlineStr">
        <is>
          <t>N21a</t>
        </is>
      </c>
      <c r="B1519" s="43" t="inlineStr">
        <is>
          <t>下弦顶板</t>
        </is>
      </c>
      <c r="C1519" s="43" t="inlineStr">
        <is>
          <t>节段21</t>
        </is>
      </c>
      <c r="D1519" s="43" t="inlineStr">
        <is>
          <t>Q355D</t>
        </is>
      </c>
      <c r="E1519" s="43" t="n">
        <v>7900</v>
      </c>
      <c r="F1519" s="43" t="n">
        <v>2500</v>
      </c>
      <c r="G1519" s="43" t="n">
        <v>20</v>
      </c>
      <c r="H1519" s="79">
        <f>(E1519/1000)*(F1519/1000)*(G1519/1000)*7850</f>
        <v/>
      </c>
      <c r="I1519" s="43" t="n">
        <v>1</v>
      </c>
      <c r="J1519" s="80">
        <f>H1519*I1519</f>
        <v/>
      </c>
      <c r="K1519" s="43" t="inlineStr">
        <is>
          <t>来源页131</t>
        </is>
      </c>
      <c r="L1519" s="43">
        <f>A1519</f>
        <v/>
      </c>
      <c r="M1519" s="81" t="n"/>
      <c r="N1519" s="81" t="n"/>
      <c r="O1519" s="81" t="n"/>
      <c r="P1519" s="81" t="n"/>
      <c r="Q1519" s="81" t="n"/>
      <c r="R1519" s="81" t="n"/>
      <c r="S1519" s="81" t="n"/>
      <c r="T1519" s="81" t="n"/>
      <c r="U1519" s="81" t="n"/>
      <c r="V1519" s="81" t="n"/>
      <c r="W1519" s="43" t="n"/>
    </row>
    <row r="1520">
      <c r="A1520" s="43" t="inlineStr">
        <is>
          <t>N21b</t>
        </is>
      </c>
      <c r="B1520" s="43" t="inlineStr">
        <is>
          <t>下弦顶板</t>
        </is>
      </c>
      <c r="C1520" s="43" t="inlineStr">
        <is>
          <t>节段21</t>
        </is>
      </c>
      <c r="D1520" s="43" t="inlineStr">
        <is>
          <t>Q355D</t>
        </is>
      </c>
      <c r="E1520" s="43" t="n">
        <v>10100</v>
      </c>
      <c r="F1520" s="43" t="n">
        <v>2500</v>
      </c>
      <c r="G1520" s="43" t="n">
        <v>20</v>
      </c>
      <c r="H1520" s="79">
        <f>(E1520/1000)*(F1520/1000)*(G1520/1000)*7850</f>
        <v/>
      </c>
      <c r="I1520" s="43" t="n">
        <v>1</v>
      </c>
      <c r="J1520" s="80">
        <f>H1520*I1520</f>
        <v/>
      </c>
      <c r="K1520" s="43" t="inlineStr">
        <is>
          <t>来源页131</t>
        </is>
      </c>
      <c r="L1520" s="43">
        <f>A1520</f>
        <v/>
      </c>
      <c r="M1520" s="81" t="n"/>
      <c r="N1520" s="81" t="n"/>
      <c r="O1520" s="81" t="n"/>
      <c r="P1520" s="81" t="n"/>
      <c r="Q1520" s="81" t="n"/>
      <c r="R1520" s="81" t="n"/>
      <c r="S1520" s="81" t="n"/>
      <c r="T1520" s="81" t="n"/>
      <c r="U1520" s="81" t="n"/>
      <c r="V1520" s="81" t="n"/>
      <c r="W1520" s="43" t="n"/>
    </row>
    <row r="1521">
      <c r="A1521" s="43" t="inlineStr">
        <is>
          <t>N22a</t>
        </is>
      </c>
      <c r="B1521" s="43" t="inlineStr">
        <is>
          <t>下弦底板</t>
        </is>
      </c>
      <c r="C1521" s="43" t="inlineStr">
        <is>
          <t>节段21</t>
        </is>
      </c>
      <c r="D1521" s="43" t="inlineStr">
        <is>
          <t>Q355D</t>
        </is>
      </c>
      <c r="E1521" s="43" t="n"/>
      <c r="F1521" s="43" t="n"/>
      <c r="G1521" s="43" t="n">
        <v>20</v>
      </c>
      <c r="H1521" s="79">
        <f>(E1521/1000)*(F1521/1000)*(G1521/1000)*7850</f>
        <v/>
      </c>
      <c r="I1521" s="43" t="n">
        <v>1</v>
      </c>
      <c r="J1521" s="80">
        <f>H1521*I1521</f>
        <v/>
      </c>
      <c r="K1521" s="43" t="inlineStr">
        <is>
          <t>来源页131</t>
        </is>
      </c>
      <c r="L1521" s="43">
        <f>A1521</f>
        <v/>
      </c>
      <c r="M1521" s="81" t="n"/>
      <c r="N1521" s="81" t="n"/>
      <c r="O1521" s="81" t="n"/>
      <c r="P1521" s="81" t="n"/>
      <c r="Q1521" s="81" t="n"/>
      <c r="R1521" s="81" t="n"/>
      <c r="S1521" s="81" t="n"/>
      <c r="T1521" s="81" t="n"/>
      <c r="U1521" s="81" t="n"/>
      <c r="V1521" s="81" t="n"/>
      <c r="W1521" s="43" t="n"/>
    </row>
    <row r="1522">
      <c r="A1522" s="43" t="inlineStr">
        <is>
          <t>N22b</t>
        </is>
      </c>
      <c r="B1522" s="43" t="inlineStr">
        <is>
          <t>下弦底板</t>
        </is>
      </c>
      <c r="C1522" s="43" t="inlineStr">
        <is>
          <t>节段21</t>
        </is>
      </c>
      <c r="D1522" s="43" t="inlineStr">
        <is>
          <t>Q355D</t>
        </is>
      </c>
      <c r="E1522" s="43" t="n"/>
      <c r="F1522" s="43" t="n"/>
      <c r="G1522" s="43" t="n">
        <v>20</v>
      </c>
      <c r="H1522" s="79">
        <f>(E1522/1000)*(F1522/1000)*(G1522/1000)*7850</f>
        <v/>
      </c>
      <c r="I1522" s="43" t="n">
        <v>1</v>
      </c>
      <c r="J1522" s="80">
        <f>H1522*I1522</f>
        <v/>
      </c>
      <c r="K1522" s="43" t="inlineStr">
        <is>
          <t>来源页131</t>
        </is>
      </c>
      <c r="L1522" s="43">
        <f>A1522</f>
        <v/>
      </c>
      <c r="M1522" s="81" t="n"/>
      <c r="N1522" s="81" t="n"/>
      <c r="O1522" s="81" t="n"/>
      <c r="P1522" s="81" t="n"/>
      <c r="Q1522" s="81" t="n"/>
      <c r="R1522" s="81" t="n"/>
      <c r="S1522" s="81" t="n"/>
      <c r="T1522" s="81" t="n"/>
      <c r="U1522" s="81" t="n"/>
      <c r="V1522" s="81" t="n"/>
      <c r="W1522" s="43" t="n"/>
    </row>
    <row r="1523">
      <c r="A1523" s="43" t="inlineStr">
        <is>
          <t>N23</t>
        </is>
      </c>
      <c r="B1523" s="43" t="inlineStr">
        <is>
          <t>下弦节点板</t>
        </is>
      </c>
      <c r="C1523" s="43" t="inlineStr">
        <is>
          <t>节段21</t>
        </is>
      </c>
      <c r="D1523" s="43" t="inlineStr">
        <is>
          <t>Q355D</t>
        </is>
      </c>
      <c r="E1523" s="43" t="n"/>
      <c r="F1523" s="43" t="n"/>
      <c r="G1523" s="43" t="n">
        <v>40</v>
      </c>
      <c r="H1523" s="79">
        <f>(E1523/1000)*(F1523/1000)*(G1523/1000)*7850</f>
        <v/>
      </c>
      <c r="I1523" s="43" t="n">
        <v>2</v>
      </c>
      <c r="J1523" s="80">
        <f>H1523*I1523</f>
        <v/>
      </c>
      <c r="K1523" s="43" t="inlineStr">
        <is>
          <t>Z35钢；来源页131</t>
        </is>
      </c>
      <c r="L1523" s="43">
        <f>A1523</f>
        <v/>
      </c>
      <c r="M1523" s="81" t="n"/>
      <c r="N1523" s="81" t="n"/>
      <c r="O1523" s="81" t="n"/>
      <c r="P1523" s="81" t="n"/>
      <c r="Q1523" s="81" t="n"/>
      <c r="R1523" s="81" t="n"/>
      <c r="S1523" s="81" t="n"/>
      <c r="T1523" s="81" t="n"/>
      <c r="U1523" s="81" t="n"/>
      <c r="V1523" s="81" t="n"/>
      <c r="W1523" s="43" t="n"/>
    </row>
    <row r="1524">
      <c r="A1524" s="43" t="inlineStr">
        <is>
          <t>N24</t>
        </is>
      </c>
      <c r="B1524" s="43" t="inlineStr">
        <is>
          <t>下弦腹板</t>
        </is>
      </c>
      <c r="C1524" s="43" t="inlineStr">
        <is>
          <t>节段21</t>
        </is>
      </c>
      <c r="D1524" s="43" t="inlineStr">
        <is>
          <t>Q355D</t>
        </is>
      </c>
      <c r="E1524" s="43" t="n">
        <v>10300</v>
      </c>
      <c r="F1524" s="43" t="n">
        <v>1880</v>
      </c>
      <c r="G1524" s="43" t="n">
        <v>24</v>
      </c>
      <c r="H1524" s="79">
        <f>(E1524/1000)*(F1524/1000)*(G1524/1000)*7850</f>
        <v/>
      </c>
      <c r="I1524" s="43" t="n">
        <v>2</v>
      </c>
      <c r="J1524" s="80">
        <f>H1524*I1524</f>
        <v/>
      </c>
      <c r="K1524" s="43" t="inlineStr">
        <is>
          <t>来源页131</t>
        </is>
      </c>
      <c r="L1524" s="43">
        <f>A1524</f>
        <v/>
      </c>
      <c r="M1524" s="81" t="n"/>
      <c r="N1524" s="81" t="n"/>
      <c r="O1524" s="81" t="n"/>
      <c r="P1524" s="81" t="n"/>
      <c r="Q1524" s="81" t="n"/>
      <c r="R1524" s="81" t="n"/>
      <c r="S1524" s="81" t="n"/>
      <c r="T1524" s="81" t="n"/>
      <c r="U1524" s="81" t="n"/>
      <c r="V1524" s="81" t="n"/>
      <c r="W1524" s="43" t="n"/>
    </row>
    <row r="1525">
      <c r="A1525" s="43" t="inlineStr">
        <is>
          <t>N25</t>
        </is>
      </c>
      <c r="B1525" s="43" t="inlineStr">
        <is>
          <t>下弦横隔板</t>
        </is>
      </c>
      <c r="C1525" s="43" t="inlineStr">
        <is>
          <t>节段21</t>
        </is>
      </c>
      <c r="D1525" s="43" t="inlineStr">
        <is>
          <t>Q355D</t>
        </is>
      </c>
      <c r="E1525" s="43" t="n">
        <v>1800</v>
      </c>
      <c r="F1525" s="43" t="n">
        <v>1200</v>
      </c>
      <c r="G1525" s="43" t="n">
        <v>16</v>
      </c>
      <c r="H1525" s="79">
        <f>(E1525/1000)*(F1525/1000)*(G1525/1000)*7850</f>
        <v/>
      </c>
      <c r="I1525" s="43" t="n">
        <v>3</v>
      </c>
      <c r="J1525" s="80">
        <f>H1525*I1525</f>
        <v/>
      </c>
      <c r="K1525" s="43" t="inlineStr">
        <is>
          <t>来源页131</t>
        </is>
      </c>
      <c r="L1525" s="43">
        <f>A1525</f>
        <v/>
      </c>
      <c r="M1525" s="81" t="n"/>
      <c r="N1525" s="81" t="n"/>
      <c r="O1525" s="81" t="n"/>
      <c r="P1525" s="81" t="n"/>
      <c r="Q1525" s="81" t="n"/>
      <c r="R1525" s="81" t="n"/>
      <c r="S1525" s="81" t="n"/>
      <c r="T1525" s="81" t="n"/>
      <c r="U1525" s="81" t="n"/>
      <c r="V1525" s="81" t="n"/>
      <c r="W1525" s="43" t="n"/>
    </row>
    <row r="1526">
      <c r="A1526" s="43" t="inlineStr">
        <is>
          <t>N25a</t>
        </is>
      </c>
      <c r="B1526" s="43" t="inlineStr">
        <is>
          <t>下弦横隔板</t>
        </is>
      </c>
      <c r="C1526" s="43" t="inlineStr">
        <is>
          <t>节段21</t>
        </is>
      </c>
      <c r="D1526" s="43" t="inlineStr">
        <is>
          <t>Q355D</t>
        </is>
      </c>
      <c r="E1526" s="43" t="n">
        <v>1800</v>
      </c>
      <c r="F1526" s="43" t="n">
        <v>1200</v>
      </c>
      <c r="G1526" s="43" t="n">
        <v>16</v>
      </c>
      <c r="H1526" s="79">
        <f>(E1526/1000)*(F1526/1000)*(G1526/1000)*7850</f>
        <v/>
      </c>
      <c r="I1526" s="43" t="n">
        <v>2</v>
      </c>
      <c r="J1526" s="80">
        <f>H1526*I1526</f>
        <v/>
      </c>
      <c r="K1526" s="43" t="inlineStr">
        <is>
          <t>来源页131</t>
        </is>
      </c>
      <c r="L1526" s="43">
        <f>A1526</f>
        <v/>
      </c>
      <c r="M1526" s="81" t="n"/>
      <c r="N1526" s="81" t="n"/>
      <c r="O1526" s="81" t="n"/>
      <c r="P1526" s="81" t="n"/>
      <c r="Q1526" s="81" t="n"/>
      <c r="R1526" s="81" t="n"/>
      <c r="S1526" s="81" t="n"/>
      <c r="T1526" s="81" t="n"/>
      <c r="U1526" s="81" t="n"/>
      <c r="V1526" s="81" t="n"/>
      <c r="W1526" s="43" t="n"/>
    </row>
    <row r="1527">
      <c r="A1527" s="43" t="inlineStr">
        <is>
          <t>N25'</t>
        </is>
      </c>
      <c r="B1527" s="43" t="inlineStr">
        <is>
          <t>下弦横隔板</t>
        </is>
      </c>
      <c r="C1527" s="43" t="inlineStr">
        <is>
          <t>节段21</t>
        </is>
      </c>
      <c r="D1527" s="43" t="inlineStr">
        <is>
          <t>Q355D</t>
        </is>
      </c>
      <c r="E1527" s="43" t="n">
        <v>2057</v>
      </c>
      <c r="F1527" s="43" t="n">
        <v>200</v>
      </c>
      <c r="G1527" s="43" t="n">
        <v>16</v>
      </c>
      <c r="H1527" s="79">
        <f>(E1527/1000)*(F1527/1000)*(G1527/1000)*7850</f>
        <v/>
      </c>
      <c r="I1527" s="43" t="n">
        <v>3</v>
      </c>
      <c r="J1527" s="80">
        <f>H1527*I1527</f>
        <v/>
      </c>
      <c r="K1527" s="43" t="inlineStr">
        <is>
          <t>来源页131</t>
        </is>
      </c>
      <c r="L1527" s="43">
        <f>A1527</f>
        <v/>
      </c>
      <c r="M1527" s="81" t="n"/>
      <c r="N1527" s="81" t="n"/>
      <c r="O1527" s="81" t="n"/>
      <c r="P1527" s="81" t="n"/>
      <c r="Q1527" s="81" t="n"/>
      <c r="R1527" s="81" t="n"/>
      <c r="S1527" s="81" t="n"/>
      <c r="T1527" s="81" t="n"/>
      <c r="U1527" s="81" t="n"/>
      <c r="V1527" s="81" t="n"/>
      <c r="W1527" s="43" t="n"/>
    </row>
    <row r="1528">
      <c r="A1528" s="43" t="inlineStr">
        <is>
          <t>N26a</t>
        </is>
      </c>
      <c r="B1528" s="43" t="inlineStr">
        <is>
          <t>下弦加劲肋</t>
        </is>
      </c>
      <c r="C1528" s="43" t="inlineStr">
        <is>
          <t>节段21</t>
        </is>
      </c>
      <c r="D1528" s="43" t="inlineStr">
        <is>
          <t>Q355D</t>
        </is>
      </c>
      <c r="E1528" s="43" t="n">
        <v>7900</v>
      </c>
      <c r="F1528" s="43" t="n">
        <v>240</v>
      </c>
      <c r="G1528" s="43" t="n">
        <v>20</v>
      </c>
      <c r="H1528" s="79">
        <f>(E1528/1000)*(F1528/1000)*(G1528/1000)*7850</f>
        <v/>
      </c>
      <c r="I1528" s="43" t="n">
        <v>4</v>
      </c>
      <c r="J1528" s="80">
        <f>H1528*I1528</f>
        <v/>
      </c>
      <c r="K1528" s="43" t="inlineStr">
        <is>
          <t>来源页131</t>
        </is>
      </c>
      <c r="L1528" s="43">
        <f>A1528</f>
        <v/>
      </c>
      <c r="M1528" s="81" t="n"/>
      <c r="N1528" s="81" t="n"/>
      <c r="O1528" s="81" t="n"/>
      <c r="P1528" s="81" t="n"/>
      <c r="Q1528" s="81" t="n"/>
      <c r="R1528" s="81" t="n"/>
      <c r="S1528" s="81" t="n"/>
      <c r="T1528" s="81" t="n"/>
      <c r="U1528" s="81" t="n"/>
      <c r="V1528" s="81" t="n"/>
      <c r="W1528" s="43" t="n"/>
    </row>
    <row r="1529">
      <c r="A1529" s="43" t="inlineStr">
        <is>
          <t>N26b</t>
        </is>
      </c>
      <c r="B1529" s="43" t="inlineStr">
        <is>
          <t>下弦加劲肋</t>
        </is>
      </c>
      <c r="C1529" s="43" t="inlineStr">
        <is>
          <t>节段21</t>
        </is>
      </c>
      <c r="D1529" s="43" t="inlineStr">
        <is>
          <t>Q355D</t>
        </is>
      </c>
      <c r="E1529" s="43" t="n">
        <v>10100</v>
      </c>
      <c r="F1529" s="43" t="n">
        <v>240</v>
      </c>
      <c r="G1529" s="43" t="n">
        <v>20</v>
      </c>
      <c r="H1529" s="79">
        <f>(E1529/1000)*(F1529/1000)*(G1529/1000)*7850</f>
        <v/>
      </c>
      <c r="I1529" s="43" t="n">
        <v>4</v>
      </c>
      <c r="J1529" s="80">
        <f>H1529*I1529</f>
        <v/>
      </c>
      <c r="K1529" s="43" t="inlineStr">
        <is>
          <t>来源页131</t>
        </is>
      </c>
      <c r="L1529" s="43">
        <f>A1529</f>
        <v/>
      </c>
      <c r="M1529" s="81" t="n"/>
      <c r="N1529" s="81" t="n"/>
      <c r="O1529" s="81" t="n"/>
      <c r="P1529" s="81" t="n"/>
      <c r="Q1529" s="81" t="n"/>
      <c r="R1529" s="81" t="n"/>
      <c r="S1529" s="81" t="n"/>
      <c r="T1529" s="81" t="n"/>
      <c r="U1529" s="81" t="n"/>
      <c r="V1529" s="81" t="n"/>
      <c r="W1529" s="43" t="n"/>
    </row>
    <row r="1530">
      <c r="A1530" s="43" t="inlineStr">
        <is>
          <t>N26c</t>
        </is>
      </c>
      <c r="B1530" s="43" t="inlineStr">
        <is>
          <t>下弦加劲肋</t>
        </is>
      </c>
      <c r="C1530" s="43" t="inlineStr">
        <is>
          <t>节段21</t>
        </is>
      </c>
      <c r="D1530" s="43" t="inlineStr">
        <is>
          <t>Q355D</t>
        </is>
      </c>
      <c r="E1530" s="43" t="n">
        <v>18000</v>
      </c>
      <c r="F1530" s="43" t="n">
        <v>170</v>
      </c>
      <c r="G1530" s="43" t="n">
        <v>14</v>
      </c>
      <c r="H1530" s="79">
        <f>(E1530/1000)*(F1530/1000)*(G1530/1000)*7850</f>
        <v/>
      </c>
      <c r="I1530" s="43" t="n">
        <v>2</v>
      </c>
      <c r="J1530" s="80">
        <f>H1530*I1530</f>
        <v/>
      </c>
      <c r="K1530" s="43" t="inlineStr">
        <is>
          <t>来源页131</t>
        </is>
      </c>
      <c r="L1530" s="43">
        <f>A1530</f>
        <v/>
      </c>
      <c r="M1530" s="81" t="n"/>
      <c r="N1530" s="81" t="n"/>
      <c r="O1530" s="81" t="n"/>
      <c r="P1530" s="81" t="n"/>
      <c r="Q1530" s="81" t="n"/>
      <c r="R1530" s="81" t="n"/>
      <c r="S1530" s="81" t="n"/>
      <c r="T1530" s="81" t="n"/>
      <c r="U1530" s="81" t="n"/>
      <c r="V1530" s="81" t="n"/>
      <c r="W1530" s="43" t="n"/>
    </row>
    <row r="1531">
      <c r="A1531" s="43" t="inlineStr">
        <is>
          <t>N31</t>
        </is>
      </c>
      <c r="B1531" s="43" t="inlineStr">
        <is>
          <t>斜腹杆</t>
        </is>
      </c>
      <c r="C1531" s="43" t="inlineStr">
        <is>
          <t>节段21</t>
        </is>
      </c>
      <c r="D1531" s="43" t="inlineStr">
        <is>
          <t>Q355D</t>
        </is>
      </c>
      <c r="E1531" s="43" t="n">
        <v>8075</v>
      </c>
      <c r="F1531" s="43" t="n">
        <v>900</v>
      </c>
      <c r="G1531" s="43" t="n">
        <v>36</v>
      </c>
      <c r="H1531" s="79">
        <f>(E1531/1000)*(F1531/1000)*(G1531/1000)*7850</f>
        <v/>
      </c>
      <c r="I1531" s="43" t="n">
        <v>2</v>
      </c>
      <c r="J1531" s="80">
        <f>H1531*I1531</f>
        <v/>
      </c>
      <c r="K1531" s="43" t="inlineStr">
        <is>
          <t>来源页131</t>
        </is>
      </c>
      <c r="L1531" s="43">
        <f>A1531</f>
        <v/>
      </c>
      <c r="M1531" s="81" t="n"/>
      <c r="N1531" s="81" t="n"/>
      <c r="O1531" s="81" t="n"/>
      <c r="P1531" s="81" t="n"/>
      <c r="Q1531" s="81" t="n"/>
      <c r="R1531" s="81" t="n"/>
      <c r="S1531" s="81" t="n"/>
      <c r="T1531" s="81" t="n"/>
      <c r="U1531" s="81" t="n"/>
      <c r="V1531" s="81" t="n"/>
      <c r="W1531" s="43" t="n"/>
    </row>
    <row r="1532">
      <c r="A1532" s="43" t="inlineStr">
        <is>
          <t>N32</t>
        </is>
      </c>
      <c r="B1532" s="43" t="inlineStr">
        <is>
          <t>斜腹杆</t>
        </is>
      </c>
      <c r="C1532" s="43" t="inlineStr">
        <is>
          <t>节段21</t>
        </is>
      </c>
      <c r="D1532" s="43" t="inlineStr">
        <is>
          <t>Q355D</t>
        </is>
      </c>
      <c r="E1532" s="43" t="n">
        <v>12575</v>
      </c>
      <c r="F1532" s="43" t="n">
        <v>1200</v>
      </c>
      <c r="G1532" s="43" t="n">
        <v>32</v>
      </c>
      <c r="H1532" s="79">
        <f>(E1532/1000)*(F1532/1000)*(G1532/1000)*7850</f>
        <v/>
      </c>
      <c r="I1532" s="43" t="n">
        <v>1</v>
      </c>
      <c r="J1532" s="80">
        <f>H1532*I1532</f>
        <v/>
      </c>
      <c r="K1532" s="43" t="inlineStr">
        <is>
          <t>来源页131</t>
        </is>
      </c>
      <c r="L1532" s="43">
        <f>A1532</f>
        <v/>
      </c>
      <c r="M1532" s="81" t="n"/>
      <c r="N1532" s="81" t="n"/>
      <c r="O1532" s="81" t="n"/>
      <c r="P1532" s="81" t="n"/>
      <c r="Q1532" s="81" t="n"/>
      <c r="R1532" s="81" t="n"/>
      <c r="S1532" s="81" t="n"/>
      <c r="T1532" s="81" t="n"/>
      <c r="U1532" s="81" t="n"/>
      <c r="V1532" s="81" t="n"/>
      <c r="W1532" s="43" t="n"/>
    </row>
    <row r="1533">
      <c r="A1533" s="43" t="inlineStr">
        <is>
          <t>N33</t>
        </is>
      </c>
      <c r="B1533" s="43" t="inlineStr">
        <is>
          <t>斜腹杆</t>
        </is>
      </c>
      <c r="C1533" s="43" t="inlineStr">
        <is>
          <t>节段21</t>
        </is>
      </c>
      <c r="D1533" s="43" t="inlineStr">
        <is>
          <t>Q355D</t>
        </is>
      </c>
      <c r="E1533" s="43" t="n">
        <v>11175</v>
      </c>
      <c r="F1533" s="43" t="n">
        <v>240</v>
      </c>
      <c r="G1533" s="43" t="n">
        <v>24</v>
      </c>
      <c r="H1533" s="79">
        <f>(E1533/1000)*(F1533/1000)*(G1533/1000)*7850</f>
        <v/>
      </c>
      <c r="I1533" s="43" t="n">
        <v>2</v>
      </c>
      <c r="J1533" s="80">
        <f>H1533*I1533</f>
        <v/>
      </c>
      <c r="K1533" s="43" t="inlineStr">
        <is>
          <t>来源页131</t>
        </is>
      </c>
      <c r="L1533" s="43">
        <f>A1533</f>
        <v/>
      </c>
      <c r="M1533" s="81" t="n"/>
      <c r="N1533" s="81" t="n"/>
      <c r="O1533" s="81" t="n"/>
      <c r="P1533" s="81" t="n"/>
      <c r="Q1533" s="81" t="n"/>
      <c r="R1533" s="81" t="n"/>
      <c r="S1533" s="81" t="n"/>
      <c r="T1533" s="81" t="n"/>
      <c r="U1533" s="81" t="n"/>
      <c r="V1533" s="81" t="n"/>
      <c r="W1533" s="43" t="n"/>
    </row>
    <row r="1534">
      <c r="A1534" s="43" t="inlineStr">
        <is>
          <t>N41</t>
        </is>
      </c>
      <c r="B1534" s="43" t="inlineStr">
        <is>
          <t>斜腹杆</t>
        </is>
      </c>
      <c r="C1534" s="43" t="inlineStr">
        <is>
          <t>节段21</t>
        </is>
      </c>
      <c r="D1534" s="43" t="inlineStr">
        <is>
          <t>Q355D</t>
        </is>
      </c>
      <c r="E1534" s="43" t="n">
        <v>4104</v>
      </c>
      <c r="F1534" s="43" t="n">
        <v>900</v>
      </c>
      <c r="G1534" s="43" t="n">
        <v>36</v>
      </c>
      <c r="H1534" s="79">
        <f>(E1534/1000)*(F1534/1000)*(G1534/1000)*7850</f>
        <v/>
      </c>
      <c r="I1534" s="43" t="n">
        <v>2</v>
      </c>
      <c r="J1534" s="80">
        <f>H1534*I1534</f>
        <v/>
      </c>
      <c r="K1534" s="43" t="inlineStr">
        <is>
          <t>来源页131</t>
        </is>
      </c>
      <c r="L1534" s="43">
        <f>A1534</f>
        <v/>
      </c>
      <c r="M1534" s="81" t="n"/>
      <c r="N1534" s="81" t="n"/>
      <c r="O1534" s="81" t="n"/>
      <c r="P1534" s="81" t="n"/>
      <c r="Q1534" s="81" t="n"/>
      <c r="R1534" s="81" t="n"/>
      <c r="S1534" s="81" t="n"/>
      <c r="T1534" s="81" t="n"/>
      <c r="U1534" s="81" t="n"/>
      <c r="V1534" s="81" t="n"/>
      <c r="W1534" s="43" t="n"/>
    </row>
    <row r="1535">
      <c r="A1535" s="43" t="inlineStr">
        <is>
          <t>N42</t>
        </is>
      </c>
      <c r="B1535" s="43" t="inlineStr">
        <is>
          <t>斜腹杆</t>
        </is>
      </c>
      <c r="C1535" s="43" t="inlineStr">
        <is>
          <t>节段21</t>
        </is>
      </c>
      <c r="D1535" s="43" t="inlineStr">
        <is>
          <t>Q355D</t>
        </is>
      </c>
      <c r="E1535" s="43" t="n">
        <v>6404</v>
      </c>
      <c r="F1535" s="43" t="n">
        <v>1200</v>
      </c>
      <c r="G1535" s="43" t="n">
        <v>32</v>
      </c>
      <c r="H1535" s="79">
        <f>(E1535/1000)*(F1535/1000)*(G1535/1000)*7850</f>
        <v/>
      </c>
      <c r="I1535" s="43" t="n">
        <v>1</v>
      </c>
      <c r="J1535" s="80">
        <f>H1535*I1535</f>
        <v/>
      </c>
      <c r="K1535" s="43" t="inlineStr">
        <is>
          <t>来源页131</t>
        </is>
      </c>
      <c r="L1535" s="43">
        <f>A1535</f>
        <v/>
      </c>
      <c r="M1535" s="81" t="n"/>
      <c r="N1535" s="81" t="n"/>
      <c r="O1535" s="81" t="n"/>
      <c r="P1535" s="81" t="n"/>
      <c r="Q1535" s="81" t="n"/>
      <c r="R1535" s="81" t="n"/>
      <c r="S1535" s="81" t="n"/>
      <c r="T1535" s="81" t="n"/>
      <c r="U1535" s="81" t="n"/>
      <c r="V1535" s="81" t="n"/>
      <c r="W1535" s="43" t="n"/>
    </row>
    <row r="1536">
      <c r="A1536" s="43" t="inlineStr">
        <is>
          <t>N43</t>
        </is>
      </c>
      <c r="B1536" s="43" t="inlineStr">
        <is>
          <t>斜腹杆</t>
        </is>
      </c>
      <c r="C1536" s="43" t="inlineStr">
        <is>
          <t>节段21</t>
        </is>
      </c>
      <c r="D1536" s="43" t="inlineStr">
        <is>
          <t>Q355D</t>
        </is>
      </c>
      <c r="E1536" s="43" t="n">
        <v>5704</v>
      </c>
      <c r="F1536" s="43" t="n">
        <v>240</v>
      </c>
      <c r="G1536" s="43" t="n">
        <v>24</v>
      </c>
      <c r="H1536" s="79">
        <f>(E1536/1000)*(F1536/1000)*(G1536/1000)*7850</f>
        <v/>
      </c>
      <c r="I1536" s="43" t="n">
        <v>2</v>
      </c>
      <c r="J1536" s="80">
        <f>H1536*I1536</f>
        <v/>
      </c>
      <c r="K1536" s="43" t="inlineStr">
        <is>
          <t>来源页131</t>
        </is>
      </c>
      <c r="L1536" s="43">
        <f>A1536</f>
        <v/>
      </c>
      <c r="M1536" s="81" t="n"/>
      <c r="N1536" s="81" t="n"/>
      <c r="O1536" s="81" t="n"/>
      <c r="P1536" s="81" t="n"/>
      <c r="Q1536" s="81" t="n"/>
      <c r="R1536" s="81" t="n"/>
      <c r="S1536" s="81" t="n"/>
      <c r="T1536" s="81" t="n"/>
      <c r="U1536" s="81" t="n"/>
      <c r="V1536" s="81" t="n"/>
      <c r="W1536" s="43" t="n"/>
    </row>
    <row r="1537">
      <c r="A1537" s="43" t="inlineStr">
        <is>
          <t>N51</t>
        </is>
      </c>
      <c r="B1537" s="43" t="inlineStr">
        <is>
          <t>斜腹杆</t>
        </is>
      </c>
      <c r="C1537" s="43" t="inlineStr">
        <is>
          <t>节段21</t>
        </is>
      </c>
      <c r="D1537" s="43" t="inlineStr">
        <is>
          <t>Q355D</t>
        </is>
      </c>
      <c r="E1537" s="43" t="n">
        <v>3657</v>
      </c>
      <c r="F1537" s="43" t="n">
        <v>900</v>
      </c>
      <c r="G1537" s="43" t="n">
        <v>36</v>
      </c>
      <c r="H1537" s="79">
        <f>(E1537/1000)*(F1537/1000)*(G1537/1000)*7850</f>
        <v/>
      </c>
      <c r="I1537" s="43" t="n">
        <v>2</v>
      </c>
      <c r="J1537" s="80">
        <f>H1537*I1537</f>
        <v/>
      </c>
      <c r="K1537" s="43" t="inlineStr">
        <is>
          <t>来源页131</t>
        </is>
      </c>
      <c r="L1537" s="43">
        <f>A1537</f>
        <v/>
      </c>
      <c r="M1537" s="81" t="n"/>
      <c r="N1537" s="81" t="n"/>
      <c r="O1537" s="81" t="n"/>
      <c r="P1537" s="81" t="n"/>
      <c r="Q1537" s="81" t="n"/>
      <c r="R1537" s="81" t="n"/>
      <c r="S1537" s="81" t="n"/>
      <c r="T1537" s="81" t="n"/>
      <c r="U1537" s="81" t="n"/>
      <c r="V1537" s="81" t="n"/>
      <c r="W1537" s="43" t="n"/>
    </row>
    <row r="1538">
      <c r="A1538" s="43" t="inlineStr">
        <is>
          <t>N52</t>
        </is>
      </c>
      <c r="B1538" s="43" t="inlineStr">
        <is>
          <t>斜腹杆</t>
        </is>
      </c>
      <c r="C1538" s="43" t="inlineStr">
        <is>
          <t>节段21</t>
        </is>
      </c>
      <c r="D1538" s="43" t="inlineStr">
        <is>
          <t>Q355D</t>
        </is>
      </c>
      <c r="E1538" s="43" t="n">
        <v>5857</v>
      </c>
      <c r="F1538" s="43" t="n">
        <v>1200</v>
      </c>
      <c r="G1538" s="43" t="n">
        <v>32</v>
      </c>
      <c r="H1538" s="79">
        <f>(E1538/1000)*(F1538/1000)*(G1538/1000)*7850</f>
        <v/>
      </c>
      <c r="I1538" s="43" t="n">
        <v>1</v>
      </c>
      <c r="J1538" s="80">
        <f>H1538*I1538</f>
        <v/>
      </c>
      <c r="K1538" s="43" t="inlineStr">
        <is>
          <t>来源页131</t>
        </is>
      </c>
      <c r="L1538" s="43">
        <f>A1538</f>
        <v/>
      </c>
      <c r="M1538" s="81" t="n"/>
      <c r="N1538" s="81" t="n"/>
      <c r="O1538" s="81" t="n"/>
      <c r="P1538" s="81" t="n"/>
      <c r="Q1538" s="81" t="n"/>
      <c r="R1538" s="81" t="n"/>
      <c r="S1538" s="81" t="n"/>
      <c r="T1538" s="81" t="n"/>
      <c r="U1538" s="81" t="n"/>
      <c r="V1538" s="81" t="n"/>
      <c r="W1538" s="43" t="n"/>
    </row>
    <row r="1539">
      <c r="A1539" s="43" t="inlineStr">
        <is>
          <t>N53</t>
        </is>
      </c>
      <c r="B1539" s="43" t="inlineStr">
        <is>
          <t>斜腹杆</t>
        </is>
      </c>
      <c r="C1539" s="43" t="inlineStr">
        <is>
          <t>节段21</t>
        </is>
      </c>
      <c r="D1539" s="43" t="inlineStr">
        <is>
          <t>Q355D</t>
        </is>
      </c>
      <c r="E1539" s="43" t="n">
        <v>5157</v>
      </c>
      <c r="F1539" s="43" t="n">
        <v>240</v>
      </c>
      <c r="G1539" s="43" t="n">
        <v>24</v>
      </c>
      <c r="H1539" s="79">
        <f>(E1539/1000)*(F1539/1000)*(G1539/1000)*7850</f>
        <v/>
      </c>
      <c r="I1539" s="43" t="n">
        <v>2</v>
      </c>
      <c r="J1539" s="80">
        <f>H1539*I1539</f>
        <v/>
      </c>
      <c r="K1539" s="43" t="inlineStr">
        <is>
          <t>来源页131</t>
        </is>
      </c>
      <c r="L1539" s="43">
        <f>A1539</f>
        <v/>
      </c>
      <c r="M1539" s="81" t="n"/>
      <c r="N1539" s="81" t="n"/>
      <c r="O1539" s="81" t="n"/>
      <c r="P1539" s="81" t="n"/>
      <c r="Q1539" s="81" t="n"/>
      <c r="R1539" s="81" t="n"/>
      <c r="S1539" s="81" t="n"/>
      <c r="T1539" s="81" t="n"/>
      <c r="U1539" s="81" t="n"/>
      <c r="V1539" s="81" t="n"/>
      <c r="W1539" s="43" t="n"/>
    </row>
    <row r="1540">
      <c r="A1540" s="43" t="inlineStr">
        <is>
          <t>N61</t>
        </is>
      </c>
      <c r="B1540" s="43" t="inlineStr">
        <is>
          <t>横梁接头</t>
        </is>
      </c>
      <c r="C1540" s="43" t="inlineStr">
        <is>
          <t>节段21</t>
        </is>
      </c>
      <c r="D1540" s="43" t="inlineStr">
        <is>
          <t>Q355D</t>
        </is>
      </c>
      <c r="E1540" s="43" t="n">
        <v>1980</v>
      </c>
      <c r="F1540" s="43" t="n">
        <v>610</v>
      </c>
      <c r="G1540" s="43" t="n">
        <v>14</v>
      </c>
      <c r="H1540" s="79">
        <f>(E1540/1000)*(F1540/1000)*(G1540/1000)*7850</f>
        <v/>
      </c>
      <c r="I1540" s="43" t="n">
        <v>6</v>
      </c>
      <c r="J1540" s="80">
        <f>H1540*I1540</f>
        <v/>
      </c>
      <c r="K1540" s="43" t="inlineStr">
        <is>
          <t>来源页131</t>
        </is>
      </c>
      <c r="L1540" s="43">
        <f>A1540</f>
        <v/>
      </c>
      <c r="M1540" s="81" t="n"/>
      <c r="N1540" s="81" t="n"/>
      <c r="O1540" s="81" t="n"/>
      <c r="P1540" s="81" t="n"/>
      <c r="Q1540" s="81" t="n"/>
      <c r="R1540" s="81" t="n"/>
      <c r="S1540" s="81" t="n"/>
      <c r="T1540" s="81" t="n"/>
      <c r="U1540" s="81" t="n"/>
      <c r="V1540" s="81" t="n"/>
      <c r="W1540" s="43" t="n"/>
    </row>
    <row r="1541">
      <c r="A1541" s="43" t="inlineStr">
        <is>
          <t>N63a</t>
        </is>
      </c>
      <c r="B1541" s="43" t="inlineStr">
        <is>
          <t>横梁接头</t>
        </is>
      </c>
      <c r="C1541" s="43" t="inlineStr">
        <is>
          <t>节段21</t>
        </is>
      </c>
      <c r="D1541" s="43" t="inlineStr">
        <is>
          <t>Q355D</t>
        </is>
      </c>
      <c r="E1541" s="43" t="n">
        <v>1800</v>
      </c>
      <c r="F1541" s="43" t="n">
        <v>626</v>
      </c>
      <c r="G1541" s="43" t="n">
        <v>14</v>
      </c>
      <c r="H1541" s="79">
        <f>(E1541/1000)*(F1541/1000)*(G1541/1000)*7850</f>
        <v/>
      </c>
      <c r="I1541" s="43" t="n">
        <v>4</v>
      </c>
      <c r="J1541" s="80">
        <f>H1541*I1541</f>
        <v/>
      </c>
      <c r="K1541" s="43" t="inlineStr">
        <is>
          <t>来源页131</t>
        </is>
      </c>
      <c r="L1541" s="43">
        <f>A1541</f>
        <v/>
      </c>
      <c r="M1541" s="81" t="n"/>
      <c r="N1541" s="81" t="n"/>
      <c r="O1541" s="81" t="n"/>
      <c r="P1541" s="81" t="n"/>
      <c r="Q1541" s="81" t="n"/>
      <c r="R1541" s="81" t="n"/>
      <c r="S1541" s="81" t="n"/>
      <c r="T1541" s="81" t="n"/>
      <c r="U1541" s="81" t="n"/>
      <c r="V1541" s="81" t="n"/>
      <c r="W1541" s="43" t="n"/>
    </row>
    <row r="1542">
      <c r="A1542" s="43" t="inlineStr">
        <is>
          <t>P1</t>
        </is>
      </c>
      <c r="B1542" s="43" t="inlineStr">
        <is>
          <t>上弦杆拼接</t>
        </is>
      </c>
      <c r="C1542" s="43" t="inlineStr"/>
      <c r="D1542" s="43" t="inlineStr">
        <is>
          <t>Q355D</t>
        </is>
      </c>
      <c r="E1542" s="43" t="n">
        <v>1020</v>
      </c>
      <c r="F1542" s="43" t="n">
        <v>1800</v>
      </c>
      <c r="G1542" s="43" t="n">
        <v>16</v>
      </c>
      <c r="H1542" s="79">
        <f>(E1542/1000)*(F1542/1000)*(G1542/1000)*7850</f>
        <v/>
      </c>
      <c r="I1542" s="43" t="n">
        <v>2</v>
      </c>
      <c r="J1542" s="80">
        <f>H1542*I1542</f>
        <v/>
      </c>
      <c r="K1542" s="43" t="inlineStr">
        <is>
          <t>来源页136</t>
        </is>
      </c>
      <c r="L1542" s="43">
        <f>A1542</f>
        <v/>
      </c>
      <c r="M1542" s="81" t="n"/>
      <c r="N1542" s="81" t="n"/>
      <c r="O1542" s="81" t="n"/>
      <c r="P1542" s="81" t="n"/>
      <c r="Q1542" s="81" t="n"/>
      <c r="R1542" s="81" t="n"/>
      <c r="S1542" s="81" t="n"/>
      <c r="T1542" s="81" t="n"/>
      <c r="U1542" s="81" t="n"/>
      <c r="V1542" s="81" t="n"/>
      <c r="W1542" s="43" t="n"/>
    </row>
    <row r="1543">
      <c r="A1543" s="43" t="inlineStr">
        <is>
          <t>P2</t>
        </is>
      </c>
      <c r="B1543" s="43" t="inlineStr">
        <is>
          <t>上弦杆拼接</t>
        </is>
      </c>
      <c r="C1543" s="43" t="inlineStr"/>
      <c r="D1543" s="43" t="inlineStr">
        <is>
          <t>Q355D</t>
        </is>
      </c>
      <c r="E1543" s="43" t="n">
        <v>1020</v>
      </c>
      <c r="F1543" s="43" t="n">
        <v>500</v>
      </c>
      <c r="G1543" s="43" t="n">
        <v>16</v>
      </c>
      <c r="H1543" s="79">
        <f>(E1543/1000)*(F1543/1000)*(G1543/1000)*7850</f>
        <v/>
      </c>
      <c r="I1543" s="43" t="n">
        <v>2</v>
      </c>
      <c r="J1543" s="80">
        <f>H1543*I1543</f>
        <v/>
      </c>
      <c r="K1543" s="43" t="inlineStr">
        <is>
          <t>来源页136</t>
        </is>
      </c>
      <c r="L1543" s="43">
        <f>A1543</f>
        <v/>
      </c>
      <c r="M1543" s="81" t="n"/>
      <c r="N1543" s="81" t="n"/>
      <c r="O1543" s="81" t="n"/>
      <c r="P1543" s="81" t="n"/>
      <c r="Q1543" s="81" t="n"/>
      <c r="R1543" s="81" t="n"/>
      <c r="S1543" s="81" t="n"/>
      <c r="T1543" s="81" t="n"/>
      <c r="U1543" s="81" t="n"/>
      <c r="V1543" s="81" t="n"/>
      <c r="W1543" s="43" t="n"/>
    </row>
    <row r="1544">
      <c r="A1544" s="43" t="inlineStr">
        <is>
          <t>P3</t>
        </is>
      </c>
      <c r="B1544" s="43" t="inlineStr">
        <is>
          <t>上弦杆拼接</t>
        </is>
      </c>
      <c r="C1544" s="43" t="inlineStr"/>
      <c r="D1544" s="43" t="inlineStr">
        <is>
          <t>Q355D</t>
        </is>
      </c>
      <c r="E1544" s="43" t="n">
        <v>1020</v>
      </c>
      <c r="F1544" s="43" t="n">
        <v>500</v>
      </c>
      <c r="G1544" s="43" t="n">
        <v>16</v>
      </c>
      <c r="H1544" s="79">
        <f>(E1544/1000)*(F1544/1000)*(G1544/1000)*7850</f>
        <v/>
      </c>
      <c r="I1544" s="43" t="n">
        <v>2</v>
      </c>
      <c r="J1544" s="80">
        <f>H1544*I1544</f>
        <v/>
      </c>
      <c r="K1544" s="43" t="inlineStr">
        <is>
          <t>来源页136</t>
        </is>
      </c>
      <c r="L1544" s="43">
        <f>A1544</f>
        <v/>
      </c>
      <c r="M1544" s="81" t="n"/>
      <c r="N1544" s="81" t="n"/>
      <c r="O1544" s="81" t="n"/>
      <c r="P1544" s="81" t="n"/>
      <c r="Q1544" s="81" t="n"/>
      <c r="R1544" s="81" t="n"/>
      <c r="S1544" s="81" t="n"/>
      <c r="T1544" s="81" t="n"/>
      <c r="U1544" s="81" t="n"/>
      <c r="V1544" s="81" t="n"/>
      <c r="W1544" s="43" t="n"/>
    </row>
    <row r="1545">
      <c r="A1545" s="43" t="inlineStr">
        <is>
          <t>P4</t>
        </is>
      </c>
      <c r="B1545" s="43" t="inlineStr">
        <is>
          <t>上弦杆拼接</t>
        </is>
      </c>
      <c r="C1545" s="43" t="inlineStr"/>
      <c r="D1545" s="43" t="inlineStr">
        <is>
          <t>Q355D</t>
        </is>
      </c>
      <c r="E1545" s="43" t="n">
        <v>1020</v>
      </c>
      <c r="F1545" s="43" t="n">
        <v>600</v>
      </c>
      <c r="G1545" s="43" t="n">
        <v>16</v>
      </c>
      <c r="H1545" s="79">
        <f>(E1545/1000)*(F1545/1000)*(G1545/1000)*7850</f>
        <v/>
      </c>
      <c r="I1545" s="43" t="n">
        <v>2</v>
      </c>
      <c r="J1545" s="80">
        <f>H1545*I1545</f>
        <v/>
      </c>
      <c r="K1545" s="43" t="inlineStr">
        <is>
          <t>来源页136</t>
        </is>
      </c>
      <c r="L1545" s="43">
        <f>A1545</f>
        <v/>
      </c>
      <c r="M1545" s="81" t="n"/>
      <c r="N1545" s="81" t="n"/>
      <c r="O1545" s="81" t="n"/>
      <c r="P1545" s="81" t="n"/>
      <c r="Q1545" s="81" t="n"/>
      <c r="R1545" s="81" t="n"/>
      <c r="S1545" s="81" t="n"/>
      <c r="T1545" s="81" t="n"/>
      <c r="U1545" s="81" t="n"/>
      <c r="V1545" s="81" t="n"/>
      <c r="W1545" s="43" t="n"/>
    </row>
    <row r="1546">
      <c r="A1546" s="43" t="inlineStr">
        <is>
          <t>P5</t>
        </is>
      </c>
      <c r="B1546" s="43" t="inlineStr">
        <is>
          <t>上弦杆拼接</t>
        </is>
      </c>
      <c r="C1546" s="43" t="inlineStr"/>
      <c r="D1546" s="43" t="inlineStr">
        <is>
          <t>Q355D</t>
        </is>
      </c>
      <c r="E1546" s="43" t="n">
        <v>1420</v>
      </c>
      <c r="F1546" s="43" t="n">
        <v>1100</v>
      </c>
      <c r="G1546" s="43" t="n">
        <v>28</v>
      </c>
      <c r="H1546" s="79">
        <f>(E1546/1000)*(F1546/1000)*(G1546/1000)*7850</f>
        <v/>
      </c>
      <c r="I1546" s="43" t="n">
        <v>1</v>
      </c>
      <c r="J1546" s="80">
        <f>H1546*I1546</f>
        <v/>
      </c>
      <c r="K1546" s="43" t="inlineStr">
        <is>
          <t>来源页136</t>
        </is>
      </c>
      <c r="L1546" s="43">
        <f>A1546</f>
        <v/>
      </c>
      <c r="M1546" s="81" t="n"/>
      <c r="N1546" s="81" t="n"/>
      <c r="O1546" s="81" t="n"/>
      <c r="P1546" s="81" t="n"/>
      <c r="Q1546" s="81" t="n"/>
      <c r="R1546" s="81" t="n"/>
      <c r="S1546" s="81" t="n"/>
      <c r="T1546" s="81" t="n"/>
      <c r="U1546" s="81" t="n"/>
      <c r="V1546" s="81" t="n"/>
      <c r="W1546" s="43" t="n"/>
    </row>
    <row r="1547">
      <c r="A1547" s="43" t="inlineStr">
        <is>
          <t>P6</t>
        </is>
      </c>
      <c r="B1547" s="43" t="inlineStr">
        <is>
          <t>上弦杆拼接</t>
        </is>
      </c>
      <c r="C1547" s="43" t="inlineStr"/>
      <c r="D1547" s="43" t="inlineStr">
        <is>
          <t>Q355D</t>
        </is>
      </c>
      <c r="E1547" s="43" t="n">
        <v>1420</v>
      </c>
      <c r="F1547" s="43" t="n">
        <v>400</v>
      </c>
      <c r="G1547" s="43" t="n">
        <v>28</v>
      </c>
      <c r="H1547" s="79">
        <f>(E1547/1000)*(F1547/1000)*(G1547/1000)*7850</f>
        <v/>
      </c>
      <c r="I1547" s="43" t="n">
        <v>2</v>
      </c>
      <c r="J1547" s="80">
        <f>H1547*I1547</f>
        <v/>
      </c>
      <c r="K1547" s="43" t="inlineStr">
        <is>
          <t>来源页136</t>
        </is>
      </c>
      <c r="L1547" s="43">
        <f>A1547</f>
        <v/>
      </c>
      <c r="M1547" s="81" t="n"/>
      <c r="N1547" s="81" t="n"/>
      <c r="O1547" s="81" t="n"/>
      <c r="P1547" s="81" t="n"/>
      <c r="Q1547" s="81" t="n"/>
      <c r="R1547" s="81" t="n"/>
      <c r="S1547" s="81" t="n"/>
      <c r="T1547" s="81" t="n"/>
      <c r="U1547" s="81" t="n"/>
      <c r="V1547" s="81" t="n"/>
      <c r="W1547" s="43" t="n"/>
    </row>
    <row r="1548">
      <c r="A1548" s="43" t="inlineStr">
        <is>
          <t>P7</t>
        </is>
      </c>
      <c r="B1548" s="43" t="inlineStr">
        <is>
          <t>上弦杆拼接</t>
        </is>
      </c>
      <c r="C1548" s="43" t="inlineStr"/>
      <c r="D1548" s="43" t="inlineStr">
        <is>
          <t>Q355D</t>
        </is>
      </c>
      <c r="E1548" s="43" t="n">
        <v>920</v>
      </c>
      <c r="F1548" s="43" t="n">
        <v>200</v>
      </c>
      <c r="G1548" s="43" t="n">
        <v>20</v>
      </c>
      <c r="H1548" s="79">
        <f>(E1548/1000)*(F1548/1000)*(G1548/1000)*7850</f>
        <v/>
      </c>
      <c r="I1548" s="43" t="n">
        <v>10</v>
      </c>
      <c r="J1548" s="80">
        <f>H1548*I1548</f>
        <v/>
      </c>
      <c r="K1548" s="43" t="inlineStr">
        <is>
          <t>来源页136</t>
        </is>
      </c>
      <c r="L1548" s="43">
        <f>A1548</f>
        <v/>
      </c>
      <c r="M1548" s="81" t="n"/>
      <c r="N1548" s="81" t="n"/>
      <c r="O1548" s="81" t="n"/>
      <c r="P1548" s="81" t="n"/>
      <c r="Q1548" s="81" t="n"/>
      <c r="R1548" s="81" t="n"/>
      <c r="S1548" s="81" t="n"/>
      <c r="T1548" s="81" t="n"/>
      <c r="U1548" s="81" t="n"/>
      <c r="V1548" s="81" t="n"/>
      <c r="W1548" s="43" t="n"/>
    </row>
    <row r="1549">
      <c r="A1549" s="43" t="inlineStr">
        <is>
          <t>P8</t>
        </is>
      </c>
      <c r="B1549" s="43" t="inlineStr">
        <is>
          <t>上弦杆拼接</t>
        </is>
      </c>
      <c r="C1549" s="43" t="inlineStr"/>
      <c r="D1549" s="43" t="inlineStr">
        <is>
          <t>Q355D</t>
        </is>
      </c>
      <c r="E1549" s="43" t="n">
        <v>600</v>
      </c>
      <c r="F1549" s="43" t="n">
        <v>1800</v>
      </c>
      <c r="G1549" s="43" t="n">
        <v>20</v>
      </c>
      <c r="H1549" s="79">
        <f>(E1549/1000)*(F1549/1000)*(G1549/1000)*7850</f>
        <v/>
      </c>
      <c r="I1549" s="43" t="n">
        <v>2</v>
      </c>
      <c r="J1549" s="80">
        <f>H1549*I1549</f>
        <v/>
      </c>
      <c r="K1549" s="43" t="inlineStr">
        <is>
          <t>来源页136</t>
        </is>
      </c>
      <c r="L1549" s="43">
        <f>A1549</f>
        <v/>
      </c>
      <c r="M1549" s="81" t="n"/>
      <c r="N1549" s="81" t="n"/>
      <c r="O1549" s="81" t="n"/>
      <c r="P1549" s="81" t="n"/>
      <c r="Q1549" s="81" t="n"/>
      <c r="R1549" s="81" t="n"/>
      <c r="S1549" s="81" t="n"/>
      <c r="T1549" s="81" t="n"/>
      <c r="U1549" s="81" t="n"/>
      <c r="V1549" s="81" t="n"/>
      <c r="W1549" s="43" t="n"/>
    </row>
    <row r="1550">
      <c r="A1550" s="43" t="inlineStr">
        <is>
          <t>M30高强螺栓</t>
        </is>
      </c>
      <c r="B1550" s="43" t="inlineStr">
        <is>
          <t>上弦杆拼接</t>
        </is>
      </c>
      <c r="C1550" s="43" t="inlineStr"/>
      <c r="D1550" s="43" t="inlineStr">
        <is>
          <t>10.9S</t>
        </is>
      </c>
      <c r="E1550" s="43" t="n"/>
      <c r="F1550" s="43" t="n"/>
      <c r="G1550" s="43" t="n"/>
      <c r="H1550" s="79">
        <f>(E1550/1000)*(F1550/1000)*(G1550/1000)*7850</f>
        <v/>
      </c>
      <c r="I1550" s="43" t="n">
        <v>508</v>
      </c>
      <c r="J1550" s="80">
        <f>H1550*I1550</f>
        <v/>
      </c>
      <c r="K1550" s="43" t="inlineStr">
        <is>
          <t>来源页136</t>
        </is>
      </c>
      <c r="L1550" s="43">
        <f>A1550</f>
        <v/>
      </c>
      <c r="M1550" s="81" t="n"/>
      <c r="N1550" s="81" t="n"/>
      <c r="O1550" s="81" t="n"/>
      <c r="P1550" s="81" t="n"/>
      <c r="Q1550" s="81" t="n"/>
      <c r="R1550" s="81" t="n"/>
      <c r="S1550" s="81" t="n"/>
      <c r="T1550" s="81" t="n"/>
      <c r="U1550" s="81" t="n"/>
      <c r="V1550" s="81" t="n"/>
      <c r="W1550" s="43" t="n"/>
    </row>
    <row r="1551">
      <c r="A1551" s="43" t="inlineStr">
        <is>
          <t>K1</t>
        </is>
      </c>
      <c r="B1551" s="43" t="inlineStr">
        <is>
          <t>下弦杆拼接</t>
        </is>
      </c>
      <c r="C1551" s="43" t="inlineStr"/>
      <c r="D1551" s="43" t="inlineStr">
        <is>
          <t>Q355D</t>
        </is>
      </c>
      <c r="E1551" s="43" t="n">
        <v>820</v>
      </c>
      <c r="F1551" s="43" t="n">
        <v>1700</v>
      </c>
      <c r="G1551" s="43" t="n">
        <v>20</v>
      </c>
      <c r="H1551" s="79">
        <f>(E1551/1000)*(F1551/1000)*(G1551/1000)*7850</f>
        <v/>
      </c>
      <c r="I1551" s="43" t="n">
        <v>2</v>
      </c>
      <c r="J1551" s="80">
        <f>H1551*I1551</f>
        <v/>
      </c>
      <c r="K1551" s="43" t="inlineStr">
        <is>
          <t>来源页136</t>
        </is>
      </c>
      <c r="L1551" s="43">
        <f>A1551</f>
        <v/>
      </c>
      <c r="M1551" s="81" t="n"/>
      <c r="N1551" s="81" t="n"/>
      <c r="O1551" s="81" t="n"/>
      <c r="P1551" s="81" t="n"/>
      <c r="Q1551" s="81" t="n"/>
      <c r="R1551" s="81" t="n"/>
      <c r="S1551" s="81" t="n"/>
      <c r="T1551" s="81" t="n"/>
      <c r="U1551" s="81" t="n"/>
      <c r="V1551" s="81" t="n"/>
      <c r="W1551" s="43" t="n"/>
    </row>
    <row r="1552">
      <c r="A1552" s="43" t="inlineStr">
        <is>
          <t>K2</t>
        </is>
      </c>
      <c r="B1552" s="43" t="inlineStr">
        <is>
          <t>下弦杆拼接</t>
        </is>
      </c>
      <c r="C1552" s="43" t="inlineStr"/>
      <c r="D1552" s="43" t="inlineStr">
        <is>
          <t>Q355D</t>
        </is>
      </c>
      <c r="E1552" s="43" t="n">
        <v>820</v>
      </c>
      <c r="F1552" s="43" t="n">
        <v>800</v>
      </c>
      <c r="G1552" s="43" t="n">
        <v>20</v>
      </c>
      <c r="H1552" s="79">
        <f>(E1552/1000)*(F1552/1000)*(G1552/1000)*7850</f>
        <v/>
      </c>
      <c r="I1552" s="43" t="n">
        <v>4</v>
      </c>
      <c r="J1552" s="80">
        <f>H1552*I1552</f>
        <v/>
      </c>
      <c r="K1552" s="43" t="inlineStr">
        <is>
          <t>来源页136</t>
        </is>
      </c>
      <c r="L1552" s="43">
        <f>A1552</f>
        <v/>
      </c>
      <c r="M1552" s="81" t="n"/>
      <c r="N1552" s="81" t="n"/>
      <c r="O1552" s="81" t="n"/>
      <c r="P1552" s="81" t="n"/>
      <c r="Q1552" s="81" t="n"/>
      <c r="R1552" s="81" t="n"/>
      <c r="S1552" s="81" t="n"/>
      <c r="T1552" s="81" t="n"/>
      <c r="U1552" s="81" t="n"/>
      <c r="V1552" s="81" t="n"/>
      <c r="W1552" s="43" t="n"/>
    </row>
    <row r="1553">
      <c r="A1553" s="43" t="inlineStr">
        <is>
          <t>K3</t>
        </is>
      </c>
      <c r="B1553" s="43" t="inlineStr">
        <is>
          <t>下弦杆拼接</t>
        </is>
      </c>
      <c r="C1553" s="43" t="inlineStr"/>
      <c r="D1553" s="43" t="inlineStr">
        <is>
          <t>Q355D</t>
        </is>
      </c>
      <c r="E1553" s="43" t="n">
        <v>1120</v>
      </c>
      <c r="F1553" s="43" t="n">
        <v>1100</v>
      </c>
      <c r="G1553" s="43" t="n">
        <v>32</v>
      </c>
      <c r="H1553" s="79">
        <f>(E1553/1000)*(F1553/1000)*(G1553/1000)*7850</f>
        <v/>
      </c>
      <c r="I1553" s="43" t="n">
        <v>1</v>
      </c>
      <c r="J1553" s="80">
        <f>H1553*I1553</f>
        <v/>
      </c>
      <c r="K1553" s="43" t="inlineStr">
        <is>
          <t>来源页136</t>
        </is>
      </c>
      <c r="L1553" s="43">
        <f>A1553</f>
        <v/>
      </c>
      <c r="M1553" s="81" t="n"/>
      <c r="N1553" s="81" t="n"/>
      <c r="O1553" s="81" t="n"/>
      <c r="P1553" s="81" t="n"/>
      <c r="Q1553" s="81" t="n"/>
      <c r="R1553" s="81" t="n"/>
      <c r="S1553" s="81" t="n"/>
      <c r="T1553" s="81" t="n"/>
      <c r="U1553" s="81" t="n"/>
      <c r="V1553" s="81" t="n"/>
      <c r="W1553" s="43" t="n"/>
    </row>
    <row r="1554">
      <c r="A1554" s="43" t="inlineStr">
        <is>
          <t>K4</t>
        </is>
      </c>
      <c r="B1554" s="43" t="inlineStr">
        <is>
          <t>下弦杆拼接</t>
        </is>
      </c>
      <c r="C1554" s="43" t="inlineStr"/>
      <c r="D1554" s="43" t="inlineStr">
        <is>
          <t>Q355D</t>
        </is>
      </c>
      <c r="E1554" s="43" t="n">
        <v>1120</v>
      </c>
      <c r="F1554" s="43" t="n">
        <v>400</v>
      </c>
      <c r="G1554" s="43" t="n">
        <v>32</v>
      </c>
      <c r="H1554" s="79">
        <f>(E1554/1000)*(F1554/1000)*(G1554/1000)*7850</f>
        <v/>
      </c>
      <c r="I1554" s="43" t="n">
        <v>2</v>
      </c>
      <c r="J1554" s="80">
        <f>H1554*I1554</f>
        <v/>
      </c>
      <c r="K1554" s="43" t="inlineStr">
        <is>
          <t>来源页136</t>
        </is>
      </c>
      <c r="L1554" s="43">
        <f>A1554</f>
        <v/>
      </c>
      <c r="M1554" s="81" t="n"/>
      <c r="N1554" s="81" t="n"/>
      <c r="O1554" s="81" t="n"/>
      <c r="P1554" s="81" t="n"/>
      <c r="Q1554" s="81" t="n"/>
      <c r="R1554" s="81" t="n"/>
      <c r="S1554" s="81" t="n"/>
      <c r="T1554" s="81" t="n"/>
      <c r="U1554" s="81" t="n"/>
      <c r="V1554" s="81" t="n"/>
      <c r="W1554" s="43" t="n"/>
    </row>
    <row r="1555">
      <c r="A1555" s="43" t="inlineStr">
        <is>
          <t>K5</t>
        </is>
      </c>
      <c r="B1555" s="43" t="inlineStr">
        <is>
          <t>下弦杆拼接</t>
        </is>
      </c>
      <c r="C1555" s="43" t="inlineStr"/>
      <c r="D1555" s="43" t="inlineStr">
        <is>
          <t>Q355D</t>
        </is>
      </c>
      <c r="E1555" s="43" t="n">
        <v>920</v>
      </c>
      <c r="F1555" s="43" t="n">
        <v>200</v>
      </c>
      <c r="G1555" s="43" t="n">
        <v>20</v>
      </c>
      <c r="H1555" s="79">
        <f>(E1555/1000)*(F1555/1000)*(G1555/1000)*7850</f>
        <v/>
      </c>
      <c r="I1555" s="43" t="n">
        <v>6</v>
      </c>
      <c r="J1555" s="80">
        <f>H1555*I1555</f>
        <v/>
      </c>
      <c r="K1555" s="43" t="inlineStr">
        <is>
          <t>来源页136</t>
        </is>
      </c>
      <c r="L1555" s="43">
        <f>A1555</f>
        <v/>
      </c>
      <c r="M1555" s="81" t="n"/>
      <c r="N1555" s="81" t="n"/>
      <c r="O1555" s="81" t="n"/>
      <c r="P1555" s="81" t="n"/>
      <c r="Q1555" s="81" t="n"/>
      <c r="R1555" s="81" t="n"/>
      <c r="S1555" s="81" t="n"/>
      <c r="T1555" s="81" t="n"/>
      <c r="U1555" s="81" t="n"/>
      <c r="V1555" s="81" t="n"/>
      <c r="W1555" s="43" t="n"/>
    </row>
    <row r="1556">
      <c r="A1556" s="43" t="inlineStr">
        <is>
          <t>K6</t>
        </is>
      </c>
      <c r="B1556" s="43" t="inlineStr">
        <is>
          <t>下弦杆拼接</t>
        </is>
      </c>
      <c r="C1556" s="43" t="inlineStr"/>
      <c r="D1556" s="43" t="inlineStr">
        <is>
          <t>Q355D</t>
        </is>
      </c>
      <c r="E1556" s="43" t="n">
        <v>400</v>
      </c>
      <c r="F1556" s="43" t="n">
        <v>1700</v>
      </c>
      <c r="G1556" s="43" t="n">
        <v>20</v>
      </c>
      <c r="H1556" s="79">
        <f>(E1556/1000)*(F1556/1000)*(G1556/1000)*7850</f>
        <v/>
      </c>
      <c r="I1556" s="43" t="n">
        <v>2</v>
      </c>
      <c r="J1556" s="80">
        <f>H1556*I1556</f>
        <v/>
      </c>
      <c r="K1556" s="43" t="inlineStr">
        <is>
          <t>来源页136</t>
        </is>
      </c>
      <c r="L1556" s="43">
        <f>A1556</f>
        <v/>
      </c>
      <c r="M1556" s="81" t="n"/>
      <c r="N1556" s="81" t="n"/>
      <c r="O1556" s="81" t="n"/>
      <c r="P1556" s="81" t="n"/>
      <c r="Q1556" s="81" t="n"/>
      <c r="R1556" s="81" t="n"/>
      <c r="S1556" s="81" t="n"/>
      <c r="T1556" s="81" t="n"/>
      <c r="U1556" s="81" t="n"/>
      <c r="V1556" s="81" t="n"/>
      <c r="W1556" s="43" t="n"/>
    </row>
    <row r="1557">
      <c r="A1557" s="43" t="inlineStr">
        <is>
          <t>M30高强螺栓</t>
        </is>
      </c>
      <c r="B1557" s="43" t="inlineStr">
        <is>
          <t>下弦杆拼接</t>
        </is>
      </c>
      <c r="C1557" s="43" t="inlineStr"/>
      <c r="D1557" s="43" t="inlineStr">
        <is>
          <t>10.9S</t>
        </is>
      </c>
      <c r="E1557" s="43" t="n"/>
      <c r="F1557" s="43" t="n"/>
      <c r="G1557" s="43" t="n"/>
      <c r="H1557" s="79">
        <f>(E1557/1000)*(F1557/1000)*(G1557/1000)*7850</f>
        <v/>
      </c>
      <c r="I1557" s="43" t="n">
        <v>324</v>
      </c>
      <c r="J1557" s="80">
        <f>H1557*I1557</f>
        <v/>
      </c>
      <c r="K1557" s="43" t="inlineStr">
        <is>
          <t>来源页136</t>
        </is>
      </c>
      <c r="L1557" s="43">
        <f>A1557</f>
        <v/>
      </c>
      <c r="M1557" s="81" t="n"/>
      <c r="N1557" s="81" t="n"/>
      <c r="O1557" s="81" t="n"/>
      <c r="P1557" s="81" t="n"/>
      <c r="Q1557" s="81" t="n"/>
      <c r="R1557" s="81" t="n"/>
      <c r="S1557" s="81" t="n"/>
      <c r="T1557" s="81" t="n"/>
      <c r="U1557" s="81" t="n"/>
      <c r="V1557" s="81" t="n"/>
      <c r="W1557" s="43" t="n"/>
    </row>
    <row r="1558">
      <c r="A1558" s="43" t="inlineStr">
        <is>
          <t>L1</t>
        </is>
      </c>
      <c r="B1558" s="43" t="inlineStr">
        <is>
          <t>腹杆拼接</t>
        </is>
      </c>
      <c r="C1558" s="43" t="inlineStr"/>
      <c r="D1558" s="43" t="inlineStr">
        <is>
          <t>Q355D</t>
        </is>
      </c>
      <c r="E1558" s="43" t="n">
        <v>1320</v>
      </c>
      <c r="F1558" s="43" t="n">
        <v>900</v>
      </c>
      <c r="G1558" s="43" t="n">
        <v>28</v>
      </c>
      <c r="H1558" s="79">
        <f>(E1558/1000)*(F1558/1000)*(G1558/1000)*7850</f>
        <v/>
      </c>
      <c r="I1558" s="43" t="n">
        <v>2</v>
      </c>
      <c r="J1558" s="80">
        <f>H1558*I1558</f>
        <v/>
      </c>
      <c r="K1558" s="43" t="inlineStr">
        <is>
          <t>来源页136</t>
        </is>
      </c>
      <c r="L1558" s="43">
        <f>A1558</f>
        <v/>
      </c>
      <c r="M1558" s="81" t="n"/>
      <c r="N1558" s="81" t="n"/>
      <c r="O1558" s="81" t="n"/>
      <c r="P1558" s="81" t="n"/>
      <c r="Q1558" s="81" t="n"/>
      <c r="R1558" s="81" t="n"/>
      <c r="S1558" s="81" t="n"/>
      <c r="T1558" s="81" t="n"/>
      <c r="U1558" s="81" t="n"/>
      <c r="V1558" s="81" t="n"/>
      <c r="W1558" s="43" t="n"/>
    </row>
    <row r="1559">
      <c r="A1559" s="43" t="inlineStr">
        <is>
          <t>L2</t>
        </is>
      </c>
      <c r="B1559" s="43" t="inlineStr">
        <is>
          <t>腹杆拼接</t>
        </is>
      </c>
      <c r="C1559" s="43" t="inlineStr"/>
      <c r="D1559" s="43" t="inlineStr">
        <is>
          <t>Q355D</t>
        </is>
      </c>
      <c r="E1559" s="43" t="n">
        <v>1320</v>
      </c>
      <c r="F1559" s="43" t="n">
        <v>400</v>
      </c>
      <c r="G1559" s="43" t="n">
        <v>28</v>
      </c>
      <c r="H1559" s="79">
        <f>(E1559/1000)*(F1559/1000)*(G1559/1000)*7850</f>
        <v/>
      </c>
      <c r="I1559" s="43" t="n">
        <v>4</v>
      </c>
      <c r="J1559" s="80">
        <f>H1559*I1559</f>
        <v/>
      </c>
      <c r="K1559" s="43" t="inlineStr">
        <is>
          <t>来源页136</t>
        </is>
      </c>
      <c r="L1559" s="43">
        <f>A1559</f>
        <v/>
      </c>
      <c r="M1559" s="81" t="n"/>
      <c r="N1559" s="81" t="n"/>
      <c r="O1559" s="81" t="n"/>
      <c r="P1559" s="81" t="n"/>
      <c r="Q1559" s="81" t="n"/>
      <c r="R1559" s="81" t="n"/>
      <c r="S1559" s="81" t="n"/>
      <c r="T1559" s="81" t="n"/>
      <c r="U1559" s="81" t="n"/>
      <c r="V1559" s="81" t="n"/>
      <c r="W1559" s="43" t="n"/>
    </row>
    <row r="1560">
      <c r="A1560" s="43" t="inlineStr">
        <is>
          <t>L3</t>
        </is>
      </c>
      <c r="B1560" s="43" t="inlineStr">
        <is>
          <t>腹杆拼接</t>
        </is>
      </c>
      <c r="C1560" s="43" t="inlineStr"/>
      <c r="D1560" s="43" t="inlineStr">
        <is>
          <t>Q355D</t>
        </is>
      </c>
      <c r="E1560" s="43" t="n">
        <v>1320</v>
      </c>
      <c r="F1560" s="43" t="n">
        <v>500</v>
      </c>
      <c r="G1560" s="43" t="n">
        <v>28</v>
      </c>
      <c r="H1560" s="79">
        <f>(E1560/1000)*(F1560/1000)*(G1560/1000)*7850</f>
        <v/>
      </c>
      <c r="I1560" s="43" t="n">
        <v>4</v>
      </c>
      <c r="J1560" s="80">
        <f>H1560*I1560</f>
        <v/>
      </c>
      <c r="K1560" s="43" t="inlineStr">
        <is>
          <t>来源页136</t>
        </is>
      </c>
      <c r="L1560" s="43">
        <f>A1560</f>
        <v/>
      </c>
      <c r="M1560" s="81" t="n"/>
      <c r="N1560" s="81" t="n"/>
      <c r="O1560" s="81" t="n"/>
      <c r="P1560" s="81" t="n"/>
      <c r="Q1560" s="81" t="n"/>
      <c r="R1560" s="81" t="n"/>
      <c r="S1560" s="81" t="n"/>
      <c r="T1560" s="81" t="n"/>
      <c r="U1560" s="81" t="n"/>
      <c r="V1560" s="81" t="n"/>
      <c r="W1560" s="43" t="n"/>
    </row>
    <row r="1561">
      <c r="A1561" s="43" t="inlineStr">
        <is>
          <t>L4</t>
        </is>
      </c>
      <c r="B1561" s="43" t="inlineStr">
        <is>
          <t>腹杆拼接</t>
        </is>
      </c>
      <c r="C1561" s="43" t="inlineStr"/>
      <c r="D1561" s="43" t="inlineStr">
        <is>
          <t>Q355D</t>
        </is>
      </c>
      <c r="E1561" s="43" t="n">
        <v>820</v>
      </c>
      <c r="F1561" s="43" t="n">
        <v>200</v>
      </c>
      <c r="G1561" s="43" t="n">
        <v>20</v>
      </c>
      <c r="H1561" s="79">
        <f>(E1561/1000)*(F1561/1000)*(G1561/1000)*7850</f>
        <v/>
      </c>
      <c r="I1561" s="43" t="n">
        <v>4</v>
      </c>
      <c r="J1561" s="80">
        <f>H1561*I1561</f>
        <v/>
      </c>
      <c r="K1561" s="43" t="inlineStr">
        <is>
          <t>来源页136</t>
        </is>
      </c>
      <c r="L1561" s="43">
        <f>A1561</f>
        <v/>
      </c>
      <c r="M1561" s="81" t="n"/>
      <c r="N1561" s="81" t="n"/>
      <c r="O1561" s="81" t="n"/>
      <c r="P1561" s="81" t="n"/>
      <c r="Q1561" s="81" t="n"/>
      <c r="R1561" s="81" t="n"/>
      <c r="S1561" s="81" t="n"/>
      <c r="T1561" s="81" t="n"/>
      <c r="U1561" s="81" t="n"/>
      <c r="V1561" s="81" t="n"/>
      <c r="W1561" s="43" t="n"/>
    </row>
    <row r="1562">
      <c r="A1562" s="43" t="inlineStr">
        <is>
          <t>M30高强螺栓</t>
        </is>
      </c>
      <c r="B1562" s="43" t="inlineStr">
        <is>
          <t>腹杆拼接</t>
        </is>
      </c>
      <c r="C1562" s="43" t="inlineStr"/>
      <c r="D1562" s="43" t="inlineStr">
        <is>
          <t>10.9S</t>
        </is>
      </c>
      <c r="E1562" s="43" t="n"/>
      <c r="F1562" s="43" t="n"/>
      <c r="G1562" s="43" t="n"/>
      <c r="H1562" s="79">
        <f>(E1562/1000)*(F1562/1000)*(G1562/1000)*7850</f>
        <v/>
      </c>
      <c r="I1562" s="43" t="n">
        <v>507</v>
      </c>
      <c r="J1562" s="80">
        <f>H1562*I1562</f>
        <v/>
      </c>
      <c r="K1562" s="43" t="inlineStr">
        <is>
          <t>来源页136</t>
        </is>
      </c>
      <c r="L1562" s="43">
        <f>A1562</f>
        <v/>
      </c>
      <c r="M1562" s="81" t="n"/>
      <c r="N1562" s="81" t="n"/>
      <c r="O1562" s="81" t="n"/>
      <c r="P1562" s="81" t="n"/>
      <c r="Q1562" s="81" t="n"/>
      <c r="R1562" s="81" t="n"/>
      <c r="S1562" s="81" t="n"/>
      <c r="T1562" s="81" t="n"/>
      <c r="U1562" s="81" t="n"/>
      <c r="V1562" s="81" t="n"/>
      <c r="W1562" s="43" t="n"/>
    </row>
    <row r="1563">
      <c r="A1563" s="43" t="inlineStr"/>
      <c r="B1563" s="43" t="inlineStr"/>
      <c r="C1563" s="43" t="inlineStr">
        <is>
          <t>节段21~节段22</t>
        </is>
      </c>
      <c r="D1563" s="43" t="inlineStr">
        <is>
          <t>Q355D</t>
        </is>
      </c>
      <c r="E1563" s="43" t="n"/>
      <c r="F1563" s="43" t="n"/>
      <c r="G1563" s="43" t="n">
        <v>32</v>
      </c>
      <c r="H1563" s="79">
        <f>(E1563/1000)*(F1563/1000)*(G1563/1000)*7850</f>
        <v/>
      </c>
      <c r="I1563" s="43" t="n">
        <v>1</v>
      </c>
      <c r="J1563" s="80">
        <f>H1563*I1563</f>
        <v/>
      </c>
      <c r="K1563" s="43" t="inlineStr">
        <is>
          <t>来源页137</t>
        </is>
      </c>
      <c r="L1563" s="43">
        <f>A1563</f>
        <v/>
      </c>
      <c r="M1563" s="81" t="n"/>
      <c r="N1563" s="81" t="n"/>
      <c r="O1563" s="81" t="n"/>
      <c r="P1563" s="81" t="n"/>
      <c r="Q1563" s="81" t="n"/>
      <c r="R1563" s="81" t="n"/>
      <c r="S1563" s="81" t="n"/>
      <c r="T1563" s="81" t="n"/>
      <c r="U1563" s="81" t="n"/>
      <c r="V1563" s="81" t="n"/>
      <c r="W1563" s="43" t="n"/>
    </row>
    <row r="1564">
      <c r="A1564" s="43" t="inlineStr"/>
      <c r="B1564" s="43" t="inlineStr"/>
      <c r="C1564" s="43" t="inlineStr">
        <is>
          <t>节段21~节段22</t>
        </is>
      </c>
      <c r="D1564" s="43" t="inlineStr">
        <is>
          <t>Q355D</t>
        </is>
      </c>
      <c r="E1564" s="43" t="n"/>
      <c r="F1564" s="43" t="n"/>
      <c r="G1564" s="43" t="n">
        <v>28</v>
      </c>
      <c r="H1564" s="79">
        <f>(E1564/1000)*(F1564/1000)*(G1564/1000)*7850</f>
        <v/>
      </c>
      <c r="I1564" s="43" t="n">
        <v>1</v>
      </c>
      <c r="J1564" s="80">
        <f>H1564*I1564</f>
        <v/>
      </c>
      <c r="K1564" s="43" t="inlineStr">
        <is>
          <t>来源页137</t>
        </is>
      </c>
      <c r="L1564" s="43">
        <f>A1564</f>
        <v/>
      </c>
      <c r="M1564" s="81" t="n"/>
      <c r="N1564" s="81" t="n"/>
      <c r="O1564" s="81" t="n"/>
      <c r="P1564" s="81" t="n"/>
      <c r="Q1564" s="81" t="n"/>
      <c r="R1564" s="81" t="n"/>
      <c r="S1564" s="81" t="n"/>
      <c r="T1564" s="81" t="n"/>
      <c r="U1564" s="81" t="n"/>
      <c r="V1564" s="81" t="n"/>
      <c r="W1564" s="43" t="n"/>
    </row>
    <row r="1565">
      <c r="A1565" s="43" t="inlineStr"/>
      <c r="B1565" s="43" t="inlineStr"/>
      <c r="C1565" s="43" t="inlineStr">
        <is>
          <t>节段21~节段22</t>
        </is>
      </c>
      <c r="D1565" s="43" t="inlineStr">
        <is>
          <t>Q355D</t>
        </is>
      </c>
      <c r="E1565" s="43" t="n"/>
      <c r="F1565" s="43" t="n"/>
      <c r="G1565" s="43" t="n">
        <v>20</v>
      </c>
      <c r="H1565" s="79">
        <f>(E1565/1000)*(F1565/1000)*(G1565/1000)*7850</f>
        <v/>
      </c>
      <c r="I1565" s="43" t="n">
        <v>1</v>
      </c>
      <c r="J1565" s="80">
        <f>H1565*I1565</f>
        <v/>
      </c>
      <c r="K1565" s="43" t="inlineStr">
        <is>
          <t>来源页137</t>
        </is>
      </c>
      <c r="L1565" s="43">
        <f>A1565</f>
        <v/>
      </c>
      <c r="M1565" s="81" t="n"/>
      <c r="N1565" s="81" t="n"/>
      <c r="O1565" s="81" t="n"/>
      <c r="P1565" s="81" t="n"/>
      <c r="Q1565" s="81" t="n"/>
      <c r="R1565" s="81" t="n"/>
      <c r="S1565" s="81" t="n"/>
      <c r="T1565" s="81" t="n"/>
      <c r="U1565" s="81" t="n"/>
      <c r="V1565" s="81" t="n"/>
      <c r="W1565" s="43" t="n"/>
    </row>
    <row r="1566">
      <c r="A1566" s="43" t="inlineStr"/>
      <c r="B1566" s="43" t="inlineStr"/>
      <c r="C1566" s="43" t="inlineStr">
        <is>
          <t>节段21~节段22</t>
        </is>
      </c>
      <c r="D1566" s="43" t="inlineStr">
        <is>
          <t>Q355D</t>
        </is>
      </c>
      <c r="E1566" s="43" t="n"/>
      <c r="F1566" s="43" t="n"/>
      <c r="G1566" s="43" t="n">
        <v>16</v>
      </c>
      <c r="H1566" s="79">
        <f>(E1566/1000)*(F1566/1000)*(G1566/1000)*7850</f>
        <v/>
      </c>
      <c r="I1566" s="43" t="n">
        <v>1</v>
      </c>
      <c r="J1566" s="80">
        <f>H1566*I1566</f>
        <v/>
      </c>
      <c r="K1566" s="43" t="inlineStr">
        <is>
          <t>来源页137</t>
        </is>
      </c>
      <c r="L1566" s="43">
        <f>A1566</f>
        <v/>
      </c>
      <c r="M1566" s="81" t="n"/>
      <c r="N1566" s="81" t="n"/>
      <c r="O1566" s="81" t="n"/>
      <c r="P1566" s="81" t="n"/>
      <c r="Q1566" s="81" t="n"/>
      <c r="R1566" s="81" t="n"/>
      <c r="S1566" s="81" t="n"/>
      <c r="T1566" s="81" t="n"/>
      <c r="U1566" s="81" t="n"/>
      <c r="V1566" s="81" t="n"/>
      <c r="W1566" s="43" t="n"/>
    </row>
    <row r="1567">
      <c r="A1567" s="43" t="inlineStr"/>
      <c r="B1567" s="43" t="inlineStr"/>
      <c r="C1567" s="43" t="inlineStr">
        <is>
          <t>节段21~节段22</t>
        </is>
      </c>
      <c r="D1567" s="43" t="inlineStr">
        <is>
          <t>10.9S高强螺栓</t>
        </is>
      </c>
      <c r="E1567" s="43" t="n"/>
      <c r="F1567" s="43" t="n"/>
      <c r="G1567" s="43" t="n"/>
      <c r="H1567" s="79">
        <f>(E1567/1000)*(F1567/1000)*(G1567/1000)*7850</f>
        <v/>
      </c>
      <c r="I1567" s="43" t="n">
        <v>1</v>
      </c>
      <c r="J1567" s="80">
        <f>H1567*I1567</f>
        <v/>
      </c>
      <c r="K1567" s="43" t="inlineStr">
        <is>
          <t>来源页137</t>
        </is>
      </c>
      <c r="L1567" s="43">
        <f>A1567</f>
        <v/>
      </c>
      <c r="M1567" s="81" t="n"/>
      <c r="N1567" s="81" t="n"/>
      <c r="O1567" s="81" t="n"/>
      <c r="P1567" s="81" t="n"/>
      <c r="Q1567" s="81" t="n"/>
      <c r="R1567" s="81" t="n"/>
      <c r="S1567" s="81" t="n"/>
      <c r="T1567" s="81" t="n"/>
      <c r="U1567" s="81" t="n"/>
      <c r="V1567" s="81" t="n"/>
      <c r="W1567" s="43" t="n"/>
    </row>
    <row r="1568">
      <c r="A1568" s="43" t="inlineStr"/>
      <c r="B1568" s="43" t="inlineStr"/>
      <c r="C1568" s="43" t="inlineStr">
        <is>
          <t>节段22</t>
        </is>
      </c>
      <c r="D1568" s="43" t="inlineStr">
        <is>
          <t>Q355D</t>
        </is>
      </c>
      <c r="E1568" s="43" t="n"/>
      <c r="F1568" s="43" t="n"/>
      <c r="G1568" s="43" t="n">
        <v>80</v>
      </c>
      <c r="H1568" s="79">
        <f>(E1568/1000)*(F1568/1000)*(G1568/1000)*7850</f>
        <v/>
      </c>
      <c r="I1568" s="43" t="n">
        <v>1</v>
      </c>
      <c r="J1568" s="80">
        <f>H1568*I1568</f>
        <v/>
      </c>
      <c r="K1568" s="43" t="inlineStr">
        <is>
          <t>来源页137</t>
        </is>
      </c>
      <c r="L1568" s="43">
        <f>A1568</f>
        <v/>
      </c>
      <c r="M1568" s="81" t="n"/>
      <c r="N1568" s="81" t="n"/>
      <c r="O1568" s="81" t="n"/>
      <c r="P1568" s="81" t="n"/>
      <c r="Q1568" s="81" t="n"/>
      <c r="R1568" s="81" t="n"/>
      <c r="S1568" s="81" t="n"/>
      <c r="T1568" s="81" t="n"/>
      <c r="U1568" s="81" t="n"/>
      <c r="V1568" s="81" t="n"/>
      <c r="W1568" s="43" t="n"/>
    </row>
    <row r="1569">
      <c r="A1569" s="43" t="inlineStr"/>
      <c r="B1569" s="43" t="inlineStr"/>
      <c r="C1569" s="43" t="inlineStr">
        <is>
          <t>节段22</t>
        </is>
      </c>
      <c r="D1569" s="43" t="inlineStr">
        <is>
          <t>Q355D</t>
        </is>
      </c>
      <c r="E1569" s="43" t="n"/>
      <c r="F1569" s="43" t="n"/>
      <c r="G1569" s="43" t="n">
        <v>40</v>
      </c>
      <c r="H1569" s="79">
        <f>(E1569/1000)*(F1569/1000)*(G1569/1000)*7850</f>
        <v/>
      </c>
      <c r="I1569" s="43" t="n">
        <v>1</v>
      </c>
      <c r="J1569" s="80">
        <f>H1569*I1569</f>
        <v/>
      </c>
      <c r="K1569" s="43" t="inlineStr">
        <is>
          <t>来源页137</t>
        </is>
      </c>
      <c r="L1569" s="43">
        <f>A1569</f>
        <v/>
      </c>
      <c r="M1569" s="81" t="n"/>
      <c r="N1569" s="81" t="n"/>
      <c r="O1569" s="81" t="n"/>
      <c r="P1569" s="81" t="n"/>
      <c r="Q1569" s="81" t="n"/>
      <c r="R1569" s="81" t="n"/>
      <c r="S1569" s="81" t="n"/>
      <c r="T1569" s="81" t="n"/>
      <c r="U1569" s="81" t="n"/>
      <c r="V1569" s="81" t="n"/>
      <c r="W1569" s="43" t="n"/>
    </row>
    <row r="1570">
      <c r="A1570" s="43" t="inlineStr"/>
      <c r="B1570" s="43" t="inlineStr"/>
      <c r="C1570" s="43" t="inlineStr">
        <is>
          <t>节段22</t>
        </is>
      </c>
      <c r="D1570" s="43" t="inlineStr">
        <is>
          <t>Q355D</t>
        </is>
      </c>
      <c r="E1570" s="43" t="n"/>
      <c r="F1570" s="43" t="n"/>
      <c r="G1570" s="43" t="n">
        <v>36</v>
      </c>
      <c r="H1570" s="79">
        <f>(E1570/1000)*(F1570/1000)*(G1570/1000)*7850</f>
        <v/>
      </c>
      <c r="I1570" s="43" t="n">
        <v>1</v>
      </c>
      <c r="J1570" s="80">
        <f>H1570*I1570</f>
        <v/>
      </c>
      <c r="K1570" s="43" t="inlineStr">
        <is>
          <t>来源页137</t>
        </is>
      </c>
      <c r="L1570" s="43">
        <f>A1570</f>
        <v/>
      </c>
      <c r="M1570" s="81" t="n"/>
      <c r="N1570" s="81" t="n"/>
      <c r="O1570" s="81" t="n"/>
      <c r="P1570" s="81" t="n"/>
      <c r="Q1570" s="81" t="n"/>
      <c r="R1570" s="81" t="n"/>
      <c r="S1570" s="81" t="n"/>
      <c r="T1570" s="81" t="n"/>
      <c r="U1570" s="81" t="n"/>
      <c r="V1570" s="81" t="n"/>
      <c r="W1570" s="43" t="n"/>
    </row>
    <row r="1571">
      <c r="A1571" s="43" t="inlineStr"/>
      <c r="B1571" s="43" t="inlineStr"/>
      <c r="C1571" s="43" t="inlineStr">
        <is>
          <t>节段22</t>
        </is>
      </c>
      <c r="D1571" s="43" t="inlineStr">
        <is>
          <t>Q355D</t>
        </is>
      </c>
      <c r="E1571" s="43" t="n"/>
      <c r="F1571" s="43" t="n"/>
      <c r="G1571" s="43" t="n">
        <v>32</v>
      </c>
      <c r="H1571" s="79">
        <f>(E1571/1000)*(F1571/1000)*(G1571/1000)*7850</f>
        <v/>
      </c>
      <c r="I1571" s="43" t="n">
        <v>1</v>
      </c>
      <c r="J1571" s="80">
        <f>H1571*I1571</f>
        <v/>
      </c>
      <c r="K1571" s="43" t="inlineStr">
        <is>
          <t>来源页137</t>
        </is>
      </c>
      <c r="L1571" s="43">
        <f>A1571</f>
        <v/>
      </c>
      <c r="M1571" s="81" t="n"/>
      <c r="N1571" s="81" t="n"/>
      <c r="O1571" s="81" t="n"/>
      <c r="P1571" s="81" t="n"/>
      <c r="Q1571" s="81" t="n"/>
      <c r="R1571" s="81" t="n"/>
      <c r="S1571" s="81" t="n"/>
      <c r="T1571" s="81" t="n"/>
      <c r="U1571" s="81" t="n"/>
      <c r="V1571" s="81" t="n"/>
      <c r="W1571" s="43" t="n"/>
    </row>
    <row r="1572">
      <c r="A1572" s="43" t="inlineStr"/>
      <c r="B1572" s="43" t="inlineStr"/>
      <c r="C1572" s="43" t="inlineStr">
        <is>
          <t>节段22</t>
        </is>
      </c>
      <c r="D1572" s="43" t="inlineStr">
        <is>
          <t>Q355D</t>
        </is>
      </c>
      <c r="E1572" s="43" t="n"/>
      <c r="F1572" s="43" t="n"/>
      <c r="G1572" s="43" t="n">
        <v>28</v>
      </c>
      <c r="H1572" s="79">
        <f>(E1572/1000)*(F1572/1000)*(G1572/1000)*7850</f>
        <v/>
      </c>
      <c r="I1572" s="43" t="n">
        <v>1</v>
      </c>
      <c r="J1572" s="80">
        <f>H1572*I1572</f>
        <v/>
      </c>
      <c r="K1572" s="43" t="inlineStr">
        <is>
          <t>来源页137</t>
        </is>
      </c>
      <c r="L1572" s="43">
        <f>A1572</f>
        <v/>
      </c>
      <c r="M1572" s="81" t="n"/>
      <c r="N1572" s="81" t="n"/>
      <c r="O1572" s="81" t="n"/>
      <c r="P1572" s="81" t="n"/>
      <c r="Q1572" s="81" t="n"/>
      <c r="R1572" s="81" t="n"/>
      <c r="S1572" s="81" t="n"/>
      <c r="T1572" s="81" t="n"/>
      <c r="U1572" s="81" t="n"/>
      <c r="V1572" s="81" t="n"/>
      <c r="W1572" s="43" t="n"/>
    </row>
    <row r="1573">
      <c r="A1573" s="43" t="inlineStr"/>
      <c r="B1573" s="43" t="inlineStr"/>
      <c r="C1573" s="43" t="inlineStr">
        <is>
          <t>节段22</t>
        </is>
      </c>
      <c r="D1573" s="43" t="inlineStr">
        <is>
          <t>Q355D</t>
        </is>
      </c>
      <c r="E1573" s="43" t="n"/>
      <c r="F1573" s="43" t="n"/>
      <c r="G1573" s="43" t="n">
        <v>24</v>
      </c>
      <c r="H1573" s="79">
        <f>(E1573/1000)*(F1573/1000)*(G1573/1000)*7850</f>
        <v/>
      </c>
      <c r="I1573" s="43" t="n">
        <v>1</v>
      </c>
      <c r="J1573" s="80">
        <f>H1573*I1573</f>
        <v/>
      </c>
      <c r="K1573" s="43" t="inlineStr">
        <is>
          <t>来源页137</t>
        </is>
      </c>
      <c r="L1573" s="43">
        <f>A1573</f>
        <v/>
      </c>
      <c r="M1573" s="81" t="n"/>
      <c r="N1573" s="81" t="n"/>
      <c r="O1573" s="81" t="n"/>
      <c r="P1573" s="81" t="n"/>
      <c r="Q1573" s="81" t="n"/>
      <c r="R1573" s="81" t="n"/>
      <c r="S1573" s="81" t="n"/>
      <c r="T1573" s="81" t="n"/>
      <c r="U1573" s="81" t="n"/>
      <c r="V1573" s="81" t="n"/>
      <c r="W1573" s="43" t="n"/>
    </row>
    <row r="1574">
      <c r="A1574" s="43" t="inlineStr"/>
      <c r="B1574" s="43" t="inlineStr"/>
      <c r="C1574" s="43" t="inlineStr">
        <is>
          <t>节段22</t>
        </is>
      </c>
      <c r="D1574" s="43" t="inlineStr">
        <is>
          <t>Q355D</t>
        </is>
      </c>
      <c r="E1574" s="43" t="n"/>
      <c r="F1574" s="43" t="n"/>
      <c r="G1574" s="43" t="n">
        <v>20</v>
      </c>
      <c r="H1574" s="79">
        <f>(E1574/1000)*(F1574/1000)*(G1574/1000)*7850</f>
        <v/>
      </c>
      <c r="I1574" s="43" t="n">
        <v>1</v>
      </c>
      <c r="J1574" s="80">
        <f>H1574*I1574</f>
        <v/>
      </c>
      <c r="K1574" s="43" t="inlineStr">
        <is>
          <t>来源页137</t>
        </is>
      </c>
      <c r="L1574" s="43">
        <f>A1574</f>
        <v/>
      </c>
      <c r="M1574" s="81" t="n"/>
      <c r="N1574" s="81" t="n"/>
      <c r="O1574" s="81" t="n"/>
      <c r="P1574" s="81" t="n"/>
      <c r="Q1574" s="81" t="n"/>
      <c r="R1574" s="81" t="n"/>
      <c r="S1574" s="81" t="n"/>
      <c r="T1574" s="81" t="n"/>
      <c r="U1574" s="81" t="n"/>
      <c r="V1574" s="81" t="n"/>
      <c r="W1574" s="43" t="n"/>
    </row>
    <row r="1575">
      <c r="A1575" s="43" t="inlineStr"/>
      <c r="B1575" s="43" t="inlineStr"/>
      <c r="C1575" s="43" t="inlineStr">
        <is>
          <t>节段22</t>
        </is>
      </c>
      <c r="D1575" s="43" t="inlineStr">
        <is>
          <t>Q355D</t>
        </is>
      </c>
      <c r="E1575" s="43" t="n"/>
      <c r="F1575" s="43" t="n"/>
      <c r="G1575" s="43" t="n">
        <v>16</v>
      </c>
      <c r="H1575" s="79">
        <f>(E1575/1000)*(F1575/1000)*(G1575/1000)*7850</f>
        <v/>
      </c>
      <c r="I1575" s="43" t="n">
        <v>1</v>
      </c>
      <c r="J1575" s="80">
        <f>H1575*I1575</f>
        <v/>
      </c>
      <c r="K1575" s="43" t="inlineStr">
        <is>
          <t>来源页137</t>
        </is>
      </c>
      <c r="L1575" s="43">
        <f>A1575</f>
        <v/>
      </c>
      <c r="M1575" s="81" t="n"/>
      <c r="N1575" s="81" t="n"/>
      <c r="O1575" s="81" t="n"/>
      <c r="P1575" s="81" t="n"/>
      <c r="Q1575" s="81" t="n"/>
      <c r="R1575" s="81" t="n"/>
      <c r="S1575" s="81" t="n"/>
      <c r="T1575" s="81" t="n"/>
      <c r="U1575" s="81" t="n"/>
      <c r="V1575" s="81" t="n"/>
      <c r="W1575" s="43" t="n"/>
    </row>
    <row r="1576">
      <c r="A1576" s="43" t="inlineStr"/>
      <c r="B1576" s="43" t="inlineStr"/>
      <c r="C1576" s="43" t="inlineStr">
        <is>
          <t>节段22</t>
        </is>
      </c>
      <c r="D1576" s="43" t="inlineStr">
        <is>
          <t>Q355D</t>
        </is>
      </c>
      <c r="E1576" s="43" t="n"/>
      <c r="F1576" s="43" t="n"/>
      <c r="G1576" s="43" t="n">
        <v>14</v>
      </c>
      <c r="H1576" s="79">
        <f>(E1576/1000)*(F1576/1000)*(G1576/1000)*7850</f>
        <v/>
      </c>
      <c r="I1576" s="43" t="n">
        <v>1</v>
      </c>
      <c r="J1576" s="80">
        <f>H1576*I1576</f>
        <v/>
      </c>
      <c r="K1576" s="43" t="inlineStr">
        <is>
          <t>来源页137</t>
        </is>
      </c>
      <c r="L1576" s="43">
        <f>A1576</f>
        <v/>
      </c>
      <c r="M1576" s="81" t="n"/>
      <c r="N1576" s="81" t="n"/>
      <c r="O1576" s="81" t="n"/>
      <c r="P1576" s="81" t="n"/>
      <c r="Q1576" s="81" t="n"/>
      <c r="R1576" s="81" t="n"/>
      <c r="S1576" s="81" t="n"/>
      <c r="T1576" s="81" t="n"/>
      <c r="U1576" s="81" t="n"/>
      <c r="V1576" s="81" t="n"/>
      <c r="W1576" s="43" t="n"/>
    </row>
    <row r="1577">
      <c r="A1577" s="43" t="inlineStr"/>
      <c r="B1577" s="43" t="inlineStr"/>
      <c r="C1577" s="43" t="inlineStr">
        <is>
          <t>节段22</t>
        </is>
      </c>
      <c r="D1577" s="43" t="inlineStr">
        <is>
          <t>Q355D</t>
        </is>
      </c>
      <c r="E1577" s="43" t="n"/>
      <c r="F1577" s="43" t="n"/>
      <c r="G1577" s="43" t="n">
        <v>4</v>
      </c>
      <c r="H1577" s="79">
        <f>(E1577/1000)*(F1577/1000)*(G1577/1000)*7850</f>
        <v/>
      </c>
      <c r="I1577" s="43" t="n">
        <v>1</v>
      </c>
      <c r="J1577" s="80">
        <f>H1577*I1577</f>
        <v/>
      </c>
      <c r="K1577" s="43" t="inlineStr">
        <is>
          <t>来源页137</t>
        </is>
      </c>
      <c r="L1577" s="43">
        <f>A1577</f>
        <v/>
      </c>
      <c r="M1577" s="81" t="n"/>
      <c r="N1577" s="81" t="n"/>
      <c r="O1577" s="81" t="n"/>
      <c r="P1577" s="81" t="n"/>
      <c r="Q1577" s="81" t="n"/>
      <c r="R1577" s="81" t="n"/>
      <c r="S1577" s="81" t="n"/>
      <c r="T1577" s="81" t="n"/>
      <c r="U1577" s="81" t="n"/>
      <c r="V1577" s="81" t="n"/>
      <c r="W1577" s="43" t="n"/>
    </row>
    <row r="1578">
      <c r="A1578" s="43" t="inlineStr"/>
      <c r="B1578" s="43" t="inlineStr"/>
      <c r="C1578" s="43" t="inlineStr">
        <is>
          <t>节段22</t>
        </is>
      </c>
      <c r="D1578" s="43" t="inlineStr">
        <is>
          <t>Q355D</t>
        </is>
      </c>
      <c r="E1578" s="43" t="n"/>
      <c r="F1578" s="43" t="n"/>
      <c r="G1578" s="43" t="n"/>
      <c r="H1578" s="79">
        <f>(E1578/1000)*(F1578/1000)*(G1578/1000)*7850</f>
        <v/>
      </c>
      <c r="I1578" s="43" t="n">
        <v>1</v>
      </c>
      <c r="J1578" s="80">
        <f>H1578*I1578</f>
        <v/>
      </c>
      <c r="K1578" s="43" t="inlineStr">
        <is>
          <t>来源页137</t>
        </is>
      </c>
      <c r="L1578" s="43">
        <f>A1578</f>
        <v/>
      </c>
      <c r="M1578" s="81" t="n"/>
      <c r="N1578" s="81" t="n"/>
      <c r="O1578" s="81" t="n"/>
      <c r="P1578" s="81" t="n"/>
      <c r="Q1578" s="81" t="n"/>
      <c r="R1578" s="81" t="n"/>
      <c r="S1578" s="81" t="n"/>
      <c r="T1578" s="81" t="n"/>
      <c r="U1578" s="81" t="n"/>
      <c r="V1578" s="81" t="n"/>
      <c r="W1578" s="43" t="n"/>
    </row>
    <row r="1579">
      <c r="A1579" s="43" t="inlineStr">
        <is>
          <t>N11</t>
        </is>
      </c>
      <c r="B1579" s="43" t="inlineStr">
        <is>
          <t>上弦顶板</t>
        </is>
      </c>
      <c r="C1579" s="43" t="inlineStr">
        <is>
          <t>节段22</t>
        </is>
      </c>
      <c r="D1579" s="43" t="inlineStr">
        <is>
          <t>Q355D</t>
        </is>
      </c>
      <c r="E1579" s="43" t="n"/>
      <c r="F1579" s="43" t="n"/>
      <c r="G1579" s="43" t="n">
        <v>20</v>
      </c>
      <c r="H1579" s="79">
        <f>(E1579/1000)*(F1579/1000)*(G1579/1000)*7850</f>
        <v/>
      </c>
      <c r="I1579" s="43" t="n">
        <v>1</v>
      </c>
      <c r="J1579" s="80">
        <f>H1579*I1579</f>
        <v/>
      </c>
      <c r="K1579" s="43" t="inlineStr">
        <is>
          <t>来源页137</t>
        </is>
      </c>
      <c r="L1579" s="43">
        <f>A1579</f>
        <v/>
      </c>
      <c r="M1579" s="81" t="n"/>
      <c r="N1579" s="81" t="n"/>
      <c r="O1579" s="81" t="n"/>
      <c r="P1579" s="81" t="n"/>
      <c r="Q1579" s="81" t="n"/>
      <c r="R1579" s="81" t="n"/>
      <c r="S1579" s="81" t="n"/>
      <c r="T1579" s="81" t="n"/>
      <c r="U1579" s="81" t="n"/>
      <c r="V1579" s="81" t="n"/>
      <c r="W1579" s="43" t="n"/>
    </row>
    <row r="1580">
      <c r="A1580" s="43" t="inlineStr">
        <is>
          <t>N12</t>
        </is>
      </c>
      <c r="B1580" s="43" t="inlineStr">
        <is>
          <t>上弦底板</t>
        </is>
      </c>
      <c r="C1580" s="43" t="inlineStr">
        <is>
          <t>节段22</t>
        </is>
      </c>
      <c r="D1580" s="43" t="inlineStr">
        <is>
          <t>Q355D</t>
        </is>
      </c>
      <c r="E1580" s="43" t="n">
        <v>23690</v>
      </c>
      <c r="F1580" s="43" t="n">
        <v>1200</v>
      </c>
      <c r="G1580" s="43" t="n">
        <v>20</v>
      </c>
      <c r="H1580" s="79">
        <f>(E1580/1000)*(F1580/1000)*(G1580/1000)*7850</f>
        <v/>
      </c>
      <c r="I1580" s="43" t="n">
        <v>1</v>
      </c>
      <c r="J1580" s="80">
        <f>H1580*I1580</f>
        <v/>
      </c>
      <c r="K1580" s="43" t="inlineStr">
        <is>
          <t>来源页137</t>
        </is>
      </c>
      <c r="L1580" s="43">
        <f>A1580</f>
        <v/>
      </c>
      <c r="M1580" s="81" t="n"/>
      <c r="N1580" s="81" t="n"/>
      <c r="O1580" s="81" t="n"/>
      <c r="P1580" s="81" t="n"/>
      <c r="Q1580" s="81" t="n"/>
      <c r="R1580" s="81" t="n"/>
      <c r="S1580" s="81" t="n"/>
      <c r="T1580" s="81" t="n"/>
      <c r="U1580" s="81" t="n"/>
      <c r="V1580" s="81" t="n"/>
      <c r="W1580" s="43" t="n"/>
    </row>
    <row r="1581">
      <c r="A1581" s="43" t="inlineStr">
        <is>
          <t>N13</t>
        </is>
      </c>
      <c r="B1581" s="43" t="inlineStr">
        <is>
          <t>上弦腹板</t>
        </is>
      </c>
      <c r="C1581" s="43" t="inlineStr">
        <is>
          <t>节段22</t>
        </is>
      </c>
      <c r="D1581" s="43" t="inlineStr">
        <is>
          <t>Q355D</t>
        </is>
      </c>
      <c r="E1581" s="43" t="n">
        <v>10300</v>
      </c>
      <c r="F1581" s="43" t="n">
        <v>1200</v>
      </c>
      <c r="G1581" s="43" t="n">
        <v>20</v>
      </c>
      <c r="H1581" s="79">
        <f>(E1581/1000)*(F1581/1000)*(G1581/1000)*7850</f>
        <v/>
      </c>
      <c r="I1581" s="43" t="n">
        <v>2</v>
      </c>
      <c r="J1581" s="80">
        <f>H1581*I1581</f>
        <v/>
      </c>
      <c r="K1581" s="43" t="inlineStr">
        <is>
          <t>来源页137</t>
        </is>
      </c>
      <c r="L1581" s="43">
        <f>A1581</f>
        <v/>
      </c>
      <c r="M1581" s="81" t="n"/>
      <c r="N1581" s="81" t="n"/>
      <c r="O1581" s="81" t="n"/>
      <c r="P1581" s="81" t="n"/>
      <c r="Q1581" s="81" t="n"/>
      <c r="R1581" s="81" t="n"/>
      <c r="S1581" s="81" t="n"/>
      <c r="T1581" s="81" t="n"/>
      <c r="U1581" s="81" t="n"/>
      <c r="V1581" s="81" t="n"/>
      <c r="W1581" s="43" t="n"/>
    </row>
    <row r="1582">
      <c r="A1582" s="43" t="inlineStr">
        <is>
          <t>N14</t>
        </is>
      </c>
      <c r="B1582" s="43" t="inlineStr">
        <is>
          <t>上弦节点板</t>
        </is>
      </c>
      <c r="C1582" s="43" t="inlineStr">
        <is>
          <t>节段22</t>
        </is>
      </c>
      <c r="D1582" s="43" t="inlineStr">
        <is>
          <t>Q355D</t>
        </is>
      </c>
      <c r="E1582" s="43" t="n"/>
      <c r="F1582" s="43" t="n"/>
      <c r="G1582" s="43" t="n">
        <v>28</v>
      </c>
      <c r="H1582" s="79">
        <f>(E1582/1000)*(F1582/1000)*(G1582/1000)*7850</f>
        <v/>
      </c>
      <c r="I1582" s="43" t="n">
        <v>2</v>
      </c>
      <c r="J1582" s="80">
        <f>H1582*I1582</f>
        <v/>
      </c>
      <c r="K1582" s="43" t="inlineStr">
        <is>
          <t>来源页137</t>
        </is>
      </c>
      <c r="L1582" s="43">
        <f>A1582</f>
        <v/>
      </c>
      <c r="M1582" s="81" t="n"/>
      <c r="N1582" s="81" t="n"/>
      <c r="O1582" s="81" t="n"/>
      <c r="P1582" s="81" t="n"/>
      <c r="Q1582" s="81" t="n"/>
      <c r="R1582" s="81" t="n"/>
      <c r="S1582" s="81" t="n"/>
      <c r="T1582" s="81" t="n"/>
      <c r="U1582" s="81" t="n"/>
      <c r="V1582" s="81" t="n"/>
      <c r="W1582" s="43" t="n"/>
    </row>
    <row r="1583">
      <c r="A1583" s="43" t="inlineStr">
        <is>
          <t>N14a</t>
        </is>
      </c>
      <c r="B1583" s="43" t="inlineStr">
        <is>
          <t>上弦节点板</t>
        </is>
      </c>
      <c r="C1583" s="43" t="inlineStr">
        <is>
          <t>节段22</t>
        </is>
      </c>
      <c r="D1583" s="43" t="inlineStr">
        <is>
          <t>Q355D</t>
        </is>
      </c>
      <c r="E1583" s="43" t="n"/>
      <c r="F1583" s="43" t="n"/>
      <c r="G1583" s="43" t="n">
        <v>40</v>
      </c>
      <c r="H1583" s="79">
        <f>(E1583/1000)*(F1583/1000)*(G1583/1000)*7850</f>
        <v/>
      </c>
      <c r="I1583" s="43" t="n">
        <v>2</v>
      </c>
      <c r="J1583" s="80">
        <f>H1583*I1583</f>
        <v/>
      </c>
      <c r="K1583" s="43" t="inlineStr">
        <is>
          <t>来源页137</t>
        </is>
      </c>
      <c r="L1583" s="43">
        <f>A1583</f>
        <v/>
      </c>
      <c r="M1583" s="81" t="n"/>
      <c r="N1583" s="81" t="n"/>
      <c r="O1583" s="81" t="n"/>
      <c r="P1583" s="81" t="n"/>
      <c r="Q1583" s="81" t="n"/>
      <c r="R1583" s="81" t="n"/>
      <c r="S1583" s="81" t="n"/>
      <c r="T1583" s="81" t="n"/>
      <c r="U1583" s="81" t="n"/>
      <c r="V1583" s="81" t="n"/>
      <c r="W1583" s="43" t="n"/>
    </row>
    <row r="1584">
      <c r="A1584" s="43" t="inlineStr">
        <is>
          <t>N15“</t>
        </is>
      </c>
      <c r="B1584" s="43" t="inlineStr">
        <is>
          <t>上弦横隔板</t>
        </is>
      </c>
      <c r="C1584" s="43" t="inlineStr">
        <is>
          <t>节段22</t>
        </is>
      </c>
      <c r="D1584" s="43" t="inlineStr">
        <is>
          <t>Q355D</t>
        </is>
      </c>
      <c r="E1584" s="43" t="n">
        <v>2057</v>
      </c>
      <c r="F1584" s="43" t="n">
        <v>200</v>
      </c>
      <c r="G1584" s="43" t="n">
        <v>16</v>
      </c>
      <c r="H1584" s="79">
        <f>(E1584/1000)*(F1584/1000)*(G1584/1000)*7850</f>
        <v/>
      </c>
      <c r="I1584" s="43" t="n">
        <v>10</v>
      </c>
      <c r="J1584" s="80">
        <f>H1584*I1584</f>
        <v/>
      </c>
      <c r="K1584" s="43" t="inlineStr">
        <is>
          <t>来源页137</t>
        </is>
      </c>
      <c r="L1584" s="43">
        <f>A1584</f>
        <v/>
      </c>
      <c r="M1584" s="81" t="n"/>
      <c r="N1584" s="81" t="n"/>
      <c r="O1584" s="81" t="n"/>
      <c r="P1584" s="81" t="n"/>
      <c r="Q1584" s="81" t="n"/>
      <c r="R1584" s="81" t="n"/>
      <c r="S1584" s="81" t="n"/>
      <c r="T1584" s="81" t="n"/>
      <c r="U1584" s="81" t="n"/>
      <c r="V1584" s="81" t="n"/>
      <c r="W1584" s="43" t="n"/>
    </row>
    <row r="1585">
      <c r="A1585" s="43" t="inlineStr">
        <is>
          <t>N15b</t>
        </is>
      </c>
      <c r="B1585" s="43" t="inlineStr">
        <is>
          <t>上弦横隔板</t>
        </is>
      </c>
      <c r="C1585" s="43" t="inlineStr">
        <is>
          <t>节段22</t>
        </is>
      </c>
      <c r="D1585" s="43" t="inlineStr">
        <is>
          <t>Q355B</t>
        </is>
      </c>
      <c r="E1585" s="43" t="n">
        <v>2057</v>
      </c>
      <c r="F1585" s="43" t="n">
        <v>40</v>
      </c>
      <c r="G1585" s="43" t="n">
        <v>4</v>
      </c>
      <c r="H1585" s="79">
        <f>(E1585/1000)*(F1585/1000)*(G1585/1000)*7850</f>
        <v/>
      </c>
      <c r="I1585" s="43" t="n">
        <v>4</v>
      </c>
      <c r="J1585" s="80">
        <f>H1585*I1585</f>
        <v/>
      </c>
      <c r="K1585" s="43" t="inlineStr">
        <is>
          <t>来源页137</t>
        </is>
      </c>
      <c r="L1585" s="43">
        <f>A1585</f>
        <v/>
      </c>
      <c r="M1585" s="81" t="n"/>
      <c r="N1585" s="81" t="n"/>
      <c r="O1585" s="81" t="n"/>
      <c r="P1585" s="81" t="n"/>
      <c r="Q1585" s="81" t="n"/>
      <c r="R1585" s="81" t="n"/>
      <c r="S1585" s="81" t="n"/>
      <c r="T1585" s="81" t="n"/>
      <c r="U1585" s="81" t="n"/>
      <c r="V1585" s="81" t="n"/>
      <c r="W1585" s="43" t="n"/>
    </row>
    <row r="1586">
      <c r="A1586" s="43" t="inlineStr">
        <is>
          <t>N15c</t>
        </is>
      </c>
      <c r="B1586" s="43" t="inlineStr">
        <is>
          <t>上弦横隔板</t>
        </is>
      </c>
      <c r="C1586" s="43" t="inlineStr">
        <is>
          <t>节段22</t>
        </is>
      </c>
      <c r="D1586" s="43" t="inlineStr">
        <is>
          <t>Q355D</t>
        </is>
      </c>
      <c r="E1586" s="43" t="n">
        <v>800</v>
      </c>
      <c r="F1586" s="43" t="n">
        <v>400</v>
      </c>
      <c r="G1586" s="43" t="n">
        <v>16</v>
      </c>
      <c r="H1586" s="79">
        <f>(E1586/1000)*(F1586/1000)*(G1586/1000)*7850</f>
        <v/>
      </c>
      <c r="I1586" s="43" t="n">
        <v>4</v>
      </c>
      <c r="J1586" s="80">
        <f>H1586*I1586</f>
        <v/>
      </c>
      <c r="K1586" s="43" t="inlineStr">
        <is>
          <t>来源页137</t>
        </is>
      </c>
      <c r="L1586" s="43">
        <f>A1586</f>
        <v/>
      </c>
      <c r="M1586" s="81" t="n"/>
      <c r="N1586" s="81" t="n"/>
      <c r="O1586" s="81" t="n"/>
      <c r="P1586" s="81" t="n"/>
      <c r="Q1586" s="81" t="n"/>
      <c r="R1586" s="81" t="n"/>
      <c r="S1586" s="81" t="n"/>
      <c r="T1586" s="81" t="n"/>
      <c r="U1586" s="81" t="n"/>
      <c r="V1586" s="81" t="n"/>
      <c r="W1586" s="43" t="n"/>
    </row>
    <row r="1587">
      <c r="A1587" s="43" t="inlineStr">
        <is>
          <t>N16a</t>
        </is>
      </c>
      <c r="B1587" s="43" t="inlineStr">
        <is>
          <t>上弦加劲肋</t>
        </is>
      </c>
      <c r="C1587" s="43" t="inlineStr">
        <is>
          <t>节段22</t>
        </is>
      </c>
      <c r="D1587" s="43" t="inlineStr">
        <is>
          <t>Q355D</t>
        </is>
      </c>
      <c r="E1587" s="43" t="n">
        <v>5651</v>
      </c>
      <c r="F1587" s="43" t="n">
        <v>320</v>
      </c>
      <c r="G1587" s="43" t="n">
        <v>32</v>
      </c>
      <c r="H1587" s="79">
        <f>(E1587/1000)*(F1587/1000)*(G1587/1000)*7850</f>
        <v/>
      </c>
      <c r="I1587" s="43" t="n">
        <v>4</v>
      </c>
      <c r="J1587" s="80">
        <f>H1587*I1587</f>
        <v/>
      </c>
      <c r="K1587" s="43" t="inlineStr">
        <is>
          <t>来源页137</t>
        </is>
      </c>
      <c r="L1587" s="43">
        <f>A1587</f>
        <v/>
      </c>
      <c r="M1587" s="81" t="n"/>
      <c r="N1587" s="81" t="n"/>
      <c r="O1587" s="81" t="n"/>
      <c r="P1587" s="81" t="n"/>
      <c r="Q1587" s="81" t="n"/>
      <c r="R1587" s="81" t="n"/>
      <c r="S1587" s="81" t="n"/>
      <c r="T1587" s="81" t="n"/>
      <c r="U1587" s="81" t="n"/>
      <c r="V1587" s="81" t="n"/>
      <c r="W1587" s="43" t="n"/>
    </row>
    <row r="1588">
      <c r="A1588" s="43" t="inlineStr">
        <is>
          <t>N16b</t>
        </is>
      </c>
      <c r="B1588" s="43" t="inlineStr">
        <is>
          <t>上弦加劲肋</t>
        </is>
      </c>
      <c r="C1588" s="43" t="inlineStr">
        <is>
          <t>节段22</t>
        </is>
      </c>
      <c r="D1588" s="43" t="inlineStr">
        <is>
          <t>Q355D</t>
        </is>
      </c>
      <c r="E1588" s="43" t="n">
        <v>10300</v>
      </c>
      <c r="F1588" s="43" t="n">
        <v>240</v>
      </c>
      <c r="G1588" s="43" t="n">
        <v>20</v>
      </c>
      <c r="H1588" s="79">
        <f>(E1588/1000)*(F1588/1000)*(G1588/1000)*7850</f>
        <v/>
      </c>
      <c r="I1588" s="43" t="n">
        <v>4</v>
      </c>
      <c r="J1588" s="80">
        <f>H1588*I1588</f>
        <v/>
      </c>
      <c r="K1588" s="43" t="inlineStr">
        <is>
          <t>来源页137</t>
        </is>
      </c>
      <c r="L1588" s="43">
        <f>A1588</f>
        <v/>
      </c>
      <c r="M1588" s="81" t="n"/>
      <c r="N1588" s="81" t="n"/>
      <c r="O1588" s="81" t="n"/>
      <c r="P1588" s="81" t="n"/>
      <c r="Q1588" s="81" t="n"/>
      <c r="R1588" s="81" t="n"/>
      <c r="S1588" s="81" t="n"/>
      <c r="T1588" s="81" t="n"/>
      <c r="U1588" s="81" t="n"/>
      <c r="V1588" s="81" t="n"/>
      <c r="W1588" s="43" t="n"/>
    </row>
    <row r="1589">
      <c r="A1589" s="43" t="inlineStr">
        <is>
          <t>N16c</t>
        </is>
      </c>
      <c r="B1589" s="43" t="inlineStr">
        <is>
          <t>上弦加劲肋</t>
        </is>
      </c>
      <c r="C1589" s="43" t="inlineStr">
        <is>
          <t>节段22</t>
        </is>
      </c>
      <c r="D1589" s="43" t="inlineStr">
        <is>
          <t>Q355D</t>
        </is>
      </c>
      <c r="E1589" s="43" t="n">
        <v>7700</v>
      </c>
      <c r="F1589" s="43" t="n">
        <v>320</v>
      </c>
      <c r="G1589" s="43" t="n">
        <v>32</v>
      </c>
      <c r="H1589" s="79">
        <f>(E1589/1000)*(F1589/1000)*(G1589/1000)*7850</f>
        <v/>
      </c>
      <c r="I1589" s="43" t="n">
        <v>4</v>
      </c>
      <c r="J1589" s="80">
        <f>H1589*I1589</f>
        <v/>
      </c>
      <c r="K1589" s="43" t="inlineStr">
        <is>
          <t>来源页137</t>
        </is>
      </c>
      <c r="L1589" s="43">
        <f>A1589</f>
        <v/>
      </c>
      <c r="M1589" s="81" t="n"/>
      <c r="N1589" s="81" t="n"/>
      <c r="O1589" s="81" t="n"/>
      <c r="P1589" s="81" t="n"/>
      <c r="Q1589" s="81" t="n"/>
      <c r="R1589" s="81" t="n"/>
      <c r="S1589" s="81" t="n"/>
      <c r="T1589" s="81" t="n"/>
      <c r="U1589" s="81" t="n"/>
      <c r="V1589" s="81" t="n"/>
      <c r="W1589" s="43" t="n"/>
    </row>
    <row r="1590">
      <c r="A1590" s="43" t="inlineStr">
        <is>
          <t>N16d</t>
        </is>
      </c>
      <c r="B1590" s="43" t="inlineStr">
        <is>
          <t>上弦加劲肋</t>
        </is>
      </c>
      <c r="C1590" s="43" t="inlineStr">
        <is>
          <t>节段22</t>
        </is>
      </c>
      <c r="D1590" s="43" t="inlineStr">
        <is>
          <t>Q355D</t>
        </is>
      </c>
      <c r="E1590" s="43" t="n">
        <v>23640</v>
      </c>
      <c r="F1590" s="43" t="n">
        <v>240</v>
      </c>
      <c r="G1590" s="43" t="n">
        <v>20</v>
      </c>
      <c r="H1590" s="79">
        <f>(E1590/1000)*(F1590/1000)*(G1590/1000)*7850</f>
        <v/>
      </c>
      <c r="I1590" s="43" t="n">
        <v>1</v>
      </c>
      <c r="J1590" s="80">
        <f>H1590*I1590</f>
        <v/>
      </c>
      <c r="K1590" s="43" t="inlineStr">
        <is>
          <t>来源页137</t>
        </is>
      </c>
      <c r="L1590" s="43">
        <f>A1590</f>
        <v/>
      </c>
      <c r="M1590" s="81" t="n"/>
      <c r="N1590" s="81" t="n"/>
      <c r="O1590" s="81" t="n"/>
      <c r="P1590" s="81" t="n"/>
      <c r="Q1590" s="81" t="n"/>
      <c r="R1590" s="81" t="n"/>
      <c r="S1590" s="81" t="n"/>
      <c r="T1590" s="81" t="n"/>
      <c r="U1590" s="81" t="n"/>
      <c r="V1590" s="81" t="n"/>
      <c r="W1590" s="43" t="n"/>
    </row>
    <row r="1591">
      <c r="A1591" s="43" t="inlineStr">
        <is>
          <t>N16e</t>
        </is>
      </c>
      <c r="B1591" s="43" t="inlineStr">
        <is>
          <t>上弦加劲肋</t>
        </is>
      </c>
      <c r="C1591" s="43" t="inlineStr">
        <is>
          <t>节段22</t>
        </is>
      </c>
      <c r="D1591" s="43" t="inlineStr">
        <is>
          <t>Q355D</t>
        </is>
      </c>
      <c r="E1591" s="43" t="n">
        <v>23640</v>
      </c>
      <c r="F1591" s="43" t="n">
        <v>240</v>
      </c>
      <c r="G1591" s="43" t="n">
        <v>20</v>
      </c>
      <c r="H1591" s="79">
        <f>(E1591/1000)*(F1591/1000)*(G1591/1000)*7850</f>
        <v/>
      </c>
      <c r="I1591" s="43" t="n">
        <v>1</v>
      </c>
      <c r="J1591" s="80">
        <f>H1591*I1591</f>
        <v/>
      </c>
      <c r="K1591" s="43" t="inlineStr">
        <is>
          <t>来源页137</t>
        </is>
      </c>
      <c r="L1591" s="43">
        <f>A1591</f>
        <v/>
      </c>
      <c r="M1591" s="81" t="n"/>
      <c r="N1591" s="81" t="n"/>
      <c r="O1591" s="81" t="n"/>
      <c r="P1591" s="81" t="n"/>
      <c r="Q1591" s="81" t="n"/>
      <c r="R1591" s="81" t="n"/>
      <c r="S1591" s="81" t="n"/>
      <c r="T1591" s="81" t="n"/>
      <c r="U1591" s="81" t="n"/>
      <c r="V1591" s="81" t="n"/>
      <c r="W1591" s="43" t="n"/>
    </row>
    <row r="1592">
      <c r="A1592" s="43" t="inlineStr">
        <is>
          <t>N21</t>
        </is>
      </c>
      <c r="B1592" s="43" t="inlineStr">
        <is>
          <t>下弦顶板</t>
        </is>
      </c>
      <c r="C1592" s="43" t="inlineStr">
        <is>
          <t>节段22</t>
        </is>
      </c>
      <c r="D1592" s="43" t="inlineStr">
        <is>
          <t>Q355D</t>
        </is>
      </c>
      <c r="E1592" s="43" t="n">
        <v>4809</v>
      </c>
      <c r="F1592" s="43" t="n">
        <v>2500</v>
      </c>
      <c r="G1592" s="43" t="n">
        <v>20</v>
      </c>
      <c r="H1592" s="79">
        <f>(E1592/1000)*(F1592/1000)*(G1592/1000)*7850</f>
        <v/>
      </c>
      <c r="I1592" s="43" t="n">
        <v>1</v>
      </c>
      <c r="J1592" s="80">
        <f>H1592*I1592</f>
        <v/>
      </c>
      <c r="K1592" s="43" t="inlineStr">
        <is>
          <t>来源页137</t>
        </is>
      </c>
      <c r="L1592" s="43">
        <f>A1592</f>
        <v/>
      </c>
      <c r="M1592" s="81" t="n"/>
      <c r="N1592" s="81" t="n"/>
      <c r="O1592" s="81" t="n"/>
      <c r="P1592" s="81" t="n"/>
      <c r="Q1592" s="81" t="n"/>
      <c r="R1592" s="81" t="n"/>
      <c r="S1592" s="81" t="n"/>
      <c r="T1592" s="81" t="n"/>
      <c r="U1592" s="81" t="n"/>
      <c r="V1592" s="81" t="n"/>
      <c r="W1592" s="43" t="n"/>
    </row>
    <row r="1593">
      <c r="A1593" s="43" t="inlineStr">
        <is>
          <t>N21a</t>
        </is>
      </c>
      <c r="B1593" s="43" t="inlineStr">
        <is>
          <t>下弦顶板</t>
        </is>
      </c>
      <c r="C1593" s="43" t="inlineStr">
        <is>
          <t>节段22</t>
        </is>
      </c>
      <c r="D1593" s="43" t="inlineStr">
        <is>
          <t>Q355D</t>
        </is>
      </c>
      <c r="E1593" s="43" t="n">
        <v>17804</v>
      </c>
      <c r="F1593" s="43" t="n">
        <v>2500</v>
      </c>
      <c r="G1593" s="43" t="n">
        <v>20</v>
      </c>
      <c r="H1593" s="79">
        <f>(E1593/1000)*(F1593/1000)*(G1593/1000)*7850</f>
        <v/>
      </c>
      <c r="I1593" s="43" t="n">
        <v>1</v>
      </c>
      <c r="J1593" s="80">
        <f>H1593*I1593</f>
        <v/>
      </c>
      <c r="K1593" s="43" t="inlineStr">
        <is>
          <t>来源页137</t>
        </is>
      </c>
      <c r="L1593" s="43">
        <f>A1593</f>
        <v/>
      </c>
      <c r="M1593" s="81" t="n"/>
      <c r="N1593" s="81" t="n"/>
      <c r="O1593" s="81" t="n"/>
      <c r="P1593" s="81" t="n"/>
      <c r="Q1593" s="81" t="n"/>
      <c r="R1593" s="81" t="n"/>
      <c r="S1593" s="81" t="n"/>
      <c r="T1593" s="81" t="n"/>
      <c r="U1593" s="81" t="n"/>
      <c r="V1593" s="81" t="n"/>
      <c r="W1593" s="43" t="n"/>
    </row>
    <row r="1594">
      <c r="A1594" s="43" t="inlineStr">
        <is>
          <t>N22</t>
        </is>
      </c>
      <c r="B1594" s="43" t="inlineStr">
        <is>
          <t>下弦底板</t>
        </is>
      </c>
      <c r="C1594" s="43" t="inlineStr">
        <is>
          <t>节段22</t>
        </is>
      </c>
      <c r="D1594" s="43" t="inlineStr">
        <is>
          <t>Q355D</t>
        </is>
      </c>
      <c r="E1594" s="43" t="n"/>
      <c r="F1594" s="43" t="n"/>
      <c r="G1594" s="43" t="n">
        <v>36</v>
      </c>
      <c r="H1594" s="79">
        <f>(E1594/1000)*(F1594/1000)*(G1594/1000)*7850</f>
        <v/>
      </c>
      <c r="I1594" s="43" t="n">
        <v>1</v>
      </c>
      <c r="J1594" s="80">
        <f>H1594*I1594</f>
        <v/>
      </c>
      <c r="K1594" s="43" t="inlineStr">
        <is>
          <t>来源页137</t>
        </is>
      </c>
      <c r="L1594" s="43">
        <f>A1594</f>
        <v/>
      </c>
      <c r="M1594" s="81" t="n"/>
      <c r="N1594" s="81" t="n"/>
      <c r="O1594" s="81" t="n"/>
      <c r="P1594" s="81" t="n"/>
      <c r="Q1594" s="81" t="n"/>
      <c r="R1594" s="81" t="n"/>
      <c r="S1594" s="81" t="n"/>
      <c r="T1594" s="81" t="n"/>
      <c r="U1594" s="81" t="n"/>
      <c r="V1594" s="81" t="n"/>
      <c r="W1594" s="43" t="n"/>
    </row>
    <row r="1595">
      <c r="A1595" s="43" t="inlineStr">
        <is>
          <t>N22a</t>
        </is>
      </c>
      <c r="B1595" s="43" t="inlineStr">
        <is>
          <t>下弦底板</t>
        </is>
      </c>
      <c r="C1595" s="43" t="inlineStr">
        <is>
          <t>节段22</t>
        </is>
      </c>
      <c r="D1595" s="43" t="inlineStr">
        <is>
          <t>Q355D</t>
        </is>
      </c>
      <c r="E1595" s="43" t="n"/>
      <c r="F1595" s="43" t="n"/>
      <c r="G1595" s="43" t="n">
        <v>20</v>
      </c>
      <c r="H1595" s="79">
        <f>(E1595/1000)*(F1595/1000)*(G1595/1000)*7850</f>
        <v/>
      </c>
      <c r="I1595" s="43" t="n">
        <v>1</v>
      </c>
      <c r="J1595" s="80">
        <f>H1595*I1595</f>
        <v/>
      </c>
      <c r="K1595" s="43" t="inlineStr">
        <is>
          <t>来源页137</t>
        </is>
      </c>
      <c r="L1595" s="43">
        <f>A1595</f>
        <v/>
      </c>
      <c r="M1595" s="81" t="n"/>
      <c r="N1595" s="81" t="n"/>
      <c r="O1595" s="81" t="n"/>
      <c r="P1595" s="81" t="n"/>
      <c r="Q1595" s="81" t="n"/>
      <c r="R1595" s="81" t="n"/>
      <c r="S1595" s="81" t="n"/>
      <c r="T1595" s="81" t="n"/>
      <c r="U1595" s="81" t="n"/>
      <c r="V1595" s="81" t="n"/>
      <c r="W1595" s="43" t="n"/>
    </row>
    <row r="1596">
      <c r="A1596" s="43" t="inlineStr">
        <is>
          <t>N23</t>
        </is>
      </c>
      <c r="B1596" s="43" t="inlineStr">
        <is>
          <t>下弦腹板</t>
        </is>
      </c>
      <c r="C1596" s="43" t="inlineStr">
        <is>
          <t>节段22</t>
        </is>
      </c>
      <c r="D1596" s="43" t="inlineStr">
        <is>
          <t>Q355D</t>
        </is>
      </c>
      <c r="E1596" s="43" t="n">
        <v>10103</v>
      </c>
      <c r="F1596" s="43" t="n">
        <v>1880</v>
      </c>
      <c r="G1596" s="43" t="n">
        <v>24</v>
      </c>
      <c r="H1596" s="79">
        <f>(E1596/1000)*(F1596/1000)*(G1596/1000)*7850</f>
        <v/>
      </c>
      <c r="I1596" s="43" t="n">
        <v>2</v>
      </c>
      <c r="J1596" s="80">
        <f>H1596*I1596</f>
        <v/>
      </c>
      <c r="K1596" s="43" t="inlineStr">
        <is>
          <t>来源页137</t>
        </is>
      </c>
      <c r="L1596" s="43">
        <f>A1596</f>
        <v/>
      </c>
      <c r="M1596" s="81" t="n"/>
      <c r="N1596" s="81" t="n"/>
      <c r="O1596" s="81" t="n"/>
      <c r="P1596" s="81" t="n"/>
      <c r="Q1596" s="81" t="n"/>
      <c r="R1596" s="81" t="n"/>
      <c r="S1596" s="81" t="n"/>
      <c r="T1596" s="81" t="n"/>
      <c r="U1596" s="81" t="n"/>
      <c r="V1596" s="81" t="n"/>
      <c r="W1596" s="43" t="n"/>
    </row>
    <row r="1597">
      <c r="A1597" s="43" t="inlineStr">
        <is>
          <t>N24</t>
        </is>
      </c>
      <c r="B1597" s="43" t="inlineStr">
        <is>
          <t>下弦节点板</t>
        </is>
      </c>
      <c r="C1597" s="43" t="inlineStr">
        <is>
          <t>节段22</t>
        </is>
      </c>
      <c r="D1597" s="43" t="inlineStr">
        <is>
          <t>Q355D</t>
        </is>
      </c>
      <c r="E1597" s="43" t="n"/>
      <c r="F1597" s="43" t="n"/>
      <c r="G1597" s="43" t="n">
        <v>40</v>
      </c>
      <c r="H1597" s="79">
        <f>(E1597/1000)*(F1597/1000)*(G1597/1000)*7850</f>
        <v/>
      </c>
      <c r="I1597" s="43" t="n">
        <v>2</v>
      </c>
      <c r="J1597" s="80">
        <f>H1597*I1597</f>
        <v/>
      </c>
      <c r="K1597" s="43" t="inlineStr">
        <is>
          <t>Z35钢；来源页137</t>
        </is>
      </c>
      <c r="L1597" s="43">
        <f>A1597</f>
        <v/>
      </c>
      <c r="M1597" s="81" t="n"/>
      <c r="N1597" s="81" t="n"/>
      <c r="O1597" s="81" t="n"/>
      <c r="P1597" s="81" t="n"/>
      <c r="Q1597" s="81" t="n"/>
      <c r="R1597" s="81" t="n"/>
      <c r="S1597" s="81" t="n"/>
      <c r="T1597" s="81" t="n"/>
      <c r="U1597" s="81" t="n"/>
      <c r="V1597" s="81" t="n"/>
      <c r="W1597" s="43" t="n"/>
    </row>
    <row r="1598">
      <c r="A1598" s="43" t="inlineStr">
        <is>
          <t>N24a</t>
        </is>
      </c>
      <c r="B1598" s="43" t="inlineStr">
        <is>
          <t>下弦节点板</t>
        </is>
      </c>
      <c r="C1598" s="43" t="inlineStr">
        <is>
          <t>节段22</t>
        </is>
      </c>
      <c r="D1598" s="43" t="inlineStr">
        <is>
          <t>Q355D</t>
        </is>
      </c>
      <c r="E1598" s="43" t="n"/>
      <c r="F1598" s="43" t="n"/>
      <c r="G1598" s="43" t="n">
        <v>40</v>
      </c>
      <c r="H1598" s="79">
        <f>(E1598/1000)*(F1598/1000)*(G1598/1000)*7850</f>
        <v/>
      </c>
      <c r="I1598" s="43" t="n">
        <v>2</v>
      </c>
      <c r="J1598" s="80">
        <f>H1598*I1598</f>
        <v/>
      </c>
      <c r="K1598" s="43" t="inlineStr">
        <is>
          <t>Z35钢；来源页137</t>
        </is>
      </c>
      <c r="L1598" s="43">
        <f>A1598</f>
        <v/>
      </c>
      <c r="M1598" s="81" t="n"/>
      <c r="N1598" s="81" t="n"/>
      <c r="O1598" s="81" t="n"/>
      <c r="P1598" s="81" t="n"/>
      <c r="Q1598" s="81" t="n"/>
      <c r="R1598" s="81" t="n"/>
      <c r="S1598" s="81" t="n"/>
      <c r="T1598" s="81" t="n"/>
      <c r="U1598" s="81" t="n"/>
      <c r="V1598" s="81" t="n"/>
      <c r="W1598" s="43" t="n"/>
    </row>
    <row r="1599">
      <c r="A1599" s="43" t="inlineStr">
        <is>
          <t>N25</t>
        </is>
      </c>
      <c r="B1599" s="43" t="inlineStr">
        <is>
          <t>下弦横隔板</t>
        </is>
      </c>
      <c r="C1599" s="43" t="inlineStr">
        <is>
          <t>节段22</t>
        </is>
      </c>
      <c r="D1599" s="43" t="inlineStr">
        <is>
          <t>Q355D</t>
        </is>
      </c>
      <c r="E1599" s="43" t="n">
        <v>1800</v>
      </c>
      <c r="F1599" s="43" t="n">
        <v>1200</v>
      </c>
      <c r="G1599" s="43" t="n">
        <v>16</v>
      </c>
      <c r="H1599" s="79">
        <f>(E1599/1000)*(F1599/1000)*(G1599/1000)*7850</f>
        <v/>
      </c>
      <c r="I1599" s="43" t="n">
        <v>7</v>
      </c>
      <c r="J1599" s="80">
        <f>H1599*I1599</f>
        <v/>
      </c>
      <c r="K1599" s="43" t="inlineStr">
        <is>
          <t>来源页137</t>
        </is>
      </c>
      <c r="L1599" s="43">
        <f>A1599</f>
        <v/>
      </c>
      <c r="M1599" s="81" t="n"/>
      <c r="N1599" s="81" t="n"/>
      <c r="O1599" s="81" t="n"/>
      <c r="P1599" s="81" t="n"/>
      <c r="Q1599" s="81" t="n"/>
      <c r="R1599" s="81" t="n"/>
      <c r="S1599" s="81" t="n"/>
      <c r="T1599" s="81" t="n"/>
      <c r="U1599" s="81" t="n"/>
      <c r="V1599" s="81" t="n"/>
      <c r="W1599" s="43" t="n"/>
    </row>
    <row r="1600">
      <c r="A1600" s="43" t="inlineStr">
        <is>
          <t>N26a</t>
        </is>
      </c>
      <c r="B1600" s="43" t="inlineStr">
        <is>
          <t>下弦加劲肋</t>
        </is>
      </c>
      <c r="C1600" s="43" t="inlineStr">
        <is>
          <t>节段22</t>
        </is>
      </c>
      <c r="D1600" s="43" t="inlineStr">
        <is>
          <t>Q355D</t>
        </is>
      </c>
      <c r="E1600" s="43" t="n">
        <v>2792</v>
      </c>
      <c r="F1600" s="43" t="n">
        <v>320</v>
      </c>
      <c r="G1600" s="43" t="n">
        <v>32</v>
      </c>
      <c r="H1600" s="79">
        <f>(E1600/1000)*(F1600/1000)*(G1600/1000)*7850</f>
        <v/>
      </c>
      <c r="I1600" s="43" t="n">
        <v>2</v>
      </c>
      <c r="J1600" s="80">
        <f>H1600*I1600</f>
        <v/>
      </c>
      <c r="K1600" s="43" t="inlineStr">
        <is>
          <t>来源页137</t>
        </is>
      </c>
      <c r="L1600" s="43">
        <f>A1600</f>
        <v/>
      </c>
      <c r="M1600" s="81" t="n"/>
      <c r="N1600" s="81" t="n"/>
      <c r="O1600" s="81" t="n"/>
      <c r="P1600" s="81" t="n"/>
      <c r="Q1600" s="81" t="n"/>
      <c r="R1600" s="81" t="n"/>
      <c r="S1600" s="81" t="n"/>
      <c r="T1600" s="81" t="n"/>
      <c r="U1600" s="81" t="n"/>
      <c r="V1600" s="81" t="n"/>
      <c r="W1600" s="43" t="n"/>
    </row>
    <row r="1601">
      <c r="A1601" s="43" t="inlineStr">
        <is>
          <t>N11</t>
        </is>
      </c>
      <c r="B1601" s="43" t="inlineStr"/>
      <c r="C1601" s="43" t="inlineStr">
        <is>
          <t>节段01</t>
        </is>
      </c>
      <c r="D1601" s="43" t="inlineStr">
        <is>
          <t>Q355D</t>
        </is>
      </c>
      <c r="E1601" s="43" t="n"/>
      <c r="F1601" s="43" t="n"/>
      <c r="G1601" s="43" t="n">
        <v>20</v>
      </c>
      <c r="H1601" s="79">
        <f>(E1601/1000)*(F1601/1000)*(G1601/1000)*7850</f>
        <v/>
      </c>
      <c r="I1601" s="43" t="n">
        <v>1</v>
      </c>
      <c r="J1601" s="80">
        <f>H1601*I1601</f>
        <v/>
      </c>
      <c r="K1601" s="43" t="inlineStr">
        <is>
          <t>来源页142</t>
        </is>
      </c>
      <c r="L1601" s="43">
        <f>A1601</f>
        <v/>
      </c>
      <c r="M1601" s="81" t="n"/>
      <c r="N1601" s="81" t="n"/>
      <c r="O1601" s="81" t="n"/>
      <c r="P1601" s="81" t="n"/>
      <c r="Q1601" s="81" t="n"/>
      <c r="R1601" s="81" t="n"/>
      <c r="S1601" s="81" t="n"/>
      <c r="T1601" s="81" t="n"/>
      <c r="U1601" s="81" t="n"/>
      <c r="V1601" s="81" t="n"/>
      <c r="W1601" s="43" t="n"/>
    </row>
    <row r="1602">
      <c r="A1602" s="43" t="inlineStr">
        <is>
          <t>N12</t>
        </is>
      </c>
      <c r="B1602" s="43" t="inlineStr"/>
      <c r="C1602" s="43" t="inlineStr">
        <is>
          <t>节段01</t>
        </is>
      </c>
      <c r="D1602" s="43" t="inlineStr">
        <is>
          <t>Q355D</t>
        </is>
      </c>
      <c r="E1602" s="43" t="n">
        <v>13350</v>
      </c>
      <c r="F1602" s="43" t="n">
        <v>1200</v>
      </c>
      <c r="G1602" s="43" t="n">
        <v>20</v>
      </c>
      <c r="H1602" s="79">
        <f>(E1602/1000)*(F1602/1000)*(G1602/1000)*7850</f>
        <v/>
      </c>
      <c r="I1602" s="43" t="n">
        <v>1</v>
      </c>
      <c r="J1602" s="80">
        <f>H1602*I1602</f>
        <v/>
      </c>
      <c r="K1602" s="43" t="inlineStr">
        <is>
          <t>来源页142</t>
        </is>
      </c>
      <c r="L1602" s="43">
        <f>A1602</f>
        <v/>
      </c>
      <c r="M1602" s="81" t="n"/>
      <c r="N1602" s="81" t="n"/>
      <c r="O1602" s="81" t="n"/>
      <c r="P1602" s="81" t="n"/>
      <c r="Q1602" s="81" t="n"/>
      <c r="R1602" s="81" t="n"/>
      <c r="S1602" s="81" t="n"/>
      <c r="T1602" s="81" t="n"/>
      <c r="U1602" s="81" t="n"/>
      <c r="V1602" s="81" t="n"/>
      <c r="W1602" s="43" t="n"/>
    </row>
    <row r="1603">
      <c r="A1603" s="43" t="inlineStr">
        <is>
          <t>N13</t>
        </is>
      </c>
      <c r="B1603" s="43" t="inlineStr"/>
      <c r="C1603" s="43" t="inlineStr">
        <is>
          <t>节段01</t>
        </is>
      </c>
      <c r="D1603" s="43" t="inlineStr">
        <is>
          <t>Q355D</t>
        </is>
      </c>
      <c r="E1603" s="43" t="n">
        <v>10350</v>
      </c>
      <c r="F1603" s="43" t="n">
        <v>1648</v>
      </c>
      <c r="G1603" s="43" t="n">
        <v>20</v>
      </c>
      <c r="H1603" s="79">
        <f>(E1603/1000)*(F1603/1000)*(G1603/1000)*7850</f>
        <v/>
      </c>
      <c r="I1603" s="43" t="n">
        <v>0</v>
      </c>
      <c r="J1603" s="80">
        <f>H1603*I1603</f>
        <v/>
      </c>
      <c r="K1603" s="43" t="inlineStr">
        <is>
          <t>来源页142</t>
        </is>
      </c>
      <c r="L1603" s="43">
        <f>A1603</f>
        <v/>
      </c>
      <c r="M1603" s="81" t="n"/>
      <c r="N1603" s="81" t="n"/>
      <c r="O1603" s="81" t="n"/>
      <c r="P1603" s="81" t="n"/>
      <c r="Q1603" s="81" t="n"/>
      <c r="R1603" s="81" t="n"/>
      <c r="S1603" s="81" t="n"/>
      <c r="T1603" s="81" t="n"/>
      <c r="U1603" s="81" t="n"/>
      <c r="V1603" s="81" t="n"/>
      <c r="W1603" s="43" t="n"/>
    </row>
    <row r="1604">
      <c r="A1604" s="43" t="inlineStr">
        <is>
          <t>N14</t>
        </is>
      </c>
      <c r="B1604" s="43" t="inlineStr"/>
      <c r="C1604" s="43" t="inlineStr">
        <is>
          <t>节段01</t>
        </is>
      </c>
      <c r="D1604" s="43" t="inlineStr">
        <is>
          <t>Q355D</t>
        </is>
      </c>
      <c r="E1604" s="43" t="n"/>
      <c r="F1604" s="43" t="n"/>
      <c r="G1604" s="43" t="n">
        <v>28</v>
      </c>
      <c r="H1604" s="79">
        <f>(E1604/1000)*(F1604/1000)*(G1604/1000)*7850</f>
        <v/>
      </c>
      <c r="I1604" s="43" t="n">
        <v>2</v>
      </c>
      <c r="J1604" s="80">
        <f>H1604*I1604</f>
        <v/>
      </c>
      <c r="K1604" s="43" t="inlineStr">
        <is>
          <t>来源页142</t>
        </is>
      </c>
      <c r="L1604" s="43">
        <f>A1604</f>
        <v/>
      </c>
      <c r="M1604" s="81" t="n"/>
      <c r="N1604" s="81" t="n"/>
      <c r="O1604" s="81" t="n"/>
      <c r="P1604" s="81" t="n"/>
      <c r="Q1604" s="81" t="n"/>
      <c r="R1604" s="81" t="n"/>
      <c r="S1604" s="81" t="n"/>
      <c r="T1604" s="81" t="n"/>
      <c r="U1604" s="81" t="n"/>
      <c r="V1604" s="81" t="n"/>
      <c r="W1604" s="43" t="n"/>
    </row>
    <row r="1605">
      <c r="A1605" s="43" t="inlineStr">
        <is>
          <t>N14a</t>
        </is>
      </c>
      <c r="B1605" s="43" t="inlineStr"/>
      <c r="C1605" s="43" t="inlineStr">
        <is>
          <t>节段01</t>
        </is>
      </c>
      <c r="D1605" s="43" t="inlineStr">
        <is>
          <t>Q355D</t>
        </is>
      </c>
      <c r="E1605" s="43" t="n"/>
      <c r="F1605" s="43" t="n"/>
      <c r="G1605" s="43" t="n">
        <v>40</v>
      </c>
      <c r="H1605" s="79">
        <f>(E1605/1000)*(F1605/1000)*(G1605/1000)*7850</f>
        <v/>
      </c>
      <c r="I1605" s="43" t="n">
        <v>2</v>
      </c>
      <c r="J1605" s="80">
        <f>H1605*I1605</f>
        <v/>
      </c>
      <c r="K1605" s="43" t="inlineStr">
        <is>
          <t>来源页142</t>
        </is>
      </c>
      <c r="L1605" s="43">
        <f>A1605</f>
        <v/>
      </c>
      <c r="M1605" s="81" t="n"/>
      <c r="N1605" s="81" t="n"/>
      <c r="O1605" s="81" t="n"/>
      <c r="P1605" s="81" t="n"/>
      <c r="Q1605" s="81" t="n"/>
      <c r="R1605" s="81" t="n"/>
      <c r="S1605" s="81" t="n"/>
      <c r="T1605" s="81" t="n"/>
      <c r="U1605" s="81" t="n"/>
      <c r="V1605" s="81" t="n"/>
      <c r="W1605" s="43" t="n"/>
    </row>
    <row r="1606">
      <c r="A1606" s="43" t="inlineStr">
        <is>
          <t>N15</t>
        </is>
      </c>
      <c r="B1606" s="43" t="inlineStr"/>
      <c r="C1606" s="43" t="inlineStr">
        <is>
          <t>节段01</t>
        </is>
      </c>
      <c r="D1606" s="43" t="inlineStr">
        <is>
          <t>Q355D</t>
        </is>
      </c>
      <c r="E1606" s="43" t="n">
        <v>1580</v>
      </c>
      <c r="F1606" s="43" t="n">
        <v>1200</v>
      </c>
      <c r="G1606" s="43" t="n">
        <v>16</v>
      </c>
      <c r="H1606" s="79">
        <f>(E1606/1000)*(F1606/1000)*(G1606/1000)*7850</f>
        <v/>
      </c>
      <c r="I1606" s="43" t="n">
        <v>3</v>
      </c>
      <c r="J1606" s="80">
        <f>H1606*I1606</f>
        <v/>
      </c>
      <c r="K1606" s="43" t="inlineStr">
        <is>
          <t>来源页142</t>
        </is>
      </c>
      <c r="L1606" s="43">
        <f>A1606</f>
        <v/>
      </c>
      <c r="M1606" s="81" t="n"/>
      <c r="N1606" s="81" t="n"/>
      <c r="O1606" s="81" t="n"/>
      <c r="P1606" s="81" t="n"/>
      <c r="Q1606" s="81" t="n"/>
      <c r="R1606" s="81" t="n"/>
      <c r="S1606" s="81" t="n"/>
      <c r="T1606" s="81" t="n"/>
      <c r="U1606" s="81" t="n"/>
      <c r="V1606" s="81" t="n"/>
      <c r="W1606" s="43" t="n"/>
    </row>
    <row r="1607">
      <c r="A1607" s="43" t="inlineStr">
        <is>
          <t>N15a</t>
        </is>
      </c>
      <c r="B1607" s="43" t="inlineStr"/>
      <c r="C1607" s="43" t="inlineStr">
        <is>
          <t>节段01</t>
        </is>
      </c>
      <c r="D1607" s="43" t="inlineStr">
        <is>
          <t>Q355D</t>
        </is>
      </c>
      <c r="E1607" s="43" t="n">
        <v>1580</v>
      </c>
      <c r="F1607" s="43" t="n">
        <v>1200</v>
      </c>
      <c r="G1607" s="43" t="n">
        <v>16</v>
      </c>
      <c r="H1607" s="79">
        <f>(E1607/1000)*(F1607/1000)*(G1607/1000)*7850</f>
        <v/>
      </c>
      <c r="I1607" s="43" t="n">
        <v>3</v>
      </c>
      <c r="J1607" s="80">
        <f>H1607*I1607</f>
        <v/>
      </c>
      <c r="K1607" s="43" t="inlineStr">
        <is>
          <t>来源页142</t>
        </is>
      </c>
      <c r="L1607" s="43">
        <f>A1607</f>
        <v/>
      </c>
      <c r="M1607" s="81" t="n"/>
      <c r="N1607" s="81" t="n"/>
      <c r="O1607" s="81" t="n"/>
      <c r="P1607" s="81" t="n"/>
      <c r="Q1607" s="81" t="n"/>
      <c r="R1607" s="81" t="n"/>
      <c r="S1607" s="81" t="n"/>
      <c r="T1607" s="81" t="n"/>
      <c r="U1607" s="81" t="n"/>
      <c r="V1607" s="81" t="n"/>
      <c r="W1607" s="43" t="n"/>
    </row>
    <row r="1608">
      <c r="A1608" s="43" t="inlineStr">
        <is>
          <t>N15‘</t>
        </is>
      </c>
      <c r="B1608" s="43" t="inlineStr"/>
      <c r="C1608" s="43" t="inlineStr">
        <is>
          <t>节段01</t>
        </is>
      </c>
      <c r="D1608" s="43" t="inlineStr">
        <is>
          <t>Q355D</t>
        </is>
      </c>
      <c r="E1608" s="43" t="n">
        <v>2057</v>
      </c>
      <c r="F1608" s="43" t="n">
        <v>200</v>
      </c>
      <c r="G1608" s="43" t="n">
        <v>16</v>
      </c>
      <c r="H1608" s="79">
        <f>(E1608/1000)*(F1608/1000)*(G1608/1000)*7850</f>
        <v/>
      </c>
      <c r="I1608" s="43" t="n">
        <v>4</v>
      </c>
      <c r="J1608" s="80">
        <f>H1608*I1608</f>
        <v/>
      </c>
      <c r="K1608" s="43" t="inlineStr">
        <is>
          <t>来源页142</t>
        </is>
      </c>
      <c r="L1608" s="43">
        <f>A1608</f>
        <v/>
      </c>
      <c r="M1608" s="81" t="n"/>
      <c r="N1608" s="81" t="n"/>
      <c r="O1608" s="81" t="n"/>
      <c r="P1608" s="81" t="n"/>
      <c r="Q1608" s="81" t="n"/>
      <c r="R1608" s="81" t="n"/>
      <c r="S1608" s="81" t="n"/>
      <c r="T1608" s="81" t="n"/>
      <c r="U1608" s="81" t="n"/>
      <c r="V1608" s="81" t="n"/>
      <c r="W1608" s="43" t="n"/>
    </row>
    <row r="1609">
      <c r="A1609" s="43" t="inlineStr">
        <is>
          <t>N15b</t>
        </is>
      </c>
      <c r="B1609" s="43" t="inlineStr"/>
      <c r="C1609" s="43" t="inlineStr">
        <is>
          <t>节段01</t>
        </is>
      </c>
      <c r="D1609" s="43" t="inlineStr">
        <is>
          <t>Q355D</t>
        </is>
      </c>
      <c r="E1609" s="43" t="n">
        <v>1782</v>
      </c>
      <c r="F1609" s="43" t="n">
        <v>40</v>
      </c>
      <c r="G1609" s="43" t="n">
        <v>4</v>
      </c>
      <c r="H1609" s="79">
        <f>(E1609/1000)*(F1609/1000)*(G1609/1000)*7850</f>
        <v/>
      </c>
      <c r="I1609" s="43" t="n">
        <v>4</v>
      </c>
      <c r="J1609" s="80">
        <f>H1609*I1609</f>
        <v/>
      </c>
      <c r="K1609" s="43" t="inlineStr">
        <is>
          <t>来源页142</t>
        </is>
      </c>
      <c r="L1609" s="43">
        <f>A1609</f>
        <v/>
      </c>
      <c r="M1609" s="81" t="n"/>
      <c r="N1609" s="81" t="n"/>
      <c r="O1609" s="81" t="n"/>
      <c r="P1609" s="81" t="n"/>
      <c r="Q1609" s="81" t="n"/>
      <c r="R1609" s="81" t="n"/>
      <c r="S1609" s="81" t="n"/>
      <c r="T1609" s="81" t="n"/>
      <c r="U1609" s="81" t="n"/>
      <c r="V1609" s="81" t="n"/>
      <c r="W1609" s="43" t="n"/>
    </row>
    <row r="1610">
      <c r="A1610" s="43" t="inlineStr">
        <is>
          <t>N15c</t>
        </is>
      </c>
      <c r="B1610" s="43" t="inlineStr"/>
      <c r="C1610" s="43" t="inlineStr">
        <is>
          <t>节段01</t>
        </is>
      </c>
      <c r="D1610" s="43" t="inlineStr">
        <is>
          <t>Q355D</t>
        </is>
      </c>
      <c r="E1610" s="43" t="n">
        <v>600</v>
      </c>
      <c r="F1610" s="43" t="n">
        <v>400</v>
      </c>
      <c r="G1610" s="43" t="n">
        <v>16</v>
      </c>
      <c r="H1610" s="79">
        <f>(E1610/1000)*(F1610/1000)*(G1610/1000)*7850</f>
        <v/>
      </c>
      <c r="I1610" s="43" t="n">
        <v>4</v>
      </c>
      <c r="J1610" s="80">
        <f>H1610*I1610</f>
        <v/>
      </c>
      <c r="K1610" s="43" t="inlineStr">
        <is>
          <t>来源页142</t>
        </is>
      </c>
      <c r="L1610" s="43">
        <f>A1610</f>
        <v/>
      </c>
      <c r="M1610" s="81" t="n"/>
      <c r="N1610" s="81" t="n"/>
      <c r="O1610" s="81" t="n"/>
      <c r="P1610" s="81" t="n"/>
      <c r="Q1610" s="81" t="n"/>
      <c r="R1610" s="81" t="n"/>
      <c r="S1610" s="81" t="n"/>
      <c r="T1610" s="81" t="n"/>
      <c r="U1610" s="81" t="n"/>
      <c r="V1610" s="81" t="n"/>
      <c r="W1610" s="43" t="n"/>
    </row>
    <row r="1611">
      <c r="A1611" s="43" t="inlineStr">
        <is>
          <t>N16a</t>
        </is>
      </c>
      <c r="B1611" s="43" t="inlineStr"/>
      <c r="C1611" s="43" t="inlineStr">
        <is>
          <t>节段01</t>
        </is>
      </c>
      <c r="D1611" s="43" t="inlineStr">
        <is>
          <t>Q355D</t>
        </is>
      </c>
      <c r="E1611" s="43" t="n">
        <v>5651</v>
      </c>
      <c r="F1611" s="43" t="n">
        <v>240</v>
      </c>
      <c r="G1611" s="43" t="n">
        <v>20</v>
      </c>
      <c r="H1611" s="79">
        <f>(E1611/1000)*(F1611/1000)*(G1611/1000)*7850</f>
        <v/>
      </c>
      <c r="I1611" s="43" t="n">
        <v>4</v>
      </c>
      <c r="J1611" s="80">
        <f>H1611*I1611</f>
        <v/>
      </c>
      <c r="K1611" s="43" t="inlineStr">
        <is>
          <t>来源页142</t>
        </is>
      </c>
      <c r="L1611" s="43">
        <f>A1611</f>
        <v/>
      </c>
      <c r="M1611" s="81" t="n"/>
      <c r="N1611" s="81" t="n"/>
      <c r="O1611" s="81" t="n"/>
      <c r="P1611" s="81" t="n"/>
      <c r="Q1611" s="81" t="n"/>
      <c r="R1611" s="81" t="n"/>
      <c r="S1611" s="81" t="n"/>
      <c r="T1611" s="81" t="n"/>
      <c r="U1611" s="81" t="n"/>
      <c r="V1611" s="81" t="n"/>
      <c r="W1611" s="43" t="n"/>
    </row>
    <row r="1612">
      <c r="A1612" s="43" t="inlineStr">
        <is>
          <t>N16b</t>
        </is>
      </c>
      <c r="B1612" s="43" t="inlineStr"/>
      <c r="C1612" s="43" t="inlineStr">
        <is>
          <t>节段01</t>
        </is>
      </c>
      <c r="D1612" s="43" t="inlineStr">
        <is>
          <t>Q355D</t>
        </is>
      </c>
      <c r="E1612" s="43" t="n">
        <v>10351</v>
      </c>
      <c r="F1612" s="43" t="n">
        <v>240</v>
      </c>
      <c r="G1612" s="43" t="n">
        <v>20</v>
      </c>
      <c r="H1612" s="79">
        <f>(E1612/1000)*(F1612/1000)*(G1612/1000)*7850</f>
        <v/>
      </c>
      <c r="I1612" s="43" t="n">
        <v>0</v>
      </c>
      <c r="J1612" s="80">
        <f>H1612*I1612</f>
        <v/>
      </c>
      <c r="K1612" s="43" t="inlineStr">
        <is>
          <t>来源页142</t>
        </is>
      </c>
      <c r="L1612" s="43">
        <f>A1612</f>
        <v/>
      </c>
      <c r="M1612" s="81" t="n"/>
      <c r="N1612" s="81" t="n"/>
      <c r="O1612" s="81" t="n"/>
      <c r="P1612" s="81" t="n"/>
      <c r="Q1612" s="81" t="n"/>
      <c r="R1612" s="81" t="n"/>
      <c r="S1612" s="81" t="n"/>
      <c r="T1612" s="81" t="n"/>
      <c r="U1612" s="81" t="n"/>
      <c r="V1612" s="81" t="n"/>
      <c r="W1612" s="43" t="n"/>
    </row>
    <row r="1613">
      <c r="A1613" s="43" t="inlineStr">
        <is>
          <t>N16b</t>
        </is>
      </c>
      <c r="B1613" s="43" t="inlineStr"/>
      <c r="C1613" s="43" t="inlineStr">
        <is>
          <t>节段01</t>
        </is>
      </c>
      <c r="D1613" s="43" t="inlineStr">
        <is>
          <t>Q355D</t>
        </is>
      </c>
      <c r="E1613" s="43" t="n">
        <v>7650</v>
      </c>
      <c r="F1613" s="43" t="n">
        <v>240</v>
      </c>
      <c r="G1613" s="43" t="n">
        <v>20</v>
      </c>
      <c r="H1613" s="79">
        <f>(E1613/1000)*(F1613/1000)*(G1613/1000)*7850</f>
        <v/>
      </c>
      <c r="I1613" s="43" t="n">
        <v>4</v>
      </c>
      <c r="J1613" s="80">
        <f>H1613*I1613</f>
        <v/>
      </c>
      <c r="K1613" s="43" t="inlineStr">
        <is>
          <t>来源页142</t>
        </is>
      </c>
      <c r="L1613" s="43">
        <f>A1613</f>
        <v/>
      </c>
      <c r="M1613" s="81" t="n"/>
      <c r="N1613" s="81" t="n"/>
      <c r="O1613" s="81" t="n"/>
      <c r="P1613" s="81" t="n"/>
      <c r="Q1613" s="81" t="n"/>
      <c r="R1613" s="81" t="n"/>
      <c r="S1613" s="81" t="n"/>
      <c r="T1613" s="81" t="n"/>
      <c r="U1613" s="81" t="n"/>
      <c r="V1613" s="81" t="n"/>
      <c r="W1613" s="43" t="n"/>
    </row>
    <row r="1614">
      <c r="A1614" s="43" t="inlineStr">
        <is>
          <t>N16c</t>
        </is>
      </c>
      <c r="B1614" s="43" t="inlineStr"/>
      <c r="C1614" s="43" t="inlineStr">
        <is>
          <t>节段01</t>
        </is>
      </c>
      <c r="D1614" s="43" t="inlineStr">
        <is>
          <t>Q355D</t>
        </is>
      </c>
      <c r="E1614" s="43" t="n">
        <v>13300</v>
      </c>
      <c r="F1614" s="43" t="n">
        <v>240</v>
      </c>
      <c r="G1614" s="43" t="n">
        <v>20</v>
      </c>
      <c r="H1614" s="79">
        <f>(E1614/1000)*(F1614/1000)*(G1614/1000)*7850</f>
        <v/>
      </c>
      <c r="I1614" s="43" t="n">
        <v>1</v>
      </c>
      <c r="J1614" s="80">
        <f>H1614*I1614</f>
        <v/>
      </c>
      <c r="K1614" s="43" t="inlineStr">
        <is>
          <t>来源页142</t>
        </is>
      </c>
      <c r="L1614" s="43">
        <f>A1614</f>
        <v/>
      </c>
      <c r="M1614" s="81" t="n"/>
      <c r="N1614" s="81" t="n"/>
      <c r="O1614" s="81" t="n"/>
      <c r="P1614" s="81" t="n"/>
      <c r="Q1614" s="81" t="n"/>
      <c r="R1614" s="81" t="n"/>
      <c r="S1614" s="81" t="n"/>
      <c r="T1614" s="81" t="n"/>
      <c r="U1614" s="81" t="n"/>
      <c r="V1614" s="81" t="n"/>
      <c r="W1614" s="43" t="n"/>
    </row>
    <row r="1615">
      <c r="A1615" s="43" t="inlineStr">
        <is>
          <t>N16d</t>
        </is>
      </c>
      <c r="B1615" s="43" t="inlineStr"/>
      <c r="C1615" s="43" t="inlineStr">
        <is>
          <t>节段01</t>
        </is>
      </c>
      <c r="D1615" s="43" t="inlineStr">
        <is>
          <t>Q355D</t>
        </is>
      </c>
      <c r="E1615" s="43" t="n">
        <v>13300</v>
      </c>
      <c r="F1615" s="43" t="n">
        <v>240</v>
      </c>
      <c r="G1615" s="43" t="n">
        <v>20</v>
      </c>
      <c r="H1615" s="79">
        <f>(E1615/1000)*(F1615/1000)*(G1615/1000)*7850</f>
        <v/>
      </c>
      <c r="I1615" s="43" t="n">
        <v>1</v>
      </c>
      <c r="J1615" s="80">
        <f>H1615*I1615</f>
        <v/>
      </c>
      <c r="K1615" s="43" t="inlineStr">
        <is>
          <t>来源页142</t>
        </is>
      </c>
      <c r="L1615" s="43">
        <f>A1615</f>
        <v/>
      </c>
      <c r="M1615" s="81" t="n"/>
      <c r="N1615" s="81" t="n"/>
      <c r="O1615" s="81" t="n"/>
      <c r="P1615" s="81" t="n"/>
      <c r="Q1615" s="81" t="n"/>
      <c r="R1615" s="81" t="n"/>
      <c r="S1615" s="81" t="n"/>
      <c r="T1615" s="81" t="n"/>
      <c r="U1615" s="81" t="n"/>
      <c r="V1615" s="81" t="n"/>
      <c r="W1615" s="43" t="n"/>
    </row>
    <row r="1616">
      <c r="A1616" s="43" t="inlineStr">
        <is>
          <t>N21</t>
        </is>
      </c>
      <c r="B1616" s="43" t="inlineStr"/>
      <c r="C1616" s="43" t="inlineStr">
        <is>
          <t>节段01</t>
        </is>
      </c>
      <c r="D1616" s="43" t="inlineStr">
        <is>
          <t>Q355D</t>
        </is>
      </c>
      <c r="E1616" s="43" t="n">
        <v>4790</v>
      </c>
      <c r="F1616" s="43" t="n">
        <v>1850</v>
      </c>
      <c r="G1616" s="43" t="n">
        <v>20</v>
      </c>
      <c r="H1616" s="79">
        <f>(E1616/1000)*(F1616/1000)*(G1616/1000)*7850</f>
        <v/>
      </c>
      <c r="I1616" s="43" t="n">
        <v>1</v>
      </c>
      <c r="J1616" s="80">
        <f>H1616*I1616</f>
        <v/>
      </c>
      <c r="K1616" s="43" t="inlineStr">
        <is>
          <t>来源页142</t>
        </is>
      </c>
      <c r="L1616" s="43">
        <f>A1616</f>
        <v/>
      </c>
      <c r="M1616" s="81" t="n"/>
      <c r="N1616" s="81" t="n"/>
      <c r="O1616" s="81" t="n"/>
      <c r="P1616" s="81" t="n"/>
      <c r="Q1616" s="81" t="n"/>
      <c r="R1616" s="81" t="n"/>
      <c r="S1616" s="81" t="n"/>
      <c r="T1616" s="81" t="n"/>
      <c r="U1616" s="81" t="n"/>
      <c r="V1616" s="81" t="n"/>
      <c r="W1616" s="43" t="n"/>
    </row>
    <row r="1617">
      <c r="A1617" s="43" t="inlineStr">
        <is>
          <t>N21a</t>
        </is>
      </c>
      <c r="B1617" s="43" t="inlineStr"/>
      <c r="C1617" s="43" t="inlineStr">
        <is>
          <t>节段01</t>
        </is>
      </c>
      <c r="D1617" s="43" t="inlineStr">
        <is>
          <t>Q355D</t>
        </is>
      </c>
      <c r="E1617" s="43" t="n">
        <v>10105</v>
      </c>
      <c r="F1617" s="43" t="n">
        <v>1850</v>
      </c>
      <c r="G1617" s="43" t="n">
        <v>20</v>
      </c>
      <c r="H1617" s="79">
        <f>(E1617/1000)*(F1617/1000)*(G1617/1000)*7850</f>
        <v/>
      </c>
      <c r="I1617" s="43" t="n">
        <v>1</v>
      </c>
      <c r="J1617" s="80">
        <f>H1617*I1617</f>
        <v/>
      </c>
      <c r="K1617" s="43" t="inlineStr">
        <is>
          <t>来源页142</t>
        </is>
      </c>
      <c r="L1617" s="43">
        <f>A1617</f>
        <v/>
      </c>
      <c r="M1617" s="81" t="n"/>
      <c r="N1617" s="81" t="n"/>
      <c r="O1617" s="81" t="n"/>
      <c r="P1617" s="81" t="n"/>
      <c r="Q1617" s="81" t="n"/>
      <c r="R1617" s="81" t="n"/>
      <c r="S1617" s="81" t="n"/>
      <c r="T1617" s="81" t="n"/>
      <c r="U1617" s="81" t="n"/>
      <c r="V1617" s="81" t="n"/>
      <c r="W1617" s="43" t="n"/>
    </row>
    <row r="1618">
      <c r="A1618" s="43" t="inlineStr">
        <is>
          <t>N22</t>
        </is>
      </c>
      <c r="B1618" s="43" t="inlineStr"/>
      <c r="C1618" s="43" t="inlineStr">
        <is>
          <t>节段01</t>
        </is>
      </c>
      <c r="D1618" s="43" t="inlineStr">
        <is>
          <t>Q355D</t>
        </is>
      </c>
      <c r="E1618" s="43" t="n"/>
      <c r="F1618" s="43" t="n"/>
      <c r="G1618" s="43" t="n">
        <v>36</v>
      </c>
      <c r="H1618" s="79">
        <f>(E1618/1000)*(F1618/1000)*(G1618/1000)*7850</f>
        <v/>
      </c>
      <c r="I1618" s="43" t="n">
        <v>1</v>
      </c>
      <c r="J1618" s="80">
        <f>H1618*I1618</f>
        <v/>
      </c>
      <c r="K1618" s="43" t="inlineStr">
        <is>
          <t>来源页142</t>
        </is>
      </c>
      <c r="L1618" s="43">
        <f>A1618</f>
        <v/>
      </c>
      <c r="M1618" s="81" t="n"/>
      <c r="N1618" s="81" t="n"/>
      <c r="O1618" s="81" t="n"/>
      <c r="P1618" s="81" t="n"/>
      <c r="Q1618" s="81" t="n"/>
      <c r="R1618" s="81" t="n"/>
      <c r="S1618" s="81" t="n"/>
      <c r="T1618" s="81" t="n"/>
      <c r="U1618" s="81" t="n"/>
      <c r="V1618" s="81" t="n"/>
      <c r="W1618" s="43" t="n"/>
    </row>
    <row r="1619">
      <c r="A1619" s="43" t="inlineStr">
        <is>
          <t>N22a</t>
        </is>
      </c>
      <c r="B1619" s="43" t="inlineStr"/>
      <c r="C1619" s="43" t="inlineStr">
        <is>
          <t>节段01</t>
        </is>
      </c>
      <c r="D1619" s="43" t="inlineStr">
        <is>
          <t>Q355D</t>
        </is>
      </c>
      <c r="E1619" s="43" t="n"/>
      <c r="F1619" s="43" t="n"/>
      <c r="G1619" s="43" t="n">
        <v>24</v>
      </c>
      <c r="H1619" s="79">
        <f>(E1619/1000)*(F1619/1000)*(G1619/1000)*7850</f>
        <v/>
      </c>
      <c r="I1619" s="43" t="n">
        <v>1</v>
      </c>
      <c r="J1619" s="80">
        <f>H1619*I1619</f>
        <v/>
      </c>
      <c r="K1619" s="43" t="inlineStr">
        <is>
          <t>来源页142</t>
        </is>
      </c>
      <c r="L1619" s="43">
        <f>A1619</f>
        <v/>
      </c>
      <c r="M1619" s="81" t="n"/>
      <c r="N1619" s="81" t="n"/>
      <c r="O1619" s="81" t="n"/>
      <c r="P1619" s="81" t="n"/>
      <c r="Q1619" s="81" t="n"/>
      <c r="R1619" s="81" t="n"/>
      <c r="S1619" s="81" t="n"/>
      <c r="T1619" s="81" t="n"/>
      <c r="U1619" s="81" t="n"/>
      <c r="V1619" s="81" t="n"/>
      <c r="W1619" s="43" t="n"/>
    </row>
    <row r="1620">
      <c r="A1620" s="43" t="inlineStr">
        <is>
          <t>N23</t>
        </is>
      </c>
      <c r="B1620" s="43" t="inlineStr"/>
      <c r="C1620" s="43" t="inlineStr">
        <is>
          <t>节段01</t>
        </is>
      </c>
      <c r="D1620" s="43" t="inlineStr">
        <is>
          <t>Q355D</t>
        </is>
      </c>
      <c r="E1620" s="43" t="n">
        <v>10105</v>
      </c>
      <c r="F1620" s="43" t="n">
        <v>1530</v>
      </c>
      <c r="G1620" s="43" t="n">
        <v>24</v>
      </c>
      <c r="H1620" s="79">
        <f>(E1620/1000)*(F1620/1000)*(G1620/1000)*7850</f>
        <v/>
      </c>
      <c r="I1620" s="43" t="n">
        <v>2</v>
      </c>
      <c r="J1620" s="80">
        <f>H1620*I1620</f>
        <v/>
      </c>
      <c r="K1620" s="43" t="inlineStr">
        <is>
          <t>来源页142</t>
        </is>
      </c>
      <c r="L1620" s="43">
        <f>A1620</f>
        <v/>
      </c>
      <c r="M1620" s="81" t="n"/>
      <c r="N1620" s="81" t="n"/>
      <c r="O1620" s="81" t="n"/>
      <c r="P1620" s="81" t="n"/>
      <c r="Q1620" s="81" t="n"/>
      <c r="R1620" s="81" t="n"/>
      <c r="S1620" s="81" t="n"/>
      <c r="T1620" s="81" t="n"/>
      <c r="U1620" s="81" t="n"/>
      <c r="V1620" s="81" t="n"/>
      <c r="W1620" s="43" t="n"/>
    </row>
    <row r="1621">
      <c r="A1621" s="43" t="inlineStr">
        <is>
          <t>N24</t>
        </is>
      </c>
      <c r="B1621" s="43" t="inlineStr"/>
      <c r="C1621" s="43" t="inlineStr">
        <is>
          <t>节段01</t>
        </is>
      </c>
      <c r="D1621" s="43" t="inlineStr">
        <is>
          <t>Q355D</t>
        </is>
      </c>
      <c r="E1621" s="43" t="n"/>
      <c r="F1621" s="43" t="n"/>
      <c r="G1621" s="43" t="n">
        <v>40</v>
      </c>
      <c r="H1621" s="79">
        <f>(E1621/1000)*(F1621/1000)*(G1621/1000)*7850</f>
        <v/>
      </c>
      <c r="I1621" s="43" t="n">
        <v>2</v>
      </c>
      <c r="J1621" s="80">
        <f>H1621*I1621</f>
        <v/>
      </c>
      <c r="K1621" s="43" t="inlineStr">
        <is>
          <t>Z35钢；来源页142</t>
        </is>
      </c>
      <c r="L1621" s="43">
        <f>A1621</f>
        <v/>
      </c>
      <c r="M1621" s="81" t="n"/>
      <c r="N1621" s="81" t="n"/>
      <c r="O1621" s="81" t="n"/>
      <c r="P1621" s="81" t="n"/>
      <c r="Q1621" s="81" t="n"/>
      <c r="R1621" s="81" t="n"/>
      <c r="S1621" s="81" t="n"/>
      <c r="T1621" s="81" t="n"/>
      <c r="U1621" s="81" t="n"/>
      <c r="V1621" s="81" t="n"/>
      <c r="W1621" s="43" t="n"/>
    </row>
    <row r="1622">
      <c r="A1622" s="43" t="inlineStr">
        <is>
          <t>N25</t>
        </is>
      </c>
      <c r="B1622" s="43" t="inlineStr"/>
      <c r="C1622" s="43" t="inlineStr">
        <is>
          <t>节段01</t>
        </is>
      </c>
      <c r="D1622" s="43" t="inlineStr">
        <is>
          <t>Q355D</t>
        </is>
      </c>
      <c r="E1622" s="43" t="n">
        <v>1450</v>
      </c>
      <c r="F1622" s="43" t="n">
        <v>1200</v>
      </c>
      <c r="G1622" s="43" t="n">
        <v>16</v>
      </c>
      <c r="H1622" s="79">
        <f>(E1622/1000)*(F1622/1000)*(G1622/1000)*7850</f>
        <v/>
      </c>
      <c r="I1622" s="43" t="n">
        <v>1</v>
      </c>
      <c r="J1622" s="80">
        <f>H1622*I1622</f>
        <v/>
      </c>
      <c r="K1622" s="43" t="inlineStr">
        <is>
          <t>来源页142</t>
        </is>
      </c>
      <c r="L1622" s="43">
        <f>A1622</f>
        <v/>
      </c>
      <c r="M1622" s="81" t="n"/>
      <c r="N1622" s="81" t="n"/>
      <c r="O1622" s="81" t="n"/>
      <c r="P1622" s="81" t="n"/>
      <c r="Q1622" s="81" t="n"/>
      <c r="R1622" s="81" t="n"/>
      <c r="S1622" s="81" t="n"/>
      <c r="T1622" s="81" t="n"/>
      <c r="U1622" s="81" t="n"/>
      <c r="V1622" s="81" t="n"/>
      <c r="W1622" s="43" t="n"/>
    </row>
    <row r="1623">
      <c r="A1623" s="43" t="inlineStr">
        <is>
          <t>N25'</t>
        </is>
      </c>
      <c r="B1623" s="43" t="inlineStr"/>
      <c r="C1623" s="43" t="inlineStr">
        <is>
          <t>节段01</t>
        </is>
      </c>
      <c r="D1623" s="43" t="inlineStr">
        <is>
          <t>Q355D</t>
        </is>
      </c>
      <c r="E1623" s="43" t="n">
        <v>2057</v>
      </c>
      <c r="F1623" s="43" t="n">
        <v>200</v>
      </c>
      <c r="G1623" s="43" t="n">
        <v>16</v>
      </c>
      <c r="H1623" s="79">
        <f>(E1623/1000)*(F1623/1000)*(G1623/1000)*7850</f>
        <v/>
      </c>
      <c r="I1623" s="43" t="n">
        <v>2</v>
      </c>
      <c r="J1623" s="80">
        <f>H1623*I1623</f>
        <v/>
      </c>
      <c r="K1623" s="43" t="inlineStr">
        <is>
          <t>来源页142</t>
        </is>
      </c>
      <c r="L1623" s="43">
        <f>A1623</f>
        <v/>
      </c>
      <c r="M1623" s="81" t="n"/>
      <c r="N1623" s="81" t="n"/>
      <c r="O1623" s="81" t="n"/>
      <c r="P1623" s="81" t="n"/>
      <c r="Q1623" s="81" t="n"/>
      <c r="R1623" s="81" t="n"/>
      <c r="S1623" s="81" t="n"/>
      <c r="T1623" s="81" t="n"/>
      <c r="U1623" s="81" t="n"/>
      <c r="V1623" s="81" t="n"/>
      <c r="W1623" s="43" t="n"/>
    </row>
    <row r="1624">
      <c r="A1624" s="43" t="inlineStr">
        <is>
          <t>N25a</t>
        </is>
      </c>
      <c r="B1624" s="43" t="inlineStr"/>
      <c r="C1624" s="43" t="inlineStr">
        <is>
          <t>节段01</t>
        </is>
      </c>
      <c r="D1624" s="43" t="inlineStr">
        <is>
          <t>Q355D</t>
        </is>
      </c>
      <c r="E1624" s="43" t="n">
        <v>1450</v>
      </c>
      <c r="F1624" s="43" t="n">
        <v>1200</v>
      </c>
      <c r="G1624" s="43" t="n">
        <v>16</v>
      </c>
      <c r="H1624" s="79">
        <f>(E1624/1000)*(F1624/1000)*(G1624/1000)*7850</f>
        <v/>
      </c>
      <c r="I1624" s="43" t="n">
        <v>3</v>
      </c>
      <c r="J1624" s="80">
        <f>H1624*I1624</f>
        <v/>
      </c>
      <c r="K1624" s="43" t="inlineStr">
        <is>
          <t>来源页142</t>
        </is>
      </c>
      <c r="L1624" s="43">
        <f>A1624</f>
        <v/>
      </c>
      <c r="M1624" s="81" t="n"/>
      <c r="N1624" s="81" t="n"/>
      <c r="O1624" s="81" t="n"/>
      <c r="P1624" s="81" t="n"/>
      <c r="Q1624" s="81" t="n"/>
      <c r="R1624" s="81" t="n"/>
      <c r="S1624" s="81" t="n"/>
      <c r="T1624" s="81" t="n"/>
      <c r="U1624" s="81" t="n"/>
      <c r="V1624" s="81" t="n"/>
      <c r="W1624" s="43" t="n"/>
    </row>
    <row r="1625">
      <c r="A1625" s="43" t="inlineStr">
        <is>
          <t>N26a</t>
        </is>
      </c>
      <c r="B1625" s="43" t="inlineStr"/>
      <c r="C1625" s="43" t="inlineStr">
        <is>
          <t>节段01</t>
        </is>
      </c>
      <c r="D1625" s="43" t="inlineStr">
        <is>
          <t>Q355D</t>
        </is>
      </c>
      <c r="E1625" s="43" t="n">
        <v>2792</v>
      </c>
      <c r="F1625" s="43" t="n">
        <v>240</v>
      </c>
      <c r="G1625" s="43" t="n">
        <v>20</v>
      </c>
      <c r="H1625" s="79">
        <f>(E1625/1000)*(F1625/1000)*(G1625/1000)*7850</f>
        <v/>
      </c>
      <c r="I1625" s="43" t="n">
        <v>2</v>
      </c>
      <c r="J1625" s="80">
        <f>H1625*I1625</f>
        <v/>
      </c>
      <c r="K1625" s="43" t="inlineStr">
        <is>
          <t>来源页142</t>
        </is>
      </c>
      <c r="L1625" s="43">
        <f>A1625</f>
        <v/>
      </c>
      <c r="M1625" s="81" t="n"/>
      <c r="N1625" s="81" t="n"/>
      <c r="O1625" s="81" t="n"/>
      <c r="P1625" s="81" t="n"/>
      <c r="Q1625" s="81" t="n"/>
      <c r="R1625" s="81" t="n"/>
      <c r="S1625" s="81" t="n"/>
      <c r="T1625" s="81" t="n"/>
      <c r="U1625" s="81" t="n"/>
      <c r="V1625" s="81" t="n"/>
      <c r="W1625" s="43" t="n"/>
    </row>
    <row r="1626">
      <c r="A1626" s="43" t="inlineStr">
        <is>
          <t>N26b</t>
        </is>
      </c>
      <c r="B1626" s="43" t="inlineStr"/>
      <c r="C1626" s="43" t="inlineStr">
        <is>
          <t>节段01</t>
        </is>
      </c>
      <c r="D1626" s="43" t="inlineStr">
        <is>
          <t>Q355D</t>
        </is>
      </c>
      <c r="E1626" s="43" t="n">
        <v>10105</v>
      </c>
      <c r="F1626" s="43" t="n">
        <v>240</v>
      </c>
      <c r="G1626" s="43" t="n">
        <v>20</v>
      </c>
      <c r="H1626" s="79">
        <f>(E1626/1000)*(F1626/1000)*(G1626/1000)*7850</f>
        <v/>
      </c>
      <c r="I1626" s="43" t="n">
        <v>2</v>
      </c>
      <c r="J1626" s="80">
        <f>H1626*I1626</f>
        <v/>
      </c>
      <c r="K1626" s="43" t="inlineStr">
        <is>
          <t>来源页142</t>
        </is>
      </c>
      <c r="L1626" s="43">
        <f>A1626</f>
        <v/>
      </c>
      <c r="M1626" s="81" t="n"/>
      <c r="N1626" s="81" t="n"/>
      <c r="O1626" s="81" t="n"/>
      <c r="P1626" s="81" t="n"/>
      <c r="Q1626" s="81" t="n"/>
      <c r="R1626" s="81" t="n"/>
      <c r="S1626" s="81" t="n"/>
      <c r="T1626" s="81" t="n"/>
      <c r="U1626" s="81" t="n"/>
      <c r="V1626" s="81" t="n"/>
      <c r="W1626" s="43" t="n"/>
    </row>
    <row r="1627">
      <c r="A1627" s="43" t="inlineStr">
        <is>
          <t>N26c</t>
        </is>
      </c>
      <c r="B1627" s="43" t="inlineStr"/>
      <c r="C1627" s="43" t="inlineStr">
        <is>
          <t>节段01</t>
        </is>
      </c>
      <c r="D1627" s="43" t="inlineStr">
        <is>
          <t>Q355D</t>
        </is>
      </c>
      <c r="E1627" s="43" t="n">
        <v>12897</v>
      </c>
      <c r="F1627" s="43" t="n">
        <v>240</v>
      </c>
      <c r="G1627" s="43" t="n">
        <v>20</v>
      </c>
      <c r="H1627" s="79">
        <f>(E1627/1000)*(F1627/1000)*(G1627/1000)*7850</f>
        <v/>
      </c>
      <c r="I1627" s="43" t="n">
        <v>1</v>
      </c>
      <c r="J1627" s="80">
        <f>H1627*I1627</f>
        <v/>
      </c>
      <c r="K1627" s="43" t="inlineStr">
        <is>
          <t>来源页142</t>
        </is>
      </c>
      <c r="L1627" s="43">
        <f>A1627</f>
        <v/>
      </c>
      <c r="M1627" s="81" t="n"/>
      <c r="N1627" s="81" t="n"/>
      <c r="O1627" s="81" t="n"/>
      <c r="P1627" s="81" t="n"/>
      <c r="Q1627" s="81" t="n"/>
      <c r="R1627" s="81" t="n"/>
      <c r="S1627" s="81" t="n"/>
      <c r="T1627" s="81" t="n"/>
      <c r="U1627" s="81" t="n"/>
      <c r="V1627" s="81" t="n"/>
      <c r="W1627" s="43" t="n"/>
    </row>
    <row r="1628">
      <c r="A1628" s="43" t="inlineStr">
        <is>
          <t>N26d</t>
        </is>
      </c>
      <c r="B1628" s="43" t="inlineStr"/>
      <c r="C1628" s="43" t="inlineStr">
        <is>
          <t>节段01</t>
        </is>
      </c>
      <c r="D1628" s="43" t="inlineStr">
        <is>
          <t>Q355D</t>
        </is>
      </c>
      <c r="E1628" s="43" t="n">
        <v>10105</v>
      </c>
      <c r="F1628" s="43" t="n">
        <v>240</v>
      </c>
      <c r="G1628" s="43" t="n">
        <v>20</v>
      </c>
      <c r="H1628" s="79">
        <f>(E1628/1000)*(F1628/1000)*(G1628/1000)*7850</f>
        <v/>
      </c>
      <c r="I1628" s="43" t="n">
        <v>1</v>
      </c>
      <c r="J1628" s="80">
        <f>H1628*I1628</f>
        <v/>
      </c>
      <c r="K1628" s="43" t="inlineStr">
        <is>
          <t>来源页142</t>
        </is>
      </c>
      <c r="L1628" s="43">
        <f>A1628</f>
        <v/>
      </c>
      <c r="M1628" s="81" t="n"/>
      <c r="N1628" s="81" t="n"/>
      <c r="O1628" s="81" t="n"/>
      <c r="P1628" s="81" t="n"/>
      <c r="Q1628" s="81" t="n"/>
      <c r="R1628" s="81" t="n"/>
      <c r="S1628" s="81" t="n"/>
      <c r="T1628" s="81" t="n"/>
      <c r="U1628" s="81" t="n"/>
      <c r="V1628" s="81" t="n"/>
      <c r="W1628" s="43" t="n"/>
    </row>
    <row r="1629">
      <c r="A1629" s="43" t="inlineStr">
        <is>
          <t>N26d'</t>
        </is>
      </c>
      <c r="B1629" s="43" t="inlineStr"/>
      <c r="C1629" s="43" t="inlineStr">
        <is>
          <t>节段01</t>
        </is>
      </c>
      <c r="D1629" s="43" t="inlineStr">
        <is>
          <t>Q355D</t>
        </is>
      </c>
      <c r="E1629" s="43" t="n">
        <v>2792</v>
      </c>
      <c r="F1629" s="43" t="n">
        <v>320</v>
      </c>
      <c r="G1629" s="43" t="n">
        <v>32</v>
      </c>
      <c r="H1629" s="79">
        <f>(E1629/1000)*(F1629/1000)*(G1629/1000)*7850</f>
        <v/>
      </c>
      <c r="I1629" s="43" t="n">
        <v>1</v>
      </c>
      <c r="J1629" s="80">
        <f>H1629*I1629</f>
        <v/>
      </c>
      <c r="K1629" s="43" t="inlineStr">
        <is>
          <t>来源页142</t>
        </is>
      </c>
      <c r="L1629" s="43">
        <f>A1629</f>
        <v/>
      </c>
      <c r="M1629" s="81" t="n"/>
      <c r="N1629" s="81" t="n"/>
      <c r="O1629" s="81" t="n"/>
      <c r="P1629" s="81" t="n"/>
      <c r="Q1629" s="81" t="n"/>
      <c r="R1629" s="81" t="n"/>
      <c r="S1629" s="81" t="n"/>
      <c r="T1629" s="81" t="n"/>
      <c r="U1629" s="81" t="n"/>
      <c r="V1629" s="81" t="n"/>
      <c r="W1629" s="43" t="n"/>
    </row>
    <row r="1630">
      <c r="A1630" s="43" t="inlineStr">
        <is>
          <t>N26e</t>
        </is>
      </c>
      <c r="B1630" s="43" t="inlineStr"/>
      <c r="C1630" s="43" t="inlineStr">
        <is>
          <t>节段01</t>
        </is>
      </c>
      <c r="D1630" s="43" t="inlineStr">
        <is>
          <t>Q355D</t>
        </is>
      </c>
      <c r="E1630" s="43" t="n">
        <v>12897</v>
      </c>
      <c r="F1630" s="43" t="n">
        <v>170</v>
      </c>
      <c r="G1630" s="43" t="n">
        <v>14</v>
      </c>
      <c r="H1630" s="79">
        <f>(E1630/1000)*(F1630/1000)*(G1630/1000)*7850</f>
        <v/>
      </c>
      <c r="I1630" s="43" t="n">
        <v>1</v>
      </c>
      <c r="J1630" s="80">
        <f>H1630*I1630</f>
        <v/>
      </c>
      <c r="K1630" s="43" t="inlineStr">
        <is>
          <t>来源页142</t>
        </is>
      </c>
      <c r="L1630" s="43">
        <f>A1630</f>
        <v/>
      </c>
      <c r="M1630" s="81" t="n"/>
      <c r="N1630" s="81" t="n"/>
      <c r="O1630" s="81" t="n"/>
      <c r="P1630" s="81" t="n"/>
      <c r="Q1630" s="81" t="n"/>
      <c r="R1630" s="81" t="n"/>
      <c r="S1630" s="81" t="n"/>
      <c r="T1630" s="81" t="n"/>
      <c r="U1630" s="81" t="n"/>
      <c r="V1630" s="81" t="n"/>
      <c r="W1630" s="43" t="n"/>
    </row>
    <row r="1631">
      <c r="A1631" s="43" t="inlineStr">
        <is>
          <t>N31</t>
        </is>
      </c>
      <c r="B1631" s="43" t="inlineStr"/>
      <c r="C1631" s="43" t="inlineStr">
        <is>
          <t>节段01</t>
        </is>
      </c>
      <c r="D1631" s="43" t="inlineStr">
        <is>
          <t>Q355D</t>
        </is>
      </c>
      <c r="E1631" s="43" t="n">
        <v>14038</v>
      </c>
      <c r="F1631" s="43" t="n">
        <v>1200</v>
      </c>
      <c r="G1631" s="43" t="n">
        <v>36</v>
      </c>
      <c r="H1631" s="79">
        <f>(E1631/1000)*(F1631/1000)*(G1631/1000)*7850</f>
        <v/>
      </c>
      <c r="I1631" s="43" t="n">
        <v>1</v>
      </c>
      <c r="J1631" s="80">
        <f>H1631*I1631</f>
        <v/>
      </c>
      <c r="K1631" s="43" t="inlineStr">
        <is>
          <t>来源页142</t>
        </is>
      </c>
      <c r="L1631" s="43">
        <f>A1631</f>
        <v/>
      </c>
      <c r="M1631" s="81" t="n"/>
      <c r="N1631" s="81" t="n"/>
      <c r="O1631" s="81" t="n"/>
      <c r="P1631" s="81" t="n"/>
      <c r="Q1631" s="81" t="n"/>
      <c r="R1631" s="81" t="n"/>
      <c r="S1631" s="81" t="n"/>
      <c r="T1631" s="81" t="n"/>
      <c r="U1631" s="81" t="n"/>
      <c r="V1631" s="81" t="n"/>
      <c r="W1631" s="43" t="n"/>
    </row>
    <row r="1632">
      <c r="A1632" s="43" t="inlineStr">
        <is>
          <t>N31a</t>
        </is>
      </c>
      <c r="B1632" s="43" t="inlineStr"/>
      <c r="C1632" s="43" t="inlineStr">
        <is>
          <t>节段01</t>
        </is>
      </c>
      <c r="D1632" s="43" t="inlineStr">
        <is>
          <t>Q355D</t>
        </is>
      </c>
      <c r="E1632" s="43" t="n">
        <v>14338</v>
      </c>
      <c r="F1632" s="43" t="n">
        <v>1200</v>
      </c>
      <c r="G1632" s="43" t="n">
        <v>36</v>
      </c>
      <c r="H1632" s="79">
        <f>(E1632/1000)*(F1632/1000)*(G1632/1000)*7850</f>
        <v/>
      </c>
      <c r="I1632" s="43" t="n">
        <v>1</v>
      </c>
      <c r="J1632" s="80">
        <f>H1632*I1632</f>
        <v/>
      </c>
      <c r="K1632" s="43" t="inlineStr">
        <is>
          <t>来源页142</t>
        </is>
      </c>
      <c r="L1632" s="43">
        <f>A1632</f>
        <v/>
      </c>
      <c r="M1632" s="81" t="n"/>
      <c r="N1632" s="81" t="n"/>
      <c r="O1632" s="81" t="n"/>
      <c r="P1632" s="81" t="n"/>
      <c r="Q1632" s="81" t="n"/>
      <c r="R1632" s="81" t="n"/>
      <c r="S1632" s="81" t="n"/>
      <c r="T1632" s="81" t="n"/>
      <c r="U1632" s="81" t="n"/>
      <c r="V1632" s="81" t="n"/>
      <c r="W1632" s="43" t="n"/>
    </row>
    <row r="1633">
      <c r="A1633" s="43" t="inlineStr">
        <is>
          <t>N32</t>
        </is>
      </c>
      <c r="B1633" s="43" t="inlineStr"/>
      <c r="C1633" s="43" t="inlineStr">
        <is>
          <t>节段01</t>
        </is>
      </c>
      <c r="D1633" s="43" t="inlineStr">
        <is>
          <t>Q355D</t>
        </is>
      </c>
      <c r="E1633" s="43" t="n">
        <v>9838</v>
      </c>
      <c r="F1633" s="43" t="n">
        <v>1360</v>
      </c>
      <c r="G1633" s="43" t="n">
        <v>36</v>
      </c>
      <c r="H1633" s="79">
        <f>(E1633/1000)*(F1633/1000)*(G1633/1000)*7850</f>
        <v/>
      </c>
      <c r="I1633" s="43" t="n">
        <v>2</v>
      </c>
      <c r="J1633" s="80">
        <f>H1633*I1633</f>
        <v/>
      </c>
      <c r="K1633" s="43" t="inlineStr">
        <is>
          <t>来源页142</t>
        </is>
      </c>
      <c r="L1633" s="43">
        <f>A1633</f>
        <v/>
      </c>
      <c r="M1633" s="81" t="n"/>
      <c r="N1633" s="81" t="n"/>
      <c r="O1633" s="81" t="n"/>
      <c r="P1633" s="81" t="n"/>
      <c r="Q1633" s="81" t="n"/>
      <c r="R1633" s="81" t="n"/>
      <c r="S1633" s="81" t="n"/>
      <c r="T1633" s="81" t="n"/>
      <c r="U1633" s="81" t="n"/>
      <c r="V1633" s="81" t="n"/>
      <c r="W1633" s="43" t="n"/>
    </row>
    <row r="1634">
      <c r="A1634" s="43" t="inlineStr">
        <is>
          <t>N33</t>
        </is>
      </c>
      <c r="B1634" s="43" t="inlineStr"/>
      <c r="C1634" s="43" t="inlineStr">
        <is>
          <t>节段01</t>
        </is>
      </c>
      <c r="D1634" s="43" t="inlineStr">
        <is>
          <t>Q355D</t>
        </is>
      </c>
      <c r="E1634" s="43" t="n">
        <v>9838</v>
      </c>
      <c r="F1634" s="43" t="n">
        <v>320</v>
      </c>
      <c r="G1634" s="43" t="n">
        <v>32</v>
      </c>
      <c r="H1634" s="79">
        <f>(E1634/1000)*(F1634/1000)*(G1634/1000)*7850</f>
        <v/>
      </c>
      <c r="I1634" s="43" t="n">
        <v>2</v>
      </c>
      <c r="J1634" s="80">
        <f>H1634*I1634</f>
        <v/>
      </c>
      <c r="K1634" s="43" t="inlineStr">
        <is>
          <t>来源页142</t>
        </is>
      </c>
      <c r="L1634" s="43">
        <f>A1634</f>
        <v/>
      </c>
      <c r="M1634" s="81" t="n"/>
      <c r="N1634" s="81" t="n"/>
      <c r="O1634" s="81" t="n"/>
      <c r="P1634" s="81" t="n"/>
      <c r="Q1634" s="81" t="n"/>
      <c r="R1634" s="81" t="n"/>
      <c r="S1634" s="81" t="n"/>
      <c r="T1634" s="81" t="n"/>
      <c r="U1634" s="81" t="n"/>
      <c r="V1634" s="81" t="n"/>
      <c r="W1634" s="43" t="n"/>
    </row>
    <row r="1635">
      <c r="A1635" s="43" t="inlineStr">
        <is>
          <t>N33a</t>
        </is>
      </c>
      <c r="B1635" s="43" t="inlineStr"/>
      <c r="C1635" s="43" t="inlineStr">
        <is>
          <t>节段01</t>
        </is>
      </c>
      <c r="D1635" s="43" t="inlineStr">
        <is>
          <t>Q355D</t>
        </is>
      </c>
      <c r="E1635" s="43" t="n">
        <v>12638</v>
      </c>
      <c r="F1635" s="43" t="n">
        <v>320</v>
      </c>
      <c r="G1635" s="43" t="n">
        <v>32</v>
      </c>
      <c r="H1635" s="79">
        <f>(E1635/1000)*(F1635/1000)*(G1635/1000)*7850</f>
        <v/>
      </c>
      <c r="I1635" s="43" t="n">
        <v>1</v>
      </c>
      <c r="J1635" s="80">
        <f>H1635*I1635</f>
        <v/>
      </c>
      <c r="K1635" s="43" t="inlineStr">
        <is>
          <t>来源页142</t>
        </is>
      </c>
      <c r="L1635" s="43">
        <f>A1635</f>
        <v/>
      </c>
      <c r="M1635" s="81" t="n"/>
      <c r="N1635" s="81" t="n"/>
      <c r="O1635" s="81" t="n"/>
      <c r="P1635" s="81" t="n"/>
      <c r="Q1635" s="81" t="n"/>
      <c r="R1635" s="81" t="n"/>
      <c r="S1635" s="81" t="n"/>
      <c r="T1635" s="81" t="n"/>
      <c r="U1635" s="81" t="n"/>
      <c r="V1635" s="81" t="n"/>
      <c r="W1635" s="43" t="n"/>
    </row>
    <row r="1636">
      <c r="A1636" s="43" t="inlineStr">
        <is>
          <t>N33b</t>
        </is>
      </c>
      <c r="B1636" s="43" t="inlineStr"/>
      <c r="C1636" s="43" t="inlineStr">
        <is>
          <t>节段01</t>
        </is>
      </c>
      <c r="D1636" s="43" t="inlineStr">
        <is>
          <t>Q355D</t>
        </is>
      </c>
      <c r="E1636" s="43" t="n">
        <v>12938</v>
      </c>
      <c r="F1636" s="43" t="n">
        <v>320</v>
      </c>
      <c r="G1636" s="43" t="n">
        <v>32</v>
      </c>
      <c r="H1636" s="79">
        <f>(E1636/1000)*(F1636/1000)*(G1636/1000)*7850</f>
        <v/>
      </c>
      <c r="I1636" s="43" t="n">
        <v>1</v>
      </c>
      <c r="J1636" s="80">
        <f>H1636*I1636</f>
        <v/>
      </c>
      <c r="K1636" s="43" t="inlineStr">
        <is>
          <t>来源页142</t>
        </is>
      </c>
      <c r="L1636" s="43">
        <f>A1636</f>
        <v/>
      </c>
      <c r="M1636" s="81" t="n"/>
      <c r="N1636" s="81" t="n"/>
      <c r="O1636" s="81" t="n"/>
      <c r="P1636" s="81" t="n"/>
      <c r="Q1636" s="81" t="n"/>
      <c r="R1636" s="81" t="n"/>
      <c r="S1636" s="81" t="n"/>
      <c r="T1636" s="81" t="n"/>
      <c r="U1636" s="81" t="n"/>
      <c r="V1636" s="81" t="n"/>
      <c r="W1636" s="43" t="n"/>
    </row>
    <row r="1637">
      <c r="A1637" s="43" t="inlineStr">
        <is>
          <t>N34</t>
        </is>
      </c>
      <c r="B1637" s="43" t="inlineStr"/>
      <c r="C1637" s="43" t="inlineStr">
        <is>
          <t>节段01</t>
        </is>
      </c>
      <c r="D1637" s="43" t="inlineStr">
        <is>
          <t>Q355D</t>
        </is>
      </c>
      <c r="E1637" s="43" t="n">
        <v>1200</v>
      </c>
      <c r="F1637" s="43" t="n">
        <v>1200</v>
      </c>
      <c r="G1637" s="43" t="n">
        <v>16</v>
      </c>
      <c r="H1637" s="79">
        <f>(E1637/1000)*(F1637/1000)*(G1637/1000)*7850</f>
        <v/>
      </c>
      <c r="I1637" s="43" t="n">
        <v>4</v>
      </c>
      <c r="J1637" s="80">
        <f>H1637*I1637</f>
        <v/>
      </c>
      <c r="K1637" s="43" t="inlineStr">
        <is>
          <t>来源页142</t>
        </is>
      </c>
      <c r="L1637" s="43">
        <f>A1637</f>
        <v/>
      </c>
      <c r="M1637" s="81" t="n"/>
      <c r="N1637" s="81" t="n"/>
      <c r="O1637" s="81" t="n"/>
      <c r="P1637" s="81" t="n"/>
      <c r="Q1637" s="81" t="n"/>
      <c r="R1637" s="81" t="n"/>
      <c r="S1637" s="81" t="n"/>
      <c r="T1637" s="81" t="n"/>
      <c r="U1637" s="81" t="n"/>
      <c r="V1637" s="81" t="n"/>
      <c r="W1637" s="43" t="n"/>
    </row>
    <row r="1638">
      <c r="A1638" s="43" t="inlineStr">
        <is>
          <t>N41</t>
        </is>
      </c>
      <c r="B1638" s="43" t="inlineStr"/>
      <c r="C1638" s="43" t="inlineStr">
        <is>
          <t>节段01</t>
        </is>
      </c>
      <c r="D1638" s="43" t="inlineStr">
        <is>
          <t>Q355D</t>
        </is>
      </c>
      <c r="E1638" s="43" t="n">
        <v>6725</v>
      </c>
      <c r="F1638" s="43" t="n">
        <v>1200</v>
      </c>
      <c r="G1638" s="43" t="n">
        <v>36</v>
      </c>
      <c r="H1638" s="79">
        <f>(E1638/1000)*(F1638/1000)*(G1638/1000)*7850</f>
        <v/>
      </c>
      <c r="I1638" s="43" t="n">
        <v>1</v>
      </c>
      <c r="J1638" s="80">
        <f>H1638*I1638</f>
        <v/>
      </c>
      <c r="K1638" s="43" t="inlineStr">
        <is>
          <t>来源页142</t>
        </is>
      </c>
      <c r="L1638" s="43">
        <f>A1638</f>
        <v/>
      </c>
      <c r="M1638" s="81" t="n"/>
      <c r="N1638" s="81" t="n"/>
      <c r="O1638" s="81" t="n"/>
      <c r="P1638" s="81" t="n"/>
      <c r="Q1638" s="81" t="n"/>
      <c r="R1638" s="81" t="n"/>
      <c r="S1638" s="81" t="n"/>
      <c r="T1638" s="81" t="n"/>
      <c r="U1638" s="81" t="n"/>
      <c r="V1638" s="81" t="n"/>
      <c r="W1638" s="43" t="n"/>
    </row>
    <row r="1639">
      <c r="A1639" s="43" t="inlineStr">
        <is>
          <t>N41a</t>
        </is>
      </c>
      <c r="B1639" s="43" t="inlineStr"/>
      <c r="C1639" s="43" t="inlineStr">
        <is>
          <t>节段01</t>
        </is>
      </c>
      <c r="D1639" s="43" t="inlineStr">
        <is>
          <t>Q355D</t>
        </is>
      </c>
      <c r="E1639" s="43" t="n">
        <v>6925</v>
      </c>
      <c r="F1639" s="43" t="n">
        <v>1200</v>
      </c>
      <c r="G1639" s="43" t="n">
        <v>36</v>
      </c>
      <c r="H1639" s="79">
        <f>(E1639/1000)*(F1639/1000)*(G1639/1000)*7850</f>
        <v/>
      </c>
      <c r="I1639" s="43" t="n">
        <v>1</v>
      </c>
      <c r="J1639" s="80">
        <f>H1639*I1639</f>
        <v/>
      </c>
      <c r="K1639" s="43" t="inlineStr">
        <is>
          <t>来源页142</t>
        </is>
      </c>
      <c r="L1639" s="43">
        <f>A1639</f>
        <v/>
      </c>
      <c r="M1639" s="81" t="n"/>
      <c r="N1639" s="81" t="n"/>
      <c r="O1639" s="81" t="n"/>
      <c r="P1639" s="81" t="n"/>
      <c r="Q1639" s="81" t="n"/>
      <c r="R1639" s="81" t="n"/>
      <c r="S1639" s="81" t="n"/>
      <c r="T1639" s="81" t="n"/>
      <c r="U1639" s="81" t="n"/>
      <c r="V1639" s="81" t="n"/>
      <c r="W1639" s="43" t="n"/>
    </row>
    <row r="1640">
      <c r="A1640" s="43" t="inlineStr">
        <is>
          <t>N42</t>
        </is>
      </c>
      <c r="B1640" s="43" t="inlineStr"/>
      <c r="C1640" s="43" t="inlineStr">
        <is>
          <t>节段01</t>
        </is>
      </c>
      <c r="D1640" s="43" t="inlineStr">
        <is>
          <t>Q355D</t>
        </is>
      </c>
      <c r="E1640" s="43" t="n">
        <v>4925</v>
      </c>
      <c r="F1640" s="43" t="n">
        <v>1360</v>
      </c>
      <c r="G1640" s="43" t="n">
        <v>36</v>
      </c>
      <c r="H1640" s="79">
        <f>(E1640/1000)*(F1640/1000)*(G1640/1000)*7850</f>
        <v/>
      </c>
      <c r="I1640" s="43" t="n">
        <v>2</v>
      </c>
      <c r="J1640" s="80">
        <f>H1640*I1640</f>
        <v/>
      </c>
      <c r="K1640" s="43" t="inlineStr">
        <is>
          <t>来源页142</t>
        </is>
      </c>
      <c r="L1640" s="43">
        <f>A1640</f>
        <v/>
      </c>
      <c r="M1640" s="81" t="n"/>
      <c r="N1640" s="81" t="n"/>
      <c r="O1640" s="81" t="n"/>
      <c r="P1640" s="81" t="n"/>
      <c r="Q1640" s="81" t="n"/>
      <c r="R1640" s="81" t="n"/>
      <c r="S1640" s="81" t="n"/>
      <c r="T1640" s="81" t="n"/>
      <c r="U1640" s="81" t="n"/>
      <c r="V1640" s="81" t="n"/>
      <c r="W1640" s="43" t="n"/>
    </row>
    <row r="1641">
      <c r="A1641" s="43" t="inlineStr">
        <is>
          <t>N43</t>
        </is>
      </c>
      <c r="B1641" s="43" t="inlineStr"/>
      <c r="C1641" s="43" t="inlineStr">
        <is>
          <t>节段01</t>
        </is>
      </c>
      <c r="D1641" s="43" t="inlineStr">
        <is>
          <t>Q355D</t>
        </is>
      </c>
      <c r="E1641" s="43" t="n">
        <v>4925</v>
      </c>
      <c r="F1641" s="43" t="n">
        <v>320</v>
      </c>
      <c r="G1641" s="43" t="n">
        <v>32</v>
      </c>
      <c r="H1641" s="79">
        <f>(E1641/1000)*(F1641/1000)*(G1641/1000)*7850</f>
        <v/>
      </c>
      <c r="I1641" s="43" t="n">
        <v>2</v>
      </c>
      <c r="J1641" s="80">
        <f>H1641*I1641</f>
        <v/>
      </c>
      <c r="K1641" s="43" t="inlineStr">
        <is>
          <t>来源页142</t>
        </is>
      </c>
      <c r="L1641" s="43">
        <f>A1641</f>
        <v/>
      </c>
      <c r="M1641" s="81" t="n"/>
      <c r="N1641" s="81" t="n"/>
      <c r="O1641" s="81" t="n"/>
      <c r="P1641" s="81" t="n"/>
      <c r="Q1641" s="81" t="n"/>
      <c r="R1641" s="81" t="n"/>
      <c r="S1641" s="81" t="n"/>
      <c r="T1641" s="81" t="n"/>
      <c r="U1641" s="81" t="n"/>
      <c r="V1641" s="81" t="n"/>
      <c r="W1641" s="43" t="n"/>
    </row>
    <row r="1642">
      <c r="A1642" s="43" t="inlineStr">
        <is>
          <t>N43a</t>
        </is>
      </c>
      <c r="B1642" s="43" t="inlineStr"/>
      <c r="C1642" s="43" t="inlineStr">
        <is>
          <t>节段01</t>
        </is>
      </c>
      <c r="D1642" s="43" t="inlineStr">
        <is>
          <t>Q355D</t>
        </is>
      </c>
      <c r="E1642" s="43" t="n">
        <v>6025</v>
      </c>
      <c r="F1642" s="43" t="n">
        <v>320</v>
      </c>
      <c r="G1642" s="43" t="n">
        <v>32</v>
      </c>
      <c r="H1642" s="79">
        <f>(E1642/1000)*(F1642/1000)*(G1642/1000)*7850</f>
        <v/>
      </c>
      <c r="I1642" s="43" t="n">
        <v>1</v>
      </c>
      <c r="J1642" s="80">
        <f>H1642*I1642</f>
        <v/>
      </c>
      <c r="K1642" s="43" t="inlineStr">
        <is>
          <t>来源页142</t>
        </is>
      </c>
      <c r="L1642" s="43">
        <f>A1642</f>
        <v/>
      </c>
      <c r="M1642" s="81" t="n"/>
      <c r="N1642" s="81" t="n"/>
      <c r="O1642" s="81" t="n"/>
      <c r="P1642" s="81" t="n"/>
      <c r="Q1642" s="81" t="n"/>
      <c r="R1642" s="81" t="n"/>
      <c r="S1642" s="81" t="n"/>
      <c r="T1642" s="81" t="n"/>
      <c r="U1642" s="81" t="n"/>
      <c r="V1642" s="81" t="n"/>
      <c r="W1642" s="43" t="n"/>
    </row>
    <row r="1643">
      <c r="A1643" s="43" t="inlineStr">
        <is>
          <t>N43b</t>
        </is>
      </c>
      <c r="B1643" s="43" t="inlineStr"/>
      <c r="C1643" s="43" t="inlineStr">
        <is>
          <t>节段01</t>
        </is>
      </c>
      <c r="D1643" s="43" t="inlineStr">
        <is>
          <t>Q355D</t>
        </is>
      </c>
      <c r="E1643" s="43" t="n">
        <v>6225</v>
      </c>
      <c r="F1643" s="43" t="n">
        <v>320</v>
      </c>
      <c r="G1643" s="43" t="n">
        <v>32</v>
      </c>
      <c r="H1643" s="79">
        <f>(E1643/1000)*(F1643/1000)*(G1643/1000)*7850</f>
        <v/>
      </c>
      <c r="I1643" s="43" t="n">
        <v>1</v>
      </c>
      <c r="J1643" s="80">
        <f>H1643*I1643</f>
        <v/>
      </c>
      <c r="K1643" s="43" t="inlineStr">
        <is>
          <t>来源页142</t>
        </is>
      </c>
      <c r="L1643" s="43">
        <f>A1643</f>
        <v/>
      </c>
      <c r="M1643" s="81" t="n"/>
      <c r="N1643" s="81" t="n"/>
      <c r="O1643" s="81" t="n"/>
      <c r="P1643" s="81" t="n"/>
      <c r="Q1643" s="81" t="n"/>
      <c r="R1643" s="81" t="n"/>
      <c r="S1643" s="81" t="n"/>
      <c r="T1643" s="81" t="n"/>
      <c r="U1643" s="81" t="n"/>
      <c r="V1643" s="81" t="n"/>
      <c r="W1643" s="43" t="n"/>
    </row>
    <row r="1644">
      <c r="A1644" s="43" t="inlineStr">
        <is>
          <t>N44</t>
        </is>
      </c>
      <c r="B1644" s="43" t="inlineStr"/>
      <c r="C1644" s="43" t="inlineStr">
        <is>
          <t>节段01</t>
        </is>
      </c>
      <c r="D1644" s="43" t="inlineStr">
        <is>
          <t>Q355D</t>
        </is>
      </c>
      <c r="E1644" s="43" t="n">
        <v>1200</v>
      </c>
      <c r="F1644" s="43" t="n">
        <v>1200</v>
      </c>
      <c r="G1644" s="43" t="n">
        <v>16</v>
      </c>
      <c r="H1644" s="79">
        <f>(E1644/1000)*(F1644/1000)*(G1644/1000)*7850</f>
        <v/>
      </c>
      <c r="I1644" s="43" t="n">
        <v>4</v>
      </c>
      <c r="J1644" s="80">
        <f>H1644*I1644</f>
        <v/>
      </c>
      <c r="K1644" s="43" t="inlineStr">
        <is>
          <t>来源页142</t>
        </is>
      </c>
      <c r="L1644" s="43">
        <f>A1644</f>
        <v/>
      </c>
      <c r="M1644" s="81" t="n"/>
      <c r="N1644" s="81" t="n"/>
      <c r="O1644" s="81" t="n"/>
      <c r="P1644" s="81" t="n"/>
      <c r="Q1644" s="81" t="n"/>
      <c r="R1644" s="81" t="n"/>
      <c r="S1644" s="81" t="n"/>
      <c r="T1644" s="81" t="n"/>
      <c r="U1644" s="81" t="n"/>
      <c r="V1644" s="81" t="n"/>
      <c r="W1644" s="43" t="n"/>
    </row>
    <row r="1645">
      <c r="A1645" s="43" t="inlineStr">
        <is>
          <t>N51</t>
        </is>
      </c>
      <c r="B1645" s="43" t="inlineStr"/>
      <c r="C1645" s="43" t="inlineStr">
        <is>
          <t>节段01</t>
        </is>
      </c>
      <c r="D1645" s="43" t="inlineStr">
        <is>
          <t>Q355D</t>
        </is>
      </c>
      <c r="E1645" s="43" t="n">
        <v>13718</v>
      </c>
      <c r="F1645" s="43" t="n">
        <v>1200</v>
      </c>
      <c r="G1645" s="43" t="n">
        <v>20</v>
      </c>
      <c r="H1645" s="79">
        <f>(E1645/1000)*(F1645/1000)*(G1645/1000)*7850</f>
        <v/>
      </c>
      <c r="I1645" s="43" t="n">
        <v>1</v>
      </c>
      <c r="J1645" s="80">
        <f>H1645*I1645</f>
        <v/>
      </c>
      <c r="K1645" s="43" t="inlineStr">
        <is>
          <t>来源页142</t>
        </is>
      </c>
      <c r="L1645" s="43">
        <f>A1645</f>
        <v/>
      </c>
      <c r="M1645" s="81" t="n"/>
      <c r="N1645" s="81" t="n"/>
      <c r="O1645" s="81" t="n"/>
      <c r="P1645" s="81" t="n"/>
      <c r="Q1645" s="81" t="n"/>
      <c r="R1645" s="81" t="n"/>
      <c r="S1645" s="81" t="n"/>
      <c r="T1645" s="81" t="n"/>
      <c r="U1645" s="81" t="n"/>
      <c r="V1645" s="81" t="n"/>
      <c r="W1645" s="43" t="n"/>
    </row>
    <row r="1646">
      <c r="A1646" s="43" t="inlineStr">
        <is>
          <t>N51a</t>
        </is>
      </c>
      <c r="B1646" s="43" t="inlineStr"/>
      <c r="C1646" s="43" t="inlineStr">
        <is>
          <t>节段01</t>
        </is>
      </c>
      <c r="D1646" s="43" t="inlineStr">
        <is>
          <t>Q355D</t>
        </is>
      </c>
      <c r="E1646" s="43" t="n">
        <v>11818</v>
      </c>
      <c r="F1646" s="43" t="n">
        <v>1200</v>
      </c>
      <c r="G1646" s="43" t="n">
        <v>20</v>
      </c>
      <c r="H1646" s="79">
        <f>(E1646/1000)*(F1646/1000)*(G1646/1000)*7850</f>
        <v/>
      </c>
      <c r="I1646" s="43" t="n">
        <v>1</v>
      </c>
      <c r="J1646" s="80">
        <f>H1646*I1646</f>
        <v/>
      </c>
      <c r="K1646" s="43" t="inlineStr">
        <is>
          <t>来源页142</t>
        </is>
      </c>
      <c r="L1646" s="43">
        <f>A1646</f>
        <v/>
      </c>
      <c r="M1646" s="81" t="n"/>
      <c r="N1646" s="81" t="n"/>
      <c r="O1646" s="81" t="n"/>
      <c r="P1646" s="81" t="n"/>
      <c r="Q1646" s="81" t="n"/>
      <c r="R1646" s="81" t="n"/>
      <c r="S1646" s="81" t="n"/>
      <c r="T1646" s="81" t="n"/>
      <c r="U1646" s="81" t="n"/>
      <c r="V1646" s="81" t="n"/>
      <c r="W1646" s="43" t="n"/>
    </row>
    <row r="1647">
      <c r="A1647" s="43" t="inlineStr">
        <is>
          <t>N52</t>
        </is>
      </c>
      <c r="B1647" s="43" t="inlineStr"/>
      <c r="C1647" s="43" t="inlineStr">
        <is>
          <t>节段01</t>
        </is>
      </c>
      <c r="D1647" s="43" t="inlineStr">
        <is>
          <t>Q355D</t>
        </is>
      </c>
      <c r="E1647" s="43" t="n">
        <v>9133</v>
      </c>
      <c r="F1647" s="43" t="n">
        <v>1500</v>
      </c>
      <c r="G1647" s="43" t="n">
        <v>20</v>
      </c>
      <c r="H1647" s="79">
        <f>(E1647/1000)*(F1647/1000)*(G1647/1000)*7850</f>
        <v/>
      </c>
      <c r="I1647" s="43" t="n">
        <v>2</v>
      </c>
      <c r="J1647" s="80">
        <f>H1647*I1647</f>
        <v/>
      </c>
      <c r="K1647" s="43" t="inlineStr">
        <is>
          <t>来源页142</t>
        </is>
      </c>
      <c r="L1647" s="43">
        <f>A1647</f>
        <v/>
      </c>
      <c r="M1647" s="81" t="n"/>
      <c r="N1647" s="81" t="n"/>
      <c r="O1647" s="81" t="n"/>
      <c r="P1647" s="81" t="n"/>
      <c r="Q1647" s="81" t="n"/>
      <c r="R1647" s="81" t="n"/>
      <c r="S1647" s="81" t="n"/>
      <c r="T1647" s="81" t="n"/>
      <c r="U1647" s="81" t="n"/>
      <c r="V1647" s="81" t="n"/>
      <c r="W1647" s="43" t="n"/>
    </row>
    <row r="1648">
      <c r="A1648" s="43" t="inlineStr">
        <is>
          <t>N54</t>
        </is>
      </c>
      <c r="B1648" s="43" t="inlineStr"/>
      <c r="C1648" s="43" t="inlineStr">
        <is>
          <t>节段01</t>
        </is>
      </c>
      <c r="D1648" s="43" t="inlineStr">
        <is>
          <t>Q355D</t>
        </is>
      </c>
      <c r="E1648" s="43" t="n">
        <v>1400</v>
      </c>
      <c r="F1648" s="43" t="n">
        <v>1200</v>
      </c>
      <c r="G1648" s="43" t="n">
        <v>16</v>
      </c>
      <c r="H1648" s="79">
        <f>(E1648/1000)*(F1648/1000)*(G1648/1000)*7850</f>
        <v/>
      </c>
      <c r="I1648" s="43" t="n">
        <v>3</v>
      </c>
      <c r="J1648" s="80">
        <f>H1648*I1648</f>
        <v/>
      </c>
      <c r="K1648" s="43" t="inlineStr">
        <is>
          <t>来源页142</t>
        </is>
      </c>
      <c r="L1648" s="43">
        <f>A1648</f>
        <v/>
      </c>
      <c r="M1648" s="81" t="n"/>
      <c r="N1648" s="81" t="n"/>
      <c r="O1648" s="81" t="n"/>
      <c r="P1648" s="81" t="n"/>
      <c r="Q1648" s="81" t="n"/>
      <c r="R1648" s="81" t="n"/>
      <c r="S1648" s="81" t="n"/>
      <c r="T1648" s="81" t="n"/>
      <c r="U1648" s="81" t="n"/>
      <c r="V1648" s="81" t="n"/>
      <c r="W1648" s="43" t="n"/>
    </row>
    <row r="1649">
      <c r="A1649" s="43" t="inlineStr">
        <is>
          <t>N53</t>
        </is>
      </c>
      <c r="B1649" s="43" t="inlineStr"/>
      <c r="C1649" s="43" t="inlineStr">
        <is>
          <t>节段01</t>
        </is>
      </c>
      <c r="D1649" s="43" t="inlineStr">
        <is>
          <t>Q355D</t>
        </is>
      </c>
      <c r="E1649" s="43" t="n">
        <v>9133</v>
      </c>
      <c r="F1649" s="43" t="n">
        <v>190</v>
      </c>
      <c r="G1649" s="43" t="n">
        <v>16</v>
      </c>
      <c r="H1649" s="79">
        <f>(E1649/1000)*(F1649/1000)*(G1649/1000)*7850</f>
        <v/>
      </c>
      <c r="I1649" s="43" t="n">
        <v>2</v>
      </c>
      <c r="J1649" s="80">
        <f>H1649*I1649</f>
        <v/>
      </c>
      <c r="K1649" s="43" t="inlineStr">
        <is>
          <t>来源页142</t>
        </is>
      </c>
      <c r="L1649" s="43">
        <f>A1649</f>
        <v/>
      </c>
      <c r="M1649" s="81" t="n"/>
      <c r="N1649" s="81" t="n"/>
      <c r="O1649" s="81" t="n"/>
      <c r="P1649" s="81" t="n"/>
      <c r="Q1649" s="81" t="n"/>
      <c r="R1649" s="81" t="n"/>
      <c r="S1649" s="81" t="n"/>
      <c r="T1649" s="81" t="n"/>
      <c r="U1649" s="81" t="n"/>
      <c r="V1649" s="81" t="n"/>
      <c r="W1649" s="43" t="n"/>
    </row>
    <row r="1650">
      <c r="A1650" s="43" t="inlineStr">
        <is>
          <t>N53a</t>
        </is>
      </c>
      <c r="B1650" s="43" t="inlineStr"/>
      <c r="C1650" s="43" t="inlineStr">
        <is>
          <t>节段01</t>
        </is>
      </c>
      <c r="D1650" s="43" t="inlineStr">
        <is>
          <t>Q355D</t>
        </is>
      </c>
      <c r="E1650" s="43" t="n">
        <v>12318</v>
      </c>
      <c r="F1650" s="43" t="n">
        <v>190</v>
      </c>
      <c r="G1650" s="43" t="n">
        <v>16</v>
      </c>
      <c r="H1650" s="79">
        <f>(E1650/1000)*(F1650/1000)*(G1650/1000)*7850</f>
        <v/>
      </c>
      <c r="I1650" s="43" t="n">
        <v>1</v>
      </c>
      <c r="J1650" s="80">
        <f>H1650*I1650</f>
        <v/>
      </c>
      <c r="K1650" s="43" t="inlineStr">
        <is>
          <t>来源页142</t>
        </is>
      </c>
      <c r="L1650" s="43">
        <f>A1650</f>
        <v/>
      </c>
      <c r="M1650" s="81" t="n"/>
      <c r="N1650" s="81" t="n"/>
      <c r="O1650" s="81" t="n"/>
      <c r="P1650" s="81" t="n"/>
      <c r="Q1650" s="81" t="n"/>
      <c r="R1650" s="81" t="n"/>
      <c r="S1650" s="81" t="n"/>
      <c r="T1650" s="81" t="n"/>
      <c r="U1650" s="81" t="n"/>
      <c r="V1650" s="81" t="n"/>
      <c r="W1650" s="43" t="n"/>
    </row>
    <row r="1651">
      <c r="A1651" s="43" t="inlineStr">
        <is>
          <t>N53b</t>
        </is>
      </c>
      <c r="B1651" s="43" t="inlineStr"/>
      <c r="C1651" s="43" t="inlineStr">
        <is>
          <t>节段01</t>
        </is>
      </c>
      <c r="D1651" s="43" t="inlineStr">
        <is>
          <t>Q355D</t>
        </is>
      </c>
      <c r="E1651" s="43" t="n">
        <v>10418</v>
      </c>
      <c r="F1651" s="43" t="n">
        <v>190</v>
      </c>
      <c r="G1651" s="43" t="n">
        <v>16</v>
      </c>
      <c r="H1651" s="79">
        <f>(E1651/1000)*(F1651/1000)*(G1651/1000)*7850</f>
        <v/>
      </c>
      <c r="I1651" s="43" t="n">
        <v>1</v>
      </c>
      <c r="J1651" s="80">
        <f>H1651*I1651</f>
        <v/>
      </c>
      <c r="K1651" s="43" t="inlineStr">
        <is>
          <t>来源页142</t>
        </is>
      </c>
      <c r="L1651" s="43">
        <f>A1651</f>
        <v/>
      </c>
      <c r="M1651" s="81" t="n"/>
      <c r="N1651" s="81" t="n"/>
      <c r="O1651" s="81" t="n"/>
      <c r="P1651" s="81" t="n"/>
      <c r="Q1651" s="81" t="n"/>
      <c r="R1651" s="81" t="n"/>
      <c r="S1651" s="81" t="n"/>
      <c r="T1651" s="81" t="n"/>
      <c r="U1651" s="81" t="n"/>
      <c r="V1651" s="81" t="n"/>
      <c r="W1651" s="43" t="n"/>
    </row>
    <row r="1652">
      <c r="A1652" s="43" t="inlineStr"/>
      <c r="B1652" s="43" t="inlineStr"/>
      <c r="C1652" s="43" t="inlineStr">
        <is>
          <t>节段01</t>
        </is>
      </c>
      <c r="D1652" s="43" t="inlineStr">
        <is>
          <t>Q355D</t>
        </is>
      </c>
      <c r="E1652" s="43" t="n"/>
      <c r="F1652" s="43" t="n"/>
      <c r="G1652" s="43" t="n">
        <v>100</v>
      </c>
      <c r="H1652" s="79">
        <f>(E1652/1000)*(F1652/1000)*(G1652/1000)*7850</f>
        <v/>
      </c>
      <c r="I1652" s="43" t="n">
        <v>2</v>
      </c>
      <c r="J1652" s="80">
        <f>H1652*I1652</f>
        <v/>
      </c>
      <c r="K1652" s="43" t="inlineStr">
        <is>
          <t>来源页142</t>
        </is>
      </c>
      <c r="L1652" s="43">
        <f>A1652</f>
        <v/>
      </c>
      <c r="M1652" s="81" t="n"/>
      <c r="N1652" s="81" t="n"/>
      <c r="O1652" s="81" t="n"/>
      <c r="P1652" s="81" t="n"/>
      <c r="Q1652" s="81" t="n"/>
      <c r="R1652" s="81" t="n"/>
      <c r="S1652" s="81" t="n"/>
      <c r="T1652" s="81" t="n"/>
      <c r="U1652" s="81" t="n"/>
      <c r="V1652" s="81" t="n"/>
      <c r="W1652" s="43" t="n"/>
    </row>
    <row r="1653">
      <c r="A1653" s="43" t="inlineStr"/>
      <c r="B1653" s="43" t="inlineStr"/>
      <c r="C1653" s="43" t="inlineStr">
        <is>
          <t>节段01</t>
        </is>
      </c>
      <c r="D1653" s="43" t="inlineStr">
        <is>
          <t>Q355D</t>
        </is>
      </c>
      <c r="E1653" s="43" t="n"/>
      <c r="F1653" s="43" t="n"/>
      <c r="G1653" s="43" t="n">
        <v>40</v>
      </c>
      <c r="H1653" s="79">
        <f>(E1653/1000)*(F1653/1000)*(G1653/1000)*7850</f>
        <v/>
      </c>
      <c r="I1653" s="43" t="n">
        <v>2</v>
      </c>
      <c r="J1653" s="80">
        <f>H1653*I1653</f>
        <v/>
      </c>
      <c r="K1653" s="43" t="inlineStr">
        <is>
          <t>来源页142</t>
        </is>
      </c>
      <c r="L1653" s="43">
        <f>A1653</f>
        <v/>
      </c>
      <c r="M1653" s="81" t="n"/>
      <c r="N1653" s="81" t="n"/>
      <c r="O1653" s="81" t="n"/>
      <c r="P1653" s="81" t="n"/>
      <c r="Q1653" s="81" t="n"/>
      <c r="R1653" s="81" t="n"/>
      <c r="S1653" s="81" t="n"/>
      <c r="T1653" s="81" t="n"/>
      <c r="U1653" s="81" t="n"/>
      <c r="V1653" s="81" t="n"/>
      <c r="W1653" s="43" t="n"/>
    </row>
    <row r="1654">
      <c r="A1654" s="43" t="inlineStr"/>
      <c r="B1654" s="43" t="inlineStr"/>
      <c r="C1654" s="43" t="inlineStr">
        <is>
          <t>节段01</t>
        </is>
      </c>
      <c r="D1654" s="43" t="inlineStr">
        <is>
          <t>Q355D</t>
        </is>
      </c>
      <c r="E1654" s="43" t="n"/>
      <c r="F1654" s="43" t="n"/>
      <c r="G1654" s="43" t="n">
        <v>36</v>
      </c>
      <c r="H1654" s="79">
        <f>(E1654/1000)*(F1654/1000)*(G1654/1000)*7850</f>
        <v/>
      </c>
      <c r="I1654" s="43" t="n">
        <v>2</v>
      </c>
      <c r="J1654" s="80">
        <f>H1654*I1654</f>
        <v/>
      </c>
      <c r="K1654" s="43" t="inlineStr">
        <is>
          <t>来源页142</t>
        </is>
      </c>
      <c r="L1654" s="43">
        <f>A1654</f>
        <v/>
      </c>
      <c r="M1654" s="81" t="n"/>
      <c r="N1654" s="81" t="n"/>
      <c r="O1654" s="81" t="n"/>
      <c r="P1654" s="81" t="n"/>
      <c r="Q1654" s="81" t="n"/>
      <c r="R1654" s="81" t="n"/>
      <c r="S1654" s="81" t="n"/>
      <c r="T1654" s="81" t="n"/>
      <c r="U1654" s="81" t="n"/>
      <c r="V1654" s="81" t="n"/>
      <c r="W1654" s="43" t="n"/>
    </row>
    <row r="1655">
      <c r="A1655" s="43" t="inlineStr"/>
      <c r="B1655" s="43" t="inlineStr"/>
      <c r="C1655" s="43" t="inlineStr">
        <is>
          <t>节段01</t>
        </is>
      </c>
      <c r="D1655" s="43" t="inlineStr">
        <is>
          <t>Q355D</t>
        </is>
      </c>
      <c r="E1655" s="43" t="n"/>
      <c r="F1655" s="43" t="n"/>
      <c r="G1655" s="43" t="n">
        <v>32</v>
      </c>
      <c r="H1655" s="79">
        <f>(E1655/1000)*(F1655/1000)*(G1655/1000)*7850</f>
        <v/>
      </c>
      <c r="I1655" s="43" t="n">
        <v>2</v>
      </c>
      <c r="J1655" s="80">
        <f>H1655*I1655</f>
        <v/>
      </c>
      <c r="K1655" s="43" t="inlineStr">
        <is>
          <t>来源页142</t>
        </is>
      </c>
      <c r="L1655" s="43">
        <f>A1655</f>
        <v/>
      </c>
      <c r="M1655" s="81" t="n"/>
      <c r="N1655" s="81" t="n"/>
      <c r="O1655" s="81" t="n"/>
      <c r="P1655" s="81" t="n"/>
      <c r="Q1655" s="81" t="n"/>
      <c r="R1655" s="81" t="n"/>
      <c r="S1655" s="81" t="n"/>
      <c r="T1655" s="81" t="n"/>
      <c r="U1655" s="81" t="n"/>
      <c r="V1655" s="81" t="n"/>
      <c r="W1655" s="43" t="n"/>
    </row>
    <row r="1656">
      <c r="A1656" s="43" t="inlineStr"/>
      <c r="B1656" s="43" t="inlineStr"/>
      <c r="C1656" s="43" t="inlineStr">
        <is>
          <t>节段01</t>
        </is>
      </c>
      <c r="D1656" s="43" t="inlineStr">
        <is>
          <t>Q355D</t>
        </is>
      </c>
      <c r="E1656" s="43" t="n"/>
      <c r="F1656" s="43" t="n"/>
      <c r="G1656" s="43" t="n">
        <v>28</v>
      </c>
      <c r="H1656" s="79">
        <f>(E1656/1000)*(F1656/1000)*(G1656/1000)*7850</f>
        <v/>
      </c>
      <c r="I1656" s="43" t="n">
        <v>2</v>
      </c>
      <c r="J1656" s="80">
        <f>H1656*I1656</f>
        <v/>
      </c>
      <c r="K1656" s="43" t="inlineStr">
        <is>
          <t>来源页142</t>
        </is>
      </c>
      <c r="L1656" s="43">
        <f>A1656</f>
        <v/>
      </c>
      <c r="M1656" s="81" t="n"/>
      <c r="N1656" s="81" t="n"/>
      <c r="O1656" s="81" t="n"/>
      <c r="P1656" s="81" t="n"/>
      <c r="Q1656" s="81" t="n"/>
      <c r="R1656" s="81" t="n"/>
      <c r="S1656" s="81" t="n"/>
      <c r="T1656" s="81" t="n"/>
      <c r="U1656" s="81" t="n"/>
      <c r="V1656" s="81" t="n"/>
      <c r="W1656" s="43" t="n"/>
    </row>
    <row r="1657">
      <c r="A1657" s="43" t="inlineStr"/>
      <c r="B1657" s="43" t="inlineStr"/>
      <c r="C1657" s="43" t="inlineStr">
        <is>
          <t>节段01</t>
        </is>
      </c>
      <c r="D1657" s="43" t="inlineStr">
        <is>
          <t>Q355D</t>
        </is>
      </c>
      <c r="E1657" s="43" t="n"/>
      <c r="F1657" s="43" t="n"/>
      <c r="G1657" s="43" t="n">
        <v>24</v>
      </c>
      <c r="H1657" s="79">
        <f>(E1657/1000)*(F1657/1000)*(G1657/1000)*7850</f>
        <v/>
      </c>
      <c r="I1657" s="43" t="n">
        <v>2</v>
      </c>
      <c r="J1657" s="80">
        <f>H1657*I1657</f>
        <v/>
      </c>
      <c r="K1657" s="43" t="inlineStr">
        <is>
          <t>来源页142</t>
        </is>
      </c>
      <c r="L1657" s="43">
        <f>A1657</f>
        <v/>
      </c>
      <c r="M1657" s="81" t="n"/>
      <c r="N1657" s="81" t="n"/>
      <c r="O1657" s="81" t="n"/>
      <c r="P1657" s="81" t="n"/>
      <c r="Q1657" s="81" t="n"/>
      <c r="R1657" s="81" t="n"/>
      <c r="S1657" s="81" t="n"/>
      <c r="T1657" s="81" t="n"/>
      <c r="U1657" s="81" t="n"/>
      <c r="V1657" s="81" t="n"/>
      <c r="W1657" s="43" t="n"/>
    </row>
    <row r="1658">
      <c r="A1658" s="43" t="inlineStr"/>
      <c r="B1658" s="43" t="inlineStr"/>
      <c r="C1658" s="43" t="inlineStr">
        <is>
          <t>节段01</t>
        </is>
      </c>
      <c r="D1658" s="43" t="inlineStr">
        <is>
          <t>Q355D</t>
        </is>
      </c>
      <c r="E1658" s="43" t="n"/>
      <c r="F1658" s="43" t="n"/>
      <c r="G1658" s="43" t="n">
        <v>20</v>
      </c>
      <c r="H1658" s="79">
        <f>(E1658/1000)*(F1658/1000)*(G1658/1000)*7850</f>
        <v/>
      </c>
      <c r="I1658" s="43" t="n">
        <v>2</v>
      </c>
      <c r="J1658" s="80">
        <f>H1658*I1658</f>
        <v/>
      </c>
      <c r="K1658" s="43" t="inlineStr">
        <is>
          <t>来源页142</t>
        </is>
      </c>
      <c r="L1658" s="43">
        <f>A1658</f>
        <v/>
      </c>
      <c r="M1658" s="81" t="n"/>
      <c r="N1658" s="81" t="n"/>
      <c r="O1658" s="81" t="n"/>
      <c r="P1658" s="81" t="n"/>
      <c r="Q1658" s="81" t="n"/>
      <c r="R1658" s="81" t="n"/>
      <c r="S1658" s="81" t="n"/>
      <c r="T1658" s="81" t="n"/>
      <c r="U1658" s="81" t="n"/>
      <c r="V1658" s="81" t="n"/>
      <c r="W1658" s="43" t="n"/>
    </row>
    <row r="1659">
      <c r="A1659" s="43" t="inlineStr"/>
      <c r="B1659" s="43" t="inlineStr"/>
      <c r="C1659" s="43" t="inlineStr">
        <is>
          <t>节段01</t>
        </is>
      </c>
      <c r="D1659" s="43" t="inlineStr">
        <is>
          <t>Q355D</t>
        </is>
      </c>
      <c r="E1659" s="43" t="n"/>
      <c r="F1659" s="43" t="n"/>
      <c r="G1659" s="43" t="n">
        <v>16</v>
      </c>
      <c r="H1659" s="79">
        <f>(E1659/1000)*(F1659/1000)*(G1659/1000)*7850</f>
        <v/>
      </c>
      <c r="I1659" s="43" t="n">
        <v>2</v>
      </c>
      <c r="J1659" s="80">
        <f>H1659*I1659</f>
        <v/>
      </c>
      <c r="K1659" s="43" t="inlineStr">
        <is>
          <t>来源页142</t>
        </is>
      </c>
      <c r="L1659" s="43">
        <f>A1659</f>
        <v/>
      </c>
      <c r="M1659" s="81" t="n"/>
      <c r="N1659" s="81" t="n"/>
      <c r="O1659" s="81" t="n"/>
      <c r="P1659" s="81" t="n"/>
      <c r="Q1659" s="81" t="n"/>
      <c r="R1659" s="81" t="n"/>
      <c r="S1659" s="81" t="n"/>
      <c r="T1659" s="81" t="n"/>
      <c r="U1659" s="81" t="n"/>
      <c r="V1659" s="81" t="n"/>
      <c r="W1659" s="43" t="n"/>
    </row>
    <row r="1660">
      <c r="A1660" s="43" t="inlineStr"/>
      <c r="B1660" s="43" t="inlineStr"/>
      <c r="C1660" s="43" t="inlineStr">
        <is>
          <t>节段01</t>
        </is>
      </c>
      <c r="D1660" s="43" t="inlineStr">
        <is>
          <t>Q355D</t>
        </is>
      </c>
      <c r="E1660" s="43" t="n"/>
      <c r="F1660" s="43" t="n"/>
      <c r="G1660" s="43" t="n">
        <v>14</v>
      </c>
      <c r="H1660" s="79">
        <f>(E1660/1000)*(F1660/1000)*(G1660/1000)*7850</f>
        <v/>
      </c>
      <c r="I1660" s="43" t="n">
        <v>2</v>
      </c>
      <c r="J1660" s="80">
        <f>H1660*I1660</f>
        <v/>
      </c>
      <c r="K1660" s="43" t="inlineStr">
        <is>
          <t>来源页142</t>
        </is>
      </c>
      <c r="L1660" s="43">
        <f>A1660</f>
        <v/>
      </c>
      <c r="M1660" s="81" t="n"/>
      <c r="N1660" s="81" t="n"/>
      <c r="O1660" s="81" t="n"/>
      <c r="P1660" s="81" t="n"/>
      <c r="Q1660" s="81" t="n"/>
      <c r="R1660" s="81" t="n"/>
      <c r="S1660" s="81" t="n"/>
      <c r="T1660" s="81" t="n"/>
      <c r="U1660" s="81" t="n"/>
      <c r="V1660" s="81" t="n"/>
      <c r="W1660" s="43" t="n"/>
    </row>
    <row r="1661">
      <c r="A1661" s="43" t="inlineStr"/>
      <c r="B1661" s="43" t="inlineStr"/>
      <c r="C1661" s="43" t="inlineStr">
        <is>
          <t>节段01</t>
        </is>
      </c>
      <c r="D1661" s="43" t="inlineStr">
        <is>
          <t>Q355D</t>
        </is>
      </c>
      <c r="E1661" s="43" t="n"/>
      <c r="F1661" s="43" t="n"/>
      <c r="G1661" s="43" t="n">
        <v>4</v>
      </c>
      <c r="H1661" s="79">
        <f>(E1661/1000)*(F1661/1000)*(G1661/1000)*7850</f>
        <v/>
      </c>
      <c r="I1661" s="43" t="n">
        <v>2</v>
      </c>
      <c r="J1661" s="80">
        <f>H1661*I1661</f>
        <v/>
      </c>
      <c r="K1661" s="43" t="inlineStr">
        <is>
          <t>来源页142</t>
        </is>
      </c>
      <c r="L1661" s="43">
        <f>A1661</f>
        <v/>
      </c>
      <c r="M1661" s="81" t="n"/>
      <c r="N1661" s="81" t="n"/>
      <c r="O1661" s="81" t="n"/>
      <c r="P1661" s="81" t="n"/>
      <c r="Q1661" s="81" t="n"/>
      <c r="R1661" s="81" t="n"/>
      <c r="S1661" s="81" t="n"/>
      <c r="T1661" s="81" t="n"/>
      <c r="U1661" s="81" t="n"/>
      <c r="V1661" s="81" t="n"/>
      <c r="W1661" s="43" t="n"/>
    </row>
    <row r="1662">
      <c r="A1662" s="43" t="inlineStr"/>
      <c r="B1662" s="43" t="inlineStr"/>
      <c r="C1662" s="43" t="inlineStr">
        <is>
          <t>节段01</t>
        </is>
      </c>
      <c r="D1662" s="43" t="inlineStr">
        <is>
          <t>Q355D</t>
        </is>
      </c>
      <c r="E1662" s="43" t="n"/>
      <c r="F1662" s="43" t="n"/>
      <c r="G1662" s="43" t="n"/>
      <c r="H1662" s="79">
        <f>(E1662/1000)*(F1662/1000)*(G1662/1000)*7850</f>
        <v/>
      </c>
      <c r="I1662" s="43" t="n">
        <v>2</v>
      </c>
      <c r="J1662" s="80">
        <f>H1662*I1662</f>
        <v/>
      </c>
      <c r="K1662" s="43" t="inlineStr">
        <is>
          <t>来源页142</t>
        </is>
      </c>
      <c r="L1662" s="43">
        <f>A1662</f>
        <v/>
      </c>
      <c r="M1662" s="81" t="n"/>
      <c r="N1662" s="81" t="n"/>
      <c r="O1662" s="81" t="n"/>
      <c r="P1662" s="81" t="n"/>
      <c r="Q1662" s="81" t="n"/>
      <c r="R1662" s="81" t="n"/>
      <c r="S1662" s="81" t="n"/>
      <c r="T1662" s="81" t="n"/>
      <c r="U1662" s="81" t="n"/>
      <c r="V1662" s="81" t="n"/>
      <c r="W1662" s="43" t="n"/>
    </row>
    <row r="1663">
      <c r="A1663" s="43" t="inlineStr"/>
      <c r="B1663" s="43" t="inlineStr"/>
      <c r="C1663" s="43" t="inlineStr">
        <is>
          <t>节段01</t>
        </is>
      </c>
      <c r="D1663" s="43" t="inlineStr">
        <is>
          <t>Q355D</t>
        </is>
      </c>
      <c r="E1663" s="43" t="n"/>
      <c r="F1663" s="43" t="n"/>
      <c r="G1663" s="43" t="n"/>
      <c r="H1663" s="79">
        <f>(E1663/1000)*(F1663/1000)*(G1663/1000)*7850</f>
        <v/>
      </c>
      <c r="I1663" s="43" t="n">
        <v>2</v>
      </c>
      <c r="J1663" s="80">
        <f>H1663*I1663</f>
        <v/>
      </c>
      <c r="K1663" s="43" t="inlineStr">
        <is>
          <t>来源页142</t>
        </is>
      </c>
      <c r="L1663" s="43">
        <f>A1663</f>
        <v/>
      </c>
      <c r="M1663" s="81" t="n"/>
      <c r="N1663" s="81" t="n"/>
      <c r="O1663" s="81" t="n"/>
      <c r="P1663" s="81" t="n"/>
      <c r="Q1663" s="81" t="n"/>
      <c r="R1663" s="81" t="n"/>
      <c r="S1663" s="81" t="n"/>
      <c r="T1663" s="81" t="n"/>
      <c r="U1663" s="81" t="n"/>
      <c r="V1663" s="81" t="n"/>
      <c r="W1663" s="43" t="n"/>
    </row>
    <row r="1664">
      <c r="A1664" s="43" t="inlineStr"/>
      <c r="B1664" s="43" t="inlineStr"/>
      <c r="C1664" s="43" t="inlineStr">
        <is>
          <t>节段01</t>
        </is>
      </c>
      <c r="D1664" s="43" t="inlineStr">
        <is>
          <t>Q355D</t>
        </is>
      </c>
      <c r="E1664" s="43" t="n"/>
      <c r="F1664" s="43" t="n"/>
      <c r="G1664" s="43" t="n"/>
      <c r="H1664" s="79">
        <f>(E1664/1000)*(F1664/1000)*(G1664/1000)*7850</f>
        <v/>
      </c>
      <c r="I1664" s="43" t="n">
        <v>2</v>
      </c>
      <c r="J1664" s="80">
        <f>H1664*I1664</f>
        <v/>
      </c>
      <c r="K1664" s="43" t="inlineStr">
        <is>
          <t>来源页142</t>
        </is>
      </c>
      <c r="L1664" s="43">
        <f>A1664</f>
        <v/>
      </c>
      <c r="M1664" s="81" t="n"/>
      <c r="N1664" s="81" t="n"/>
      <c r="O1664" s="81" t="n"/>
      <c r="P1664" s="81" t="n"/>
      <c r="Q1664" s="81" t="n"/>
      <c r="R1664" s="81" t="n"/>
      <c r="S1664" s="81" t="n"/>
      <c r="T1664" s="81" t="n"/>
      <c r="U1664" s="81" t="n"/>
      <c r="V1664" s="81" t="n"/>
      <c r="W1664" s="43" t="n"/>
    </row>
    <row r="1665">
      <c r="A1665" s="43" t="inlineStr"/>
      <c r="B1665" s="43" t="inlineStr"/>
      <c r="C1665" s="43" t="inlineStr">
        <is>
          <t>节段01</t>
        </is>
      </c>
      <c r="D1665" s="43" t="inlineStr">
        <is>
          <t>Q355D</t>
        </is>
      </c>
      <c r="E1665" s="43" t="n"/>
      <c r="F1665" s="43" t="n"/>
      <c r="G1665" s="43" t="n"/>
      <c r="H1665" s="79">
        <f>(E1665/1000)*(F1665/1000)*(G1665/1000)*7850</f>
        <v/>
      </c>
      <c r="I1665" s="43" t="n">
        <v>2</v>
      </c>
      <c r="J1665" s="80">
        <f>H1665*I1665</f>
        <v/>
      </c>
      <c r="K1665" s="43" t="inlineStr">
        <is>
          <t>来源页142</t>
        </is>
      </c>
      <c r="L1665" s="43">
        <f>A1665</f>
        <v/>
      </c>
      <c r="M1665" s="81" t="n"/>
      <c r="N1665" s="81" t="n"/>
      <c r="O1665" s="81" t="n"/>
      <c r="P1665" s="81" t="n"/>
      <c r="Q1665" s="81" t="n"/>
      <c r="R1665" s="81" t="n"/>
      <c r="S1665" s="81" t="n"/>
      <c r="T1665" s="81" t="n"/>
      <c r="U1665" s="81" t="n"/>
      <c r="V1665" s="81" t="n"/>
      <c r="W1665" s="43" t="n"/>
    </row>
    <row r="1666">
      <c r="A1666" s="43" t="inlineStr">
        <is>
          <t>P1</t>
        </is>
      </c>
      <c r="B1666" s="43" t="inlineStr">
        <is>
          <t>上弦杆拼接</t>
        </is>
      </c>
      <c r="C1666" s="43" t="inlineStr">
        <is>
          <t>节段1~节段2</t>
        </is>
      </c>
      <c r="D1666" s="43" t="inlineStr">
        <is>
          <t>Q355D</t>
        </is>
      </c>
      <c r="E1666" s="43" t="n">
        <v>1020</v>
      </c>
      <c r="F1666" s="43" t="n">
        <v>1400</v>
      </c>
      <c r="G1666" s="43" t="n">
        <v>16</v>
      </c>
      <c r="H1666" s="79">
        <f>(E1666/1000)*(F1666/1000)*(G1666/1000)*7850</f>
        <v/>
      </c>
      <c r="I1666" s="43" t="n">
        <v>2</v>
      </c>
      <c r="J1666" s="80">
        <f>H1666*I1666</f>
        <v/>
      </c>
      <c r="K1666" s="43" t="inlineStr">
        <is>
          <t>来源页145</t>
        </is>
      </c>
      <c r="L1666" s="43">
        <f>A1666</f>
        <v/>
      </c>
      <c r="M1666" s="81" t="n"/>
      <c r="N1666" s="81" t="n"/>
      <c r="O1666" s="81" t="n"/>
      <c r="P1666" s="81" t="n"/>
      <c r="Q1666" s="81" t="n"/>
      <c r="R1666" s="81" t="n"/>
      <c r="S1666" s="81" t="n"/>
      <c r="T1666" s="81" t="n"/>
      <c r="U1666" s="81" t="n"/>
      <c r="V1666" s="81" t="n"/>
      <c r="W1666" s="43" t="n"/>
    </row>
    <row r="1667">
      <c r="A1667" s="43" t="inlineStr">
        <is>
          <t>P2</t>
        </is>
      </c>
      <c r="B1667" s="43" t="inlineStr">
        <is>
          <t>上弦杆拼接</t>
        </is>
      </c>
      <c r="C1667" s="43" t="inlineStr">
        <is>
          <t>节段1~节段2</t>
        </is>
      </c>
      <c r="D1667" s="43" t="inlineStr">
        <is>
          <t>Q355D</t>
        </is>
      </c>
      <c r="E1667" s="43" t="n">
        <v>1020</v>
      </c>
      <c r="F1667" s="43" t="n">
        <v>300</v>
      </c>
      <c r="G1667" s="43" t="n">
        <v>16</v>
      </c>
      <c r="H1667" s="79">
        <f>(E1667/1000)*(F1667/1000)*(G1667/1000)*7850</f>
        <v/>
      </c>
      <c r="I1667" s="43" t="n">
        <v>2</v>
      </c>
      <c r="J1667" s="80">
        <f>H1667*I1667</f>
        <v/>
      </c>
      <c r="K1667" s="43" t="inlineStr">
        <is>
          <t>来源页145</t>
        </is>
      </c>
      <c r="L1667" s="43">
        <f>A1667</f>
        <v/>
      </c>
      <c r="M1667" s="81" t="n"/>
      <c r="N1667" s="81" t="n"/>
      <c r="O1667" s="81" t="n"/>
      <c r="P1667" s="81" t="n"/>
      <c r="Q1667" s="81" t="n"/>
      <c r="R1667" s="81" t="n"/>
      <c r="S1667" s="81" t="n"/>
      <c r="T1667" s="81" t="n"/>
      <c r="U1667" s="81" t="n"/>
      <c r="V1667" s="81" t="n"/>
      <c r="W1667" s="43" t="n"/>
    </row>
    <row r="1668">
      <c r="A1668" s="43" t="inlineStr">
        <is>
          <t>P3</t>
        </is>
      </c>
      <c r="B1668" s="43" t="inlineStr">
        <is>
          <t>上弦杆拼接</t>
        </is>
      </c>
      <c r="C1668" s="43" t="inlineStr">
        <is>
          <t>节段1~节段2</t>
        </is>
      </c>
      <c r="D1668" s="43" t="inlineStr">
        <is>
          <t>Q355D</t>
        </is>
      </c>
      <c r="E1668" s="43" t="n">
        <v>1020</v>
      </c>
      <c r="F1668" s="43" t="n">
        <v>500</v>
      </c>
      <c r="G1668" s="43" t="n">
        <v>16</v>
      </c>
      <c r="H1668" s="79">
        <f>(E1668/1000)*(F1668/1000)*(G1668/1000)*7850</f>
        <v/>
      </c>
      <c r="I1668" s="43" t="n">
        <v>2</v>
      </c>
      <c r="J1668" s="80">
        <f>H1668*I1668</f>
        <v/>
      </c>
      <c r="K1668" s="43" t="inlineStr">
        <is>
          <t>来源页145</t>
        </is>
      </c>
      <c r="L1668" s="43">
        <f>A1668</f>
        <v/>
      </c>
      <c r="M1668" s="81" t="n"/>
      <c r="N1668" s="81" t="n"/>
      <c r="O1668" s="81" t="n"/>
      <c r="P1668" s="81" t="n"/>
      <c r="Q1668" s="81" t="n"/>
      <c r="R1668" s="81" t="n"/>
      <c r="S1668" s="81" t="n"/>
      <c r="T1668" s="81" t="n"/>
      <c r="U1668" s="81" t="n"/>
      <c r="V1668" s="81" t="n"/>
      <c r="W1668" s="43" t="n"/>
    </row>
    <row r="1669">
      <c r="A1669" s="43" t="inlineStr">
        <is>
          <t>P4</t>
        </is>
      </c>
      <c r="B1669" s="43" t="inlineStr">
        <is>
          <t>上弦杆拼接</t>
        </is>
      </c>
      <c r="C1669" s="43" t="inlineStr">
        <is>
          <t>节段1~节段2</t>
        </is>
      </c>
      <c r="D1669" s="43" t="inlineStr">
        <is>
          <t>Q355D</t>
        </is>
      </c>
      <c r="E1669" s="43" t="n">
        <v>1020</v>
      </c>
      <c r="F1669" s="43" t="n">
        <v>400</v>
      </c>
      <c r="G1669" s="43" t="n">
        <v>16</v>
      </c>
      <c r="H1669" s="79">
        <f>(E1669/1000)*(F1669/1000)*(G1669/1000)*7850</f>
        <v/>
      </c>
      <c r="I1669" s="43" t="n">
        <v>2</v>
      </c>
      <c r="J1669" s="80">
        <f>H1669*I1669</f>
        <v/>
      </c>
      <c r="K1669" s="43" t="inlineStr">
        <is>
          <t>来源页145</t>
        </is>
      </c>
      <c r="L1669" s="43">
        <f>A1669</f>
        <v/>
      </c>
      <c r="M1669" s="81" t="n"/>
      <c r="N1669" s="81" t="n"/>
      <c r="O1669" s="81" t="n"/>
      <c r="P1669" s="81" t="n"/>
      <c r="Q1669" s="81" t="n"/>
      <c r="R1669" s="81" t="n"/>
      <c r="S1669" s="81" t="n"/>
      <c r="T1669" s="81" t="n"/>
      <c r="U1669" s="81" t="n"/>
      <c r="V1669" s="81" t="n"/>
      <c r="W1669" s="43" t="n"/>
    </row>
    <row r="1670">
      <c r="A1670" s="43" t="inlineStr">
        <is>
          <t>P5</t>
        </is>
      </c>
      <c r="B1670" s="43" t="inlineStr">
        <is>
          <t>上弦杆拼接</t>
        </is>
      </c>
      <c r="C1670" s="43" t="inlineStr">
        <is>
          <t>节段1~节段2</t>
        </is>
      </c>
      <c r="D1670" s="43" t="inlineStr">
        <is>
          <t>Q355D</t>
        </is>
      </c>
      <c r="E1670" s="43" t="n">
        <v>1420</v>
      </c>
      <c r="F1670" s="43" t="n">
        <v>1100</v>
      </c>
      <c r="G1670" s="43" t="n">
        <v>28</v>
      </c>
      <c r="H1670" s="79">
        <f>(E1670/1000)*(F1670/1000)*(G1670/1000)*7850</f>
        <v/>
      </c>
      <c r="I1670" s="43" t="n">
        <v>1</v>
      </c>
      <c r="J1670" s="80">
        <f>H1670*I1670</f>
        <v/>
      </c>
      <c r="K1670" s="43" t="inlineStr">
        <is>
          <t>来源页145</t>
        </is>
      </c>
      <c r="L1670" s="43">
        <f>A1670</f>
        <v/>
      </c>
      <c r="M1670" s="81" t="n"/>
      <c r="N1670" s="81" t="n"/>
      <c r="O1670" s="81" t="n"/>
      <c r="P1670" s="81" t="n"/>
      <c r="Q1670" s="81" t="n"/>
      <c r="R1670" s="81" t="n"/>
      <c r="S1670" s="81" t="n"/>
      <c r="T1670" s="81" t="n"/>
      <c r="U1670" s="81" t="n"/>
      <c r="V1670" s="81" t="n"/>
      <c r="W1670" s="43" t="n"/>
    </row>
    <row r="1671">
      <c r="A1671" s="43" t="inlineStr">
        <is>
          <t>P6</t>
        </is>
      </c>
      <c r="B1671" s="43" t="inlineStr">
        <is>
          <t>上弦杆拼接</t>
        </is>
      </c>
      <c r="C1671" s="43" t="inlineStr">
        <is>
          <t>节段1~节段2</t>
        </is>
      </c>
      <c r="D1671" s="43" t="inlineStr">
        <is>
          <t>Q355D</t>
        </is>
      </c>
      <c r="E1671" s="43" t="n">
        <v>1420</v>
      </c>
      <c r="F1671" s="43" t="n">
        <v>400</v>
      </c>
      <c r="G1671" s="43" t="n">
        <v>28</v>
      </c>
      <c r="H1671" s="79">
        <f>(E1671/1000)*(F1671/1000)*(G1671/1000)*7850</f>
        <v/>
      </c>
      <c r="I1671" s="43" t="n">
        <v>2</v>
      </c>
      <c r="J1671" s="80">
        <f>H1671*I1671</f>
        <v/>
      </c>
      <c r="K1671" s="43" t="inlineStr">
        <is>
          <t>来源页145</t>
        </is>
      </c>
      <c r="L1671" s="43">
        <f>A1671</f>
        <v/>
      </c>
      <c r="M1671" s="81" t="n"/>
      <c r="N1671" s="81" t="n"/>
      <c r="O1671" s="81" t="n"/>
      <c r="P1671" s="81" t="n"/>
      <c r="Q1671" s="81" t="n"/>
      <c r="R1671" s="81" t="n"/>
      <c r="S1671" s="81" t="n"/>
      <c r="T1671" s="81" t="n"/>
      <c r="U1671" s="81" t="n"/>
      <c r="V1671" s="81" t="n"/>
      <c r="W1671" s="43" t="n"/>
    </row>
    <row r="1672">
      <c r="A1672" s="43" t="inlineStr">
        <is>
          <t>P7</t>
        </is>
      </c>
      <c r="B1672" s="43" t="inlineStr">
        <is>
          <t>上弦杆拼接</t>
        </is>
      </c>
      <c r="C1672" s="43" t="inlineStr">
        <is>
          <t>节段1~节段2</t>
        </is>
      </c>
      <c r="D1672" s="43" t="inlineStr">
        <is>
          <t>Q355D</t>
        </is>
      </c>
      <c r="E1672" s="43" t="n">
        <v>920</v>
      </c>
      <c r="F1672" s="43" t="n">
        <v>200</v>
      </c>
      <c r="G1672" s="43" t="n">
        <v>20</v>
      </c>
      <c r="H1672" s="79">
        <f>(E1672/1000)*(F1672/1000)*(G1672/1000)*7850</f>
        <v/>
      </c>
      <c r="I1672" s="43" t="n">
        <v>10</v>
      </c>
      <c r="J1672" s="80">
        <f>H1672*I1672</f>
        <v/>
      </c>
      <c r="K1672" s="43" t="inlineStr">
        <is>
          <t>来源页145</t>
        </is>
      </c>
      <c r="L1672" s="43">
        <f>A1672</f>
        <v/>
      </c>
      <c r="M1672" s="81" t="n"/>
      <c r="N1672" s="81" t="n"/>
      <c r="O1672" s="81" t="n"/>
      <c r="P1672" s="81" t="n"/>
      <c r="Q1672" s="81" t="n"/>
      <c r="R1672" s="81" t="n"/>
      <c r="S1672" s="81" t="n"/>
      <c r="T1672" s="81" t="n"/>
      <c r="U1672" s="81" t="n"/>
      <c r="V1672" s="81" t="n"/>
      <c r="W1672" s="43" t="n"/>
    </row>
    <row r="1673">
      <c r="A1673" s="43" t="inlineStr">
        <is>
          <t>P8</t>
        </is>
      </c>
      <c r="B1673" s="43" t="inlineStr">
        <is>
          <t>上弦杆拼接</t>
        </is>
      </c>
      <c r="C1673" s="43" t="inlineStr">
        <is>
          <t>节段1~节段2</t>
        </is>
      </c>
      <c r="D1673" s="43" t="inlineStr">
        <is>
          <t>Q355D</t>
        </is>
      </c>
      <c r="E1673" s="43" t="n">
        <v>500</v>
      </c>
      <c r="F1673" s="43" t="n">
        <v>1800</v>
      </c>
      <c r="G1673" s="43" t="n">
        <v>20</v>
      </c>
      <c r="H1673" s="79">
        <f>(E1673/1000)*(F1673/1000)*(G1673/1000)*7850</f>
        <v/>
      </c>
      <c r="I1673" s="43" t="n">
        <v>2</v>
      </c>
      <c r="J1673" s="80">
        <f>H1673*I1673</f>
        <v/>
      </c>
      <c r="K1673" s="43" t="inlineStr">
        <is>
          <t>填板；来源页145</t>
        </is>
      </c>
      <c r="L1673" s="43">
        <f>A1673</f>
        <v/>
      </c>
      <c r="M1673" s="81" t="n"/>
      <c r="N1673" s="81" t="n"/>
      <c r="O1673" s="81" t="n"/>
      <c r="P1673" s="81" t="n"/>
      <c r="Q1673" s="81" t="n"/>
      <c r="R1673" s="81" t="n"/>
      <c r="S1673" s="81" t="n"/>
      <c r="T1673" s="81" t="n"/>
      <c r="U1673" s="81" t="n"/>
      <c r="V1673" s="81" t="n"/>
      <c r="W1673" s="43" t="n"/>
    </row>
    <row r="1674">
      <c r="A1674" s="43" t="inlineStr">
        <is>
          <t>M30高强螺栓</t>
        </is>
      </c>
      <c r="B1674" s="43" t="inlineStr">
        <is>
          <t>上弦杆拼接</t>
        </is>
      </c>
      <c r="C1674" s="43" t="inlineStr">
        <is>
          <t>节段1~节段2</t>
        </is>
      </c>
      <c r="D1674" s="43" t="inlineStr">
        <is>
          <t>10.9S</t>
        </is>
      </c>
      <c r="E1674" s="43" t="n"/>
      <c r="F1674" s="43" t="n"/>
      <c r="G1674" s="43" t="n"/>
      <c r="H1674" s="79">
        <f>(E1674/1000)*(F1674/1000)*(G1674/1000)*7850</f>
        <v/>
      </c>
      <c r="I1674" s="43" t="n">
        <v>380</v>
      </c>
      <c r="J1674" s="80">
        <f>H1674*I1674</f>
        <v/>
      </c>
      <c r="K1674" s="43" t="inlineStr">
        <is>
          <t>来源页145</t>
        </is>
      </c>
      <c r="L1674" s="43">
        <f>A1674</f>
        <v/>
      </c>
      <c r="M1674" s="81" t="n"/>
      <c r="N1674" s="81" t="n"/>
      <c r="O1674" s="81" t="n"/>
      <c r="P1674" s="81" t="n"/>
      <c r="Q1674" s="81" t="n"/>
      <c r="R1674" s="81" t="n"/>
      <c r="S1674" s="81" t="n"/>
      <c r="T1674" s="81" t="n"/>
      <c r="U1674" s="81" t="n"/>
      <c r="V1674" s="81" t="n"/>
      <c r="W1674" s="43" t="n"/>
    </row>
    <row r="1675">
      <c r="A1675" s="43" t="inlineStr">
        <is>
          <t>K1</t>
        </is>
      </c>
      <c r="B1675" s="43" t="inlineStr">
        <is>
          <t>下弦杆拼接</t>
        </is>
      </c>
      <c r="C1675" s="43" t="inlineStr">
        <is>
          <t>节段1~节段2</t>
        </is>
      </c>
      <c r="D1675" s="43" t="inlineStr">
        <is>
          <t>Q355D</t>
        </is>
      </c>
      <c r="E1675" s="43" t="n">
        <v>820</v>
      </c>
      <c r="F1675" s="43" t="n">
        <v>1300</v>
      </c>
      <c r="G1675" s="43" t="n">
        <v>20</v>
      </c>
      <c r="H1675" s="79">
        <f>(E1675/1000)*(F1675/1000)*(G1675/1000)*7850</f>
        <v/>
      </c>
      <c r="I1675" s="43" t="n">
        <v>2</v>
      </c>
      <c r="J1675" s="80">
        <f>H1675*I1675</f>
        <v/>
      </c>
      <c r="K1675" s="43" t="inlineStr">
        <is>
          <t>来源页145</t>
        </is>
      </c>
      <c r="L1675" s="43">
        <f>A1675</f>
        <v/>
      </c>
      <c r="M1675" s="81" t="n"/>
      <c r="N1675" s="81" t="n"/>
      <c r="O1675" s="81" t="n"/>
      <c r="P1675" s="81" t="n"/>
      <c r="Q1675" s="81" t="n"/>
      <c r="R1675" s="81" t="n"/>
      <c r="S1675" s="81" t="n"/>
      <c r="T1675" s="81" t="n"/>
      <c r="U1675" s="81" t="n"/>
      <c r="V1675" s="81" t="n"/>
      <c r="W1675" s="43" t="n"/>
    </row>
    <row r="1676">
      <c r="A1676" s="43" t="inlineStr">
        <is>
          <t>K2</t>
        </is>
      </c>
      <c r="B1676" s="43" t="inlineStr">
        <is>
          <t>下弦杆拼接</t>
        </is>
      </c>
      <c r="C1676" s="43" t="inlineStr">
        <is>
          <t>节段1~节段2</t>
        </is>
      </c>
      <c r="D1676" s="43" t="inlineStr">
        <is>
          <t>Q355D</t>
        </is>
      </c>
      <c r="E1676" s="43" t="n">
        <v>820</v>
      </c>
      <c r="F1676" s="43" t="n">
        <v>600</v>
      </c>
      <c r="G1676" s="43" t="n">
        <v>20</v>
      </c>
      <c r="H1676" s="79">
        <f>(E1676/1000)*(F1676/1000)*(G1676/1000)*7850</f>
        <v/>
      </c>
      <c r="I1676" s="43" t="n">
        <v>4</v>
      </c>
      <c r="J1676" s="80">
        <f>H1676*I1676</f>
        <v/>
      </c>
      <c r="K1676" s="43" t="inlineStr">
        <is>
          <t>来源页145</t>
        </is>
      </c>
      <c r="L1676" s="43">
        <f>A1676</f>
        <v/>
      </c>
      <c r="M1676" s="81" t="n"/>
      <c r="N1676" s="81" t="n"/>
      <c r="O1676" s="81" t="n"/>
      <c r="P1676" s="81" t="n"/>
      <c r="Q1676" s="81" t="n"/>
      <c r="R1676" s="81" t="n"/>
      <c r="S1676" s="81" t="n"/>
      <c r="T1676" s="81" t="n"/>
      <c r="U1676" s="81" t="n"/>
      <c r="V1676" s="81" t="n"/>
      <c r="W1676" s="43" t="n"/>
    </row>
    <row r="1677">
      <c r="A1677" s="43" t="inlineStr">
        <is>
          <t>K3</t>
        </is>
      </c>
      <c r="B1677" s="43" t="inlineStr">
        <is>
          <t>下弦杆拼接</t>
        </is>
      </c>
      <c r="C1677" s="43" t="inlineStr">
        <is>
          <t>节段1~节段2</t>
        </is>
      </c>
      <c r="D1677" s="43" t="inlineStr">
        <is>
          <t>Q355D</t>
        </is>
      </c>
      <c r="E1677" s="43" t="n">
        <v>1120</v>
      </c>
      <c r="F1677" s="43" t="n">
        <v>1100</v>
      </c>
      <c r="G1677" s="43" t="n">
        <v>32</v>
      </c>
      <c r="H1677" s="79">
        <f>(E1677/1000)*(F1677/1000)*(G1677/1000)*7850</f>
        <v/>
      </c>
      <c r="I1677" s="43" t="n">
        <v>1</v>
      </c>
      <c r="J1677" s="80">
        <f>H1677*I1677</f>
        <v/>
      </c>
      <c r="K1677" s="43" t="inlineStr">
        <is>
          <t>来源页145</t>
        </is>
      </c>
      <c r="L1677" s="43">
        <f>A1677</f>
        <v/>
      </c>
      <c r="M1677" s="81" t="n"/>
      <c r="N1677" s="81" t="n"/>
      <c r="O1677" s="81" t="n"/>
      <c r="P1677" s="81" t="n"/>
      <c r="Q1677" s="81" t="n"/>
      <c r="R1677" s="81" t="n"/>
      <c r="S1677" s="81" t="n"/>
      <c r="T1677" s="81" t="n"/>
      <c r="U1677" s="81" t="n"/>
      <c r="V1677" s="81" t="n"/>
      <c r="W1677" s="43" t="n"/>
    </row>
    <row r="1678">
      <c r="A1678" s="43" t="inlineStr">
        <is>
          <t>K4</t>
        </is>
      </c>
      <c r="B1678" s="43" t="inlineStr">
        <is>
          <t>下弦杆拼接</t>
        </is>
      </c>
      <c r="C1678" s="43" t="inlineStr">
        <is>
          <t>节段1~节段2</t>
        </is>
      </c>
      <c r="D1678" s="43" t="inlineStr">
        <is>
          <t>Q355D</t>
        </is>
      </c>
      <c r="E1678" s="43" t="n">
        <v>1120</v>
      </c>
      <c r="F1678" s="43" t="n">
        <v>400</v>
      </c>
      <c r="G1678" s="43" t="n">
        <v>32</v>
      </c>
      <c r="H1678" s="79">
        <f>(E1678/1000)*(F1678/1000)*(G1678/1000)*7850</f>
        <v/>
      </c>
      <c r="I1678" s="43" t="n">
        <v>2</v>
      </c>
      <c r="J1678" s="80">
        <f>H1678*I1678</f>
        <v/>
      </c>
      <c r="K1678" s="43" t="inlineStr">
        <is>
          <t>来源页145</t>
        </is>
      </c>
      <c r="L1678" s="43">
        <f>A1678</f>
        <v/>
      </c>
      <c r="M1678" s="81" t="n"/>
      <c r="N1678" s="81" t="n"/>
      <c r="O1678" s="81" t="n"/>
      <c r="P1678" s="81" t="n"/>
      <c r="Q1678" s="81" t="n"/>
      <c r="R1678" s="81" t="n"/>
      <c r="S1678" s="81" t="n"/>
      <c r="T1678" s="81" t="n"/>
      <c r="U1678" s="81" t="n"/>
      <c r="V1678" s="81" t="n"/>
      <c r="W1678" s="43" t="n"/>
    </row>
    <row r="1679">
      <c r="A1679" s="43" t="inlineStr">
        <is>
          <t>K6</t>
        </is>
      </c>
      <c r="B1679" s="43" t="inlineStr">
        <is>
          <t>下弦杆拼接</t>
        </is>
      </c>
      <c r="C1679" s="43" t="inlineStr">
        <is>
          <t>节段1~节段2</t>
        </is>
      </c>
      <c r="D1679" s="43" t="inlineStr">
        <is>
          <t>Q355D</t>
        </is>
      </c>
      <c r="E1679" s="43" t="n">
        <v>400</v>
      </c>
      <c r="F1679" s="43" t="n">
        <v>1700</v>
      </c>
      <c r="G1679" s="43" t="n">
        <v>16</v>
      </c>
      <c r="H1679" s="79">
        <f>(E1679/1000)*(F1679/1000)*(G1679/1000)*7850</f>
        <v/>
      </c>
      <c r="I1679" s="43" t="n">
        <v>2</v>
      </c>
      <c r="J1679" s="80">
        <f>H1679*I1679</f>
        <v/>
      </c>
      <c r="K1679" s="43" t="inlineStr">
        <is>
          <t>填板；来源页145</t>
        </is>
      </c>
      <c r="L1679" s="43">
        <f>A1679</f>
        <v/>
      </c>
      <c r="M1679" s="81" t="n"/>
      <c r="N1679" s="81" t="n"/>
      <c r="O1679" s="81" t="n"/>
      <c r="P1679" s="81" t="n"/>
      <c r="Q1679" s="81" t="n"/>
      <c r="R1679" s="81" t="n"/>
      <c r="S1679" s="81" t="n"/>
      <c r="T1679" s="81" t="n"/>
      <c r="U1679" s="81" t="n"/>
      <c r="V1679" s="81" t="n"/>
      <c r="W1679" s="43" t="n"/>
    </row>
    <row r="1680">
      <c r="A1680" s="43" t="inlineStr">
        <is>
          <t>M30高强螺栓</t>
        </is>
      </c>
      <c r="B1680" s="43" t="inlineStr">
        <is>
          <t>下弦杆拼接</t>
        </is>
      </c>
      <c r="C1680" s="43" t="inlineStr">
        <is>
          <t>节段1~节段2</t>
        </is>
      </c>
      <c r="D1680" s="43" t="inlineStr">
        <is>
          <t>10.9S</t>
        </is>
      </c>
      <c r="E1680" s="43" t="n"/>
      <c r="F1680" s="43" t="n"/>
      <c r="G1680" s="43" t="n"/>
      <c r="H1680" s="79">
        <f>(E1680/1000)*(F1680/1000)*(G1680/1000)*7850</f>
        <v/>
      </c>
      <c r="I1680" s="43" t="n">
        <v>276</v>
      </c>
      <c r="J1680" s="80">
        <f>H1680*I1680</f>
        <v/>
      </c>
      <c r="K1680" s="43" t="inlineStr">
        <is>
          <t>来源页145</t>
        </is>
      </c>
      <c r="L1680" s="43">
        <f>A1680</f>
        <v/>
      </c>
      <c r="M1680" s="81" t="n"/>
      <c r="N1680" s="81" t="n"/>
      <c r="O1680" s="81" t="n"/>
      <c r="P1680" s="81" t="n"/>
      <c r="Q1680" s="81" t="n"/>
      <c r="R1680" s="81" t="n"/>
      <c r="S1680" s="81" t="n"/>
      <c r="T1680" s="81" t="n"/>
      <c r="U1680" s="81" t="n"/>
      <c r="V1680" s="81" t="n"/>
      <c r="W1680" s="43" t="n"/>
    </row>
    <row r="1681">
      <c r="A1681" s="43" t="inlineStr">
        <is>
          <t>L1</t>
        </is>
      </c>
      <c r="B1681" s="43" t="inlineStr">
        <is>
          <t>腹杆拼接</t>
        </is>
      </c>
      <c r="C1681" s="43" t="inlineStr">
        <is>
          <t>节段1~节段2</t>
        </is>
      </c>
      <c r="D1681" s="43" t="inlineStr">
        <is>
          <t>Q355D</t>
        </is>
      </c>
      <c r="E1681" s="43" t="n">
        <v>1520</v>
      </c>
      <c r="F1681" s="43" t="n">
        <v>1100</v>
      </c>
      <c r="G1681" s="43" t="n">
        <v>24</v>
      </c>
      <c r="H1681" s="79">
        <f>(E1681/1000)*(F1681/1000)*(G1681/1000)*7850</f>
        <v/>
      </c>
      <c r="I1681" s="43" t="n">
        <v>2</v>
      </c>
      <c r="J1681" s="80">
        <f>H1681*I1681</f>
        <v/>
      </c>
      <c r="K1681" s="43" t="inlineStr">
        <is>
          <t>来源页145</t>
        </is>
      </c>
      <c r="L1681" s="43">
        <f>A1681</f>
        <v/>
      </c>
      <c r="M1681" s="81" t="n"/>
      <c r="N1681" s="81" t="n"/>
      <c r="O1681" s="81" t="n"/>
      <c r="P1681" s="81" t="n"/>
      <c r="Q1681" s="81" t="n"/>
      <c r="R1681" s="81" t="n"/>
      <c r="S1681" s="81" t="n"/>
      <c r="T1681" s="81" t="n"/>
      <c r="U1681" s="81" t="n"/>
      <c r="V1681" s="81" t="n"/>
      <c r="W1681" s="43" t="n"/>
    </row>
    <row r="1682">
      <c r="A1682" s="43" t="inlineStr">
        <is>
          <t>L2</t>
        </is>
      </c>
      <c r="B1682" s="43" t="inlineStr">
        <is>
          <t>腹杆拼接</t>
        </is>
      </c>
      <c r="C1682" s="43" t="inlineStr">
        <is>
          <t>节段1~节段2</t>
        </is>
      </c>
      <c r="D1682" s="43" t="inlineStr">
        <is>
          <t>Q355D</t>
        </is>
      </c>
      <c r="E1682" s="43" t="n">
        <v>1520</v>
      </c>
      <c r="F1682" s="43" t="n">
        <v>500</v>
      </c>
      <c r="G1682" s="43" t="n">
        <v>24</v>
      </c>
      <c r="H1682" s="79">
        <f>(E1682/1000)*(F1682/1000)*(G1682/1000)*7850</f>
        <v/>
      </c>
      <c r="I1682" s="43" t="n">
        <v>4</v>
      </c>
      <c r="J1682" s="80">
        <f>H1682*I1682</f>
        <v/>
      </c>
      <c r="K1682" s="43" t="inlineStr">
        <is>
          <t>来源页145</t>
        </is>
      </c>
      <c r="L1682" s="43">
        <f>A1682</f>
        <v/>
      </c>
      <c r="M1682" s="81" t="n"/>
      <c r="N1682" s="81" t="n"/>
      <c r="O1682" s="81" t="n"/>
      <c r="P1682" s="81" t="n"/>
      <c r="Q1682" s="81" t="n"/>
      <c r="R1682" s="81" t="n"/>
      <c r="S1682" s="81" t="n"/>
      <c r="T1682" s="81" t="n"/>
      <c r="U1682" s="81" t="n"/>
      <c r="V1682" s="81" t="n"/>
      <c r="W1682" s="43" t="n"/>
    </row>
    <row r="1683">
      <c r="A1683" s="43" t="inlineStr">
        <is>
          <t>L3</t>
        </is>
      </c>
      <c r="B1683" s="43" t="inlineStr">
        <is>
          <t>腹杆拼接</t>
        </is>
      </c>
      <c r="C1683" s="43" t="inlineStr">
        <is>
          <t>节段1~节段2</t>
        </is>
      </c>
      <c r="D1683" s="43" t="inlineStr">
        <is>
          <t>Q355D</t>
        </is>
      </c>
      <c r="E1683" s="43" t="n">
        <v>1320</v>
      </c>
      <c r="F1683" s="43" t="n">
        <v>1100</v>
      </c>
      <c r="G1683" s="43" t="n">
        <v>28</v>
      </c>
      <c r="H1683" s="79">
        <f>(E1683/1000)*(F1683/1000)*(G1683/1000)*7850</f>
        <v/>
      </c>
      <c r="I1683" s="43" t="n">
        <v>1</v>
      </c>
      <c r="J1683" s="80">
        <f>H1683*I1683</f>
        <v/>
      </c>
      <c r="K1683" s="43" t="inlineStr">
        <is>
          <t>来源页145</t>
        </is>
      </c>
      <c r="L1683" s="43">
        <f>A1683</f>
        <v/>
      </c>
      <c r="M1683" s="81" t="n"/>
      <c r="N1683" s="81" t="n"/>
      <c r="O1683" s="81" t="n"/>
      <c r="P1683" s="81" t="n"/>
      <c r="Q1683" s="81" t="n"/>
      <c r="R1683" s="81" t="n"/>
      <c r="S1683" s="81" t="n"/>
      <c r="T1683" s="81" t="n"/>
      <c r="U1683" s="81" t="n"/>
      <c r="V1683" s="81" t="n"/>
      <c r="W1683" s="43" t="n"/>
    </row>
    <row r="1684">
      <c r="A1684" s="43" t="inlineStr">
        <is>
          <t>L4</t>
        </is>
      </c>
      <c r="B1684" s="43" t="inlineStr">
        <is>
          <t>腹杆拼接</t>
        </is>
      </c>
      <c r="C1684" s="43" t="inlineStr">
        <is>
          <t>节段1~节段2</t>
        </is>
      </c>
      <c r="D1684" s="43" t="inlineStr">
        <is>
          <t>Q355D</t>
        </is>
      </c>
      <c r="E1684" s="43" t="n">
        <v>1320</v>
      </c>
      <c r="F1684" s="43" t="n">
        <v>500</v>
      </c>
      <c r="G1684" s="43" t="n">
        <v>28</v>
      </c>
      <c r="H1684" s="79">
        <f>(E1684/1000)*(F1684/1000)*(G1684/1000)*7850</f>
        <v/>
      </c>
      <c r="I1684" s="43" t="n">
        <v>2</v>
      </c>
      <c r="J1684" s="80">
        <f>H1684*I1684</f>
        <v/>
      </c>
      <c r="K1684" s="43" t="inlineStr">
        <is>
          <t>来源页145</t>
        </is>
      </c>
      <c r="L1684" s="43">
        <f>A1684</f>
        <v/>
      </c>
      <c r="M1684" s="81" t="n"/>
      <c r="N1684" s="81" t="n"/>
      <c r="O1684" s="81" t="n"/>
      <c r="P1684" s="81" t="n"/>
      <c r="Q1684" s="81" t="n"/>
      <c r="R1684" s="81" t="n"/>
      <c r="S1684" s="81" t="n"/>
      <c r="T1684" s="81" t="n"/>
      <c r="U1684" s="81" t="n"/>
      <c r="V1684" s="81" t="n"/>
      <c r="W1684" s="43" t="n"/>
    </row>
    <row r="1685">
      <c r="A1685" s="43" t="inlineStr">
        <is>
          <t>L5</t>
        </is>
      </c>
      <c r="B1685" s="43" t="inlineStr">
        <is>
          <t>腹杆拼接</t>
        </is>
      </c>
      <c r="C1685" s="43" t="inlineStr">
        <is>
          <t>节段1~节段2</t>
        </is>
      </c>
      <c r="D1685" s="43" t="inlineStr">
        <is>
          <t>Q355D</t>
        </is>
      </c>
      <c r="E1685" s="43" t="n">
        <v>1520</v>
      </c>
      <c r="F1685" s="43" t="n">
        <v>1100</v>
      </c>
      <c r="G1685" s="43" t="n">
        <v>44</v>
      </c>
      <c r="H1685" s="79">
        <f>(E1685/1000)*(F1685/1000)*(G1685/1000)*7850</f>
        <v/>
      </c>
      <c r="I1685" s="43" t="n">
        <v>1</v>
      </c>
      <c r="J1685" s="80">
        <f>H1685*I1685</f>
        <v/>
      </c>
      <c r="K1685" s="43" t="inlineStr">
        <is>
          <t>来源页145</t>
        </is>
      </c>
      <c r="L1685" s="43">
        <f>A1685</f>
        <v/>
      </c>
      <c r="M1685" s="81" t="n"/>
      <c r="N1685" s="81" t="n"/>
      <c r="O1685" s="81" t="n"/>
      <c r="P1685" s="81" t="n"/>
      <c r="Q1685" s="81" t="n"/>
      <c r="R1685" s="81" t="n"/>
      <c r="S1685" s="81" t="n"/>
      <c r="T1685" s="81" t="n"/>
      <c r="U1685" s="81" t="n"/>
      <c r="V1685" s="81" t="n"/>
      <c r="W1685" s="43" t="n"/>
    </row>
    <row r="1686">
      <c r="A1686" s="43" t="inlineStr">
        <is>
          <t>L6</t>
        </is>
      </c>
      <c r="B1686" s="43" t="inlineStr">
        <is>
          <t>腹杆拼接</t>
        </is>
      </c>
      <c r="C1686" s="43" t="inlineStr">
        <is>
          <t>节段1~节段2</t>
        </is>
      </c>
      <c r="D1686" s="43" t="inlineStr">
        <is>
          <t>Q355D</t>
        </is>
      </c>
      <c r="E1686" s="43" t="n">
        <v>1520</v>
      </c>
      <c r="F1686" s="43" t="n">
        <v>240</v>
      </c>
      <c r="G1686" s="43" t="n">
        <v>44</v>
      </c>
      <c r="H1686" s="79">
        <f>(E1686/1000)*(F1686/1000)*(G1686/1000)*7850</f>
        <v/>
      </c>
      <c r="I1686" s="43" t="n">
        <v>2</v>
      </c>
      <c r="J1686" s="80">
        <f>H1686*I1686</f>
        <v/>
      </c>
      <c r="K1686" s="43" t="inlineStr">
        <is>
          <t>来源页145</t>
        </is>
      </c>
      <c r="L1686" s="43">
        <f>A1686</f>
        <v/>
      </c>
      <c r="M1686" s="81" t="n"/>
      <c r="N1686" s="81" t="n"/>
      <c r="O1686" s="81" t="n"/>
      <c r="P1686" s="81" t="n"/>
      <c r="Q1686" s="81" t="n"/>
      <c r="R1686" s="81" t="n"/>
      <c r="S1686" s="81" t="n"/>
      <c r="T1686" s="81" t="n"/>
      <c r="U1686" s="81" t="n"/>
      <c r="V1686" s="81" t="n"/>
      <c r="W1686" s="43" t="n"/>
    </row>
    <row r="1687">
      <c r="A1687" s="43" t="inlineStr">
        <is>
          <t>L7</t>
        </is>
      </c>
      <c r="B1687" s="43" t="inlineStr">
        <is>
          <t>腹杆拼接</t>
        </is>
      </c>
      <c r="C1687" s="43" t="inlineStr">
        <is>
          <t>节段1~节段2</t>
        </is>
      </c>
      <c r="D1687" s="43" t="inlineStr">
        <is>
          <t>Q355D</t>
        </is>
      </c>
      <c r="E1687" s="43" t="n">
        <v>1220</v>
      </c>
      <c r="F1687" s="43" t="n">
        <v>240</v>
      </c>
      <c r="G1687" s="43" t="n">
        <v>24</v>
      </c>
      <c r="H1687" s="79">
        <f>(E1687/1000)*(F1687/1000)*(G1687/1000)*7850</f>
        <v/>
      </c>
      <c r="I1687" s="43" t="n">
        <v>4</v>
      </c>
      <c r="J1687" s="80">
        <f>H1687*I1687</f>
        <v/>
      </c>
      <c r="K1687" s="43" t="inlineStr">
        <is>
          <t>来源页145</t>
        </is>
      </c>
      <c r="L1687" s="43">
        <f>A1687</f>
        <v/>
      </c>
      <c r="M1687" s="81" t="n"/>
      <c r="N1687" s="81" t="n"/>
      <c r="O1687" s="81" t="n"/>
      <c r="P1687" s="81" t="n"/>
      <c r="Q1687" s="81" t="n"/>
      <c r="R1687" s="81" t="n"/>
      <c r="S1687" s="81" t="n"/>
      <c r="T1687" s="81" t="n"/>
      <c r="U1687" s="81" t="n"/>
      <c r="V1687" s="81" t="n"/>
      <c r="W1687" s="43" t="n"/>
    </row>
    <row r="1688">
      <c r="A1688" s="43" t="inlineStr">
        <is>
          <t>L8</t>
        </is>
      </c>
      <c r="B1688" s="43" t="inlineStr">
        <is>
          <t>腹杆拼接</t>
        </is>
      </c>
      <c r="C1688" s="43" t="inlineStr">
        <is>
          <t>节段1~节段2</t>
        </is>
      </c>
      <c r="D1688" s="43" t="inlineStr">
        <is>
          <t>Q355D</t>
        </is>
      </c>
      <c r="E1688" s="43" t="n">
        <v>1320</v>
      </c>
      <c r="F1688" s="43" t="n">
        <v>240</v>
      </c>
      <c r="G1688" s="43" t="n">
        <v>24</v>
      </c>
      <c r="H1688" s="79">
        <f>(E1688/1000)*(F1688/1000)*(G1688/1000)*7850</f>
        <v/>
      </c>
      <c r="I1688" s="43" t="n">
        <v>2</v>
      </c>
      <c r="J1688" s="80">
        <f>H1688*I1688</f>
        <v/>
      </c>
      <c r="K1688" s="43" t="inlineStr">
        <is>
          <t>来源页145</t>
        </is>
      </c>
      <c r="L1688" s="43">
        <f>A1688</f>
        <v/>
      </c>
      <c r="M1688" s="81" t="n"/>
      <c r="N1688" s="81" t="n"/>
      <c r="O1688" s="81" t="n"/>
      <c r="P1688" s="81" t="n"/>
      <c r="Q1688" s="81" t="n"/>
      <c r="R1688" s="81" t="n"/>
      <c r="S1688" s="81" t="n"/>
      <c r="T1688" s="81" t="n"/>
      <c r="U1688" s="81" t="n"/>
      <c r="V1688" s="81" t="n"/>
      <c r="W1688" s="43" t="n"/>
    </row>
    <row r="1689">
      <c r="A1689" s="43" t="inlineStr">
        <is>
          <t>N11a</t>
        </is>
      </c>
      <c r="B1689" s="43" t="inlineStr"/>
      <c r="C1689" s="43" t="inlineStr">
        <is>
          <t>节段02</t>
        </is>
      </c>
      <c r="D1689" s="43" t="inlineStr">
        <is>
          <t>Q355D</t>
        </is>
      </c>
      <c r="E1689" s="43" t="n"/>
      <c r="F1689" s="43" t="n"/>
      <c r="G1689" s="43" t="n">
        <v>20</v>
      </c>
      <c r="H1689" s="79">
        <f>(E1689/1000)*(F1689/1000)*(G1689/1000)*7850</f>
        <v/>
      </c>
      <c r="I1689" s="43" t="n">
        <v>1</v>
      </c>
      <c r="J1689" s="80">
        <f>H1689*I1689</f>
        <v/>
      </c>
      <c r="K1689" s="43" t="inlineStr">
        <is>
          <t>来源页146</t>
        </is>
      </c>
      <c r="L1689" s="43">
        <f>A1689</f>
        <v/>
      </c>
      <c r="M1689" s="81" t="n"/>
      <c r="N1689" s="81" t="n"/>
      <c r="O1689" s="81" t="n"/>
      <c r="P1689" s="81" t="n"/>
      <c r="Q1689" s="81" t="n"/>
      <c r="R1689" s="81" t="n"/>
      <c r="S1689" s="81" t="n"/>
      <c r="T1689" s="81" t="n"/>
      <c r="U1689" s="81" t="n"/>
      <c r="V1689" s="81" t="n"/>
      <c r="W1689" s="43" t="n"/>
    </row>
    <row r="1690">
      <c r="A1690" s="43" t="inlineStr">
        <is>
          <t>N11b</t>
        </is>
      </c>
      <c r="B1690" s="43" t="inlineStr"/>
      <c r="C1690" s="43" t="inlineStr">
        <is>
          <t>节段02</t>
        </is>
      </c>
      <c r="D1690" s="43" t="inlineStr">
        <is>
          <t>Q355D</t>
        </is>
      </c>
      <c r="E1690" s="43" t="n"/>
      <c r="F1690" s="43" t="n"/>
      <c r="G1690" s="43" t="n">
        <v>20</v>
      </c>
      <c r="H1690" s="79">
        <f>(E1690/1000)*(F1690/1000)*(G1690/1000)*7850</f>
        <v/>
      </c>
      <c r="I1690" s="43" t="n">
        <v>1</v>
      </c>
      <c r="J1690" s="80">
        <f>H1690*I1690</f>
        <v/>
      </c>
      <c r="K1690" s="43" t="inlineStr">
        <is>
          <t>来源页146</t>
        </is>
      </c>
      <c r="L1690" s="43">
        <f>A1690</f>
        <v/>
      </c>
      <c r="M1690" s="81" t="n"/>
      <c r="N1690" s="81" t="n"/>
      <c r="O1690" s="81" t="n"/>
      <c r="P1690" s="81" t="n"/>
      <c r="Q1690" s="81" t="n"/>
      <c r="R1690" s="81" t="n"/>
      <c r="S1690" s="81" t="n"/>
      <c r="T1690" s="81" t="n"/>
      <c r="U1690" s="81" t="n"/>
      <c r="V1690" s="81" t="n"/>
      <c r="W1690" s="43" t="n"/>
    </row>
    <row r="1691">
      <c r="A1691" s="43" t="inlineStr">
        <is>
          <t>N12a</t>
        </is>
      </c>
      <c r="B1691" s="43" t="inlineStr"/>
      <c r="C1691" s="43" t="inlineStr">
        <is>
          <t>节段02</t>
        </is>
      </c>
      <c r="D1691" s="43" t="inlineStr">
        <is>
          <t>Q355D</t>
        </is>
      </c>
      <c r="E1691" s="43" t="n">
        <v>7902</v>
      </c>
      <c r="F1691" s="43" t="n">
        <v>1200</v>
      </c>
      <c r="G1691" s="43" t="n">
        <v>20</v>
      </c>
      <c r="H1691" s="79">
        <f>(E1691/1000)*(F1691/1000)*(G1691/1000)*7850</f>
        <v/>
      </c>
      <c r="I1691" s="43" t="n">
        <v>1</v>
      </c>
      <c r="J1691" s="80">
        <f>H1691*I1691</f>
        <v/>
      </c>
      <c r="K1691" s="43" t="inlineStr">
        <is>
          <t>来源页146</t>
        </is>
      </c>
      <c r="L1691" s="43">
        <f>A1691</f>
        <v/>
      </c>
      <c r="M1691" s="81" t="n"/>
      <c r="N1691" s="81" t="n"/>
      <c r="O1691" s="81" t="n"/>
      <c r="P1691" s="81" t="n"/>
      <c r="Q1691" s="81" t="n"/>
      <c r="R1691" s="81" t="n"/>
      <c r="S1691" s="81" t="n"/>
      <c r="T1691" s="81" t="n"/>
      <c r="U1691" s="81" t="n"/>
      <c r="V1691" s="81" t="n"/>
      <c r="W1691" s="43" t="n"/>
    </row>
    <row r="1692">
      <c r="A1692" s="43" t="inlineStr">
        <is>
          <t>N12b</t>
        </is>
      </c>
      <c r="B1692" s="43" t="inlineStr"/>
      <c r="C1692" s="43" t="inlineStr">
        <is>
          <t>节段02</t>
        </is>
      </c>
      <c r="D1692" s="43" t="inlineStr">
        <is>
          <t>Q355D</t>
        </is>
      </c>
      <c r="E1692" s="43" t="n">
        <v>10150</v>
      </c>
      <c r="F1692" s="43" t="n">
        <v>1200</v>
      </c>
      <c r="G1692" s="43" t="n">
        <v>20</v>
      </c>
      <c r="H1692" s="79">
        <f>(E1692/1000)*(F1692/1000)*(G1692/1000)*7850</f>
        <v/>
      </c>
      <c r="I1692" s="43" t="n">
        <v>1</v>
      </c>
      <c r="J1692" s="80">
        <f>H1692*I1692</f>
        <v/>
      </c>
      <c r="K1692" s="43" t="inlineStr">
        <is>
          <t>来源页146</t>
        </is>
      </c>
      <c r="L1692" s="43">
        <f>A1692</f>
        <v/>
      </c>
      <c r="M1692" s="81" t="n"/>
      <c r="N1692" s="81" t="n"/>
      <c r="O1692" s="81" t="n"/>
      <c r="P1692" s="81" t="n"/>
      <c r="Q1692" s="81" t="n"/>
      <c r="R1692" s="81" t="n"/>
      <c r="S1692" s="81" t="n"/>
      <c r="T1692" s="81" t="n"/>
      <c r="U1692" s="81" t="n"/>
      <c r="V1692" s="81" t="n"/>
      <c r="W1692" s="43" t="n"/>
    </row>
    <row r="1693">
      <c r="A1693" s="43" t="inlineStr">
        <is>
          <t>N13</t>
        </is>
      </c>
      <c r="B1693" s="43" t="inlineStr"/>
      <c r="C1693" s="43" t="inlineStr">
        <is>
          <t>节段02</t>
        </is>
      </c>
      <c r="D1693" s="43" t="inlineStr">
        <is>
          <t>Q355D</t>
        </is>
      </c>
      <c r="E1693" s="43" t="n"/>
      <c r="F1693" s="43" t="n"/>
      <c r="G1693" s="43" t="n">
        <v>40</v>
      </c>
      <c r="H1693" s="79">
        <f>(E1693/1000)*(F1693/1000)*(G1693/1000)*7850</f>
        <v/>
      </c>
      <c r="I1693" s="43" t="n">
        <v>2</v>
      </c>
      <c r="J1693" s="80">
        <f>H1693*I1693</f>
        <v/>
      </c>
      <c r="K1693" s="43" t="inlineStr">
        <is>
          <t>来源页146</t>
        </is>
      </c>
      <c r="L1693" s="43">
        <f>A1693</f>
        <v/>
      </c>
      <c r="M1693" s="81" t="n"/>
      <c r="N1693" s="81" t="n"/>
      <c r="O1693" s="81" t="n"/>
      <c r="P1693" s="81" t="n"/>
      <c r="Q1693" s="81" t="n"/>
      <c r="R1693" s="81" t="n"/>
      <c r="S1693" s="81" t="n"/>
      <c r="T1693" s="81" t="n"/>
      <c r="U1693" s="81" t="n"/>
      <c r="V1693" s="81" t="n"/>
      <c r="W1693" s="43" t="n"/>
    </row>
    <row r="1694">
      <c r="A1694" s="43" t="inlineStr">
        <is>
          <t>N14</t>
        </is>
      </c>
      <c r="B1694" s="43" t="inlineStr"/>
      <c r="C1694" s="43" t="inlineStr">
        <is>
          <t>节段02</t>
        </is>
      </c>
      <c r="D1694" s="43" t="inlineStr">
        <is>
          <t>Q355D</t>
        </is>
      </c>
      <c r="E1694" s="43" t="n">
        <v>10350</v>
      </c>
      <c r="F1694" s="43" t="n">
        <v>1648</v>
      </c>
      <c r="G1694" s="43" t="n">
        <v>20</v>
      </c>
      <c r="H1694" s="79">
        <f>(E1694/1000)*(F1694/1000)*(G1694/1000)*7850</f>
        <v/>
      </c>
      <c r="I1694" s="43" t="n">
        <v>2</v>
      </c>
      <c r="J1694" s="80">
        <f>H1694*I1694</f>
        <v/>
      </c>
      <c r="K1694" s="43" t="inlineStr">
        <is>
          <t>来源页146</t>
        </is>
      </c>
      <c r="L1694" s="43">
        <f>A1694</f>
        <v/>
      </c>
      <c r="M1694" s="81" t="n"/>
      <c r="N1694" s="81" t="n"/>
      <c r="O1694" s="81" t="n"/>
      <c r="P1694" s="81" t="n"/>
      <c r="Q1694" s="81" t="n"/>
      <c r="R1694" s="81" t="n"/>
      <c r="S1694" s="81" t="n"/>
      <c r="T1694" s="81" t="n"/>
      <c r="U1694" s="81" t="n"/>
      <c r="V1694" s="81" t="n"/>
      <c r="W1694" s="43" t="n"/>
    </row>
    <row r="1695">
      <c r="A1695" s="43" t="inlineStr">
        <is>
          <t>N15</t>
        </is>
      </c>
      <c r="B1695" s="43" t="inlineStr"/>
      <c r="C1695" s="43" t="inlineStr">
        <is>
          <t>节段02</t>
        </is>
      </c>
      <c r="D1695" s="43" t="inlineStr">
        <is>
          <t>Q355D</t>
        </is>
      </c>
      <c r="E1695" s="43" t="n">
        <v>1580</v>
      </c>
      <c r="F1695" s="43" t="n">
        <v>1200</v>
      </c>
      <c r="G1695" s="43" t="n">
        <v>16</v>
      </c>
      <c r="H1695" s="79">
        <f>(E1695/1000)*(F1695/1000)*(G1695/1000)*7850</f>
        <v/>
      </c>
      <c r="I1695" s="43" t="n">
        <v>3</v>
      </c>
      <c r="J1695" s="80">
        <f>H1695*I1695</f>
        <v/>
      </c>
      <c r="K1695" s="43" t="inlineStr">
        <is>
          <t>来源页146</t>
        </is>
      </c>
      <c r="L1695" s="43">
        <f>A1695</f>
        <v/>
      </c>
      <c r="M1695" s="81" t="n"/>
      <c r="N1695" s="81" t="n"/>
      <c r="O1695" s="81" t="n"/>
      <c r="P1695" s="81" t="n"/>
      <c r="Q1695" s="81" t="n"/>
      <c r="R1695" s="81" t="n"/>
      <c r="S1695" s="81" t="n"/>
      <c r="T1695" s="81" t="n"/>
      <c r="U1695" s="81" t="n"/>
      <c r="V1695" s="81" t="n"/>
      <c r="W1695" s="43" t="n"/>
    </row>
    <row r="1696">
      <c r="A1696" s="43" t="inlineStr">
        <is>
          <t>N15a</t>
        </is>
      </c>
      <c r="B1696" s="43" t="inlineStr"/>
      <c r="C1696" s="43" t="inlineStr">
        <is>
          <t>节段02</t>
        </is>
      </c>
      <c r="D1696" s="43" t="inlineStr">
        <is>
          <t>Q355D</t>
        </is>
      </c>
      <c r="E1696" s="43" t="n">
        <v>1580</v>
      </c>
      <c r="F1696" s="43" t="n">
        <v>1200</v>
      </c>
      <c r="G1696" s="43" t="n">
        <v>16</v>
      </c>
      <c r="H1696" s="79">
        <f>(E1696/1000)*(F1696/1000)*(G1696/1000)*7850</f>
        <v/>
      </c>
      <c r="I1696" s="43" t="n">
        <v>3</v>
      </c>
      <c r="J1696" s="80">
        <f>H1696*I1696</f>
        <v/>
      </c>
      <c r="K1696" s="43" t="inlineStr">
        <is>
          <t>来源页146</t>
        </is>
      </c>
      <c r="L1696" s="43">
        <f>A1696</f>
        <v/>
      </c>
      <c r="M1696" s="81" t="n"/>
      <c r="N1696" s="81" t="n"/>
      <c r="O1696" s="81" t="n"/>
      <c r="P1696" s="81" t="n"/>
      <c r="Q1696" s="81" t="n"/>
      <c r="R1696" s="81" t="n"/>
      <c r="S1696" s="81" t="n"/>
      <c r="T1696" s="81" t="n"/>
      <c r="U1696" s="81" t="n"/>
      <c r="V1696" s="81" t="n"/>
      <c r="W1696" s="43" t="n"/>
    </row>
    <row r="1697">
      <c r="A1697" s="43" t="inlineStr">
        <is>
          <t>N15‘</t>
        </is>
      </c>
      <c r="B1697" s="43" t="inlineStr"/>
      <c r="C1697" s="43" t="inlineStr">
        <is>
          <t>节段02</t>
        </is>
      </c>
      <c r="D1697" s="43" t="inlineStr">
        <is>
          <t>Q355D</t>
        </is>
      </c>
      <c r="E1697" s="43" t="n">
        <v>2057</v>
      </c>
      <c r="F1697" s="43" t="n">
        <v>200</v>
      </c>
      <c r="G1697" s="43" t="n">
        <v>16</v>
      </c>
      <c r="H1697" s="79">
        <f>(E1697/1000)*(F1697/1000)*(G1697/1000)*7850</f>
        <v/>
      </c>
      <c r="I1697" s="43" t="n">
        <v>4</v>
      </c>
      <c r="J1697" s="80">
        <f>H1697*I1697</f>
        <v/>
      </c>
      <c r="K1697" s="43" t="inlineStr">
        <is>
          <t>来源页146</t>
        </is>
      </c>
      <c r="L1697" s="43">
        <f>A1697</f>
        <v/>
      </c>
      <c r="M1697" s="81" t="n"/>
      <c r="N1697" s="81" t="n"/>
      <c r="O1697" s="81" t="n"/>
      <c r="P1697" s="81" t="n"/>
      <c r="Q1697" s="81" t="n"/>
      <c r="R1697" s="81" t="n"/>
      <c r="S1697" s="81" t="n"/>
      <c r="T1697" s="81" t="n"/>
      <c r="U1697" s="81" t="n"/>
      <c r="V1697" s="81" t="n"/>
      <c r="W1697" s="43" t="n"/>
    </row>
    <row r="1698">
      <c r="A1698" s="43" t="inlineStr">
        <is>
          <t>N15b</t>
        </is>
      </c>
      <c r="B1698" s="43" t="inlineStr"/>
      <c r="C1698" s="43" t="inlineStr">
        <is>
          <t>节段02</t>
        </is>
      </c>
      <c r="D1698" s="43" t="inlineStr">
        <is>
          <t>Q355D</t>
        </is>
      </c>
      <c r="E1698" s="43" t="n">
        <v>1782</v>
      </c>
      <c r="F1698" s="43" t="n">
        <v>40</v>
      </c>
      <c r="G1698" s="43" t="n">
        <v>4</v>
      </c>
      <c r="H1698" s="79">
        <f>(E1698/1000)*(F1698/1000)*(G1698/1000)*7850</f>
        <v/>
      </c>
      <c r="I1698" s="43" t="n">
        <v>4</v>
      </c>
      <c r="J1698" s="80">
        <f>H1698*I1698</f>
        <v/>
      </c>
      <c r="K1698" s="43" t="inlineStr">
        <is>
          <t>来源页146</t>
        </is>
      </c>
      <c r="L1698" s="43">
        <f>A1698</f>
        <v/>
      </c>
      <c r="M1698" s="81" t="n"/>
      <c r="N1698" s="81" t="n"/>
      <c r="O1698" s="81" t="n"/>
      <c r="P1698" s="81" t="n"/>
      <c r="Q1698" s="81" t="n"/>
      <c r="R1698" s="81" t="n"/>
      <c r="S1698" s="81" t="n"/>
      <c r="T1698" s="81" t="n"/>
      <c r="U1698" s="81" t="n"/>
      <c r="V1698" s="81" t="n"/>
      <c r="W1698" s="43" t="n"/>
    </row>
    <row r="1699">
      <c r="A1699" s="43" t="inlineStr">
        <is>
          <t>N15c</t>
        </is>
      </c>
      <c r="B1699" s="43" t="inlineStr"/>
      <c r="C1699" s="43" t="inlineStr">
        <is>
          <t>节段02</t>
        </is>
      </c>
      <c r="D1699" s="43" t="inlineStr">
        <is>
          <t>Q355D</t>
        </is>
      </c>
      <c r="E1699" s="43" t="n">
        <v>600</v>
      </c>
      <c r="F1699" s="43" t="n">
        <v>400</v>
      </c>
      <c r="G1699" s="43" t="n">
        <v>16</v>
      </c>
      <c r="H1699" s="79">
        <f>(E1699/1000)*(F1699/1000)*(G1699/1000)*7850</f>
        <v/>
      </c>
      <c r="I1699" s="43" t="n">
        <v>4</v>
      </c>
      <c r="J1699" s="80">
        <f>H1699*I1699</f>
        <v/>
      </c>
      <c r="K1699" s="43" t="inlineStr">
        <is>
          <t>来源页146</t>
        </is>
      </c>
      <c r="L1699" s="43">
        <f>A1699</f>
        <v/>
      </c>
      <c r="M1699" s="81" t="n"/>
      <c r="N1699" s="81" t="n"/>
      <c r="O1699" s="81" t="n"/>
      <c r="P1699" s="81" t="n"/>
      <c r="Q1699" s="81" t="n"/>
      <c r="R1699" s="81" t="n"/>
      <c r="S1699" s="81" t="n"/>
      <c r="T1699" s="81" t="n"/>
      <c r="U1699" s="81" t="n"/>
      <c r="V1699" s="81" t="n"/>
      <c r="W1699" s="43" t="n"/>
    </row>
    <row r="1700">
      <c r="A1700" s="43" t="inlineStr">
        <is>
          <t>N21a</t>
        </is>
      </c>
      <c r="B1700" s="43" t="inlineStr"/>
      <c r="C1700" s="43" t="inlineStr">
        <is>
          <t>节段02</t>
        </is>
      </c>
      <c r="D1700" s="43" t="inlineStr">
        <is>
          <t>Q355D</t>
        </is>
      </c>
      <c r="E1700" s="43" t="n">
        <v>7902</v>
      </c>
      <c r="F1700" s="43" t="n">
        <v>1850</v>
      </c>
      <c r="G1700" s="43" t="n">
        <v>20</v>
      </c>
      <c r="H1700" s="79">
        <f>(E1700/1000)*(F1700/1000)*(G1700/1000)*7850</f>
        <v/>
      </c>
      <c r="I1700" s="43" t="n">
        <v>1</v>
      </c>
      <c r="J1700" s="80">
        <f>H1700*I1700</f>
        <v/>
      </c>
      <c r="K1700" s="43" t="inlineStr">
        <is>
          <t>来源页146</t>
        </is>
      </c>
      <c r="L1700" s="43">
        <f>A1700</f>
        <v/>
      </c>
      <c r="M1700" s="81" t="n"/>
      <c r="N1700" s="81" t="n"/>
      <c r="O1700" s="81" t="n"/>
      <c r="P1700" s="81" t="n"/>
      <c r="Q1700" s="81" t="n"/>
      <c r="R1700" s="81" t="n"/>
      <c r="S1700" s="81" t="n"/>
      <c r="T1700" s="81" t="n"/>
      <c r="U1700" s="81" t="n"/>
      <c r="V1700" s="81" t="n"/>
      <c r="W1700" s="43" t="n"/>
    </row>
    <row r="1701">
      <c r="A1701" s="43" t="inlineStr">
        <is>
          <t>N21b</t>
        </is>
      </c>
      <c r="B1701" s="43" t="inlineStr"/>
      <c r="C1701" s="43" t="inlineStr">
        <is>
          <t>节段02</t>
        </is>
      </c>
      <c r="D1701" s="43" t="inlineStr">
        <is>
          <t>Q355D</t>
        </is>
      </c>
      <c r="E1701" s="43" t="n">
        <v>10105</v>
      </c>
      <c r="F1701" s="43" t="n">
        <v>1850</v>
      </c>
      <c r="G1701" s="43" t="n">
        <v>20</v>
      </c>
      <c r="H1701" s="79">
        <f>(E1701/1000)*(F1701/1000)*(G1701/1000)*7850</f>
        <v/>
      </c>
      <c r="I1701" s="43" t="n">
        <v>1</v>
      </c>
      <c r="J1701" s="80">
        <f>H1701*I1701</f>
        <v/>
      </c>
      <c r="K1701" s="43" t="inlineStr">
        <is>
          <t>来源页146</t>
        </is>
      </c>
      <c r="L1701" s="43">
        <f>A1701</f>
        <v/>
      </c>
      <c r="M1701" s="81" t="n"/>
      <c r="N1701" s="81" t="n"/>
      <c r="O1701" s="81" t="n"/>
      <c r="P1701" s="81" t="n"/>
      <c r="Q1701" s="81" t="n"/>
      <c r="R1701" s="81" t="n"/>
      <c r="S1701" s="81" t="n"/>
      <c r="T1701" s="81" t="n"/>
      <c r="U1701" s="81" t="n"/>
      <c r="V1701" s="81" t="n"/>
      <c r="W1701" s="43" t="n"/>
    </row>
    <row r="1702">
      <c r="A1702" s="43" t="inlineStr">
        <is>
          <t>N22α</t>
        </is>
      </c>
      <c r="B1702" s="43" t="inlineStr"/>
      <c r="C1702" s="43" t="inlineStr">
        <is>
          <t>节段02</t>
        </is>
      </c>
      <c r="D1702" s="43" t="inlineStr">
        <is>
          <t>Q355D</t>
        </is>
      </c>
      <c r="E1702" s="43" t="n"/>
      <c r="F1702" s="43" t="n"/>
      <c r="G1702" s="43" t="n">
        <v>20</v>
      </c>
      <c r="H1702" s="79">
        <f>(E1702/1000)*(F1702/1000)*(G1702/1000)*7850</f>
        <v/>
      </c>
      <c r="I1702" s="43" t="n">
        <v>1</v>
      </c>
      <c r="J1702" s="80">
        <f>H1702*I1702</f>
        <v/>
      </c>
      <c r="K1702" s="43" t="inlineStr">
        <is>
          <t>来源页146</t>
        </is>
      </c>
      <c r="L1702" s="43">
        <f>A1702</f>
        <v/>
      </c>
      <c r="M1702" s="81" t="n"/>
      <c r="N1702" s="81" t="n"/>
      <c r="O1702" s="81" t="n"/>
      <c r="P1702" s="81" t="n"/>
      <c r="Q1702" s="81" t="n"/>
      <c r="R1702" s="81" t="n"/>
      <c r="S1702" s="81" t="n"/>
      <c r="T1702" s="81" t="n"/>
      <c r="U1702" s="81" t="n"/>
      <c r="V1702" s="81" t="n"/>
      <c r="W1702" s="43" t="n"/>
    </row>
    <row r="1703">
      <c r="A1703" s="43" t="inlineStr">
        <is>
          <t>N22b</t>
        </is>
      </c>
      <c r="B1703" s="43" t="inlineStr"/>
      <c r="C1703" s="43" t="inlineStr">
        <is>
          <t>节段02</t>
        </is>
      </c>
      <c r="D1703" s="43" t="inlineStr">
        <is>
          <t>Q355D</t>
        </is>
      </c>
      <c r="E1703" s="43" t="n"/>
      <c r="F1703" s="43" t="n"/>
      <c r="G1703" s="43" t="n">
        <v>20</v>
      </c>
      <c r="H1703" s="79">
        <f>(E1703/1000)*(F1703/1000)*(G1703/1000)*7850</f>
        <v/>
      </c>
      <c r="I1703" s="43" t="n">
        <v>1</v>
      </c>
      <c r="J1703" s="80">
        <f>H1703*I1703</f>
        <v/>
      </c>
      <c r="K1703" s="43" t="inlineStr">
        <is>
          <t>来源页146</t>
        </is>
      </c>
      <c r="L1703" s="43">
        <f>A1703</f>
        <v/>
      </c>
      <c r="M1703" s="81" t="n"/>
      <c r="N1703" s="81" t="n"/>
      <c r="O1703" s="81" t="n"/>
      <c r="P1703" s="81" t="n"/>
      <c r="Q1703" s="81" t="n"/>
      <c r="R1703" s="81" t="n"/>
      <c r="S1703" s="81" t="n"/>
      <c r="T1703" s="81" t="n"/>
      <c r="U1703" s="81" t="n"/>
      <c r="V1703" s="81" t="n"/>
      <c r="W1703" s="43" t="n"/>
    </row>
    <row r="1704">
      <c r="A1704" s="43" t="inlineStr">
        <is>
          <t>N23</t>
        </is>
      </c>
      <c r="B1704" s="43" t="inlineStr"/>
      <c r="C1704" s="43" t="inlineStr">
        <is>
          <t>节段02</t>
        </is>
      </c>
      <c r="D1704" s="43" t="inlineStr">
        <is>
          <t>Q355D</t>
        </is>
      </c>
      <c r="E1704" s="43" t="n"/>
      <c r="F1704" s="43" t="n"/>
      <c r="G1704" s="43" t="n">
        <v>40</v>
      </c>
      <c r="H1704" s="79">
        <f>(E1704/1000)*(F1704/1000)*(G1704/1000)*7850</f>
        <v/>
      </c>
      <c r="I1704" s="43" t="n">
        <v>2</v>
      </c>
      <c r="J1704" s="80">
        <f>H1704*I1704</f>
        <v/>
      </c>
      <c r="K1704" s="43" t="inlineStr">
        <is>
          <t>Z35钢；来源页146</t>
        </is>
      </c>
      <c r="L1704" s="43">
        <f>A1704</f>
        <v/>
      </c>
      <c r="M1704" s="81" t="n"/>
      <c r="N1704" s="81" t="n"/>
      <c r="O1704" s="81" t="n"/>
      <c r="P1704" s="81" t="n"/>
      <c r="Q1704" s="81" t="n"/>
      <c r="R1704" s="81" t="n"/>
      <c r="S1704" s="81" t="n"/>
      <c r="T1704" s="81" t="n"/>
      <c r="U1704" s="81" t="n"/>
      <c r="V1704" s="81" t="n"/>
      <c r="W1704" s="43" t="n"/>
    </row>
    <row r="1705">
      <c r="A1705" s="43" t="inlineStr">
        <is>
          <t>N24</t>
        </is>
      </c>
      <c r="B1705" s="43" t="inlineStr"/>
      <c r="C1705" s="43" t="inlineStr">
        <is>
          <t>节段02</t>
        </is>
      </c>
      <c r="D1705" s="43" t="inlineStr">
        <is>
          <t>Q355D</t>
        </is>
      </c>
      <c r="E1705" s="43" t="n">
        <v>10305</v>
      </c>
      <c r="F1705" s="43" t="n">
        <v>1470</v>
      </c>
      <c r="G1705" s="43" t="n">
        <v>24</v>
      </c>
      <c r="H1705" s="79">
        <f>(E1705/1000)*(F1705/1000)*(G1705/1000)*7850</f>
        <v/>
      </c>
      <c r="I1705" s="43" t="n">
        <v>2</v>
      </c>
      <c r="J1705" s="80">
        <f>H1705*I1705</f>
        <v/>
      </c>
      <c r="K1705" s="43" t="inlineStr">
        <is>
          <t>来源页146</t>
        </is>
      </c>
      <c r="L1705" s="43">
        <f>A1705</f>
        <v/>
      </c>
      <c r="M1705" s="81" t="n"/>
      <c r="N1705" s="81" t="n"/>
      <c r="O1705" s="81" t="n"/>
      <c r="P1705" s="81" t="n"/>
      <c r="Q1705" s="81" t="n"/>
      <c r="R1705" s="81" t="n"/>
      <c r="S1705" s="81" t="n"/>
      <c r="T1705" s="81" t="n"/>
      <c r="U1705" s="81" t="n"/>
      <c r="V1705" s="81" t="n"/>
      <c r="W1705" s="43" t="n"/>
    </row>
    <row r="1706">
      <c r="A1706" s="43" t="inlineStr">
        <is>
          <t>N25</t>
        </is>
      </c>
      <c r="B1706" s="43" t="inlineStr"/>
      <c r="C1706" s="43" t="inlineStr">
        <is>
          <t>节段02</t>
        </is>
      </c>
      <c r="D1706" s="43" t="inlineStr">
        <is>
          <t>Q355D</t>
        </is>
      </c>
      <c r="E1706" s="43" t="n">
        <v>1450</v>
      </c>
      <c r="F1706" s="43" t="n">
        <v>1200</v>
      </c>
      <c r="G1706" s="43" t="n">
        <v>16</v>
      </c>
      <c r="H1706" s="79">
        <f>(E1706/1000)*(F1706/1000)*(G1706/1000)*7850</f>
        <v/>
      </c>
      <c r="I1706" s="43" t="n">
        <v>3</v>
      </c>
      <c r="J1706" s="80">
        <f>H1706*I1706</f>
        <v/>
      </c>
      <c r="K1706" s="43" t="inlineStr">
        <is>
          <t>来源页146</t>
        </is>
      </c>
      <c r="L1706" s="43">
        <f>A1706</f>
        <v/>
      </c>
      <c r="M1706" s="81" t="n"/>
      <c r="N1706" s="81" t="n"/>
      <c r="O1706" s="81" t="n"/>
      <c r="P1706" s="81" t="n"/>
      <c r="Q1706" s="81" t="n"/>
      <c r="R1706" s="81" t="n"/>
      <c r="S1706" s="81" t="n"/>
      <c r="T1706" s="81" t="n"/>
      <c r="U1706" s="81" t="n"/>
      <c r="V1706" s="81" t="n"/>
      <c r="W1706" s="43" t="n"/>
    </row>
    <row r="1707">
      <c r="A1707" s="43" t="inlineStr">
        <is>
          <t>N25a</t>
        </is>
      </c>
      <c r="B1707" s="43" t="inlineStr"/>
      <c r="C1707" s="43" t="inlineStr">
        <is>
          <t>节段02</t>
        </is>
      </c>
      <c r="D1707" s="43" t="inlineStr">
        <is>
          <t>Q355D</t>
        </is>
      </c>
      <c r="E1707" s="43" t="n">
        <v>1450</v>
      </c>
      <c r="F1707" s="43" t="n">
        <v>1200</v>
      </c>
      <c r="G1707" s="43" t="n">
        <v>16</v>
      </c>
      <c r="H1707" s="79">
        <f>(E1707/1000)*(F1707/1000)*(G1707/1000)*7850</f>
        <v/>
      </c>
      <c r="I1707" s="43" t="n">
        <v>3</v>
      </c>
      <c r="J1707" s="80">
        <f>H1707*I1707</f>
        <v/>
      </c>
      <c r="K1707" s="43" t="inlineStr">
        <is>
          <t>来源页146</t>
        </is>
      </c>
      <c r="L1707" s="43">
        <f>A1707</f>
        <v/>
      </c>
      <c r="M1707" s="81" t="n"/>
      <c r="N1707" s="81" t="n"/>
      <c r="O1707" s="81" t="n"/>
      <c r="P1707" s="81" t="n"/>
      <c r="Q1707" s="81" t="n"/>
      <c r="R1707" s="81" t="n"/>
      <c r="S1707" s="81" t="n"/>
      <c r="T1707" s="81" t="n"/>
      <c r="U1707" s="81" t="n"/>
      <c r="V1707" s="81" t="n"/>
      <c r="W1707" s="43" t="n"/>
    </row>
    <row r="1708">
      <c r="A1708" s="43" t="inlineStr">
        <is>
          <t>N25'</t>
        </is>
      </c>
      <c r="B1708" s="43" t="inlineStr"/>
      <c r="C1708" s="43" t="inlineStr">
        <is>
          <t>节段02</t>
        </is>
      </c>
      <c r="D1708" s="43" t="inlineStr">
        <is>
          <t>Q355D</t>
        </is>
      </c>
      <c r="E1708" s="43" t="n">
        <v>1657</v>
      </c>
      <c r="F1708" s="43" t="n">
        <v>200</v>
      </c>
      <c r="G1708" s="43" t="n">
        <v>16</v>
      </c>
      <c r="H1708" s="79">
        <f>(E1708/1000)*(F1708/1000)*(G1708/1000)*7850</f>
        <v/>
      </c>
      <c r="I1708" s="43" t="n">
        <v>4</v>
      </c>
      <c r="J1708" s="80">
        <f>H1708*I1708</f>
        <v/>
      </c>
      <c r="K1708" s="43" t="inlineStr">
        <is>
          <t>来源页146</t>
        </is>
      </c>
      <c r="L1708" s="43">
        <f>A1708</f>
        <v/>
      </c>
      <c r="M1708" s="81" t="n"/>
      <c r="N1708" s="81" t="n"/>
      <c r="O1708" s="81" t="n"/>
      <c r="P1708" s="81" t="n"/>
      <c r="Q1708" s="81" t="n"/>
      <c r="R1708" s="81" t="n"/>
      <c r="S1708" s="81" t="n"/>
      <c r="T1708" s="81" t="n"/>
      <c r="U1708" s="81" t="n"/>
      <c r="V1708" s="81" t="n"/>
      <c r="W1708" s="43" t="n"/>
    </row>
    <row r="1709">
      <c r="A1709" s="43" t="inlineStr">
        <is>
          <t>N26a</t>
        </is>
      </c>
      <c r="B1709" s="43" t="inlineStr"/>
      <c r="C1709" s="43" t="inlineStr">
        <is>
          <t>节段02</t>
        </is>
      </c>
      <c r="D1709" s="43" t="inlineStr">
        <is>
          <t>Q355D</t>
        </is>
      </c>
      <c r="E1709" s="43" t="n">
        <v>7902</v>
      </c>
      <c r="F1709" s="43" t="n">
        <v>240</v>
      </c>
      <c r="G1709" s="43" t="n">
        <v>20</v>
      </c>
      <c r="H1709" s="79">
        <f>(E1709/1000)*(F1709/1000)*(G1709/1000)*7850</f>
        <v/>
      </c>
      <c r="I1709" s="43" t="n">
        <v>4</v>
      </c>
      <c r="J1709" s="80">
        <f>H1709*I1709</f>
        <v/>
      </c>
      <c r="K1709" s="43" t="inlineStr">
        <is>
          <t>来源页146</t>
        </is>
      </c>
      <c r="L1709" s="43">
        <f>A1709</f>
        <v/>
      </c>
      <c r="M1709" s="81" t="n"/>
      <c r="N1709" s="81" t="n"/>
      <c r="O1709" s="81" t="n"/>
      <c r="P1709" s="81" t="n"/>
      <c r="Q1709" s="81" t="n"/>
      <c r="R1709" s="81" t="n"/>
      <c r="S1709" s="81" t="n"/>
      <c r="T1709" s="81" t="n"/>
      <c r="U1709" s="81" t="n"/>
      <c r="V1709" s="81" t="n"/>
      <c r="W1709" s="43" t="n"/>
    </row>
    <row r="1710">
      <c r="A1710" s="43" t="inlineStr">
        <is>
          <t>N26b</t>
        </is>
      </c>
      <c r="B1710" s="43" t="inlineStr"/>
      <c r="C1710" s="43" t="inlineStr">
        <is>
          <t>节段02</t>
        </is>
      </c>
      <c r="D1710" s="43" t="inlineStr">
        <is>
          <t>Q355D</t>
        </is>
      </c>
      <c r="E1710" s="43" t="n">
        <v>10105</v>
      </c>
      <c r="F1710" s="43" t="n">
        <v>240</v>
      </c>
      <c r="G1710" s="43" t="n">
        <v>20</v>
      </c>
      <c r="H1710" s="79">
        <f>(E1710/1000)*(F1710/1000)*(G1710/1000)*7850</f>
        <v/>
      </c>
      <c r="I1710" s="43" t="n">
        <v>4</v>
      </c>
      <c r="J1710" s="80">
        <f>H1710*I1710</f>
        <v/>
      </c>
      <c r="K1710" s="43" t="inlineStr">
        <is>
          <t>来源页146</t>
        </is>
      </c>
      <c r="L1710" s="43">
        <f>A1710</f>
        <v/>
      </c>
      <c r="M1710" s="81" t="n"/>
      <c r="N1710" s="81" t="n"/>
      <c r="O1710" s="81" t="n"/>
      <c r="P1710" s="81" t="n"/>
      <c r="Q1710" s="81" t="n"/>
      <c r="R1710" s="81" t="n"/>
      <c r="S1710" s="81" t="n"/>
      <c r="T1710" s="81" t="n"/>
      <c r="U1710" s="81" t="n"/>
      <c r="V1710" s="81" t="n"/>
      <c r="W1710" s="43" t="n"/>
    </row>
    <row r="1711">
      <c r="A1711" s="43" t="inlineStr">
        <is>
          <t>N26c</t>
        </is>
      </c>
      <c r="B1711" s="43" t="inlineStr"/>
      <c r="C1711" s="43" t="inlineStr">
        <is>
          <t>节段02</t>
        </is>
      </c>
      <c r="D1711" s="43" t="inlineStr">
        <is>
          <t>Q355D</t>
        </is>
      </c>
      <c r="E1711" s="43" t="n">
        <v>18007</v>
      </c>
      <c r="F1711" s="43" t="n">
        <v>170</v>
      </c>
      <c r="G1711" s="43" t="n">
        <v>14</v>
      </c>
      <c r="H1711" s="79">
        <f>(E1711/1000)*(F1711/1000)*(G1711/1000)*7850</f>
        <v/>
      </c>
      <c r="I1711" s="43" t="n">
        <v>1</v>
      </c>
      <c r="J1711" s="80">
        <f>H1711*I1711</f>
        <v/>
      </c>
      <c r="K1711" s="43" t="inlineStr">
        <is>
          <t>来源页146</t>
        </is>
      </c>
      <c r="L1711" s="43">
        <f>A1711</f>
        <v/>
      </c>
      <c r="M1711" s="81" t="n"/>
      <c r="N1711" s="81" t="n"/>
      <c r="O1711" s="81" t="n"/>
      <c r="P1711" s="81" t="n"/>
      <c r="Q1711" s="81" t="n"/>
      <c r="R1711" s="81" t="n"/>
      <c r="S1711" s="81" t="n"/>
      <c r="T1711" s="81" t="n"/>
      <c r="U1711" s="81" t="n"/>
      <c r="V1711" s="81" t="n"/>
      <c r="W1711" s="43" t="n"/>
    </row>
    <row r="1712">
      <c r="A1712" s="43" t="inlineStr">
        <is>
          <t>N31</t>
        </is>
      </c>
      <c r="B1712" s="43" t="inlineStr"/>
      <c r="C1712" s="43" t="inlineStr">
        <is>
          <t>节段02</t>
        </is>
      </c>
      <c r="D1712" s="43" t="inlineStr">
        <is>
          <t>Q355D</t>
        </is>
      </c>
      <c r="E1712" s="43" t="n">
        <v>10047</v>
      </c>
      <c r="F1712" s="43" t="n">
        <v>900</v>
      </c>
      <c r="G1712" s="43" t="n">
        <v>36</v>
      </c>
      <c r="H1712" s="79">
        <f>(E1712/1000)*(F1712/1000)*(G1712/1000)*7850</f>
        <v/>
      </c>
      <c r="I1712" s="43" t="n">
        <v>2</v>
      </c>
      <c r="J1712" s="80">
        <f>H1712*I1712</f>
        <v/>
      </c>
      <c r="K1712" s="43" t="inlineStr">
        <is>
          <t>来源页146</t>
        </is>
      </c>
      <c r="L1712" s="43">
        <f>A1712</f>
        <v/>
      </c>
      <c r="M1712" s="81" t="n"/>
      <c r="N1712" s="81" t="n"/>
      <c r="O1712" s="81" t="n"/>
      <c r="P1712" s="81" t="n"/>
      <c r="Q1712" s="81" t="n"/>
      <c r="R1712" s="81" t="n"/>
      <c r="S1712" s="81" t="n"/>
      <c r="T1712" s="81" t="n"/>
      <c r="U1712" s="81" t="n"/>
      <c r="V1712" s="81" t="n"/>
      <c r="W1712" s="43" t="n"/>
    </row>
    <row r="1713">
      <c r="A1713" s="43" t="inlineStr">
        <is>
          <t>N32</t>
        </is>
      </c>
      <c r="B1713" s="43" t="inlineStr"/>
      <c r="C1713" s="43" t="inlineStr">
        <is>
          <t>节段02</t>
        </is>
      </c>
      <c r="D1713" s="43" t="inlineStr">
        <is>
          <t>Q355D</t>
        </is>
      </c>
      <c r="E1713" s="43" t="n">
        <v>14947</v>
      </c>
      <c r="F1713" s="43" t="n">
        <v>1200</v>
      </c>
      <c r="G1713" s="43" t="n">
        <v>32</v>
      </c>
      <c r="H1713" s="79">
        <f>(E1713/1000)*(F1713/1000)*(G1713/1000)*7850</f>
        <v/>
      </c>
      <c r="I1713" s="43" t="n">
        <v>1</v>
      </c>
      <c r="J1713" s="80">
        <f>H1713*I1713</f>
        <v/>
      </c>
      <c r="K1713" s="43" t="inlineStr">
        <is>
          <t>来源页146</t>
        </is>
      </c>
      <c r="L1713" s="43">
        <f>A1713</f>
        <v/>
      </c>
      <c r="M1713" s="81" t="n"/>
      <c r="N1713" s="81" t="n"/>
      <c r="O1713" s="81" t="n"/>
      <c r="P1713" s="81" t="n"/>
      <c r="Q1713" s="81" t="n"/>
      <c r="R1713" s="81" t="n"/>
      <c r="S1713" s="81" t="n"/>
      <c r="T1713" s="81" t="n"/>
      <c r="U1713" s="81" t="n"/>
      <c r="V1713" s="81" t="n"/>
      <c r="W1713" s="43" t="n"/>
    </row>
    <row r="1714">
      <c r="A1714" s="43" t="inlineStr">
        <is>
          <t>N33</t>
        </is>
      </c>
      <c r="B1714" s="43" t="inlineStr"/>
      <c r="C1714" s="43" t="inlineStr">
        <is>
          <t>节段02</t>
        </is>
      </c>
      <c r="D1714" s="43" t="inlineStr">
        <is>
          <t>Q355D</t>
        </is>
      </c>
      <c r="E1714" s="43" t="n">
        <v>13547</v>
      </c>
      <c r="F1714" s="43" t="n">
        <v>240</v>
      </c>
      <c r="G1714" s="43" t="n">
        <v>24</v>
      </c>
      <c r="H1714" s="79">
        <f>(E1714/1000)*(F1714/1000)*(G1714/1000)*7850</f>
        <v/>
      </c>
      <c r="I1714" s="43" t="n">
        <v>2</v>
      </c>
      <c r="J1714" s="80">
        <f>H1714*I1714</f>
        <v/>
      </c>
      <c r="K1714" s="43" t="inlineStr">
        <is>
          <t>来源页146</t>
        </is>
      </c>
      <c r="L1714" s="43">
        <f>A1714</f>
        <v/>
      </c>
      <c r="M1714" s="81" t="n"/>
      <c r="N1714" s="81" t="n"/>
      <c r="O1714" s="81" t="n"/>
      <c r="P1714" s="81" t="n"/>
      <c r="Q1714" s="81" t="n"/>
      <c r="R1714" s="81" t="n"/>
      <c r="S1714" s="81" t="n"/>
      <c r="T1714" s="81" t="n"/>
      <c r="U1714" s="81" t="n"/>
      <c r="V1714" s="81" t="n"/>
      <c r="W1714" s="43" t="n"/>
    </row>
    <row r="1715">
      <c r="A1715" s="43" t="inlineStr">
        <is>
          <t>N41</t>
        </is>
      </c>
      <c r="B1715" s="43" t="inlineStr"/>
      <c r="C1715" s="43" t="inlineStr">
        <is>
          <t>节段02</t>
        </is>
      </c>
      <c r="D1715" s="43" t="inlineStr">
        <is>
          <t>Q355D</t>
        </is>
      </c>
      <c r="E1715" s="43" t="n">
        <v>4796</v>
      </c>
      <c r="F1715" s="43" t="n">
        <v>900</v>
      </c>
      <c r="G1715" s="43" t="n">
        <v>36</v>
      </c>
      <c r="H1715" s="79">
        <f>(E1715/1000)*(F1715/1000)*(G1715/1000)*7850</f>
        <v/>
      </c>
      <c r="I1715" s="43" t="n">
        <v>2</v>
      </c>
      <c r="J1715" s="80">
        <f>H1715*I1715</f>
        <v/>
      </c>
      <c r="K1715" s="43" t="inlineStr">
        <is>
          <t>来源页146</t>
        </is>
      </c>
      <c r="L1715" s="43">
        <f>A1715</f>
        <v/>
      </c>
      <c r="M1715" s="81" t="n"/>
      <c r="N1715" s="81" t="n"/>
      <c r="O1715" s="81" t="n"/>
      <c r="P1715" s="81" t="n"/>
      <c r="Q1715" s="81" t="n"/>
      <c r="R1715" s="81" t="n"/>
      <c r="S1715" s="81" t="n"/>
      <c r="T1715" s="81" t="n"/>
      <c r="U1715" s="81" t="n"/>
      <c r="V1715" s="81" t="n"/>
      <c r="W1715" s="43" t="n"/>
    </row>
    <row r="1716">
      <c r="A1716" s="43" t="inlineStr">
        <is>
          <t>N42</t>
        </is>
      </c>
      <c r="B1716" s="43" t="inlineStr"/>
      <c r="C1716" s="43" t="inlineStr">
        <is>
          <t>节段02</t>
        </is>
      </c>
      <c r="D1716" s="43" t="inlineStr">
        <is>
          <t>Q355D</t>
        </is>
      </c>
      <c r="E1716" s="43" t="n">
        <v>7096</v>
      </c>
      <c r="F1716" s="43" t="n">
        <v>1200</v>
      </c>
      <c r="G1716" s="43" t="n">
        <v>32</v>
      </c>
      <c r="H1716" s="79">
        <f>(E1716/1000)*(F1716/1000)*(G1716/1000)*7850</f>
        <v/>
      </c>
      <c r="I1716" s="43" t="n">
        <v>1</v>
      </c>
      <c r="J1716" s="80">
        <f>H1716*I1716</f>
        <v/>
      </c>
      <c r="K1716" s="43" t="inlineStr">
        <is>
          <t>来源页146</t>
        </is>
      </c>
      <c r="L1716" s="43">
        <f>A1716</f>
        <v/>
      </c>
      <c r="M1716" s="81" t="n"/>
      <c r="N1716" s="81" t="n"/>
      <c r="O1716" s="81" t="n"/>
      <c r="P1716" s="81" t="n"/>
      <c r="Q1716" s="81" t="n"/>
      <c r="R1716" s="81" t="n"/>
      <c r="S1716" s="81" t="n"/>
      <c r="T1716" s="81" t="n"/>
      <c r="U1716" s="81" t="n"/>
      <c r="V1716" s="81" t="n"/>
      <c r="W1716" s="43" t="n"/>
    </row>
    <row r="1717">
      <c r="A1717" s="43" t="inlineStr">
        <is>
          <t>N43</t>
        </is>
      </c>
      <c r="B1717" s="43" t="inlineStr"/>
      <c r="C1717" s="43" t="inlineStr">
        <is>
          <t>节段02</t>
        </is>
      </c>
      <c r="D1717" s="43" t="inlineStr">
        <is>
          <t>Q355D</t>
        </is>
      </c>
      <c r="E1717" s="43" t="n">
        <v>6396</v>
      </c>
      <c r="F1717" s="43" t="n">
        <v>240</v>
      </c>
      <c r="G1717" s="43" t="n">
        <v>24</v>
      </c>
      <c r="H1717" s="79">
        <f>(E1717/1000)*(F1717/1000)*(G1717/1000)*7850</f>
        <v/>
      </c>
      <c r="I1717" s="43" t="n">
        <v>2</v>
      </c>
      <c r="J1717" s="80">
        <f>H1717*I1717</f>
        <v/>
      </c>
      <c r="K1717" s="43" t="inlineStr">
        <is>
          <t>来源页146</t>
        </is>
      </c>
      <c r="L1717" s="43">
        <f>A1717</f>
        <v/>
      </c>
      <c r="M1717" s="81" t="n"/>
      <c r="N1717" s="81" t="n"/>
      <c r="O1717" s="81" t="n"/>
      <c r="P1717" s="81" t="n"/>
      <c r="Q1717" s="81" t="n"/>
      <c r="R1717" s="81" t="n"/>
      <c r="S1717" s="81" t="n"/>
      <c r="T1717" s="81" t="n"/>
      <c r="U1717" s="81" t="n"/>
      <c r="V1717" s="81" t="n"/>
      <c r="W1717" s="43" t="n"/>
    </row>
    <row r="1718">
      <c r="A1718" s="43" t="inlineStr">
        <is>
          <t>N51</t>
        </is>
      </c>
      <c r="B1718" s="43" t="inlineStr"/>
      <c r="C1718" s="43" t="inlineStr">
        <is>
          <t>节段02</t>
        </is>
      </c>
      <c r="D1718" s="43" t="inlineStr">
        <is>
          <t>Q355D</t>
        </is>
      </c>
      <c r="E1718" s="43" t="n">
        <v>7925</v>
      </c>
      <c r="F1718" s="43" t="n">
        <v>1200</v>
      </c>
      <c r="G1718" s="43" t="n">
        <v>36</v>
      </c>
      <c r="H1718" s="79">
        <f>(E1718/1000)*(F1718/1000)*(G1718/1000)*7850</f>
        <v/>
      </c>
      <c r="I1718" s="43" t="n">
        <v>1</v>
      </c>
      <c r="J1718" s="80">
        <f>H1718*I1718</f>
        <v/>
      </c>
      <c r="K1718" s="43" t="inlineStr">
        <is>
          <t>来源页146</t>
        </is>
      </c>
      <c r="L1718" s="43">
        <f>A1718</f>
        <v/>
      </c>
      <c r="M1718" s="81" t="n"/>
      <c r="N1718" s="81" t="n"/>
      <c r="O1718" s="81" t="n"/>
      <c r="P1718" s="81" t="n"/>
      <c r="Q1718" s="81" t="n"/>
      <c r="R1718" s="81" t="n"/>
      <c r="S1718" s="81" t="n"/>
      <c r="T1718" s="81" t="n"/>
      <c r="U1718" s="81" t="n"/>
      <c r="V1718" s="81" t="n"/>
      <c r="W1718" s="43" t="n"/>
    </row>
    <row r="1719">
      <c r="A1719" s="43" t="inlineStr">
        <is>
          <t>N51a</t>
        </is>
      </c>
      <c r="B1719" s="43" t="inlineStr"/>
      <c r="C1719" s="43" t="inlineStr">
        <is>
          <t>节段02</t>
        </is>
      </c>
      <c r="D1719" s="43" t="inlineStr">
        <is>
          <t>Q355D</t>
        </is>
      </c>
      <c r="E1719" s="43" t="n">
        <v>7125</v>
      </c>
      <c r="F1719" s="43" t="n">
        <v>1200</v>
      </c>
      <c r="G1719" s="43" t="n">
        <v>36</v>
      </c>
      <c r="H1719" s="79">
        <f>(E1719/1000)*(F1719/1000)*(G1719/1000)*7850</f>
        <v/>
      </c>
      <c r="I1719" s="43" t="n">
        <v>1</v>
      </c>
      <c r="J1719" s="80">
        <f>H1719*I1719</f>
        <v/>
      </c>
      <c r="K1719" s="43" t="inlineStr">
        <is>
          <t>来源页146</t>
        </is>
      </c>
      <c r="L1719" s="43">
        <f>A1719</f>
        <v/>
      </c>
      <c r="M1719" s="81" t="n"/>
      <c r="N1719" s="81" t="n"/>
      <c r="O1719" s="81" t="n"/>
      <c r="P1719" s="81" t="n"/>
      <c r="Q1719" s="81" t="n"/>
      <c r="R1719" s="81" t="n"/>
      <c r="S1719" s="81" t="n"/>
      <c r="T1719" s="81" t="n"/>
      <c r="U1719" s="81" t="n"/>
      <c r="V1719" s="81" t="n"/>
      <c r="W1719" s="43" t="n"/>
    </row>
    <row r="1720">
      <c r="A1720" s="43" t="inlineStr">
        <is>
          <t>N52</t>
        </is>
      </c>
      <c r="B1720" s="43" t="inlineStr"/>
      <c r="C1720" s="43" t="inlineStr">
        <is>
          <t>节段02</t>
        </is>
      </c>
      <c r="D1720" s="43" t="inlineStr">
        <is>
          <t>Q355D</t>
        </is>
      </c>
      <c r="E1720" s="43" t="n">
        <v>4925</v>
      </c>
      <c r="F1720" s="43" t="n">
        <v>1360</v>
      </c>
      <c r="G1720" s="43" t="n">
        <v>36</v>
      </c>
      <c r="H1720" s="79">
        <f>(E1720/1000)*(F1720/1000)*(G1720/1000)*7850</f>
        <v/>
      </c>
      <c r="I1720" s="43" t="n">
        <v>2</v>
      </c>
      <c r="J1720" s="80">
        <f>H1720*I1720</f>
        <v/>
      </c>
      <c r="K1720" s="43" t="inlineStr">
        <is>
          <t>来源页146</t>
        </is>
      </c>
      <c r="L1720" s="43">
        <f>A1720</f>
        <v/>
      </c>
      <c r="M1720" s="81" t="n"/>
      <c r="N1720" s="81" t="n"/>
      <c r="O1720" s="81" t="n"/>
      <c r="P1720" s="81" t="n"/>
      <c r="Q1720" s="81" t="n"/>
      <c r="R1720" s="81" t="n"/>
      <c r="S1720" s="81" t="n"/>
      <c r="T1720" s="81" t="n"/>
      <c r="U1720" s="81" t="n"/>
      <c r="V1720" s="81" t="n"/>
      <c r="W1720" s="43" t="n"/>
    </row>
    <row r="1721">
      <c r="A1721" s="43" t="inlineStr">
        <is>
          <t>N53</t>
        </is>
      </c>
      <c r="B1721" s="43" t="inlineStr"/>
      <c r="C1721" s="43" t="inlineStr">
        <is>
          <t>节段02</t>
        </is>
      </c>
      <c r="D1721" s="43" t="inlineStr">
        <is>
          <t>Q355D</t>
        </is>
      </c>
      <c r="E1721" s="43" t="n">
        <v>4925</v>
      </c>
      <c r="F1721" s="43" t="n">
        <v>320</v>
      </c>
      <c r="G1721" s="43" t="n">
        <v>32</v>
      </c>
      <c r="H1721" s="79">
        <f>(E1721/1000)*(F1721/1000)*(G1721/1000)*7850</f>
        <v/>
      </c>
      <c r="I1721" s="43" t="n">
        <v>2</v>
      </c>
      <c r="J1721" s="80">
        <f>H1721*I1721</f>
        <v/>
      </c>
      <c r="K1721" s="43" t="inlineStr">
        <is>
          <t>来源页146</t>
        </is>
      </c>
      <c r="L1721" s="43">
        <f>A1721</f>
        <v/>
      </c>
      <c r="M1721" s="81" t="n"/>
      <c r="N1721" s="81" t="n"/>
      <c r="O1721" s="81" t="n"/>
      <c r="P1721" s="81" t="n"/>
      <c r="Q1721" s="81" t="n"/>
      <c r="R1721" s="81" t="n"/>
      <c r="S1721" s="81" t="n"/>
      <c r="T1721" s="81" t="n"/>
      <c r="U1721" s="81" t="n"/>
      <c r="V1721" s="81" t="n"/>
      <c r="W1721" s="43" t="n"/>
    </row>
    <row r="1722">
      <c r="A1722" s="43" t="inlineStr">
        <is>
          <t>N53a</t>
        </is>
      </c>
      <c r="B1722" s="43" t="inlineStr"/>
      <c r="C1722" s="43" t="inlineStr">
        <is>
          <t>节段02</t>
        </is>
      </c>
      <c r="D1722" s="43" t="inlineStr">
        <is>
          <t>Q355D</t>
        </is>
      </c>
      <c r="E1722" s="43" t="n">
        <v>7225</v>
      </c>
      <c r="F1722" s="43" t="n">
        <v>320</v>
      </c>
      <c r="G1722" s="43" t="n">
        <v>32</v>
      </c>
      <c r="H1722" s="79">
        <f>(E1722/1000)*(F1722/1000)*(G1722/1000)*7850</f>
        <v/>
      </c>
      <c r="I1722" s="43" t="n">
        <v>1</v>
      </c>
      <c r="J1722" s="80">
        <f>H1722*I1722</f>
        <v/>
      </c>
      <c r="K1722" s="43" t="inlineStr">
        <is>
          <t>来源页146</t>
        </is>
      </c>
      <c r="L1722" s="43">
        <f>A1722</f>
        <v/>
      </c>
      <c r="M1722" s="81" t="n"/>
      <c r="N1722" s="81" t="n"/>
      <c r="O1722" s="81" t="n"/>
      <c r="P1722" s="81" t="n"/>
      <c r="Q1722" s="81" t="n"/>
      <c r="R1722" s="81" t="n"/>
      <c r="S1722" s="81" t="n"/>
      <c r="T1722" s="81" t="n"/>
      <c r="U1722" s="81" t="n"/>
      <c r="V1722" s="81" t="n"/>
      <c r="W1722" s="43" t="n"/>
    </row>
    <row r="1723">
      <c r="A1723" s="43" t="inlineStr">
        <is>
          <t>N53b</t>
        </is>
      </c>
      <c r="B1723" s="43" t="inlineStr"/>
      <c r="C1723" s="43" t="inlineStr">
        <is>
          <t>节段02</t>
        </is>
      </c>
      <c r="D1723" s="43" t="inlineStr">
        <is>
          <t>Q355D</t>
        </is>
      </c>
      <c r="E1723" s="43" t="n">
        <v>6425</v>
      </c>
      <c r="F1723" s="43" t="n">
        <v>320</v>
      </c>
      <c r="G1723" s="43" t="n">
        <v>32</v>
      </c>
      <c r="H1723" s="79">
        <f>(E1723/1000)*(F1723/1000)*(G1723/1000)*7850</f>
        <v/>
      </c>
      <c r="I1723" s="43" t="n">
        <v>1</v>
      </c>
      <c r="J1723" s="80">
        <f>H1723*I1723</f>
        <v/>
      </c>
      <c r="K1723" s="43" t="inlineStr">
        <is>
          <t>来源页146</t>
        </is>
      </c>
      <c r="L1723" s="43">
        <f>A1723</f>
        <v/>
      </c>
      <c r="M1723" s="81" t="n"/>
      <c r="N1723" s="81" t="n"/>
      <c r="O1723" s="81" t="n"/>
      <c r="P1723" s="81" t="n"/>
      <c r="Q1723" s="81" t="n"/>
      <c r="R1723" s="81" t="n"/>
      <c r="S1723" s="81" t="n"/>
      <c r="T1723" s="81" t="n"/>
      <c r="U1723" s="81" t="n"/>
      <c r="V1723" s="81" t="n"/>
      <c r="W1723" s="43" t="n"/>
    </row>
    <row r="1724">
      <c r="A1724" s="43" t="inlineStr">
        <is>
          <t>N54</t>
        </is>
      </c>
      <c r="B1724" s="43" t="inlineStr"/>
      <c r="C1724" s="43" t="inlineStr">
        <is>
          <t>节段02</t>
        </is>
      </c>
      <c r="D1724" s="43" t="inlineStr">
        <is>
          <t>Q355D</t>
        </is>
      </c>
      <c r="E1724" s="43" t="n">
        <v>1200</v>
      </c>
      <c r="F1724" s="43" t="n">
        <v>1200</v>
      </c>
      <c r="G1724" s="43" t="n">
        <v>16</v>
      </c>
      <c r="H1724" s="79">
        <f>(E1724/1000)*(F1724/1000)*(G1724/1000)*7850</f>
        <v/>
      </c>
      <c r="I1724" s="43" t="n">
        <v>2</v>
      </c>
      <c r="J1724" s="80">
        <f>H1724*I1724</f>
        <v/>
      </c>
      <c r="K1724" s="43" t="inlineStr">
        <is>
          <t>来源页146</t>
        </is>
      </c>
      <c r="L1724" s="43">
        <f>A1724</f>
        <v/>
      </c>
      <c r="M1724" s="81" t="n"/>
      <c r="N1724" s="81" t="n"/>
      <c r="O1724" s="81" t="n"/>
      <c r="P1724" s="81" t="n"/>
      <c r="Q1724" s="81" t="n"/>
      <c r="R1724" s="81" t="n"/>
      <c r="S1724" s="81" t="n"/>
      <c r="T1724" s="81" t="n"/>
      <c r="U1724" s="81" t="n"/>
      <c r="V1724" s="81" t="n"/>
      <c r="W1724" s="43" t="n"/>
    </row>
    <row r="1725">
      <c r="A1725" s="43" t="inlineStr">
        <is>
          <t>N55</t>
        </is>
      </c>
      <c r="B1725" s="43" t="inlineStr"/>
      <c r="C1725" s="43" t="inlineStr">
        <is>
          <t>节段02</t>
        </is>
      </c>
      <c r="D1725" s="43" t="inlineStr">
        <is>
          <t>Q355D</t>
        </is>
      </c>
      <c r="E1725" s="43" t="n">
        <v>991</v>
      </c>
      <c r="F1725" s="43" t="n">
        <v>1200</v>
      </c>
      <c r="G1725" s="43" t="n">
        <v>20</v>
      </c>
      <c r="H1725" s="79">
        <f>(E1725/1000)*(F1725/1000)*(G1725/1000)*7850</f>
        <v/>
      </c>
      <c r="I1725" s="43" t="n">
        <v>1</v>
      </c>
      <c r="J1725" s="80">
        <f>H1725*I1725</f>
        <v/>
      </c>
      <c r="K1725" s="43" t="inlineStr">
        <is>
          <t>来源页146</t>
        </is>
      </c>
      <c r="L1725" s="43">
        <f>A1725</f>
        <v/>
      </c>
      <c r="M1725" s="81" t="n"/>
      <c r="N1725" s="81" t="n"/>
      <c r="O1725" s="81" t="n"/>
      <c r="P1725" s="81" t="n"/>
      <c r="Q1725" s="81" t="n"/>
      <c r="R1725" s="81" t="n"/>
      <c r="S1725" s="81" t="n"/>
      <c r="T1725" s="81" t="n"/>
      <c r="U1725" s="81" t="n"/>
      <c r="V1725" s="81" t="n"/>
      <c r="W1725" s="43" t="n"/>
    </row>
    <row r="1726">
      <c r="A1726" s="43" t="inlineStr">
        <is>
          <t>N56</t>
        </is>
      </c>
      <c r="B1726" s="43" t="inlineStr"/>
      <c r="C1726" s="43" t="inlineStr">
        <is>
          <t>节段02</t>
        </is>
      </c>
      <c r="D1726" s="43" t="inlineStr">
        <is>
          <t>Q355D</t>
        </is>
      </c>
      <c r="E1726" s="43" t="n">
        <v>2600</v>
      </c>
      <c r="F1726" s="43" t="n">
        <v>320</v>
      </c>
      <c r="G1726" s="43" t="n">
        <v>32</v>
      </c>
      <c r="H1726" s="79">
        <f>(E1726/1000)*(F1726/1000)*(G1726/1000)*7850</f>
        <v/>
      </c>
      <c r="I1726" s="43" t="n">
        <v>2</v>
      </c>
      <c r="J1726" s="80">
        <f>H1726*I1726</f>
        <v/>
      </c>
      <c r="K1726" s="43" t="inlineStr">
        <is>
          <t>来源页146</t>
        </is>
      </c>
      <c r="L1726" s="43">
        <f>A1726</f>
        <v/>
      </c>
      <c r="M1726" s="81" t="n"/>
      <c r="N1726" s="81" t="n"/>
      <c r="O1726" s="81" t="n"/>
      <c r="P1726" s="81" t="n"/>
      <c r="Q1726" s="81" t="n"/>
      <c r="R1726" s="81" t="n"/>
      <c r="S1726" s="81" t="n"/>
      <c r="T1726" s="81" t="n"/>
      <c r="U1726" s="81" t="n"/>
      <c r="V1726" s="81" t="n"/>
      <c r="W1726" s="43" t="n"/>
    </row>
    <row r="1727">
      <c r="A1727" s="43" t="inlineStr">
        <is>
          <t>N61</t>
        </is>
      </c>
      <c r="B1727" s="43" t="inlineStr"/>
      <c r="C1727" s="43" t="inlineStr">
        <is>
          <t>节段02</t>
        </is>
      </c>
      <c r="D1727" s="43" t="inlineStr">
        <is>
          <t>Q355D</t>
        </is>
      </c>
      <c r="E1727" s="43" t="n">
        <v>1580</v>
      </c>
      <c r="F1727" s="43" t="n">
        <v>610</v>
      </c>
      <c r="G1727" s="43" t="n">
        <v>14</v>
      </c>
      <c r="H1727" s="79">
        <f>(E1727/1000)*(F1727/1000)*(G1727/1000)*7850</f>
        <v/>
      </c>
      <c r="I1727" s="43" t="n">
        <v>3</v>
      </c>
      <c r="J1727" s="80">
        <f>H1727*I1727</f>
        <v/>
      </c>
      <c r="K1727" s="43" t="inlineStr">
        <is>
          <t>来源页146</t>
        </is>
      </c>
      <c r="L1727" s="43">
        <f>A1727</f>
        <v/>
      </c>
      <c r="M1727" s="81" t="n"/>
      <c r="N1727" s="81" t="n"/>
      <c r="O1727" s="81" t="n"/>
      <c r="P1727" s="81" t="n"/>
      <c r="Q1727" s="81" t="n"/>
      <c r="R1727" s="81" t="n"/>
      <c r="S1727" s="81" t="n"/>
      <c r="T1727" s="81" t="n"/>
      <c r="U1727" s="81" t="n"/>
      <c r="V1727" s="81" t="n"/>
      <c r="W1727" s="43" t="n"/>
    </row>
    <row r="1728">
      <c r="A1728" s="43" t="inlineStr">
        <is>
          <t>N61a</t>
        </is>
      </c>
      <c r="B1728" s="43" t="inlineStr"/>
      <c r="C1728" s="43" t="inlineStr">
        <is>
          <t>节段02</t>
        </is>
      </c>
      <c r="D1728" s="43" t="inlineStr">
        <is>
          <t>Q355D</t>
        </is>
      </c>
      <c r="E1728" s="43" t="n">
        <v>1580</v>
      </c>
      <c r="F1728" s="43" t="n">
        <v>630</v>
      </c>
      <c r="G1728" s="43" t="n">
        <v>14</v>
      </c>
      <c r="H1728" s="79">
        <f>(E1728/1000)*(F1728/1000)*(G1728/1000)*7850</f>
        <v/>
      </c>
      <c r="I1728" s="43" t="n">
        <v>3</v>
      </c>
      <c r="J1728" s="80">
        <f>H1728*I1728</f>
        <v/>
      </c>
      <c r="K1728" s="43" t="inlineStr">
        <is>
          <t>来源页146</t>
        </is>
      </c>
      <c r="L1728" s="43">
        <f>A1728</f>
        <v/>
      </c>
      <c r="M1728" s="81" t="n"/>
      <c r="N1728" s="81" t="n"/>
      <c r="O1728" s="81" t="n"/>
      <c r="P1728" s="81" t="n"/>
      <c r="Q1728" s="81" t="n"/>
      <c r="R1728" s="81" t="n"/>
      <c r="S1728" s="81" t="n"/>
      <c r="T1728" s="81" t="n"/>
      <c r="U1728" s="81" t="n"/>
      <c r="V1728" s="81" t="n"/>
      <c r="W1728" s="43" t="n"/>
    </row>
    <row r="1729">
      <c r="A1729" s="43" t="inlineStr">
        <is>
          <t>N62</t>
        </is>
      </c>
      <c r="B1729" s="43" t="inlineStr"/>
      <c r="C1729" s="43" t="inlineStr">
        <is>
          <t>节段02</t>
        </is>
      </c>
      <c r="D1729" s="43" t="inlineStr">
        <is>
          <t>Q355D</t>
        </is>
      </c>
      <c r="E1729" s="43" t="n"/>
      <c r="F1729" s="43" t="n"/>
      <c r="G1729" s="43" t="n">
        <v>24</v>
      </c>
      <c r="H1729" s="79">
        <f>(E1729/1000)*(F1729/1000)*(G1729/1000)*7850</f>
        <v/>
      </c>
      <c r="I1729" s="43" t="n">
        <v>3</v>
      </c>
      <c r="J1729" s="80">
        <f>H1729*I1729</f>
        <v/>
      </c>
      <c r="K1729" s="43" t="inlineStr">
        <is>
          <t>来源页146</t>
        </is>
      </c>
      <c r="L1729" s="43">
        <f>A1729</f>
        <v/>
      </c>
      <c r="M1729" s="81" t="n"/>
      <c r="N1729" s="81" t="n"/>
      <c r="O1729" s="81" t="n"/>
      <c r="P1729" s="81" t="n"/>
      <c r="Q1729" s="81" t="n"/>
      <c r="R1729" s="81" t="n"/>
      <c r="S1729" s="81" t="n"/>
      <c r="T1729" s="81" t="n"/>
      <c r="U1729" s="81" t="n"/>
      <c r="V1729" s="81" t="n"/>
      <c r="W1729" s="43" t="n"/>
    </row>
    <row r="1730">
      <c r="A1730" s="43" t="inlineStr">
        <is>
          <t>N62a</t>
        </is>
      </c>
      <c r="B1730" s="43" t="inlineStr"/>
      <c r="C1730" s="43" t="inlineStr">
        <is>
          <t>节段02</t>
        </is>
      </c>
      <c r="D1730" s="43" t="inlineStr">
        <is>
          <t>Q355D</t>
        </is>
      </c>
      <c r="E1730" s="43" t="n"/>
      <c r="F1730" s="43" t="n"/>
      <c r="G1730" s="43" t="n">
        <v>24</v>
      </c>
      <c r="H1730" s="79">
        <f>(E1730/1000)*(F1730/1000)*(G1730/1000)*7850</f>
        <v/>
      </c>
      <c r="I1730" s="43" t="n">
        <v>3</v>
      </c>
      <c r="J1730" s="80">
        <f>H1730*I1730</f>
        <v/>
      </c>
      <c r="K1730" s="43" t="inlineStr">
        <is>
          <t>来源页146</t>
        </is>
      </c>
      <c r="L1730" s="43">
        <f>A1730</f>
        <v/>
      </c>
      <c r="M1730" s="81" t="n"/>
      <c r="N1730" s="81" t="n"/>
      <c r="O1730" s="81" t="n"/>
      <c r="P1730" s="81" t="n"/>
      <c r="Q1730" s="81" t="n"/>
      <c r="R1730" s="81" t="n"/>
      <c r="S1730" s="81" t="n"/>
      <c r="T1730" s="81" t="n"/>
      <c r="U1730" s="81" t="n"/>
      <c r="V1730" s="81" t="n"/>
      <c r="W1730" s="43" t="n"/>
    </row>
    <row r="1731">
      <c r="A1731" s="43" t="inlineStr">
        <is>
          <t>N63</t>
        </is>
      </c>
      <c r="B1731" s="43" t="inlineStr"/>
      <c r="C1731" s="43" t="inlineStr">
        <is>
          <t>节段02</t>
        </is>
      </c>
      <c r="D1731" s="43" t="inlineStr">
        <is>
          <t>Q355D</t>
        </is>
      </c>
      <c r="E1731" s="43" t="n">
        <v>1450</v>
      </c>
      <c r="F1731" s="43" t="n">
        <v>610</v>
      </c>
      <c r="G1731" s="43" t="n">
        <v>14</v>
      </c>
      <c r="H1731" s="79">
        <f>(E1731/1000)*(F1731/1000)*(G1731/1000)*7850</f>
        <v/>
      </c>
      <c r="I1731" s="43" t="n">
        <v>3</v>
      </c>
      <c r="J1731" s="80">
        <f>H1731*I1731</f>
        <v/>
      </c>
      <c r="K1731" s="43" t="inlineStr">
        <is>
          <t>来源页146</t>
        </is>
      </c>
      <c r="L1731" s="43">
        <f>A1731</f>
        <v/>
      </c>
      <c r="M1731" s="81" t="n"/>
      <c r="N1731" s="81" t="n"/>
      <c r="O1731" s="81" t="n"/>
      <c r="P1731" s="81" t="n"/>
      <c r="Q1731" s="81" t="n"/>
      <c r="R1731" s="81" t="n"/>
      <c r="S1731" s="81" t="n"/>
      <c r="T1731" s="81" t="n"/>
      <c r="U1731" s="81" t="n"/>
      <c r="V1731" s="81" t="n"/>
      <c r="W1731" s="43" t="n"/>
    </row>
    <row r="1732">
      <c r="A1732" s="43" t="inlineStr">
        <is>
          <t>N63a</t>
        </is>
      </c>
      <c r="B1732" s="43" t="inlineStr"/>
      <c r="C1732" s="43" t="inlineStr">
        <is>
          <t>节段02</t>
        </is>
      </c>
      <c r="D1732" s="43" t="inlineStr">
        <is>
          <t>Q355D</t>
        </is>
      </c>
      <c r="E1732" s="43" t="n">
        <v>1450</v>
      </c>
      <c r="F1732" s="43" t="n">
        <v>626</v>
      </c>
      <c r="G1732" s="43" t="n">
        <v>14</v>
      </c>
      <c r="H1732" s="79">
        <f>(E1732/1000)*(F1732/1000)*(G1732/1000)*7850</f>
        <v/>
      </c>
      <c r="I1732" s="43" t="n">
        <v>3</v>
      </c>
      <c r="J1732" s="80">
        <f>H1732*I1732</f>
        <v/>
      </c>
      <c r="K1732" s="43" t="inlineStr">
        <is>
          <t>来源页146</t>
        </is>
      </c>
      <c r="L1732" s="43">
        <f>A1732</f>
        <v/>
      </c>
      <c r="M1732" s="81" t="n"/>
      <c r="N1732" s="81" t="n"/>
      <c r="O1732" s="81" t="n"/>
      <c r="P1732" s="81" t="n"/>
      <c r="Q1732" s="81" t="n"/>
      <c r="R1732" s="81" t="n"/>
      <c r="S1732" s="81" t="n"/>
      <c r="T1732" s="81" t="n"/>
      <c r="U1732" s="81" t="n"/>
      <c r="V1732" s="81" t="n"/>
      <c r="W1732" s="43" t="n"/>
    </row>
    <row r="1733">
      <c r="A1733" s="43" t="inlineStr">
        <is>
          <t>P1</t>
        </is>
      </c>
      <c r="B1733" s="43" t="inlineStr">
        <is>
          <t>上弦杆拼接</t>
        </is>
      </c>
      <c r="C1733" s="43" t="inlineStr">
        <is>
          <t>节段2~节段3</t>
        </is>
      </c>
      <c r="D1733" s="43" t="inlineStr">
        <is>
          <t>Q355D</t>
        </is>
      </c>
      <c r="E1733" s="43" t="n">
        <v>1020</v>
      </c>
      <c r="F1733" s="43" t="n">
        <v>1400</v>
      </c>
      <c r="G1733" s="43" t="n">
        <v>16</v>
      </c>
      <c r="H1733" s="79">
        <f>(E1733/1000)*(F1733/1000)*(G1733/1000)*7850</f>
        <v/>
      </c>
      <c r="I1733" s="43" t="n">
        <v>2</v>
      </c>
      <c r="J1733" s="80">
        <f>H1733*I1733</f>
        <v/>
      </c>
      <c r="K1733" s="43" t="inlineStr">
        <is>
          <t>来源页149</t>
        </is>
      </c>
      <c r="L1733" s="43">
        <f>A1733</f>
        <v/>
      </c>
      <c r="M1733" s="81" t="n"/>
      <c r="N1733" s="81" t="n"/>
      <c r="O1733" s="81" t="n"/>
      <c r="P1733" s="81" t="n"/>
      <c r="Q1733" s="81" t="n"/>
      <c r="R1733" s="81" t="n"/>
      <c r="S1733" s="81" t="n"/>
      <c r="T1733" s="81" t="n"/>
      <c r="U1733" s="81" t="n"/>
      <c r="V1733" s="81" t="n"/>
      <c r="W1733" s="43" t="n"/>
    </row>
    <row r="1734">
      <c r="A1734" s="43" t="inlineStr">
        <is>
          <t>P2</t>
        </is>
      </c>
      <c r="B1734" s="43" t="inlineStr">
        <is>
          <t>上弦杆拼接</t>
        </is>
      </c>
      <c r="C1734" s="43" t="inlineStr">
        <is>
          <t>节段2~节段3</t>
        </is>
      </c>
      <c r="D1734" s="43" t="inlineStr">
        <is>
          <t>Q355D</t>
        </is>
      </c>
      <c r="E1734" s="43" t="n">
        <v>1020</v>
      </c>
      <c r="F1734" s="43" t="n">
        <v>300</v>
      </c>
      <c r="G1734" s="43" t="n">
        <v>16</v>
      </c>
      <c r="H1734" s="79">
        <f>(E1734/1000)*(F1734/1000)*(G1734/1000)*7850</f>
        <v/>
      </c>
      <c r="I1734" s="43" t="n">
        <v>2</v>
      </c>
      <c r="J1734" s="80">
        <f>H1734*I1734</f>
        <v/>
      </c>
      <c r="K1734" s="43" t="inlineStr">
        <is>
          <t>来源页149</t>
        </is>
      </c>
      <c r="L1734" s="43">
        <f>A1734</f>
        <v/>
      </c>
      <c r="M1734" s="81" t="n"/>
      <c r="N1734" s="81" t="n"/>
      <c r="O1734" s="81" t="n"/>
      <c r="P1734" s="81" t="n"/>
      <c r="Q1734" s="81" t="n"/>
      <c r="R1734" s="81" t="n"/>
      <c r="S1734" s="81" t="n"/>
      <c r="T1734" s="81" t="n"/>
      <c r="U1734" s="81" t="n"/>
      <c r="V1734" s="81" t="n"/>
      <c r="W1734" s="43" t="n"/>
    </row>
    <row r="1735">
      <c r="A1735" s="43" t="inlineStr">
        <is>
          <t>P3</t>
        </is>
      </c>
      <c r="B1735" s="43" t="inlineStr">
        <is>
          <t>上弦杆拼接</t>
        </is>
      </c>
      <c r="C1735" s="43" t="inlineStr">
        <is>
          <t>节段2~节段3</t>
        </is>
      </c>
      <c r="D1735" s="43" t="inlineStr">
        <is>
          <t>Q355D</t>
        </is>
      </c>
      <c r="E1735" s="43" t="n">
        <v>1020</v>
      </c>
      <c r="F1735" s="43" t="n">
        <v>500</v>
      </c>
      <c r="G1735" s="43" t="n">
        <v>16</v>
      </c>
      <c r="H1735" s="79">
        <f>(E1735/1000)*(F1735/1000)*(G1735/1000)*7850</f>
        <v/>
      </c>
      <c r="I1735" s="43" t="n">
        <v>2</v>
      </c>
      <c r="J1735" s="80">
        <f>H1735*I1735</f>
        <v/>
      </c>
      <c r="K1735" s="43" t="inlineStr">
        <is>
          <t>来源页149</t>
        </is>
      </c>
      <c r="L1735" s="43">
        <f>A1735</f>
        <v/>
      </c>
      <c r="M1735" s="81" t="n"/>
      <c r="N1735" s="81" t="n"/>
      <c r="O1735" s="81" t="n"/>
      <c r="P1735" s="81" t="n"/>
      <c r="Q1735" s="81" t="n"/>
      <c r="R1735" s="81" t="n"/>
      <c r="S1735" s="81" t="n"/>
      <c r="T1735" s="81" t="n"/>
      <c r="U1735" s="81" t="n"/>
      <c r="V1735" s="81" t="n"/>
      <c r="W1735" s="43" t="n"/>
    </row>
    <row r="1736">
      <c r="A1736" s="43" t="inlineStr">
        <is>
          <t>P4</t>
        </is>
      </c>
      <c r="B1736" s="43" t="inlineStr">
        <is>
          <t>上弦杆拼接</t>
        </is>
      </c>
      <c r="C1736" s="43" t="inlineStr">
        <is>
          <t>节段2~节段3</t>
        </is>
      </c>
      <c r="D1736" s="43" t="inlineStr">
        <is>
          <t>Q355D</t>
        </is>
      </c>
      <c r="E1736" s="43" t="n">
        <v>1020</v>
      </c>
      <c r="F1736" s="43" t="n">
        <v>400</v>
      </c>
      <c r="G1736" s="43" t="n">
        <v>16</v>
      </c>
      <c r="H1736" s="79">
        <f>(E1736/1000)*(F1736/1000)*(G1736/1000)*7850</f>
        <v/>
      </c>
      <c r="I1736" s="43" t="n">
        <v>2</v>
      </c>
      <c r="J1736" s="80">
        <f>H1736*I1736</f>
        <v/>
      </c>
      <c r="K1736" s="43" t="inlineStr">
        <is>
          <t>来源页149</t>
        </is>
      </c>
      <c r="L1736" s="43">
        <f>A1736</f>
        <v/>
      </c>
      <c r="M1736" s="81" t="n"/>
      <c r="N1736" s="81" t="n"/>
      <c r="O1736" s="81" t="n"/>
      <c r="P1736" s="81" t="n"/>
      <c r="Q1736" s="81" t="n"/>
      <c r="R1736" s="81" t="n"/>
      <c r="S1736" s="81" t="n"/>
      <c r="T1736" s="81" t="n"/>
      <c r="U1736" s="81" t="n"/>
      <c r="V1736" s="81" t="n"/>
      <c r="W1736" s="43" t="n"/>
    </row>
    <row r="1737">
      <c r="A1737" s="43" t="inlineStr">
        <is>
          <t>P5</t>
        </is>
      </c>
      <c r="B1737" s="43" t="inlineStr">
        <is>
          <t>上弦杆拼接</t>
        </is>
      </c>
      <c r="C1737" s="43" t="inlineStr">
        <is>
          <t>节段2~节段3</t>
        </is>
      </c>
      <c r="D1737" s="43" t="inlineStr">
        <is>
          <t>Q355D</t>
        </is>
      </c>
      <c r="E1737" s="43" t="n">
        <v>1420</v>
      </c>
      <c r="F1737" s="43" t="n">
        <v>1100</v>
      </c>
      <c r="G1737" s="43" t="n">
        <v>28</v>
      </c>
      <c r="H1737" s="79">
        <f>(E1737/1000)*(F1737/1000)*(G1737/1000)*7850</f>
        <v/>
      </c>
      <c r="I1737" s="43" t="n">
        <v>1</v>
      </c>
      <c r="J1737" s="80">
        <f>H1737*I1737</f>
        <v/>
      </c>
      <c r="K1737" s="43" t="inlineStr">
        <is>
          <t>来源页149</t>
        </is>
      </c>
      <c r="L1737" s="43">
        <f>A1737</f>
        <v/>
      </c>
      <c r="M1737" s="81" t="n"/>
      <c r="N1737" s="81" t="n"/>
      <c r="O1737" s="81" t="n"/>
      <c r="P1737" s="81" t="n"/>
      <c r="Q1737" s="81" t="n"/>
      <c r="R1737" s="81" t="n"/>
      <c r="S1737" s="81" t="n"/>
      <c r="T1737" s="81" t="n"/>
      <c r="U1737" s="81" t="n"/>
      <c r="V1737" s="81" t="n"/>
      <c r="W1737" s="43" t="n"/>
    </row>
    <row r="1738">
      <c r="A1738" s="43" t="inlineStr">
        <is>
          <t>P6</t>
        </is>
      </c>
      <c r="B1738" s="43" t="inlineStr">
        <is>
          <t>上弦杆拼接</t>
        </is>
      </c>
      <c r="C1738" s="43" t="inlineStr">
        <is>
          <t>节段2~节段3</t>
        </is>
      </c>
      <c r="D1738" s="43" t="inlineStr">
        <is>
          <t>Q355D</t>
        </is>
      </c>
      <c r="E1738" s="43" t="n">
        <v>1420</v>
      </c>
      <c r="F1738" s="43" t="n">
        <v>400</v>
      </c>
      <c r="G1738" s="43" t="n">
        <v>28</v>
      </c>
      <c r="H1738" s="79">
        <f>(E1738/1000)*(F1738/1000)*(G1738/1000)*7850</f>
        <v/>
      </c>
      <c r="I1738" s="43" t="n">
        <v>2</v>
      </c>
      <c r="J1738" s="80">
        <f>H1738*I1738</f>
        <v/>
      </c>
      <c r="K1738" s="43" t="inlineStr">
        <is>
          <t>来源页149</t>
        </is>
      </c>
      <c r="L1738" s="43">
        <f>A1738</f>
        <v/>
      </c>
      <c r="M1738" s="81" t="n"/>
      <c r="N1738" s="81" t="n"/>
      <c r="O1738" s="81" t="n"/>
      <c r="P1738" s="81" t="n"/>
      <c r="Q1738" s="81" t="n"/>
      <c r="R1738" s="81" t="n"/>
      <c r="S1738" s="81" t="n"/>
      <c r="T1738" s="81" t="n"/>
      <c r="U1738" s="81" t="n"/>
      <c r="V1738" s="81" t="n"/>
      <c r="W1738" s="43" t="n"/>
    </row>
    <row r="1739">
      <c r="A1739" s="43" t="inlineStr">
        <is>
          <t>P7</t>
        </is>
      </c>
      <c r="B1739" s="43" t="inlineStr">
        <is>
          <t>上弦杆拼接</t>
        </is>
      </c>
      <c r="C1739" s="43" t="inlineStr">
        <is>
          <t>节段2~节段3</t>
        </is>
      </c>
      <c r="D1739" s="43" t="inlineStr">
        <is>
          <t>Q355D</t>
        </is>
      </c>
      <c r="E1739" s="43" t="n">
        <v>920</v>
      </c>
      <c r="F1739" s="43" t="n">
        <v>200</v>
      </c>
      <c r="G1739" s="43" t="n">
        <v>20</v>
      </c>
      <c r="H1739" s="79">
        <f>(E1739/1000)*(F1739/1000)*(G1739/1000)*7850</f>
        <v/>
      </c>
      <c r="I1739" s="43" t="n">
        <v>10</v>
      </c>
      <c r="J1739" s="80">
        <f>H1739*I1739</f>
        <v/>
      </c>
      <c r="K1739" s="43" t="inlineStr">
        <is>
          <t>来源页149</t>
        </is>
      </c>
      <c r="L1739" s="43">
        <f>A1739</f>
        <v/>
      </c>
      <c r="M1739" s="81" t="n"/>
      <c r="N1739" s="81" t="n"/>
      <c r="O1739" s="81" t="n"/>
      <c r="P1739" s="81" t="n"/>
      <c r="Q1739" s="81" t="n"/>
      <c r="R1739" s="81" t="n"/>
      <c r="S1739" s="81" t="n"/>
      <c r="T1739" s="81" t="n"/>
      <c r="U1739" s="81" t="n"/>
      <c r="V1739" s="81" t="n"/>
      <c r="W1739" s="43" t="n"/>
    </row>
    <row r="1740">
      <c r="A1740" s="43" t="inlineStr">
        <is>
          <t>P8</t>
        </is>
      </c>
      <c r="B1740" s="43" t="inlineStr">
        <is>
          <t>上弦杆拼接</t>
        </is>
      </c>
      <c r="C1740" s="43" t="inlineStr">
        <is>
          <t>节段2~节段3</t>
        </is>
      </c>
      <c r="D1740" s="43" t="inlineStr">
        <is>
          <t>Q355D</t>
        </is>
      </c>
      <c r="E1740" s="43" t="n">
        <v>500</v>
      </c>
      <c r="F1740" s="43" t="n">
        <v>1800</v>
      </c>
      <c r="G1740" s="43" t="n">
        <v>20</v>
      </c>
      <c r="H1740" s="79">
        <f>(E1740/1000)*(F1740/1000)*(G1740/1000)*7850</f>
        <v/>
      </c>
      <c r="I1740" s="43" t="n">
        <v>2</v>
      </c>
      <c r="J1740" s="80">
        <f>H1740*I1740</f>
        <v/>
      </c>
      <c r="K1740" s="43" t="inlineStr">
        <is>
          <t>来源页149</t>
        </is>
      </c>
      <c r="L1740" s="43">
        <f>A1740</f>
        <v/>
      </c>
      <c r="M1740" s="81" t="n"/>
      <c r="N1740" s="81" t="n"/>
      <c r="O1740" s="81" t="n"/>
      <c r="P1740" s="81" t="n"/>
      <c r="Q1740" s="81" t="n"/>
      <c r="R1740" s="81" t="n"/>
      <c r="S1740" s="81" t="n"/>
      <c r="T1740" s="81" t="n"/>
      <c r="U1740" s="81" t="n"/>
      <c r="V1740" s="81" t="n"/>
      <c r="W1740" s="43" t="n"/>
    </row>
    <row r="1741">
      <c r="A1741" s="43" t="inlineStr">
        <is>
          <t>M30高强螺栓</t>
        </is>
      </c>
      <c r="B1741" s="43" t="inlineStr">
        <is>
          <t>上弦杆拼接</t>
        </is>
      </c>
      <c r="C1741" s="43" t="inlineStr">
        <is>
          <t>节段2~节段3</t>
        </is>
      </c>
      <c r="D1741" s="43" t="inlineStr">
        <is>
          <t>10.9S</t>
        </is>
      </c>
      <c r="E1741" s="43" t="n"/>
      <c r="F1741" s="43" t="n"/>
      <c r="G1741" s="43" t="n"/>
      <c r="H1741" s="79">
        <f>(E1741/1000)*(F1741/1000)*(G1741/1000)*7850</f>
        <v/>
      </c>
      <c r="I1741" s="43" t="n">
        <v>380</v>
      </c>
      <c r="J1741" s="80">
        <f>H1741*I1741</f>
        <v/>
      </c>
      <c r="K1741" s="43" t="inlineStr">
        <is>
          <t>来源页149</t>
        </is>
      </c>
      <c r="L1741" s="43">
        <f>A1741</f>
        <v/>
      </c>
      <c r="M1741" s="81" t="n"/>
      <c r="N1741" s="81" t="n"/>
      <c r="O1741" s="81" t="n"/>
      <c r="P1741" s="81" t="n"/>
      <c r="Q1741" s="81" t="n"/>
      <c r="R1741" s="81" t="n"/>
      <c r="S1741" s="81" t="n"/>
      <c r="T1741" s="81" t="n"/>
      <c r="U1741" s="81" t="n"/>
      <c r="V1741" s="81" t="n"/>
      <c r="W1741" s="43" t="n"/>
    </row>
    <row r="1742">
      <c r="A1742" s="43" t="inlineStr">
        <is>
          <t>K1</t>
        </is>
      </c>
      <c r="B1742" s="43" t="inlineStr">
        <is>
          <t>下弦杆拼接</t>
        </is>
      </c>
      <c r="C1742" s="43" t="inlineStr">
        <is>
          <t>节段2~节段3</t>
        </is>
      </c>
      <c r="D1742" s="43" t="inlineStr">
        <is>
          <t>Q355D</t>
        </is>
      </c>
      <c r="E1742" s="43" t="n">
        <v>820</v>
      </c>
      <c r="F1742" s="43" t="n">
        <v>1300</v>
      </c>
      <c r="G1742" s="43" t="n">
        <v>20</v>
      </c>
      <c r="H1742" s="79">
        <f>(E1742/1000)*(F1742/1000)*(G1742/1000)*7850</f>
        <v/>
      </c>
      <c r="I1742" s="43" t="n">
        <v>2</v>
      </c>
      <c r="J1742" s="80">
        <f>H1742*I1742</f>
        <v/>
      </c>
      <c r="K1742" s="43" t="inlineStr">
        <is>
          <t>来源页149</t>
        </is>
      </c>
      <c r="L1742" s="43">
        <f>A1742</f>
        <v/>
      </c>
      <c r="M1742" s="81" t="n"/>
      <c r="N1742" s="81" t="n"/>
      <c r="O1742" s="81" t="n"/>
      <c r="P1742" s="81" t="n"/>
      <c r="Q1742" s="81" t="n"/>
      <c r="R1742" s="81" t="n"/>
      <c r="S1742" s="81" t="n"/>
      <c r="T1742" s="81" t="n"/>
      <c r="U1742" s="81" t="n"/>
      <c r="V1742" s="81" t="n"/>
      <c r="W1742" s="43" t="n"/>
    </row>
    <row r="1743">
      <c r="A1743" s="43" t="inlineStr">
        <is>
          <t>K2</t>
        </is>
      </c>
      <c r="B1743" s="43" t="inlineStr">
        <is>
          <t>下弦杆拼接</t>
        </is>
      </c>
      <c r="C1743" s="43" t="inlineStr">
        <is>
          <t>节段2~节段3</t>
        </is>
      </c>
      <c r="D1743" s="43" t="inlineStr">
        <is>
          <t>Q355D</t>
        </is>
      </c>
      <c r="E1743" s="43" t="n">
        <v>820</v>
      </c>
      <c r="F1743" s="43" t="n">
        <v>600</v>
      </c>
      <c r="G1743" s="43" t="n">
        <v>20</v>
      </c>
      <c r="H1743" s="79">
        <f>(E1743/1000)*(F1743/1000)*(G1743/1000)*7850</f>
        <v/>
      </c>
      <c r="I1743" s="43" t="n">
        <v>4</v>
      </c>
      <c r="J1743" s="80">
        <f>H1743*I1743</f>
        <v/>
      </c>
      <c r="K1743" s="43" t="inlineStr">
        <is>
          <t>来源页149</t>
        </is>
      </c>
      <c r="L1743" s="43">
        <f>A1743</f>
        <v/>
      </c>
      <c r="M1743" s="81" t="n"/>
      <c r="N1743" s="81" t="n"/>
      <c r="O1743" s="81" t="n"/>
      <c r="P1743" s="81" t="n"/>
      <c r="Q1743" s="81" t="n"/>
      <c r="R1743" s="81" t="n"/>
      <c r="S1743" s="81" t="n"/>
      <c r="T1743" s="81" t="n"/>
      <c r="U1743" s="81" t="n"/>
      <c r="V1743" s="81" t="n"/>
      <c r="W1743" s="43" t="n"/>
    </row>
    <row r="1744">
      <c r="A1744" s="43" t="inlineStr">
        <is>
          <t>K3</t>
        </is>
      </c>
      <c r="B1744" s="43" t="inlineStr">
        <is>
          <t>下弦杆拼接</t>
        </is>
      </c>
      <c r="C1744" s="43" t="inlineStr">
        <is>
          <t>节段2~节段3</t>
        </is>
      </c>
      <c r="D1744" s="43" t="inlineStr">
        <is>
          <t>Q355D</t>
        </is>
      </c>
      <c r="E1744" s="43" t="n">
        <v>1120</v>
      </c>
      <c r="F1744" s="43" t="n">
        <v>1100</v>
      </c>
      <c r="G1744" s="43" t="n">
        <v>32</v>
      </c>
      <c r="H1744" s="79">
        <f>(E1744/1000)*(F1744/1000)*(G1744/1000)*7850</f>
        <v/>
      </c>
      <c r="I1744" s="43" t="n">
        <v>1</v>
      </c>
      <c r="J1744" s="80">
        <f>H1744*I1744</f>
        <v/>
      </c>
      <c r="K1744" s="43" t="inlineStr">
        <is>
          <t>来源页149</t>
        </is>
      </c>
      <c r="L1744" s="43">
        <f>A1744</f>
        <v/>
      </c>
      <c r="M1744" s="81" t="n"/>
      <c r="N1744" s="81" t="n"/>
      <c r="O1744" s="81" t="n"/>
      <c r="P1744" s="81" t="n"/>
      <c r="Q1744" s="81" t="n"/>
      <c r="R1744" s="81" t="n"/>
      <c r="S1744" s="81" t="n"/>
      <c r="T1744" s="81" t="n"/>
      <c r="U1744" s="81" t="n"/>
      <c r="V1744" s="81" t="n"/>
      <c r="W1744" s="43" t="n"/>
    </row>
    <row r="1745">
      <c r="A1745" s="43" t="inlineStr">
        <is>
          <t>K4</t>
        </is>
      </c>
      <c r="B1745" s="43" t="inlineStr">
        <is>
          <t>下弦杆拼接</t>
        </is>
      </c>
      <c r="C1745" s="43" t="inlineStr">
        <is>
          <t>节段2~节段3</t>
        </is>
      </c>
      <c r="D1745" s="43" t="inlineStr">
        <is>
          <t>Q355D</t>
        </is>
      </c>
      <c r="E1745" s="43" t="n">
        <v>1120</v>
      </c>
      <c r="F1745" s="43" t="n">
        <v>400</v>
      </c>
      <c r="G1745" s="43" t="n">
        <v>32</v>
      </c>
      <c r="H1745" s="79">
        <f>(E1745/1000)*(F1745/1000)*(G1745/1000)*7850</f>
        <v/>
      </c>
      <c r="I1745" s="43" t="n">
        <v>2</v>
      </c>
      <c r="J1745" s="80">
        <f>H1745*I1745</f>
        <v/>
      </c>
      <c r="K1745" s="43" t="inlineStr">
        <is>
          <t>来源页149</t>
        </is>
      </c>
      <c r="L1745" s="43">
        <f>A1745</f>
        <v/>
      </c>
      <c r="M1745" s="81" t="n"/>
      <c r="N1745" s="81" t="n"/>
      <c r="O1745" s="81" t="n"/>
      <c r="P1745" s="81" t="n"/>
      <c r="Q1745" s="81" t="n"/>
      <c r="R1745" s="81" t="n"/>
      <c r="S1745" s="81" t="n"/>
      <c r="T1745" s="81" t="n"/>
      <c r="U1745" s="81" t="n"/>
      <c r="V1745" s="81" t="n"/>
      <c r="W1745" s="43" t="n"/>
    </row>
    <row r="1746">
      <c r="A1746" s="43" t="inlineStr">
        <is>
          <t>K5</t>
        </is>
      </c>
      <c r="B1746" s="43" t="inlineStr">
        <is>
          <t>下弦杆拼接</t>
        </is>
      </c>
      <c r="C1746" s="43" t="inlineStr">
        <is>
          <t>节段2~节段3</t>
        </is>
      </c>
      <c r="D1746" s="43" t="inlineStr">
        <is>
          <t>Q355D</t>
        </is>
      </c>
      <c r="E1746" s="43" t="n">
        <v>920</v>
      </c>
      <c r="F1746" s="43" t="n">
        <v>200</v>
      </c>
      <c r="G1746" s="43" t="n">
        <v>20</v>
      </c>
      <c r="H1746" s="79">
        <f>(E1746/1000)*(F1746/1000)*(G1746/1000)*7850</f>
        <v/>
      </c>
      <c r="I1746" s="43" t="n">
        <v>6</v>
      </c>
      <c r="J1746" s="80">
        <f>H1746*I1746</f>
        <v/>
      </c>
      <c r="K1746" s="43" t="inlineStr">
        <is>
          <t>来源页149</t>
        </is>
      </c>
      <c r="L1746" s="43">
        <f>A1746</f>
        <v/>
      </c>
      <c r="M1746" s="81" t="n"/>
      <c r="N1746" s="81" t="n"/>
      <c r="O1746" s="81" t="n"/>
      <c r="P1746" s="81" t="n"/>
      <c r="Q1746" s="81" t="n"/>
      <c r="R1746" s="81" t="n"/>
      <c r="S1746" s="81" t="n"/>
      <c r="T1746" s="81" t="n"/>
      <c r="U1746" s="81" t="n"/>
      <c r="V1746" s="81" t="n"/>
      <c r="W1746" s="43" t="n"/>
    </row>
    <row r="1747">
      <c r="A1747" s="43" t="inlineStr">
        <is>
          <t>K6</t>
        </is>
      </c>
      <c r="B1747" s="43" t="inlineStr">
        <is>
          <t>下弦杆拼接</t>
        </is>
      </c>
      <c r="C1747" s="43" t="inlineStr">
        <is>
          <t>节段2~节段3</t>
        </is>
      </c>
      <c r="D1747" s="43" t="inlineStr">
        <is>
          <t>Q355D</t>
        </is>
      </c>
      <c r="E1747" s="43" t="n">
        <v>400</v>
      </c>
      <c r="F1747" s="43" t="n">
        <v>1700</v>
      </c>
      <c r="G1747" s="43" t="n">
        <v>16</v>
      </c>
      <c r="H1747" s="79">
        <f>(E1747/1000)*(F1747/1000)*(G1747/1000)*7850</f>
        <v/>
      </c>
      <c r="I1747" s="43" t="n">
        <v>2</v>
      </c>
      <c r="J1747" s="80">
        <f>H1747*I1747</f>
        <v/>
      </c>
      <c r="K1747" s="43" t="inlineStr">
        <is>
          <t>来源页149</t>
        </is>
      </c>
      <c r="L1747" s="43">
        <f>A1747</f>
        <v/>
      </c>
      <c r="M1747" s="81" t="n"/>
      <c r="N1747" s="81" t="n"/>
      <c r="O1747" s="81" t="n"/>
      <c r="P1747" s="81" t="n"/>
      <c r="Q1747" s="81" t="n"/>
      <c r="R1747" s="81" t="n"/>
      <c r="S1747" s="81" t="n"/>
      <c r="T1747" s="81" t="n"/>
      <c r="U1747" s="81" t="n"/>
      <c r="V1747" s="81" t="n"/>
      <c r="W1747" s="43" t="n"/>
    </row>
    <row r="1748">
      <c r="A1748" s="43" t="inlineStr">
        <is>
          <t>M30高强螺栓</t>
        </is>
      </c>
      <c r="B1748" s="43" t="inlineStr">
        <is>
          <t>下弦杆拼接</t>
        </is>
      </c>
      <c r="C1748" s="43" t="inlineStr">
        <is>
          <t>节段2~节段3</t>
        </is>
      </c>
      <c r="D1748" s="43" t="inlineStr">
        <is>
          <t>10.9S</t>
        </is>
      </c>
      <c r="E1748" s="43" t="n"/>
      <c r="F1748" s="43" t="n"/>
      <c r="G1748" s="43" t="n"/>
      <c r="H1748" s="79">
        <f>(E1748/1000)*(F1748/1000)*(G1748/1000)*7850</f>
        <v/>
      </c>
      <c r="I1748" s="43" t="n">
        <v>276</v>
      </c>
      <c r="J1748" s="80">
        <f>H1748*I1748</f>
        <v/>
      </c>
      <c r="K1748" s="43" t="inlineStr">
        <is>
          <t>来源页149</t>
        </is>
      </c>
      <c r="L1748" s="43">
        <f>A1748</f>
        <v/>
      </c>
      <c r="M1748" s="81" t="n"/>
      <c r="N1748" s="81" t="n"/>
      <c r="O1748" s="81" t="n"/>
      <c r="P1748" s="81" t="n"/>
      <c r="Q1748" s="81" t="n"/>
      <c r="R1748" s="81" t="n"/>
      <c r="S1748" s="81" t="n"/>
      <c r="T1748" s="81" t="n"/>
      <c r="U1748" s="81" t="n"/>
      <c r="V1748" s="81" t="n"/>
      <c r="W1748" s="43" t="n"/>
    </row>
    <row r="1749">
      <c r="A1749" s="43" t="inlineStr">
        <is>
          <t>L1</t>
        </is>
      </c>
      <c r="B1749" s="43" t="inlineStr">
        <is>
          <t>腹杆拼接</t>
        </is>
      </c>
      <c r="C1749" s="43" t="inlineStr">
        <is>
          <t>节段2~节段3</t>
        </is>
      </c>
      <c r="D1749" s="43" t="inlineStr">
        <is>
          <t>Q355D</t>
        </is>
      </c>
      <c r="E1749" s="43" t="n">
        <v>1320</v>
      </c>
      <c r="F1749" s="43" t="n">
        <v>900</v>
      </c>
      <c r="G1749" s="43" t="n">
        <v>28</v>
      </c>
      <c r="H1749" s="79">
        <f>(E1749/1000)*(F1749/1000)*(G1749/1000)*7850</f>
        <v/>
      </c>
      <c r="I1749" s="43" t="n">
        <v>2</v>
      </c>
      <c r="J1749" s="80">
        <f>H1749*I1749</f>
        <v/>
      </c>
      <c r="K1749" s="43" t="inlineStr">
        <is>
          <t>来源页149</t>
        </is>
      </c>
      <c r="L1749" s="43">
        <f>A1749</f>
        <v/>
      </c>
      <c r="M1749" s="81" t="n"/>
      <c r="N1749" s="81" t="n"/>
      <c r="O1749" s="81" t="n"/>
      <c r="P1749" s="81" t="n"/>
      <c r="Q1749" s="81" t="n"/>
      <c r="R1749" s="81" t="n"/>
      <c r="S1749" s="81" t="n"/>
      <c r="T1749" s="81" t="n"/>
      <c r="U1749" s="81" t="n"/>
      <c r="V1749" s="81" t="n"/>
      <c r="W1749" s="43" t="n"/>
    </row>
    <row r="1750">
      <c r="A1750" s="43" t="inlineStr">
        <is>
          <t>L2</t>
        </is>
      </c>
      <c r="B1750" s="43" t="inlineStr">
        <is>
          <t>腹杆拼接</t>
        </is>
      </c>
      <c r="C1750" s="43" t="inlineStr">
        <is>
          <t>节段2~节段3</t>
        </is>
      </c>
      <c r="D1750" s="43" t="inlineStr">
        <is>
          <t>Q355D</t>
        </is>
      </c>
      <c r="E1750" s="43" t="n">
        <v>1320</v>
      </c>
      <c r="F1750" s="43" t="n">
        <v>400</v>
      </c>
      <c r="G1750" s="43" t="n">
        <v>28</v>
      </c>
      <c r="H1750" s="79">
        <f>(E1750/1000)*(F1750/1000)*(G1750/1000)*7850</f>
        <v/>
      </c>
      <c r="I1750" s="43" t="n">
        <v>4</v>
      </c>
      <c r="J1750" s="80">
        <f>H1750*I1750</f>
        <v/>
      </c>
      <c r="K1750" s="43" t="inlineStr">
        <is>
          <t>来源页149</t>
        </is>
      </c>
      <c r="L1750" s="43">
        <f>A1750</f>
        <v/>
      </c>
      <c r="M1750" s="81" t="n"/>
      <c r="N1750" s="81" t="n"/>
      <c r="O1750" s="81" t="n"/>
      <c r="P1750" s="81" t="n"/>
      <c r="Q1750" s="81" t="n"/>
      <c r="R1750" s="81" t="n"/>
      <c r="S1750" s="81" t="n"/>
      <c r="T1750" s="81" t="n"/>
      <c r="U1750" s="81" t="n"/>
      <c r="V1750" s="81" t="n"/>
      <c r="W1750" s="43" t="n"/>
    </row>
    <row r="1751">
      <c r="A1751" s="43" t="inlineStr">
        <is>
          <t>L3</t>
        </is>
      </c>
      <c r="B1751" s="43" t="inlineStr">
        <is>
          <t>腹杆拼接</t>
        </is>
      </c>
      <c r="C1751" s="43" t="inlineStr">
        <is>
          <t>节段2~节段3</t>
        </is>
      </c>
      <c r="D1751" s="43" t="inlineStr">
        <is>
          <t>Q355D</t>
        </is>
      </c>
      <c r="E1751" s="43" t="n">
        <v>1320</v>
      </c>
      <c r="F1751" s="43" t="n">
        <v>500</v>
      </c>
      <c r="G1751" s="43" t="n">
        <v>28</v>
      </c>
      <c r="H1751" s="79">
        <f>(E1751/1000)*(F1751/1000)*(G1751/1000)*7850</f>
        <v/>
      </c>
      <c r="I1751" s="43" t="n">
        <v>4</v>
      </c>
      <c r="J1751" s="80">
        <f>H1751*I1751</f>
        <v/>
      </c>
      <c r="K1751" s="43" t="inlineStr">
        <is>
          <t>来源页149</t>
        </is>
      </c>
      <c r="L1751" s="43">
        <f>A1751</f>
        <v/>
      </c>
      <c r="M1751" s="81" t="n"/>
      <c r="N1751" s="81" t="n"/>
      <c r="O1751" s="81" t="n"/>
      <c r="P1751" s="81" t="n"/>
      <c r="Q1751" s="81" t="n"/>
      <c r="R1751" s="81" t="n"/>
      <c r="S1751" s="81" t="n"/>
      <c r="T1751" s="81" t="n"/>
      <c r="U1751" s="81" t="n"/>
      <c r="V1751" s="81" t="n"/>
      <c r="W1751" s="43" t="n"/>
    </row>
    <row r="1752">
      <c r="A1752" s="43" t="inlineStr">
        <is>
          <t>L4</t>
        </is>
      </c>
      <c r="B1752" s="43" t="inlineStr">
        <is>
          <t>腹杆拼接</t>
        </is>
      </c>
      <c r="C1752" s="43" t="inlineStr">
        <is>
          <t>节段2~节段3</t>
        </is>
      </c>
      <c r="D1752" s="43" t="inlineStr">
        <is>
          <t>Q355D</t>
        </is>
      </c>
      <c r="E1752" s="43" t="n">
        <v>820</v>
      </c>
      <c r="F1752" s="43" t="n">
        <v>200</v>
      </c>
      <c r="G1752" s="43" t="n">
        <v>20</v>
      </c>
      <c r="H1752" s="79">
        <f>(E1752/1000)*(F1752/1000)*(G1752/1000)*7850</f>
        <v/>
      </c>
      <c r="I1752" s="43" t="n">
        <v>4</v>
      </c>
      <c r="J1752" s="80">
        <f>H1752*I1752</f>
        <v/>
      </c>
      <c r="K1752" s="43" t="inlineStr">
        <is>
          <t>来源页149</t>
        </is>
      </c>
      <c r="L1752" s="43">
        <f>A1752</f>
        <v/>
      </c>
      <c r="M1752" s="81" t="n"/>
      <c r="N1752" s="81" t="n"/>
      <c r="O1752" s="81" t="n"/>
      <c r="P1752" s="81" t="n"/>
      <c r="Q1752" s="81" t="n"/>
      <c r="R1752" s="81" t="n"/>
      <c r="S1752" s="81" t="n"/>
      <c r="T1752" s="81" t="n"/>
      <c r="U1752" s="81" t="n"/>
      <c r="V1752" s="81" t="n"/>
      <c r="W1752" s="43" t="n"/>
    </row>
    <row r="1753">
      <c r="A1753" s="43" t="inlineStr">
        <is>
          <t>M30高强螺栓</t>
        </is>
      </c>
      <c r="B1753" s="43" t="inlineStr">
        <is>
          <t>腹杆拼接</t>
        </is>
      </c>
      <c r="C1753" s="43" t="inlineStr">
        <is>
          <t>节段2~节段3</t>
        </is>
      </c>
      <c r="D1753" s="43" t="inlineStr">
        <is>
          <t>10.9S</t>
        </is>
      </c>
      <c r="E1753" s="43" t="n"/>
      <c r="F1753" s="43" t="n"/>
      <c r="G1753" s="43" t="n"/>
      <c r="H1753" s="79">
        <f>(E1753/1000)*(F1753/1000)*(G1753/1000)*7850</f>
        <v/>
      </c>
      <c r="I1753" s="43" t="n">
        <v>507</v>
      </c>
      <c r="J1753" s="80">
        <f>H1753*I1753</f>
        <v/>
      </c>
      <c r="K1753" s="43" t="inlineStr">
        <is>
          <t>来源页149</t>
        </is>
      </c>
      <c r="L1753" s="43">
        <f>A1753</f>
        <v/>
      </c>
      <c r="M1753" s="81" t="n"/>
      <c r="N1753" s="81" t="n"/>
      <c r="O1753" s="81" t="n"/>
      <c r="P1753" s="81" t="n"/>
      <c r="Q1753" s="81" t="n"/>
      <c r="R1753" s="81" t="n"/>
      <c r="S1753" s="81" t="n"/>
      <c r="T1753" s="81" t="n"/>
      <c r="U1753" s="81" t="n"/>
      <c r="V1753" s="81" t="n"/>
      <c r="W1753" s="43" t="n"/>
    </row>
    <row r="1754">
      <c r="A1754" s="43" t="inlineStr">
        <is>
          <t>N11a</t>
        </is>
      </c>
      <c r="B1754" s="43" t="inlineStr"/>
      <c r="C1754" s="43" t="inlineStr">
        <is>
          <t>节段03</t>
        </is>
      </c>
      <c r="D1754" s="43" t="inlineStr">
        <is>
          <t>Q355D</t>
        </is>
      </c>
      <c r="E1754" s="43" t="n"/>
      <c r="F1754" s="43" t="n"/>
      <c r="G1754" s="43" t="n">
        <v>20</v>
      </c>
      <c r="H1754" s="79">
        <f>(E1754/1000)*(F1754/1000)*(G1754/1000)*7850</f>
        <v/>
      </c>
      <c r="I1754" s="43" t="n">
        <v>1</v>
      </c>
      <c r="J1754" s="80">
        <f>H1754*I1754</f>
        <v/>
      </c>
      <c r="K1754" s="43" t="inlineStr">
        <is>
          <t>来源页150</t>
        </is>
      </c>
      <c r="L1754" s="43">
        <f>A1754</f>
        <v/>
      </c>
      <c r="M1754" s="81" t="n"/>
      <c r="N1754" s="81" t="n"/>
      <c r="O1754" s="81" t="n"/>
      <c r="P1754" s="81" t="n"/>
      <c r="Q1754" s="81" t="n"/>
      <c r="R1754" s="81" t="n"/>
      <c r="S1754" s="81" t="n"/>
      <c r="T1754" s="81" t="n"/>
      <c r="U1754" s="81" t="n"/>
      <c r="V1754" s="81" t="n"/>
      <c r="W1754" s="43" t="n"/>
    </row>
    <row r="1755">
      <c r="A1755" s="43" t="inlineStr">
        <is>
          <t>N11b</t>
        </is>
      </c>
      <c r="B1755" s="43" t="inlineStr"/>
      <c r="C1755" s="43" t="inlineStr">
        <is>
          <t>节段03</t>
        </is>
      </c>
      <c r="D1755" s="43" t="inlineStr">
        <is>
          <t>Q355D</t>
        </is>
      </c>
      <c r="E1755" s="43" t="n"/>
      <c r="F1755" s="43" t="n"/>
      <c r="G1755" s="43" t="n">
        <v>20</v>
      </c>
      <c r="H1755" s="79">
        <f>(E1755/1000)*(F1755/1000)*(G1755/1000)*7850</f>
        <v/>
      </c>
      <c r="I1755" s="43" t="n">
        <v>1</v>
      </c>
      <c r="J1755" s="80">
        <f>H1755*I1755</f>
        <v/>
      </c>
      <c r="K1755" s="43" t="inlineStr">
        <is>
          <t>来源页150</t>
        </is>
      </c>
      <c r="L1755" s="43">
        <f>A1755</f>
        <v/>
      </c>
      <c r="M1755" s="81" t="n"/>
      <c r="N1755" s="81" t="n"/>
      <c r="O1755" s="81" t="n"/>
      <c r="P1755" s="81" t="n"/>
      <c r="Q1755" s="81" t="n"/>
      <c r="R1755" s="81" t="n"/>
      <c r="S1755" s="81" t="n"/>
      <c r="T1755" s="81" t="n"/>
      <c r="U1755" s="81" t="n"/>
      <c r="V1755" s="81" t="n"/>
      <c r="W1755" s="43" t="n"/>
    </row>
    <row r="1756">
      <c r="A1756" s="43" t="inlineStr">
        <is>
          <t>N12a</t>
        </is>
      </c>
      <c r="B1756" s="43" t="inlineStr"/>
      <c r="C1756" s="43" t="inlineStr">
        <is>
          <t>节段03</t>
        </is>
      </c>
      <c r="D1756" s="43" t="inlineStr">
        <is>
          <t>Q355D</t>
        </is>
      </c>
      <c r="E1756" s="43" t="n">
        <v>7902</v>
      </c>
      <c r="F1756" s="43" t="n">
        <v>1200</v>
      </c>
      <c r="G1756" s="43" t="n">
        <v>20</v>
      </c>
      <c r="H1756" s="79">
        <f>(E1756/1000)*(F1756/1000)*(G1756/1000)*7850</f>
        <v/>
      </c>
      <c r="I1756" s="43" t="n">
        <v>1</v>
      </c>
      <c r="J1756" s="80">
        <f>H1756*I1756</f>
        <v/>
      </c>
      <c r="K1756" s="43" t="inlineStr">
        <is>
          <t>来源页150</t>
        </is>
      </c>
      <c r="L1756" s="43">
        <f>A1756</f>
        <v/>
      </c>
      <c r="M1756" s="81" t="n"/>
      <c r="N1756" s="81" t="n"/>
      <c r="O1756" s="81" t="n"/>
      <c r="P1756" s="81" t="n"/>
      <c r="Q1756" s="81" t="n"/>
      <c r="R1756" s="81" t="n"/>
      <c r="S1756" s="81" t="n"/>
      <c r="T1756" s="81" t="n"/>
      <c r="U1756" s="81" t="n"/>
      <c r="V1756" s="81" t="n"/>
      <c r="W1756" s="43" t="n"/>
    </row>
    <row r="1757">
      <c r="A1757" s="43" t="inlineStr">
        <is>
          <t>N12b</t>
        </is>
      </c>
      <c r="B1757" s="43" t="inlineStr"/>
      <c r="C1757" s="43" t="inlineStr">
        <is>
          <t>节段03</t>
        </is>
      </c>
      <c r="D1757" s="43" t="inlineStr">
        <is>
          <t>Q355D</t>
        </is>
      </c>
      <c r="E1757" s="43" t="n">
        <v>8600</v>
      </c>
      <c r="F1757" s="43" t="n">
        <v>1200</v>
      </c>
      <c r="G1757" s="43" t="n">
        <v>20</v>
      </c>
      <c r="H1757" s="79">
        <f>(E1757/1000)*(F1757/1000)*(G1757/1000)*7850</f>
        <v/>
      </c>
      <c r="I1757" s="43" t="n">
        <v>1</v>
      </c>
      <c r="J1757" s="80">
        <f>H1757*I1757</f>
        <v/>
      </c>
      <c r="K1757" s="43" t="inlineStr">
        <is>
          <t>来源页150</t>
        </is>
      </c>
      <c r="L1757" s="43">
        <f>A1757</f>
        <v/>
      </c>
      <c r="M1757" s="81" t="n"/>
      <c r="N1757" s="81" t="n"/>
      <c r="O1757" s="81" t="n"/>
      <c r="P1757" s="81" t="n"/>
      <c r="Q1757" s="81" t="n"/>
      <c r="R1757" s="81" t="n"/>
      <c r="S1757" s="81" t="n"/>
      <c r="T1757" s="81" t="n"/>
      <c r="U1757" s="81" t="n"/>
      <c r="V1757" s="81" t="n"/>
      <c r="W1757" s="43" t="n"/>
    </row>
    <row r="1758">
      <c r="A1758" s="43" t="inlineStr">
        <is>
          <t>N13</t>
        </is>
      </c>
      <c r="B1758" s="43" t="inlineStr"/>
      <c r="C1758" s="43" t="inlineStr">
        <is>
          <t>节段03</t>
        </is>
      </c>
      <c r="D1758" s="43" t="inlineStr">
        <is>
          <t>Q355D</t>
        </is>
      </c>
      <c r="E1758" s="43" t="n"/>
      <c r="F1758" s="43" t="n"/>
      <c r="G1758" s="43" t="n">
        <v>40</v>
      </c>
      <c r="H1758" s="79">
        <f>(E1758/1000)*(F1758/1000)*(G1758/1000)*7850</f>
        <v/>
      </c>
      <c r="I1758" s="43" t="n">
        <v>2</v>
      </c>
      <c r="J1758" s="80">
        <f>H1758*I1758</f>
        <v/>
      </c>
      <c r="K1758" s="43" t="inlineStr">
        <is>
          <t>来源页150</t>
        </is>
      </c>
      <c r="L1758" s="43">
        <f>A1758</f>
        <v/>
      </c>
      <c r="M1758" s="81" t="n"/>
      <c r="N1758" s="81" t="n"/>
      <c r="O1758" s="81" t="n"/>
      <c r="P1758" s="81" t="n"/>
      <c r="Q1758" s="81" t="n"/>
      <c r="R1758" s="81" t="n"/>
      <c r="S1758" s="81" t="n"/>
      <c r="T1758" s="81" t="n"/>
      <c r="U1758" s="81" t="n"/>
      <c r="V1758" s="81" t="n"/>
      <c r="W1758" s="43" t="n"/>
    </row>
    <row r="1759">
      <c r="A1759" s="43" t="inlineStr">
        <is>
          <t>N14</t>
        </is>
      </c>
      <c r="B1759" s="43" t="inlineStr"/>
      <c r="C1759" s="43" t="inlineStr">
        <is>
          <t>节段03</t>
        </is>
      </c>
      <c r="D1759" s="43" t="inlineStr">
        <is>
          <t>Q355D</t>
        </is>
      </c>
      <c r="E1759" s="43" t="n">
        <v>8800</v>
      </c>
      <c r="F1759" s="43" t="n">
        <v>1648</v>
      </c>
      <c r="G1759" s="43" t="n">
        <v>20</v>
      </c>
      <c r="H1759" s="79">
        <f>(E1759/1000)*(F1759/1000)*(G1759/1000)*7850</f>
        <v/>
      </c>
      <c r="I1759" s="43" t="n">
        <v>2</v>
      </c>
      <c r="J1759" s="80">
        <f>H1759*I1759</f>
        <v/>
      </c>
      <c r="K1759" s="43" t="inlineStr">
        <is>
          <t>来源页150</t>
        </is>
      </c>
      <c r="L1759" s="43">
        <f>A1759</f>
        <v/>
      </c>
      <c r="M1759" s="81" t="n"/>
      <c r="N1759" s="81" t="n"/>
      <c r="O1759" s="81" t="n"/>
      <c r="P1759" s="81" t="n"/>
      <c r="Q1759" s="81" t="n"/>
      <c r="R1759" s="81" t="n"/>
      <c r="S1759" s="81" t="n"/>
      <c r="T1759" s="81" t="n"/>
      <c r="U1759" s="81" t="n"/>
      <c r="V1759" s="81" t="n"/>
      <c r="W1759" s="43" t="n"/>
    </row>
    <row r="1760">
      <c r="A1760" s="43" t="inlineStr">
        <is>
          <t>N15</t>
        </is>
      </c>
      <c r="B1760" s="43" t="inlineStr"/>
      <c r="C1760" s="43" t="inlineStr">
        <is>
          <t>节段03</t>
        </is>
      </c>
      <c r="D1760" s="43" t="inlineStr">
        <is>
          <t>Q355D</t>
        </is>
      </c>
      <c r="E1760" s="43" t="n">
        <v>1580</v>
      </c>
      <c r="F1760" s="43" t="n">
        <v>1200</v>
      </c>
      <c r="G1760" s="43" t="n">
        <v>16</v>
      </c>
      <c r="H1760" s="79">
        <f>(E1760/1000)*(F1760/1000)*(G1760/1000)*7850</f>
        <v/>
      </c>
      <c r="I1760" s="43" t="n">
        <v>3</v>
      </c>
      <c r="J1760" s="80">
        <f>H1760*I1760</f>
        <v/>
      </c>
      <c r="K1760" s="43" t="inlineStr">
        <is>
          <t>来源页150</t>
        </is>
      </c>
      <c r="L1760" s="43">
        <f>A1760</f>
        <v/>
      </c>
      <c r="M1760" s="81" t="n"/>
      <c r="N1760" s="81" t="n"/>
      <c r="O1760" s="81" t="n"/>
      <c r="P1760" s="81" t="n"/>
      <c r="Q1760" s="81" t="n"/>
      <c r="R1760" s="81" t="n"/>
      <c r="S1760" s="81" t="n"/>
      <c r="T1760" s="81" t="n"/>
      <c r="U1760" s="81" t="n"/>
      <c r="V1760" s="81" t="n"/>
      <c r="W1760" s="43" t="n"/>
    </row>
    <row r="1761">
      <c r="A1761" s="43" t="inlineStr">
        <is>
          <t>N15a</t>
        </is>
      </c>
      <c r="B1761" s="43" t="inlineStr"/>
      <c r="C1761" s="43" t="inlineStr">
        <is>
          <t>节段03</t>
        </is>
      </c>
      <c r="D1761" s="43" t="inlineStr">
        <is>
          <t>Q355D</t>
        </is>
      </c>
      <c r="E1761" s="43" t="n">
        <v>1580</v>
      </c>
      <c r="F1761" s="43" t="n">
        <v>1200</v>
      </c>
      <c r="G1761" s="43" t="n">
        <v>16</v>
      </c>
      <c r="H1761" s="79">
        <f>(E1761/1000)*(F1761/1000)*(G1761/1000)*7850</f>
        <v/>
      </c>
      <c r="I1761" s="43" t="n">
        <v>3</v>
      </c>
      <c r="J1761" s="80">
        <f>H1761*I1761</f>
        <v/>
      </c>
      <c r="K1761" s="43" t="inlineStr">
        <is>
          <t>来源页150</t>
        </is>
      </c>
      <c r="L1761" s="43">
        <f>A1761</f>
        <v/>
      </c>
      <c r="M1761" s="81" t="n"/>
      <c r="N1761" s="81" t="n"/>
      <c r="O1761" s="81" t="n"/>
      <c r="P1761" s="81" t="n"/>
      <c r="Q1761" s="81" t="n"/>
      <c r="R1761" s="81" t="n"/>
      <c r="S1761" s="81" t="n"/>
      <c r="T1761" s="81" t="n"/>
      <c r="U1761" s="81" t="n"/>
      <c r="V1761" s="81" t="n"/>
      <c r="W1761" s="43" t="n"/>
    </row>
    <row r="1762">
      <c r="A1762" s="43" t="inlineStr">
        <is>
          <t>N15‘</t>
        </is>
      </c>
      <c r="B1762" s="43" t="inlineStr"/>
      <c r="C1762" s="43" t="inlineStr">
        <is>
          <t>节段03</t>
        </is>
      </c>
      <c r="D1762" s="43" t="inlineStr">
        <is>
          <t>Q355D</t>
        </is>
      </c>
      <c r="E1762" s="43" t="n">
        <v>2057</v>
      </c>
      <c r="F1762" s="43" t="n">
        <v>200</v>
      </c>
      <c r="G1762" s="43" t="n">
        <v>16</v>
      </c>
      <c r="H1762" s="79">
        <f>(E1762/1000)*(F1762/1000)*(G1762/1000)*7850</f>
        <v/>
      </c>
      <c r="I1762" s="43" t="n">
        <v>4</v>
      </c>
      <c r="J1762" s="80">
        <f>H1762*I1762</f>
        <v/>
      </c>
      <c r="K1762" s="43" t="inlineStr">
        <is>
          <t>来源页150</t>
        </is>
      </c>
      <c r="L1762" s="43">
        <f>A1762</f>
        <v/>
      </c>
      <c r="M1762" s="81" t="n"/>
      <c r="N1762" s="81" t="n"/>
      <c r="O1762" s="81" t="n"/>
      <c r="P1762" s="81" t="n"/>
      <c r="Q1762" s="81" t="n"/>
      <c r="R1762" s="81" t="n"/>
      <c r="S1762" s="81" t="n"/>
      <c r="T1762" s="81" t="n"/>
      <c r="U1762" s="81" t="n"/>
      <c r="V1762" s="81" t="n"/>
      <c r="W1762" s="43" t="n"/>
    </row>
    <row r="1763">
      <c r="A1763" s="43" t="inlineStr">
        <is>
          <t>N15b</t>
        </is>
      </c>
      <c r="B1763" s="43" t="inlineStr"/>
      <c r="C1763" s="43" t="inlineStr">
        <is>
          <t>节段03</t>
        </is>
      </c>
      <c r="D1763" s="43" t="inlineStr">
        <is>
          <t>Q355D</t>
        </is>
      </c>
      <c r="E1763" s="43" t="n">
        <v>1782</v>
      </c>
      <c r="F1763" s="43" t="n">
        <v>40</v>
      </c>
      <c r="G1763" s="43" t="n">
        <v>4</v>
      </c>
      <c r="H1763" s="79">
        <f>(E1763/1000)*(F1763/1000)*(G1763/1000)*7850</f>
        <v/>
      </c>
      <c r="I1763" s="43" t="n">
        <v>4</v>
      </c>
      <c r="J1763" s="80">
        <f>H1763*I1763</f>
        <v/>
      </c>
      <c r="K1763" s="43" t="inlineStr">
        <is>
          <t>来源页150</t>
        </is>
      </c>
      <c r="L1763" s="43">
        <f>A1763</f>
        <v/>
      </c>
      <c r="M1763" s="81" t="n"/>
      <c r="N1763" s="81" t="n"/>
      <c r="O1763" s="81" t="n"/>
      <c r="P1763" s="81" t="n"/>
      <c r="Q1763" s="81" t="n"/>
      <c r="R1763" s="81" t="n"/>
      <c r="S1763" s="81" t="n"/>
      <c r="T1763" s="81" t="n"/>
      <c r="U1763" s="81" t="n"/>
      <c r="V1763" s="81" t="n"/>
      <c r="W1763" s="43" t="n"/>
    </row>
    <row r="1764">
      <c r="A1764" s="43" t="inlineStr">
        <is>
          <t>N15c</t>
        </is>
      </c>
      <c r="B1764" s="43" t="inlineStr"/>
      <c r="C1764" s="43" t="inlineStr">
        <is>
          <t>节段03</t>
        </is>
      </c>
      <c r="D1764" s="43" t="inlineStr">
        <is>
          <t>Q355D</t>
        </is>
      </c>
      <c r="E1764" s="43" t="n">
        <v>600</v>
      </c>
      <c r="F1764" s="43" t="n">
        <v>400</v>
      </c>
      <c r="G1764" s="43" t="n">
        <v>16</v>
      </c>
      <c r="H1764" s="79">
        <f>(E1764/1000)*(F1764/1000)*(G1764/1000)*7850</f>
        <v/>
      </c>
      <c r="I1764" s="43" t="n">
        <v>4</v>
      </c>
      <c r="J1764" s="80">
        <f>H1764*I1764</f>
        <v/>
      </c>
      <c r="K1764" s="43" t="inlineStr">
        <is>
          <t>来源页150</t>
        </is>
      </c>
      <c r="L1764" s="43">
        <f>A1764</f>
        <v/>
      </c>
      <c r="M1764" s="81" t="n"/>
      <c r="N1764" s="81" t="n"/>
      <c r="O1764" s="81" t="n"/>
      <c r="P1764" s="81" t="n"/>
      <c r="Q1764" s="81" t="n"/>
      <c r="R1764" s="81" t="n"/>
      <c r="S1764" s="81" t="n"/>
      <c r="T1764" s="81" t="n"/>
      <c r="U1764" s="81" t="n"/>
      <c r="V1764" s="81" t="n"/>
      <c r="W1764" s="43" t="n"/>
    </row>
    <row r="1765">
      <c r="A1765" s="43" t="inlineStr">
        <is>
          <t>N21a</t>
        </is>
      </c>
      <c r="B1765" s="43" t="inlineStr"/>
      <c r="C1765" s="43" t="inlineStr">
        <is>
          <t>节段03</t>
        </is>
      </c>
      <c r="D1765" s="43" t="inlineStr">
        <is>
          <t>Q355D</t>
        </is>
      </c>
      <c r="E1765" s="43" t="n">
        <v>7904</v>
      </c>
      <c r="F1765" s="43" t="n">
        <v>1850</v>
      </c>
      <c r="G1765" s="43" t="n">
        <v>20</v>
      </c>
      <c r="H1765" s="79">
        <f>(E1765/1000)*(F1765/1000)*(G1765/1000)*7850</f>
        <v/>
      </c>
      <c r="I1765" s="43" t="n">
        <v>1</v>
      </c>
      <c r="J1765" s="80">
        <f>H1765*I1765</f>
        <v/>
      </c>
      <c r="K1765" s="43" t="inlineStr">
        <is>
          <t>来源页150</t>
        </is>
      </c>
      <c r="L1765" s="43">
        <f>A1765</f>
        <v/>
      </c>
      <c r="M1765" s="81" t="n"/>
      <c r="N1765" s="81" t="n"/>
      <c r="O1765" s="81" t="n"/>
      <c r="P1765" s="81" t="n"/>
      <c r="Q1765" s="81" t="n"/>
      <c r="R1765" s="81" t="n"/>
      <c r="S1765" s="81" t="n"/>
      <c r="T1765" s="81" t="n"/>
      <c r="U1765" s="81" t="n"/>
      <c r="V1765" s="81" t="n"/>
      <c r="W1765" s="43" t="n"/>
    </row>
    <row r="1766">
      <c r="A1766" s="43" t="inlineStr">
        <is>
          <t>N21b</t>
        </is>
      </c>
      <c r="B1766" s="43" t="inlineStr"/>
      <c r="C1766" s="43" t="inlineStr">
        <is>
          <t>节段03</t>
        </is>
      </c>
      <c r="D1766" s="43" t="inlineStr">
        <is>
          <t>Q355D</t>
        </is>
      </c>
      <c r="E1766" s="43" t="n">
        <v>7102</v>
      </c>
      <c r="F1766" s="43" t="n">
        <v>1850</v>
      </c>
      <c r="G1766" s="43" t="n">
        <v>20</v>
      </c>
      <c r="H1766" s="79">
        <f>(E1766/1000)*(F1766/1000)*(G1766/1000)*7850</f>
        <v/>
      </c>
      <c r="I1766" s="43" t="n">
        <v>1</v>
      </c>
      <c r="J1766" s="80">
        <f>H1766*I1766</f>
        <v/>
      </c>
      <c r="K1766" s="43" t="inlineStr">
        <is>
          <t>来源页150</t>
        </is>
      </c>
      <c r="L1766" s="43">
        <f>A1766</f>
        <v/>
      </c>
      <c r="M1766" s="81" t="n"/>
      <c r="N1766" s="81" t="n"/>
      <c r="O1766" s="81" t="n"/>
      <c r="P1766" s="81" t="n"/>
      <c r="Q1766" s="81" t="n"/>
      <c r="R1766" s="81" t="n"/>
      <c r="S1766" s="81" t="n"/>
      <c r="T1766" s="81" t="n"/>
      <c r="U1766" s="81" t="n"/>
      <c r="V1766" s="81" t="n"/>
      <c r="W1766" s="43" t="n"/>
    </row>
    <row r="1767">
      <c r="A1767" s="43" t="inlineStr">
        <is>
          <t>N22a</t>
        </is>
      </c>
      <c r="B1767" s="43" t="inlineStr"/>
      <c r="C1767" s="43" t="inlineStr">
        <is>
          <t>节段03</t>
        </is>
      </c>
      <c r="D1767" s="43" t="inlineStr">
        <is>
          <t>Q355D</t>
        </is>
      </c>
      <c r="E1767" s="43" t="n"/>
      <c r="F1767" s="43" t="n"/>
      <c r="G1767" s="43" t="n">
        <v>20</v>
      </c>
      <c r="H1767" s="79">
        <f>(E1767/1000)*(F1767/1000)*(G1767/1000)*7850</f>
        <v/>
      </c>
      <c r="I1767" s="43" t="n">
        <v>1</v>
      </c>
      <c r="J1767" s="80">
        <f>H1767*I1767</f>
        <v/>
      </c>
      <c r="K1767" s="43" t="inlineStr">
        <is>
          <t>来源页150</t>
        </is>
      </c>
      <c r="L1767" s="43">
        <f>A1767</f>
        <v/>
      </c>
      <c r="M1767" s="81" t="n"/>
      <c r="N1767" s="81" t="n"/>
      <c r="O1767" s="81" t="n"/>
      <c r="P1767" s="81" t="n"/>
      <c r="Q1767" s="81" t="n"/>
      <c r="R1767" s="81" t="n"/>
      <c r="S1767" s="81" t="n"/>
      <c r="T1767" s="81" t="n"/>
      <c r="U1767" s="81" t="n"/>
      <c r="V1767" s="81" t="n"/>
      <c r="W1767" s="43" t="n"/>
    </row>
    <row r="1768">
      <c r="A1768" s="43" t="inlineStr">
        <is>
          <t>N22b</t>
        </is>
      </c>
      <c r="B1768" s="43" t="inlineStr"/>
      <c r="C1768" s="43" t="inlineStr">
        <is>
          <t>节段03</t>
        </is>
      </c>
      <c r="D1768" s="43" t="inlineStr">
        <is>
          <t>Q355D</t>
        </is>
      </c>
      <c r="E1768" s="43" t="n"/>
      <c r="F1768" s="43" t="n"/>
      <c r="G1768" s="43" t="n">
        <v>20</v>
      </c>
      <c r="H1768" s="79">
        <f>(E1768/1000)*(F1768/1000)*(G1768/1000)*7850</f>
        <v/>
      </c>
      <c r="I1768" s="43" t="n">
        <v>1</v>
      </c>
      <c r="J1768" s="80">
        <f>H1768*I1768</f>
        <v/>
      </c>
      <c r="K1768" s="43" t="inlineStr">
        <is>
          <t>来源页150</t>
        </is>
      </c>
      <c r="L1768" s="43">
        <f>A1768</f>
        <v/>
      </c>
      <c r="M1768" s="81" t="n"/>
      <c r="N1768" s="81" t="n"/>
      <c r="O1768" s="81" t="n"/>
      <c r="P1768" s="81" t="n"/>
      <c r="Q1768" s="81" t="n"/>
      <c r="R1768" s="81" t="n"/>
      <c r="S1768" s="81" t="n"/>
      <c r="T1768" s="81" t="n"/>
      <c r="U1768" s="81" t="n"/>
      <c r="V1768" s="81" t="n"/>
      <c r="W1768" s="43" t="n"/>
    </row>
    <row r="1769">
      <c r="A1769" s="43" t="inlineStr">
        <is>
          <t>N23</t>
        </is>
      </c>
      <c r="B1769" s="43" t="inlineStr"/>
      <c r="C1769" s="43" t="inlineStr">
        <is>
          <t>节段03</t>
        </is>
      </c>
      <c r="D1769" s="43" t="inlineStr">
        <is>
          <t>Q355D</t>
        </is>
      </c>
      <c r="E1769" s="43" t="n"/>
      <c r="F1769" s="43" t="n"/>
      <c r="G1769" s="43" t="n">
        <v>40</v>
      </c>
      <c r="H1769" s="79">
        <f>(E1769/1000)*(F1769/1000)*(G1769/1000)*7850</f>
        <v/>
      </c>
      <c r="I1769" s="43" t="n">
        <v>2</v>
      </c>
      <c r="J1769" s="80">
        <f>H1769*I1769</f>
        <v/>
      </c>
      <c r="K1769" s="43" t="inlineStr">
        <is>
          <t>Z35钢；来源页150</t>
        </is>
      </c>
      <c r="L1769" s="43">
        <f>A1769</f>
        <v/>
      </c>
      <c r="M1769" s="81" t="n"/>
      <c r="N1769" s="81" t="n"/>
      <c r="O1769" s="81" t="n"/>
      <c r="P1769" s="81" t="n"/>
      <c r="Q1769" s="81" t="n"/>
      <c r="R1769" s="81" t="n"/>
      <c r="S1769" s="81" t="n"/>
      <c r="T1769" s="81" t="n"/>
      <c r="U1769" s="81" t="n"/>
      <c r="V1769" s="81" t="n"/>
      <c r="W1769" s="43" t="n"/>
    </row>
    <row r="1770">
      <c r="A1770" s="43" t="inlineStr">
        <is>
          <t>N24</t>
        </is>
      </c>
      <c r="B1770" s="43" t="inlineStr"/>
      <c r="C1770" s="43" t="inlineStr">
        <is>
          <t>节段03</t>
        </is>
      </c>
      <c r="D1770" s="43" t="inlineStr">
        <is>
          <t>Q355D</t>
        </is>
      </c>
      <c r="E1770" s="43" t="n">
        <v>7302</v>
      </c>
      <c r="F1770" s="43" t="n">
        <v>1470</v>
      </c>
      <c r="G1770" s="43" t="n">
        <v>24</v>
      </c>
      <c r="H1770" s="79">
        <f>(E1770/1000)*(F1770/1000)*(G1770/1000)*7850</f>
        <v/>
      </c>
      <c r="I1770" s="43" t="n">
        <v>2</v>
      </c>
      <c r="J1770" s="80">
        <f>H1770*I1770</f>
        <v/>
      </c>
      <c r="K1770" s="43" t="inlineStr">
        <is>
          <t>来源页150</t>
        </is>
      </c>
      <c r="L1770" s="43">
        <f>A1770</f>
        <v/>
      </c>
      <c r="M1770" s="81" t="n"/>
      <c r="N1770" s="81" t="n"/>
      <c r="O1770" s="81" t="n"/>
      <c r="P1770" s="81" t="n"/>
      <c r="Q1770" s="81" t="n"/>
      <c r="R1770" s="81" t="n"/>
      <c r="S1770" s="81" t="n"/>
      <c r="T1770" s="81" t="n"/>
      <c r="U1770" s="81" t="n"/>
      <c r="V1770" s="81" t="n"/>
      <c r="W1770" s="43" t="n"/>
    </row>
    <row r="1771">
      <c r="A1771" s="43" t="inlineStr">
        <is>
          <t>N25</t>
        </is>
      </c>
      <c r="B1771" s="43" t="inlineStr"/>
      <c r="C1771" s="43" t="inlineStr">
        <is>
          <t>节段03</t>
        </is>
      </c>
      <c r="D1771" s="43" t="inlineStr">
        <is>
          <t>Q355D</t>
        </is>
      </c>
      <c r="E1771" s="43" t="n">
        <v>1450</v>
      </c>
      <c r="F1771" s="43" t="n">
        <v>1200</v>
      </c>
      <c r="G1771" s="43" t="n">
        <v>16</v>
      </c>
      <c r="H1771" s="79">
        <f>(E1771/1000)*(F1771/1000)*(G1771/1000)*7850</f>
        <v/>
      </c>
      <c r="I1771" s="43" t="n">
        <v>3</v>
      </c>
      <c r="J1771" s="80">
        <f>H1771*I1771</f>
        <v/>
      </c>
      <c r="K1771" s="43" t="inlineStr">
        <is>
          <t>来源页150</t>
        </is>
      </c>
      <c r="L1771" s="43">
        <f>A1771</f>
        <v/>
      </c>
      <c r="M1771" s="81" t="n"/>
      <c r="N1771" s="81" t="n"/>
      <c r="O1771" s="81" t="n"/>
      <c r="P1771" s="81" t="n"/>
      <c r="Q1771" s="81" t="n"/>
      <c r="R1771" s="81" t="n"/>
      <c r="S1771" s="81" t="n"/>
      <c r="T1771" s="81" t="n"/>
      <c r="U1771" s="81" t="n"/>
      <c r="V1771" s="81" t="n"/>
      <c r="W1771" s="43" t="n"/>
    </row>
    <row r="1772">
      <c r="A1772" s="43" t="inlineStr">
        <is>
          <t>N25a</t>
        </is>
      </c>
      <c r="B1772" s="43" t="inlineStr"/>
      <c r="C1772" s="43" t="inlineStr">
        <is>
          <t>节段03</t>
        </is>
      </c>
      <c r="D1772" s="43" t="inlineStr">
        <is>
          <t>Q355D</t>
        </is>
      </c>
      <c r="E1772" s="43" t="n">
        <v>1450</v>
      </c>
      <c r="F1772" s="43" t="n">
        <v>1200</v>
      </c>
      <c r="G1772" s="43" t="n">
        <v>16</v>
      </c>
      <c r="H1772" s="79">
        <f>(E1772/1000)*(F1772/1000)*(G1772/1000)*7850</f>
        <v/>
      </c>
      <c r="I1772" s="43" t="n">
        <v>2</v>
      </c>
      <c r="J1772" s="80">
        <f>H1772*I1772</f>
        <v/>
      </c>
      <c r="K1772" s="43" t="inlineStr">
        <is>
          <t>来源页150</t>
        </is>
      </c>
      <c r="L1772" s="43">
        <f>A1772</f>
        <v/>
      </c>
      <c r="M1772" s="81" t="n"/>
      <c r="N1772" s="81" t="n"/>
      <c r="O1772" s="81" t="n"/>
      <c r="P1772" s="81" t="n"/>
      <c r="Q1772" s="81" t="n"/>
      <c r="R1772" s="81" t="n"/>
      <c r="S1772" s="81" t="n"/>
      <c r="T1772" s="81" t="n"/>
      <c r="U1772" s="81" t="n"/>
      <c r="V1772" s="81" t="n"/>
      <c r="W1772" s="43" t="n"/>
    </row>
    <row r="1773">
      <c r="A1773" s="43" t="inlineStr">
        <is>
          <t>N25'</t>
        </is>
      </c>
      <c r="B1773" s="43" t="inlineStr"/>
      <c r="C1773" s="43" t="inlineStr">
        <is>
          <t>节段03</t>
        </is>
      </c>
      <c r="D1773" s="43" t="inlineStr">
        <is>
          <t>Q355D</t>
        </is>
      </c>
      <c r="E1773" s="43" t="n">
        <v>1657</v>
      </c>
      <c r="F1773" s="43" t="n">
        <v>200</v>
      </c>
      <c r="G1773" s="43" t="n">
        <v>16</v>
      </c>
      <c r="H1773" s="79">
        <f>(E1773/1000)*(F1773/1000)*(G1773/1000)*7850</f>
        <v/>
      </c>
      <c r="I1773" s="43" t="n">
        <v>3</v>
      </c>
      <c r="J1773" s="80">
        <f>H1773*I1773</f>
        <v/>
      </c>
      <c r="K1773" s="43" t="inlineStr">
        <is>
          <t>来源页150</t>
        </is>
      </c>
      <c r="L1773" s="43">
        <f>A1773</f>
        <v/>
      </c>
      <c r="M1773" s="81" t="n"/>
      <c r="N1773" s="81" t="n"/>
      <c r="O1773" s="81" t="n"/>
      <c r="P1773" s="81" t="n"/>
      <c r="Q1773" s="81" t="n"/>
      <c r="R1773" s="81" t="n"/>
      <c r="S1773" s="81" t="n"/>
      <c r="T1773" s="81" t="n"/>
      <c r="U1773" s="81" t="n"/>
      <c r="V1773" s="81" t="n"/>
      <c r="W1773" s="43" t="n"/>
    </row>
    <row r="1774">
      <c r="A1774" s="43" t="inlineStr">
        <is>
          <t>N26a</t>
        </is>
      </c>
      <c r="B1774" s="43" t="inlineStr"/>
      <c r="C1774" s="43" t="inlineStr">
        <is>
          <t>节段03</t>
        </is>
      </c>
      <c r="D1774" s="43" t="inlineStr">
        <is>
          <t>Q355D</t>
        </is>
      </c>
      <c r="E1774" s="43" t="n">
        <v>7904</v>
      </c>
      <c r="F1774" s="43" t="n">
        <v>240</v>
      </c>
      <c r="G1774" s="43" t="n">
        <v>20</v>
      </c>
      <c r="H1774" s="79">
        <f>(E1774/1000)*(F1774/1000)*(G1774/1000)*7850</f>
        <v/>
      </c>
      <c r="I1774" s="43" t="n">
        <v>4</v>
      </c>
      <c r="J1774" s="80">
        <f>H1774*I1774</f>
        <v/>
      </c>
      <c r="K1774" s="43" t="inlineStr">
        <is>
          <t>来源页150</t>
        </is>
      </c>
      <c r="L1774" s="43">
        <f>A1774</f>
        <v/>
      </c>
      <c r="M1774" s="81" t="n"/>
      <c r="N1774" s="81" t="n"/>
      <c r="O1774" s="81" t="n"/>
      <c r="P1774" s="81" t="n"/>
      <c r="Q1774" s="81" t="n"/>
      <c r="R1774" s="81" t="n"/>
      <c r="S1774" s="81" t="n"/>
      <c r="T1774" s="81" t="n"/>
      <c r="U1774" s="81" t="n"/>
      <c r="V1774" s="81" t="n"/>
      <c r="W1774" s="43" t="n"/>
    </row>
    <row r="1775">
      <c r="A1775" s="43" t="inlineStr">
        <is>
          <t>N26b</t>
        </is>
      </c>
      <c r="B1775" s="43" t="inlineStr"/>
      <c r="C1775" s="43" t="inlineStr">
        <is>
          <t>节段03</t>
        </is>
      </c>
      <c r="D1775" s="43" t="inlineStr">
        <is>
          <t>Q355D</t>
        </is>
      </c>
      <c r="E1775" s="43" t="n">
        <v>7102</v>
      </c>
      <c r="F1775" s="43" t="n">
        <v>240</v>
      </c>
      <c r="G1775" s="43" t="n">
        <v>20</v>
      </c>
      <c r="H1775" s="79">
        <f>(E1775/1000)*(F1775/1000)*(G1775/1000)*7850</f>
        <v/>
      </c>
      <c r="I1775" s="43" t="n">
        <v>4</v>
      </c>
      <c r="J1775" s="80">
        <f>H1775*I1775</f>
        <v/>
      </c>
      <c r="K1775" s="43" t="inlineStr">
        <is>
          <t>来源页150</t>
        </is>
      </c>
      <c r="L1775" s="43">
        <f>A1775</f>
        <v/>
      </c>
      <c r="M1775" s="81" t="n"/>
      <c r="N1775" s="81" t="n"/>
      <c r="O1775" s="81" t="n"/>
      <c r="P1775" s="81" t="n"/>
      <c r="Q1775" s="81" t="n"/>
      <c r="R1775" s="81" t="n"/>
      <c r="S1775" s="81" t="n"/>
      <c r="T1775" s="81" t="n"/>
      <c r="U1775" s="81" t="n"/>
      <c r="V1775" s="81" t="n"/>
      <c r="W1775" s="43" t="n"/>
    </row>
    <row r="1776">
      <c r="A1776" s="43" t="inlineStr">
        <is>
          <t>N26c</t>
        </is>
      </c>
      <c r="B1776" s="43" t="inlineStr"/>
      <c r="C1776" s="43" t="inlineStr">
        <is>
          <t>节段03</t>
        </is>
      </c>
      <c r="D1776" s="43" t="inlineStr">
        <is>
          <t>Q355D</t>
        </is>
      </c>
      <c r="E1776" s="43" t="n">
        <v>15006</v>
      </c>
      <c r="F1776" s="43" t="n">
        <v>170</v>
      </c>
      <c r="G1776" s="43" t="n">
        <v>14</v>
      </c>
      <c r="H1776" s="79">
        <f>(E1776/1000)*(F1776/1000)*(G1776/1000)*7850</f>
        <v/>
      </c>
      <c r="I1776" s="43" t="n">
        <v>1</v>
      </c>
      <c r="J1776" s="80">
        <f>H1776*I1776</f>
        <v/>
      </c>
      <c r="K1776" s="43" t="inlineStr">
        <is>
          <t>来源页150</t>
        </is>
      </c>
      <c r="L1776" s="43">
        <f>A1776</f>
        <v/>
      </c>
      <c r="M1776" s="81" t="n"/>
      <c r="N1776" s="81" t="n"/>
      <c r="O1776" s="81" t="n"/>
      <c r="P1776" s="81" t="n"/>
      <c r="Q1776" s="81" t="n"/>
      <c r="R1776" s="81" t="n"/>
      <c r="S1776" s="81" t="n"/>
      <c r="T1776" s="81" t="n"/>
      <c r="U1776" s="81" t="n"/>
      <c r="V1776" s="81" t="n"/>
      <c r="W1776" s="43" t="n"/>
    </row>
    <row r="1777">
      <c r="A1777" s="43" t="inlineStr">
        <is>
          <t>N31</t>
        </is>
      </c>
      <c r="B1777" s="43" t="inlineStr"/>
      <c r="C1777" s="43" t="inlineStr">
        <is>
          <t>节段03</t>
        </is>
      </c>
      <c r="D1777" s="43" t="inlineStr">
        <is>
          <t>Q355D</t>
        </is>
      </c>
      <c r="E1777" s="43" t="n">
        <v>9010</v>
      </c>
      <c r="F1777" s="43" t="n">
        <v>900</v>
      </c>
      <c r="G1777" s="43" t="n">
        <v>36</v>
      </c>
      <c r="H1777" s="79">
        <f>(E1777/1000)*(F1777/1000)*(G1777/1000)*7850</f>
        <v/>
      </c>
      <c r="I1777" s="43" t="n">
        <v>2</v>
      </c>
      <c r="J1777" s="80">
        <f>H1777*I1777</f>
        <v/>
      </c>
      <c r="K1777" s="43" t="inlineStr">
        <is>
          <t>来源页150</t>
        </is>
      </c>
      <c r="L1777" s="43">
        <f>A1777</f>
        <v/>
      </c>
      <c r="M1777" s="81" t="n"/>
      <c r="N1777" s="81" t="n"/>
      <c r="O1777" s="81" t="n"/>
      <c r="P1777" s="81" t="n"/>
      <c r="Q1777" s="81" t="n"/>
      <c r="R1777" s="81" t="n"/>
      <c r="S1777" s="81" t="n"/>
      <c r="T1777" s="81" t="n"/>
      <c r="U1777" s="81" t="n"/>
      <c r="V1777" s="81" t="n"/>
      <c r="W1777" s="43" t="n"/>
    </row>
    <row r="1778">
      <c r="A1778" s="43" t="inlineStr">
        <is>
          <t>N32</t>
        </is>
      </c>
      <c r="B1778" s="43" t="inlineStr"/>
      <c r="C1778" s="43" t="inlineStr">
        <is>
          <t>节段03</t>
        </is>
      </c>
      <c r="D1778" s="43" t="inlineStr">
        <is>
          <t>Q355D</t>
        </is>
      </c>
      <c r="E1778" s="43" t="n">
        <v>14010</v>
      </c>
      <c r="F1778" s="43" t="n">
        <v>1200</v>
      </c>
      <c r="G1778" s="43" t="n">
        <v>32</v>
      </c>
      <c r="H1778" s="79">
        <f>(E1778/1000)*(F1778/1000)*(G1778/1000)*7850</f>
        <v/>
      </c>
      <c r="I1778" s="43" t="n">
        <v>1</v>
      </c>
      <c r="J1778" s="80">
        <f>H1778*I1778</f>
        <v/>
      </c>
      <c r="K1778" s="43" t="inlineStr">
        <is>
          <t>来源页150</t>
        </is>
      </c>
      <c r="L1778" s="43">
        <f>A1778</f>
        <v/>
      </c>
      <c r="M1778" s="81" t="n"/>
      <c r="N1778" s="81" t="n"/>
      <c r="O1778" s="81" t="n"/>
      <c r="P1778" s="81" t="n"/>
      <c r="Q1778" s="81" t="n"/>
      <c r="R1778" s="81" t="n"/>
      <c r="S1778" s="81" t="n"/>
      <c r="T1778" s="81" t="n"/>
      <c r="U1778" s="81" t="n"/>
      <c r="V1778" s="81" t="n"/>
      <c r="W1778" s="43" t="n"/>
    </row>
    <row r="1779">
      <c r="A1779" s="43" t="inlineStr">
        <is>
          <t>N33</t>
        </is>
      </c>
      <c r="B1779" s="43" t="inlineStr"/>
      <c r="C1779" s="43" t="inlineStr">
        <is>
          <t>节段03</t>
        </is>
      </c>
      <c r="D1779" s="43" t="inlineStr">
        <is>
          <t>Q355D</t>
        </is>
      </c>
      <c r="E1779" s="43" t="n">
        <v>12610</v>
      </c>
      <c r="F1779" s="43" t="n">
        <v>240</v>
      </c>
      <c r="G1779" s="43" t="n">
        <v>24</v>
      </c>
      <c r="H1779" s="79">
        <f>(E1779/1000)*(F1779/1000)*(G1779/1000)*7850</f>
        <v/>
      </c>
      <c r="I1779" s="43" t="n">
        <v>2</v>
      </c>
      <c r="J1779" s="80">
        <f>H1779*I1779</f>
        <v/>
      </c>
      <c r="K1779" s="43" t="inlineStr">
        <is>
          <t>来源页150</t>
        </is>
      </c>
      <c r="L1779" s="43">
        <f>A1779</f>
        <v/>
      </c>
      <c r="M1779" s="81" t="n"/>
      <c r="N1779" s="81" t="n"/>
      <c r="O1779" s="81" t="n"/>
      <c r="P1779" s="81" t="n"/>
      <c r="Q1779" s="81" t="n"/>
      <c r="R1779" s="81" t="n"/>
      <c r="S1779" s="81" t="n"/>
      <c r="T1779" s="81" t="n"/>
      <c r="U1779" s="81" t="n"/>
      <c r="V1779" s="81" t="n"/>
      <c r="W1779" s="43" t="n"/>
    </row>
    <row r="1780">
      <c r="A1780" s="43" t="inlineStr">
        <is>
          <t>N41</t>
        </is>
      </c>
      <c r="B1780" s="43" t="inlineStr"/>
      <c r="C1780" s="43" t="inlineStr">
        <is>
          <t>节段03</t>
        </is>
      </c>
      <c r="D1780" s="43" t="inlineStr">
        <is>
          <t>Q355D</t>
        </is>
      </c>
      <c r="E1780" s="43" t="n">
        <v>4322</v>
      </c>
      <c r="F1780" s="43" t="n">
        <v>900</v>
      </c>
      <c r="G1780" s="43" t="n">
        <v>36</v>
      </c>
      <c r="H1780" s="79">
        <f>(E1780/1000)*(F1780/1000)*(G1780/1000)*7850</f>
        <v/>
      </c>
      <c r="I1780" s="43" t="n">
        <v>2</v>
      </c>
      <c r="J1780" s="80">
        <f>H1780*I1780</f>
        <v/>
      </c>
      <c r="K1780" s="43" t="inlineStr">
        <is>
          <t>来源页150</t>
        </is>
      </c>
      <c r="L1780" s="43">
        <f>A1780</f>
        <v/>
      </c>
      <c r="M1780" s="81" t="n"/>
      <c r="N1780" s="81" t="n"/>
      <c r="O1780" s="81" t="n"/>
      <c r="P1780" s="81" t="n"/>
      <c r="Q1780" s="81" t="n"/>
      <c r="R1780" s="81" t="n"/>
      <c r="S1780" s="81" t="n"/>
      <c r="T1780" s="81" t="n"/>
      <c r="U1780" s="81" t="n"/>
      <c r="V1780" s="81" t="n"/>
      <c r="W1780" s="43" t="n"/>
    </row>
    <row r="1781">
      <c r="A1781" s="43" t="inlineStr">
        <is>
          <t>N42</t>
        </is>
      </c>
      <c r="B1781" s="43" t="inlineStr"/>
      <c r="C1781" s="43" t="inlineStr">
        <is>
          <t>节段03</t>
        </is>
      </c>
      <c r="D1781" s="43" t="inlineStr">
        <is>
          <t>Q355D</t>
        </is>
      </c>
      <c r="E1781" s="43" t="n">
        <v>6722</v>
      </c>
      <c r="F1781" s="43" t="n">
        <v>1200</v>
      </c>
      <c r="G1781" s="43" t="n">
        <v>32</v>
      </c>
      <c r="H1781" s="79">
        <f>(E1781/1000)*(F1781/1000)*(G1781/1000)*7850</f>
        <v/>
      </c>
      <c r="I1781" s="43" t="n">
        <v>1</v>
      </c>
      <c r="J1781" s="80">
        <f>H1781*I1781</f>
        <v/>
      </c>
      <c r="K1781" s="43" t="inlineStr">
        <is>
          <t>来源页150</t>
        </is>
      </c>
      <c r="L1781" s="43">
        <f>A1781</f>
        <v/>
      </c>
      <c r="M1781" s="81" t="n"/>
      <c r="N1781" s="81" t="n"/>
      <c r="O1781" s="81" t="n"/>
      <c r="P1781" s="81" t="n"/>
      <c r="Q1781" s="81" t="n"/>
      <c r="R1781" s="81" t="n"/>
      <c r="S1781" s="81" t="n"/>
      <c r="T1781" s="81" t="n"/>
      <c r="U1781" s="81" t="n"/>
      <c r="V1781" s="81" t="n"/>
      <c r="W1781" s="43" t="n"/>
    </row>
    <row r="1782">
      <c r="A1782" s="43" t="inlineStr">
        <is>
          <t>N43</t>
        </is>
      </c>
      <c r="B1782" s="43" t="inlineStr"/>
      <c r="C1782" s="43" t="inlineStr">
        <is>
          <t>节段03</t>
        </is>
      </c>
      <c r="D1782" s="43" t="inlineStr">
        <is>
          <t>Q355D</t>
        </is>
      </c>
      <c r="E1782" s="43" t="n">
        <v>6022</v>
      </c>
      <c r="F1782" s="43" t="n">
        <v>240</v>
      </c>
      <c r="G1782" s="43" t="n">
        <v>24</v>
      </c>
      <c r="H1782" s="79">
        <f>(E1782/1000)*(F1782/1000)*(G1782/1000)*7850</f>
        <v/>
      </c>
      <c r="I1782" s="43" t="n">
        <v>2</v>
      </c>
      <c r="J1782" s="80">
        <f>H1782*I1782</f>
        <v/>
      </c>
      <c r="K1782" s="43" t="inlineStr">
        <is>
          <t>来源页150</t>
        </is>
      </c>
      <c r="L1782" s="43">
        <f>A1782</f>
        <v/>
      </c>
      <c r="M1782" s="81" t="n"/>
      <c r="N1782" s="81" t="n"/>
      <c r="O1782" s="81" t="n"/>
      <c r="P1782" s="81" t="n"/>
      <c r="Q1782" s="81" t="n"/>
      <c r="R1782" s="81" t="n"/>
      <c r="S1782" s="81" t="n"/>
      <c r="T1782" s="81" t="n"/>
      <c r="U1782" s="81" t="n"/>
      <c r="V1782" s="81" t="n"/>
      <c r="W1782" s="43" t="n"/>
    </row>
    <row r="1783">
      <c r="A1783" s="43" t="inlineStr">
        <is>
          <t>N51</t>
        </is>
      </c>
      <c r="B1783" s="43" t="inlineStr"/>
      <c r="C1783" s="43" t="inlineStr">
        <is>
          <t>节段03</t>
        </is>
      </c>
      <c r="D1783" s="43" t="inlineStr">
        <is>
          <t>Q355D</t>
        </is>
      </c>
      <c r="E1783" s="43" t="n">
        <v>4796</v>
      </c>
      <c r="F1783" s="43" t="n">
        <v>900</v>
      </c>
      <c r="G1783" s="43" t="n">
        <v>36</v>
      </c>
      <c r="H1783" s="79">
        <f>(E1783/1000)*(F1783/1000)*(G1783/1000)*7850</f>
        <v/>
      </c>
      <c r="I1783" s="43" t="n">
        <v>2</v>
      </c>
      <c r="J1783" s="80">
        <f>H1783*I1783</f>
        <v/>
      </c>
      <c r="K1783" s="43" t="inlineStr">
        <is>
          <t>来源页150</t>
        </is>
      </c>
      <c r="L1783" s="43">
        <f>A1783</f>
        <v/>
      </c>
      <c r="M1783" s="81" t="n"/>
      <c r="N1783" s="81" t="n"/>
      <c r="O1783" s="81" t="n"/>
      <c r="P1783" s="81" t="n"/>
      <c r="Q1783" s="81" t="n"/>
      <c r="R1783" s="81" t="n"/>
      <c r="S1783" s="81" t="n"/>
      <c r="T1783" s="81" t="n"/>
      <c r="U1783" s="81" t="n"/>
      <c r="V1783" s="81" t="n"/>
      <c r="W1783" s="43" t="n"/>
    </row>
    <row r="1784">
      <c r="A1784" s="43" t="inlineStr">
        <is>
          <t>N52</t>
        </is>
      </c>
      <c r="B1784" s="43" t="inlineStr"/>
      <c r="C1784" s="43" t="inlineStr">
        <is>
          <t>节段03</t>
        </is>
      </c>
      <c r="D1784" s="43" t="inlineStr">
        <is>
          <t>Q355D</t>
        </is>
      </c>
      <c r="E1784" s="43" t="n">
        <v>7396</v>
      </c>
      <c r="F1784" s="43" t="n">
        <v>1200</v>
      </c>
      <c r="G1784" s="43" t="n">
        <v>32</v>
      </c>
      <c r="H1784" s="79">
        <f>(E1784/1000)*(F1784/1000)*(G1784/1000)*7850</f>
        <v/>
      </c>
      <c r="I1784" s="43" t="n">
        <v>1</v>
      </c>
      <c r="J1784" s="80">
        <f>H1784*I1784</f>
        <v/>
      </c>
      <c r="K1784" s="43" t="inlineStr">
        <is>
          <t>来源页150</t>
        </is>
      </c>
      <c r="L1784" s="43">
        <f>A1784</f>
        <v/>
      </c>
      <c r="M1784" s="81" t="n"/>
      <c r="N1784" s="81" t="n"/>
      <c r="O1784" s="81" t="n"/>
      <c r="P1784" s="81" t="n"/>
      <c r="Q1784" s="81" t="n"/>
      <c r="R1784" s="81" t="n"/>
      <c r="S1784" s="81" t="n"/>
      <c r="T1784" s="81" t="n"/>
      <c r="U1784" s="81" t="n"/>
      <c r="V1784" s="81" t="n"/>
      <c r="W1784" s="43" t="n"/>
    </row>
    <row r="1785">
      <c r="A1785" s="43" t="inlineStr">
        <is>
          <t>N53</t>
        </is>
      </c>
      <c r="B1785" s="43" t="inlineStr"/>
      <c r="C1785" s="43" t="inlineStr">
        <is>
          <t>节段03</t>
        </is>
      </c>
      <c r="D1785" s="43" t="inlineStr">
        <is>
          <t>Q355D</t>
        </is>
      </c>
      <c r="E1785" s="43" t="n">
        <v>6696</v>
      </c>
      <c r="F1785" s="43" t="n">
        <v>240</v>
      </c>
      <c r="G1785" s="43" t="n">
        <v>24</v>
      </c>
      <c r="H1785" s="79">
        <f>(E1785/1000)*(F1785/1000)*(G1785/1000)*7850</f>
        <v/>
      </c>
      <c r="I1785" s="43" t="n">
        <v>2</v>
      </c>
      <c r="J1785" s="80">
        <f>H1785*I1785</f>
        <v/>
      </c>
      <c r="K1785" s="43" t="inlineStr">
        <is>
          <t>来源页150</t>
        </is>
      </c>
      <c r="L1785" s="43">
        <f>A1785</f>
        <v/>
      </c>
      <c r="M1785" s="81" t="n"/>
      <c r="N1785" s="81" t="n"/>
      <c r="O1785" s="81" t="n"/>
      <c r="P1785" s="81" t="n"/>
      <c r="Q1785" s="81" t="n"/>
      <c r="R1785" s="81" t="n"/>
      <c r="S1785" s="81" t="n"/>
      <c r="T1785" s="81" t="n"/>
      <c r="U1785" s="81" t="n"/>
      <c r="V1785" s="81" t="n"/>
      <c r="W1785" s="43" t="n"/>
    </row>
    <row r="1786">
      <c r="A1786" s="43" t="inlineStr">
        <is>
          <t>N54</t>
        </is>
      </c>
      <c r="B1786" s="43" t="inlineStr"/>
      <c r="C1786" s="43" t="inlineStr">
        <is>
          <t>节段03</t>
        </is>
      </c>
      <c r="D1786" s="43" t="inlineStr">
        <is>
          <t>Q355D</t>
        </is>
      </c>
      <c r="E1786" s="43" t="n">
        <v>1170</v>
      </c>
      <c r="F1786" s="43" t="n">
        <v>1200</v>
      </c>
      <c r="G1786" s="43" t="n">
        <v>20</v>
      </c>
      <c r="H1786" s="79">
        <f>(E1786/1000)*(F1786/1000)*(G1786/1000)*7850</f>
        <v/>
      </c>
      <c r="I1786" s="43" t="n">
        <v>1</v>
      </c>
      <c r="J1786" s="80">
        <f>H1786*I1786</f>
        <v/>
      </c>
      <c r="K1786" s="43" t="inlineStr">
        <is>
          <t>来源页150</t>
        </is>
      </c>
      <c r="L1786" s="43">
        <f>A1786</f>
        <v/>
      </c>
      <c r="M1786" s="81" t="n"/>
      <c r="N1786" s="81" t="n"/>
      <c r="O1786" s="81" t="n"/>
      <c r="P1786" s="81" t="n"/>
      <c r="Q1786" s="81" t="n"/>
      <c r="R1786" s="81" t="n"/>
      <c r="S1786" s="81" t="n"/>
      <c r="T1786" s="81" t="n"/>
      <c r="U1786" s="81" t="n"/>
      <c r="V1786" s="81" t="n"/>
      <c r="W1786" s="43" t="n"/>
    </row>
    <row r="1787">
      <c r="A1787" s="43" t="inlineStr">
        <is>
          <t>N55</t>
        </is>
      </c>
      <c r="B1787" s="43" t="inlineStr"/>
      <c r="C1787" s="43" t="inlineStr">
        <is>
          <t>节段03</t>
        </is>
      </c>
      <c r="D1787" s="43" t="inlineStr">
        <is>
          <t>Q355D</t>
        </is>
      </c>
      <c r="E1787" s="43" t="n">
        <v>1132</v>
      </c>
      <c r="F1787" s="43" t="n">
        <v>1200</v>
      </c>
      <c r="G1787" s="43" t="n">
        <v>20</v>
      </c>
      <c r="H1787" s="79">
        <f>(E1787/1000)*(F1787/1000)*(G1787/1000)*7850</f>
        <v/>
      </c>
      <c r="I1787" s="43" t="n">
        <v>1</v>
      </c>
      <c r="J1787" s="80">
        <f>H1787*I1787</f>
        <v/>
      </c>
      <c r="K1787" s="43" t="inlineStr">
        <is>
          <t>来源页150</t>
        </is>
      </c>
      <c r="L1787" s="43">
        <f>A1787</f>
        <v/>
      </c>
      <c r="M1787" s="81" t="n"/>
      <c r="N1787" s="81" t="n"/>
      <c r="O1787" s="81" t="n"/>
      <c r="P1787" s="81" t="n"/>
      <c r="Q1787" s="81" t="n"/>
      <c r="R1787" s="81" t="n"/>
      <c r="S1787" s="81" t="n"/>
      <c r="T1787" s="81" t="n"/>
      <c r="U1787" s="81" t="n"/>
      <c r="V1787" s="81" t="n"/>
      <c r="W1787" s="43" t="n"/>
    </row>
    <row r="1788">
      <c r="A1788" s="43" t="inlineStr">
        <is>
          <t>N61</t>
        </is>
      </c>
      <c r="B1788" s="43" t="inlineStr"/>
      <c r="C1788" s="43" t="inlineStr">
        <is>
          <t>节段03</t>
        </is>
      </c>
      <c r="D1788" s="43" t="inlineStr">
        <is>
          <t>Q355D</t>
        </is>
      </c>
      <c r="E1788" s="43" t="n">
        <v>1580</v>
      </c>
      <c r="F1788" s="43" t="n">
        <v>610</v>
      </c>
      <c r="G1788" s="43" t="n">
        <v>14</v>
      </c>
      <c r="H1788" s="79">
        <f>(E1788/1000)*(F1788/1000)*(G1788/1000)*7850</f>
        <v/>
      </c>
      <c r="I1788" s="43" t="n">
        <v>3</v>
      </c>
      <c r="J1788" s="80">
        <f>H1788*I1788</f>
        <v/>
      </c>
      <c r="K1788" s="43" t="inlineStr">
        <is>
          <t>来源页150</t>
        </is>
      </c>
      <c r="L1788" s="43">
        <f>A1788</f>
        <v/>
      </c>
      <c r="M1788" s="81" t="n"/>
      <c r="N1788" s="81" t="n"/>
      <c r="O1788" s="81" t="n"/>
      <c r="P1788" s="81" t="n"/>
      <c r="Q1788" s="81" t="n"/>
      <c r="R1788" s="81" t="n"/>
      <c r="S1788" s="81" t="n"/>
      <c r="T1788" s="81" t="n"/>
      <c r="U1788" s="81" t="n"/>
      <c r="V1788" s="81" t="n"/>
      <c r="W1788" s="43" t="n"/>
    </row>
    <row r="1789">
      <c r="A1789" s="43" t="inlineStr">
        <is>
          <t>N61a</t>
        </is>
      </c>
      <c r="B1789" s="43" t="inlineStr"/>
      <c r="C1789" s="43" t="inlineStr">
        <is>
          <t>节段03</t>
        </is>
      </c>
      <c r="D1789" s="43" t="inlineStr">
        <is>
          <t>Q355D</t>
        </is>
      </c>
      <c r="E1789" s="43" t="n">
        <v>1580</v>
      </c>
      <c r="F1789" s="43" t="n">
        <v>630</v>
      </c>
      <c r="G1789" s="43" t="n">
        <v>14</v>
      </c>
      <c r="H1789" s="79">
        <f>(E1789/1000)*(F1789/1000)*(G1789/1000)*7850</f>
        <v/>
      </c>
      <c r="I1789" s="43" t="n">
        <v>3</v>
      </c>
      <c r="J1789" s="80">
        <f>H1789*I1789</f>
        <v/>
      </c>
      <c r="K1789" s="43" t="inlineStr">
        <is>
          <t>来源页150</t>
        </is>
      </c>
      <c r="L1789" s="43">
        <f>A1789</f>
        <v/>
      </c>
      <c r="M1789" s="81" t="n"/>
      <c r="N1789" s="81" t="n"/>
      <c r="O1789" s="81" t="n"/>
      <c r="P1789" s="81" t="n"/>
      <c r="Q1789" s="81" t="n"/>
      <c r="R1789" s="81" t="n"/>
      <c r="S1789" s="81" t="n"/>
      <c r="T1789" s="81" t="n"/>
      <c r="U1789" s="81" t="n"/>
      <c r="V1789" s="81" t="n"/>
      <c r="W1789" s="43" t="n"/>
    </row>
    <row r="1790">
      <c r="A1790" s="43" t="inlineStr">
        <is>
          <t>N62</t>
        </is>
      </c>
      <c r="B1790" s="43" t="inlineStr"/>
      <c r="C1790" s="43" t="inlineStr">
        <is>
          <t>节段03</t>
        </is>
      </c>
      <c r="D1790" s="43" t="inlineStr">
        <is>
          <t>Q355D</t>
        </is>
      </c>
      <c r="E1790" s="43" t="n"/>
      <c r="F1790" s="43" t="n"/>
      <c r="G1790" s="43" t="n">
        <v>24</v>
      </c>
      <c r="H1790" s="79">
        <f>(E1790/1000)*(F1790/1000)*(G1790/1000)*7850</f>
        <v/>
      </c>
      <c r="I1790" s="43" t="n">
        <v>3</v>
      </c>
      <c r="J1790" s="80">
        <f>H1790*I1790</f>
        <v/>
      </c>
      <c r="K1790" s="43" t="inlineStr">
        <is>
          <t>来源页150</t>
        </is>
      </c>
      <c r="L1790" s="43">
        <f>A1790</f>
        <v/>
      </c>
      <c r="M1790" s="81" t="n"/>
      <c r="N1790" s="81" t="n"/>
      <c r="O1790" s="81" t="n"/>
      <c r="P1790" s="81" t="n"/>
      <c r="Q1790" s="81" t="n"/>
      <c r="R1790" s="81" t="n"/>
      <c r="S1790" s="81" t="n"/>
      <c r="T1790" s="81" t="n"/>
      <c r="U1790" s="81" t="n"/>
      <c r="V1790" s="81" t="n"/>
      <c r="W1790" s="43" t="n"/>
    </row>
    <row r="1791">
      <c r="A1791" s="43" t="inlineStr">
        <is>
          <t>N62a</t>
        </is>
      </c>
      <c r="B1791" s="43" t="inlineStr"/>
      <c r="C1791" s="43" t="inlineStr">
        <is>
          <t>节段03</t>
        </is>
      </c>
      <c r="D1791" s="43" t="inlineStr">
        <is>
          <t>Q355D</t>
        </is>
      </c>
      <c r="E1791" s="43" t="n"/>
      <c r="F1791" s="43" t="n"/>
      <c r="G1791" s="43" t="n">
        <v>24</v>
      </c>
      <c r="H1791" s="79">
        <f>(E1791/1000)*(F1791/1000)*(G1791/1000)*7850</f>
        <v/>
      </c>
      <c r="I1791" s="43" t="n">
        <v>3</v>
      </c>
      <c r="J1791" s="80">
        <f>H1791*I1791</f>
        <v/>
      </c>
      <c r="K1791" s="43" t="inlineStr">
        <is>
          <t>来源页150</t>
        </is>
      </c>
      <c r="L1791" s="43">
        <f>A1791</f>
        <v/>
      </c>
      <c r="M1791" s="81" t="n"/>
      <c r="N1791" s="81" t="n"/>
      <c r="O1791" s="81" t="n"/>
      <c r="P1791" s="81" t="n"/>
      <c r="Q1791" s="81" t="n"/>
      <c r="R1791" s="81" t="n"/>
      <c r="S1791" s="81" t="n"/>
      <c r="T1791" s="81" t="n"/>
      <c r="U1791" s="81" t="n"/>
      <c r="V1791" s="81" t="n"/>
      <c r="W1791" s="43" t="n"/>
    </row>
    <row r="1792">
      <c r="A1792" s="43" t="inlineStr">
        <is>
          <t>N63</t>
        </is>
      </c>
      <c r="B1792" s="43" t="inlineStr"/>
      <c r="C1792" s="43" t="inlineStr">
        <is>
          <t>节段03</t>
        </is>
      </c>
      <c r="D1792" s="43" t="inlineStr">
        <is>
          <t>Q355D</t>
        </is>
      </c>
      <c r="E1792" s="43" t="n">
        <v>1450</v>
      </c>
      <c r="F1792" s="43" t="n">
        <v>610</v>
      </c>
      <c r="G1792" s="43" t="n">
        <v>14</v>
      </c>
      <c r="H1792" s="79">
        <f>(E1792/1000)*(F1792/1000)*(G1792/1000)*7850</f>
        <v/>
      </c>
      <c r="I1792" s="43" t="n">
        <v>3</v>
      </c>
      <c r="J1792" s="80">
        <f>H1792*I1792</f>
        <v/>
      </c>
      <c r="K1792" s="43" t="inlineStr">
        <is>
          <t>来源页150</t>
        </is>
      </c>
      <c r="L1792" s="43">
        <f>A1792</f>
        <v/>
      </c>
      <c r="M1792" s="81" t="n"/>
      <c r="N1792" s="81" t="n"/>
      <c r="O1792" s="81" t="n"/>
      <c r="P1792" s="81" t="n"/>
      <c r="Q1792" s="81" t="n"/>
      <c r="R1792" s="81" t="n"/>
      <c r="S1792" s="81" t="n"/>
      <c r="T1792" s="81" t="n"/>
      <c r="U1792" s="81" t="n"/>
      <c r="V1792" s="81" t="n"/>
      <c r="W1792" s="43" t="n"/>
    </row>
    <row r="1793">
      <c r="A1793" s="43" t="inlineStr">
        <is>
          <t>N63a</t>
        </is>
      </c>
      <c r="B1793" s="43" t="inlineStr"/>
      <c r="C1793" s="43" t="inlineStr">
        <is>
          <t>节段03</t>
        </is>
      </c>
      <c r="D1793" s="43" t="inlineStr">
        <is>
          <t>Q355D</t>
        </is>
      </c>
      <c r="E1793" s="43" t="n">
        <v>1450</v>
      </c>
      <c r="F1793" s="43" t="n">
        <v>626</v>
      </c>
      <c r="G1793" s="43" t="n">
        <v>14</v>
      </c>
      <c r="H1793" s="79">
        <f>(E1793/1000)*(F1793/1000)*(G1793/1000)*7850</f>
        <v/>
      </c>
      <c r="I1793" s="43" t="n">
        <v>2</v>
      </c>
      <c r="J1793" s="80">
        <f>H1793*I1793</f>
        <v/>
      </c>
      <c r="K1793" s="43" t="inlineStr">
        <is>
          <t>来源页150</t>
        </is>
      </c>
      <c r="L1793" s="43">
        <f>A1793</f>
        <v/>
      </c>
      <c r="M1793" s="81" t="n"/>
      <c r="N1793" s="81" t="n"/>
      <c r="O1793" s="81" t="n"/>
      <c r="P1793" s="81" t="n"/>
      <c r="Q1793" s="81" t="n"/>
      <c r="R1793" s="81" t="n"/>
      <c r="S1793" s="81" t="n"/>
      <c r="T1793" s="81" t="n"/>
      <c r="U1793" s="81" t="n"/>
      <c r="V1793" s="81" t="n"/>
      <c r="W1793" s="43" t="n"/>
    </row>
    <row r="1794">
      <c r="A1794" s="43" t="inlineStr">
        <is>
          <t>P1</t>
        </is>
      </c>
      <c r="B1794" s="43" t="inlineStr">
        <is>
          <t>上弦杆拼接</t>
        </is>
      </c>
      <c r="C1794" s="43" t="inlineStr"/>
      <c r="D1794" s="43" t="inlineStr">
        <is>
          <t>Q355D</t>
        </is>
      </c>
      <c r="E1794" s="43" t="n">
        <v>1020</v>
      </c>
      <c r="F1794" s="43" t="n">
        <v>1400</v>
      </c>
      <c r="G1794" s="43" t="n">
        <v>16</v>
      </c>
      <c r="H1794" s="79">
        <f>(E1794/1000)*(F1794/1000)*(G1794/1000)*7850</f>
        <v/>
      </c>
      <c r="I1794" s="43" t="n">
        <v>2</v>
      </c>
      <c r="J1794" s="80">
        <f>H1794*I1794</f>
        <v/>
      </c>
      <c r="K1794" s="43" t="inlineStr">
        <is>
          <t>来源页153</t>
        </is>
      </c>
      <c r="L1794" s="43">
        <f>A1794</f>
        <v/>
      </c>
      <c r="M1794" s="81" t="n"/>
      <c r="N1794" s="81" t="n"/>
      <c r="O1794" s="81" t="n"/>
      <c r="P1794" s="81" t="n"/>
      <c r="Q1794" s="81" t="n"/>
      <c r="R1794" s="81" t="n"/>
      <c r="S1794" s="81" t="n"/>
      <c r="T1794" s="81" t="n"/>
      <c r="U1794" s="81" t="n"/>
      <c r="V1794" s="81" t="n"/>
      <c r="W1794" s="43" t="n"/>
    </row>
    <row r="1795">
      <c r="A1795" s="43" t="inlineStr">
        <is>
          <t>P2</t>
        </is>
      </c>
      <c r="B1795" s="43" t="inlineStr">
        <is>
          <t>上弦杆拼接</t>
        </is>
      </c>
      <c r="C1795" s="43" t="inlineStr"/>
      <c r="D1795" s="43" t="inlineStr">
        <is>
          <t>Q355D</t>
        </is>
      </c>
      <c r="E1795" s="43" t="n">
        <v>1020</v>
      </c>
      <c r="F1795" s="43" t="n">
        <v>300</v>
      </c>
      <c r="G1795" s="43" t="n">
        <v>16</v>
      </c>
      <c r="H1795" s="79">
        <f>(E1795/1000)*(F1795/1000)*(G1795/1000)*7850</f>
        <v/>
      </c>
      <c r="I1795" s="43" t="n">
        <v>2</v>
      </c>
      <c r="J1795" s="80">
        <f>H1795*I1795</f>
        <v/>
      </c>
      <c r="K1795" s="43" t="inlineStr">
        <is>
          <t>来源页153</t>
        </is>
      </c>
      <c r="L1795" s="43">
        <f>A1795</f>
        <v/>
      </c>
      <c r="M1795" s="81" t="n"/>
      <c r="N1795" s="81" t="n"/>
      <c r="O1795" s="81" t="n"/>
      <c r="P1795" s="81" t="n"/>
      <c r="Q1795" s="81" t="n"/>
      <c r="R1795" s="81" t="n"/>
      <c r="S1795" s="81" t="n"/>
      <c r="T1795" s="81" t="n"/>
      <c r="U1795" s="81" t="n"/>
      <c r="V1795" s="81" t="n"/>
      <c r="W1795" s="43" t="n"/>
    </row>
    <row r="1796">
      <c r="A1796" s="43" t="inlineStr">
        <is>
          <t>P3</t>
        </is>
      </c>
      <c r="B1796" s="43" t="inlineStr">
        <is>
          <t>上弦杆拼接</t>
        </is>
      </c>
      <c r="C1796" s="43" t="inlineStr"/>
      <c r="D1796" s="43" t="inlineStr">
        <is>
          <t>Q355D</t>
        </is>
      </c>
      <c r="E1796" s="43" t="n">
        <v>1020</v>
      </c>
      <c r="F1796" s="43" t="n">
        <v>500</v>
      </c>
      <c r="G1796" s="43" t="n">
        <v>16</v>
      </c>
      <c r="H1796" s="79">
        <f>(E1796/1000)*(F1796/1000)*(G1796/1000)*7850</f>
        <v/>
      </c>
      <c r="I1796" s="43" t="n">
        <v>2</v>
      </c>
      <c r="J1796" s="80">
        <f>H1796*I1796</f>
        <v/>
      </c>
      <c r="K1796" s="43" t="inlineStr">
        <is>
          <t>来源页153</t>
        </is>
      </c>
      <c r="L1796" s="43">
        <f>A1796</f>
        <v/>
      </c>
      <c r="M1796" s="81" t="n"/>
      <c r="N1796" s="81" t="n"/>
      <c r="O1796" s="81" t="n"/>
      <c r="P1796" s="81" t="n"/>
      <c r="Q1796" s="81" t="n"/>
      <c r="R1796" s="81" t="n"/>
      <c r="S1796" s="81" t="n"/>
      <c r="T1796" s="81" t="n"/>
      <c r="U1796" s="81" t="n"/>
      <c r="V1796" s="81" t="n"/>
      <c r="W1796" s="43" t="n"/>
    </row>
    <row r="1797">
      <c r="A1797" s="43" t="inlineStr">
        <is>
          <t>P4</t>
        </is>
      </c>
      <c r="B1797" s="43" t="inlineStr">
        <is>
          <t>上弦杆拼接</t>
        </is>
      </c>
      <c r="C1797" s="43" t="inlineStr"/>
      <c r="D1797" s="43" t="inlineStr">
        <is>
          <t>Q355D</t>
        </is>
      </c>
      <c r="E1797" s="43" t="n">
        <v>1020</v>
      </c>
      <c r="F1797" s="43" t="n">
        <v>400</v>
      </c>
      <c r="G1797" s="43" t="n">
        <v>16</v>
      </c>
      <c r="H1797" s="79">
        <f>(E1797/1000)*(F1797/1000)*(G1797/1000)*7850</f>
        <v/>
      </c>
      <c r="I1797" s="43" t="n">
        <v>2</v>
      </c>
      <c r="J1797" s="80">
        <f>H1797*I1797</f>
        <v/>
      </c>
      <c r="K1797" s="43" t="inlineStr">
        <is>
          <t>来源页153</t>
        </is>
      </c>
      <c r="L1797" s="43">
        <f>A1797</f>
        <v/>
      </c>
      <c r="M1797" s="81" t="n"/>
      <c r="N1797" s="81" t="n"/>
      <c r="O1797" s="81" t="n"/>
      <c r="P1797" s="81" t="n"/>
      <c r="Q1797" s="81" t="n"/>
      <c r="R1797" s="81" t="n"/>
      <c r="S1797" s="81" t="n"/>
      <c r="T1797" s="81" t="n"/>
      <c r="U1797" s="81" t="n"/>
      <c r="V1797" s="81" t="n"/>
      <c r="W1797" s="43" t="n"/>
    </row>
    <row r="1798">
      <c r="A1798" s="43" t="inlineStr">
        <is>
          <t>P5</t>
        </is>
      </c>
      <c r="B1798" s="43" t="inlineStr">
        <is>
          <t>上弦杆拼接</t>
        </is>
      </c>
      <c r="C1798" s="43" t="inlineStr"/>
      <c r="D1798" s="43" t="inlineStr">
        <is>
          <t>Q355D</t>
        </is>
      </c>
      <c r="E1798" s="43" t="n">
        <v>1420</v>
      </c>
      <c r="F1798" s="43" t="n">
        <v>1100</v>
      </c>
      <c r="G1798" s="43" t="n">
        <v>28</v>
      </c>
      <c r="H1798" s="79">
        <f>(E1798/1000)*(F1798/1000)*(G1798/1000)*7850</f>
        <v/>
      </c>
      <c r="I1798" s="43" t="n">
        <v>1</v>
      </c>
      <c r="J1798" s="80">
        <f>H1798*I1798</f>
        <v/>
      </c>
      <c r="K1798" s="43" t="inlineStr">
        <is>
          <t>来源页153</t>
        </is>
      </c>
      <c r="L1798" s="43">
        <f>A1798</f>
        <v/>
      </c>
      <c r="M1798" s="81" t="n"/>
      <c r="N1798" s="81" t="n"/>
      <c r="O1798" s="81" t="n"/>
      <c r="P1798" s="81" t="n"/>
      <c r="Q1798" s="81" t="n"/>
      <c r="R1798" s="81" t="n"/>
      <c r="S1798" s="81" t="n"/>
      <c r="T1798" s="81" t="n"/>
      <c r="U1798" s="81" t="n"/>
      <c r="V1798" s="81" t="n"/>
      <c r="W1798" s="43" t="n"/>
    </row>
    <row r="1799">
      <c r="A1799" s="43" t="inlineStr">
        <is>
          <t>P6</t>
        </is>
      </c>
      <c r="B1799" s="43" t="inlineStr">
        <is>
          <t>上弦杆拼接</t>
        </is>
      </c>
      <c r="C1799" s="43" t="inlineStr"/>
      <c r="D1799" s="43" t="inlineStr">
        <is>
          <t>Q355D</t>
        </is>
      </c>
      <c r="E1799" s="43" t="n">
        <v>1420</v>
      </c>
      <c r="F1799" s="43" t="n">
        <v>400</v>
      </c>
      <c r="G1799" s="43" t="n">
        <v>28</v>
      </c>
      <c r="H1799" s="79">
        <f>(E1799/1000)*(F1799/1000)*(G1799/1000)*7850</f>
        <v/>
      </c>
      <c r="I1799" s="43" t="n">
        <v>2</v>
      </c>
      <c r="J1799" s="80">
        <f>H1799*I1799</f>
        <v/>
      </c>
      <c r="K1799" s="43" t="inlineStr">
        <is>
          <t>来源页153</t>
        </is>
      </c>
      <c r="L1799" s="43">
        <f>A1799</f>
        <v/>
      </c>
      <c r="M1799" s="81" t="n"/>
      <c r="N1799" s="81" t="n"/>
      <c r="O1799" s="81" t="n"/>
      <c r="P1799" s="81" t="n"/>
      <c r="Q1799" s="81" t="n"/>
      <c r="R1799" s="81" t="n"/>
      <c r="S1799" s="81" t="n"/>
      <c r="T1799" s="81" t="n"/>
      <c r="U1799" s="81" t="n"/>
      <c r="V1799" s="81" t="n"/>
      <c r="W1799" s="43" t="n"/>
    </row>
    <row r="1800">
      <c r="A1800" s="43" t="inlineStr">
        <is>
          <t>P7</t>
        </is>
      </c>
      <c r="B1800" s="43" t="inlineStr">
        <is>
          <t>上弦杆拼接</t>
        </is>
      </c>
      <c r="C1800" s="43" t="inlineStr"/>
      <c r="D1800" s="43" t="inlineStr">
        <is>
          <t>Q355D</t>
        </is>
      </c>
      <c r="E1800" s="43" t="n">
        <v>920</v>
      </c>
      <c r="F1800" s="43" t="n">
        <v>200</v>
      </c>
      <c r="G1800" s="43" t="n">
        <v>20</v>
      </c>
      <c r="H1800" s="79">
        <f>(E1800/1000)*(F1800/1000)*(G1800/1000)*7850</f>
        <v/>
      </c>
      <c r="I1800" s="43" t="n">
        <v>10</v>
      </c>
      <c r="J1800" s="80">
        <f>H1800*I1800</f>
        <v/>
      </c>
      <c r="K1800" s="43" t="inlineStr">
        <is>
          <t>来源页153</t>
        </is>
      </c>
      <c r="L1800" s="43">
        <f>A1800</f>
        <v/>
      </c>
      <c r="M1800" s="81" t="n"/>
      <c r="N1800" s="81" t="n"/>
      <c r="O1800" s="81" t="n"/>
      <c r="P1800" s="81" t="n"/>
      <c r="Q1800" s="81" t="n"/>
      <c r="R1800" s="81" t="n"/>
      <c r="S1800" s="81" t="n"/>
      <c r="T1800" s="81" t="n"/>
      <c r="U1800" s="81" t="n"/>
      <c r="V1800" s="81" t="n"/>
      <c r="W1800" s="43" t="n"/>
    </row>
    <row r="1801">
      <c r="A1801" s="43" t="inlineStr">
        <is>
          <t>P8</t>
        </is>
      </c>
      <c r="B1801" s="43" t="inlineStr">
        <is>
          <t>上弦杆拼接</t>
        </is>
      </c>
      <c r="C1801" s="43" t="inlineStr"/>
      <c r="D1801" s="43" t="inlineStr">
        <is>
          <t>Q355D</t>
        </is>
      </c>
      <c r="E1801" s="43" t="n">
        <v>500</v>
      </c>
      <c r="F1801" s="43" t="n">
        <v>1800</v>
      </c>
      <c r="G1801" s="43" t="n">
        <v>20</v>
      </c>
      <c r="H1801" s="79">
        <f>(E1801/1000)*(F1801/1000)*(G1801/1000)*7850</f>
        <v/>
      </c>
      <c r="I1801" s="43" t="n">
        <v>2</v>
      </c>
      <c r="J1801" s="80">
        <f>H1801*I1801</f>
        <v/>
      </c>
      <c r="K1801" s="43" t="inlineStr">
        <is>
          <t>来源页153</t>
        </is>
      </c>
      <c r="L1801" s="43">
        <f>A1801</f>
        <v/>
      </c>
      <c r="M1801" s="81" t="n"/>
      <c r="N1801" s="81" t="n"/>
      <c r="O1801" s="81" t="n"/>
      <c r="P1801" s="81" t="n"/>
      <c r="Q1801" s="81" t="n"/>
      <c r="R1801" s="81" t="n"/>
      <c r="S1801" s="81" t="n"/>
      <c r="T1801" s="81" t="n"/>
      <c r="U1801" s="81" t="n"/>
      <c r="V1801" s="81" t="n"/>
      <c r="W1801" s="43" t="n"/>
    </row>
    <row r="1802">
      <c r="A1802" s="43" t="inlineStr">
        <is>
          <t>M30高强螺栓</t>
        </is>
      </c>
      <c r="B1802" s="43" t="inlineStr">
        <is>
          <t>上弦杆拼接</t>
        </is>
      </c>
      <c r="C1802" s="43" t="inlineStr"/>
      <c r="D1802" s="43" t="inlineStr">
        <is>
          <t>10.9S</t>
        </is>
      </c>
      <c r="E1802" s="43" t="n"/>
      <c r="F1802" s="43" t="n"/>
      <c r="G1802" s="43" t="n"/>
      <c r="H1802" s="79">
        <f>(E1802/1000)*(F1802/1000)*(G1802/1000)*7850</f>
        <v/>
      </c>
      <c r="I1802" s="43" t="n">
        <v>380</v>
      </c>
      <c r="J1802" s="80">
        <f>H1802*I1802</f>
        <v/>
      </c>
      <c r="K1802" s="43" t="inlineStr">
        <is>
          <t>来源页153</t>
        </is>
      </c>
      <c r="L1802" s="43">
        <f>A1802</f>
        <v/>
      </c>
      <c r="M1802" s="81" t="n"/>
      <c r="N1802" s="81" t="n"/>
      <c r="O1802" s="81" t="n"/>
      <c r="P1802" s="81" t="n"/>
      <c r="Q1802" s="81" t="n"/>
      <c r="R1802" s="81" t="n"/>
      <c r="S1802" s="81" t="n"/>
      <c r="T1802" s="81" t="n"/>
      <c r="U1802" s="81" t="n"/>
      <c r="V1802" s="81" t="n"/>
      <c r="W1802" s="43" t="n"/>
    </row>
    <row r="1803">
      <c r="A1803" s="43" t="inlineStr">
        <is>
          <t>K1</t>
        </is>
      </c>
      <c r="B1803" s="43" t="inlineStr">
        <is>
          <t>下弦杆拼接</t>
        </is>
      </c>
      <c r="C1803" s="43" t="inlineStr"/>
      <c r="D1803" s="43" t="inlineStr">
        <is>
          <t>Q355D</t>
        </is>
      </c>
      <c r="E1803" s="43" t="n">
        <v>820</v>
      </c>
      <c r="F1803" s="43" t="n">
        <v>1300</v>
      </c>
      <c r="G1803" s="43" t="n">
        <v>20</v>
      </c>
      <c r="H1803" s="79">
        <f>(E1803/1000)*(F1803/1000)*(G1803/1000)*7850</f>
        <v/>
      </c>
      <c r="I1803" s="43" t="n">
        <v>2</v>
      </c>
      <c r="J1803" s="80">
        <f>H1803*I1803</f>
        <v/>
      </c>
      <c r="K1803" s="43" t="inlineStr">
        <is>
          <t>来源页153</t>
        </is>
      </c>
      <c r="L1803" s="43">
        <f>A1803</f>
        <v/>
      </c>
      <c r="M1803" s="81" t="n"/>
      <c r="N1803" s="81" t="n"/>
      <c r="O1803" s="81" t="n"/>
      <c r="P1803" s="81" t="n"/>
      <c r="Q1803" s="81" t="n"/>
      <c r="R1803" s="81" t="n"/>
      <c r="S1803" s="81" t="n"/>
      <c r="T1803" s="81" t="n"/>
      <c r="U1803" s="81" t="n"/>
      <c r="V1803" s="81" t="n"/>
      <c r="W1803" s="43" t="n"/>
    </row>
    <row r="1804">
      <c r="A1804" s="43" t="inlineStr">
        <is>
          <t>K2</t>
        </is>
      </c>
      <c r="B1804" s="43" t="inlineStr">
        <is>
          <t>下弦杆拼接</t>
        </is>
      </c>
      <c r="C1804" s="43" t="inlineStr"/>
      <c r="D1804" s="43" t="inlineStr">
        <is>
          <t>Q355D</t>
        </is>
      </c>
      <c r="E1804" s="43" t="n">
        <v>820</v>
      </c>
      <c r="F1804" s="43" t="n">
        <v>600</v>
      </c>
      <c r="G1804" s="43" t="n">
        <v>20</v>
      </c>
      <c r="H1804" s="79">
        <f>(E1804/1000)*(F1804/1000)*(G1804/1000)*7850</f>
        <v/>
      </c>
      <c r="I1804" s="43" t="n">
        <v>4</v>
      </c>
      <c r="J1804" s="80">
        <f>H1804*I1804</f>
        <v/>
      </c>
      <c r="K1804" s="43" t="inlineStr">
        <is>
          <t>来源页153</t>
        </is>
      </c>
      <c r="L1804" s="43">
        <f>A1804</f>
        <v/>
      </c>
      <c r="M1804" s="81" t="n"/>
      <c r="N1804" s="81" t="n"/>
      <c r="O1804" s="81" t="n"/>
      <c r="P1804" s="81" t="n"/>
      <c r="Q1804" s="81" t="n"/>
      <c r="R1804" s="81" t="n"/>
      <c r="S1804" s="81" t="n"/>
      <c r="T1804" s="81" t="n"/>
      <c r="U1804" s="81" t="n"/>
      <c r="V1804" s="81" t="n"/>
      <c r="W1804" s="43" t="n"/>
    </row>
    <row r="1805">
      <c r="A1805" s="43" t="inlineStr">
        <is>
          <t>K3</t>
        </is>
      </c>
      <c r="B1805" s="43" t="inlineStr">
        <is>
          <t>下弦杆拼接</t>
        </is>
      </c>
      <c r="C1805" s="43" t="inlineStr"/>
      <c r="D1805" s="43" t="inlineStr">
        <is>
          <t>Q355D</t>
        </is>
      </c>
      <c r="E1805" s="43" t="n">
        <v>1120</v>
      </c>
      <c r="F1805" s="43" t="n">
        <v>1100</v>
      </c>
      <c r="G1805" s="43" t="n">
        <v>32</v>
      </c>
      <c r="H1805" s="79">
        <f>(E1805/1000)*(F1805/1000)*(G1805/1000)*7850</f>
        <v/>
      </c>
      <c r="I1805" s="43" t="n">
        <v>1</v>
      </c>
      <c r="J1805" s="80">
        <f>H1805*I1805</f>
        <v/>
      </c>
      <c r="K1805" s="43" t="inlineStr">
        <is>
          <t>来源页153</t>
        </is>
      </c>
      <c r="L1805" s="43">
        <f>A1805</f>
        <v/>
      </c>
      <c r="M1805" s="81" t="n"/>
      <c r="N1805" s="81" t="n"/>
      <c r="O1805" s="81" t="n"/>
      <c r="P1805" s="81" t="n"/>
      <c r="Q1805" s="81" t="n"/>
      <c r="R1805" s="81" t="n"/>
      <c r="S1805" s="81" t="n"/>
      <c r="T1805" s="81" t="n"/>
      <c r="U1805" s="81" t="n"/>
      <c r="V1805" s="81" t="n"/>
      <c r="W1805" s="43" t="n"/>
    </row>
    <row r="1806">
      <c r="A1806" s="43" t="inlineStr">
        <is>
          <t>K4</t>
        </is>
      </c>
      <c r="B1806" s="43" t="inlineStr">
        <is>
          <t>下弦杆拼接</t>
        </is>
      </c>
      <c r="C1806" s="43" t="inlineStr"/>
      <c r="D1806" s="43" t="inlineStr">
        <is>
          <t>Q355D</t>
        </is>
      </c>
      <c r="E1806" s="43" t="n">
        <v>1120</v>
      </c>
      <c r="F1806" s="43" t="n">
        <v>400</v>
      </c>
      <c r="G1806" s="43" t="n">
        <v>32</v>
      </c>
      <c r="H1806" s="79">
        <f>(E1806/1000)*(F1806/1000)*(G1806/1000)*7850</f>
        <v/>
      </c>
      <c r="I1806" s="43" t="n">
        <v>2</v>
      </c>
      <c r="J1806" s="80">
        <f>H1806*I1806</f>
        <v/>
      </c>
      <c r="K1806" s="43" t="inlineStr">
        <is>
          <t>来源页153</t>
        </is>
      </c>
      <c r="L1806" s="43">
        <f>A1806</f>
        <v/>
      </c>
      <c r="M1806" s="81" t="n"/>
      <c r="N1806" s="81" t="n"/>
      <c r="O1806" s="81" t="n"/>
      <c r="P1806" s="81" t="n"/>
      <c r="Q1806" s="81" t="n"/>
      <c r="R1806" s="81" t="n"/>
      <c r="S1806" s="81" t="n"/>
      <c r="T1806" s="81" t="n"/>
      <c r="U1806" s="81" t="n"/>
      <c r="V1806" s="81" t="n"/>
      <c r="W1806" s="43" t="n"/>
    </row>
    <row r="1807">
      <c r="A1807" s="43" t="inlineStr">
        <is>
          <t>K6</t>
        </is>
      </c>
      <c r="B1807" s="43" t="inlineStr">
        <is>
          <t>下弦杆拼接</t>
        </is>
      </c>
      <c r="C1807" s="43" t="inlineStr"/>
      <c r="D1807" s="43" t="inlineStr">
        <is>
          <t>Q355D</t>
        </is>
      </c>
      <c r="E1807" s="43" t="n">
        <v>400</v>
      </c>
      <c r="F1807" s="43" t="n">
        <v>1700</v>
      </c>
      <c r="G1807" s="43" t="n">
        <v>16</v>
      </c>
      <c r="H1807" s="79">
        <f>(E1807/1000)*(F1807/1000)*(G1807/1000)*7850</f>
        <v/>
      </c>
      <c r="I1807" s="43" t="n">
        <v>2</v>
      </c>
      <c r="J1807" s="80">
        <f>H1807*I1807</f>
        <v/>
      </c>
      <c r="K1807" s="43" t="inlineStr">
        <is>
          <t>来源页153</t>
        </is>
      </c>
      <c r="L1807" s="43">
        <f>A1807</f>
        <v/>
      </c>
      <c r="M1807" s="81" t="n"/>
      <c r="N1807" s="81" t="n"/>
      <c r="O1807" s="81" t="n"/>
      <c r="P1807" s="81" t="n"/>
      <c r="Q1807" s="81" t="n"/>
      <c r="R1807" s="81" t="n"/>
      <c r="S1807" s="81" t="n"/>
      <c r="T1807" s="81" t="n"/>
      <c r="U1807" s="81" t="n"/>
      <c r="V1807" s="81" t="n"/>
      <c r="W1807" s="43" t="n"/>
    </row>
    <row r="1808">
      <c r="A1808" s="43" t="inlineStr">
        <is>
          <t>M30高强螺栓</t>
        </is>
      </c>
      <c r="B1808" s="43" t="inlineStr">
        <is>
          <t>下弦杆拼接</t>
        </is>
      </c>
      <c r="C1808" s="43" t="inlineStr"/>
      <c r="D1808" s="43" t="inlineStr">
        <is>
          <t>10.9S</t>
        </is>
      </c>
      <c r="E1808" s="43" t="n"/>
      <c r="F1808" s="43" t="n"/>
      <c r="G1808" s="43" t="n"/>
      <c r="H1808" s="79">
        <f>(E1808/1000)*(F1808/1000)*(G1808/1000)*7850</f>
        <v/>
      </c>
      <c r="I1808" s="43" t="n">
        <v>276</v>
      </c>
      <c r="J1808" s="80">
        <f>H1808*I1808</f>
        <v/>
      </c>
      <c r="K1808" s="43" t="inlineStr">
        <is>
          <t>来源页153</t>
        </is>
      </c>
      <c r="L1808" s="43">
        <f>A1808</f>
        <v/>
      </c>
      <c r="M1808" s="81" t="n"/>
      <c r="N1808" s="81" t="n"/>
      <c r="O1808" s="81" t="n"/>
      <c r="P1808" s="81" t="n"/>
      <c r="Q1808" s="81" t="n"/>
      <c r="R1808" s="81" t="n"/>
      <c r="S1808" s="81" t="n"/>
      <c r="T1808" s="81" t="n"/>
      <c r="U1808" s="81" t="n"/>
      <c r="V1808" s="81" t="n"/>
      <c r="W1808" s="43" t="n"/>
    </row>
    <row r="1809">
      <c r="A1809" s="43" t="inlineStr">
        <is>
          <t>L1</t>
        </is>
      </c>
      <c r="B1809" s="43" t="inlineStr">
        <is>
          <t>腹杆拼接</t>
        </is>
      </c>
      <c r="C1809" s="43" t="inlineStr"/>
      <c r="D1809" s="43" t="inlineStr">
        <is>
          <t>Q355D</t>
        </is>
      </c>
      <c r="E1809" s="43" t="n">
        <v>1320</v>
      </c>
      <c r="F1809" s="43" t="n">
        <v>900</v>
      </c>
      <c r="G1809" s="43" t="n">
        <v>28</v>
      </c>
      <c r="H1809" s="79">
        <f>(E1809/1000)*(F1809/1000)*(G1809/1000)*7850</f>
        <v/>
      </c>
      <c r="I1809" s="43" t="n">
        <v>2</v>
      </c>
      <c r="J1809" s="80">
        <f>H1809*I1809</f>
        <v/>
      </c>
      <c r="K1809" s="43" t="inlineStr">
        <is>
          <t>来源页153</t>
        </is>
      </c>
      <c r="L1809" s="43">
        <f>A1809</f>
        <v/>
      </c>
      <c r="M1809" s="81" t="n"/>
      <c r="N1809" s="81" t="n"/>
      <c r="O1809" s="81" t="n"/>
      <c r="P1809" s="81" t="n"/>
      <c r="Q1809" s="81" t="n"/>
      <c r="R1809" s="81" t="n"/>
      <c r="S1809" s="81" t="n"/>
      <c r="T1809" s="81" t="n"/>
      <c r="U1809" s="81" t="n"/>
      <c r="V1809" s="81" t="n"/>
      <c r="W1809" s="43" t="n"/>
    </row>
    <row r="1810">
      <c r="A1810" s="43" t="inlineStr">
        <is>
          <t>L2</t>
        </is>
      </c>
      <c r="B1810" s="43" t="inlineStr">
        <is>
          <t>腹杆拼接</t>
        </is>
      </c>
      <c r="C1810" s="43" t="inlineStr"/>
      <c r="D1810" s="43" t="inlineStr">
        <is>
          <t>Q355D</t>
        </is>
      </c>
      <c r="E1810" s="43" t="n">
        <v>1320</v>
      </c>
      <c r="F1810" s="43" t="n">
        <v>400</v>
      </c>
      <c r="G1810" s="43" t="n">
        <v>28</v>
      </c>
      <c r="H1810" s="79">
        <f>(E1810/1000)*(F1810/1000)*(G1810/1000)*7850</f>
        <v/>
      </c>
      <c r="I1810" s="43" t="n">
        <v>4</v>
      </c>
      <c r="J1810" s="80">
        <f>H1810*I1810</f>
        <v/>
      </c>
      <c r="K1810" s="43" t="inlineStr">
        <is>
          <t>来源页153</t>
        </is>
      </c>
      <c r="L1810" s="43">
        <f>A1810</f>
        <v/>
      </c>
      <c r="M1810" s="81" t="n"/>
      <c r="N1810" s="81" t="n"/>
      <c r="O1810" s="81" t="n"/>
      <c r="P1810" s="81" t="n"/>
      <c r="Q1810" s="81" t="n"/>
      <c r="R1810" s="81" t="n"/>
      <c r="S1810" s="81" t="n"/>
      <c r="T1810" s="81" t="n"/>
      <c r="U1810" s="81" t="n"/>
      <c r="V1810" s="81" t="n"/>
      <c r="W1810" s="43" t="n"/>
    </row>
    <row r="1811">
      <c r="A1811" s="43" t="inlineStr">
        <is>
          <t>L3</t>
        </is>
      </c>
      <c r="B1811" s="43" t="inlineStr">
        <is>
          <t>腹杆拼接</t>
        </is>
      </c>
      <c r="C1811" s="43" t="inlineStr"/>
      <c r="D1811" s="43" t="inlineStr">
        <is>
          <t>Q355D</t>
        </is>
      </c>
      <c r="E1811" s="43" t="n">
        <v>1320</v>
      </c>
      <c r="F1811" s="43" t="n">
        <v>500</v>
      </c>
      <c r="G1811" s="43" t="n">
        <v>28</v>
      </c>
      <c r="H1811" s="79">
        <f>(E1811/1000)*(F1811/1000)*(G1811/1000)*7850</f>
        <v/>
      </c>
      <c r="I1811" s="43" t="n">
        <v>4</v>
      </c>
      <c r="J1811" s="80">
        <f>H1811*I1811</f>
        <v/>
      </c>
      <c r="K1811" s="43" t="inlineStr">
        <is>
          <t>来源页153</t>
        </is>
      </c>
      <c r="L1811" s="43">
        <f>A1811</f>
        <v/>
      </c>
      <c r="M1811" s="81" t="n"/>
      <c r="N1811" s="81" t="n"/>
      <c r="O1811" s="81" t="n"/>
      <c r="P1811" s="81" t="n"/>
      <c r="Q1811" s="81" t="n"/>
      <c r="R1811" s="81" t="n"/>
      <c r="S1811" s="81" t="n"/>
      <c r="T1811" s="81" t="n"/>
      <c r="U1811" s="81" t="n"/>
      <c r="V1811" s="81" t="n"/>
      <c r="W1811" s="43" t="n"/>
    </row>
    <row r="1812">
      <c r="A1812" s="43" t="inlineStr">
        <is>
          <t>L4</t>
        </is>
      </c>
      <c r="B1812" s="43" t="inlineStr">
        <is>
          <t>腹杆拼接</t>
        </is>
      </c>
      <c r="C1812" s="43" t="inlineStr"/>
      <c r="D1812" s="43" t="inlineStr">
        <is>
          <t>Q355D</t>
        </is>
      </c>
      <c r="E1812" s="43" t="n">
        <v>820</v>
      </c>
      <c r="F1812" s="43" t="n">
        <v>200</v>
      </c>
      <c r="G1812" s="43" t="n">
        <v>20</v>
      </c>
      <c r="H1812" s="79">
        <f>(E1812/1000)*(F1812/1000)*(G1812/1000)*7850</f>
        <v/>
      </c>
      <c r="I1812" s="43" t="n">
        <v>4</v>
      </c>
      <c r="J1812" s="80">
        <f>H1812*I1812</f>
        <v/>
      </c>
      <c r="K1812" s="43" t="inlineStr">
        <is>
          <t>来源页153</t>
        </is>
      </c>
      <c r="L1812" s="43">
        <f>A1812</f>
        <v/>
      </c>
      <c r="M1812" s="81" t="n"/>
      <c r="N1812" s="81" t="n"/>
      <c r="O1812" s="81" t="n"/>
      <c r="P1812" s="81" t="n"/>
      <c r="Q1812" s="81" t="n"/>
      <c r="R1812" s="81" t="n"/>
      <c r="S1812" s="81" t="n"/>
      <c r="T1812" s="81" t="n"/>
      <c r="U1812" s="81" t="n"/>
      <c r="V1812" s="81" t="n"/>
      <c r="W1812" s="43" t="n"/>
    </row>
    <row r="1813">
      <c r="A1813" s="43" t="inlineStr">
        <is>
          <t>M30高强螺栓</t>
        </is>
      </c>
      <c r="B1813" s="43" t="inlineStr">
        <is>
          <t>腹杆拼接</t>
        </is>
      </c>
      <c r="C1813" s="43" t="inlineStr"/>
      <c r="D1813" s="43" t="inlineStr">
        <is>
          <t>10.9S</t>
        </is>
      </c>
      <c r="E1813" s="43" t="n"/>
      <c r="F1813" s="43" t="n"/>
      <c r="G1813" s="43" t="n"/>
      <c r="H1813" s="79">
        <f>(E1813/1000)*(F1813/1000)*(G1813/1000)*7850</f>
        <v/>
      </c>
      <c r="I1813" s="43" t="n">
        <v>507</v>
      </c>
      <c r="J1813" s="80">
        <f>H1813*I1813</f>
        <v/>
      </c>
      <c r="K1813" s="43" t="inlineStr">
        <is>
          <t>来源页153</t>
        </is>
      </c>
      <c r="L1813" s="43">
        <f>A1813</f>
        <v/>
      </c>
      <c r="M1813" s="81" t="n"/>
      <c r="N1813" s="81" t="n"/>
      <c r="O1813" s="81" t="n"/>
      <c r="P1813" s="81" t="n"/>
      <c r="Q1813" s="81" t="n"/>
      <c r="R1813" s="81" t="n"/>
      <c r="S1813" s="81" t="n"/>
      <c r="T1813" s="81" t="n"/>
      <c r="U1813" s="81" t="n"/>
      <c r="V1813" s="81" t="n"/>
      <c r="W1813" s="43" t="n"/>
    </row>
    <row r="1814">
      <c r="A1814" s="43" t="inlineStr">
        <is>
          <t>N11a</t>
        </is>
      </c>
      <c r="B1814" s="43" t="inlineStr"/>
      <c r="C1814" s="43" t="inlineStr">
        <is>
          <t>节段04</t>
        </is>
      </c>
      <c r="D1814" s="43" t="inlineStr">
        <is>
          <t>Q355D</t>
        </is>
      </c>
      <c r="E1814" s="43" t="n"/>
      <c r="F1814" s="43" t="n"/>
      <c r="G1814" s="43" t="n">
        <v>20</v>
      </c>
      <c r="H1814" s="79">
        <f>(E1814/1000)*(F1814/1000)*(G1814/1000)*7850</f>
        <v/>
      </c>
      <c r="I1814" s="43" t="n">
        <v>1</v>
      </c>
      <c r="J1814" s="80">
        <f>H1814*I1814</f>
        <v/>
      </c>
      <c r="K1814" s="43" t="inlineStr">
        <is>
          <t>来源页154</t>
        </is>
      </c>
      <c r="L1814" s="43">
        <f>A1814</f>
        <v/>
      </c>
      <c r="M1814" s="81" t="n"/>
      <c r="N1814" s="81" t="n"/>
      <c r="O1814" s="81" t="n"/>
      <c r="P1814" s="81" t="n"/>
      <c r="Q1814" s="81" t="n"/>
      <c r="R1814" s="81" t="n"/>
      <c r="S1814" s="81" t="n"/>
      <c r="T1814" s="81" t="n"/>
      <c r="U1814" s="81" t="n"/>
      <c r="V1814" s="81" t="n"/>
      <c r="W1814" s="43" t="n"/>
    </row>
    <row r="1815">
      <c r="A1815" s="43" t="inlineStr">
        <is>
          <t>N11b</t>
        </is>
      </c>
      <c r="B1815" s="43" t="inlineStr"/>
      <c r="C1815" s="43" t="inlineStr">
        <is>
          <t>节段04</t>
        </is>
      </c>
      <c r="D1815" s="43" t="inlineStr">
        <is>
          <t>Q355D</t>
        </is>
      </c>
      <c r="E1815" s="43" t="n"/>
      <c r="F1815" s="43" t="n"/>
      <c r="G1815" s="43" t="n">
        <v>20</v>
      </c>
      <c r="H1815" s="79">
        <f>(E1815/1000)*(F1815/1000)*(G1815/1000)*7850</f>
        <v/>
      </c>
      <c r="I1815" s="43" t="n">
        <v>1</v>
      </c>
      <c r="J1815" s="80">
        <f>H1815*I1815</f>
        <v/>
      </c>
      <c r="K1815" s="43" t="inlineStr">
        <is>
          <t>来源页154</t>
        </is>
      </c>
      <c r="L1815" s="43">
        <f>A1815</f>
        <v/>
      </c>
      <c r="M1815" s="81" t="n"/>
      <c r="N1815" s="81" t="n"/>
      <c r="O1815" s="81" t="n"/>
      <c r="P1815" s="81" t="n"/>
      <c r="Q1815" s="81" t="n"/>
      <c r="R1815" s="81" t="n"/>
      <c r="S1815" s="81" t="n"/>
      <c r="T1815" s="81" t="n"/>
      <c r="U1815" s="81" t="n"/>
      <c r="V1815" s="81" t="n"/>
      <c r="W1815" s="43" t="n"/>
    </row>
    <row r="1816">
      <c r="A1816" s="43" t="inlineStr">
        <is>
          <t>N12a</t>
        </is>
      </c>
      <c r="B1816" s="43" t="inlineStr"/>
      <c r="C1816" s="43" t="inlineStr">
        <is>
          <t>节段04</t>
        </is>
      </c>
      <c r="D1816" s="43" t="inlineStr">
        <is>
          <t>Q355D</t>
        </is>
      </c>
      <c r="E1816" s="43" t="n">
        <v>7901</v>
      </c>
      <c r="F1816" s="43" t="n">
        <v>1200</v>
      </c>
      <c r="G1816" s="43" t="n">
        <v>20</v>
      </c>
      <c r="H1816" s="79">
        <f>(E1816/1000)*(F1816/1000)*(G1816/1000)*7850</f>
        <v/>
      </c>
      <c r="I1816" s="43" t="n">
        <v>1</v>
      </c>
      <c r="J1816" s="80">
        <f>H1816*I1816</f>
        <v/>
      </c>
      <c r="K1816" s="43" t="inlineStr">
        <is>
          <t>来源页154</t>
        </is>
      </c>
      <c r="L1816" s="43">
        <f>A1816</f>
        <v/>
      </c>
      <c r="M1816" s="81" t="n"/>
      <c r="N1816" s="81" t="n"/>
      <c r="O1816" s="81" t="n"/>
      <c r="P1816" s="81" t="n"/>
      <c r="Q1816" s="81" t="n"/>
      <c r="R1816" s="81" t="n"/>
      <c r="S1816" s="81" t="n"/>
      <c r="T1816" s="81" t="n"/>
      <c r="U1816" s="81" t="n"/>
      <c r="V1816" s="81" t="n"/>
      <c r="W1816" s="43" t="n"/>
    </row>
    <row r="1817">
      <c r="A1817" s="43" t="inlineStr">
        <is>
          <t>N12b</t>
        </is>
      </c>
      <c r="B1817" s="43" t="inlineStr"/>
      <c r="C1817" s="43" t="inlineStr">
        <is>
          <t>节段04</t>
        </is>
      </c>
      <c r="D1817" s="43" t="inlineStr">
        <is>
          <t>Q355D</t>
        </is>
      </c>
      <c r="E1817" s="43" t="n">
        <v>7101</v>
      </c>
      <c r="F1817" s="43" t="n">
        <v>1200</v>
      </c>
      <c r="G1817" s="43" t="n">
        <v>20</v>
      </c>
      <c r="H1817" s="79">
        <f>(E1817/1000)*(F1817/1000)*(G1817/1000)*7850</f>
        <v/>
      </c>
      <c r="I1817" s="43" t="n">
        <v>1</v>
      </c>
      <c r="J1817" s="80">
        <f>H1817*I1817</f>
        <v/>
      </c>
      <c r="K1817" s="43" t="inlineStr">
        <is>
          <t>来源页154</t>
        </is>
      </c>
      <c r="L1817" s="43">
        <f>A1817</f>
        <v/>
      </c>
      <c r="M1817" s="81" t="n"/>
      <c r="N1817" s="81" t="n"/>
      <c r="O1817" s="81" t="n"/>
      <c r="P1817" s="81" t="n"/>
      <c r="Q1817" s="81" t="n"/>
      <c r="R1817" s="81" t="n"/>
      <c r="S1817" s="81" t="n"/>
      <c r="T1817" s="81" t="n"/>
      <c r="U1817" s="81" t="n"/>
      <c r="V1817" s="81" t="n"/>
      <c r="W1817" s="43" t="n"/>
    </row>
    <row r="1818">
      <c r="A1818" s="43" t="inlineStr">
        <is>
          <t>N13</t>
        </is>
      </c>
      <c r="B1818" s="43" t="inlineStr"/>
      <c r="C1818" s="43" t="inlineStr">
        <is>
          <t>节段04</t>
        </is>
      </c>
      <c r="D1818" s="43" t="inlineStr">
        <is>
          <t>Q355D</t>
        </is>
      </c>
      <c r="E1818" s="43" t="n"/>
      <c r="F1818" s="43" t="n"/>
      <c r="G1818" s="43" t="n">
        <v>40</v>
      </c>
      <c r="H1818" s="79">
        <f>(E1818/1000)*(F1818/1000)*(G1818/1000)*7850</f>
        <v/>
      </c>
      <c r="I1818" s="43" t="n">
        <v>2</v>
      </c>
      <c r="J1818" s="80">
        <f>H1818*I1818</f>
        <v/>
      </c>
      <c r="K1818" s="43" t="inlineStr">
        <is>
          <t>来源页154</t>
        </is>
      </c>
      <c r="L1818" s="43">
        <f>A1818</f>
        <v/>
      </c>
      <c r="M1818" s="81" t="n"/>
      <c r="N1818" s="81" t="n"/>
      <c r="O1818" s="81" t="n"/>
      <c r="P1818" s="81" t="n"/>
      <c r="Q1818" s="81" t="n"/>
      <c r="R1818" s="81" t="n"/>
      <c r="S1818" s="81" t="n"/>
      <c r="T1818" s="81" t="n"/>
      <c r="U1818" s="81" t="n"/>
      <c r="V1818" s="81" t="n"/>
      <c r="W1818" s="43" t="n"/>
    </row>
    <row r="1819">
      <c r="A1819" s="43" t="inlineStr">
        <is>
          <t>N14</t>
        </is>
      </c>
      <c r="B1819" s="43" t="inlineStr"/>
      <c r="C1819" s="43" t="inlineStr">
        <is>
          <t>节段04</t>
        </is>
      </c>
      <c r="D1819" s="43" t="inlineStr">
        <is>
          <t>Q355D</t>
        </is>
      </c>
      <c r="E1819" s="43" t="n">
        <v>7301</v>
      </c>
      <c r="F1819" s="43" t="n">
        <v>1648</v>
      </c>
      <c r="G1819" s="43" t="n">
        <v>20</v>
      </c>
      <c r="H1819" s="79">
        <f>(E1819/1000)*(F1819/1000)*(G1819/1000)*7850</f>
        <v/>
      </c>
      <c r="I1819" s="43" t="n">
        <v>2</v>
      </c>
      <c r="J1819" s="80">
        <f>H1819*I1819</f>
        <v/>
      </c>
      <c r="K1819" s="43" t="inlineStr">
        <is>
          <t>来源页154</t>
        </is>
      </c>
      <c r="L1819" s="43">
        <f>A1819</f>
        <v/>
      </c>
      <c r="M1819" s="81" t="n"/>
      <c r="N1819" s="81" t="n"/>
      <c r="O1819" s="81" t="n"/>
      <c r="P1819" s="81" t="n"/>
      <c r="Q1819" s="81" t="n"/>
      <c r="R1819" s="81" t="n"/>
      <c r="S1819" s="81" t="n"/>
      <c r="T1819" s="81" t="n"/>
      <c r="U1819" s="81" t="n"/>
      <c r="V1819" s="81" t="n"/>
      <c r="W1819" s="43" t="n"/>
    </row>
    <row r="1820">
      <c r="A1820" s="43" t="inlineStr">
        <is>
          <t>N15</t>
        </is>
      </c>
      <c r="B1820" s="43" t="inlineStr"/>
      <c r="C1820" s="43" t="inlineStr">
        <is>
          <t>节段04</t>
        </is>
      </c>
      <c r="D1820" s="43" t="inlineStr">
        <is>
          <t>Q355D</t>
        </is>
      </c>
      <c r="E1820" s="43" t="n">
        <v>1580</v>
      </c>
      <c r="F1820" s="43" t="n">
        <v>1200</v>
      </c>
      <c r="G1820" s="43" t="n">
        <v>16</v>
      </c>
      <c r="H1820" s="79">
        <f>(E1820/1000)*(F1820/1000)*(G1820/1000)*7850</f>
        <v/>
      </c>
      <c r="I1820" s="43" t="n">
        <v>3</v>
      </c>
      <c r="J1820" s="80">
        <f>H1820*I1820</f>
        <v/>
      </c>
      <c r="K1820" s="43" t="inlineStr">
        <is>
          <t>来源页154</t>
        </is>
      </c>
      <c r="L1820" s="43">
        <f>A1820</f>
        <v/>
      </c>
      <c r="M1820" s="81" t="n"/>
      <c r="N1820" s="81" t="n"/>
      <c r="O1820" s="81" t="n"/>
      <c r="P1820" s="81" t="n"/>
      <c r="Q1820" s="81" t="n"/>
      <c r="R1820" s="81" t="n"/>
      <c r="S1820" s="81" t="n"/>
      <c r="T1820" s="81" t="n"/>
      <c r="U1820" s="81" t="n"/>
      <c r="V1820" s="81" t="n"/>
      <c r="W1820" s="43" t="n"/>
    </row>
    <row r="1821">
      <c r="A1821" s="43" t="inlineStr">
        <is>
          <t>N15a</t>
        </is>
      </c>
      <c r="B1821" s="43" t="inlineStr"/>
      <c r="C1821" s="43" t="inlineStr">
        <is>
          <t>节段04</t>
        </is>
      </c>
      <c r="D1821" s="43" t="inlineStr">
        <is>
          <t>Q355D</t>
        </is>
      </c>
      <c r="E1821" s="43" t="n">
        <v>1568</v>
      </c>
      <c r="F1821" s="43" t="n">
        <v>1200</v>
      </c>
      <c r="G1821" s="43" t="n">
        <v>16</v>
      </c>
      <c r="H1821" s="79">
        <f>(E1821/1000)*(F1821/1000)*(G1821/1000)*7850</f>
        <v/>
      </c>
      <c r="I1821" s="43" t="n">
        <v>2</v>
      </c>
      <c r="J1821" s="80">
        <f>H1821*I1821</f>
        <v/>
      </c>
      <c r="K1821" s="43" t="inlineStr">
        <is>
          <t>来源页154</t>
        </is>
      </c>
      <c r="L1821" s="43">
        <f>A1821</f>
        <v/>
      </c>
      <c r="M1821" s="81" t="n"/>
      <c r="N1821" s="81" t="n"/>
      <c r="O1821" s="81" t="n"/>
      <c r="P1821" s="81" t="n"/>
      <c r="Q1821" s="81" t="n"/>
      <c r="R1821" s="81" t="n"/>
      <c r="S1821" s="81" t="n"/>
      <c r="T1821" s="81" t="n"/>
      <c r="U1821" s="81" t="n"/>
      <c r="V1821" s="81" t="n"/>
      <c r="W1821" s="43" t="n"/>
    </row>
    <row r="1822">
      <c r="A1822" s="43" t="inlineStr">
        <is>
          <t>N15‘</t>
        </is>
      </c>
      <c r="B1822" s="43" t="inlineStr"/>
      <c r="C1822" s="43" t="inlineStr">
        <is>
          <t>节段04</t>
        </is>
      </c>
      <c r="D1822" s="43" t="inlineStr">
        <is>
          <t>Q355D</t>
        </is>
      </c>
      <c r="E1822" s="43" t="n">
        <v>2057</v>
      </c>
      <c r="F1822" s="43" t="n">
        <v>200</v>
      </c>
      <c r="G1822" s="43" t="n">
        <v>16</v>
      </c>
      <c r="H1822" s="79">
        <f>(E1822/1000)*(F1822/1000)*(G1822/1000)*7850</f>
        <v/>
      </c>
      <c r="I1822" s="43" t="n">
        <v>3</v>
      </c>
      <c r="J1822" s="80">
        <f>H1822*I1822</f>
        <v/>
      </c>
      <c r="K1822" s="43" t="inlineStr">
        <is>
          <t>来源页154</t>
        </is>
      </c>
      <c r="L1822" s="43">
        <f>A1822</f>
        <v/>
      </c>
      <c r="M1822" s="81" t="n"/>
      <c r="N1822" s="81" t="n"/>
      <c r="O1822" s="81" t="n"/>
      <c r="P1822" s="81" t="n"/>
      <c r="Q1822" s="81" t="n"/>
      <c r="R1822" s="81" t="n"/>
      <c r="S1822" s="81" t="n"/>
      <c r="T1822" s="81" t="n"/>
      <c r="U1822" s="81" t="n"/>
      <c r="V1822" s="81" t="n"/>
      <c r="W1822" s="43" t="n"/>
    </row>
    <row r="1823">
      <c r="A1823" s="43" t="inlineStr">
        <is>
          <t>N15b</t>
        </is>
      </c>
      <c r="B1823" s="43" t="inlineStr"/>
      <c r="C1823" s="43" t="inlineStr">
        <is>
          <t>节段04</t>
        </is>
      </c>
      <c r="D1823" s="43" t="inlineStr">
        <is>
          <t>Q355D</t>
        </is>
      </c>
      <c r="E1823" s="43" t="n">
        <v>1782</v>
      </c>
      <c r="F1823" s="43" t="n">
        <v>40</v>
      </c>
      <c r="G1823" s="43" t="n">
        <v>4</v>
      </c>
      <c r="H1823" s="79">
        <f>(E1823/1000)*(F1823/1000)*(G1823/1000)*7850</f>
        <v/>
      </c>
      <c r="I1823" s="43" t="n">
        <v>4</v>
      </c>
      <c r="J1823" s="80">
        <f>H1823*I1823</f>
        <v/>
      </c>
      <c r="K1823" s="43" t="inlineStr">
        <is>
          <t>来源页154</t>
        </is>
      </c>
      <c r="L1823" s="43">
        <f>A1823</f>
        <v/>
      </c>
      <c r="M1823" s="81" t="n"/>
      <c r="N1823" s="81" t="n"/>
      <c r="O1823" s="81" t="n"/>
      <c r="P1823" s="81" t="n"/>
      <c r="Q1823" s="81" t="n"/>
      <c r="R1823" s="81" t="n"/>
      <c r="S1823" s="81" t="n"/>
      <c r="T1823" s="81" t="n"/>
      <c r="U1823" s="81" t="n"/>
      <c r="V1823" s="81" t="n"/>
      <c r="W1823" s="43" t="n"/>
    </row>
    <row r="1824">
      <c r="A1824" s="43" t="inlineStr">
        <is>
          <t>N15c</t>
        </is>
      </c>
      <c r="B1824" s="43" t="inlineStr"/>
      <c r="C1824" s="43" t="inlineStr">
        <is>
          <t>节段04</t>
        </is>
      </c>
      <c r="D1824" s="43" t="inlineStr">
        <is>
          <t>Q355D</t>
        </is>
      </c>
      <c r="E1824" s="43" t="n">
        <v>600</v>
      </c>
      <c r="F1824" s="43" t="n">
        <v>400</v>
      </c>
      <c r="G1824" s="43" t="n">
        <v>16</v>
      </c>
      <c r="H1824" s="79">
        <f>(E1824/1000)*(F1824/1000)*(G1824/1000)*7850</f>
        <v/>
      </c>
      <c r="I1824" s="43" t="n">
        <v>4</v>
      </c>
      <c r="J1824" s="80">
        <f>H1824*I1824</f>
        <v/>
      </c>
      <c r="K1824" s="43" t="inlineStr">
        <is>
          <t>来源页154</t>
        </is>
      </c>
      <c r="L1824" s="43">
        <f>A1824</f>
        <v/>
      </c>
      <c r="M1824" s="81" t="n"/>
      <c r="N1824" s="81" t="n"/>
      <c r="O1824" s="81" t="n"/>
      <c r="P1824" s="81" t="n"/>
      <c r="Q1824" s="81" t="n"/>
      <c r="R1824" s="81" t="n"/>
      <c r="S1824" s="81" t="n"/>
      <c r="T1824" s="81" t="n"/>
      <c r="U1824" s="81" t="n"/>
      <c r="V1824" s="81" t="n"/>
      <c r="W1824" s="43" t="n"/>
    </row>
    <row r="1825">
      <c r="A1825" s="43" t="inlineStr">
        <is>
          <t>N21a</t>
        </is>
      </c>
      <c r="B1825" s="43" t="inlineStr"/>
      <c r="C1825" s="43" t="inlineStr">
        <is>
          <t>节段04</t>
        </is>
      </c>
      <c r="D1825" s="43" t="inlineStr">
        <is>
          <t>Q355D</t>
        </is>
      </c>
      <c r="E1825" s="43" t="n">
        <v>7903</v>
      </c>
      <c r="F1825" s="43" t="n">
        <v>1850</v>
      </c>
      <c r="G1825" s="43" t="n">
        <v>20</v>
      </c>
      <c r="H1825" s="79">
        <f>(E1825/1000)*(F1825/1000)*(G1825/1000)*7850</f>
        <v/>
      </c>
      <c r="I1825" s="43" t="n">
        <v>1</v>
      </c>
      <c r="J1825" s="80">
        <f>H1825*I1825</f>
        <v/>
      </c>
      <c r="K1825" s="43" t="inlineStr">
        <is>
          <t>来源页154</t>
        </is>
      </c>
      <c r="L1825" s="43">
        <f>A1825</f>
        <v/>
      </c>
      <c r="M1825" s="81" t="n"/>
      <c r="N1825" s="81" t="n"/>
      <c r="O1825" s="81" t="n"/>
      <c r="P1825" s="81" t="n"/>
      <c r="Q1825" s="81" t="n"/>
      <c r="R1825" s="81" t="n"/>
      <c r="S1825" s="81" t="n"/>
      <c r="T1825" s="81" t="n"/>
      <c r="U1825" s="81" t="n"/>
      <c r="V1825" s="81" t="n"/>
      <c r="W1825" s="43" t="n"/>
    </row>
    <row r="1826">
      <c r="A1826" s="43" t="inlineStr">
        <is>
          <t>N21b</t>
        </is>
      </c>
      <c r="B1826" s="43" t="inlineStr"/>
      <c r="C1826" s="43" t="inlineStr">
        <is>
          <t>节段04</t>
        </is>
      </c>
      <c r="D1826" s="43" t="inlineStr">
        <is>
          <t>Q355D</t>
        </is>
      </c>
      <c r="E1826" s="43" t="n">
        <v>7102</v>
      </c>
      <c r="F1826" s="43" t="n">
        <v>1850</v>
      </c>
      <c r="G1826" s="43" t="n">
        <v>20</v>
      </c>
      <c r="H1826" s="79">
        <f>(E1826/1000)*(F1826/1000)*(G1826/1000)*7850</f>
        <v/>
      </c>
      <c r="I1826" s="43" t="n">
        <v>1</v>
      </c>
      <c r="J1826" s="80">
        <f>H1826*I1826</f>
        <v/>
      </c>
      <c r="K1826" s="43" t="inlineStr">
        <is>
          <t>来源页154</t>
        </is>
      </c>
      <c r="L1826" s="43">
        <f>A1826</f>
        <v/>
      </c>
      <c r="M1826" s="81" t="n"/>
      <c r="N1826" s="81" t="n"/>
      <c r="O1826" s="81" t="n"/>
      <c r="P1826" s="81" t="n"/>
      <c r="Q1826" s="81" t="n"/>
      <c r="R1826" s="81" t="n"/>
      <c r="S1826" s="81" t="n"/>
      <c r="T1826" s="81" t="n"/>
      <c r="U1826" s="81" t="n"/>
      <c r="V1826" s="81" t="n"/>
      <c r="W1826" s="43" t="n"/>
    </row>
    <row r="1827">
      <c r="A1827" s="43" t="inlineStr">
        <is>
          <t>N22a</t>
        </is>
      </c>
      <c r="B1827" s="43" t="inlineStr"/>
      <c r="C1827" s="43" t="inlineStr">
        <is>
          <t>节段04</t>
        </is>
      </c>
      <c r="D1827" s="43" t="inlineStr">
        <is>
          <t>Q355D</t>
        </is>
      </c>
      <c r="E1827" s="43" t="n"/>
      <c r="F1827" s="43" t="n"/>
      <c r="G1827" s="43" t="n">
        <v>20</v>
      </c>
      <c r="H1827" s="79">
        <f>(E1827/1000)*(F1827/1000)*(G1827/1000)*7850</f>
        <v/>
      </c>
      <c r="I1827" s="43" t="n">
        <v>1</v>
      </c>
      <c r="J1827" s="80">
        <f>H1827*I1827</f>
        <v/>
      </c>
      <c r="K1827" s="43" t="inlineStr">
        <is>
          <t>来源页154</t>
        </is>
      </c>
      <c r="L1827" s="43">
        <f>A1827</f>
        <v/>
      </c>
      <c r="M1827" s="81" t="n"/>
      <c r="N1827" s="81" t="n"/>
      <c r="O1827" s="81" t="n"/>
      <c r="P1827" s="81" t="n"/>
      <c r="Q1827" s="81" t="n"/>
      <c r="R1827" s="81" t="n"/>
      <c r="S1827" s="81" t="n"/>
      <c r="T1827" s="81" t="n"/>
      <c r="U1827" s="81" t="n"/>
      <c r="V1827" s="81" t="n"/>
      <c r="W1827" s="43" t="n"/>
    </row>
    <row r="1828">
      <c r="A1828" s="43" t="inlineStr">
        <is>
          <t>N22b</t>
        </is>
      </c>
      <c r="B1828" s="43" t="inlineStr"/>
      <c r="C1828" s="43" t="inlineStr">
        <is>
          <t>节段04</t>
        </is>
      </c>
      <c r="D1828" s="43" t="inlineStr">
        <is>
          <t>Q355D</t>
        </is>
      </c>
      <c r="E1828" s="43" t="n"/>
      <c r="F1828" s="43" t="n"/>
      <c r="G1828" s="43" t="n">
        <v>20</v>
      </c>
      <c r="H1828" s="79">
        <f>(E1828/1000)*(F1828/1000)*(G1828/1000)*7850</f>
        <v/>
      </c>
      <c r="I1828" s="43" t="n">
        <v>1</v>
      </c>
      <c r="J1828" s="80">
        <f>H1828*I1828</f>
        <v/>
      </c>
      <c r="K1828" s="43" t="inlineStr">
        <is>
          <t>来源页154</t>
        </is>
      </c>
      <c r="L1828" s="43">
        <f>A1828</f>
        <v/>
      </c>
      <c r="M1828" s="81" t="n"/>
      <c r="N1828" s="81" t="n"/>
      <c r="O1828" s="81" t="n"/>
      <c r="P1828" s="81" t="n"/>
      <c r="Q1828" s="81" t="n"/>
      <c r="R1828" s="81" t="n"/>
      <c r="S1828" s="81" t="n"/>
      <c r="T1828" s="81" t="n"/>
      <c r="U1828" s="81" t="n"/>
      <c r="V1828" s="81" t="n"/>
      <c r="W1828" s="43" t="n"/>
    </row>
    <row r="1829">
      <c r="A1829" s="43" t="inlineStr">
        <is>
          <t>N23</t>
        </is>
      </c>
      <c r="B1829" s="43" t="inlineStr"/>
      <c r="C1829" s="43" t="inlineStr">
        <is>
          <t>节段04</t>
        </is>
      </c>
      <c r="D1829" s="43" t="inlineStr">
        <is>
          <t>Q355D</t>
        </is>
      </c>
      <c r="E1829" s="43" t="n"/>
      <c r="F1829" s="43" t="n"/>
      <c r="G1829" s="43" t="n">
        <v>40</v>
      </c>
      <c r="H1829" s="79">
        <f>(E1829/1000)*(F1829/1000)*(G1829/1000)*7850</f>
        <v/>
      </c>
      <c r="I1829" s="43" t="n">
        <v>2</v>
      </c>
      <c r="J1829" s="80">
        <f>H1829*I1829</f>
        <v/>
      </c>
      <c r="K1829" s="43" t="inlineStr">
        <is>
          <t>Z35钢；来源页154</t>
        </is>
      </c>
      <c r="L1829" s="43">
        <f>A1829</f>
        <v/>
      </c>
      <c r="M1829" s="81" t="n"/>
      <c r="N1829" s="81" t="n"/>
      <c r="O1829" s="81" t="n"/>
      <c r="P1829" s="81" t="n"/>
      <c r="Q1829" s="81" t="n"/>
      <c r="R1829" s="81" t="n"/>
      <c r="S1829" s="81" t="n"/>
      <c r="T1829" s="81" t="n"/>
      <c r="U1829" s="81" t="n"/>
      <c r="V1829" s="81" t="n"/>
      <c r="W1829" s="43" t="n"/>
    </row>
    <row r="1830">
      <c r="A1830" s="43" t="inlineStr">
        <is>
          <t>N24</t>
        </is>
      </c>
      <c r="B1830" s="43" t="inlineStr"/>
      <c r="C1830" s="43" t="inlineStr">
        <is>
          <t>节段04</t>
        </is>
      </c>
      <c r="D1830" s="43" t="inlineStr">
        <is>
          <t>Q355D</t>
        </is>
      </c>
      <c r="E1830" s="43" t="n">
        <v>7302</v>
      </c>
      <c r="F1830" s="43" t="n">
        <v>1470</v>
      </c>
      <c r="G1830" s="43" t="n">
        <v>24</v>
      </c>
      <c r="H1830" s="79">
        <f>(E1830/1000)*(F1830/1000)*(G1830/1000)*7850</f>
        <v/>
      </c>
      <c r="I1830" s="43" t="n">
        <v>2</v>
      </c>
      <c r="J1830" s="80">
        <f>H1830*I1830</f>
        <v/>
      </c>
      <c r="K1830" s="43" t="inlineStr">
        <is>
          <t>来源页154</t>
        </is>
      </c>
      <c r="L1830" s="43">
        <f>A1830</f>
        <v/>
      </c>
      <c r="M1830" s="81" t="n"/>
      <c r="N1830" s="81" t="n"/>
      <c r="O1830" s="81" t="n"/>
      <c r="P1830" s="81" t="n"/>
      <c r="Q1830" s="81" t="n"/>
      <c r="R1830" s="81" t="n"/>
      <c r="S1830" s="81" t="n"/>
      <c r="T1830" s="81" t="n"/>
      <c r="U1830" s="81" t="n"/>
      <c r="V1830" s="81" t="n"/>
      <c r="W1830" s="43" t="n"/>
    </row>
    <row r="1831">
      <c r="A1831" s="43" t="inlineStr">
        <is>
          <t>N25</t>
        </is>
      </c>
      <c r="B1831" s="43" t="inlineStr"/>
      <c r="C1831" s="43" t="inlineStr">
        <is>
          <t>节段04</t>
        </is>
      </c>
      <c r="D1831" s="43" t="inlineStr">
        <is>
          <t>Q355D</t>
        </is>
      </c>
      <c r="E1831" s="43" t="n">
        <v>1450</v>
      </c>
      <c r="F1831" s="43" t="n">
        <v>1200</v>
      </c>
      <c r="G1831" s="43" t="n">
        <v>16</v>
      </c>
      <c r="H1831" s="79">
        <f>(E1831/1000)*(F1831/1000)*(G1831/1000)*7850</f>
        <v/>
      </c>
      <c r="I1831" s="43" t="n">
        <v>3</v>
      </c>
      <c r="J1831" s="80">
        <f>H1831*I1831</f>
        <v/>
      </c>
      <c r="K1831" s="43" t="inlineStr">
        <is>
          <t>来源页154</t>
        </is>
      </c>
      <c r="L1831" s="43">
        <f>A1831</f>
        <v/>
      </c>
      <c r="M1831" s="81" t="n"/>
      <c r="N1831" s="81" t="n"/>
      <c r="O1831" s="81" t="n"/>
      <c r="P1831" s="81" t="n"/>
      <c r="Q1831" s="81" t="n"/>
      <c r="R1831" s="81" t="n"/>
      <c r="S1831" s="81" t="n"/>
      <c r="T1831" s="81" t="n"/>
      <c r="U1831" s="81" t="n"/>
      <c r="V1831" s="81" t="n"/>
      <c r="W1831" s="43" t="n"/>
    </row>
    <row r="1832">
      <c r="A1832" s="43" t="inlineStr">
        <is>
          <t>N25a</t>
        </is>
      </c>
      <c r="B1832" s="43" t="inlineStr"/>
      <c r="C1832" s="43" t="inlineStr">
        <is>
          <t>节段04</t>
        </is>
      </c>
      <c r="D1832" s="43" t="inlineStr">
        <is>
          <t>Q355D</t>
        </is>
      </c>
      <c r="E1832" s="43" t="n">
        <v>1450</v>
      </c>
      <c r="F1832" s="43" t="n">
        <v>1200</v>
      </c>
      <c r="G1832" s="43" t="n">
        <v>16</v>
      </c>
      <c r="H1832" s="79">
        <f>(E1832/1000)*(F1832/1000)*(G1832/1000)*7850</f>
        <v/>
      </c>
      <c r="I1832" s="43" t="n">
        <v>2</v>
      </c>
      <c r="J1832" s="80">
        <f>H1832*I1832</f>
        <v/>
      </c>
      <c r="K1832" s="43" t="inlineStr">
        <is>
          <t>来源页154</t>
        </is>
      </c>
      <c r="L1832" s="43">
        <f>A1832</f>
        <v/>
      </c>
      <c r="M1832" s="81" t="n"/>
      <c r="N1832" s="81" t="n"/>
      <c r="O1832" s="81" t="n"/>
      <c r="P1832" s="81" t="n"/>
      <c r="Q1832" s="81" t="n"/>
      <c r="R1832" s="81" t="n"/>
      <c r="S1832" s="81" t="n"/>
      <c r="T1832" s="81" t="n"/>
      <c r="U1832" s="81" t="n"/>
      <c r="V1832" s="81" t="n"/>
      <c r="W1832" s="43" t="n"/>
    </row>
    <row r="1833">
      <c r="A1833" s="43" t="inlineStr">
        <is>
          <t>N25'</t>
        </is>
      </c>
      <c r="B1833" s="43" t="inlineStr"/>
      <c r="C1833" s="43" t="inlineStr">
        <is>
          <t>节段04</t>
        </is>
      </c>
      <c r="D1833" s="43" t="inlineStr">
        <is>
          <t>Q355D</t>
        </is>
      </c>
      <c r="E1833" s="43" t="n">
        <v>1657</v>
      </c>
      <c r="F1833" s="43" t="n">
        <v>200</v>
      </c>
      <c r="G1833" s="43" t="n">
        <v>16</v>
      </c>
      <c r="H1833" s="79">
        <f>(E1833/1000)*(F1833/1000)*(G1833/1000)*7850</f>
        <v/>
      </c>
      <c r="I1833" s="43" t="n">
        <v>3</v>
      </c>
      <c r="J1833" s="80">
        <f>H1833*I1833</f>
        <v/>
      </c>
      <c r="K1833" s="43" t="inlineStr">
        <is>
          <t>来源页154</t>
        </is>
      </c>
      <c r="L1833" s="43">
        <f>A1833</f>
        <v/>
      </c>
      <c r="M1833" s="81" t="n"/>
      <c r="N1833" s="81" t="n"/>
      <c r="O1833" s="81" t="n"/>
      <c r="P1833" s="81" t="n"/>
      <c r="Q1833" s="81" t="n"/>
      <c r="R1833" s="81" t="n"/>
      <c r="S1833" s="81" t="n"/>
      <c r="T1833" s="81" t="n"/>
      <c r="U1833" s="81" t="n"/>
      <c r="V1833" s="81" t="n"/>
      <c r="W1833" s="43" t="n"/>
    </row>
    <row r="1834">
      <c r="A1834" s="43" t="inlineStr">
        <is>
          <t>N26a</t>
        </is>
      </c>
      <c r="B1834" s="43" t="inlineStr"/>
      <c r="C1834" s="43" t="inlineStr">
        <is>
          <t>节段04</t>
        </is>
      </c>
      <c r="D1834" s="43" t="inlineStr">
        <is>
          <t>Q355D</t>
        </is>
      </c>
      <c r="E1834" s="43" t="n">
        <v>7903</v>
      </c>
      <c r="F1834" s="43" t="n">
        <v>240</v>
      </c>
      <c r="G1834" s="43" t="n">
        <v>20</v>
      </c>
      <c r="H1834" s="79">
        <f>(E1834/1000)*(F1834/1000)*(G1834/1000)*7850</f>
        <v/>
      </c>
      <c r="I1834" s="43" t="n">
        <v>4</v>
      </c>
      <c r="J1834" s="80">
        <f>H1834*I1834</f>
        <v/>
      </c>
      <c r="K1834" s="43" t="inlineStr">
        <is>
          <t>来源页154</t>
        </is>
      </c>
      <c r="L1834" s="43">
        <f>A1834</f>
        <v/>
      </c>
      <c r="M1834" s="81" t="n"/>
      <c r="N1834" s="81" t="n"/>
      <c r="O1834" s="81" t="n"/>
      <c r="P1834" s="81" t="n"/>
      <c r="Q1834" s="81" t="n"/>
      <c r="R1834" s="81" t="n"/>
      <c r="S1834" s="81" t="n"/>
      <c r="T1834" s="81" t="n"/>
      <c r="U1834" s="81" t="n"/>
      <c r="V1834" s="81" t="n"/>
      <c r="W1834" s="43" t="n"/>
    </row>
    <row r="1835">
      <c r="A1835" s="43" t="inlineStr">
        <is>
          <t>N26b</t>
        </is>
      </c>
      <c r="B1835" s="43" t="inlineStr"/>
      <c r="C1835" s="43" t="inlineStr">
        <is>
          <t>节段04</t>
        </is>
      </c>
      <c r="D1835" s="43" t="inlineStr">
        <is>
          <t>Q355D</t>
        </is>
      </c>
      <c r="E1835" s="43" t="n">
        <v>7102</v>
      </c>
      <c r="F1835" s="43" t="n">
        <v>240</v>
      </c>
      <c r="G1835" s="43" t="n">
        <v>20</v>
      </c>
      <c r="H1835" s="79">
        <f>(E1835/1000)*(F1835/1000)*(G1835/1000)*7850</f>
        <v/>
      </c>
      <c r="I1835" s="43" t="n">
        <v>4</v>
      </c>
      <c r="J1835" s="80">
        <f>H1835*I1835</f>
        <v/>
      </c>
      <c r="K1835" s="43" t="inlineStr">
        <is>
          <t>来源页154</t>
        </is>
      </c>
      <c r="L1835" s="43">
        <f>A1835</f>
        <v/>
      </c>
      <c r="M1835" s="81" t="n"/>
      <c r="N1835" s="81" t="n"/>
      <c r="O1835" s="81" t="n"/>
      <c r="P1835" s="81" t="n"/>
      <c r="Q1835" s="81" t="n"/>
      <c r="R1835" s="81" t="n"/>
      <c r="S1835" s="81" t="n"/>
      <c r="T1835" s="81" t="n"/>
      <c r="U1835" s="81" t="n"/>
      <c r="V1835" s="81" t="n"/>
      <c r="W1835" s="43" t="n"/>
    </row>
    <row r="1836">
      <c r="A1836" s="43" t="inlineStr">
        <is>
          <t>N26c</t>
        </is>
      </c>
      <c r="B1836" s="43" t="inlineStr"/>
      <c r="C1836" s="43" t="inlineStr">
        <is>
          <t>节段04</t>
        </is>
      </c>
      <c r="D1836" s="43" t="inlineStr">
        <is>
          <t>Q355D</t>
        </is>
      </c>
      <c r="E1836" s="43" t="n">
        <v>15005</v>
      </c>
      <c r="F1836" s="43" t="n">
        <v>170</v>
      </c>
      <c r="G1836" s="43" t="n">
        <v>14</v>
      </c>
      <c r="H1836" s="79">
        <f>(E1836/1000)*(F1836/1000)*(G1836/1000)*7850</f>
        <v/>
      </c>
      <c r="I1836" s="43" t="n">
        <v>1</v>
      </c>
      <c r="J1836" s="80">
        <f>H1836*I1836</f>
        <v/>
      </c>
      <c r="K1836" s="43" t="inlineStr">
        <is>
          <t>来源页154</t>
        </is>
      </c>
      <c r="L1836" s="43">
        <f>A1836</f>
        <v/>
      </c>
      <c r="M1836" s="81" t="n"/>
      <c r="N1836" s="81" t="n"/>
      <c r="O1836" s="81" t="n"/>
      <c r="P1836" s="81" t="n"/>
      <c r="Q1836" s="81" t="n"/>
      <c r="R1836" s="81" t="n"/>
      <c r="S1836" s="81" t="n"/>
      <c r="T1836" s="81" t="n"/>
      <c r="U1836" s="81" t="n"/>
      <c r="V1836" s="81" t="n"/>
      <c r="W1836" s="43" t="n"/>
    </row>
    <row r="1837">
      <c r="A1837" s="43" t="inlineStr">
        <is>
          <t>N31</t>
        </is>
      </c>
      <c r="B1837" s="43" t="inlineStr"/>
      <c r="C1837" s="43" t="inlineStr">
        <is>
          <t>节段04</t>
        </is>
      </c>
      <c r="D1837" s="43" t="inlineStr">
        <is>
          <t>Q355D</t>
        </is>
      </c>
      <c r="E1837" s="43" t="n">
        <v>8788</v>
      </c>
      <c r="F1837" s="43" t="n">
        <v>900</v>
      </c>
      <c r="G1837" s="43" t="n">
        <v>36</v>
      </c>
      <c r="H1837" s="79">
        <f>(E1837/1000)*(F1837/1000)*(G1837/1000)*7850</f>
        <v/>
      </c>
      <c r="I1837" s="43" t="n">
        <v>2</v>
      </c>
      <c r="J1837" s="80">
        <f>H1837*I1837</f>
        <v/>
      </c>
      <c r="K1837" s="43" t="inlineStr">
        <is>
          <t>来源页154</t>
        </is>
      </c>
      <c r="L1837" s="43">
        <f>A1837</f>
        <v/>
      </c>
      <c r="M1837" s="81" t="n"/>
      <c r="N1837" s="81" t="n"/>
      <c r="O1837" s="81" t="n"/>
      <c r="P1837" s="81" t="n"/>
      <c r="Q1837" s="81" t="n"/>
      <c r="R1837" s="81" t="n"/>
      <c r="S1837" s="81" t="n"/>
      <c r="T1837" s="81" t="n"/>
      <c r="U1837" s="81" t="n"/>
      <c r="V1837" s="81" t="n"/>
      <c r="W1837" s="43" t="n"/>
    </row>
    <row r="1838">
      <c r="A1838" s="43" t="inlineStr">
        <is>
          <t>N32</t>
        </is>
      </c>
      <c r="B1838" s="43" t="inlineStr"/>
      <c r="C1838" s="43" t="inlineStr">
        <is>
          <t>节段04</t>
        </is>
      </c>
      <c r="D1838" s="43" t="inlineStr">
        <is>
          <t>Q355D</t>
        </is>
      </c>
      <c r="E1838" s="43" t="n">
        <v>13688</v>
      </c>
      <c r="F1838" s="43" t="n">
        <v>1200</v>
      </c>
      <c r="G1838" s="43" t="n">
        <v>32</v>
      </c>
      <c r="H1838" s="79">
        <f>(E1838/1000)*(F1838/1000)*(G1838/1000)*7850</f>
        <v/>
      </c>
      <c r="I1838" s="43" t="n">
        <v>1</v>
      </c>
      <c r="J1838" s="80">
        <f>H1838*I1838</f>
        <v/>
      </c>
      <c r="K1838" s="43" t="inlineStr">
        <is>
          <t>来源页154</t>
        </is>
      </c>
      <c r="L1838" s="43">
        <f>A1838</f>
        <v/>
      </c>
      <c r="M1838" s="81" t="n"/>
      <c r="N1838" s="81" t="n"/>
      <c r="O1838" s="81" t="n"/>
      <c r="P1838" s="81" t="n"/>
      <c r="Q1838" s="81" t="n"/>
      <c r="R1838" s="81" t="n"/>
      <c r="S1838" s="81" t="n"/>
      <c r="T1838" s="81" t="n"/>
      <c r="U1838" s="81" t="n"/>
      <c r="V1838" s="81" t="n"/>
      <c r="W1838" s="43" t="n"/>
    </row>
    <row r="1839">
      <c r="A1839" s="43" t="inlineStr">
        <is>
          <t>N33</t>
        </is>
      </c>
      <c r="B1839" s="43" t="inlineStr"/>
      <c r="C1839" s="43" t="inlineStr">
        <is>
          <t>节段04</t>
        </is>
      </c>
      <c r="D1839" s="43" t="inlineStr">
        <is>
          <t>Q355D</t>
        </is>
      </c>
      <c r="E1839" s="43" t="n">
        <v>12288</v>
      </c>
      <c r="F1839" s="43" t="n">
        <v>240</v>
      </c>
      <c r="G1839" s="43" t="n">
        <v>24</v>
      </c>
      <c r="H1839" s="79">
        <f>(E1839/1000)*(F1839/1000)*(G1839/1000)*7850</f>
        <v/>
      </c>
      <c r="I1839" s="43" t="n">
        <v>2</v>
      </c>
      <c r="J1839" s="80">
        <f>H1839*I1839</f>
        <v/>
      </c>
      <c r="K1839" s="43" t="inlineStr">
        <is>
          <t>来源页154</t>
        </is>
      </c>
      <c r="L1839" s="43">
        <f>A1839</f>
        <v/>
      </c>
      <c r="M1839" s="81" t="n"/>
      <c r="N1839" s="81" t="n"/>
      <c r="O1839" s="81" t="n"/>
      <c r="P1839" s="81" t="n"/>
      <c r="Q1839" s="81" t="n"/>
      <c r="R1839" s="81" t="n"/>
      <c r="S1839" s="81" t="n"/>
      <c r="T1839" s="81" t="n"/>
      <c r="U1839" s="81" t="n"/>
      <c r="V1839" s="81" t="n"/>
      <c r="W1839" s="43" t="n"/>
    </row>
    <row r="1840">
      <c r="A1840" s="43" t="inlineStr">
        <is>
          <t>N41</t>
        </is>
      </c>
      <c r="B1840" s="43" t="inlineStr"/>
      <c r="C1840" s="43" t="inlineStr">
        <is>
          <t>节段04</t>
        </is>
      </c>
      <c r="D1840" s="43" t="inlineStr">
        <is>
          <t>Q355D</t>
        </is>
      </c>
      <c r="E1840" s="43" t="n">
        <v>6225</v>
      </c>
      <c r="F1840" s="43" t="n">
        <v>1200</v>
      </c>
      <c r="G1840" s="43" t="n">
        <v>36</v>
      </c>
      <c r="H1840" s="79">
        <f>(E1840/1000)*(F1840/1000)*(G1840/1000)*7850</f>
        <v/>
      </c>
      <c r="I1840" s="43" t="n">
        <v>1</v>
      </c>
      <c r="J1840" s="80">
        <f>H1840*I1840</f>
        <v/>
      </c>
      <c r="K1840" s="43" t="inlineStr">
        <is>
          <t>来源页154</t>
        </is>
      </c>
      <c r="L1840" s="43">
        <f>A1840</f>
        <v/>
      </c>
      <c r="M1840" s="81" t="n"/>
      <c r="N1840" s="81" t="n"/>
      <c r="O1840" s="81" t="n"/>
      <c r="P1840" s="81" t="n"/>
      <c r="Q1840" s="81" t="n"/>
      <c r="R1840" s="81" t="n"/>
      <c r="S1840" s="81" t="n"/>
      <c r="T1840" s="81" t="n"/>
      <c r="U1840" s="81" t="n"/>
      <c r="V1840" s="81" t="n"/>
      <c r="W1840" s="43" t="n"/>
    </row>
    <row r="1841">
      <c r="A1841" s="43" t="inlineStr">
        <is>
          <t>N41a</t>
        </is>
      </c>
      <c r="B1841" s="43" t="inlineStr"/>
      <c r="C1841" s="43" t="inlineStr">
        <is>
          <t>节段04</t>
        </is>
      </c>
      <c r="D1841" s="43" t="inlineStr">
        <is>
          <t>Q355D</t>
        </is>
      </c>
      <c r="E1841" s="43" t="n">
        <v>6225</v>
      </c>
      <c r="F1841" s="43" t="n">
        <v>1200</v>
      </c>
      <c r="G1841" s="43" t="n">
        <v>36</v>
      </c>
      <c r="H1841" s="79">
        <f>(E1841/1000)*(F1841/1000)*(G1841/1000)*7850</f>
        <v/>
      </c>
      <c r="I1841" s="43" t="n">
        <v>1</v>
      </c>
      <c r="J1841" s="80">
        <f>H1841*I1841</f>
        <v/>
      </c>
      <c r="K1841" s="43" t="inlineStr">
        <is>
          <t>来源页154</t>
        </is>
      </c>
      <c r="L1841" s="43">
        <f>A1841</f>
        <v/>
      </c>
      <c r="M1841" s="81" t="n"/>
      <c r="N1841" s="81" t="n"/>
      <c r="O1841" s="81" t="n"/>
      <c r="P1841" s="81" t="n"/>
      <c r="Q1841" s="81" t="n"/>
      <c r="R1841" s="81" t="n"/>
      <c r="S1841" s="81" t="n"/>
      <c r="T1841" s="81" t="n"/>
      <c r="U1841" s="81" t="n"/>
      <c r="V1841" s="81" t="n"/>
      <c r="W1841" s="43" t="n"/>
    </row>
    <row r="1842">
      <c r="A1842" s="43" t="inlineStr">
        <is>
          <t>N42</t>
        </is>
      </c>
      <c r="B1842" s="43" t="inlineStr"/>
      <c r="C1842" s="43" t="inlineStr">
        <is>
          <t>节段04</t>
        </is>
      </c>
      <c r="D1842" s="43" t="inlineStr">
        <is>
          <t>Q355D</t>
        </is>
      </c>
      <c r="E1842" s="43" t="n">
        <v>4225</v>
      </c>
      <c r="F1842" s="43" t="n">
        <v>1360</v>
      </c>
      <c r="G1842" s="43" t="n">
        <v>36</v>
      </c>
      <c r="H1842" s="79">
        <f>(E1842/1000)*(F1842/1000)*(G1842/1000)*7850</f>
        <v/>
      </c>
      <c r="I1842" s="43" t="n">
        <v>2</v>
      </c>
      <c r="J1842" s="80">
        <f>H1842*I1842</f>
        <v/>
      </c>
      <c r="K1842" s="43" t="inlineStr">
        <is>
          <t>来源页154</t>
        </is>
      </c>
      <c r="L1842" s="43">
        <f>A1842</f>
        <v/>
      </c>
      <c r="M1842" s="81" t="n"/>
      <c r="N1842" s="81" t="n"/>
      <c r="O1842" s="81" t="n"/>
      <c r="P1842" s="81" t="n"/>
      <c r="Q1842" s="81" t="n"/>
      <c r="R1842" s="81" t="n"/>
      <c r="S1842" s="81" t="n"/>
      <c r="T1842" s="81" t="n"/>
      <c r="U1842" s="81" t="n"/>
      <c r="V1842" s="81" t="n"/>
      <c r="W1842" s="43" t="n"/>
    </row>
    <row r="1843">
      <c r="A1843" s="43" t="inlineStr">
        <is>
          <t>N43</t>
        </is>
      </c>
      <c r="B1843" s="43" t="inlineStr"/>
      <c r="C1843" s="43" t="inlineStr">
        <is>
          <t>节段04</t>
        </is>
      </c>
      <c r="D1843" s="43" t="inlineStr">
        <is>
          <t>Q355D</t>
        </is>
      </c>
      <c r="E1843" s="43" t="n">
        <v>4225</v>
      </c>
      <c r="F1843" s="43" t="n">
        <v>320</v>
      </c>
      <c r="G1843" s="43" t="n">
        <v>32</v>
      </c>
      <c r="H1843" s="79">
        <f>(E1843/1000)*(F1843/1000)*(G1843/1000)*7850</f>
        <v/>
      </c>
      <c r="I1843" s="43" t="n">
        <v>2</v>
      </c>
      <c r="J1843" s="80">
        <f>H1843*I1843</f>
        <v/>
      </c>
      <c r="K1843" s="43" t="inlineStr">
        <is>
          <t>来源页154</t>
        </is>
      </c>
      <c r="L1843" s="43">
        <f>A1843</f>
        <v/>
      </c>
      <c r="M1843" s="81" t="n"/>
      <c r="N1843" s="81" t="n"/>
      <c r="O1843" s="81" t="n"/>
      <c r="P1843" s="81" t="n"/>
      <c r="Q1843" s="81" t="n"/>
      <c r="R1843" s="81" t="n"/>
      <c r="S1843" s="81" t="n"/>
      <c r="T1843" s="81" t="n"/>
      <c r="U1843" s="81" t="n"/>
      <c r="V1843" s="81" t="n"/>
      <c r="W1843" s="43" t="n"/>
    </row>
    <row r="1844">
      <c r="A1844" s="43" t="inlineStr">
        <is>
          <t>N43a</t>
        </is>
      </c>
      <c r="B1844" s="43" t="inlineStr"/>
      <c r="C1844" s="43" t="inlineStr">
        <is>
          <t>节段04</t>
        </is>
      </c>
      <c r="D1844" s="43" t="inlineStr">
        <is>
          <t>Q355D</t>
        </is>
      </c>
      <c r="E1844" s="43" t="n">
        <v>5525</v>
      </c>
      <c r="F1844" s="43" t="n">
        <v>320</v>
      </c>
      <c r="G1844" s="43" t="n">
        <v>32</v>
      </c>
      <c r="H1844" s="79">
        <f>(E1844/1000)*(F1844/1000)*(G1844/1000)*7850</f>
        <v/>
      </c>
      <c r="I1844" s="43" t="n">
        <v>1</v>
      </c>
      <c r="J1844" s="80">
        <f>H1844*I1844</f>
        <v/>
      </c>
      <c r="K1844" s="43" t="inlineStr">
        <is>
          <t>来源页154</t>
        </is>
      </c>
      <c r="L1844" s="43">
        <f>A1844</f>
        <v/>
      </c>
      <c r="M1844" s="81" t="n"/>
      <c r="N1844" s="81" t="n"/>
      <c r="O1844" s="81" t="n"/>
      <c r="P1844" s="81" t="n"/>
      <c r="Q1844" s="81" t="n"/>
      <c r="R1844" s="81" t="n"/>
      <c r="S1844" s="81" t="n"/>
      <c r="T1844" s="81" t="n"/>
      <c r="U1844" s="81" t="n"/>
      <c r="V1844" s="81" t="n"/>
      <c r="W1844" s="43" t="n"/>
    </row>
    <row r="1845">
      <c r="A1845" s="43" t="inlineStr">
        <is>
          <t>N43b</t>
        </is>
      </c>
      <c r="B1845" s="43" t="inlineStr"/>
      <c r="C1845" s="43" t="inlineStr">
        <is>
          <t>节段04</t>
        </is>
      </c>
      <c r="D1845" s="43" t="inlineStr">
        <is>
          <t>Q355D</t>
        </is>
      </c>
      <c r="E1845" s="43" t="n">
        <v>5525</v>
      </c>
      <c r="F1845" s="43" t="n">
        <v>320</v>
      </c>
      <c r="G1845" s="43" t="n">
        <v>32</v>
      </c>
      <c r="H1845" s="79">
        <f>(E1845/1000)*(F1845/1000)*(G1845/1000)*7850</f>
        <v/>
      </c>
      <c r="I1845" s="43" t="n">
        <v>1</v>
      </c>
      <c r="J1845" s="80">
        <f>H1845*I1845</f>
        <v/>
      </c>
      <c r="K1845" s="43" t="inlineStr">
        <is>
          <t>来源页154</t>
        </is>
      </c>
      <c r="L1845" s="43">
        <f>A1845</f>
        <v/>
      </c>
      <c r="M1845" s="81" t="n"/>
      <c r="N1845" s="81" t="n"/>
      <c r="O1845" s="81" t="n"/>
      <c r="P1845" s="81" t="n"/>
      <c r="Q1845" s="81" t="n"/>
      <c r="R1845" s="81" t="n"/>
      <c r="S1845" s="81" t="n"/>
      <c r="T1845" s="81" t="n"/>
      <c r="U1845" s="81" t="n"/>
      <c r="V1845" s="81" t="n"/>
      <c r="W1845" s="43" t="n"/>
    </row>
    <row r="1846">
      <c r="A1846" s="43" t="inlineStr">
        <is>
          <t>N44</t>
        </is>
      </c>
      <c r="B1846" s="43" t="inlineStr"/>
      <c r="C1846" s="43" t="inlineStr">
        <is>
          <t>节段04</t>
        </is>
      </c>
      <c r="D1846" s="43" t="inlineStr">
        <is>
          <t>Q355D</t>
        </is>
      </c>
      <c r="E1846" s="43" t="n">
        <v>1200</v>
      </c>
      <c r="F1846" s="43" t="n">
        <v>1200</v>
      </c>
      <c r="G1846" s="43" t="n">
        <v>16</v>
      </c>
      <c r="H1846" s="79">
        <f>(E1846/1000)*(F1846/1000)*(G1846/1000)*7850</f>
        <v/>
      </c>
      <c r="I1846" s="43" t="n">
        <v>2</v>
      </c>
      <c r="J1846" s="80">
        <f>H1846*I1846</f>
        <v/>
      </c>
      <c r="K1846" s="43" t="inlineStr">
        <is>
          <t>来源页154</t>
        </is>
      </c>
      <c r="L1846" s="43">
        <f>A1846</f>
        <v/>
      </c>
      <c r="M1846" s="81" t="n"/>
      <c r="N1846" s="81" t="n"/>
      <c r="O1846" s="81" t="n"/>
      <c r="P1846" s="81" t="n"/>
      <c r="Q1846" s="81" t="n"/>
      <c r="R1846" s="81" t="n"/>
      <c r="S1846" s="81" t="n"/>
      <c r="T1846" s="81" t="n"/>
      <c r="U1846" s="81" t="n"/>
      <c r="V1846" s="81" t="n"/>
      <c r="W1846" s="43" t="n"/>
    </row>
    <row r="1847">
      <c r="A1847" s="43" t="inlineStr">
        <is>
          <t>N51</t>
        </is>
      </c>
      <c r="B1847" s="43" t="inlineStr"/>
      <c r="C1847" s="43" t="inlineStr">
        <is>
          <t>节段04</t>
        </is>
      </c>
      <c r="D1847" s="43" t="inlineStr">
        <is>
          <t>Q355D</t>
        </is>
      </c>
      <c r="E1847" s="43" t="n">
        <v>4322</v>
      </c>
      <c r="F1847" s="43" t="n">
        <v>900</v>
      </c>
      <c r="G1847" s="43" t="n">
        <v>36</v>
      </c>
      <c r="H1847" s="79">
        <f>(E1847/1000)*(F1847/1000)*(G1847/1000)*7850</f>
        <v/>
      </c>
      <c r="I1847" s="43" t="n">
        <v>2</v>
      </c>
      <c r="J1847" s="80">
        <f>H1847*I1847</f>
        <v/>
      </c>
      <c r="K1847" s="43" t="inlineStr">
        <is>
          <t>来源页154</t>
        </is>
      </c>
      <c r="L1847" s="43">
        <f>A1847</f>
        <v/>
      </c>
      <c r="M1847" s="81" t="n"/>
      <c r="N1847" s="81" t="n"/>
      <c r="O1847" s="81" t="n"/>
      <c r="P1847" s="81" t="n"/>
      <c r="Q1847" s="81" t="n"/>
      <c r="R1847" s="81" t="n"/>
      <c r="S1847" s="81" t="n"/>
      <c r="T1847" s="81" t="n"/>
      <c r="U1847" s="81" t="n"/>
      <c r="V1847" s="81" t="n"/>
      <c r="W1847" s="43" t="n"/>
    </row>
    <row r="1848">
      <c r="A1848" s="43" t="inlineStr">
        <is>
          <t>N52</t>
        </is>
      </c>
      <c r="B1848" s="43" t="inlineStr"/>
      <c r="C1848" s="43" t="inlineStr">
        <is>
          <t>节段04</t>
        </is>
      </c>
      <c r="D1848" s="43" t="inlineStr">
        <is>
          <t>Q355D</t>
        </is>
      </c>
      <c r="E1848" s="43" t="n">
        <v>6922</v>
      </c>
      <c r="F1848" s="43" t="n">
        <v>1200</v>
      </c>
      <c r="G1848" s="43" t="n">
        <v>32</v>
      </c>
      <c r="H1848" s="79">
        <f>(E1848/1000)*(F1848/1000)*(G1848/1000)*7850</f>
        <v/>
      </c>
      <c r="I1848" s="43" t="n">
        <v>1</v>
      </c>
      <c r="J1848" s="80">
        <f>H1848*I1848</f>
        <v/>
      </c>
      <c r="K1848" s="43" t="inlineStr">
        <is>
          <t>来源页154</t>
        </is>
      </c>
      <c r="L1848" s="43">
        <f>A1848</f>
        <v/>
      </c>
      <c r="M1848" s="81" t="n"/>
      <c r="N1848" s="81" t="n"/>
      <c r="O1848" s="81" t="n"/>
      <c r="P1848" s="81" t="n"/>
      <c r="Q1848" s="81" t="n"/>
      <c r="R1848" s="81" t="n"/>
      <c r="S1848" s="81" t="n"/>
      <c r="T1848" s="81" t="n"/>
      <c r="U1848" s="81" t="n"/>
      <c r="V1848" s="81" t="n"/>
      <c r="W1848" s="43" t="n"/>
    </row>
    <row r="1849">
      <c r="A1849" s="43" t="inlineStr">
        <is>
          <t>N53</t>
        </is>
      </c>
      <c r="B1849" s="43" t="inlineStr"/>
      <c r="C1849" s="43" t="inlineStr">
        <is>
          <t>节段04</t>
        </is>
      </c>
      <c r="D1849" s="43" t="inlineStr">
        <is>
          <t>Q355D</t>
        </is>
      </c>
      <c r="E1849" s="43" t="n">
        <v>5522</v>
      </c>
      <c r="F1849" s="43" t="n">
        <v>240</v>
      </c>
      <c r="G1849" s="43" t="n">
        <v>24</v>
      </c>
      <c r="H1849" s="79">
        <f>(E1849/1000)*(F1849/1000)*(G1849/1000)*7850</f>
        <v/>
      </c>
      <c r="I1849" s="43" t="n">
        <v>2</v>
      </c>
      <c r="J1849" s="80">
        <f>H1849*I1849</f>
        <v/>
      </c>
      <c r="K1849" s="43" t="inlineStr">
        <is>
          <t>来源页154</t>
        </is>
      </c>
      <c r="L1849" s="43">
        <f>A1849</f>
        <v/>
      </c>
      <c r="M1849" s="81" t="n"/>
      <c r="N1849" s="81" t="n"/>
      <c r="O1849" s="81" t="n"/>
      <c r="P1849" s="81" t="n"/>
      <c r="Q1849" s="81" t="n"/>
      <c r="R1849" s="81" t="n"/>
      <c r="S1849" s="81" t="n"/>
      <c r="T1849" s="81" t="n"/>
      <c r="U1849" s="81" t="n"/>
      <c r="V1849" s="81" t="n"/>
      <c r="W1849" s="43" t="n"/>
    </row>
    <row r="1850">
      <c r="A1850" s="43" t="inlineStr">
        <is>
          <t>N54</t>
        </is>
      </c>
      <c r="B1850" s="43" t="inlineStr"/>
      <c r="C1850" s="43" t="inlineStr">
        <is>
          <t>节段04</t>
        </is>
      </c>
      <c r="D1850" s="43" t="inlineStr">
        <is>
          <t>Q355D</t>
        </is>
      </c>
      <c r="E1850" s="43" t="n">
        <v>2300</v>
      </c>
      <c r="F1850" s="43" t="n">
        <v>320</v>
      </c>
      <c r="G1850" s="43" t="n">
        <v>32</v>
      </c>
      <c r="H1850" s="79">
        <f>(E1850/1000)*(F1850/1000)*(G1850/1000)*7850</f>
        <v/>
      </c>
      <c r="I1850" s="43" t="n">
        <v>2</v>
      </c>
      <c r="J1850" s="80">
        <f>H1850*I1850</f>
        <v/>
      </c>
      <c r="K1850" s="43" t="inlineStr">
        <is>
          <t>来源页154</t>
        </is>
      </c>
      <c r="L1850" s="43">
        <f>A1850</f>
        <v/>
      </c>
      <c r="M1850" s="81" t="n"/>
      <c r="N1850" s="81" t="n"/>
      <c r="O1850" s="81" t="n"/>
      <c r="P1850" s="81" t="n"/>
      <c r="Q1850" s="81" t="n"/>
      <c r="R1850" s="81" t="n"/>
      <c r="S1850" s="81" t="n"/>
      <c r="T1850" s="81" t="n"/>
      <c r="U1850" s="81" t="n"/>
      <c r="V1850" s="81" t="n"/>
      <c r="W1850" s="43" t="n"/>
    </row>
    <row r="1851">
      <c r="A1851" s="43" t="inlineStr">
        <is>
          <t>N61</t>
        </is>
      </c>
      <c r="B1851" s="43" t="inlineStr"/>
      <c r="C1851" s="43" t="inlineStr">
        <is>
          <t>节段04</t>
        </is>
      </c>
      <c r="D1851" s="43" t="inlineStr">
        <is>
          <t>Q355D</t>
        </is>
      </c>
      <c r="E1851" s="43" t="n">
        <v>1580</v>
      </c>
      <c r="F1851" s="43" t="n">
        <v>610</v>
      </c>
      <c r="G1851" s="43" t="n">
        <v>14</v>
      </c>
      <c r="H1851" s="79">
        <f>(E1851/1000)*(F1851/1000)*(G1851/1000)*7850</f>
        <v/>
      </c>
      <c r="I1851" s="43" t="n">
        <v>3</v>
      </c>
      <c r="J1851" s="80">
        <f>H1851*I1851</f>
        <v/>
      </c>
      <c r="K1851" s="43" t="inlineStr">
        <is>
          <t>来源页154</t>
        </is>
      </c>
      <c r="L1851" s="43">
        <f>A1851</f>
        <v/>
      </c>
      <c r="M1851" s="81" t="n"/>
      <c r="N1851" s="81" t="n"/>
      <c r="O1851" s="81" t="n"/>
      <c r="P1851" s="81" t="n"/>
      <c r="Q1851" s="81" t="n"/>
      <c r="R1851" s="81" t="n"/>
      <c r="S1851" s="81" t="n"/>
      <c r="T1851" s="81" t="n"/>
      <c r="U1851" s="81" t="n"/>
      <c r="V1851" s="81" t="n"/>
      <c r="W1851" s="43" t="n"/>
    </row>
    <row r="1852">
      <c r="A1852" s="43" t="inlineStr">
        <is>
          <t>N61a</t>
        </is>
      </c>
      <c r="B1852" s="43" t="inlineStr"/>
      <c r="C1852" s="43" t="inlineStr">
        <is>
          <t>节段04</t>
        </is>
      </c>
      <c r="D1852" s="43" t="inlineStr">
        <is>
          <t>Q355D</t>
        </is>
      </c>
      <c r="E1852" s="43" t="n">
        <v>1580</v>
      </c>
      <c r="F1852" s="43" t="n">
        <v>630</v>
      </c>
      <c r="G1852" s="43" t="n">
        <v>14</v>
      </c>
      <c r="H1852" s="79">
        <f>(E1852/1000)*(F1852/1000)*(G1852/1000)*7850</f>
        <v/>
      </c>
      <c r="I1852" s="43" t="n">
        <v>2</v>
      </c>
      <c r="J1852" s="80">
        <f>H1852*I1852</f>
        <v/>
      </c>
      <c r="K1852" s="43" t="inlineStr">
        <is>
          <t>来源页154</t>
        </is>
      </c>
      <c r="L1852" s="43">
        <f>A1852</f>
        <v/>
      </c>
      <c r="M1852" s="81" t="n"/>
      <c r="N1852" s="81" t="n"/>
      <c r="O1852" s="81" t="n"/>
      <c r="P1852" s="81" t="n"/>
      <c r="Q1852" s="81" t="n"/>
      <c r="R1852" s="81" t="n"/>
      <c r="S1852" s="81" t="n"/>
      <c r="T1852" s="81" t="n"/>
      <c r="U1852" s="81" t="n"/>
      <c r="V1852" s="81" t="n"/>
      <c r="W1852" s="43" t="n"/>
    </row>
    <row r="1853">
      <c r="A1853" s="43" t="inlineStr">
        <is>
          <t>N62</t>
        </is>
      </c>
      <c r="B1853" s="43" t="inlineStr"/>
      <c r="C1853" s="43" t="inlineStr">
        <is>
          <t>节段04</t>
        </is>
      </c>
      <c r="D1853" s="43" t="inlineStr">
        <is>
          <t>Q355D</t>
        </is>
      </c>
      <c r="E1853" s="43" t="n"/>
      <c r="F1853" s="43" t="n"/>
      <c r="G1853" s="43" t="n">
        <v>24</v>
      </c>
      <c r="H1853" s="79">
        <f>(E1853/1000)*(F1853/1000)*(G1853/1000)*7850</f>
        <v/>
      </c>
      <c r="I1853" s="43" t="n">
        <v>3</v>
      </c>
      <c r="J1853" s="80">
        <f>H1853*I1853</f>
        <v/>
      </c>
      <c r="K1853" s="43" t="inlineStr">
        <is>
          <t>来源页154</t>
        </is>
      </c>
      <c r="L1853" s="43">
        <f>A1853</f>
        <v/>
      </c>
      <c r="M1853" s="81" t="n"/>
      <c r="N1853" s="81" t="n"/>
      <c r="O1853" s="81" t="n"/>
      <c r="P1853" s="81" t="n"/>
      <c r="Q1853" s="81" t="n"/>
      <c r="R1853" s="81" t="n"/>
      <c r="S1853" s="81" t="n"/>
      <c r="T1853" s="81" t="n"/>
      <c r="U1853" s="81" t="n"/>
      <c r="V1853" s="81" t="n"/>
      <c r="W1853" s="43" t="n"/>
    </row>
    <row r="1854">
      <c r="A1854" s="43" t="inlineStr">
        <is>
          <t>N62a</t>
        </is>
      </c>
      <c r="B1854" s="43" t="inlineStr"/>
      <c r="C1854" s="43" t="inlineStr">
        <is>
          <t>节段04</t>
        </is>
      </c>
      <c r="D1854" s="43" t="inlineStr">
        <is>
          <t>Q355D</t>
        </is>
      </c>
      <c r="E1854" s="43" t="n"/>
      <c r="F1854" s="43" t="n"/>
      <c r="G1854" s="43" t="n">
        <v>24</v>
      </c>
      <c r="H1854" s="79">
        <f>(E1854/1000)*(F1854/1000)*(G1854/1000)*7850</f>
        <v/>
      </c>
      <c r="I1854" s="43" t="n">
        <v>2</v>
      </c>
      <c r="J1854" s="80">
        <f>H1854*I1854</f>
        <v/>
      </c>
      <c r="K1854" s="43" t="inlineStr">
        <is>
          <t>来源页154</t>
        </is>
      </c>
      <c r="L1854" s="43">
        <f>A1854</f>
        <v/>
      </c>
      <c r="M1854" s="81" t="n"/>
      <c r="N1854" s="81" t="n"/>
      <c r="O1854" s="81" t="n"/>
      <c r="P1854" s="81" t="n"/>
      <c r="Q1854" s="81" t="n"/>
      <c r="R1854" s="81" t="n"/>
      <c r="S1854" s="81" t="n"/>
      <c r="T1854" s="81" t="n"/>
      <c r="U1854" s="81" t="n"/>
      <c r="V1854" s="81" t="n"/>
      <c r="W1854" s="43" t="n"/>
    </row>
    <row r="1855">
      <c r="A1855" s="43" t="inlineStr">
        <is>
          <t>N63</t>
        </is>
      </c>
      <c r="B1855" s="43" t="inlineStr"/>
      <c r="C1855" s="43" t="inlineStr">
        <is>
          <t>节段04</t>
        </is>
      </c>
      <c r="D1855" s="43" t="inlineStr">
        <is>
          <t>Q355D</t>
        </is>
      </c>
      <c r="E1855" s="43" t="n">
        <v>1450</v>
      </c>
      <c r="F1855" s="43" t="n">
        <v>610</v>
      </c>
      <c r="G1855" s="43" t="n">
        <v>14</v>
      </c>
      <c r="H1855" s="79">
        <f>(E1855/1000)*(F1855/1000)*(G1855/1000)*7850</f>
        <v/>
      </c>
      <c r="I1855" s="43" t="n">
        <v>3</v>
      </c>
      <c r="J1855" s="80">
        <f>H1855*I1855</f>
        <v/>
      </c>
      <c r="K1855" s="43" t="inlineStr">
        <is>
          <t>来源页154</t>
        </is>
      </c>
      <c r="L1855" s="43">
        <f>A1855</f>
        <v/>
      </c>
      <c r="M1855" s="81" t="n"/>
      <c r="N1855" s="81" t="n"/>
      <c r="O1855" s="81" t="n"/>
      <c r="P1855" s="81" t="n"/>
      <c r="Q1855" s="81" t="n"/>
      <c r="R1855" s="81" t="n"/>
      <c r="S1855" s="81" t="n"/>
      <c r="T1855" s="81" t="n"/>
      <c r="U1855" s="81" t="n"/>
      <c r="V1855" s="81" t="n"/>
      <c r="W1855" s="43" t="n"/>
    </row>
    <row r="1856">
      <c r="A1856" s="43" t="inlineStr">
        <is>
          <t>N63a</t>
        </is>
      </c>
      <c r="B1856" s="43" t="inlineStr"/>
      <c r="C1856" s="43" t="inlineStr">
        <is>
          <t>节段04</t>
        </is>
      </c>
      <c r="D1856" s="43" t="inlineStr">
        <is>
          <t>Q355D</t>
        </is>
      </c>
      <c r="E1856" s="43" t="n">
        <v>1450</v>
      </c>
      <c r="F1856" s="43" t="n">
        <v>626</v>
      </c>
      <c r="G1856" s="43" t="n">
        <v>14</v>
      </c>
      <c r="H1856" s="79">
        <f>(E1856/1000)*(F1856/1000)*(G1856/1000)*7850</f>
        <v/>
      </c>
      <c r="I1856" s="43" t="n">
        <v>2</v>
      </c>
      <c r="J1856" s="80">
        <f>H1856*I1856</f>
        <v/>
      </c>
      <c r="K1856" s="43" t="inlineStr">
        <is>
          <t>来源页154</t>
        </is>
      </c>
      <c r="L1856" s="43">
        <f>A1856</f>
        <v/>
      </c>
      <c r="M1856" s="81" t="n"/>
      <c r="N1856" s="81" t="n"/>
      <c r="O1856" s="81" t="n"/>
      <c r="P1856" s="81" t="n"/>
      <c r="Q1856" s="81" t="n"/>
      <c r="R1856" s="81" t="n"/>
      <c r="S1856" s="81" t="n"/>
      <c r="T1856" s="81" t="n"/>
      <c r="U1856" s="81" t="n"/>
      <c r="V1856" s="81" t="n"/>
      <c r="W1856" s="43" t="n"/>
    </row>
    <row r="1857">
      <c r="A1857" s="43" t="inlineStr">
        <is>
          <t>P1</t>
        </is>
      </c>
      <c r="B1857" s="43" t="inlineStr">
        <is>
          <t>上弦杆拼接</t>
        </is>
      </c>
      <c r="C1857" s="43" t="inlineStr">
        <is>
          <t>节段4~节段5</t>
        </is>
      </c>
      <c r="D1857" s="43" t="inlineStr">
        <is>
          <t>Q355D</t>
        </is>
      </c>
      <c r="E1857" s="43" t="n">
        <v>1220</v>
      </c>
      <c r="F1857" s="43" t="n">
        <v>1400</v>
      </c>
      <c r="G1857" s="43" t="n">
        <v>28</v>
      </c>
      <c r="H1857" s="79">
        <f>(E1857/1000)*(F1857/1000)*(G1857/1000)*7850</f>
        <v/>
      </c>
      <c r="I1857" s="43" t="n">
        <v>2</v>
      </c>
      <c r="J1857" s="80">
        <f>H1857*I1857</f>
        <v/>
      </c>
      <c r="K1857" s="43" t="inlineStr">
        <is>
          <t>来源页157</t>
        </is>
      </c>
      <c r="L1857" s="43">
        <f>A1857</f>
        <v/>
      </c>
      <c r="M1857" s="81" t="n"/>
      <c r="N1857" s="81" t="n"/>
      <c r="O1857" s="81" t="n"/>
      <c r="P1857" s="81" t="n"/>
      <c r="Q1857" s="81" t="n"/>
      <c r="R1857" s="81" t="n"/>
      <c r="S1857" s="81" t="n"/>
      <c r="T1857" s="81" t="n"/>
      <c r="U1857" s="81" t="n"/>
      <c r="V1857" s="81" t="n"/>
      <c r="W1857" s="43" t="n"/>
    </row>
    <row r="1858">
      <c r="A1858" s="43" t="inlineStr">
        <is>
          <t>P2</t>
        </is>
      </c>
      <c r="B1858" s="43" t="inlineStr">
        <is>
          <t>上弦杆拼接</t>
        </is>
      </c>
      <c r="C1858" s="43" t="inlineStr">
        <is>
          <t>节段4~节段5</t>
        </is>
      </c>
      <c r="D1858" s="43" t="inlineStr">
        <is>
          <t>Q355D</t>
        </is>
      </c>
      <c r="E1858" s="43" t="n">
        <v>1220</v>
      </c>
      <c r="F1858" s="43" t="n">
        <v>300</v>
      </c>
      <c r="G1858" s="43" t="n">
        <v>28</v>
      </c>
      <c r="H1858" s="79">
        <f>(E1858/1000)*(F1858/1000)*(G1858/1000)*7850</f>
        <v/>
      </c>
      <c r="I1858" s="43" t="n">
        <v>2</v>
      </c>
      <c r="J1858" s="80">
        <f>H1858*I1858</f>
        <v/>
      </c>
      <c r="K1858" s="43" t="inlineStr">
        <is>
          <t>来源页157</t>
        </is>
      </c>
      <c r="L1858" s="43">
        <f>A1858</f>
        <v/>
      </c>
      <c r="M1858" s="81" t="n"/>
      <c r="N1858" s="81" t="n"/>
      <c r="O1858" s="81" t="n"/>
      <c r="P1858" s="81" t="n"/>
      <c r="Q1858" s="81" t="n"/>
      <c r="R1858" s="81" t="n"/>
      <c r="S1858" s="81" t="n"/>
      <c r="T1858" s="81" t="n"/>
      <c r="U1858" s="81" t="n"/>
      <c r="V1858" s="81" t="n"/>
      <c r="W1858" s="43" t="n"/>
    </row>
    <row r="1859">
      <c r="A1859" s="43" t="inlineStr">
        <is>
          <t>P3</t>
        </is>
      </c>
      <c r="B1859" s="43" t="inlineStr">
        <is>
          <t>上弦杆拼接</t>
        </is>
      </c>
      <c r="C1859" s="43" t="inlineStr">
        <is>
          <t>节段4~节段5</t>
        </is>
      </c>
      <c r="D1859" s="43" t="inlineStr">
        <is>
          <t>Q355D</t>
        </is>
      </c>
      <c r="E1859" s="43" t="n">
        <v>1220</v>
      </c>
      <c r="F1859" s="43" t="n">
        <v>500</v>
      </c>
      <c r="G1859" s="43" t="n">
        <v>28</v>
      </c>
      <c r="H1859" s="79">
        <f>(E1859/1000)*(F1859/1000)*(G1859/1000)*7850</f>
        <v/>
      </c>
      <c r="I1859" s="43" t="n">
        <v>2</v>
      </c>
      <c r="J1859" s="80">
        <f>H1859*I1859</f>
        <v/>
      </c>
      <c r="K1859" s="43" t="inlineStr">
        <is>
          <t>来源页157</t>
        </is>
      </c>
      <c r="L1859" s="43">
        <f>A1859</f>
        <v/>
      </c>
      <c r="M1859" s="81" t="n"/>
      <c r="N1859" s="81" t="n"/>
      <c r="O1859" s="81" t="n"/>
      <c r="P1859" s="81" t="n"/>
      <c r="Q1859" s="81" t="n"/>
      <c r="R1859" s="81" t="n"/>
      <c r="S1859" s="81" t="n"/>
      <c r="T1859" s="81" t="n"/>
      <c r="U1859" s="81" t="n"/>
      <c r="V1859" s="81" t="n"/>
      <c r="W1859" s="43" t="n"/>
    </row>
    <row r="1860">
      <c r="A1860" s="43" t="inlineStr">
        <is>
          <t>P4</t>
        </is>
      </c>
      <c r="B1860" s="43" t="inlineStr">
        <is>
          <t>上弦杆拼接</t>
        </is>
      </c>
      <c r="C1860" s="43" t="inlineStr">
        <is>
          <t>节段4~节段5</t>
        </is>
      </c>
      <c r="D1860" s="43" t="inlineStr">
        <is>
          <t>Q355D</t>
        </is>
      </c>
      <c r="E1860" s="43" t="n">
        <v>1220</v>
      </c>
      <c r="F1860" s="43" t="n">
        <v>400</v>
      </c>
      <c r="G1860" s="43" t="n">
        <v>28</v>
      </c>
      <c r="H1860" s="79">
        <f>(E1860/1000)*(F1860/1000)*(G1860/1000)*7850</f>
        <v/>
      </c>
      <c r="I1860" s="43" t="n">
        <v>2</v>
      </c>
      <c r="J1860" s="80">
        <f>H1860*I1860</f>
        <v/>
      </c>
      <c r="K1860" s="43" t="inlineStr">
        <is>
          <t>来源页157</t>
        </is>
      </c>
      <c r="L1860" s="43">
        <f>A1860</f>
        <v/>
      </c>
      <c r="M1860" s="81" t="n"/>
      <c r="N1860" s="81" t="n"/>
      <c r="O1860" s="81" t="n"/>
      <c r="P1860" s="81" t="n"/>
      <c r="Q1860" s="81" t="n"/>
      <c r="R1860" s="81" t="n"/>
      <c r="S1860" s="81" t="n"/>
      <c r="T1860" s="81" t="n"/>
      <c r="U1860" s="81" t="n"/>
      <c r="V1860" s="81" t="n"/>
      <c r="W1860" s="43" t="n"/>
    </row>
    <row r="1861">
      <c r="A1861" s="43" t="inlineStr">
        <is>
          <t>P5</t>
        </is>
      </c>
      <c r="B1861" s="43" t="inlineStr">
        <is>
          <t>上弦杆拼接</t>
        </is>
      </c>
      <c r="C1861" s="43" t="inlineStr">
        <is>
          <t>节段4~节段5</t>
        </is>
      </c>
      <c r="D1861" s="43" t="inlineStr">
        <is>
          <t>Q355D</t>
        </is>
      </c>
      <c r="E1861" s="43" t="n">
        <v>1420</v>
      </c>
      <c r="F1861" s="43" t="n">
        <v>1100</v>
      </c>
      <c r="G1861" s="43" t="n">
        <v>32</v>
      </c>
      <c r="H1861" s="79">
        <f>(E1861/1000)*(F1861/1000)*(G1861/1000)*7850</f>
        <v/>
      </c>
      <c r="I1861" s="43" t="n">
        <v>1</v>
      </c>
      <c r="J1861" s="80">
        <f>H1861*I1861</f>
        <v/>
      </c>
      <c r="K1861" s="43" t="inlineStr">
        <is>
          <t>来源页157</t>
        </is>
      </c>
      <c r="L1861" s="43">
        <f>A1861</f>
        <v/>
      </c>
      <c r="M1861" s="81" t="n"/>
      <c r="N1861" s="81" t="n"/>
      <c r="O1861" s="81" t="n"/>
      <c r="P1861" s="81" t="n"/>
      <c r="Q1861" s="81" t="n"/>
      <c r="R1861" s="81" t="n"/>
      <c r="S1861" s="81" t="n"/>
      <c r="T1861" s="81" t="n"/>
      <c r="U1861" s="81" t="n"/>
      <c r="V1861" s="81" t="n"/>
      <c r="W1861" s="43" t="n"/>
    </row>
    <row r="1862">
      <c r="A1862" s="43" t="inlineStr">
        <is>
          <t>P6</t>
        </is>
      </c>
      <c r="B1862" s="43" t="inlineStr">
        <is>
          <t>上弦杆拼接</t>
        </is>
      </c>
      <c r="C1862" s="43" t="inlineStr">
        <is>
          <t>节段4~节段5</t>
        </is>
      </c>
      <c r="D1862" s="43" t="inlineStr">
        <is>
          <t>Q355D</t>
        </is>
      </c>
      <c r="E1862" s="43" t="n">
        <v>1420</v>
      </c>
      <c r="F1862" s="43" t="n">
        <v>400</v>
      </c>
      <c r="G1862" s="43" t="n">
        <v>32</v>
      </c>
      <c r="H1862" s="79">
        <f>(E1862/1000)*(F1862/1000)*(G1862/1000)*7850</f>
        <v/>
      </c>
      <c r="I1862" s="43" t="n">
        <v>2</v>
      </c>
      <c r="J1862" s="80">
        <f>H1862*I1862</f>
        <v/>
      </c>
      <c r="K1862" s="43" t="inlineStr">
        <is>
          <t>来源页157</t>
        </is>
      </c>
      <c r="L1862" s="43">
        <f>A1862</f>
        <v/>
      </c>
      <c r="M1862" s="81" t="n"/>
      <c r="N1862" s="81" t="n"/>
      <c r="O1862" s="81" t="n"/>
      <c r="P1862" s="81" t="n"/>
      <c r="Q1862" s="81" t="n"/>
      <c r="R1862" s="81" t="n"/>
      <c r="S1862" s="81" t="n"/>
      <c r="T1862" s="81" t="n"/>
      <c r="U1862" s="81" t="n"/>
      <c r="V1862" s="81" t="n"/>
      <c r="W1862" s="43" t="n"/>
    </row>
    <row r="1863">
      <c r="A1863" s="43" t="inlineStr">
        <is>
          <t>P7</t>
        </is>
      </c>
      <c r="B1863" s="43" t="inlineStr">
        <is>
          <t>上弦杆拼接</t>
        </is>
      </c>
      <c r="C1863" s="43" t="inlineStr">
        <is>
          <t>节段4~节段5</t>
        </is>
      </c>
      <c r="D1863" s="43" t="inlineStr">
        <is>
          <t>Q355D</t>
        </is>
      </c>
      <c r="E1863" s="43" t="n">
        <v>920</v>
      </c>
      <c r="F1863" s="43" t="n">
        <v>200</v>
      </c>
      <c r="G1863" s="43" t="n">
        <v>20</v>
      </c>
      <c r="H1863" s="79">
        <f>(E1863/1000)*(F1863/1000)*(G1863/1000)*7850</f>
        <v/>
      </c>
      <c r="I1863" s="43" t="n">
        <v>10</v>
      </c>
      <c r="J1863" s="80">
        <f>H1863*I1863</f>
        <v/>
      </c>
      <c r="K1863" s="43" t="inlineStr">
        <is>
          <t>来源页157</t>
        </is>
      </c>
      <c r="L1863" s="43">
        <f>A1863</f>
        <v/>
      </c>
      <c r="M1863" s="81" t="n"/>
      <c r="N1863" s="81" t="n"/>
      <c r="O1863" s="81" t="n"/>
      <c r="P1863" s="81" t="n"/>
      <c r="Q1863" s="81" t="n"/>
      <c r="R1863" s="81" t="n"/>
      <c r="S1863" s="81" t="n"/>
      <c r="T1863" s="81" t="n"/>
      <c r="U1863" s="81" t="n"/>
      <c r="V1863" s="81" t="n"/>
      <c r="W1863" s="43" t="n"/>
    </row>
    <row r="1864">
      <c r="A1864" s="43" t="inlineStr">
        <is>
          <t>P8</t>
        </is>
      </c>
      <c r="B1864" s="43" t="inlineStr">
        <is>
          <t>上弦杆拼接</t>
        </is>
      </c>
      <c r="C1864" s="43" t="inlineStr">
        <is>
          <t>节段4~节段5</t>
        </is>
      </c>
      <c r="D1864" s="43" t="inlineStr">
        <is>
          <t>Q355D</t>
        </is>
      </c>
      <c r="E1864" s="43" t="n">
        <v>600</v>
      </c>
      <c r="F1864" s="43" t="n">
        <v>1800</v>
      </c>
      <c r="G1864" s="43" t="n">
        <v>16</v>
      </c>
      <c r="H1864" s="79">
        <f>(E1864/1000)*(F1864/1000)*(G1864/1000)*7850</f>
        <v/>
      </c>
      <c r="I1864" s="43" t="n">
        <v>2</v>
      </c>
      <c r="J1864" s="80">
        <f>H1864*I1864</f>
        <v/>
      </c>
      <c r="K1864" s="43" t="inlineStr">
        <is>
          <t>填板；来源页157</t>
        </is>
      </c>
      <c r="L1864" s="43">
        <f>A1864</f>
        <v/>
      </c>
      <c r="M1864" s="81" t="n"/>
      <c r="N1864" s="81" t="n"/>
      <c r="O1864" s="81" t="n"/>
      <c r="P1864" s="81" t="n"/>
      <c r="Q1864" s="81" t="n"/>
      <c r="R1864" s="81" t="n"/>
      <c r="S1864" s="81" t="n"/>
      <c r="T1864" s="81" t="n"/>
      <c r="U1864" s="81" t="n"/>
      <c r="V1864" s="81" t="n"/>
      <c r="W1864" s="43" t="n"/>
    </row>
    <row r="1865">
      <c r="A1865" s="43" t="inlineStr">
        <is>
          <t>P9</t>
        </is>
      </c>
      <c r="B1865" s="43" t="inlineStr">
        <is>
          <t>上弦杆拼接</t>
        </is>
      </c>
      <c r="C1865" s="43" t="inlineStr">
        <is>
          <t>节段4~节段5</t>
        </is>
      </c>
      <c r="D1865" s="43" t="inlineStr">
        <is>
          <t>Q355D</t>
        </is>
      </c>
      <c r="E1865" s="43" t="n">
        <v>700</v>
      </c>
      <c r="F1865" s="43" t="n">
        <v>1100</v>
      </c>
      <c r="G1865" s="43" t="n">
        <v>16</v>
      </c>
      <c r="H1865" s="79">
        <f>(E1865/1000)*(F1865/1000)*(G1865/1000)*7850</f>
        <v/>
      </c>
      <c r="I1865" s="43" t="n">
        <v>1</v>
      </c>
      <c r="J1865" s="80">
        <f>H1865*I1865</f>
        <v/>
      </c>
      <c r="K1865" s="43" t="inlineStr">
        <is>
          <t>填板；来源页157</t>
        </is>
      </c>
      <c r="L1865" s="43">
        <f>A1865</f>
        <v/>
      </c>
      <c r="M1865" s="81" t="n"/>
      <c r="N1865" s="81" t="n"/>
      <c r="O1865" s="81" t="n"/>
      <c r="P1865" s="81" t="n"/>
      <c r="Q1865" s="81" t="n"/>
      <c r="R1865" s="81" t="n"/>
      <c r="S1865" s="81" t="n"/>
      <c r="T1865" s="81" t="n"/>
      <c r="U1865" s="81" t="n"/>
      <c r="V1865" s="81" t="n"/>
      <c r="W1865" s="43" t="n"/>
    </row>
    <row r="1866">
      <c r="A1866" s="43" t="inlineStr">
        <is>
          <t>M30高强螺栓</t>
        </is>
      </c>
      <c r="B1866" s="43" t="inlineStr">
        <is>
          <t>上弦杆拼接</t>
        </is>
      </c>
      <c r="C1866" s="43" t="inlineStr">
        <is>
          <t>节段4~节段5</t>
        </is>
      </c>
      <c r="D1866" s="43" t="inlineStr">
        <is>
          <t>10.9S</t>
        </is>
      </c>
      <c r="E1866" s="43" t="n"/>
      <c r="F1866" s="43" t="n"/>
      <c r="G1866" s="43" t="n"/>
      <c r="H1866" s="79">
        <f>(E1866/1000)*(F1866/1000)*(G1866/1000)*7850</f>
        <v/>
      </c>
      <c r="I1866" s="43" t="n">
        <v>428</v>
      </c>
      <c r="J1866" s="80">
        <f>H1866*I1866</f>
        <v/>
      </c>
      <c r="K1866" s="43" t="inlineStr">
        <is>
          <t>来源页157</t>
        </is>
      </c>
      <c r="L1866" s="43">
        <f>A1866</f>
        <v/>
      </c>
      <c r="M1866" s="81" t="n"/>
      <c r="N1866" s="81" t="n"/>
      <c r="O1866" s="81" t="n"/>
      <c r="P1866" s="81" t="n"/>
      <c r="Q1866" s="81" t="n"/>
      <c r="R1866" s="81" t="n"/>
      <c r="S1866" s="81" t="n"/>
      <c r="T1866" s="81" t="n"/>
      <c r="U1866" s="81" t="n"/>
      <c r="V1866" s="81" t="n"/>
      <c r="W1866" s="43" t="n"/>
    </row>
    <row r="1867">
      <c r="A1867" s="43" t="inlineStr">
        <is>
          <t>K1</t>
        </is>
      </c>
      <c r="B1867" s="43" t="inlineStr">
        <is>
          <t>下弦杆拼接</t>
        </is>
      </c>
      <c r="C1867" s="43" t="inlineStr">
        <is>
          <t>节段4~节段5</t>
        </is>
      </c>
      <c r="D1867" s="43" t="inlineStr">
        <is>
          <t>Q355D</t>
        </is>
      </c>
      <c r="E1867" s="43" t="n">
        <v>820</v>
      </c>
      <c r="F1867" s="43" t="n">
        <v>1300</v>
      </c>
      <c r="G1867" s="43" t="n">
        <v>20</v>
      </c>
      <c r="H1867" s="79">
        <f>(E1867/1000)*(F1867/1000)*(G1867/1000)*7850</f>
        <v/>
      </c>
      <c r="I1867" s="43" t="n">
        <v>2</v>
      </c>
      <c r="J1867" s="80">
        <f>H1867*I1867</f>
        <v/>
      </c>
      <c r="K1867" s="43" t="inlineStr">
        <is>
          <t>来源页157</t>
        </is>
      </c>
      <c r="L1867" s="43">
        <f>A1867</f>
        <v/>
      </c>
      <c r="M1867" s="81" t="n"/>
      <c r="N1867" s="81" t="n"/>
      <c r="O1867" s="81" t="n"/>
      <c r="P1867" s="81" t="n"/>
      <c r="Q1867" s="81" t="n"/>
      <c r="R1867" s="81" t="n"/>
      <c r="S1867" s="81" t="n"/>
      <c r="T1867" s="81" t="n"/>
      <c r="U1867" s="81" t="n"/>
      <c r="V1867" s="81" t="n"/>
      <c r="W1867" s="43" t="n"/>
    </row>
    <row r="1868">
      <c r="A1868" s="43" t="inlineStr">
        <is>
          <t>K2</t>
        </is>
      </c>
      <c r="B1868" s="43" t="inlineStr">
        <is>
          <t>下弦杆拼接</t>
        </is>
      </c>
      <c r="C1868" s="43" t="inlineStr">
        <is>
          <t>节段4~节段5</t>
        </is>
      </c>
      <c r="D1868" s="43" t="inlineStr">
        <is>
          <t>Q355D</t>
        </is>
      </c>
      <c r="E1868" s="43" t="n">
        <v>820</v>
      </c>
      <c r="F1868" s="43" t="n">
        <v>600</v>
      </c>
      <c r="G1868" s="43" t="n">
        <v>20</v>
      </c>
      <c r="H1868" s="79">
        <f>(E1868/1000)*(F1868/1000)*(G1868/1000)*7850</f>
        <v/>
      </c>
      <c r="I1868" s="43" t="n">
        <v>4</v>
      </c>
      <c r="J1868" s="80">
        <f>H1868*I1868</f>
        <v/>
      </c>
      <c r="K1868" s="43" t="inlineStr">
        <is>
          <t>来源页157</t>
        </is>
      </c>
      <c r="L1868" s="43">
        <f>A1868</f>
        <v/>
      </c>
      <c r="M1868" s="81" t="n"/>
      <c r="N1868" s="81" t="n"/>
      <c r="O1868" s="81" t="n"/>
      <c r="P1868" s="81" t="n"/>
      <c r="Q1868" s="81" t="n"/>
      <c r="R1868" s="81" t="n"/>
      <c r="S1868" s="81" t="n"/>
      <c r="T1868" s="81" t="n"/>
      <c r="U1868" s="81" t="n"/>
      <c r="V1868" s="81" t="n"/>
      <c r="W1868" s="43" t="n"/>
    </row>
    <row r="1869">
      <c r="A1869" s="43" t="inlineStr">
        <is>
          <t>K3</t>
        </is>
      </c>
      <c r="B1869" s="43" t="inlineStr">
        <is>
          <t>下弦杆拼接</t>
        </is>
      </c>
      <c r="C1869" s="43" t="inlineStr">
        <is>
          <t>节段4~节段5</t>
        </is>
      </c>
      <c r="D1869" s="43" t="inlineStr">
        <is>
          <t>Q355D</t>
        </is>
      </c>
      <c r="E1869" s="43" t="n">
        <v>1120</v>
      </c>
      <c r="F1869" s="43" t="n">
        <v>1100</v>
      </c>
      <c r="G1869" s="43" t="n">
        <v>32</v>
      </c>
      <c r="H1869" s="79">
        <f>(E1869/1000)*(F1869/1000)*(G1869/1000)*7850</f>
        <v/>
      </c>
      <c r="I1869" s="43" t="n">
        <v>1</v>
      </c>
      <c r="J1869" s="80">
        <f>H1869*I1869</f>
        <v/>
      </c>
      <c r="K1869" s="43" t="inlineStr">
        <is>
          <t>来源页157</t>
        </is>
      </c>
      <c r="L1869" s="43">
        <f>A1869</f>
        <v/>
      </c>
      <c r="M1869" s="81" t="n"/>
      <c r="N1869" s="81" t="n"/>
      <c r="O1869" s="81" t="n"/>
      <c r="P1869" s="81" t="n"/>
      <c r="Q1869" s="81" t="n"/>
      <c r="R1869" s="81" t="n"/>
      <c r="S1869" s="81" t="n"/>
      <c r="T1869" s="81" t="n"/>
      <c r="U1869" s="81" t="n"/>
      <c r="V1869" s="81" t="n"/>
      <c r="W1869" s="43" t="n"/>
    </row>
    <row r="1870">
      <c r="A1870" s="43" t="inlineStr">
        <is>
          <t>K4</t>
        </is>
      </c>
      <c r="B1870" s="43" t="inlineStr">
        <is>
          <t>下弦杆拼接</t>
        </is>
      </c>
      <c r="C1870" s="43" t="inlineStr">
        <is>
          <t>节段4~节段5</t>
        </is>
      </c>
      <c r="D1870" s="43" t="inlineStr">
        <is>
          <t>Q355D</t>
        </is>
      </c>
      <c r="E1870" s="43" t="n">
        <v>1120</v>
      </c>
      <c r="F1870" s="43" t="n">
        <v>400</v>
      </c>
      <c r="G1870" s="43" t="n">
        <v>32</v>
      </c>
      <c r="H1870" s="79">
        <f>(E1870/1000)*(F1870/1000)*(G1870/1000)*7850</f>
        <v/>
      </c>
      <c r="I1870" s="43" t="n">
        <v>2</v>
      </c>
      <c r="J1870" s="80">
        <f>H1870*I1870</f>
        <v/>
      </c>
      <c r="K1870" s="43" t="inlineStr">
        <is>
          <t>来源页157</t>
        </is>
      </c>
      <c r="L1870" s="43">
        <f>A1870</f>
        <v/>
      </c>
      <c r="M1870" s="81" t="n"/>
      <c r="N1870" s="81" t="n"/>
      <c r="O1870" s="81" t="n"/>
      <c r="P1870" s="81" t="n"/>
      <c r="Q1870" s="81" t="n"/>
      <c r="R1870" s="81" t="n"/>
      <c r="S1870" s="81" t="n"/>
      <c r="T1870" s="81" t="n"/>
      <c r="U1870" s="81" t="n"/>
      <c r="V1870" s="81" t="n"/>
      <c r="W1870" s="43" t="n"/>
    </row>
    <row r="1871">
      <c r="A1871" s="43" t="inlineStr">
        <is>
          <t>K6</t>
        </is>
      </c>
      <c r="B1871" s="43" t="inlineStr">
        <is>
          <t>下弦杆拼接</t>
        </is>
      </c>
      <c r="C1871" s="43" t="inlineStr">
        <is>
          <t>节段4~节段5</t>
        </is>
      </c>
      <c r="D1871" s="43" t="inlineStr">
        <is>
          <t>Q355D</t>
        </is>
      </c>
      <c r="E1871" s="43" t="n">
        <v>400</v>
      </c>
      <c r="F1871" s="43" t="n">
        <v>1700</v>
      </c>
      <c r="G1871" s="43" t="n">
        <v>16</v>
      </c>
      <c r="H1871" s="79">
        <f>(E1871/1000)*(F1871/1000)*(G1871/1000)*7850</f>
        <v/>
      </c>
      <c r="I1871" s="43" t="n">
        <v>2</v>
      </c>
      <c r="J1871" s="80">
        <f>H1871*I1871</f>
        <v/>
      </c>
      <c r="K1871" s="43" t="inlineStr">
        <is>
          <t>来源页157</t>
        </is>
      </c>
      <c r="L1871" s="43">
        <f>A1871</f>
        <v/>
      </c>
      <c r="M1871" s="81" t="n"/>
      <c r="N1871" s="81" t="n"/>
      <c r="O1871" s="81" t="n"/>
      <c r="P1871" s="81" t="n"/>
      <c r="Q1871" s="81" t="n"/>
      <c r="R1871" s="81" t="n"/>
      <c r="S1871" s="81" t="n"/>
      <c r="T1871" s="81" t="n"/>
      <c r="U1871" s="81" t="n"/>
      <c r="V1871" s="81" t="n"/>
      <c r="W1871" s="43" t="n"/>
    </row>
    <row r="1872">
      <c r="A1872" s="43" t="inlineStr">
        <is>
          <t>M30高强螺栓</t>
        </is>
      </c>
      <c r="B1872" s="43" t="inlineStr">
        <is>
          <t>下弦杆拼接</t>
        </is>
      </c>
      <c r="C1872" s="43" t="inlineStr">
        <is>
          <t>节段4~节段5</t>
        </is>
      </c>
      <c r="D1872" s="43" t="inlineStr">
        <is>
          <t>10.9S</t>
        </is>
      </c>
      <c r="E1872" s="43" t="n"/>
      <c r="F1872" s="43" t="n"/>
      <c r="G1872" s="43" t="n"/>
      <c r="H1872" s="79">
        <f>(E1872/1000)*(F1872/1000)*(G1872/1000)*7850</f>
        <v/>
      </c>
      <c r="I1872" s="43" t="n">
        <v>276</v>
      </c>
      <c r="J1872" s="80">
        <f>H1872*I1872</f>
        <v/>
      </c>
      <c r="K1872" s="43" t="inlineStr">
        <is>
          <t>来源页157</t>
        </is>
      </c>
      <c r="L1872" s="43">
        <f>A1872</f>
        <v/>
      </c>
      <c r="M1872" s="81" t="n"/>
      <c r="N1872" s="81" t="n"/>
      <c r="O1872" s="81" t="n"/>
      <c r="P1872" s="81" t="n"/>
      <c r="Q1872" s="81" t="n"/>
      <c r="R1872" s="81" t="n"/>
      <c r="S1872" s="81" t="n"/>
      <c r="T1872" s="81" t="n"/>
      <c r="U1872" s="81" t="n"/>
      <c r="V1872" s="81" t="n"/>
      <c r="W1872" s="43" t="n"/>
    </row>
    <row r="1873">
      <c r="A1873" s="43" t="inlineStr">
        <is>
          <t>L1</t>
        </is>
      </c>
      <c r="B1873" s="43" t="inlineStr">
        <is>
          <t>腹杆拼接</t>
        </is>
      </c>
      <c r="C1873" s="43" t="inlineStr">
        <is>
          <t>节段4~节段5</t>
        </is>
      </c>
      <c r="D1873" s="43" t="inlineStr">
        <is>
          <t>Q355D</t>
        </is>
      </c>
      <c r="E1873" s="43" t="n">
        <v>1520</v>
      </c>
      <c r="F1873" s="43" t="n">
        <v>1100</v>
      </c>
      <c r="G1873" s="43" t="n">
        <v>24</v>
      </c>
      <c r="H1873" s="79">
        <f>(E1873/1000)*(F1873/1000)*(G1873/1000)*7850</f>
        <v/>
      </c>
      <c r="I1873" s="43" t="n">
        <v>2</v>
      </c>
      <c r="J1873" s="80">
        <f>H1873*I1873</f>
        <v/>
      </c>
      <c r="K1873" s="43" t="inlineStr">
        <is>
          <t>来源页157</t>
        </is>
      </c>
      <c r="L1873" s="43">
        <f>A1873</f>
        <v/>
      </c>
      <c r="M1873" s="81" t="n"/>
      <c r="N1873" s="81" t="n"/>
      <c r="O1873" s="81" t="n"/>
      <c r="P1873" s="81" t="n"/>
      <c r="Q1873" s="81" t="n"/>
      <c r="R1873" s="81" t="n"/>
      <c r="S1873" s="81" t="n"/>
      <c r="T1873" s="81" t="n"/>
      <c r="U1873" s="81" t="n"/>
      <c r="V1873" s="81" t="n"/>
      <c r="W1873" s="43" t="n"/>
    </row>
    <row r="1874">
      <c r="A1874" s="43" t="inlineStr">
        <is>
          <t>L2</t>
        </is>
      </c>
      <c r="B1874" s="43" t="inlineStr">
        <is>
          <t>腹杆拼接</t>
        </is>
      </c>
      <c r="C1874" s="43" t="inlineStr">
        <is>
          <t>节段4~节段5</t>
        </is>
      </c>
      <c r="D1874" s="43" t="inlineStr">
        <is>
          <t>Q355D</t>
        </is>
      </c>
      <c r="E1874" s="43" t="n">
        <v>1520</v>
      </c>
      <c r="F1874" s="43" t="n">
        <v>500</v>
      </c>
      <c r="G1874" s="43" t="n">
        <v>24</v>
      </c>
      <c r="H1874" s="79">
        <f>(E1874/1000)*(F1874/1000)*(G1874/1000)*7850</f>
        <v/>
      </c>
      <c r="I1874" s="43" t="n">
        <v>4</v>
      </c>
      <c r="J1874" s="80">
        <f>H1874*I1874</f>
        <v/>
      </c>
      <c r="K1874" s="43" t="inlineStr">
        <is>
          <t>来源页157</t>
        </is>
      </c>
      <c r="L1874" s="43">
        <f>A1874</f>
        <v/>
      </c>
      <c r="M1874" s="81" t="n"/>
      <c r="N1874" s="81" t="n"/>
      <c r="O1874" s="81" t="n"/>
      <c r="P1874" s="81" t="n"/>
      <c r="Q1874" s="81" t="n"/>
      <c r="R1874" s="81" t="n"/>
      <c r="S1874" s="81" t="n"/>
      <c r="T1874" s="81" t="n"/>
      <c r="U1874" s="81" t="n"/>
      <c r="V1874" s="81" t="n"/>
      <c r="W1874" s="43" t="n"/>
    </row>
    <row r="1875">
      <c r="A1875" s="43" t="inlineStr">
        <is>
          <t>L3</t>
        </is>
      </c>
      <c r="B1875" s="43" t="inlineStr">
        <is>
          <t>腹杆拼接</t>
        </is>
      </c>
      <c r="C1875" s="43" t="inlineStr">
        <is>
          <t>节段4~节段5</t>
        </is>
      </c>
      <c r="D1875" s="43" t="inlineStr">
        <is>
          <t>Q355D</t>
        </is>
      </c>
      <c r="E1875" s="43" t="n">
        <v>1320</v>
      </c>
      <c r="F1875" s="43" t="n">
        <v>1100</v>
      </c>
      <c r="G1875" s="43" t="n">
        <v>28</v>
      </c>
      <c r="H1875" s="79">
        <f>(E1875/1000)*(F1875/1000)*(G1875/1000)*7850</f>
        <v/>
      </c>
      <c r="I1875" s="43" t="n">
        <v>1</v>
      </c>
      <c r="J1875" s="80">
        <f>H1875*I1875</f>
        <v/>
      </c>
      <c r="K1875" s="43" t="inlineStr">
        <is>
          <t>来源页157</t>
        </is>
      </c>
      <c r="L1875" s="43">
        <f>A1875</f>
        <v/>
      </c>
      <c r="M1875" s="81" t="n"/>
      <c r="N1875" s="81" t="n"/>
      <c r="O1875" s="81" t="n"/>
      <c r="P1875" s="81" t="n"/>
      <c r="Q1875" s="81" t="n"/>
      <c r="R1875" s="81" t="n"/>
      <c r="S1875" s="81" t="n"/>
      <c r="T1875" s="81" t="n"/>
      <c r="U1875" s="81" t="n"/>
      <c r="V1875" s="81" t="n"/>
      <c r="W1875" s="43" t="n"/>
    </row>
    <row r="1876">
      <c r="A1876" s="43" t="inlineStr">
        <is>
          <t>L4</t>
        </is>
      </c>
      <c r="B1876" s="43" t="inlineStr">
        <is>
          <t>腹杆拼接</t>
        </is>
      </c>
      <c r="C1876" s="43" t="inlineStr">
        <is>
          <t>节段4~节段5</t>
        </is>
      </c>
      <c r="D1876" s="43" t="inlineStr">
        <is>
          <t>Q355D</t>
        </is>
      </c>
      <c r="E1876" s="43" t="n">
        <v>1320</v>
      </c>
      <c r="F1876" s="43" t="n">
        <v>500</v>
      </c>
      <c r="G1876" s="43" t="n">
        <v>28</v>
      </c>
      <c r="H1876" s="79">
        <f>(E1876/1000)*(F1876/1000)*(G1876/1000)*7850</f>
        <v/>
      </c>
      <c r="I1876" s="43" t="n">
        <v>2</v>
      </c>
      <c r="J1876" s="80">
        <f>H1876*I1876</f>
        <v/>
      </c>
      <c r="K1876" s="43" t="inlineStr">
        <is>
          <t>来源页157</t>
        </is>
      </c>
      <c r="L1876" s="43">
        <f>A1876</f>
        <v/>
      </c>
      <c r="M1876" s="81" t="n"/>
      <c r="N1876" s="81" t="n"/>
      <c r="O1876" s="81" t="n"/>
      <c r="P1876" s="81" t="n"/>
      <c r="Q1876" s="81" t="n"/>
      <c r="R1876" s="81" t="n"/>
      <c r="S1876" s="81" t="n"/>
      <c r="T1876" s="81" t="n"/>
      <c r="U1876" s="81" t="n"/>
      <c r="V1876" s="81" t="n"/>
      <c r="W1876" s="43" t="n"/>
    </row>
    <row r="1877">
      <c r="A1877" s="43" t="inlineStr">
        <is>
          <t>L5</t>
        </is>
      </c>
      <c r="B1877" s="43" t="inlineStr">
        <is>
          <t>腹杆拼接</t>
        </is>
      </c>
      <c r="C1877" s="43" t="inlineStr">
        <is>
          <t>节段4~节段5</t>
        </is>
      </c>
      <c r="D1877" s="43" t="inlineStr">
        <is>
          <t>Q355D</t>
        </is>
      </c>
      <c r="E1877" s="43" t="n">
        <v>1520</v>
      </c>
      <c r="F1877" s="43" t="n">
        <v>1100</v>
      </c>
      <c r="G1877" s="43" t="n">
        <v>44</v>
      </c>
      <c r="H1877" s="79">
        <f>(E1877/1000)*(F1877/1000)*(G1877/1000)*7850</f>
        <v/>
      </c>
      <c r="I1877" s="43" t="n">
        <v>1</v>
      </c>
      <c r="J1877" s="80">
        <f>H1877*I1877</f>
        <v/>
      </c>
      <c r="K1877" s="43" t="inlineStr">
        <is>
          <t>来源页157</t>
        </is>
      </c>
      <c r="L1877" s="43">
        <f>A1877</f>
        <v/>
      </c>
      <c r="M1877" s="81" t="n"/>
      <c r="N1877" s="81" t="n"/>
      <c r="O1877" s="81" t="n"/>
      <c r="P1877" s="81" t="n"/>
      <c r="Q1877" s="81" t="n"/>
      <c r="R1877" s="81" t="n"/>
      <c r="S1877" s="81" t="n"/>
      <c r="T1877" s="81" t="n"/>
      <c r="U1877" s="81" t="n"/>
      <c r="V1877" s="81" t="n"/>
      <c r="W1877" s="43" t="n"/>
    </row>
    <row r="1878">
      <c r="A1878" s="43" t="inlineStr">
        <is>
          <t>L6</t>
        </is>
      </c>
      <c r="B1878" s="43" t="inlineStr">
        <is>
          <t>腹杆拼接</t>
        </is>
      </c>
      <c r="C1878" s="43" t="inlineStr">
        <is>
          <t>节段4~节段5</t>
        </is>
      </c>
      <c r="D1878" s="43" t="inlineStr">
        <is>
          <t>Q355D</t>
        </is>
      </c>
      <c r="E1878" s="43" t="n">
        <v>1520</v>
      </c>
      <c r="F1878" s="43" t="n">
        <v>240</v>
      </c>
      <c r="G1878" s="43" t="n">
        <v>44</v>
      </c>
      <c r="H1878" s="79">
        <f>(E1878/1000)*(F1878/1000)*(G1878/1000)*7850</f>
        <v/>
      </c>
      <c r="I1878" s="43" t="n">
        <v>2</v>
      </c>
      <c r="J1878" s="80">
        <f>H1878*I1878</f>
        <v/>
      </c>
      <c r="K1878" s="43" t="inlineStr">
        <is>
          <t>来源页157</t>
        </is>
      </c>
      <c r="L1878" s="43">
        <f>A1878</f>
        <v/>
      </c>
      <c r="M1878" s="81" t="n"/>
      <c r="N1878" s="81" t="n"/>
      <c r="O1878" s="81" t="n"/>
      <c r="P1878" s="81" t="n"/>
      <c r="Q1878" s="81" t="n"/>
      <c r="R1878" s="81" t="n"/>
      <c r="S1878" s="81" t="n"/>
      <c r="T1878" s="81" t="n"/>
      <c r="U1878" s="81" t="n"/>
      <c r="V1878" s="81" t="n"/>
      <c r="W1878" s="43" t="n"/>
    </row>
    <row r="1879">
      <c r="A1879" s="43" t="inlineStr">
        <is>
          <t>L7</t>
        </is>
      </c>
      <c r="B1879" s="43" t="inlineStr">
        <is>
          <t>腹杆拼接</t>
        </is>
      </c>
      <c r="C1879" s="43" t="inlineStr">
        <is>
          <t>节段4~节段5</t>
        </is>
      </c>
      <c r="D1879" s="43" t="inlineStr">
        <is>
          <t>Q355D</t>
        </is>
      </c>
      <c r="E1879" s="43" t="n">
        <v>1220</v>
      </c>
      <c r="F1879" s="43" t="n">
        <v>240</v>
      </c>
      <c r="G1879" s="43" t="n">
        <v>24</v>
      </c>
      <c r="H1879" s="79">
        <f>(E1879/1000)*(F1879/1000)*(G1879/1000)*7850</f>
        <v/>
      </c>
      <c r="I1879" s="43" t="n">
        <v>4</v>
      </c>
      <c r="J1879" s="80">
        <f>H1879*I1879</f>
        <v/>
      </c>
      <c r="K1879" s="43" t="inlineStr">
        <is>
          <t>来源页157</t>
        </is>
      </c>
      <c r="L1879" s="43">
        <f>A1879</f>
        <v/>
      </c>
      <c r="M1879" s="81" t="n"/>
      <c r="N1879" s="81" t="n"/>
      <c r="O1879" s="81" t="n"/>
      <c r="P1879" s="81" t="n"/>
      <c r="Q1879" s="81" t="n"/>
      <c r="R1879" s="81" t="n"/>
      <c r="S1879" s="81" t="n"/>
      <c r="T1879" s="81" t="n"/>
      <c r="U1879" s="81" t="n"/>
      <c r="V1879" s="81" t="n"/>
      <c r="W1879" s="43" t="n"/>
    </row>
    <row r="1880">
      <c r="A1880" s="43" t="inlineStr">
        <is>
          <t>L8</t>
        </is>
      </c>
      <c r="B1880" s="43" t="inlineStr">
        <is>
          <t>腹杆拼接</t>
        </is>
      </c>
      <c r="C1880" s="43" t="inlineStr">
        <is>
          <t>节段4~节段5</t>
        </is>
      </c>
      <c r="D1880" s="43" t="inlineStr">
        <is>
          <t>Q355D</t>
        </is>
      </c>
      <c r="E1880" s="43" t="n">
        <v>1320</v>
      </c>
      <c r="F1880" s="43" t="n">
        <v>240</v>
      </c>
      <c r="G1880" s="43" t="n">
        <v>24</v>
      </c>
      <c r="H1880" s="79">
        <f>(E1880/1000)*(F1880/1000)*(G1880/1000)*7850</f>
        <v/>
      </c>
      <c r="I1880" s="43" t="n">
        <v>2</v>
      </c>
      <c r="J1880" s="80">
        <f>H1880*I1880</f>
        <v/>
      </c>
      <c r="K1880" s="43" t="inlineStr">
        <is>
          <t>来源页157</t>
        </is>
      </c>
      <c r="L1880" s="43">
        <f>A1880</f>
        <v/>
      </c>
      <c r="M1880" s="81" t="n"/>
      <c r="N1880" s="81" t="n"/>
      <c r="O1880" s="81" t="n"/>
      <c r="P1880" s="81" t="n"/>
      <c r="Q1880" s="81" t="n"/>
      <c r="R1880" s="81" t="n"/>
      <c r="S1880" s="81" t="n"/>
      <c r="T1880" s="81" t="n"/>
      <c r="U1880" s="81" t="n"/>
      <c r="V1880" s="81" t="n"/>
      <c r="W1880" s="43" t="n"/>
    </row>
    <row r="1881">
      <c r="A1881" s="43" t="inlineStr">
        <is>
          <t>N11α</t>
        </is>
      </c>
      <c r="B1881" s="43" t="inlineStr"/>
      <c r="C1881" s="43" t="inlineStr">
        <is>
          <t>节段05</t>
        </is>
      </c>
      <c r="D1881" s="43" t="inlineStr">
        <is>
          <t>Q420D</t>
        </is>
      </c>
      <c r="E1881" s="43" t="n"/>
      <c r="F1881" s="43" t="n"/>
      <c r="G1881" s="43" t="n">
        <v>40</v>
      </c>
      <c r="H1881" s="79">
        <f>(E1881/1000)*(F1881/1000)*(G1881/1000)*7850</f>
        <v/>
      </c>
      <c r="I1881" s="43" t="n">
        <v>1</v>
      </c>
      <c r="J1881" s="80">
        <f>H1881*I1881</f>
        <v/>
      </c>
      <c r="K1881" s="43" t="inlineStr">
        <is>
          <t>来源页158</t>
        </is>
      </c>
      <c r="L1881" s="43">
        <f>A1881</f>
        <v/>
      </c>
      <c r="M1881" s="81" t="n"/>
      <c r="N1881" s="81" t="n"/>
      <c r="O1881" s="81" t="n"/>
      <c r="P1881" s="81" t="n"/>
      <c r="Q1881" s="81" t="n"/>
      <c r="R1881" s="81" t="n"/>
      <c r="S1881" s="81" t="n"/>
      <c r="T1881" s="81" t="n"/>
      <c r="U1881" s="81" t="n"/>
      <c r="V1881" s="81" t="n"/>
      <c r="W1881" s="43" t="n"/>
    </row>
    <row r="1882">
      <c r="A1882" s="43" t="inlineStr">
        <is>
          <t>N11b</t>
        </is>
      </c>
      <c r="B1882" s="43" t="inlineStr"/>
      <c r="C1882" s="43" t="inlineStr">
        <is>
          <t>节段05</t>
        </is>
      </c>
      <c r="D1882" s="43" t="inlineStr">
        <is>
          <t>Q355D</t>
        </is>
      </c>
      <c r="E1882" s="43" t="n"/>
      <c r="F1882" s="43" t="n"/>
      <c r="G1882" s="43" t="n">
        <v>24</v>
      </c>
      <c r="H1882" s="79">
        <f>(E1882/1000)*(F1882/1000)*(G1882/1000)*7850</f>
        <v/>
      </c>
      <c r="I1882" s="43" t="n">
        <v>1</v>
      </c>
      <c r="J1882" s="80">
        <f>H1882*I1882</f>
        <v/>
      </c>
      <c r="K1882" s="43" t="inlineStr">
        <is>
          <t>来源页158</t>
        </is>
      </c>
      <c r="L1882" s="43">
        <f>A1882</f>
        <v/>
      </c>
      <c r="M1882" s="81" t="n"/>
      <c r="N1882" s="81" t="n"/>
      <c r="O1882" s="81" t="n"/>
      <c r="P1882" s="81" t="n"/>
      <c r="Q1882" s="81" t="n"/>
      <c r="R1882" s="81" t="n"/>
      <c r="S1882" s="81" t="n"/>
      <c r="T1882" s="81" t="n"/>
      <c r="U1882" s="81" t="n"/>
      <c r="V1882" s="81" t="n"/>
      <c r="W1882" s="43" t="n"/>
    </row>
    <row r="1883">
      <c r="A1883" s="43" t="inlineStr">
        <is>
          <t>N12α</t>
        </is>
      </c>
      <c r="B1883" s="43" t="inlineStr"/>
      <c r="C1883" s="43" t="inlineStr">
        <is>
          <t>节段05</t>
        </is>
      </c>
      <c r="D1883" s="43" t="inlineStr">
        <is>
          <t>Q420D</t>
        </is>
      </c>
      <c r="E1883" s="43" t="n">
        <v>7901</v>
      </c>
      <c r="F1883" s="43" t="n">
        <v>1200</v>
      </c>
      <c r="G1883" s="43" t="n">
        <v>40</v>
      </c>
      <c r="H1883" s="79">
        <f>(E1883/1000)*(F1883/1000)*(G1883/1000)*7850</f>
        <v/>
      </c>
      <c r="I1883" s="43" t="n">
        <v>1</v>
      </c>
      <c r="J1883" s="80">
        <f>H1883*I1883</f>
        <v/>
      </c>
      <c r="K1883" s="43" t="inlineStr">
        <is>
          <t>来源页158</t>
        </is>
      </c>
      <c r="L1883" s="43">
        <f>A1883</f>
        <v/>
      </c>
      <c r="M1883" s="81" t="n"/>
      <c r="N1883" s="81" t="n"/>
      <c r="O1883" s="81" t="n"/>
      <c r="P1883" s="81" t="n"/>
      <c r="Q1883" s="81" t="n"/>
      <c r="R1883" s="81" t="n"/>
      <c r="S1883" s="81" t="n"/>
      <c r="T1883" s="81" t="n"/>
      <c r="U1883" s="81" t="n"/>
      <c r="V1883" s="81" t="n"/>
      <c r="W1883" s="43" t="n"/>
    </row>
    <row r="1884">
      <c r="A1884" s="43" t="inlineStr">
        <is>
          <t>N12b</t>
        </is>
      </c>
      <c r="B1884" s="43" t="inlineStr"/>
      <c r="C1884" s="43" t="inlineStr">
        <is>
          <t>节段05</t>
        </is>
      </c>
      <c r="D1884" s="43" t="inlineStr">
        <is>
          <t>Q355D</t>
        </is>
      </c>
      <c r="E1884" s="43" t="n">
        <v>7101</v>
      </c>
      <c r="F1884" s="43" t="n">
        <v>1200</v>
      </c>
      <c r="G1884" s="43" t="n">
        <v>24</v>
      </c>
      <c r="H1884" s="79">
        <f>(E1884/1000)*(F1884/1000)*(G1884/1000)*7850</f>
        <v/>
      </c>
      <c r="I1884" s="43" t="n">
        <v>1</v>
      </c>
      <c r="J1884" s="80">
        <f>H1884*I1884</f>
        <v/>
      </c>
      <c r="K1884" s="43" t="inlineStr">
        <is>
          <t>来源页158</t>
        </is>
      </c>
      <c r="L1884" s="43">
        <f>A1884</f>
        <v/>
      </c>
      <c r="M1884" s="81" t="n"/>
      <c r="N1884" s="81" t="n"/>
      <c r="O1884" s="81" t="n"/>
      <c r="P1884" s="81" t="n"/>
      <c r="Q1884" s="81" t="n"/>
      <c r="R1884" s="81" t="n"/>
      <c r="S1884" s="81" t="n"/>
      <c r="T1884" s="81" t="n"/>
      <c r="U1884" s="81" t="n"/>
      <c r="V1884" s="81" t="n"/>
      <c r="W1884" s="43" t="n"/>
    </row>
    <row r="1885">
      <c r="A1885" s="43" t="inlineStr">
        <is>
          <t>N13</t>
        </is>
      </c>
      <c r="B1885" s="43" t="inlineStr"/>
      <c r="C1885" s="43" t="inlineStr">
        <is>
          <t>节段05</t>
        </is>
      </c>
      <c r="D1885" s="43" t="inlineStr">
        <is>
          <t>Q420D</t>
        </is>
      </c>
      <c r="E1885" s="43" t="n"/>
      <c r="F1885" s="43" t="n"/>
      <c r="G1885" s="43" t="n">
        <v>48</v>
      </c>
      <c r="H1885" s="79">
        <f>(E1885/1000)*(F1885/1000)*(G1885/1000)*7850</f>
        <v/>
      </c>
      <c r="I1885" s="43" t="n">
        <v>2</v>
      </c>
      <c r="J1885" s="80">
        <f>H1885*I1885</f>
        <v/>
      </c>
      <c r="K1885" s="43" t="inlineStr">
        <is>
          <t>来源页158</t>
        </is>
      </c>
      <c r="L1885" s="43">
        <f>A1885</f>
        <v/>
      </c>
      <c r="M1885" s="81" t="n"/>
      <c r="N1885" s="81" t="n"/>
      <c r="O1885" s="81" t="n"/>
      <c r="P1885" s="81" t="n"/>
      <c r="Q1885" s="81" t="n"/>
      <c r="R1885" s="81" t="n"/>
      <c r="S1885" s="81" t="n"/>
      <c r="T1885" s="81" t="n"/>
      <c r="U1885" s="81" t="n"/>
      <c r="V1885" s="81" t="n"/>
      <c r="W1885" s="43" t="n"/>
    </row>
    <row r="1886">
      <c r="A1886" s="43" t="inlineStr">
        <is>
          <t>N14</t>
        </is>
      </c>
      <c r="B1886" s="43" t="inlineStr"/>
      <c r="C1886" s="43" t="inlineStr">
        <is>
          <t>节段05</t>
        </is>
      </c>
      <c r="D1886" s="43" t="inlineStr">
        <is>
          <t>Q355D</t>
        </is>
      </c>
      <c r="E1886" s="43" t="n">
        <v>7301</v>
      </c>
      <c r="F1886" s="43" t="n">
        <v>1644</v>
      </c>
      <c r="G1886" s="43" t="n">
        <v>32</v>
      </c>
      <c r="H1886" s="79">
        <f>(E1886/1000)*(F1886/1000)*(G1886/1000)*7850</f>
        <v/>
      </c>
      <c r="I1886" s="43" t="n">
        <v>2</v>
      </c>
      <c r="J1886" s="80">
        <f>H1886*I1886</f>
        <v/>
      </c>
      <c r="K1886" s="43" t="inlineStr">
        <is>
          <t>来源页158</t>
        </is>
      </c>
      <c r="L1886" s="43">
        <f>A1886</f>
        <v/>
      </c>
      <c r="M1886" s="81" t="n"/>
      <c r="N1886" s="81" t="n"/>
      <c r="O1886" s="81" t="n"/>
      <c r="P1886" s="81" t="n"/>
      <c r="Q1886" s="81" t="n"/>
      <c r="R1886" s="81" t="n"/>
      <c r="S1886" s="81" t="n"/>
      <c r="T1886" s="81" t="n"/>
      <c r="U1886" s="81" t="n"/>
      <c r="V1886" s="81" t="n"/>
      <c r="W1886" s="43" t="n"/>
    </row>
    <row r="1887">
      <c r="A1887" s="43" t="inlineStr">
        <is>
          <t>N15</t>
        </is>
      </c>
      <c r="B1887" s="43" t="inlineStr"/>
      <c r="C1887" s="43" t="inlineStr">
        <is>
          <t>节段05</t>
        </is>
      </c>
      <c r="D1887" s="43" t="inlineStr">
        <is>
          <t>Q355D</t>
        </is>
      </c>
      <c r="E1887" s="43" t="n">
        <v>1560</v>
      </c>
      <c r="F1887" s="43" t="n">
        <v>1200</v>
      </c>
      <c r="G1887" s="43" t="n">
        <v>16</v>
      </c>
      <c r="H1887" s="79">
        <f>(E1887/1000)*(F1887/1000)*(G1887/1000)*7850</f>
        <v/>
      </c>
      <c r="I1887" s="43" t="n">
        <v>3</v>
      </c>
      <c r="J1887" s="80">
        <f>H1887*I1887</f>
        <v/>
      </c>
      <c r="K1887" s="43" t="inlineStr">
        <is>
          <t>来源页158</t>
        </is>
      </c>
      <c r="L1887" s="43">
        <f>A1887</f>
        <v/>
      </c>
      <c r="M1887" s="81" t="n"/>
      <c r="N1887" s="81" t="n"/>
      <c r="O1887" s="81" t="n"/>
      <c r="P1887" s="81" t="n"/>
      <c r="Q1887" s="81" t="n"/>
      <c r="R1887" s="81" t="n"/>
      <c r="S1887" s="81" t="n"/>
      <c r="T1887" s="81" t="n"/>
      <c r="U1887" s="81" t="n"/>
      <c r="V1887" s="81" t="n"/>
      <c r="W1887" s="43" t="n"/>
    </row>
    <row r="1888">
      <c r="A1888" s="43" t="inlineStr">
        <is>
          <t>N15a</t>
        </is>
      </c>
      <c r="B1888" s="43" t="inlineStr"/>
      <c r="C1888" s="43" t="inlineStr">
        <is>
          <t>节段05</t>
        </is>
      </c>
      <c r="D1888" s="43" t="inlineStr">
        <is>
          <t>Q355D</t>
        </is>
      </c>
      <c r="E1888" s="43" t="n">
        <v>1576</v>
      </c>
      <c r="F1888" s="43" t="n">
        <v>1200</v>
      </c>
      <c r="G1888" s="43" t="n">
        <v>16</v>
      </c>
      <c r="H1888" s="79">
        <f>(E1888/1000)*(F1888/1000)*(G1888/1000)*7850</f>
        <v/>
      </c>
      <c r="I1888" s="43" t="n">
        <v>2</v>
      </c>
      <c r="J1888" s="80">
        <f>H1888*I1888</f>
        <v/>
      </c>
      <c r="K1888" s="43" t="inlineStr">
        <is>
          <t>来源页158</t>
        </is>
      </c>
      <c r="L1888" s="43">
        <f>A1888</f>
        <v/>
      </c>
      <c r="M1888" s="81" t="n"/>
      <c r="N1888" s="81" t="n"/>
      <c r="O1888" s="81" t="n"/>
      <c r="P1888" s="81" t="n"/>
      <c r="Q1888" s="81" t="n"/>
      <c r="R1888" s="81" t="n"/>
      <c r="S1888" s="81" t="n"/>
      <c r="T1888" s="81" t="n"/>
      <c r="U1888" s="81" t="n"/>
      <c r="V1888" s="81" t="n"/>
      <c r="W1888" s="43" t="n"/>
    </row>
    <row r="1889">
      <c r="A1889" s="43" t="inlineStr">
        <is>
          <t>N15‘</t>
        </is>
      </c>
      <c r="B1889" s="43" t="inlineStr"/>
      <c r="C1889" s="43" t="inlineStr">
        <is>
          <t>节段05</t>
        </is>
      </c>
      <c r="D1889" s="43" t="inlineStr">
        <is>
          <t>Q355D</t>
        </is>
      </c>
      <c r="E1889" s="43" t="n">
        <v>2057</v>
      </c>
      <c r="F1889" s="43" t="n">
        <v>200</v>
      </c>
      <c r="G1889" s="43" t="n">
        <v>16</v>
      </c>
      <c r="H1889" s="79">
        <f>(E1889/1000)*(F1889/1000)*(G1889/1000)*7850</f>
        <v/>
      </c>
      <c r="I1889" s="43" t="n">
        <v>3</v>
      </c>
      <c r="J1889" s="80">
        <f>H1889*I1889</f>
        <v/>
      </c>
      <c r="K1889" s="43" t="inlineStr">
        <is>
          <t>来源页158</t>
        </is>
      </c>
      <c r="L1889" s="43">
        <f>A1889</f>
        <v/>
      </c>
      <c r="M1889" s="81" t="n"/>
      <c r="N1889" s="81" t="n"/>
      <c r="O1889" s="81" t="n"/>
      <c r="P1889" s="81" t="n"/>
      <c r="Q1889" s="81" t="n"/>
      <c r="R1889" s="81" t="n"/>
      <c r="S1889" s="81" t="n"/>
      <c r="T1889" s="81" t="n"/>
      <c r="U1889" s="81" t="n"/>
      <c r="V1889" s="81" t="n"/>
      <c r="W1889" s="43" t="n"/>
    </row>
    <row r="1890">
      <c r="A1890" s="43" t="inlineStr">
        <is>
          <t>N15b</t>
        </is>
      </c>
      <c r="B1890" s="43" t="inlineStr"/>
      <c r="C1890" s="43" t="inlineStr">
        <is>
          <t>节段05</t>
        </is>
      </c>
      <c r="D1890" s="43" t="inlineStr">
        <is>
          <t>Q355D</t>
        </is>
      </c>
      <c r="E1890" s="43" t="n">
        <v>1782</v>
      </c>
      <c r="F1890" s="43" t="n">
        <v>40</v>
      </c>
      <c r="G1890" s="43" t="n">
        <v>4</v>
      </c>
      <c r="H1890" s="79">
        <f>(E1890/1000)*(F1890/1000)*(G1890/1000)*7850</f>
        <v/>
      </c>
      <c r="I1890" s="43" t="n">
        <v>4</v>
      </c>
      <c r="J1890" s="80">
        <f>H1890*I1890</f>
        <v/>
      </c>
      <c r="K1890" s="43" t="inlineStr">
        <is>
          <t>来源页158</t>
        </is>
      </c>
      <c r="L1890" s="43">
        <f>A1890</f>
        <v/>
      </c>
      <c r="M1890" s="81" t="n"/>
      <c r="N1890" s="81" t="n"/>
      <c r="O1890" s="81" t="n"/>
      <c r="P1890" s="81" t="n"/>
      <c r="Q1890" s="81" t="n"/>
      <c r="R1890" s="81" t="n"/>
      <c r="S1890" s="81" t="n"/>
      <c r="T1890" s="81" t="n"/>
      <c r="U1890" s="81" t="n"/>
      <c r="V1890" s="81" t="n"/>
      <c r="W1890" s="43" t="n"/>
    </row>
    <row r="1891">
      <c r="A1891" s="43" t="inlineStr">
        <is>
          <t>N15c</t>
        </is>
      </c>
      <c r="B1891" s="43" t="inlineStr"/>
      <c r="C1891" s="43" t="inlineStr">
        <is>
          <t>节段05</t>
        </is>
      </c>
      <c r="D1891" s="43" t="inlineStr">
        <is>
          <t>Q355D</t>
        </is>
      </c>
      <c r="E1891" s="43" t="n">
        <v>600</v>
      </c>
      <c r="F1891" s="43" t="n">
        <v>400</v>
      </c>
      <c r="G1891" s="43" t="n">
        <v>16</v>
      </c>
      <c r="H1891" s="79">
        <f>(E1891/1000)*(F1891/1000)*(G1891/1000)*7850</f>
        <v/>
      </c>
      <c r="I1891" s="43" t="n">
        <v>4</v>
      </c>
      <c r="J1891" s="80">
        <f>H1891*I1891</f>
        <v/>
      </c>
      <c r="K1891" s="43" t="inlineStr">
        <is>
          <t>来源页158</t>
        </is>
      </c>
      <c r="L1891" s="43">
        <f>A1891</f>
        <v/>
      </c>
      <c r="M1891" s="81" t="n"/>
      <c r="N1891" s="81" t="n"/>
      <c r="O1891" s="81" t="n"/>
      <c r="P1891" s="81" t="n"/>
      <c r="Q1891" s="81" t="n"/>
      <c r="R1891" s="81" t="n"/>
      <c r="S1891" s="81" t="n"/>
      <c r="T1891" s="81" t="n"/>
      <c r="U1891" s="81" t="n"/>
      <c r="V1891" s="81" t="n"/>
      <c r="W1891" s="43" t="n"/>
    </row>
    <row r="1892">
      <c r="A1892" s="43" t="inlineStr">
        <is>
          <t>N16a</t>
        </is>
      </c>
      <c r="B1892" s="43" t="inlineStr"/>
      <c r="C1892" s="43" t="inlineStr">
        <is>
          <t>节段05</t>
        </is>
      </c>
      <c r="D1892" s="43" t="inlineStr">
        <is>
          <t>Q420D</t>
        </is>
      </c>
      <c r="E1892" s="43" t="n">
        <v>7901</v>
      </c>
      <c r="F1892" s="43" t="n">
        <v>320</v>
      </c>
      <c r="G1892" s="43" t="n">
        <v>32</v>
      </c>
      <c r="H1892" s="79">
        <f>(E1892/1000)*(F1892/1000)*(G1892/1000)*7850</f>
        <v/>
      </c>
      <c r="I1892" s="43" t="n">
        <v>6</v>
      </c>
      <c r="J1892" s="80">
        <f>H1892*I1892</f>
        <v/>
      </c>
      <c r="K1892" s="43" t="inlineStr">
        <is>
          <t>来源页158</t>
        </is>
      </c>
      <c r="L1892" s="43">
        <f>A1892</f>
        <v/>
      </c>
      <c r="M1892" s="81" t="n"/>
      <c r="N1892" s="81" t="n"/>
      <c r="O1892" s="81" t="n"/>
      <c r="P1892" s="81" t="n"/>
      <c r="Q1892" s="81" t="n"/>
      <c r="R1892" s="81" t="n"/>
      <c r="S1892" s="81" t="n"/>
      <c r="T1892" s="81" t="n"/>
      <c r="U1892" s="81" t="n"/>
      <c r="V1892" s="81" t="n"/>
      <c r="W1892" s="43" t="n"/>
    </row>
    <row r="1893">
      <c r="A1893" s="43" t="inlineStr">
        <is>
          <t>N16b</t>
        </is>
      </c>
      <c r="B1893" s="43" t="inlineStr"/>
      <c r="C1893" s="43" t="inlineStr">
        <is>
          <t>节段05</t>
        </is>
      </c>
      <c r="D1893" s="43" t="inlineStr">
        <is>
          <t>Q355D</t>
        </is>
      </c>
      <c r="E1893" s="43" t="n">
        <v>7101</v>
      </c>
      <c r="F1893" s="43" t="n">
        <v>240</v>
      </c>
      <c r="G1893" s="43" t="n">
        <v>24</v>
      </c>
      <c r="H1893" s="79">
        <f>(E1893/1000)*(F1893/1000)*(G1893/1000)*7850</f>
        <v/>
      </c>
      <c r="I1893" s="43" t="n">
        <v>6</v>
      </c>
      <c r="J1893" s="80">
        <f>H1893*I1893</f>
        <v/>
      </c>
      <c r="K1893" s="43" t="inlineStr">
        <is>
          <t>来源页158</t>
        </is>
      </c>
      <c r="L1893" s="43">
        <f>A1893</f>
        <v/>
      </c>
      <c r="M1893" s="81" t="n"/>
      <c r="N1893" s="81" t="n"/>
      <c r="O1893" s="81" t="n"/>
      <c r="P1893" s="81" t="n"/>
      <c r="Q1893" s="81" t="n"/>
      <c r="R1893" s="81" t="n"/>
      <c r="S1893" s="81" t="n"/>
      <c r="T1893" s="81" t="n"/>
      <c r="U1893" s="81" t="n"/>
      <c r="V1893" s="81" t="n"/>
      <c r="W1893" s="43" t="n"/>
    </row>
    <row r="1894">
      <c r="A1894" s="43" t="inlineStr">
        <is>
          <t>N21a</t>
        </is>
      </c>
      <c r="B1894" s="43" t="inlineStr"/>
      <c r="C1894" s="43" t="inlineStr">
        <is>
          <t>节段05</t>
        </is>
      </c>
      <c r="D1894" s="43" t="inlineStr">
        <is>
          <t>Q355D</t>
        </is>
      </c>
      <c r="E1894" s="43" t="n">
        <v>7903</v>
      </c>
      <c r="F1894" s="43" t="n">
        <v>1850</v>
      </c>
      <c r="G1894" s="43" t="n">
        <v>20</v>
      </c>
      <c r="H1894" s="79">
        <f>(E1894/1000)*(F1894/1000)*(G1894/1000)*7850</f>
        <v/>
      </c>
      <c r="I1894" s="43" t="n">
        <v>1</v>
      </c>
      <c r="J1894" s="80">
        <f>H1894*I1894</f>
        <v/>
      </c>
      <c r="K1894" s="43" t="inlineStr">
        <is>
          <t>来源页158</t>
        </is>
      </c>
      <c r="L1894" s="43">
        <f>A1894</f>
        <v/>
      </c>
      <c r="M1894" s="81" t="n"/>
      <c r="N1894" s="81" t="n"/>
      <c r="O1894" s="81" t="n"/>
      <c r="P1894" s="81" t="n"/>
      <c r="Q1894" s="81" t="n"/>
      <c r="R1894" s="81" t="n"/>
      <c r="S1894" s="81" t="n"/>
      <c r="T1894" s="81" t="n"/>
      <c r="U1894" s="81" t="n"/>
      <c r="V1894" s="81" t="n"/>
      <c r="W1894" s="43" t="n"/>
    </row>
    <row r="1895">
      <c r="A1895" s="43" t="inlineStr">
        <is>
          <t>N21b</t>
        </is>
      </c>
      <c r="B1895" s="43" t="inlineStr"/>
      <c r="C1895" s="43" t="inlineStr">
        <is>
          <t>节段05</t>
        </is>
      </c>
      <c r="D1895" s="43" t="inlineStr">
        <is>
          <t>Q355D</t>
        </is>
      </c>
      <c r="E1895" s="43" t="n">
        <v>7102</v>
      </c>
      <c r="F1895" s="43" t="n">
        <v>1850</v>
      </c>
      <c r="G1895" s="43" t="n">
        <v>24</v>
      </c>
      <c r="H1895" s="79">
        <f>(E1895/1000)*(F1895/1000)*(G1895/1000)*7850</f>
        <v/>
      </c>
      <c r="I1895" s="43" t="n">
        <v>1</v>
      </c>
      <c r="J1895" s="80">
        <f>H1895*I1895</f>
        <v/>
      </c>
      <c r="K1895" s="43" t="inlineStr">
        <is>
          <t>来源页158</t>
        </is>
      </c>
      <c r="L1895" s="43">
        <f>A1895</f>
        <v/>
      </c>
      <c r="M1895" s="81" t="n"/>
      <c r="N1895" s="81" t="n"/>
      <c r="O1895" s="81" t="n"/>
      <c r="P1895" s="81" t="n"/>
      <c r="Q1895" s="81" t="n"/>
      <c r="R1895" s="81" t="n"/>
      <c r="S1895" s="81" t="n"/>
      <c r="T1895" s="81" t="n"/>
      <c r="U1895" s="81" t="n"/>
      <c r="V1895" s="81" t="n"/>
      <c r="W1895" s="43" t="n"/>
    </row>
    <row r="1896">
      <c r="A1896" s="43" t="inlineStr">
        <is>
          <t>N22α</t>
        </is>
      </c>
      <c r="B1896" s="43" t="inlineStr"/>
      <c r="C1896" s="43" t="inlineStr">
        <is>
          <t>节段05</t>
        </is>
      </c>
      <c r="D1896" s="43" t="inlineStr">
        <is>
          <t>Q355D</t>
        </is>
      </c>
      <c r="E1896" s="43" t="n"/>
      <c r="F1896" s="43" t="n"/>
      <c r="G1896" s="43" t="n">
        <v>20</v>
      </c>
      <c r="H1896" s="79">
        <f>(E1896/1000)*(F1896/1000)*(G1896/1000)*7850</f>
        <v/>
      </c>
      <c r="I1896" s="43" t="n">
        <v>1</v>
      </c>
      <c r="J1896" s="80">
        <f>H1896*I1896</f>
        <v/>
      </c>
      <c r="K1896" s="43" t="inlineStr">
        <is>
          <t>来源页158</t>
        </is>
      </c>
      <c r="L1896" s="43">
        <f>A1896</f>
        <v/>
      </c>
      <c r="M1896" s="81" t="n"/>
      <c r="N1896" s="81" t="n"/>
      <c r="O1896" s="81" t="n"/>
      <c r="P1896" s="81" t="n"/>
      <c r="Q1896" s="81" t="n"/>
      <c r="R1896" s="81" t="n"/>
      <c r="S1896" s="81" t="n"/>
      <c r="T1896" s="81" t="n"/>
      <c r="U1896" s="81" t="n"/>
      <c r="V1896" s="81" t="n"/>
      <c r="W1896" s="43" t="n"/>
    </row>
    <row r="1897">
      <c r="A1897" s="43" t="inlineStr">
        <is>
          <t>N22b</t>
        </is>
      </c>
      <c r="B1897" s="43" t="inlineStr"/>
      <c r="C1897" s="43" t="inlineStr">
        <is>
          <t>节段05</t>
        </is>
      </c>
      <c r="D1897" s="43" t="inlineStr">
        <is>
          <t>Q355D</t>
        </is>
      </c>
      <c r="E1897" s="43" t="n"/>
      <c r="F1897" s="43" t="n"/>
      <c r="G1897" s="43" t="n">
        <v>24</v>
      </c>
      <c r="H1897" s="79">
        <f>(E1897/1000)*(F1897/1000)*(G1897/1000)*7850</f>
        <v/>
      </c>
      <c r="I1897" s="43" t="n">
        <v>1</v>
      </c>
      <c r="J1897" s="80">
        <f>H1897*I1897</f>
        <v/>
      </c>
      <c r="K1897" s="43" t="inlineStr">
        <is>
          <t>来源页158</t>
        </is>
      </c>
      <c r="L1897" s="43">
        <f>A1897</f>
        <v/>
      </c>
      <c r="M1897" s="81" t="n"/>
      <c r="N1897" s="81" t="n"/>
      <c r="O1897" s="81" t="n"/>
      <c r="P1897" s="81" t="n"/>
      <c r="Q1897" s="81" t="n"/>
      <c r="R1897" s="81" t="n"/>
      <c r="S1897" s="81" t="n"/>
      <c r="T1897" s="81" t="n"/>
      <c r="U1897" s="81" t="n"/>
      <c r="V1897" s="81" t="n"/>
      <c r="W1897" s="43" t="n"/>
    </row>
    <row r="1898">
      <c r="A1898" s="43" t="inlineStr">
        <is>
          <t>N23</t>
        </is>
      </c>
      <c r="B1898" s="43" t="inlineStr"/>
      <c r="C1898" s="43" t="inlineStr">
        <is>
          <t>节段05</t>
        </is>
      </c>
      <c r="D1898" s="43" t="inlineStr">
        <is>
          <t>Q355D</t>
        </is>
      </c>
      <c r="E1898" s="43" t="n"/>
      <c r="F1898" s="43" t="n"/>
      <c r="G1898" s="43" t="n">
        <v>40</v>
      </c>
      <c r="H1898" s="79">
        <f>(E1898/1000)*(F1898/1000)*(G1898/1000)*7850</f>
        <v/>
      </c>
      <c r="I1898" s="43" t="n">
        <v>2</v>
      </c>
      <c r="J1898" s="80">
        <f>H1898*I1898</f>
        <v/>
      </c>
      <c r="K1898" s="43" t="inlineStr">
        <is>
          <t>Z35钢；来源页158</t>
        </is>
      </c>
      <c r="L1898" s="43">
        <f>A1898</f>
        <v/>
      </c>
      <c r="M1898" s="81" t="n"/>
      <c r="N1898" s="81" t="n"/>
      <c r="O1898" s="81" t="n"/>
      <c r="P1898" s="81" t="n"/>
      <c r="Q1898" s="81" t="n"/>
      <c r="R1898" s="81" t="n"/>
      <c r="S1898" s="81" t="n"/>
      <c r="T1898" s="81" t="n"/>
      <c r="U1898" s="81" t="n"/>
      <c r="V1898" s="81" t="n"/>
      <c r="W1898" s="43" t="n"/>
    </row>
    <row r="1899">
      <c r="A1899" s="43" t="inlineStr">
        <is>
          <t>N24</t>
        </is>
      </c>
      <c r="B1899" s="43" t="inlineStr"/>
      <c r="C1899" s="43" t="inlineStr">
        <is>
          <t>节段05</t>
        </is>
      </c>
      <c r="D1899" s="43" t="inlineStr">
        <is>
          <t>Q355D</t>
        </is>
      </c>
      <c r="E1899" s="43" t="n">
        <v>7302</v>
      </c>
      <c r="F1899" s="43" t="n">
        <v>1474</v>
      </c>
      <c r="G1899" s="43" t="n">
        <v>32</v>
      </c>
      <c r="H1899" s="79">
        <f>(E1899/1000)*(F1899/1000)*(G1899/1000)*7850</f>
        <v/>
      </c>
      <c r="I1899" s="43" t="n">
        <v>2</v>
      </c>
      <c r="J1899" s="80">
        <f>H1899*I1899</f>
        <v/>
      </c>
      <c r="K1899" s="43" t="inlineStr">
        <is>
          <t>来源页158</t>
        </is>
      </c>
      <c r="L1899" s="43">
        <f>A1899</f>
        <v/>
      </c>
      <c r="M1899" s="81" t="n"/>
      <c r="N1899" s="81" t="n"/>
      <c r="O1899" s="81" t="n"/>
      <c r="P1899" s="81" t="n"/>
      <c r="Q1899" s="81" t="n"/>
      <c r="R1899" s="81" t="n"/>
      <c r="S1899" s="81" t="n"/>
      <c r="T1899" s="81" t="n"/>
      <c r="U1899" s="81" t="n"/>
      <c r="V1899" s="81" t="n"/>
      <c r="W1899" s="43" t="n"/>
    </row>
    <row r="1900">
      <c r="A1900" s="43" t="inlineStr">
        <is>
          <t>N25</t>
        </is>
      </c>
      <c r="B1900" s="43" t="inlineStr"/>
      <c r="C1900" s="43" t="inlineStr">
        <is>
          <t>节段05</t>
        </is>
      </c>
      <c r="D1900" s="43" t="inlineStr">
        <is>
          <t>Q355D</t>
        </is>
      </c>
      <c r="E1900" s="43" t="n">
        <v>1450</v>
      </c>
      <c r="F1900" s="43" t="n">
        <v>1200</v>
      </c>
      <c r="G1900" s="43" t="n">
        <v>16</v>
      </c>
      <c r="H1900" s="79">
        <f>(E1900/1000)*(F1900/1000)*(G1900/1000)*7850</f>
        <v/>
      </c>
      <c r="I1900" s="43" t="n">
        <v>3</v>
      </c>
      <c r="J1900" s="80">
        <f>H1900*I1900</f>
        <v/>
      </c>
      <c r="K1900" s="43" t="inlineStr">
        <is>
          <t>来源页158</t>
        </is>
      </c>
      <c r="L1900" s="43">
        <f>A1900</f>
        <v/>
      </c>
      <c r="M1900" s="81" t="n"/>
      <c r="N1900" s="81" t="n"/>
      <c r="O1900" s="81" t="n"/>
      <c r="P1900" s="81" t="n"/>
      <c r="Q1900" s="81" t="n"/>
      <c r="R1900" s="81" t="n"/>
      <c r="S1900" s="81" t="n"/>
      <c r="T1900" s="81" t="n"/>
      <c r="U1900" s="81" t="n"/>
      <c r="V1900" s="81" t="n"/>
      <c r="W1900" s="43" t="n"/>
    </row>
    <row r="1901">
      <c r="A1901" s="43" t="inlineStr">
        <is>
          <t>N25a</t>
        </is>
      </c>
      <c r="B1901" s="43" t="inlineStr"/>
      <c r="C1901" s="43" t="inlineStr">
        <is>
          <t>节段05</t>
        </is>
      </c>
      <c r="D1901" s="43" t="inlineStr">
        <is>
          <t>Q355D</t>
        </is>
      </c>
      <c r="E1901" s="43" t="n">
        <v>1450</v>
      </c>
      <c r="F1901" s="43" t="n">
        <v>1200</v>
      </c>
      <c r="G1901" s="43" t="n">
        <v>16</v>
      </c>
      <c r="H1901" s="79">
        <f>(E1901/1000)*(F1901/1000)*(G1901/1000)*7850</f>
        <v/>
      </c>
      <c r="I1901" s="43" t="n">
        <v>2</v>
      </c>
      <c r="J1901" s="80">
        <f>H1901*I1901</f>
        <v/>
      </c>
      <c r="K1901" s="43" t="inlineStr">
        <is>
          <t>来源页158</t>
        </is>
      </c>
      <c r="L1901" s="43">
        <f>A1901</f>
        <v/>
      </c>
      <c r="M1901" s="81" t="n"/>
      <c r="N1901" s="81" t="n"/>
      <c r="O1901" s="81" t="n"/>
      <c r="P1901" s="81" t="n"/>
      <c r="Q1901" s="81" t="n"/>
      <c r="R1901" s="81" t="n"/>
      <c r="S1901" s="81" t="n"/>
      <c r="T1901" s="81" t="n"/>
      <c r="U1901" s="81" t="n"/>
      <c r="V1901" s="81" t="n"/>
      <c r="W1901" s="43" t="n"/>
    </row>
    <row r="1902">
      <c r="A1902" s="43" t="inlineStr">
        <is>
          <t>N25'</t>
        </is>
      </c>
      <c r="B1902" s="43" t="inlineStr"/>
      <c r="C1902" s="43" t="inlineStr">
        <is>
          <t>节段05</t>
        </is>
      </c>
      <c r="D1902" s="43" t="inlineStr">
        <is>
          <t>Q355D</t>
        </is>
      </c>
      <c r="E1902" s="43" t="n">
        <v>1657</v>
      </c>
      <c r="F1902" s="43" t="n">
        <v>200</v>
      </c>
      <c r="G1902" s="43" t="n">
        <v>16</v>
      </c>
      <c r="H1902" s="79">
        <f>(E1902/1000)*(F1902/1000)*(G1902/1000)*7850</f>
        <v/>
      </c>
      <c r="I1902" s="43" t="n">
        <v>3</v>
      </c>
      <c r="J1902" s="80">
        <f>H1902*I1902</f>
        <v/>
      </c>
      <c r="K1902" s="43" t="inlineStr">
        <is>
          <t>来源页158</t>
        </is>
      </c>
      <c r="L1902" s="43">
        <f>A1902</f>
        <v/>
      </c>
      <c r="M1902" s="81" t="n"/>
      <c r="N1902" s="81" t="n"/>
      <c r="O1902" s="81" t="n"/>
      <c r="P1902" s="81" t="n"/>
      <c r="Q1902" s="81" t="n"/>
      <c r="R1902" s="81" t="n"/>
      <c r="S1902" s="81" t="n"/>
      <c r="T1902" s="81" t="n"/>
      <c r="U1902" s="81" t="n"/>
      <c r="V1902" s="81" t="n"/>
      <c r="W1902" s="43" t="n"/>
    </row>
    <row r="1903">
      <c r="A1903" s="43" t="inlineStr">
        <is>
          <t>N26a</t>
        </is>
      </c>
      <c r="B1903" s="43" t="inlineStr"/>
      <c r="C1903" s="43" t="inlineStr">
        <is>
          <t>节段05</t>
        </is>
      </c>
      <c r="D1903" s="43" t="inlineStr">
        <is>
          <t>Q355D</t>
        </is>
      </c>
      <c r="E1903" s="43" t="n">
        <v>7903</v>
      </c>
      <c r="F1903" s="43" t="n">
        <v>240</v>
      </c>
      <c r="G1903" s="43" t="n">
        <v>20</v>
      </c>
      <c r="H1903" s="79">
        <f>(E1903/1000)*(F1903/1000)*(G1903/1000)*7850</f>
        <v/>
      </c>
      <c r="I1903" s="43" t="n">
        <v>4</v>
      </c>
      <c r="J1903" s="80">
        <f>H1903*I1903</f>
        <v/>
      </c>
      <c r="K1903" s="43" t="inlineStr">
        <is>
          <t>来源页158</t>
        </is>
      </c>
      <c r="L1903" s="43">
        <f>A1903</f>
        <v/>
      </c>
      <c r="M1903" s="81" t="n"/>
      <c r="N1903" s="81" t="n"/>
      <c r="O1903" s="81" t="n"/>
      <c r="P1903" s="81" t="n"/>
      <c r="Q1903" s="81" t="n"/>
      <c r="R1903" s="81" t="n"/>
      <c r="S1903" s="81" t="n"/>
      <c r="T1903" s="81" t="n"/>
      <c r="U1903" s="81" t="n"/>
      <c r="V1903" s="81" t="n"/>
      <c r="W1903" s="43" t="n"/>
    </row>
    <row r="1904">
      <c r="A1904" s="43" t="inlineStr">
        <is>
          <t>N26b</t>
        </is>
      </c>
      <c r="B1904" s="43" t="inlineStr"/>
      <c r="C1904" s="43" t="inlineStr">
        <is>
          <t>节段05</t>
        </is>
      </c>
      <c r="D1904" s="43" t="inlineStr">
        <is>
          <t>Q355D</t>
        </is>
      </c>
      <c r="E1904" s="43" t="n">
        <v>7102</v>
      </c>
      <c r="F1904" s="43" t="n">
        <v>320</v>
      </c>
      <c r="G1904" s="43" t="n">
        <v>32</v>
      </c>
      <c r="H1904" s="79">
        <f>(E1904/1000)*(F1904/1000)*(G1904/1000)*7850</f>
        <v/>
      </c>
      <c r="I1904" s="43" t="n">
        <v>4</v>
      </c>
      <c r="J1904" s="80">
        <f>H1904*I1904</f>
        <v/>
      </c>
      <c r="K1904" s="43" t="inlineStr">
        <is>
          <t>来源页158</t>
        </is>
      </c>
      <c r="L1904" s="43">
        <f>A1904</f>
        <v/>
      </c>
      <c r="M1904" s="81" t="n"/>
      <c r="N1904" s="81" t="n"/>
      <c r="O1904" s="81" t="n"/>
      <c r="P1904" s="81" t="n"/>
      <c r="Q1904" s="81" t="n"/>
      <c r="R1904" s="81" t="n"/>
      <c r="S1904" s="81" t="n"/>
      <c r="T1904" s="81" t="n"/>
      <c r="U1904" s="81" t="n"/>
      <c r="V1904" s="81" t="n"/>
      <c r="W1904" s="43" t="n"/>
    </row>
    <row r="1905">
      <c r="A1905" s="43" t="inlineStr">
        <is>
          <t>N26c</t>
        </is>
      </c>
      <c r="B1905" s="43" t="inlineStr"/>
      <c r="C1905" s="43" t="inlineStr">
        <is>
          <t>节段05</t>
        </is>
      </c>
      <c r="D1905" s="43" t="inlineStr">
        <is>
          <t>Q355D</t>
        </is>
      </c>
      <c r="E1905" s="43" t="n">
        <v>15005</v>
      </c>
      <c r="F1905" s="43" t="n">
        <v>170</v>
      </c>
      <c r="G1905" s="43" t="n">
        <v>14</v>
      </c>
      <c r="H1905" s="79">
        <f>(E1905/1000)*(F1905/1000)*(G1905/1000)*7850</f>
        <v/>
      </c>
      <c r="I1905" s="43" t="n">
        <v>1</v>
      </c>
      <c r="J1905" s="80">
        <f>H1905*I1905</f>
        <v/>
      </c>
      <c r="K1905" s="43" t="inlineStr">
        <is>
          <t>来源页158</t>
        </is>
      </c>
      <c r="L1905" s="43">
        <f>A1905</f>
        <v/>
      </c>
      <c r="M1905" s="81" t="n"/>
      <c r="N1905" s="81" t="n"/>
      <c r="O1905" s="81" t="n"/>
      <c r="P1905" s="81" t="n"/>
      <c r="Q1905" s="81" t="n"/>
      <c r="R1905" s="81" t="n"/>
      <c r="S1905" s="81" t="n"/>
      <c r="T1905" s="81" t="n"/>
      <c r="U1905" s="81" t="n"/>
      <c r="V1905" s="81" t="n"/>
      <c r="W1905" s="43" t="n"/>
    </row>
    <row r="1906">
      <c r="A1906" s="43" t="inlineStr">
        <is>
          <t>N31</t>
        </is>
      </c>
      <c r="B1906" s="43" t="inlineStr"/>
      <c r="C1906" s="43" t="inlineStr">
        <is>
          <t>节段05</t>
        </is>
      </c>
      <c r="D1906" s="43" t="inlineStr">
        <is>
          <t>Q355D</t>
        </is>
      </c>
      <c r="E1906" s="43" t="n">
        <v>12781</v>
      </c>
      <c r="F1906" s="43" t="n">
        <v>1200</v>
      </c>
      <c r="G1906" s="43" t="n">
        <v>36</v>
      </c>
      <c r="H1906" s="79">
        <f>(E1906/1000)*(F1906/1000)*(G1906/1000)*7850</f>
        <v/>
      </c>
      <c r="I1906" s="43" t="n">
        <v>1</v>
      </c>
      <c r="J1906" s="80">
        <f>H1906*I1906</f>
        <v/>
      </c>
      <c r="K1906" s="43" t="inlineStr">
        <is>
          <t>来源页158</t>
        </is>
      </c>
      <c r="L1906" s="43">
        <f>A1906</f>
        <v/>
      </c>
      <c r="M1906" s="81" t="n"/>
      <c r="N1906" s="81" t="n"/>
      <c r="O1906" s="81" t="n"/>
      <c r="P1906" s="81" t="n"/>
      <c r="Q1906" s="81" t="n"/>
      <c r="R1906" s="81" t="n"/>
      <c r="S1906" s="81" t="n"/>
      <c r="T1906" s="81" t="n"/>
      <c r="U1906" s="81" t="n"/>
      <c r="V1906" s="81" t="n"/>
      <c r="W1906" s="43" t="n"/>
    </row>
    <row r="1907">
      <c r="A1907" s="43" t="inlineStr">
        <is>
          <t>N31a</t>
        </is>
      </c>
      <c r="B1907" s="43" t="inlineStr"/>
      <c r="C1907" s="43" t="inlineStr">
        <is>
          <t>节段05</t>
        </is>
      </c>
      <c r="D1907" s="43" t="inlineStr">
        <is>
          <t>Q355D</t>
        </is>
      </c>
      <c r="E1907" s="43" t="n">
        <v>12781</v>
      </c>
      <c r="F1907" s="43" t="n">
        <v>1200</v>
      </c>
      <c r="G1907" s="43" t="n">
        <v>36</v>
      </c>
      <c r="H1907" s="79">
        <f>(E1907/1000)*(F1907/1000)*(G1907/1000)*7850</f>
        <v/>
      </c>
      <c r="I1907" s="43" t="n">
        <v>1</v>
      </c>
      <c r="J1907" s="80">
        <f>H1907*I1907</f>
        <v/>
      </c>
      <c r="K1907" s="43" t="inlineStr">
        <is>
          <t>来源页158</t>
        </is>
      </c>
      <c r="L1907" s="43">
        <f>A1907</f>
        <v/>
      </c>
      <c r="M1907" s="81" t="n"/>
      <c r="N1907" s="81" t="n"/>
      <c r="O1907" s="81" t="n"/>
      <c r="P1907" s="81" t="n"/>
      <c r="Q1907" s="81" t="n"/>
      <c r="R1907" s="81" t="n"/>
      <c r="S1907" s="81" t="n"/>
      <c r="T1907" s="81" t="n"/>
      <c r="U1907" s="81" t="n"/>
      <c r="V1907" s="81" t="n"/>
      <c r="W1907" s="43" t="n"/>
    </row>
    <row r="1908">
      <c r="A1908" s="43" t="inlineStr">
        <is>
          <t>N32</t>
        </is>
      </c>
      <c r="B1908" s="43" t="inlineStr"/>
      <c r="C1908" s="43" t="inlineStr">
        <is>
          <t>节段05</t>
        </is>
      </c>
      <c r="D1908" s="43" t="inlineStr">
        <is>
          <t>Q355D</t>
        </is>
      </c>
      <c r="E1908" s="43" t="n">
        <v>8581</v>
      </c>
      <c r="F1908" s="43" t="n">
        <v>1360</v>
      </c>
      <c r="G1908" s="43" t="n">
        <v>36</v>
      </c>
      <c r="H1908" s="79">
        <f>(E1908/1000)*(F1908/1000)*(G1908/1000)*7850</f>
        <v/>
      </c>
      <c r="I1908" s="43" t="n">
        <v>2</v>
      </c>
      <c r="J1908" s="80">
        <f>H1908*I1908</f>
        <v/>
      </c>
      <c r="K1908" s="43" t="inlineStr">
        <is>
          <t>来源页158</t>
        </is>
      </c>
      <c r="L1908" s="43">
        <f>A1908</f>
        <v/>
      </c>
      <c r="M1908" s="81" t="n"/>
      <c r="N1908" s="81" t="n"/>
      <c r="O1908" s="81" t="n"/>
      <c r="P1908" s="81" t="n"/>
      <c r="Q1908" s="81" t="n"/>
      <c r="R1908" s="81" t="n"/>
      <c r="S1908" s="81" t="n"/>
      <c r="T1908" s="81" t="n"/>
      <c r="U1908" s="81" t="n"/>
      <c r="V1908" s="81" t="n"/>
      <c r="W1908" s="43" t="n"/>
    </row>
    <row r="1909">
      <c r="A1909" s="43" t="inlineStr">
        <is>
          <t>N33</t>
        </is>
      </c>
      <c r="B1909" s="43" t="inlineStr"/>
      <c r="C1909" s="43" t="inlineStr">
        <is>
          <t>节段05</t>
        </is>
      </c>
      <c r="D1909" s="43" t="inlineStr">
        <is>
          <t>Q355D</t>
        </is>
      </c>
      <c r="E1909" s="43" t="n">
        <v>8581</v>
      </c>
      <c r="F1909" s="43" t="n">
        <v>320</v>
      </c>
      <c r="G1909" s="43" t="n">
        <v>32</v>
      </c>
      <c r="H1909" s="79">
        <f>(E1909/1000)*(F1909/1000)*(G1909/1000)*7850</f>
        <v/>
      </c>
      <c r="I1909" s="43" t="n">
        <v>2</v>
      </c>
      <c r="J1909" s="80">
        <f>H1909*I1909</f>
        <v/>
      </c>
      <c r="K1909" s="43" t="inlineStr">
        <is>
          <t>来源页158</t>
        </is>
      </c>
      <c r="L1909" s="43">
        <f>A1909</f>
        <v/>
      </c>
      <c r="M1909" s="81" t="n"/>
      <c r="N1909" s="81" t="n"/>
      <c r="O1909" s="81" t="n"/>
      <c r="P1909" s="81" t="n"/>
      <c r="Q1909" s="81" t="n"/>
      <c r="R1909" s="81" t="n"/>
      <c r="S1909" s="81" t="n"/>
      <c r="T1909" s="81" t="n"/>
      <c r="U1909" s="81" t="n"/>
      <c r="V1909" s="81" t="n"/>
      <c r="W1909" s="43" t="n"/>
    </row>
    <row r="1910">
      <c r="A1910" s="43" t="inlineStr">
        <is>
          <t>N33a</t>
        </is>
      </c>
      <c r="B1910" s="43" t="inlineStr"/>
      <c r="C1910" s="43" t="inlineStr">
        <is>
          <t>节段05</t>
        </is>
      </c>
      <c r="D1910" s="43" t="inlineStr">
        <is>
          <t>Q355D</t>
        </is>
      </c>
      <c r="E1910" s="43" t="n">
        <v>11381</v>
      </c>
      <c r="F1910" s="43" t="n">
        <v>320</v>
      </c>
      <c r="G1910" s="43" t="n">
        <v>32</v>
      </c>
      <c r="H1910" s="79">
        <f>(E1910/1000)*(F1910/1000)*(G1910/1000)*7850</f>
        <v/>
      </c>
      <c r="I1910" s="43" t="n">
        <v>1</v>
      </c>
      <c r="J1910" s="80">
        <f>H1910*I1910</f>
        <v/>
      </c>
      <c r="K1910" s="43" t="inlineStr">
        <is>
          <t>来源页158</t>
        </is>
      </c>
      <c r="L1910" s="43">
        <f>A1910</f>
        <v/>
      </c>
      <c r="M1910" s="81" t="n"/>
      <c r="N1910" s="81" t="n"/>
      <c r="O1910" s="81" t="n"/>
      <c r="P1910" s="81" t="n"/>
      <c r="Q1910" s="81" t="n"/>
      <c r="R1910" s="81" t="n"/>
      <c r="S1910" s="81" t="n"/>
      <c r="T1910" s="81" t="n"/>
      <c r="U1910" s="81" t="n"/>
      <c r="V1910" s="81" t="n"/>
      <c r="W1910" s="43" t="n"/>
    </row>
    <row r="1911">
      <c r="A1911" s="43" t="inlineStr">
        <is>
          <t>N33b</t>
        </is>
      </c>
      <c r="B1911" s="43" t="inlineStr"/>
      <c r="C1911" s="43" t="inlineStr">
        <is>
          <t>节段05</t>
        </is>
      </c>
      <c r="D1911" s="43" t="inlineStr">
        <is>
          <t>Q355D</t>
        </is>
      </c>
      <c r="E1911" s="43" t="n">
        <v>11381</v>
      </c>
      <c r="F1911" s="43" t="n">
        <v>320</v>
      </c>
      <c r="G1911" s="43" t="n">
        <v>32</v>
      </c>
      <c r="H1911" s="79">
        <f>(E1911/1000)*(F1911/1000)*(G1911/1000)*7850</f>
        <v/>
      </c>
      <c r="I1911" s="43" t="n">
        <v>1</v>
      </c>
      <c r="J1911" s="80">
        <f>H1911*I1911</f>
        <v/>
      </c>
      <c r="K1911" s="43" t="inlineStr">
        <is>
          <t>来源页158</t>
        </is>
      </c>
      <c r="L1911" s="43">
        <f>A1911</f>
        <v/>
      </c>
      <c r="M1911" s="81" t="n"/>
      <c r="N1911" s="81" t="n"/>
      <c r="O1911" s="81" t="n"/>
      <c r="P1911" s="81" t="n"/>
      <c r="Q1911" s="81" t="n"/>
      <c r="R1911" s="81" t="n"/>
      <c r="S1911" s="81" t="n"/>
      <c r="T1911" s="81" t="n"/>
      <c r="U1911" s="81" t="n"/>
      <c r="V1911" s="81" t="n"/>
      <c r="W1911" s="43" t="n"/>
    </row>
    <row r="1912">
      <c r="A1912" s="43" t="inlineStr">
        <is>
          <t>N34</t>
        </is>
      </c>
      <c r="B1912" s="43" t="inlineStr"/>
      <c r="C1912" s="43" t="inlineStr">
        <is>
          <t>节段05</t>
        </is>
      </c>
      <c r="D1912" s="43" t="inlineStr">
        <is>
          <t>Q355D</t>
        </is>
      </c>
      <c r="E1912" s="43" t="n">
        <v>1200</v>
      </c>
      <c r="F1912" s="43" t="n">
        <v>1200</v>
      </c>
      <c r="G1912" s="43" t="n">
        <v>16</v>
      </c>
      <c r="H1912" s="79">
        <f>(E1912/1000)*(F1912/1000)*(G1912/1000)*7850</f>
        <v/>
      </c>
      <c r="I1912" s="43" t="n">
        <v>3</v>
      </c>
      <c r="J1912" s="80">
        <f>H1912*I1912</f>
        <v/>
      </c>
      <c r="K1912" s="43" t="inlineStr">
        <is>
          <t>来源页158</t>
        </is>
      </c>
      <c r="L1912" s="43">
        <f>A1912</f>
        <v/>
      </c>
      <c r="M1912" s="81" t="n"/>
      <c r="N1912" s="81" t="n"/>
      <c r="O1912" s="81" t="n"/>
      <c r="P1912" s="81" t="n"/>
      <c r="Q1912" s="81" t="n"/>
      <c r="R1912" s="81" t="n"/>
      <c r="S1912" s="81" t="n"/>
      <c r="T1912" s="81" t="n"/>
      <c r="U1912" s="81" t="n"/>
      <c r="V1912" s="81" t="n"/>
      <c r="W1912" s="43" t="n"/>
    </row>
    <row r="1913">
      <c r="A1913" s="43" t="inlineStr">
        <is>
          <t>N41</t>
        </is>
      </c>
      <c r="B1913" s="43" t="inlineStr"/>
      <c r="C1913" s="43" t="inlineStr">
        <is>
          <t>节段05</t>
        </is>
      </c>
      <c r="D1913" s="43" t="inlineStr">
        <is>
          <t>Q355D</t>
        </is>
      </c>
      <c r="E1913" s="43" t="n">
        <v>6135</v>
      </c>
      <c r="F1913" s="43" t="n">
        <v>1200</v>
      </c>
      <c r="G1913" s="43" t="n">
        <v>36</v>
      </c>
      <c r="H1913" s="79">
        <f>(E1913/1000)*(F1913/1000)*(G1913/1000)*7850</f>
        <v/>
      </c>
      <c r="I1913" s="43" t="n">
        <v>1</v>
      </c>
      <c r="J1913" s="80">
        <f>H1913*I1913</f>
        <v/>
      </c>
      <c r="K1913" s="43" t="inlineStr">
        <is>
          <t>来源页158</t>
        </is>
      </c>
      <c r="L1913" s="43">
        <f>A1913</f>
        <v/>
      </c>
      <c r="M1913" s="81" t="n"/>
      <c r="N1913" s="81" t="n"/>
      <c r="O1913" s="81" t="n"/>
      <c r="P1913" s="81" t="n"/>
      <c r="Q1913" s="81" t="n"/>
      <c r="R1913" s="81" t="n"/>
      <c r="S1913" s="81" t="n"/>
      <c r="T1913" s="81" t="n"/>
      <c r="U1913" s="81" t="n"/>
      <c r="V1913" s="81" t="n"/>
      <c r="W1913" s="43" t="n"/>
    </row>
    <row r="1914">
      <c r="A1914" s="43" t="inlineStr">
        <is>
          <t>N41a</t>
        </is>
      </c>
      <c r="B1914" s="43" t="inlineStr"/>
      <c r="C1914" s="43" t="inlineStr">
        <is>
          <t>节段05</t>
        </is>
      </c>
      <c r="D1914" s="43" t="inlineStr">
        <is>
          <t>Q355D</t>
        </is>
      </c>
      <c r="E1914" s="43" t="n">
        <v>6135</v>
      </c>
      <c r="F1914" s="43" t="n">
        <v>1200</v>
      </c>
      <c r="G1914" s="43" t="n">
        <v>36</v>
      </c>
      <c r="H1914" s="79">
        <f>(E1914/1000)*(F1914/1000)*(G1914/1000)*7850</f>
        <v/>
      </c>
      <c r="I1914" s="43" t="n">
        <v>1</v>
      </c>
      <c r="J1914" s="80">
        <f>H1914*I1914</f>
        <v/>
      </c>
      <c r="K1914" s="43" t="inlineStr">
        <is>
          <t>来源页158</t>
        </is>
      </c>
      <c r="L1914" s="43">
        <f>A1914</f>
        <v/>
      </c>
      <c r="M1914" s="81" t="n"/>
      <c r="N1914" s="81" t="n"/>
      <c r="O1914" s="81" t="n"/>
      <c r="P1914" s="81" t="n"/>
      <c r="Q1914" s="81" t="n"/>
      <c r="R1914" s="81" t="n"/>
      <c r="S1914" s="81" t="n"/>
      <c r="T1914" s="81" t="n"/>
      <c r="U1914" s="81" t="n"/>
      <c r="V1914" s="81" t="n"/>
      <c r="W1914" s="43" t="n"/>
    </row>
    <row r="1915">
      <c r="A1915" s="43" t="inlineStr">
        <is>
          <t>N42</t>
        </is>
      </c>
      <c r="B1915" s="43" t="inlineStr"/>
      <c r="C1915" s="43" t="inlineStr">
        <is>
          <t>节段05</t>
        </is>
      </c>
      <c r="D1915" s="43" t="inlineStr">
        <is>
          <t>Q355D</t>
        </is>
      </c>
      <c r="E1915" s="43" t="n">
        <v>4135</v>
      </c>
      <c r="F1915" s="43" t="n">
        <v>1360</v>
      </c>
      <c r="G1915" s="43" t="n">
        <v>36</v>
      </c>
      <c r="H1915" s="79">
        <f>(E1915/1000)*(F1915/1000)*(G1915/1000)*7850</f>
        <v/>
      </c>
      <c r="I1915" s="43" t="n">
        <v>2</v>
      </c>
      <c r="J1915" s="80">
        <f>H1915*I1915</f>
        <v/>
      </c>
      <c r="K1915" s="43" t="inlineStr">
        <is>
          <t>来源页158</t>
        </is>
      </c>
      <c r="L1915" s="43">
        <f>A1915</f>
        <v/>
      </c>
      <c r="M1915" s="81" t="n"/>
      <c r="N1915" s="81" t="n"/>
      <c r="O1915" s="81" t="n"/>
      <c r="P1915" s="81" t="n"/>
      <c r="Q1915" s="81" t="n"/>
      <c r="R1915" s="81" t="n"/>
      <c r="S1915" s="81" t="n"/>
      <c r="T1915" s="81" t="n"/>
      <c r="U1915" s="81" t="n"/>
      <c r="V1915" s="81" t="n"/>
      <c r="W1915" s="43" t="n"/>
    </row>
    <row r="1916">
      <c r="A1916" s="43" t="inlineStr">
        <is>
          <t>N43</t>
        </is>
      </c>
      <c r="B1916" s="43" t="inlineStr"/>
      <c r="C1916" s="43" t="inlineStr">
        <is>
          <t>节段05</t>
        </is>
      </c>
      <c r="D1916" s="43" t="inlineStr">
        <is>
          <t>Q355D</t>
        </is>
      </c>
      <c r="E1916" s="43" t="n">
        <v>4135</v>
      </c>
      <c r="F1916" s="43" t="n">
        <v>320</v>
      </c>
      <c r="G1916" s="43" t="n">
        <v>32</v>
      </c>
      <c r="H1916" s="79">
        <f>(E1916/1000)*(F1916/1000)*(G1916/1000)*7850</f>
        <v/>
      </c>
      <c r="I1916" s="43" t="n">
        <v>2</v>
      </c>
      <c r="J1916" s="80">
        <f>H1916*I1916</f>
        <v/>
      </c>
      <c r="K1916" s="43" t="inlineStr">
        <is>
          <t>来源页158</t>
        </is>
      </c>
      <c r="L1916" s="43">
        <f>A1916</f>
        <v/>
      </c>
      <c r="M1916" s="81" t="n"/>
      <c r="N1916" s="81" t="n"/>
      <c r="O1916" s="81" t="n"/>
      <c r="P1916" s="81" t="n"/>
      <c r="Q1916" s="81" t="n"/>
      <c r="R1916" s="81" t="n"/>
      <c r="S1916" s="81" t="n"/>
      <c r="T1916" s="81" t="n"/>
      <c r="U1916" s="81" t="n"/>
      <c r="V1916" s="81" t="n"/>
      <c r="W1916" s="43" t="n"/>
    </row>
    <row r="1917">
      <c r="A1917" s="43" t="inlineStr">
        <is>
          <t>N43a</t>
        </is>
      </c>
      <c r="B1917" s="43" t="inlineStr"/>
      <c r="C1917" s="43" t="inlineStr">
        <is>
          <t>节段05</t>
        </is>
      </c>
      <c r="D1917" s="43" t="inlineStr">
        <is>
          <t>Q355D</t>
        </is>
      </c>
      <c r="E1917" s="43" t="n">
        <v>5435</v>
      </c>
      <c r="F1917" s="43" t="n">
        <v>320</v>
      </c>
      <c r="G1917" s="43" t="n">
        <v>32</v>
      </c>
      <c r="H1917" s="79">
        <f>(E1917/1000)*(F1917/1000)*(G1917/1000)*7850</f>
        <v/>
      </c>
      <c r="I1917" s="43" t="n">
        <v>1</v>
      </c>
      <c r="J1917" s="80">
        <f>H1917*I1917</f>
        <v/>
      </c>
      <c r="K1917" s="43" t="inlineStr">
        <is>
          <t>来源页158</t>
        </is>
      </c>
      <c r="L1917" s="43">
        <f>A1917</f>
        <v/>
      </c>
      <c r="M1917" s="81" t="n"/>
      <c r="N1917" s="81" t="n"/>
      <c r="O1917" s="81" t="n"/>
      <c r="P1917" s="81" t="n"/>
      <c r="Q1917" s="81" t="n"/>
      <c r="R1917" s="81" t="n"/>
      <c r="S1917" s="81" t="n"/>
      <c r="T1917" s="81" t="n"/>
      <c r="U1917" s="81" t="n"/>
      <c r="V1917" s="81" t="n"/>
      <c r="W1917" s="43" t="n"/>
    </row>
    <row r="1918">
      <c r="A1918" s="43" t="inlineStr">
        <is>
          <t>N43b</t>
        </is>
      </c>
      <c r="B1918" s="43" t="inlineStr"/>
      <c r="C1918" s="43" t="inlineStr">
        <is>
          <t>节段05</t>
        </is>
      </c>
      <c r="D1918" s="43" t="inlineStr">
        <is>
          <t>Q355D</t>
        </is>
      </c>
      <c r="E1918" s="43" t="n">
        <v>5435</v>
      </c>
      <c r="F1918" s="43" t="n">
        <v>320</v>
      </c>
      <c r="G1918" s="43" t="n">
        <v>32</v>
      </c>
      <c r="H1918" s="79">
        <f>(E1918/1000)*(F1918/1000)*(G1918/1000)*7850</f>
        <v/>
      </c>
      <c r="I1918" s="43" t="n">
        <v>1</v>
      </c>
      <c r="J1918" s="80">
        <f>H1918*I1918</f>
        <v/>
      </c>
      <c r="K1918" s="43" t="inlineStr">
        <is>
          <t>来源页158</t>
        </is>
      </c>
      <c r="L1918" s="43">
        <f>A1918</f>
        <v/>
      </c>
      <c r="M1918" s="81" t="n"/>
      <c r="N1918" s="81" t="n"/>
      <c r="O1918" s="81" t="n"/>
      <c r="P1918" s="81" t="n"/>
      <c r="Q1918" s="81" t="n"/>
      <c r="R1918" s="81" t="n"/>
      <c r="S1918" s="81" t="n"/>
      <c r="T1918" s="81" t="n"/>
      <c r="U1918" s="81" t="n"/>
      <c r="V1918" s="81" t="n"/>
      <c r="W1918" s="43" t="n"/>
    </row>
    <row r="1919">
      <c r="A1919" s="43" t="inlineStr">
        <is>
          <t>N44</t>
        </is>
      </c>
      <c r="B1919" s="43" t="inlineStr"/>
      <c r="C1919" s="43" t="inlineStr">
        <is>
          <t>节段05</t>
        </is>
      </c>
      <c r="D1919" s="43" t="inlineStr">
        <is>
          <t>Q355D</t>
        </is>
      </c>
      <c r="E1919" s="43" t="n">
        <v>1200</v>
      </c>
      <c r="F1919" s="43" t="n">
        <v>1200</v>
      </c>
      <c r="G1919" s="43" t="n">
        <v>16</v>
      </c>
      <c r="H1919" s="79">
        <f>(E1919/1000)*(F1919/1000)*(G1919/1000)*7850</f>
        <v/>
      </c>
      <c r="I1919" s="43" t="n">
        <v>3</v>
      </c>
      <c r="J1919" s="80">
        <f>H1919*I1919</f>
        <v/>
      </c>
      <c r="K1919" s="43" t="inlineStr">
        <is>
          <t>来源页158</t>
        </is>
      </c>
      <c r="L1919" s="43">
        <f>A1919</f>
        <v/>
      </c>
      <c r="M1919" s="81" t="n"/>
      <c r="N1919" s="81" t="n"/>
      <c r="O1919" s="81" t="n"/>
      <c r="P1919" s="81" t="n"/>
      <c r="Q1919" s="81" t="n"/>
      <c r="R1919" s="81" t="n"/>
      <c r="S1919" s="81" t="n"/>
      <c r="T1919" s="81" t="n"/>
      <c r="U1919" s="81" t="n"/>
      <c r="V1919" s="81" t="n"/>
      <c r="W1919" s="43" t="n"/>
    </row>
    <row r="1920">
      <c r="A1920" s="43" t="inlineStr">
        <is>
          <t>N51</t>
        </is>
      </c>
      <c r="B1920" s="43" t="inlineStr"/>
      <c r="C1920" s="43" t="inlineStr">
        <is>
          <t>节段05</t>
        </is>
      </c>
      <c r="D1920" s="43" t="inlineStr">
        <is>
          <t>Q355D</t>
        </is>
      </c>
      <c r="E1920" s="43" t="n">
        <v>6425</v>
      </c>
      <c r="F1920" s="43" t="n">
        <v>1200</v>
      </c>
      <c r="G1920" s="43" t="n">
        <v>36</v>
      </c>
      <c r="H1920" s="79">
        <f>(E1920/1000)*(F1920/1000)*(G1920/1000)*7850</f>
        <v/>
      </c>
      <c r="I1920" s="43" t="n">
        <v>1</v>
      </c>
      <c r="J1920" s="80">
        <f>H1920*I1920</f>
        <v/>
      </c>
      <c r="K1920" s="43" t="inlineStr">
        <is>
          <t>来源页158</t>
        </is>
      </c>
      <c r="L1920" s="43">
        <f>A1920</f>
        <v/>
      </c>
      <c r="M1920" s="81" t="n"/>
      <c r="N1920" s="81" t="n"/>
      <c r="O1920" s="81" t="n"/>
      <c r="P1920" s="81" t="n"/>
      <c r="Q1920" s="81" t="n"/>
      <c r="R1920" s="81" t="n"/>
      <c r="S1920" s="81" t="n"/>
      <c r="T1920" s="81" t="n"/>
      <c r="U1920" s="81" t="n"/>
      <c r="V1920" s="81" t="n"/>
      <c r="W1920" s="43" t="n"/>
    </row>
    <row r="1921">
      <c r="A1921" s="43" t="inlineStr">
        <is>
          <t>N51a</t>
        </is>
      </c>
      <c r="B1921" s="43" t="inlineStr"/>
      <c r="C1921" s="43" t="inlineStr">
        <is>
          <t>节段05</t>
        </is>
      </c>
      <c r="D1921" s="43" t="inlineStr">
        <is>
          <t>Q355D</t>
        </is>
      </c>
      <c r="E1921" s="43" t="n">
        <v>6425</v>
      </c>
      <c r="F1921" s="43" t="n">
        <v>1200</v>
      </c>
      <c r="G1921" s="43" t="n">
        <v>36</v>
      </c>
      <c r="H1921" s="79">
        <f>(E1921/1000)*(F1921/1000)*(G1921/1000)*7850</f>
        <v/>
      </c>
      <c r="I1921" s="43" t="n">
        <v>1</v>
      </c>
      <c r="J1921" s="80">
        <f>H1921*I1921</f>
        <v/>
      </c>
      <c r="K1921" s="43" t="inlineStr">
        <is>
          <t>来源页158</t>
        </is>
      </c>
      <c r="L1921" s="43">
        <f>A1921</f>
        <v/>
      </c>
      <c r="M1921" s="81" t="n"/>
      <c r="N1921" s="81" t="n"/>
      <c r="O1921" s="81" t="n"/>
      <c r="P1921" s="81" t="n"/>
      <c r="Q1921" s="81" t="n"/>
      <c r="R1921" s="81" t="n"/>
      <c r="S1921" s="81" t="n"/>
      <c r="T1921" s="81" t="n"/>
      <c r="U1921" s="81" t="n"/>
      <c r="V1921" s="81" t="n"/>
      <c r="W1921" s="43" t="n"/>
    </row>
    <row r="1922">
      <c r="A1922" s="43" t="inlineStr">
        <is>
          <t>N52</t>
        </is>
      </c>
      <c r="B1922" s="43" t="inlineStr"/>
      <c r="C1922" s="43" t="inlineStr">
        <is>
          <t>节段05</t>
        </is>
      </c>
      <c r="D1922" s="43" t="inlineStr">
        <is>
          <t>Q355D</t>
        </is>
      </c>
      <c r="E1922" s="43" t="n">
        <v>4225</v>
      </c>
      <c r="F1922" s="43" t="n">
        <v>1360</v>
      </c>
      <c r="G1922" s="43" t="n">
        <v>36</v>
      </c>
      <c r="H1922" s="79">
        <f>(E1922/1000)*(F1922/1000)*(G1922/1000)*7850</f>
        <v/>
      </c>
      <c r="I1922" s="43" t="n">
        <v>2</v>
      </c>
      <c r="J1922" s="80">
        <f>H1922*I1922</f>
        <v/>
      </c>
      <c r="K1922" s="43" t="inlineStr">
        <is>
          <t>来源页158</t>
        </is>
      </c>
      <c r="L1922" s="43">
        <f>A1922</f>
        <v/>
      </c>
      <c r="M1922" s="81" t="n"/>
      <c r="N1922" s="81" t="n"/>
      <c r="O1922" s="81" t="n"/>
      <c r="P1922" s="81" t="n"/>
      <c r="Q1922" s="81" t="n"/>
      <c r="R1922" s="81" t="n"/>
      <c r="S1922" s="81" t="n"/>
      <c r="T1922" s="81" t="n"/>
      <c r="U1922" s="81" t="n"/>
      <c r="V1922" s="81" t="n"/>
      <c r="W1922" s="43" t="n"/>
    </row>
    <row r="1923">
      <c r="A1923" s="43" t="inlineStr">
        <is>
          <t>N53a</t>
        </is>
      </c>
      <c r="B1923" s="43" t="inlineStr"/>
      <c r="C1923" s="43" t="inlineStr">
        <is>
          <t>节段05</t>
        </is>
      </c>
      <c r="D1923" s="43" t="inlineStr">
        <is>
          <t>Q355D</t>
        </is>
      </c>
      <c r="E1923" s="43" t="n">
        <v>5725</v>
      </c>
      <c r="F1923" s="43" t="n">
        <v>320</v>
      </c>
      <c r="G1923" s="43" t="n">
        <v>32</v>
      </c>
      <c r="H1923" s="79">
        <f>(E1923/1000)*(F1923/1000)*(G1923/1000)*7850</f>
        <v/>
      </c>
      <c r="I1923" s="43" t="n">
        <v>1</v>
      </c>
      <c r="J1923" s="80">
        <f>H1923*I1923</f>
        <v/>
      </c>
      <c r="K1923" s="43" t="inlineStr">
        <is>
          <t>来源页158</t>
        </is>
      </c>
      <c r="L1923" s="43">
        <f>A1923</f>
        <v/>
      </c>
      <c r="M1923" s="81" t="n"/>
      <c r="N1923" s="81" t="n"/>
      <c r="O1923" s="81" t="n"/>
      <c r="P1923" s="81" t="n"/>
      <c r="Q1923" s="81" t="n"/>
      <c r="R1923" s="81" t="n"/>
      <c r="S1923" s="81" t="n"/>
      <c r="T1923" s="81" t="n"/>
      <c r="U1923" s="81" t="n"/>
      <c r="V1923" s="81" t="n"/>
      <c r="W1923" s="43" t="n"/>
    </row>
    <row r="1924">
      <c r="A1924" s="43" t="inlineStr">
        <is>
          <t>N53b</t>
        </is>
      </c>
      <c r="B1924" s="43" t="inlineStr"/>
      <c r="C1924" s="43" t="inlineStr">
        <is>
          <t>节段05</t>
        </is>
      </c>
      <c r="D1924" s="43" t="inlineStr">
        <is>
          <t>Q355D</t>
        </is>
      </c>
      <c r="E1924" s="43" t="n">
        <v>5725</v>
      </c>
      <c r="F1924" s="43" t="n">
        <v>320</v>
      </c>
      <c r="G1924" s="43" t="n">
        <v>32</v>
      </c>
      <c r="H1924" s="79">
        <f>(E1924/1000)*(F1924/1000)*(G1924/1000)*7850</f>
        <v/>
      </c>
      <c r="I1924" s="43" t="n">
        <v>1</v>
      </c>
      <c r="J1924" s="80">
        <f>H1924*I1924</f>
        <v/>
      </c>
      <c r="K1924" s="43" t="inlineStr">
        <is>
          <t>来源页158</t>
        </is>
      </c>
      <c r="L1924" s="43">
        <f>A1924</f>
        <v/>
      </c>
      <c r="M1924" s="81" t="n"/>
      <c r="N1924" s="81" t="n"/>
      <c r="O1924" s="81" t="n"/>
      <c r="P1924" s="81" t="n"/>
      <c r="Q1924" s="81" t="n"/>
      <c r="R1924" s="81" t="n"/>
      <c r="S1924" s="81" t="n"/>
      <c r="T1924" s="81" t="n"/>
      <c r="U1924" s="81" t="n"/>
      <c r="V1924" s="81" t="n"/>
      <c r="W1924" s="43" t="n"/>
    </row>
    <row r="1925">
      <c r="A1925" s="43" t="inlineStr">
        <is>
          <t>N54</t>
        </is>
      </c>
      <c r="B1925" s="43" t="inlineStr"/>
      <c r="C1925" s="43" t="inlineStr">
        <is>
          <t>节段05</t>
        </is>
      </c>
      <c r="D1925" s="43" t="inlineStr">
        <is>
          <t>Q355D</t>
        </is>
      </c>
      <c r="E1925" s="43" t="n">
        <v>1200</v>
      </c>
      <c r="F1925" s="43" t="n">
        <v>1200</v>
      </c>
      <c r="G1925" s="43" t="n">
        <v>16</v>
      </c>
      <c r="H1925" s="79">
        <f>(E1925/1000)*(F1925/1000)*(G1925/1000)*7850</f>
        <v/>
      </c>
      <c r="I1925" s="43" t="n">
        <v>3</v>
      </c>
      <c r="J1925" s="80">
        <f>H1925*I1925</f>
        <v/>
      </c>
      <c r="K1925" s="43" t="inlineStr">
        <is>
          <t>来源页158</t>
        </is>
      </c>
      <c r="L1925" s="43">
        <f>A1925</f>
        <v/>
      </c>
      <c r="M1925" s="81" t="n"/>
      <c r="N1925" s="81" t="n"/>
      <c r="O1925" s="81" t="n"/>
      <c r="P1925" s="81" t="n"/>
      <c r="Q1925" s="81" t="n"/>
      <c r="R1925" s="81" t="n"/>
      <c r="S1925" s="81" t="n"/>
      <c r="T1925" s="81" t="n"/>
      <c r="U1925" s="81" t="n"/>
      <c r="V1925" s="81" t="n"/>
      <c r="W1925" s="43" t="n"/>
    </row>
    <row r="1926">
      <c r="A1926" s="43" t="inlineStr">
        <is>
          <t>N55</t>
        </is>
      </c>
      <c r="B1926" s="43" t="inlineStr"/>
      <c r="C1926" s="43" t="inlineStr">
        <is>
          <t>节段05</t>
        </is>
      </c>
      <c r="D1926" s="43" t="inlineStr">
        <is>
          <t>Q355D</t>
        </is>
      </c>
      <c r="E1926" s="43" t="n">
        <v>2300</v>
      </c>
      <c r="F1926" s="43" t="n">
        <v>320</v>
      </c>
      <c r="G1926" s="43" t="n">
        <v>32</v>
      </c>
      <c r="H1926" s="79">
        <f>(E1926/1000)*(F1926/1000)*(G1926/1000)*7850</f>
        <v/>
      </c>
      <c r="I1926" s="43" t="n">
        <v>4</v>
      </c>
      <c r="J1926" s="80">
        <f>H1926*I1926</f>
        <v/>
      </c>
      <c r="K1926" s="43" t="inlineStr">
        <is>
          <t>来源页158</t>
        </is>
      </c>
      <c r="L1926" s="43">
        <f>A1926</f>
        <v/>
      </c>
      <c r="M1926" s="81" t="n"/>
      <c r="N1926" s="81" t="n"/>
      <c r="O1926" s="81" t="n"/>
      <c r="P1926" s="81" t="n"/>
      <c r="Q1926" s="81" t="n"/>
      <c r="R1926" s="81" t="n"/>
      <c r="S1926" s="81" t="n"/>
      <c r="T1926" s="81" t="n"/>
      <c r="U1926" s="81" t="n"/>
      <c r="V1926" s="81" t="n"/>
      <c r="W1926" s="43" t="n"/>
    </row>
    <row r="1927">
      <c r="A1927" s="43" t="inlineStr">
        <is>
          <t>N56</t>
        </is>
      </c>
      <c r="B1927" s="43" t="inlineStr"/>
      <c r="C1927" s="43" t="inlineStr">
        <is>
          <t>节段05</t>
        </is>
      </c>
      <c r="D1927" s="43" t="inlineStr">
        <is>
          <t>Q355D</t>
        </is>
      </c>
      <c r="E1927" s="43" t="n">
        <v>2600</v>
      </c>
      <c r="F1927" s="43" t="n">
        <v>320</v>
      </c>
      <c r="G1927" s="43" t="n">
        <v>32</v>
      </c>
      <c r="H1927" s="79">
        <f>(E1927/1000)*(F1927/1000)*(G1927/1000)*7850</f>
        <v/>
      </c>
      <c r="I1927" s="43" t="n">
        <v>4</v>
      </c>
      <c r="J1927" s="80">
        <f>H1927*I1927</f>
        <v/>
      </c>
      <c r="K1927" s="43" t="inlineStr">
        <is>
          <t>来源页158</t>
        </is>
      </c>
      <c r="L1927" s="43">
        <f>A1927</f>
        <v/>
      </c>
      <c r="M1927" s="81" t="n"/>
      <c r="N1927" s="81" t="n"/>
      <c r="O1927" s="81" t="n"/>
      <c r="P1927" s="81" t="n"/>
      <c r="Q1927" s="81" t="n"/>
      <c r="R1927" s="81" t="n"/>
      <c r="S1927" s="81" t="n"/>
      <c r="T1927" s="81" t="n"/>
      <c r="U1927" s="81" t="n"/>
      <c r="V1927" s="81" t="n"/>
      <c r="W1927" s="43" t="n"/>
    </row>
    <row r="1928">
      <c r="A1928" s="43" t="inlineStr">
        <is>
          <t>N61</t>
        </is>
      </c>
      <c r="B1928" s="43" t="inlineStr"/>
      <c r="C1928" s="43" t="inlineStr">
        <is>
          <t>节段05</t>
        </is>
      </c>
      <c r="D1928" s="43" t="inlineStr">
        <is>
          <t>Q355D</t>
        </is>
      </c>
      <c r="E1928" s="43" t="n">
        <v>1560</v>
      </c>
      <c r="F1928" s="43" t="n">
        <v>602</v>
      </c>
      <c r="G1928" s="43" t="n">
        <v>14</v>
      </c>
      <c r="H1928" s="79">
        <f>(E1928/1000)*(F1928/1000)*(G1928/1000)*7850</f>
        <v/>
      </c>
      <c r="I1928" s="43" t="n">
        <v>3</v>
      </c>
      <c r="J1928" s="80">
        <f>H1928*I1928</f>
        <v/>
      </c>
      <c r="K1928" s="43" t="inlineStr">
        <is>
          <t>来源页158</t>
        </is>
      </c>
      <c r="L1928" s="43">
        <f>A1928</f>
        <v/>
      </c>
      <c r="M1928" s="81" t="n"/>
      <c r="N1928" s="81" t="n"/>
      <c r="O1928" s="81" t="n"/>
      <c r="P1928" s="81" t="n"/>
      <c r="Q1928" s="81" t="n"/>
      <c r="R1928" s="81" t="n"/>
      <c r="S1928" s="81" t="n"/>
      <c r="T1928" s="81" t="n"/>
      <c r="U1928" s="81" t="n"/>
      <c r="V1928" s="81" t="n"/>
      <c r="W1928" s="43" t="n"/>
    </row>
    <row r="1929">
      <c r="A1929" s="43" t="inlineStr">
        <is>
          <t>N61a</t>
        </is>
      </c>
      <c r="B1929" s="43" t="inlineStr"/>
      <c r="C1929" s="43" t="inlineStr">
        <is>
          <t>节段05</t>
        </is>
      </c>
      <c r="D1929" s="43" t="inlineStr">
        <is>
          <t>Q355D</t>
        </is>
      </c>
      <c r="E1929" s="43" t="n">
        <v>1576</v>
      </c>
      <c r="F1929" s="43" t="n">
        <v>618</v>
      </c>
      <c r="G1929" s="43" t="n">
        <v>14</v>
      </c>
      <c r="H1929" s="79">
        <f>(E1929/1000)*(F1929/1000)*(G1929/1000)*7850</f>
        <v/>
      </c>
      <c r="I1929" s="43" t="n">
        <v>2</v>
      </c>
      <c r="J1929" s="80">
        <f>H1929*I1929</f>
        <v/>
      </c>
      <c r="K1929" s="43" t="inlineStr">
        <is>
          <t>来源页158</t>
        </is>
      </c>
      <c r="L1929" s="43">
        <f>A1929</f>
        <v/>
      </c>
      <c r="M1929" s="81" t="n"/>
      <c r="N1929" s="81" t="n"/>
      <c r="O1929" s="81" t="n"/>
      <c r="P1929" s="81" t="n"/>
      <c r="Q1929" s="81" t="n"/>
      <c r="R1929" s="81" t="n"/>
      <c r="S1929" s="81" t="n"/>
      <c r="T1929" s="81" t="n"/>
      <c r="U1929" s="81" t="n"/>
      <c r="V1929" s="81" t="n"/>
      <c r="W1929" s="43" t="n"/>
    </row>
    <row r="1930">
      <c r="A1930" s="43" t="inlineStr">
        <is>
          <t>N62</t>
        </is>
      </c>
      <c r="B1930" s="43" t="inlineStr"/>
      <c r="C1930" s="43" t="inlineStr">
        <is>
          <t>节段05</t>
        </is>
      </c>
      <c r="D1930" s="43" t="inlineStr">
        <is>
          <t>Q355D</t>
        </is>
      </c>
      <c r="E1930" s="43" t="n"/>
      <c r="F1930" s="43" t="n"/>
      <c r="G1930" s="43" t="n">
        <v>24</v>
      </c>
      <c r="H1930" s="79">
        <f>(E1930/1000)*(F1930/1000)*(G1930/1000)*7850</f>
        <v/>
      </c>
      <c r="I1930" s="43" t="n">
        <v>3</v>
      </c>
      <c r="J1930" s="80">
        <f>H1930*I1930</f>
        <v/>
      </c>
      <c r="K1930" s="43" t="inlineStr">
        <is>
          <t>来源页158</t>
        </is>
      </c>
      <c r="L1930" s="43">
        <f>A1930</f>
        <v/>
      </c>
      <c r="M1930" s="81" t="n"/>
      <c r="N1930" s="81" t="n"/>
      <c r="O1930" s="81" t="n"/>
      <c r="P1930" s="81" t="n"/>
      <c r="Q1930" s="81" t="n"/>
      <c r="R1930" s="81" t="n"/>
      <c r="S1930" s="81" t="n"/>
      <c r="T1930" s="81" t="n"/>
      <c r="U1930" s="81" t="n"/>
      <c r="V1930" s="81" t="n"/>
      <c r="W1930" s="43" t="n"/>
    </row>
    <row r="1931">
      <c r="A1931" s="43" t="inlineStr">
        <is>
          <t>N62a</t>
        </is>
      </c>
      <c r="B1931" s="43" t="inlineStr"/>
      <c r="C1931" s="43" t="inlineStr">
        <is>
          <t>节段05</t>
        </is>
      </c>
      <c r="D1931" s="43" t="inlineStr">
        <is>
          <t>Q355D</t>
        </is>
      </c>
      <c r="E1931" s="43" t="n"/>
      <c r="F1931" s="43" t="n"/>
      <c r="G1931" s="43" t="n">
        <v>24</v>
      </c>
      <c r="H1931" s="79">
        <f>(E1931/1000)*(F1931/1000)*(G1931/1000)*7850</f>
        <v/>
      </c>
      <c r="I1931" s="43" t="n">
        <v>2</v>
      </c>
      <c r="J1931" s="80">
        <f>H1931*I1931</f>
        <v/>
      </c>
      <c r="K1931" s="43" t="inlineStr">
        <is>
          <t>来源页158</t>
        </is>
      </c>
      <c r="L1931" s="43">
        <f>A1931</f>
        <v/>
      </c>
      <c r="M1931" s="81" t="n"/>
      <c r="N1931" s="81" t="n"/>
      <c r="O1931" s="81" t="n"/>
      <c r="P1931" s="81" t="n"/>
      <c r="Q1931" s="81" t="n"/>
      <c r="R1931" s="81" t="n"/>
      <c r="S1931" s="81" t="n"/>
      <c r="T1931" s="81" t="n"/>
      <c r="U1931" s="81" t="n"/>
      <c r="V1931" s="81" t="n"/>
      <c r="W1931" s="43" t="n"/>
    </row>
    <row r="1932">
      <c r="A1932" s="43" t="inlineStr">
        <is>
          <t>N63</t>
        </is>
      </c>
      <c r="B1932" s="43" t="inlineStr"/>
      <c r="C1932" s="43" t="inlineStr">
        <is>
          <t>节段05</t>
        </is>
      </c>
      <c r="D1932" s="43" t="inlineStr">
        <is>
          <t>Q355D</t>
        </is>
      </c>
      <c r="E1932" s="43" t="n">
        <v>1450</v>
      </c>
      <c r="F1932" s="43" t="n">
        <v>610</v>
      </c>
      <c r="G1932" s="43" t="n">
        <v>14</v>
      </c>
      <c r="H1932" s="79">
        <f>(E1932/1000)*(F1932/1000)*(G1932/1000)*7850</f>
        <v/>
      </c>
      <c r="I1932" s="43" t="n">
        <v>3</v>
      </c>
      <c r="J1932" s="80">
        <f>H1932*I1932</f>
        <v/>
      </c>
      <c r="K1932" s="43" t="inlineStr">
        <is>
          <t>来源页158</t>
        </is>
      </c>
      <c r="L1932" s="43">
        <f>A1932</f>
        <v/>
      </c>
      <c r="M1932" s="81" t="n"/>
      <c r="N1932" s="81" t="n"/>
      <c r="O1932" s="81" t="n"/>
      <c r="P1932" s="81" t="n"/>
      <c r="Q1932" s="81" t="n"/>
      <c r="R1932" s="81" t="n"/>
      <c r="S1932" s="81" t="n"/>
      <c r="T1932" s="81" t="n"/>
      <c r="U1932" s="81" t="n"/>
      <c r="V1932" s="81" t="n"/>
      <c r="W1932" s="43" t="n"/>
    </row>
    <row r="1933">
      <c r="A1933" s="43" t="inlineStr">
        <is>
          <t>N63a</t>
        </is>
      </c>
      <c r="B1933" s="43" t="inlineStr"/>
      <c r="C1933" s="43" t="inlineStr">
        <is>
          <t>节段05</t>
        </is>
      </c>
      <c r="D1933" s="43" t="inlineStr">
        <is>
          <t>Q355D</t>
        </is>
      </c>
      <c r="E1933" s="43" t="n">
        <v>1450</v>
      </c>
      <c r="F1933" s="43" t="n">
        <v>618</v>
      </c>
      <c r="G1933" s="43" t="n">
        <v>14</v>
      </c>
      <c r="H1933" s="79">
        <f>(E1933/1000)*(F1933/1000)*(G1933/1000)*7850</f>
        <v/>
      </c>
      <c r="I1933" s="43" t="n">
        <v>2</v>
      </c>
      <c r="J1933" s="80">
        <f>H1933*I1933</f>
        <v/>
      </c>
      <c r="K1933" s="43" t="inlineStr">
        <is>
          <t>来源页158</t>
        </is>
      </c>
      <c r="L1933" s="43">
        <f>A1933</f>
        <v/>
      </c>
      <c r="M1933" s="81" t="n"/>
      <c r="N1933" s="81" t="n"/>
      <c r="O1933" s="81" t="n"/>
      <c r="P1933" s="81" t="n"/>
      <c r="Q1933" s="81" t="n"/>
      <c r="R1933" s="81" t="n"/>
      <c r="S1933" s="81" t="n"/>
      <c r="T1933" s="81" t="n"/>
      <c r="U1933" s="81" t="n"/>
      <c r="V1933" s="81" t="n"/>
      <c r="W1933" s="43" t="n"/>
    </row>
    <row r="1934">
      <c r="A1934" s="43" t="inlineStr">
        <is>
          <t>P1</t>
        </is>
      </c>
      <c r="B1934" s="43" t="inlineStr">
        <is>
          <t>上弦杆拼接</t>
        </is>
      </c>
      <c r="C1934" s="43" t="inlineStr">
        <is>
          <t>节段5~节段6</t>
        </is>
      </c>
      <c r="D1934" s="43" t="inlineStr">
        <is>
          <t>Q420D</t>
        </is>
      </c>
      <c r="E1934" s="43" t="n">
        <v>1820</v>
      </c>
      <c r="F1934" s="43" t="n">
        <v>1400</v>
      </c>
      <c r="G1934" s="43" t="n">
        <v>40</v>
      </c>
      <c r="H1934" s="79">
        <f>(E1934/1000)*(F1934/1000)*(G1934/1000)*7850</f>
        <v/>
      </c>
      <c r="I1934" s="43" t="n">
        <v>2</v>
      </c>
      <c r="J1934" s="80">
        <f>H1934*I1934</f>
        <v/>
      </c>
      <c r="K1934" s="43" t="inlineStr">
        <is>
          <t>来源页161</t>
        </is>
      </c>
      <c r="L1934" s="43">
        <f>A1934</f>
        <v/>
      </c>
      <c r="M1934" s="81" t="n"/>
      <c r="N1934" s="81" t="n"/>
      <c r="O1934" s="81" t="n"/>
      <c r="P1934" s="81" t="n"/>
      <c r="Q1934" s="81" t="n"/>
      <c r="R1934" s="81" t="n"/>
      <c r="S1934" s="81" t="n"/>
      <c r="T1934" s="81" t="n"/>
      <c r="U1934" s="81" t="n"/>
      <c r="V1934" s="81" t="n"/>
      <c r="W1934" s="43" t="n"/>
    </row>
    <row r="1935">
      <c r="A1935" s="43" t="inlineStr">
        <is>
          <t>P2</t>
        </is>
      </c>
      <c r="B1935" s="43" t="inlineStr">
        <is>
          <t>上弦杆拼接</t>
        </is>
      </c>
      <c r="C1935" s="43" t="inlineStr">
        <is>
          <t>节段5~节段6</t>
        </is>
      </c>
      <c r="D1935" s="43" t="inlineStr">
        <is>
          <t>Q420D</t>
        </is>
      </c>
      <c r="E1935" s="43" t="n">
        <v>1820</v>
      </c>
      <c r="F1935" s="43" t="n">
        <v>300</v>
      </c>
      <c r="G1935" s="43" t="n">
        <v>40</v>
      </c>
      <c r="H1935" s="79">
        <f>(E1935/1000)*(F1935/1000)*(G1935/1000)*7850</f>
        <v/>
      </c>
      <c r="I1935" s="43" t="n">
        <v>2</v>
      </c>
      <c r="J1935" s="80">
        <f>H1935*I1935</f>
        <v/>
      </c>
      <c r="K1935" s="43" t="inlineStr">
        <is>
          <t>来源页161</t>
        </is>
      </c>
      <c r="L1935" s="43">
        <f>A1935</f>
        <v/>
      </c>
      <c r="M1935" s="81" t="n"/>
      <c r="N1935" s="81" t="n"/>
      <c r="O1935" s="81" t="n"/>
      <c r="P1935" s="81" t="n"/>
      <c r="Q1935" s="81" t="n"/>
      <c r="R1935" s="81" t="n"/>
      <c r="S1935" s="81" t="n"/>
      <c r="T1935" s="81" t="n"/>
      <c r="U1935" s="81" t="n"/>
      <c r="V1935" s="81" t="n"/>
      <c r="W1935" s="43" t="n"/>
    </row>
    <row r="1936">
      <c r="A1936" s="43" t="inlineStr">
        <is>
          <t>P3</t>
        </is>
      </c>
      <c r="B1936" s="43" t="inlineStr">
        <is>
          <t>上弦杆拼接</t>
        </is>
      </c>
      <c r="C1936" s="43" t="inlineStr">
        <is>
          <t>节段5~节段6</t>
        </is>
      </c>
      <c r="D1936" s="43" t="inlineStr">
        <is>
          <t>Q420D</t>
        </is>
      </c>
      <c r="E1936" s="43" t="n">
        <v>1820</v>
      </c>
      <c r="F1936" s="43" t="n">
        <v>500</v>
      </c>
      <c r="G1936" s="43" t="n">
        <v>40</v>
      </c>
      <c r="H1936" s="79">
        <f>(E1936/1000)*(F1936/1000)*(G1936/1000)*7850</f>
        <v/>
      </c>
      <c r="I1936" s="43" t="n">
        <v>2</v>
      </c>
      <c r="J1936" s="80">
        <f>H1936*I1936</f>
        <v/>
      </c>
      <c r="K1936" s="43" t="inlineStr">
        <is>
          <t>来源页161</t>
        </is>
      </c>
      <c r="L1936" s="43">
        <f>A1936</f>
        <v/>
      </c>
      <c r="M1936" s="81" t="n"/>
      <c r="N1936" s="81" t="n"/>
      <c r="O1936" s="81" t="n"/>
      <c r="P1936" s="81" t="n"/>
      <c r="Q1936" s="81" t="n"/>
      <c r="R1936" s="81" t="n"/>
      <c r="S1936" s="81" t="n"/>
      <c r="T1936" s="81" t="n"/>
      <c r="U1936" s="81" t="n"/>
      <c r="V1936" s="81" t="n"/>
      <c r="W1936" s="43" t="n"/>
    </row>
    <row r="1937">
      <c r="A1937" s="43" t="inlineStr">
        <is>
          <t>P4</t>
        </is>
      </c>
      <c r="B1937" s="43" t="inlineStr">
        <is>
          <t>上弦杆拼接</t>
        </is>
      </c>
      <c r="C1937" s="43" t="inlineStr">
        <is>
          <t>节段5~节段6</t>
        </is>
      </c>
      <c r="D1937" s="43" t="inlineStr">
        <is>
          <t>Q420D</t>
        </is>
      </c>
      <c r="E1937" s="43" t="n">
        <v>1820</v>
      </c>
      <c r="F1937" s="43" t="n">
        <v>400</v>
      </c>
      <c r="G1937" s="43" t="n">
        <v>40</v>
      </c>
      <c r="H1937" s="79">
        <f>(E1937/1000)*(F1937/1000)*(G1937/1000)*7850</f>
        <v/>
      </c>
      <c r="I1937" s="43" t="n">
        <v>2</v>
      </c>
      <c r="J1937" s="80">
        <f>H1937*I1937</f>
        <v/>
      </c>
      <c r="K1937" s="43" t="inlineStr">
        <is>
          <t>来源页161</t>
        </is>
      </c>
      <c r="L1937" s="43">
        <f>A1937</f>
        <v/>
      </c>
      <c r="M1937" s="81" t="n"/>
      <c r="N1937" s="81" t="n"/>
      <c r="O1937" s="81" t="n"/>
      <c r="P1937" s="81" t="n"/>
      <c r="Q1937" s="81" t="n"/>
      <c r="R1937" s="81" t="n"/>
      <c r="S1937" s="81" t="n"/>
      <c r="T1937" s="81" t="n"/>
      <c r="U1937" s="81" t="n"/>
      <c r="V1937" s="81" t="n"/>
      <c r="W1937" s="43" t="n"/>
    </row>
    <row r="1938">
      <c r="A1938" s="43" t="inlineStr">
        <is>
          <t>P5</t>
        </is>
      </c>
      <c r="B1938" s="43" t="inlineStr">
        <is>
          <t>上弦杆拼接</t>
        </is>
      </c>
      <c r="C1938" s="43" t="inlineStr">
        <is>
          <t>节段5~节段6</t>
        </is>
      </c>
      <c r="D1938" s="43" t="inlineStr">
        <is>
          <t>Q420D</t>
        </is>
      </c>
      <c r="E1938" s="43" t="n">
        <v>1720</v>
      </c>
      <c r="F1938" s="43" t="n">
        <v>1100</v>
      </c>
      <c r="G1938" s="43" t="n">
        <v>44</v>
      </c>
      <c r="H1938" s="79">
        <f>(E1938/1000)*(F1938/1000)*(G1938/1000)*7850</f>
        <v/>
      </c>
      <c r="I1938" s="43" t="n">
        <v>1</v>
      </c>
      <c r="J1938" s="80">
        <f>H1938*I1938</f>
        <v/>
      </c>
      <c r="K1938" s="43" t="inlineStr">
        <is>
          <t>来源页161</t>
        </is>
      </c>
      <c r="L1938" s="43">
        <f>A1938</f>
        <v/>
      </c>
      <c r="M1938" s="81" t="n"/>
      <c r="N1938" s="81" t="n"/>
      <c r="O1938" s="81" t="n"/>
      <c r="P1938" s="81" t="n"/>
      <c r="Q1938" s="81" t="n"/>
      <c r="R1938" s="81" t="n"/>
      <c r="S1938" s="81" t="n"/>
      <c r="T1938" s="81" t="n"/>
      <c r="U1938" s="81" t="n"/>
      <c r="V1938" s="81" t="n"/>
      <c r="W1938" s="43" t="n"/>
    </row>
    <row r="1939">
      <c r="A1939" s="43" t="inlineStr">
        <is>
          <t>P6</t>
        </is>
      </c>
      <c r="B1939" s="43" t="inlineStr">
        <is>
          <t>上弦杆拼接</t>
        </is>
      </c>
      <c r="C1939" s="43" t="inlineStr">
        <is>
          <t>节段5~节段6</t>
        </is>
      </c>
      <c r="D1939" s="43" t="inlineStr">
        <is>
          <t>Q420D</t>
        </is>
      </c>
      <c r="E1939" s="43" t="n">
        <v>1720</v>
      </c>
      <c r="F1939" s="43" t="n">
        <v>400</v>
      </c>
      <c r="G1939" s="43" t="n">
        <v>44</v>
      </c>
      <c r="H1939" s="79">
        <f>(E1939/1000)*(F1939/1000)*(G1939/1000)*7850</f>
        <v/>
      </c>
      <c r="I1939" s="43" t="n">
        <v>2</v>
      </c>
      <c r="J1939" s="80">
        <f>H1939*I1939</f>
        <v/>
      </c>
      <c r="K1939" s="43" t="inlineStr">
        <is>
          <t>来源页161</t>
        </is>
      </c>
      <c r="L1939" s="43">
        <f>A1939</f>
        <v/>
      </c>
      <c r="M1939" s="81" t="n"/>
      <c r="N1939" s="81" t="n"/>
      <c r="O1939" s="81" t="n"/>
      <c r="P1939" s="81" t="n"/>
      <c r="Q1939" s="81" t="n"/>
      <c r="R1939" s="81" t="n"/>
      <c r="S1939" s="81" t="n"/>
      <c r="T1939" s="81" t="n"/>
      <c r="U1939" s="81" t="n"/>
      <c r="V1939" s="81" t="n"/>
      <c r="W1939" s="43" t="n"/>
    </row>
    <row r="1940">
      <c r="A1940" s="43" t="inlineStr">
        <is>
          <t>P7</t>
        </is>
      </c>
      <c r="B1940" s="43" t="inlineStr">
        <is>
          <t>上弦杆拼接</t>
        </is>
      </c>
      <c r="C1940" s="43" t="inlineStr">
        <is>
          <t>节段5~节段6</t>
        </is>
      </c>
      <c r="D1940" s="43" t="inlineStr">
        <is>
          <t>Q420D</t>
        </is>
      </c>
      <c r="E1940" s="43" t="n">
        <v>1320</v>
      </c>
      <c r="F1940" s="43" t="n">
        <v>240</v>
      </c>
      <c r="G1940" s="43" t="n">
        <v>24</v>
      </c>
      <c r="H1940" s="79">
        <f>(E1940/1000)*(F1940/1000)*(G1940/1000)*7850</f>
        <v/>
      </c>
      <c r="I1940" s="43" t="n">
        <v>10</v>
      </c>
      <c r="J1940" s="80">
        <f>H1940*I1940</f>
        <v/>
      </c>
      <c r="K1940" s="43" t="inlineStr">
        <is>
          <t>来源页161</t>
        </is>
      </c>
      <c r="L1940" s="43">
        <f>A1940</f>
        <v/>
      </c>
      <c r="M1940" s="81" t="n"/>
      <c r="N1940" s="81" t="n"/>
      <c r="O1940" s="81" t="n"/>
      <c r="P1940" s="81" t="n"/>
      <c r="Q1940" s="81" t="n"/>
      <c r="R1940" s="81" t="n"/>
      <c r="S1940" s="81" t="n"/>
      <c r="T1940" s="81" t="n"/>
      <c r="U1940" s="81" t="n"/>
      <c r="V1940" s="81" t="n"/>
      <c r="W1940" s="43" t="n"/>
    </row>
    <row r="1941">
      <c r="A1941" s="43" t="inlineStr">
        <is>
          <t>M30高强螺栓</t>
        </is>
      </c>
      <c r="B1941" s="43" t="inlineStr">
        <is>
          <t>上弦杆拼接</t>
        </is>
      </c>
      <c r="C1941" s="43" t="inlineStr">
        <is>
          <t>节段5~节段6</t>
        </is>
      </c>
      <c r="D1941" s="43" t="inlineStr">
        <is>
          <t>10.9S</t>
        </is>
      </c>
      <c r="E1941" s="43" t="n"/>
      <c r="F1941" s="43" t="n"/>
      <c r="G1941" s="43" t="n"/>
      <c r="H1941" s="79">
        <f>(E1941/1000)*(F1941/1000)*(G1941/1000)*7850</f>
        <v/>
      </c>
      <c r="I1941" s="43" t="n">
        <v>652</v>
      </c>
      <c r="J1941" s="80">
        <f>H1941*I1941</f>
        <v/>
      </c>
      <c r="K1941" s="43" t="inlineStr">
        <is>
          <t>来源页161</t>
        </is>
      </c>
      <c r="L1941" s="43">
        <f>A1941</f>
        <v/>
      </c>
      <c r="M1941" s="81" t="n"/>
      <c r="N1941" s="81" t="n"/>
      <c r="O1941" s="81" t="n"/>
      <c r="P1941" s="81" t="n"/>
      <c r="Q1941" s="81" t="n"/>
      <c r="R1941" s="81" t="n"/>
      <c r="S1941" s="81" t="n"/>
      <c r="T1941" s="81" t="n"/>
      <c r="U1941" s="81" t="n"/>
      <c r="V1941" s="81" t="n"/>
      <c r="W1941" s="43" t="n"/>
    </row>
    <row r="1942">
      <c r="A1942" s="43" t="inlineStr">
        <is>
          <t>K1</t>
        </is>
      </c>
      <c r="B1942" s="43" t="inlineStr">
        <is>
          <t>下弦杆拼接</t>
        </is>
      </c>
      <c r="C1942" s="43" t="inlineStr">
        <is>
          <t>节段5~节段6</t>
        </is>
      </c>
      <c r="D1942" s="43" t="inlineStr">
        <is>
          <t>Q355D</t>
        </is>
      </c>
      <c r="E1942" s="43" t="n">
        <v>1020</v>
      </c>
      <c r="F1942" s="43" t="n">
        <v>1300</v>
      </c>
      <c r="G1942" s="43" t="n">
        <v>24</v>
      </c>
      <c r="H1942" s="79">
        <f>(E1942/1000)*(F1942/1000)*(G1942/1000)*7850</f>
        <v/>
      </c>
      <c r="I1942" s="43" t="n">
        <v>2</v>
      </c>
      <c r="J1942" s="80">
        <f>H1942*I1942</f>
        <v/>
      </c>
      <c r="K1942" s="43" t="inlineStr">
        <is>
          <t>来源页161</t>
        </is>
      </c>
      <c r="L1942" s="43">
        <f>A1942</f>
        <v/>
      </c>
      <c r="M1942" s="81" t="n"/>
      <c r="N1942" s="81" t="n"/>
      <c r="O1942" s="81" t="n"/>
      <c r="P1942" s="81" t="n"/>
      <c r="Q1942" s="81" t="n"/>
      <c r="R1942" s="81" t="n"/>
      <c r="S1942" s="81" t="n"/>
      <c r="T1942" s="81" t="n"/>
      <c r="U1942" s="81" t="n"/>
      <c r="V1942" s="81" t="n"/>
      <c r="W1942" s="43" t="n"/>
    </row>
    <row r="1943">
      <c r="A1943" s="43" t="inlineStr">
        <is>
          <t>K2</t>
        </is>
      </c>
      <c r="B1943" s="43" t="inlineStr">
        <is>
          <t>下弦杆拼接</t>
        </is>
      </c>
      <c r="C1943" s="43" t="inlineStr">
        <is>
          <t>节段5~节段6</t>
        </is>
      </c>
      <c r="D1943" s="43" t="inlineStr">
        <is>
          <t>Q355D</t>
        </is>
      </c>
      <c r="E1943" s="43" t="n">
        <v>1020</v>
      </c>
      <c r="F1943" s="43" t="n">
        <v>600</v>
      </c>
      <c r="G1943" s="43" t="n">
        <v>24</v>
      </c>
      <c r="H1943" s="79">
        <f>(E1943/1000)*(F1943/1000)*(G1943/1000)*7850</f>
        <v/>
      </c>
      <c r="I1943" s="43" t="n">
        <v>4</v>
      </c>
      <c r="J1943" s="80">
        <f>H1943*I1943</f>
        <v/>
      </c>
      <c r="K1943" s="43" t="inlineStr">
        <is>
          <t>来源页161</t>
        </is>
      </c>
      <c r="L1943" s="43">
        <f>A1943</f>
        <v/>
      </c>
      <c r="M1943" s="81" t="n"/>
      <c r="N1943" s="81" t="n"/>
      <c r="O1943" s="81" t="n"/>
      <c r="P1943" s="81" t="n"/>
      <c r="Q1943" s="81" t="n"/>
      <c r="R1943" s="81" t="n"/>
      <c r="S1943" s="81" t="n"/>
      <c r="T1943" s="81" t="n"/>
      <c r="U1943" s="81" t="n"/>
      <c r="V1943" s="81" t="n"/>
      <c r="W1943" s="43" t="n"/>
    </row>
    <row r="1944">
      <c r="A1944" s="43" t="inlineStr">
        <is>
          <t>K3</t>
        </is>
      </c>
      <c r="B1944" s="43" t="inlineStr">
        <is>
          <t>下弦杆拼接</t>
        </is>
      </c>
      <c r="C1944" s="43" t="inlineStr">
        <is>
          <t>节段5~节段6</t>
        </is>
      </c>
      <c r="D1944" s="43" t="inlineStr">
        <is>
          <t>Q355D</t>
        </is>
      </c>
      <c r="E1944" s="43" t="n">
        <v>1320</v>
      </c>
      <c r="F1944" s="43" t="n">
        <v>1100</v>
      </c>
      <c r="G1944" s="43" t="n">
        <v>36</v>
      </c>
      <c r="H1944" s="79">
        <f>(E1944/1000)*(F1944/1000)*(G1944/1000)*7850</f>
        <v/>
      </c>
      <c r="I1944" s="43" t="n">
        <v>1</v>
      </c>
      <c r="J1944" s="80">
        <f>H1944*I1944</f>
        <v/>
      </c>
      <c r="K1944" s="43" t="inlineStr">
        <is>
          <t>来源页161</t>
        </is>
      </c>
      <c r="L1944" s="43">
        <f>A1944</f>
        <v/>
      </c>
      <c r="M1944" s="81" t="n"/>
      <c r="N1944" s="81" t="n"/>
      <c r="O1944" s="81" t="n"/>
      <c r="P1944" s="81" t="n"/>
      <c r="Q1944" s="81" t="n"/>
      <c r="R1944" s="81" t="n"/>
      <c r="S1944" s="81" t="n"/>
      <c r="T1944" s="81" t="n"/>
      <c r="U1944" s="81" t="n"/>
      <c r="V1944" s="81" t="n"/>
      <c r="W1944" s="43" t="n"/>
    </row>
    <row r="1945">
      <c r="A1945" s="43" t="inlineStr">
        <is>
          <t>K4</t>
        </is>
      </c>
      <c r="B1945" s="43" t="inlineStr">
        <is>
          <t>下弦杆拼接</t>
        </is>
      </c>
      <c r="C1945" s="43" t="inlineStr">
        <is>
          <t>节段5~节段6</t>
        </is>
      </c>
      <c r="D1945" s="43" t="inlineStr">
        <is>
          <t>Q355D</t>
        </is>
      </c>
      <c r="E1945" s="43" t="n">
        <v>1320</v>
      </c>
      <c r="F1945" s="43" t="n">
        <v>400</v>
      </c>
      <c r="G1945" s="43" t="n">
        <v>36</v>
      </c>
      <c r="H1945" s="79">
        <f>(E1945/1000)*(F1945/1000)*(G1945/1000)*7850</f>
        <v/>
      </c>
      <c r="I1945" s="43" t="n">
        <v>2</v>
      </c>
      <c r="J1945" s="80">
        <f>H1945*I1945</f>
        <v/>
      </c>
      <c r="K1945" s="43" t="inlineStr">
        <is>
          <t>来源页161</t>
        </is>
      </c>
      <c r="L1945" s="43">
        <f>A1945</f>
        <v/>
      </c>
      <c r="M1945" s="81" t="n"/>
      <c r="N1945" s="81" t="n"/>
      <c r="O1945" s="81" t="n"/>
      <c r="P1945" s="81" t="n"/>
      <c r="Q1945" s="81" t="n"/>
      <c r="R1945" s="81" t="n"/>
      <c r="S1945" s="81" t="n"/>
      <c r="T1945" s="81" t="n"/>
      <c r="U1945" s="81" t="n"/>
      <c r="V1945" s="81" t="n"/>
      <c r="W1945" s="43" t="n"/>
    </row>
    <row r="1946">
      <c r="A1946" s="43" t="inlineStr">
        <is>
          <t>K6</t>
        </is>
      </c>
      <c r="B1946" s="43" t="inlineStr">
        <is>
          <t>下弦杆拼接</t>
        </is>
      </c>
      <c r="C1946" s="43" t="inlineStr">
        <is>
          <t>节段5~节段6</t>
        </is>
      </c>
      <c r="D1946" s="43" t="inlineStr">
        <is>
          <t>Q355D</t>
        </is>
      </c>
      <c r="E1946" s="43" t="n">
        <v>500</v>
      </c>
      <c r="F1946" s="43" t="n">
        <v>1700</v>
      </c>
      <c r="G1946" s="43" t="n">
        <v>8</v>
      </c>
      <c r="H1946" s="79">
        <f>(E1946/1000)*(F1946/1000)*(G1946/1000)*7850</f>
        <v/>
      </c>
      <c r="I1946" s="43" t="n">
        <v>2</v>
      </c>
      <c r="J1946" s="80">
        <f>H1946*I1946</f>
        <v/>
      </c>
      <c r="K1946" s="43" t="inlineStr">
        <is>
          <t>填板；来源页161</t>
        </is>
      </c>
      <c r="L1946" s="43">
        <f>A1946</f>
        <v/>
      </c>
      <c r="M1946" s="81" t="n"/>
      <c r="N1946" s="81" t="n"/>
      <c r="O1946" s="81" t="n"/>
      <c r="P1946" s="81" t="n"/>
      <c r="Q1946" s="81" t="n"/>
      <c r="R1946" s="81" t="n"/>
      <c r="S1946" s="81" t="n"/>
      <c r="T1946" s="81" t="n"/>
      <c r="U1946" s="81" t="n"/>
      <c r="V1946" s="81" t="n"/>
      <c r="W1946" s="43" t="n"/>
    </row>
    <row r="1947">
      <c r="A1947" s="43" t="inlineStr">
        <is>
          <t>K7</t>
        </is>
      </c>
      <c r="B1947" s="43" t="inlineStr">
        <is>
          <t>下弦杆拼接</t>
        </is>
      </c>
      <c r="C1947" s="43" t="inlineStr">
        <is>
          <t>节段5~节段6</t>
        </is>
      </c>
      <c r="D1947" s="43" t="inlineStr">
        <is>
          <t>Q355D</t>
        </is>
      </c>
      <c r="E1947" s="43" t="n">
        <v>650</v>
      </c>
      <c r="F1947" s="43" t="n">
        <v>1100</v>
      </c>
      <c r="G1947" s="43" t="n">
        <v>4</v>
      </c>
      <c r="H1947" s="79">
        <f>(E1947/1000)*(F1947/1000)*(G1947/1000)*7850</f>
        <v/>
      </c>
      <c r="I1947" s="43" t="n">
        <v>1</v>
      </c>
      <c r="J1947" s="80">
        <f>H1947*I1947</f>
        <v/>
      </c>
      <c r="K1947" s="43" t="inlineStr">
        <is>
          <t>填板；来源页161</t>
        </is>
      </c>
      <c r="L1947" s="43">
        <f>A1947</f>
        <v/>
      </c>
      <c r="M1947" s="81" t="n"/>
      <c r="N1947" s="81" t="n"/>
      <c r="O1947" s="81" t="n"/>
      <c r="P1947" s="81" t="n"/>
      <c r="Q1947" s="81" t="n"/>
      <c r="R1947" s="81" t="n"/>
      <c r="S1947" s="81" t="n"/>
      <c r="T1947" s="81" t="n"/>
      <c r="U1947" s="81" t="n"/>
      <c r="V1947" s="81" t="n"/>
      <c r="W1947" s="43" t="n"/>
    </row>
    <row r="1948">
      <c r="A1948" s="43" t="inlineStr">
        <is>
          <t>M30高强螺栓</t>
        </is>
      </c>
      <c r="B1948" s="43" t="inlineStr">
        <is>
          <t>下弦杆拼接</t>
        </is>
      </c>
      <c r="C1948" s="43" t="inlineStr">
        <is>
          <t>节段5~节段6</t>
        </is>
      </c>
      <c r="D1948" s="43" t="inlineStr">
        <is>
          <t>10.9S</t>
        </is>
      </c>
      <c r="E1948" s="43" t="n"/>
      <c r="F1948" s="43" t="n"/>
      <c r="G1948" s="43" t="n"/>
      <c r="H1948" s="79">
        <f>(E1948/1000)*(F1948/1000)*(G1948/1000)*7850</f>
        <v/>
      </c>
      <c r="I1948" s="43" t="n">
        <v>344</v>
      </c>
      <c r="J1948" s="80">
        <f>H1948*I1948</f>
        <v/>
      </c>
      <c r="K1948" s="43" t="inlineStr">
        <is>
          <t>来源页161</t>
        </is>
      </c>
      <c r="L1948" s="43">
        <f>A1948</f>
        <v/>
      </c>
      <c r="M1948" s="81" t="n"/>
      <c r="N1948" s="81" t="n"/>
      <c r="O1948" s="81" t="n"/>
      <c r="P1948" s="81" t="n"/>
      <c r="Q1948" s="81" t="n"/>
      <c r="R1948" s="81" t="n"/>
      <c r="S1948" s="81" t="n"/>
      <c r="T1948" s="81" t="n"/>
      <c r="U1948" s="81" t="n"/>
      <c r="V1948" s="81" t="n"/>
      <c r="W1948" s="43" t="n"/>
    </row>
    <row r="1949">
      <c r="A1949" s="43" t="inlineStr">
        <is>
          <t>L1</t>
        </is>
      </c>
      <c r="B1949" s="43" t="inlineStr">
        <is>
          <t>腹杆拼接</t>
        </is>
      </c>
      <c r="C1949" s="43" t="inlineStr">
        <is>
          <t>节段5~节段6</t>
        </is>
      </c>
      <c r="D1949" s="43" t="inlineStr">
        <is>
          <t>Q355D</t>
        </is>
      </c>
      <c r="E1949" s="43" t="n">
        <v>1520</v>
      </c>
      <c r="F1949" s="43" t="n">
        <v>1100</v>
      </c>
      <c r="G1949" s="43" t="n">
        <v>24</v>
      </c>
      <c r="H1949" s="79">
        <f>(E1949/1000)*(F1949/1000)*(G1949/1000)*7850</f>
        <v/>
      </c>
      <c r="I1949" s="43" t="n">
        <v>2</v>
      </c>
      <c r="J1949" s="80">
        <f>H1949*I1949</f>
        <v/>
      </c>
      <c r="K1949" s="43" t="inlineStr">
        <is>
          <t>来源页161</t>
        </is>
      </c>
      <c r="L1949" s="43">
        <f>A1949</f>
        <v/>
      </c>
      <c r="M1949" s="81" t="n"/>
      <c r="N1949" s="81" t="n"/>
      <c r="O1949" s="81" t="n"/>
      <c r="P1949" s="81" t="n"/>
      <c r="Q1949" s="81" t="n"/>
      <c r="R1949" s="81" t="n"/>
      <c r="S1949" s="81" t="n"/>
      <c r="T1949" s="81" t="n"/>
      <c r="U1949" s="81" t="n"/>
      <c r="V1949" s="81" t="n"/>
      <c r="W1949" s="43" t="n"/>
    </row>
    <row r="1950">
      <c r="A1950" s="43" t="inlineStr">
        <is>
          <t>L2</t>
        </is>
      </c>
      <c r="B1950" s="43" t="inlineStr">
        <is>
          <t>腹杆拼接</t>
        </is>
      </c>
      <c r="C1950" s="43" t="inlineStr">
        <is>
          <t>节段5~节段6</t>
        </is>
      </c>
      <c r="D1950" s="43" t="inlineStr">
        <is>
          <t>Q355D</t>
        </is>
      </c>
      <c r="E1950" s="43" t="n">
        <v>1520</v>
      </c>
      <c r="F1950" s="43" t="n">
        <v>500</v>
      </c>
      <c r="G1950" s="43" t="n">
        <v>24</v>
      </c>
      <c r="H1950" s="79">
        <f>(E1950/1000)*(F1950/1000)*(G1950/1000)*7850</f>
        <v/>
      </c>
      <c r="I1950" s="43" t="n">
        <v>4</v>
      </c>
      <c r="J1950" s="80">
        <f>H1950*I1950</f>
        <v/>
      </c>
      <c r="K1950" s="43" t="inlineStr">
        <is>
          <t>来源页161</t>
        </is>
      </c>
      <c r="L1950" s="43">
        <f>A1950</f>
        <v/>
      </c>
      <c r="M1950" s="81" t="n"/>
      <c r="N1950" s="81" t="n"/>
      <c r="O1950" s="81" t="n"/>
      <c r="P1950" s="81" t="n"/>
      <c r="Q1950" s="81" t="n"/>
      <c r="R1950" s="81" t="n"/>
      <c r="S1950" s="81" t="n"/>
      <c r="T1950" s="81" t="n"/>
      <c r="U1950" s="81" t="n"/>
      <c r="V1950" s="81" t="n"/>
      <c r="W1950" s="43" t="n"/>
    </row>
    <row r="1951">
      <c r="A1951" s="43" t="inlineStr">
        <is>
          <t>L3</t>
        </is>
      </c>
      <c r="B1951" s="43" t="inlineStr">
        <is>
          <t>腹杆拼接</t>
        </is>
      </c>
      <c r="C1951" s="43" t="inlineStr">
        <is>
          <t>节段5~节段6</t>
        </is>
      </c>
      <c r="D1951" s="43" t="inlineStr">
        <is>
          <t>Q355D</t>
        </is>
      </c>
      <c r="E1951" s="43" t="n">
        <v>1320</v>
      </c>
      <c r="F1951" s="43" t="n">
        <v>1100</v>
      </c>
      <c r="G1951" s="43" t="n">
        <v>28</v>
      </c>
      <c r="H1951" s="79">
        <f>(E1951/1000)*(F1951/1000)*(G1951/1000)*7850</f>
        <v/>
      </c>
      <c r="I1951" s="43" t="n">
        <v>1</v>
      </c>
      <c r="J1951" s="80">
        <f>H1951*I1951</f>
        <v/>
      </c>
      <c r="K1951" s="43" t="inlineStr">
        <is>
          <t>来源页161</t>
        </is>
      </c>
      <c r="L1951" s="43">
        <f>A1951</f>
        <v/>
      </c>
      <c r="M1951" s="81" t="n"/>
      <c r="N1951" s="81" t="n"/>
      <c r="O1951" s="81" t="n"/>
      <c r="P1951" s="81" t="n"/>
      <c r="Q1951" s="81" t="n"/>
      <c r="R1951" s="81" t="n"/>
      <c r="S1951" s="81" t="n"/>
      <c r="T1951" s="81" t="n"/>
      <c r="U1951" s="81" t="n"/>
      <c r="V1951" s="81" t="n"/>
      <c r="W1951" s="43" t="n"/>
    </row>
    <row r="1952">
      <c r="A1952" s="43" t="inlineStr">
        <is>
          <t>L4</t>
        </is>
      </c>
      <c r="B1952" s="43" t="inlineStr">
        <is>
          <t>腹杆拼接</t>
        </is>
      </c>
      <c r="C1952" s="43" t="inlineStr">
        <is>
          <t>节段5~节段6</t>
        </is>
      </c>
      <c r="D1952" s="43" t="inlineStr">
        <is>
          <t>Q355D</t>
        </is>
      </c>
      <c r="E1952" s="43" t="n">
        <v>1320</v>
      </c>
      <c r="F1952" s="43" t="n">
        <v>500</v>
      </c>
      <c r="G1952" s="43" t="n">
        <v>28</v>
      </c>
      <c r="H1952" s="79">
        <f>(E1952/1000)*(F1952/1000)*(G1952/1000)*7850</f>
        <v/>
      </c>
      <c r="I1952" s="43" t="n">
        <v>2</v>
      </c>
      <c r="J1952" s="80">
        <f>H1952*I1952</f>
        <v/>
      </c>
      <c r="K1952" s="43" t="inlineStr">
        <is>
          <t>来源页161</t>
        </is>
      </c>
      <c r="L1952" s="43">
        <f>A1952</f>
        <v/>
      </c>
      <c r="M1952" s="81" t="n"/>
      <c r="N1952" s="81" t="n"/>
      <c r="O1952" s="81" t="n"/>
      <c r="P1952" s="81" t="n"/>
      <c r="Q1952" s="81" t="n"/>
      <c r="R1952" s="81" t="n"/>
      <c r="S1952" s="81" t="n"/>
      <c r="T1952" s="81" t="n"/>
      <c r="U1952" s="81" t="n"/>
      <c r="V1952" s="81" t="n"/>
      <c r="W1952" s="43" t="n"/>
    </row>
    <row r="1953">
      <c r="A1953" s="43" t="inlineStr">
        <is>
          <t>L5</t>
        </is>
      </c>
      <c r="B1953" s="43" t="inlineStr">
        <is>
          <t>腹杆拼接</t>
        </is>
      </c>
      <c r="C1953" s="43" t="inlineStr">
        <is>
          <t>节段5~节段6</t>
        </is>
      </c>
      <c r="D1953" s="43" t="inlineStr">
        <is>
          <t>Q355D</t>
        </is>
      </c>
      <c r="E1953" s="43" t="n">
        <v>1520</v>
      </c>
      <c r="F1953" s="43" t="n">
        <v>1100</v>
      </c>
      <c r="G1953" s="43" t="n">
        <v>44</v>
      </c>
      <c r="H1953" s="79">
        <f>(E1953/1000)*(F1953/1000)*(G1953/1000)*7850</f>
        <v/>
      </c>
      <c r="I1953" s="43" t="n">
        <v>1</v>
      </c>
      <c r="J1953" s="80">
        <f>H1953*I1953</f>
        <v/>
      </c>
      <c r="K1953" s="43" t="inlineStr">
        <is>
          <t>来源页161</t>
        </is>
      </c>
      <c r="L1953" s="43">
        <f>A1953</f>
        <v/>
      </c>
      <c r="M1953" s="81" t="n"/>
      <c r="N1953" s="81" t="n"/>
      <c r="O1953" s="81" t="n"/>
      <c r="P1953" s="81" t="n"/>
      <c r="Q1953" s="81" t="n"/>
      <c r="R1953" s="81" t="n"/>
      <c r="S1953" s="81" t="n"/>
      <c r="T1953" s="81" t="n"/>
      <c r="U1953" s="81" t="n"/>
      <c r="V1953" s="81" t="n"/>
      <c r="W1953" s="43" t="n"/>
    </row>
    <row r="1954">
      <c r="A1954" s="43" t="inlineStr">
        <is>
          <t>L6</t>
        </is>
      </c>
      <c r="B1954" s="43" t="inlineStr">
        <is>
          <t>腹杆拼接</t>
        </is>
      </c>
      <c r="C1954" s="43" t="inlineStr">
        <is>
          <t>节段5~节段6</t>
        </is>
      </c>
      <c r="D1954" s="43" t="inlineStr">
        <is>
          <t>Q355D</t>
        </is>
      </c>
      <c r="E1954" s="43" t="n">
        <v>1520</v>
      </c>
      <c r="F1954" s="43" t="n">
        <v>240</v>
      </c>
      <c r="G1954" s="43" t="n">
        <v>44</v>
      </c>
      <c r="H1954" s="79">
        <f>(E1954/1000)*(F1954/1000)*(G1954/1000)*7850</f>
        <v/>
      </c>
      <c r="I1954" s="43" t="n">
        <v>2</v>
      </c>
      <c r="J1954" s="80">
        <f>H1954*I1954</f>
        <v/>
      </c>
      <c r="K1954" s="43" t="inlineStr">
        <is>
          <t>来源页161</t>
        </is>
      </c>
      <c r="L1954" s="43">
        <f>A1954</f>
        <v/>
      </c>
      <c r="M1954" s="81" t="n"/>
      <c r="N1954" s="81" t="n"/>
      <c r="O1954" s="81" t="n"/>
      <c r="P1954" s="81" t="n"/>
      <c r="Q1954" s="81" t="n"/>
      <c r="R1954" s="81" t="n"/>
      <c r="S1954" s="81" t="n"/>
      <c r="T1954" s="81" t="n"/>
      <c r="U1954" s="81" t="n"/>
      <c r="V1954" s="81" t="n"/>
      <c r="W1954" s="43" t="n"/>
    </row>
    <row r="1955">
      <c r="A1955" s="43" t="inlineStr">
        <is>
          <t>L7</t>
        </is>
      </c>
      <c r="B1955" s="43" t="inlineStr">
        <is>
          <t>腹杆拼接</t>
        </is>
      </c>
      <c r="C1955" s="43" t="inlineStr">
        <is>
          <t>节段5~节段6</t>
        </is>
      </c>
      <c r="D1955" s="43" t="inlineStr">
        <is>
          <t>Q355D</t>
        </is>
      </c>
      <c r="E1955" s="43" t="n">
        <v>1220</v>
      </c>
      <c r="F1955" s="43" t="n">
        <v>240</v>
      </c>
      <c r="G1955" s="43" t="n">
        <v>24</v>
      </c>
      <c r="H1955" s="79">
        <f>(E1955/1000)*(F1955/1000)*(G1955/1000)*7850</f>
        <v/>
      </c>
      <c r="I1955" s="43" t="n">
        <v>4</v>
      </c>
      <c r="J1955" s="80">
        <f>H1955*I1955</f>
        <v/>
      </c>
      <c r="K1955" s="43" t="inlineStr">
        <is>
          <t>来源页161</t>
        </is>
      </c>
      <c r="L1955" s="43">
        <f>A1955</f>
        <v/>
      </c>
      <c r="M1955" s="81" t="n"/>
      <c r="N1955" s="81" t="n"/>
      <c r="O1955" s="81" t="n"/>
      <c r="P1955" s="81" t="n"/>
      <c r="Q1955" s="81" t="n"/>
      <c r="R1955" s="81" t="n"/>
      <c r="S1955" s="81" t="n"/>
      <c r="T1955" s="81" t="n"/>
      <c r="U1955" s="81" t="n"/>
      <c r="V1955" s="81" t="n"/>
      <c r="W1955" s="43" t="n"/>
    </row>
    <row r="1956">
      <c r="A1956" s="43" t="inlineStr">
        <is>
          <t>L8</t>
        </is>
      </c>
      <c r="B1956" s="43" t="inlineStr">
        <is>
          <t>腹杆拼接</t>
        </is>
      </c>
      <c r="C1956" s="43" t="inlineStr">
        <is>
          <t>节段5~节段6</t>
        </is>
      </c>
      <c r="D1956" s="43" t="inlineStr">
        <is>
          <t>Q355D</t>
        </is>
      </c>
      <c r="E1956" s="43" t="n">
        <v>1320</v>
      </c>
      <c r="F1956" s="43" t="n">
        <v>240</v>
      </c>
      <c r="G1956" s="43" t="n">
        <v>24</v>
      </c>
      <c r="H1956" s="79">
        <f>(E1956/1000)*(F1956/1000)*(G1956/1000)*7850</f>
        <v/>
      </c>
      <c r="I1956" s="43" t="n">
        <v>2</v>
      </c>
      <c r="J1956" s="80">
        <f>H1956*I1956</f>
        <v/>
      </c>
      <c r="K1956" s="43" t="inlineStr">
        <is>
          <t>来源页161</t>
        </is>
      </c>
      <c r="L1956" s="43">
        <f>A1956</f>
        <v/>
      </c>
      <c r="M1956" s="81" t="n"/>
      <c r="N1956" s="81" t="n"/>
      <c r="O1956" s="81" t="n"/>
      <c r="P1956" s="81" t="n"/>
      <c r="Q1956" s="81" t="n"/>
      <c r="R1956" s="81" t="n"/>
      <c r="S1956" s="81" t="n"/>
      <c r="T1956" s="81" t="n"/>
      <c r="U1956" s="81" t="n"/>
      <c r="V1956" s="81" t="n"/>
      <c r="W1956" s="43" t="n"/>
    </row>
    <row r="1957">
      <c r="A1957" s="43" t="inlineStr">
        <is>
          <t>N11a</t>
        </is>
      </c>
      <c r="B1957" s="43" t="inlineStr"/>
      <c r="C1957" s="43" t="inlineStr">
        <is>
          <t>节段06</t>
        </is>
      </c>
      <c r="D1957" s="43" t="inlineStr">
        <is>
          <t>Q420D</t>
        </is>
      </c>
      <c r="E1957" s="43" t="n"/>
      <c r="F1957" s="43" t="n"/>
      <c r="G1957" s="43" t="n">
        <v>40</v>
      </c>
      <c r="H1957" s="79">
        <f>(E1957/1000)*(F1957/1000)*(G1957/1000)*7850</f>
        <v/>
      </c>
      <c r="I1957" s="43" t="n">
        <v>1</v>
      </c>
      <c r="J1957" s="80">
        <f>H1957*I1957</f>
        <v/>
      </c>
      <c r="K1957" s="43" t="inlineStr">
        <is>
          <t>来源页162</t>
        </is>
      </c>
      <c r="L1957" s="43">
        <f>A1957</f>
        <v/>
      </c>
      <c r="M1957" s="81" t="n"/>
      <c r="N1957" s="81" t="n"/>
      <c r="O1957" s="81" t="n"/>
      <c r="P1957" s="81" t="n"/>
      <c r="Q1957" s="81" t="n"/>
      <c r="R1957" s="81" t="n"/>
      <c r="S1957" s="81" t="n"/>
      <c r="T1957" s="81" t="n"/>
      <c r="U1957" s="81" t="n"/>
      <c r="V1957" s="81" t="n"/>
      <c r="W1957" s="43" t="n"/>
    </row>
    <row r="1958">
      <c r="A1958" s="43" t="inlineStr">
        <is>
          <t>N11b</t>
        </is>
      </c>
      <c r="B1958" s="43" t="inlineStr"/>
      <c r="C1958" s="43" t="inlineStr">
        <is>
          <t>节段06</t>
        </is>
      </c>
      <c r="D1958" s="43" t="inlineStr">
        <is>
          <t>Q420D</t>
        </is>
      </c>
      <c r="E1958" s="43" t="n"/>
      <c r="F1958" s="43" t="n"/>
      <c r="G1958" s="43" t="n">
        <v>40</v>
      </c>
      <c r="H1958" s="79">
        <f>(E1958/1000)*(F1958/1000)*(G1958/1000)*7850</f>
        <v/>
      </c>
      <c r="I1958" s="43" t="n">
        <v>1</v>
      </c>
      <c r="J1958" s="80">
        <f>H1958*I1958</f>
        <v/>
      </c>
      <c r="K1958" s="43" t="inlineStr">
        <is>
          <t>来源页162</t>
        </is>
      </c>
      <c r="L1958" s="43">
        <f>A1958</f>
        <v/>
      </c>
      <c r="M1958" s="81" t="n"/>
      <c r="N1958" s="81" t="n"/>
      <c r="O1958" s="81" t="n"/>
      <c r="P1958" s="81" t="n"/>
      <c r="Q1958" s="81" t="n"/>
      <c r="R1958" s="81" t="n"/>
      <c r="S1958" s="81" t="n"/>
      <c r="T1958" s="81" t="n"/>
      <c r="U1958" s="81" t="n"/>
      <c r="V1958" s="81" t="n"/>
      <c r="W1958" s="43" t="n"/>
    </row>
    <row r="1959">
      <c r="A1959" s="43" t="inlineStr">
        <is>
          <t>N12a</t>
        </is>
      </c>
      <c r="B1959" s="43" t="inlineStr"/>
      <c r="C1959" s="43" t="inlineStr">
        <is>
          <t>节段06</t>
        </is>
      </c>
      <c r="D1959" s="43" t="inlineStr">
        <is>
          <t>Q420D</t>
        </is>
      </c>
      <c r="E1959" s="43" t="n">
        <v>7901</v>
      </c>
      <c r="F1959" s="43" t="n">
        <v>1200</v>
      </c>
      <c r="G1959" s="43" t="n">
        <v>40</v>
      </c>
      <c r="H1959" s="79">
        <f>(E1959/1000)*(F1959/1000)*(G1959/1000)*7850</f>
        <v/>
      </c>
      <c r="I1959" s="43" t="n">
        <v>1</v>
      </c>
      <c r="J1959" s="80">
        <f>H1959*I1959</f>
        <v/>
      </c>
      <c r="K1959" s="43" t="inlineStr">
        <is>
          <t>来源页162</t>
        </is>
      </c>
      <c r="L1959" s="43">
        <f>A1959</f>
        <v/>
      </c>
      <c r="M1959" s="81" t="n"/>
      <c r="N1959" s="81" t="n"/>
      <c r="O1959" s="81" t="n"/>
      <c r="P1959" s="81" t="n"/>
      <c r="Q1959" s="81" t="n"/>
      <c r="R1959" s="81" t="n"/>
      <c r="S1959" s="81" t="n"/>
      <c r="T1959" s="81" t="n"/>
      <c r="U1959" s="81" t="n"/>
      <c r="V1959" s="81" t="n"/>
      <c r="W1959" s="43" t="n"/>
    </row>
    <row r="1960">
      <c r="A1960" s="43" t="inlineStr">
        <is>
          <t>N12b</t>
        </is>
      </c>
      <c r="B1960" s="43" t="inlineStr"/>
      <c r="C1960" s="43" t="inlineStr">
        <is>
          <t>节段06</t>
        </is>
      </c>
      <c r="D1960" s="43" t="inlineStr">
        <is>
          <t>Q420D</t>
        </is>
      </c>
      <c r="E1960" s="43" t="n">
        <v>7101</v>
      </c>
      <c r="F1960" s="43" t="n">
        <v>1200</v>
      </c>
      <c r="G1960" s="43" t="n">
        <v>40</v>
      </c>
      <c r="H1960" s="79">
        <f>(E1960/1000)*(F1960/1000)*(G1960/1000)*7850</f>
        <v/>
      </c>
      <c r="I1960" s="43" t="n">
        <v>1</v>
      </c>
      <c r="J1960" s="80">
        <f>H1960*I1960</f>
        <v/>
      </c>
      <c r="K1960" s="43" t="inlineStr">
        <is>
          <t>来源页162</t>
        </is>
      </c>
      <c r="L1960" s="43">
        <f>A1960</f>
        <v/>
      </c>
      <c r="M1960" s="81" t="n"/>
      <c r="N1960" s="81" t="n"/>
      <c r="O1960" s="81" t="n"/>
      <c r="P1960" s="81" t="n"/>
      <c r="Q1960" s="81" t="n"/>
      <c r="R1960" s="81" t="n"/>
      <c r="S1960" s="81" t="n"/>
      <c r="T1960" s="81" t="n"/>
      <c r="U1960" s="81" t="n"/>
      <c r="V1960" s="81" t="n"/>
      <c r="W1960" s="43" t="n"/>
    </row>
    <row r="1961">
      <c r="A1961" s="43" t="inlineStr">
        <is>
          <t>N13</t>
        </is>
      </c>
      <c r="B1961" s="43" t="inlineStr"/>
      <c r="C1961" s="43" t="inlineStr">
        <is>
          <t>节段06</t>
        </is>
      </c>
      <c r="D1961" s="43" t="inlineStr">
        <is>
          <t>Q420D</t>
        </is>
      </c>
      <c r="E1961" s="43" t="n"/>
      <c r="F1961" s="43" t="n"/>
      <c r="G1961" s="43" t="n">
        <v>48</v>
      </c>
      <c r="H1961" s="79">
        <f>(E1961/1000)*(F1961/1000)*(G1961/1000)*7850</f>
        <v/>
      </c>
      <c r="I1961" s="43" t="n">
        <v>2</v>
      </c>
      <c r="J1961" s="80">
        <f>H1961*I1961</f>
        <v/>
      </c>
      <c r="K1961" s="43" t="inlineStr">
        <is>
          <t>来源页162</t>
        </is>
      </c>
      <c r="L1961" s="43">
        <f>A1961</f>
        <v/>
      </c>
      <c r="M1961" s="81" t="n"/>
      <c r="N1961" s="81" t="n"/>
      <c r="O1961" s="81" t="n"/>
      <c r="P1961" s="81" t="n"/>
      <c r="Q1961" s="81" t="n"/>
      <c r="R1961" s="81" t="n"/>
      <c r="S1961" s="81" t="n"/>
      <c r="T1961" s="81" t="n"/>
      <c r="U1961" s="81" t="n"/>
      <c r="V1961" s="81" t="n"/>
      <c r="W1961" s="43" t="n"/>
    </row>
    <row r="1962">
      <c r="A1962" s="43" t="inlineStr">
        <is>
          <t>N14</t>
        </is>
      </c>
      <c r="B1962" s="43" t="inlineStr"/>
      <c r="C1962" s="43" t="inlineStr">
        <is>
          <t>节段06</t>
        </is>
      </c>
      <c r="D1962" s="43" t="inlineStr">
        <is>
          <t>Q420D</t>
        </is>
      </c>
      <c r="E1962" s="43" t="n">
        <v>7301</v>
      </c>
      <c r="F1962" s="43" t="n">
        <v>1628</v>
      </c>
      <c r="G1962" s="43" t="n">
        <v>48</v>
      </c>
      <c r="H1962" s="79">
        <f>(E1962/1000)*(F1962/1000)*(G1962/1000)*7850</f>
        <v/>
      </c>
      <c r="I1962" s="43" t="n">
        <v>2</v>
      </c>
      <c r="J1962" s="80">
        <f>H1962*I1962</f>
        <v/>
      </c>
      <c r="K1962" s="43" t="inlineStr">
        <is>
          <t>来源页162</t>
        </is>
      </c>
      <c r="L1962" s="43">
        <f>A1962</f>
        <v/>
      </c>
      <c r="M1962" s="81" t="n"/>
      <c r="N1962" s="81" t="n"/>
      <c r="O1962" s="81" t="n"/>
      <c r="P1962" s="81" t="n"/>
      <c r="Q1962" s="81" t="n"/>
      <c r="R1962" s="81" t="n"/>
      <c r="S1962" s="81" t="n"/>
      <c r="T1962" s="81" t="n"/>
      <c r="U1962" s="81" t="n"/>
      <c r="V1962" s="81" t="n"/>
      <c r="W1962" s="43" t="n"/>
    </row>
    <row r="1963">
      <c r="A1963" s="43" t="inlineStr">
        <is>
          <t>N15</t>
        </is>
      </c>
      <c r="B1963" s="43" t="inlineStr"/>
      <c r="C1963" s="43" t="inlineStr">
        <is>
          <t>节段06</t>
        </is>
      </c>
      <c r="D1963" s="43" t="inlineStr">
        <is>
          <t>Q420D</t>
        </is>
      </c>
      <c r="E1963" s="43" t="n">
        <v>1560</v>
      </c>
      <c r="F1963" s="43" t="n">
        <v>1200</v>
      </c>
      <c r="G1963" s="43" t="n">
        <v>16</v>
      </c>
      <c r="H1963" s="79">
        <f>(E1963/1000)*(F1963/1000)*(G1963/1000)*7850</f>
        <v/>
      </c>
      <c r="I1963" s="43" t="n">
        <v>3</v>
      </c>
      <c r="J1963" s="80">
        <f>H1963*I1963</f>
        <v/>
      </c>
      <c r="K1963" s="43" t="inlineStr">
        <is>
          <t>来源页162</t>
        </is>
      </c>
      <c r="L1963" s="43">
        <f>A1963</f>
        <v/>
      </c>
      <c r="M1963" s="81" t="n"/>
      <c r="N1963" s="81" t="n"/>
      <c r="O1963" s="81" t="n"/>
      <c r="P1963" s="81" t="n"/>
      <c r="Q1963" s="81" t="n"/>
      <c r="R1963" s="81" t="n"/>
      <c r="S1963" s="81" t="n"/>
      <c r="T1963" s="81" t="n"/>
      <c r="U1963" s="81" t="n"/>
      <c r="V1963" s="81" t="n"/>
      <c r="W1963" s="43" t="n"/>
    </row>
    <row r="1964">
      <c r="A1964" s="43" t="inlineStr">
        <is>
          <t>N15a</t>
        </is>
      </c>
      <c r="B1964" s="43" t="inlineStr"/>
      <c r="C1964" s="43" t="inlineStr">
        <is>
          <t>节段06</t>
        </is>
      </c>
      <c r="D1964" s="43" t="inlineStr">
        <is>
          <t>Q420D</t>
        </is>
      </c>
      <c r="E1964" s="43" t="n">
        <v>1560</v>
      </c>
      <c r="F1964" s="43" t="n">
        <v>1200</v>
      </c>
      <c r="G1964" s="43" t="n">
        <v>16</v>
      </c>
      <c r="H1964" s="79">
        <f>(E1964/1000)*(F1964/1000)*(G1964/1000)*7850</f>
        <v/>
      </c>
      <c r="I1964" s="43" t="n">
        <v>2</v>
      </c>
      <c r="J1964" s="80">
        <f>H1964*I1964</f>
        <v/>
      </c>
      <c r="K1964" s="43" t="inlineStr">
        <is>
          <t>来源页162</t>
        </is>
      </c>
      <c r="L1964" s="43">
        <f>A1964</f>
        <v/>
      </c>
      <c r="M1964" s="81" t="n"/>
      <c r="N1964" s="81" t="n"/>
      <c r="O1964" s="81" t="n"/>
      <c r="P1964" s="81" t="n"/>
      <c r="Q1964" s="81" t="n"/>
      <c r="R1964" s="81" t="n"/>
      <c r="S1964" s="81" t="n"/>
      <c r="T1964" s="81" t="n"/>
      <c r="U1964" s="81" t="n"/>
      <c r="V1964" s="81" t="n"/>
      <c r="W1964" s="43" t="n"/>
    </row>
    <row r="1965">
      <c r="A1965" s="43" t="inlineStr">
        <is>
          <t>N15‘</t>
        </is>
      </c>
      <c r="B1965" s="43" t="inlineStr"/>
      <c r="C1965" s="43" t="inlineStr">
        <is>
          <t>节段06</t>
        </is>
      </c>
      <c r="D1965" s="43" t="inlineStr">
        <is>
          <t>Q420D</t>
        </is>
      </c>
      <c r="E1965" s="43" t="n">
        <v>2057</v>
      </c>
      <c r="F1965" s="43" t="n">
        <v>200</v>
      </c>
      <c r="G1965" s="43" t="n">
        <v>16</v>
      </c>
      <c r="H1965" s="79">
        <f>(E1965/1000)*(F1965/1000)*(G1965/1000)*7850</f>
        <v/>
      </c>
      <c r="I1965" s="43" t="n">
        <v>3</v>
      </c>
      <c r="J1965" s="80">
        <f>H1965*I1965</f>
        <v/>
      </c>
      <c r="K1965" s="43" t="inlineStr">
        <is>
          <t>来源页162</t>
        </is>
      </c>
      <c r="L1965" s="43">
        <f>A1965</f>
        <v/>
      </c>
      <c r="M1965" s="81" t="n"/>
      <c r="N1965" s="81" t="n"/>
      <c r="O1965" s="81" t="n"/>
      <c r="P1965" s="81" t="n"/>
      <c r="Q1965" s="81" t="n"/>
      <c r="R1965" s="81" t="n"/>
      <c r="S1965" s="81" t="n"/>
      <c r="T1965" s="81" t="n"/>
      <c r="U1965" s="81" t="n"/>
      <c r="V1965" s="81" t="n"/>
      <c r="W1965" s="43" t="n"/>
    </row>
    <row r="1966">
      <c r="A1966" s="43" t="inlineStr">
        <is>
          <t>N15b</t>
        </is>
      </c>
      <c r="B1966" s="43" t="inlineStr"/>
      <c r="C1966" s="43" t="inlineStr">
        <is>
          <t>节段06</t>
        </is>
      </c>
      <c r="D1966" s="43" t="inlineStr">
        <is>
          <t>Q420D</t>
        </is>
      </c>
      <c r="E1966" s="43" t="n">
        <v>1782</v>
      </c>
      <c r="F1966" s="43" t="n">
        <v>40</v>
      </c>
      <c r="G1966" s="43" t="n">
        <v>4</v>
      </c>
      <c r="H1966" s="79">
        <f>(E1966/1000)*(F1966/1000)*(G1966/1000)*7850</f>
        <v/>
      </c>
      <c r="I1966" s="43" t="n">
        <v>4</v>
      </c>
      <c r="J1966" s="80">
        <f>H1966*I1966</f>
        <v/>
      </c>
      <c r="K1966" s="43" t="inlineStr">
        <is>
          <t>来源页162</t>
        </is>
      </c>
      <c r="L1966" s="43">
        <f>A1966</f>
        <v/>
      </c>
      <c r="M1966" s="81" t="n"/>
      <c r="N1966" s="81" t="n"/>
      <c r="O1966" s="81" t="n"/>
      <c r="P1966" s="81" t="n"/>
      <c r="Q1966" s="81" t="n"/>
      <c r="R1966" s="81" t="n"/>
      <c r="S1966" s="81" t="n"/>
      <c r="T1966" s="81" t="n"/>
      <c r="U1966" s="81" t="n"/>
      <c r="V1966" s="81" t="n"/>
      <c r="W1966" s="43" t="n"/>
    </row>
    <row r="1967">
      <c r="A1967" s="43" t="inlineStr">
        <is>
          <t>N15c</t>
        </is>
      </c>
      <c r="B1967" s="43" t="inlineStr"/>
      <c r="C1967" s="43" t="inlineStr">
        <is>
          <t>节段06</t>
        </is>
      </c>
      <c r="D1967" s="43" t="inlineStr">
        <is>
          <t>Q420D</t>
        </is>
      </c>
      <c r="E1967" s="43" t="n">
        <v>600</v>
      </c>
      <c r="F1967" s="43" t="n">
        <v>400</v>
      </c>
      <c r="G1967" s="43" t="n">
        <v>16</v>
      </c>
      <c r="H1967" s="79">
        <f>(E1967/1000)*(F1967/1000)*(G1967/1000)*7850</f>
        <v/>
      </c>
      <c r="I1967" s="43" t="n">
        <v>4</v>
      </c>
      <c r="J1967" s="80">
        <f>H1967*I1967</f>
        <v/>
      </c>
      <c r="K1967" s="43" t="inlineStr">
        <is>
          <t>来源页162</t>
        </is>
      </c>
      <c r="L1967" s="43">
        <f>A1967</f>
        <v/>
      </c>
      <c r="M1967" s="81" t="n"/>
      <c r="N1967" s="81" t="n"/>
      <c r="O1967" s="81" t="n"/>
      <c r="P1967" s="81" t="n"/>
      <c r="Q1967" s="81" t="n"/>
      <c r="R1967" s="81" t="n"/>
      <c r="S1967" s="81" t="n"/>
      <c r="T1967" s="81" t="n"/>
      <c r="U1967" s="81" t="n"/>
      <c r="V1967" s="81" t="n"/>
      <c r="W1967" s="43" t="n"/>
    </row>
    <row r="1968">
      <c r="A1968" s="43" t="inlineStr">
        <is>
          <t>N16a</t>
        </is>
      </c>
      <c r="B1968" s="43" t="inlineStr"/>
      <c r="C1968" s="43" t="inlineStr">
        <is>
          <t>节段06</t>
        </is>
      </c>
      <c r="D1968" s="43" t="inlineStr">
        <is>
          <t>Q420D</t>
        </is>
      </c>
      <c r="E1968" s="43" t="n">
        <v>7901</v>
      </c>
      <c r="F1968" s="43" t="n">
        <v>320</v>
      </c>
      <c r="G1968" s="43" t="n">
        <v>32</v>
      </c>
      <c r="H1968" s="79">
        <f>(E1968/1000)*(F1968/1000)*(G1968/1000)*7850</f>
        <v/>
      </c>
      <c r="I1968" s="43" t="n">
        <v>6</v>
      </c>
      <c r="J1968" s="80">
        <f>H1968*I1968</f>
        <v/>
      </c>
      <c r="K1968" s="43" t="inlineStr">
        <is>
          <t>来源页162</t>
        </is>
      </c>
      <c r="L1968" s="43">
        <f>A1968</f>
        <v/>
      </c>
      <c r="M1968" s="81" t="n"/>
      <c r="N1968" s="81" t="n"/>
      <c r="O1968" s="81" t="n"/>
      <c r="P1968" s="81" t="n"/>
      <c r="Q1968" s="81" t="n"/>
      <c r="R1968" s="81" t="n"/>
      <c r="S1968" s="81" t="n"/>
      <c r="T1968" s="81" t="n"/>
      <c r="U1968" s="81" t="n"/>
      <c r="V1968" s="81" t="n"/>
      <c r="W1968" s="43" t="n"/>
    </row>
    <row r="1969">
      <c r="A1969" s="43" t="inlineStr">
        <is>
          <t>N21a</t>
        </is>
      </c>
      <c r="B1969" s="43" t="inlineStr"/>
      <c r="C1969" s="43" t="inlineStr">
        <is>
          <t>节段06</t>
        </is>
      </c>
      <c r="D1969" s="43" t="inlineStr">
        <is>
          <t>Q420D</t>
        </is>
      </c>
      <c r="E1969" s="43" t="n">
        <v>7903</v>
      </c>
      <c r="F1969" s="43" t="n">
        <v>1850</v>
      </c>
      <c r="G1969" s="43" t="n">
        <v>32</v>
      </c>
      <c r="H1969" s="79">
        <f>(E1969/1000)*(F1969/1000)*(G1969/1000)*7850</f>
        <v/>
      </c>
      <c r="I1969" s="43" t="n">
        <v>1</v>
      </c>
      <c r="J1969" s="80">
        <f>H1969*I1969</f>
        <v/>
      </c>
      <c r="K1969" s="43" t="inlineStr">
        <is>
          <t>来源页162</t>
        </is>
      </c>
      <c r="L1969" s="43">
        <f>A1969</f>
        <v/>
      </c>
      <c r="M1969" s="81" t="n"/>
      <c r="N1969" s="81" t="n"/>
      <c r="O1969" s="81" t="n"/>
      <c r="P1969" s="81" t="n"/>
      <c r="Q1969" s="81" t="n"/>
      <c r="R1969" s="81" t="n"/>
      <c r="S1969" s="81" t="n"/>
      <c r="T1969" s="81" t="n"/>
      <c r="U1969" s="81" t="n"/>
      <c r="V1969" s="81" t="n"/>
      <c r="W1969" s="43" t="n"/>
    </row>
    <row r="1970">
      <c r="A1970" s="43" t="inlineStr">
        <is>
          <t>N21b</t>
        </is>
      </c>
      <c r="B1970" s="43" t="inlineStr"/>
      <c r="C1970" s="43" t="inlineStr">
        <is>
          <t>节段06</t>
        </is>
      </c>
      <c r="D1970" s="43" t="inlineStr">
        <is>
          <t>Q420D</t>
        </is>
      </c>
      <c r="E1970" s="43" t="n">
        <v>7102</v>
      </c>
      <c r="F1970" s="43" t="n">
        <v>1850</v>
      </c>
      <c r="G1970" s="43" t="n">
        <v>32</v>
      </c>
      <c r="H1970" s="79">
        <f>(E1970/1000)*(F1970/1000)*(G1970/1000)*7850</f>
        <v/>
      </c>
      <c r="I1970" s="43" t="n">
        <v>1</v>
      </c>
      <c r="J1970" s="80">
        <f>H1970*I1970</f>
        <v/>
      </c>
      <c r="K1970" s="43" t="inlineStr">
        <is>
          <t>来源页162</t>
        </is>
      </c>
      <c r="L1970" s="43">
        <f>A1970</f>
        <v/>
      </c>
      <c r="M1970" s="81" t="n"/>
      <c r="N1970" s="81" t="n"/>
      <c r="O1970" s="81" t="n"/>
      <c r="P1970" s="81" t="n"/>
      <c r="Q1970" s="81" t="n"/>
      <c r="R1970" s="81" t="n"/>
      <c r="S1970" s="81" t="n"/>
      <c r="T1970" s="81" t="n"/>
      <c r="U1970" s="81" t="n"/>
      <c r="V1970" s="81" t="n"/>
      <c r="W1970" s="43" t="n"/>
    </row>
    <row r="1971">
      <c r="A1971" s="43" t="inlineStr">
        <is>
          <t>N22a</t>
        </is>
      </c>
      <c r="B1971" s="43" t="inlineStr"/>
      <c r="C1971" s="43" t="inlineStr">
        <is>
          <t>节段06</t>
        </is>
      </c>
      <c r="D1971" s="43" t="inlineStr">
        <is>
          <t>Q420D</t>
        </is>
      </c>
      <c r="E1971" s="43" t="n"/>
      <c r="F1971" s="43" t="n"/>
      <c r="G1971" s="43" t="n">
        <v>32</v>
      </c>
      <c r="H1971" s="79">
        <f>(E1971/1000)*(F1971/1000)*(G1971/1000)*7850</f>
        <v/>
      </c>
      <c r="I1971" s="43" t="n">
        <v>1</v>
      </c>
      <c r="J1971" s="80">
        <f>H1971*I1971</f>
        <v/>
      </c>
      <c r="K1971" s="43" t="inlineStr">
        <is>
          <t>来源页162</t>
        </is>
      </c>
      <c r="L1971" s="43">
        <f>A1971</f>
        <v/>
      </c>
      <c r="M1971" s="81" t="n"/>
      <c r="N1971" s="81" t="n"/>
      <c r="O1971" s="81" t="n"/>
      <c r="P1971" s="81" t="n"/>
      <c r="Q1971" s="81" t="n"/>
      <c r="R1971" s="81" t="n"/>
      <c r="S1971" s="81" t="n"/>
      <c r="T1971" s="81" t="n"/>
      <c r="U1971" s="81" t="n"/>
      <c r="V1971" s="81" t="n"/>
      <c r="W1971" s="43" t="n"/>
    </row>
    <row r="1972">
      <c r="A1972" s="43" t="inlineStr">
        <is>
          <t>N22b</t>
        </is>
      </c>
      <c r="B1972" s="43" t="inlineStr"/>
      <c r="C1972" s="43" t="inlineStr">
        <is>
          <t>节段06</t>
        </is>
      </c>
      <c r="D1972" s="43" t="inlineStr">
        <is>
          <t>Q420D</t>
        </is>
      </c>
      <c r="E1972" s="43" t="n"/>
      <c r="F1972" s="43" t="n"/>
      <c r="G1972" s="43" t="n">
        <v>32</v>
      </c>
      <c r="H1972" s="79">
        <f>(E1972/1000)*(F1972/1000)*(G1972/1000)*7850</f>
        <v/>
      </c>
      <c r="I1972" s="43" t="n">
        <v>1</v>
      </c>
      <c r="J1972" s="80">
        <f>H1972*I1972</f>
        <v/>
      </c>
      <c r="K1972" s="43" t="inlineStr">
        <is>
          <t>来源页162</t>
        </is>
      </c>
      <c r="L1972" s="43">
        <f>A1972</f>
        <v/>
      </c>
      <c r="M1972" s="81" t="n"/>
      <c r="N1972" s="81" t="n"/>
      <c r="O1972" s="81" t="n"/>
      <c r="P1972" s="81" t="n"/>
      <c r="Q1972" s="81" t="n"/>
      <c r="R1972" s="81" t="n"/>
      <c r="S1972" s="81" t="n"/>
      <c r="T1972" s="81" t="n"/>
      <c r="U1972" s="81" t="n"/>
      <c r="V1972" s="81" t="n"/>
      <c r="W1972" s="43" t="n"/>
    </row>
    <row r="1973">
      <c r="A1973" s="43" t="inlineStr">
        <is>
          <t>N23</t>
        </is>
      </c>
      <c r="B1973" s="43" t="inlineStr"/>
      <c r="C1973" s="43" t="inlineStr">
        <is>
          <t>节段06</t>
        </is>
      </c>
      <c r="D1973" s="43" t="inlineStr">
        <is>
          <t>Q420D</t>
        </is>
      </c>
      <c r="E1973" s="43" t="n"/>
      <c r="F1973" s="43" t="n"/>
      <c r="G1973" s="43" t="n">
        <v>48</v>
      </c>
      <c r="H1973" s="79">
        <f>(E1973/1000)*(F1973/1000)*(G1973/1000)*7850</f>
        <v/>
      </c>
      <c r="I1973" s="43" t="n">
        <v>2</v>
      </c>
      <c r="J1973" s="80">
        <f>H1973*I1973</f>
        <v/>
      </c>
      <c r="K1973" s="43" t="inlineStr">
        <is>
          <t>Z35钢；来源页162</t>
        </is>
      </c>
      <c r="L1973" s="43">
        <f>A1973</f>
        <v/>
      </c>
      <c r="M1973" s="81" t="n"/>
      <c r="N1973" s="81" t="n"/>
      <c r="O1973" s="81" t="n"/>
      <c r="P1973" s="81" t="n"/>
      <c r="Q1973" s="81" t="n"/>
      <c r="R1973" s="81" t="n"/>
      <c r="S1973" s="81" t="n"/>
      <c r="T1973" s="81" t="n"/>
      <c r="U1973" s="81" t="n"/>
      <c r="V1973" s="81" t="n"/>
      <c r="W1973" s="43" t="n"/>
    </row>
    <row r="1974">
      <c r="A1974" s="43" t="inlineStr">
        <is>
          <t>N24</t>
        </is>
      </c>
      <c r="B1974" s="43" t="inlineStr"/>
      <c r="C1974" s="43" t="inlineStr">
        <is>
          <t>节段06</t>
        </is>
      </c>
      <c r="D1974" s="43" t="inlineStr">
        <is>
          <t>Q420D</t>
        </is>
      </c>
      <c r="E1974" s="43" t="n">
        <v>7302</v>
      </c>
      <c r="F1974" s="43" t="n">
        <v>1482</v>
      </c>
      <c r="G1974" s="43" t="n">
        <v>44</v>
      </c>
      <c r="H1974" s="79">
        <f>(E1974/1000)*(F1974/1000)*(G1974/1000)*7850</f>
        <v/>
      </c>
      <c r="I1974" s="43" t="n">
        <v>2</v>
      </c>
      <c r="J1974" s="80">
        <f>H1974*I1974</f>
        <v/>
      </c>
      <c r="K1974" s="43" t="inlineStr">
        <is>
          <t>来源页162</t>
        </is>
      </c>
      <c r="L1974" s="43">
        <f>A1974</f>
        <v/>
      </c>
      <c r="M1974" s="81" t="n"/>
      <c r="N1974" s="81" t="n"/>
      <c r="O1974" s="81" t="n"/>
      <c r="P1974" s="81" t="n"/>
      <c r="Q1974" s="81" t="n"/>
      <c r="R1974" s="81" t="n"/>
      <c r="S1974" s="81" t="n"/>
      <c r="T1974" s="81" t="n"/>
      <c r="U1974" s="81" t="n"/>
      <c r="V1974" s="81" t="n"/>
      <c r="W1974" s="43" t="n"/>
    </row>
    <row r="1975">
      <c r="A1975" s="43" t="inlineStr">
        <is>
          <t>N25</t>
        </is>
      </c>
      <c r="B1975" s="43" t="inlineStr"/>
      <c r="C1975" s="43" t="inlineStr">
        <is>
          <t>节段06</t>
        </is>
      </c>
      <c r="D1975" s="43" t="inlineStr">
        <is>
          <t>Q420D</t>
        </is>
      </c>
      <c r="E1975" s="43" t="n">
        <v>1450</v>
      </c>
      <c r="F1975" s="43" t="n">
        <v>1200</v>
      </c>
      <c r="G1975" s="43" t="n">
        <v>16</v>
      </c>
      <c r="H1975" s="79">
        <f>(E1975/1000)*(F1975/1000)*(G1975/1000)*7850</f>
        <v/>
      </c>
      <c r="I1975" s="43" t="n">
        <v>3</v>
      </c>
      <c r="J1975" s="80">
        <f>H1975*I1975</f>
        <v/>
      </c>
      <c r="K1975" s="43" t="inlineStr">
        <is>
          <t>来源页162</t>
        </is>
      </c>
      <c r="L1975" s="43">
        <f>A1975</f>
        <v/>
      </c>
      <c r="M1975" s="81" t="n"/>
      <c r="N1975" s="81" t="n"/>
      <c r="O1975" s="81" t="n"/>
      <c r="P1975" s="81" t="n"/>
      <c r="Q1975" s="81" t="n"/>
      <c r="R1975" s="81" t="n"/>
      <c r="S1975" s="81" t="n"/>
      <c r="T1975" s="81" t="n"/>
      <c r="U1975" s="81" t="n"/>
      <c r="V1975" s="81" t="n"/>
      <c r="W1975" s="43" t="n"/>
    </row>
    <row r="1976">
      <c r="A1976" s="43" t="inlineStr">
        <is>
          <t>N25a</t>
        </is>
      </c>
      <c r="B1976" s="43" t="inlineStr"/>
      <c r="C1976" s="43" t="inlineStr">
        <is>
          <t>节段06</t>
        </is>
      </c>
      <c r="D1976" s="43" t="inlineStr">
        <is>
          <t>Q420D</t>
        </is>
      </c>
      <c r="E1976" s="43" t="n">
        <v>1450</v>
      </c>
      <c r="F1976" s="43" t="n">
        <v>1200</v>
      </c>
      <c r="G1976" s="43" t="n">
        <v>16</v>
      </c>
      <c r="H1976" s="79">
        <f>(E1976/1000)*(F1976/1000)*(G1976/1000)*7850</f>
        <v/>
      </c>
      <c r="I1976" s="43" t="n">
        <v>2</v>
      </c>
      <c r="J1976" s="80">
        <f>H1976*I1976</f>
        <v/>
      </c>
      <c r="K1976" s="43" t="inlineStr">
        <is>
          <t>来源页162</t>
        </is>
      </c>
      <c r="L1976" s="43">
        <f>A1976</f>
        <v/>
      </c>
      <c r="M1976" s="81" t="n"/>
      <c r="N1976" s="81" t="n"/>
      <c r="O1976" s="81" t="n"/>
      <c r="P1976" s="81" t="n"/>
      <c r="Q1976" s="81" t="n"/>
      <c r="R1976" s="81" t="n"/>
      <c r="S1976" s="81" t="n"/>
      <c r="T1976" s="81" t="n"/>
      <c r="U1976" s="81" t="n"/>
      <c r="V1976" s="81" t="n"/>
      <c r="W1976" s="43" t="n"/>
    </row>
    <row r="1977">
      <c r="A1977" s="43" t="inlineStr">
        <is>
          <t>N25'</t>
        </is>
      </c>
      <c r="B1977" s="43" t="inlineStr"/>
      <c r="C1977" s="43" t="inlineStr">
        <is>
          <t>节段06</t>
        </is>
      </c>
      <c r="D1977" s="43" t="inlineStr">
        <is>
          <t>Q420D</t>
        </is>
      </c>
      <c r="E1977" s="43" t="n">
        <v>1657</v>
      </c>
      <c r="F1977" s="43" t="n">
        <v>200</v>
      </c>
      <c r="G1977" s="43" t="n">
        <v>16</v>
      </c>
      <c r="H1977" s="79">
        <f>(E1977/1000)*(F1977/1000)*(G1977/1000)*7850</f>
        <v/>
      </c>
      <c r="I1977" s="43" t="n">
        <v>3</v>
      </c>
      <c r="J1977" s="80">
        <f>H1977*I1977</f>
        <v/>
      </c>
      <c r="K1977" s="43" t="inlineStr">
        <is>
          <t>来源页162</t>
        </is>
      </c>
      <c r="L1977" s="43">
        <f>A1977</f>
        <v/>
      </c>
      <c r="M1977" s="81" t="n"/>
      <c r="N1977" s="81" t="n"/>
      <c r="O1977" s="81" t="n"/>
      <c r="P1977" s="81" t="n"/>
      <c r="Q1977" s="81" t="n"/>
      <c r="R1977" s="81" t="n"/>
      <c r="S1977" s="81" t="n"/>
      <c r="T1977" s="81" t="n"/>
      <c r="U1977" s="81" t="n"/>
      <c r="V1977" s="81" t="n"/>
      <c r="W1977" s="43" t="n"/>
    </row>
    <row r="1978">
      <c r="A1978" s="43" t="inlineStr">
        <is>
          <t>N26a</t>
        </is>
      </c>
      <c r="B1978" s="43" t="inlineStr"/>
      <c r="C1978" s="43" t="inlineStr">
        <is>
          <t>节段06</t>
        </is>
      </c>
      <c r="D1978" s="43" t="inlineStr">
        <is>
          <t>Q420D</t>
        </is>
      </c>
      <c r="E1978" s="43" t="n">
        <v>7903</v>
      </c>
      <c r="F1978" s="43" t="n">
        <v>320</v>
      </c>
      <c r="G1978" s="43" t="n">
        <v>32</v>
      </c>
      <c r="H1978" s="79">
        <f>(E1978/1000)*(F1978/1000)*(G1978/1000)*7850</f>
        <v/>
      </c>
      <c r="I1978" s="43" t="n">
        <v>4</v>
      </c>
      <c r="J1978" s="80">
        <f>H1978*I1978</f>
        <v/>
      </c>
      <c r="K1978" s="43" t="inlineStr">
        <is>
          <t>来源页162</t>
        </is>
      </c>
      <c r="L1978" s="43">
        <f>A1978</f>
        <v/>
      </c>
      <c r="M1978" s="81" t="n"/>
      <c r="N1978" s="81" t="n"/>
      <c r="O1978" s="81" t="n"/>
      <c r="P1978" s="81" t="n"/>
      <c r="Q1978" s="81" t="n"/>
      <c r="R1978" s="81" t="n"/>
      <c r="S1978" s="81" t="n"/>
      <c r="T1978" s="81" t="n"/>
      <c r="U1978" s="81" t="n"/>
      <c r="V1978" s="81" t="n"/>
      <c r="W1978" s="43" t="n"/>
    </row>
    <row r="1979">
      <c r="A1979" s="43" t="inlineStr">
        <is>
          <t>N26b</t>
        </is>
      </c>
      <c r="B1979" s="43" t="inlineStr"/>
      <c r="C1979" s="43" t="inlineStr">
        <is>
          <t>节段06</t>
        </is>
      </c>
      <c r="D1979" s="43" t="inlineStr">
        <is>
          <t>Q420D</t>
        </is>
      </c>
      <c r="E1979" s="43" t="n">
        <v>7102</v>
      </c>
      <c r="F1979" s="43" t="n">
        <v>320</v>
      </c>
      <c r="G1979" s="43" t="n">
        <v>32</v>
      </c>
      <c r="H1979" s="79">
        <f>(E1979/1000)*(F1979/1000)*(G1979/1000)*7850</f>
        <v/>
      </c>
      <c r="I1979" s="43" t="n">
        <v>4</v>
      </c>
      <c r="J1979" s="80">
        <f>H1979*I1979</f>
        <v/>
      </c>
      <c r="K1979" s="43" t="inlineStr">
        <is>
          <t>来源页162</t>
        </is>
      </c>
      <c r="L1979" s="43">
        <f>A1979</f>
        <v/>
      </c>
      <c r="M1979" s="81" t="n"/>
      <c r="N1979" s="81" t="n"/>
      <c r="O1979" s="81" t="n"/>
      <c r="P1979" s="81" t="n"/>
      <c r="Q1979" s="81" t="n"/>
      <c r="R1979" s="81" t="n"/>
      <c r="S1979" s="81" t="n"/>
      <c r="T1979" s="81" t="n"/>
      <c r="U1979" s="81" t="n"/>
      <c r="V1979" s="81" t="n"/>
      <c r="W1979" s="43" t="n"/>
    </row>
    <row r="1980">
      <c r="A1980" s="43" t="inlineStr">
        <is>
          <t>N26c</t>
        </is>
      </c>
      <c r="B1980" s="43" t="inlineStr"/>
      <c r="C1980" s="43" t="inlineStr">
        <is>
          <t>节段06</t>
        </is>
      </c>
      <c r="D1980" s="43" t="inlineStr">
        <is>
          <t>Q420D</t>
        </is>
      </c>
      <c r="E1980" s="43" t="n">
        <v>15005</v>
      </c>
      <c r="F1980" s="43" t="n">
        <v>170</v>
      </c>
      <c r="G1980" s="43" t="n">
        <v>14</v>
      </c>
      <c r="H1980" s="79">
        <f>(E1980/1000)*(F1980/1000)*(G1980/1000)*7850</f>
        <v/>
      </c>
      <c r="I1980" s="43" t="n">
        <v>1</v>
      </c>
      <c r="J1980" s="80">
        <f>H1980*I1980</f>
        <v/>
      </c>
      <c r="K1980" s="43" t="inlineStr">
        <is>
          <t>来源页162</t>
        </is>
      </c>
      <c r="L1980" s="43">
        <f>A1980</f>
        <v/>
      </c>
      <c r="M1980" s="81" t="n"/>
      <c r="N1980" s="81" t="n"/>
      <c r="O1980" s="81" t="n"/>
      <c r="P1980" s="81" t="n"/>
      <c r="Q1980" s="81" t="n"/>
      <c r="R1980" s="81" t="n"/>
      <c r="S1980" s="81" t="n"/>
      <c r="T1980" s="81" t="n"/>
      <c r="U1980" s="81" t="n"/>
      <c r="V1980" s="81" t="n"/>
      <c r="W1980" s="43" t="n"/>
    </row>
    <row r="1981">
      <c r="A1981" s="43" t="inlineStr">
        <is>
          <t>N31</t>
        </is>
      </c>
      <c r="B1981" s="43" t="inlineStr"/>
      <c r="C1981" s="43" t="inlineStr">
        <is>
          <t>节段06</t>
        </is>
      </c>
      <c r="D1981" s="43" t="inlineStr">
        <is>
          <t>Q355D</t>
        </is>
      </c>
      <c r="E1981" s="43" t="n">
        <v>12589</v>
      </c>
      <c r="F1981" s="43" t="n">
        <v>1200</v>
      </c>
      <c r="G1981" s="43" t="n">
        <v>36</v>
      </c>
      <c r="H1981" s="79">
        <f>(E1981/1000)*(F1981/1000)*(G1981/1000)*7850</f>
        <v/>
      </c>
      <c r="I1981" s="43" t="n">
        <v>1</v>
      </c>
      <c r="J1981" s="80">
        <f>H1981*I1981</f>
        <v/>
      </c>
      <c r="K1981" s="43" t="inlineStr">
        <is>
          <t>来源页162</t>
        </is>
      </c>
      <c r="L1981" s="43">
        <f>A1981</f>
        <v/>
      </c>
      <c r="M1981" s="81" t="n"/>
      <c r="N1981" s="81" t="n"/>
      <c r="O1981" s="81" t="n"/>
      <c r="P1981" s="81" t="n"/>
      <c r="Q1981" s="81" t="n"/>
      <c r="R1981" s="81" t="n"/>
      <c r="S1981" s="81" t="n"/>
      <c r="T1981" s="81" t="n"/>
      <c r="U1981" s="81" t="n"/>
      <c r="V1981" s="81" t="n"/>
      <c r="W1981" s="43" t="n"/>
    </row>
    <row r="1982">
      <c r="A1982" s="43" t="inlineStr">
        <is>
          <t>N31a</t>
        </is>
      </c>
      <c r="B1982" s="43" t="inlineStr"/>
      <c r="C1982" s="43" t="inlineStr">
        <is>
          <t>节段06</t>
        </is>
      </c>
      <c r="D1982" s="43" t="inlineStr">
        <is>
          <t>Q355D</t>
        </is>
      </c>
      <c r="E1982" s="43" t="n">
        <v>12589</v>
      </c>
      <c r="F1982" s="43" t="n">
        <v>1200</v>
      </c>
      <c r="G1982" s="43" t="n">
        <v>36</v>
      </c>
      <c r="H1982" s="79">
        <f>(E1982/1000)*(F1982/1000)*(G1982/1000)*7850</f>
        <v/>
      </c>
      <c r="I1982" s="43" t="n">
        <v>1</v>
      </c>
      <c r="J1982" s="80">
        <f>H1982*I1982</f>
        <v/>
      </c>
      <c r="K1982" s="43" t="inlineStr">
        <is>
          <t>来源页162</t>
        </is>
      </c>
      <c r="L1982" s="43">
        <f>A1982</f>
        <v/>
      </c>
      <c r="M1982" s="81" t="n"/>
      <c r="N1982" s="81" t="n"/>
      <c r="O1982" s="81" t="n"/>
      <c r="P1982" s="81" t="n"/>
      <c r="Q1982" s="81" t="n"/>
      <c r="R1982" s="81" t="n"/>
      <c r="S1982" s="81" t="n"/>
      <c r="T1982" s="81" t="n"/>
      <c r="U1982" s="81" t="n"/>
      <c r="V1982" s="81" t="n"/>
      <c r="W1982" s="43" t="n"/>
    </row>
    <row r="1983">
      <c r="A1983" s="43" t="inlineStr">
        <is>
          <t>N32</t>
        </is>
      </c>
      <c r="B1983" s="43" t="inlineStr"/>
      <c r="C1983" s="43" t="inlineStr">
        <is>
          <t>节段06</t>
        </is>
      </c>
      <c r="D1983" s="43" t="inlineStr">
        <is>
          <t>Q355D</t>
        </is>
      </c>
      <c r="E1983" s="43" t="n">
        <v>8389</v>
      </c>
      <c r="F1983" s="43" t="n">
        <v>1360</v>
      </c>
      <c r="G1983" s="43" t="n">
        <v>36</v>
      </c>
      <c r="H1983" s="79">
        <f>(E1983/1000)*(F1983/1000)*(G1983/1000)*7850</f>
        <v/>
      </c>
      <c r="I1983" s="43" t="n">
        <v>2</v>
      </c>
      <c r="J1983" s="80">
        <f>H1983*I1983</f>
        <v/>
      </c>
      <c r="K1983" s="43" t="inlineStr">
        <is>
          <t>来源页162</t>
        </is>
      </c>
      <c r="L1983" s="43">
        <f>A1983</f>
        <v/>
      </c>
      <c r="M1983" s="81" t="n"/>
      <c r="N1983" s="81" t="n"/>
      <c r="O1983" s="81" t="n"/>
      <c r="P1983" s="81" t="n"/>
      <c r="Q1983" s="81" t="n"/>
      <c r="R1983" s="81" t="n"/>
      <c r="S1983" s="81" t="n"/>
      <c r="T1983" s="81" t="n"/>
      <c r="U1983" s="81" t="n"/>
      <c r="V1983" s="81" t="n"/>
      <c r="W1983" s="43" t="n"/>
    </row>
    <row r="1984">
      <c r="A1984" s="43" t="inlineStr">
        <is>
          <t>N33</t>
        </is>
      </c>
      <c r="B1984" s="43" t="inlineStr"/>
      <c r="C1984" s="43" t="inlineStr">
        <is>
          <t>节段06</t>
        </is>
      </c>
      <c r="D1984" s="43" t="inlineStr">
        <is>
          <t>Q355D</t>
        </is>
      </c>
      <c r="E1984" s="43" t="n">
        <v>8389</v>
      </c>
      <c r="F1984" s="43" t="n">
        <v>320</v>
      </c>
      <c r="G1984" s="43" t="n">
        <v>32</v>
      </c>
      <c r="H1984" s="79">
        <f>(E1984/1000)*(F1984/1000)*(G1984/1000)*7850</f>
        <v/>
      </c>
      <c r="I1984" s="43" t="n">
        <v>2</v>
      </c>
      <c r="J1984" s="80">
        <f>H1984*I1984</f>
        <v/>
      </c>
      <c r="K1984" s="43" t="inlineStr">
        <is>
          <t>来源页162</t>
        </is>
      </c>
      <c r="L1984" s="43">
        <f>A1984</f>
        <v/>
      </c>
      <c r="M1984" s="81" t="n"/>
      <c r="N1984" s="81" t="n"/>
      <c r="O1984" s="81" t="n"/>
      <c r="P1984" s="81" t="n"/>
      <c r="Q1984" s="81" t="n"/>
      <c r="R1984" s="81" t="n"/>
      <c r="S1984" s="81" t="n"/>
      <c r="T1984" s="81" t="n"/>
      <c r="U1984" s="81" t="n"/>
      <c r="V1984" s="81" t="n"/>
      <c r="W1984" s="43" t="n"/>
    </row>
    <row r="1985">
      <c r="A1985" s="43" t="inlineStr">
        <is>
          <t>N33a</t>
        </is>
      </c>
      <c r="B1985" s="43" t="inlineStr"/>
      <c r="C1985" s="43" t="inlineStr">
        <is>
          <t>节段06</t>
        </is>
      </c>
      <c r="D1985" s="43" t="inlineStr">
        <is>
          <t>Q355D</t>
        </is>
      </c>
      <c r="E1985" s="43" t="n">
        <v>11189</v>
      </c>
      <c r="F1985" s="43" t="n">
        <v>320</v>
      </c>
      <c r="G1985" s="43" t="n">
        <v>32</v>
      </c>
      <c r="H1985" s="79">
        <f>(E1985/1000)*(F1985/1000)*(G1985/1000)*7850</f>
        <v/>
      </c>
      <c r="I1985" s="43" t="n">
        <v>1</v>
      </c>
      <c r="J1985" s="80">
        <f>H1985*I1985</f>
        <v/>
      </c>
      <c r="K1985" s="43" t="inlineStr">
        <is>
          <t>来源页162</t>
        </is>
      </c>
      <c r="L1985" s="43">
        <f>A1985</f>
        <v/>
      </c>
      <c r="M1985" s="81" t="n"/>
      <c r="N1985" s="81" t="n"/>
      <c r="O1985" s="81" t="n"/>
      <c r="P1985" s="81" t="n"/>
      <c r="Q1985" s="81" t="n"/>
      <c r="R1985" s="81" t="n"/>
      <c r="S1985" s="81" t="n"/>
      <c r="T1985" s="81" t="n"/>
      <c r="U1985" s="81" t="n"/>
      <c r="V1985" s="81" t="n"/>
      <c r="W1985" s="43" t="n"/>
    </row>
    <row r="1986">
      <c r="A1986" s="43" t="inlineStr">
        <is>
          <t>N33b</t>
        </is>
      </c>
      <c r="B1986" s="43" t="inlineStr"/>
      <c r="C1986" s="43" t="inlineStr">
        <is>
          <t>节段06</t>
        </is>
      </c>
      <c r="D1986" s="43" t="inlineStr">
        <is>
          <t>Q355D</t>
        </is>
      </c>
      <c r="E1986" s="43" t="n">
        <v>11189</v>
      </c>
      <c r="F1986" s="43" t="n">
        <v>320</v>
      </c>
      <c r="G1986" s="43" t="n">
        <v>32</v>
      </c>
      <c r="H1986" s="79">
        <f>(E1986/1000)*(F1986/1000)*(G1986/1000)*7850</f>
        <v/>
      </c>
      <c r="I1986" s="43" t="n">
        <v>1</v>
      </c>
      <c r="J1986" s="80">
        <f>H1986*I1986</f>
        <v/>
      </c>
      <c r="K1986" s="43" t="inlineStr">
        <is>
          <t>来源页162</t>
        </is>
      </c>
      <c r="L1986" s="43">
        <f>A1986</f>
        <v/>
      </c>
      <c r="M1986" s="81" t="n"/>
      <c r="N1986" s="81" t="n"/>
      <c r="O1986" s="81" t="n"/>
      <c r="P1986" s="81" t="n"/>
      <c r="Q1986" s="81" t="n"/>
      <c r="R1986" s="81" t="n"/>
      <c r="S1986" s="81" t="n"/>
      <c r="T1986" s="81" t="n"/>
      <c r="U1986" s="81" t="n"/>
      <c r="V1986" s="81" t="n"/>
      <c r="W1986" s="43" t="n"/>
    </row>
    <row r="1987">
      <c r="A1987" s="43" t="inlineStr">
        <is>
          <t>N34</t>
        </is>
      </c>
      <c r="B1987" s="43" t="inlineStr"/>
      <c r="C1987" s="43" t="inlineStr">
        <is>
          <t>节段06</t>
        </is>
      </c>
      <c r="D1987" s="43" t="inlineStr">
        <is>
          <t>Q355D</t>
        </is>
      </c>
      <c r="E1987" s="43" t="n">
        <v>1200</v>
      </c>
      <c r="F1987" s="43" t="n">
        <v>1200</v>
      </c>
      <c r="G1987" s="43" t="n">
        <v>16</v>
      </c>
      <c r="H1987" s="79">
        <f>(E1987/1000)*(F1987/1000)*(G1987/1000)*7850</f>
        <v/>
      </c>
      <c r="I1987" s="43" t="n">
        <v>3</v>
      </c>
      <c r="J1987" s="80">
        <f>H1987*I1987</f>
        <v/>
      </c>
      <c r="K1987" s="43" t="inlineStr">
        <is>
          <t>来源页162</t>
        </is>
      </c>
      <c r="L1987" s="43">
        <f>A1987</f>
        <v/>
      </c>
      <c r="M1987" s="81" t="n"/>
      <c r="N1987" s="81" t="n"/>
      <c r="O1987" s="81" t="n"/>
      <c r="P1987" s="81" t="n"/>
      <c r="Q1987" s="81" t="n"/>
      <c r="R1987" s="81" t="n"/>
      <c r="S1987" s="81" t="n"/>
      <c r="T1987" s="81" t="n"/>
      <c r="U1987" s="81" t="n"/>
      <c r="V1987" s="81" t="n"/>
      <c r="W1987" s="43" t="n"/>
    </row>
    <row r="1988">
      <c r="A1988" s="43" t="inlineStr">
        <is>
          <t>N41</t>
        </is>
      </c>
      <c r="B1988" s="43" t="inlineStr"/>
      <c r="C1988" s="43" t="inlineStr">
        <is>
          <t>节段06</t>
        </is>
      </c>
      <c r="D1988" s="43" t="inlineStr">
        <is>
          <t>Q355D</t>
        </is>
      </c>
      <c r="E1988" s="43" t="n">
        <v>5853</v>
      </c>
      <c r="F1988" s="43" t="n">
        <v>1200</v>
      </c>
      <c r="G1988" s="43" t="n">
        <v>40</v>
      </c>
      <c r="H1988" s="79">
        <f>(E1988/1000)*(F1988/1000)*(G1988/1000)*7850</f>
        <v/>
      </c>
      <c r="I1988" s="43" t="n">
        <v>1</v>
      </c>
      <c r="J1988" s="80">
        <f>H1988*I1988</f>
        <v/>
      </c>
      <c r="K1988" s="43" t="inlineStr">
        <is>
          <t>来源页162</t>
        </is>
      </c>
      <c r="L1988" s="43">
        <f>A1988</f>
        <v/>
      </c>
      <c r="M1988" s="81" t="n"/>
      <c r="N1988" s="81" t="n"/>
      <c r="O1988" s="81" t="n"/>
      <c r="P1988" s="81" t="n"/>
      <c r="Q1988" s="81" t="n"/>
      <c r="R1988" s="81" t="n"/>
      <c r="S1988" s="81" t="n"/>
      <c r="T1988" s="81" t="n"/>
      <c r="U1988" s="81" t="n"/>
      <c r="V1988" s="81" t="n"/>
      <c r="W1988" s="43" t="n"/>
    </row>
    <row r="1989">
      <c r="A1989" s="43" t="inlineStr">
        <is>
          <t>N41a</t>
        </is>
      </c>
      <c r="B1989" s="43" t="inlineStr"/>
      <c r="C1989" s="43" t="inlineStr">
        <is>
          <t>节段06</t>
        </is>
      </c>
      <c r="D1989" s="43" t="inlineStr">
        <is>
          <t>Q355D</t>
        </is>
      </c>
      <c r="E1989" s="43" t="n">
        <v>6053</v>
      </c>
      <c r="F1989" s="43" t="n">
        <v>1200</v>
      </c>
      <c r="G1989" s="43" t="n">
        <v>40</v>
      </c>
      <c r="H1989" s="79">
        <f>(E1989/1000)*(F1989/1000)*(G1989/1000)*7850</f>
        <v/>
      </c>
      <c r="I1989" s="43" t="n">
        <v>1</v>
      </c>
      <c r="J1989" s="80">
        <f>H1989*I1989</f>
        <v/>
      </c>
      <c r="K1989" s="43" t="inlineStr">
        <is>
          <t>来源页162</t>
        </is>
      </c>
      <c r="L1989" s="43">
        <f>A1989</f>
        <v/>
      </c>
      <c r="M1989" s="81" t="n"/>
      <c r="N1989" s="81" t="n"/>
      <c r="O1989" s="81" t="n"/>
      <c r="P1989" s="81" t="n"/>
      <c r="Q1989" s="81" t="n"/>
      <c r="R1989" s="81" t="n"/>
      <c r="S1989" s="81" t="n"/>
      <c r="T1989" s="81" t="n"/>
      <c r="U1989" s="81" t="n"/>
      <c r="V1989" s="81" t="n"/>
      <c r="W1989" s="43" t="n"/>
    </row>
    <row r="1990">
      <c r="A1990" s="43" t="inlineStr">
        <is>
          <t>N42</t>
        </is>
      </c>
      <c r="B1990" s="43" t="inlineStr"/>
      <c r="C1990" s="43" t="inlineStr">
        <is>
          <t>节段06</t>
        </is>
      </c>
      <c r="D1990" s="43" t="inlineStr">
        <is>
          <t>Q355D</t>
        </is>
      </c>
      <c r="E1990" s="43" t="n">
        <v>4053</v>
      </c>
      <c r="F1990" s="43" t="n">
        <v>1760</v>
      </c>
      <c r="G1990" s="43" t="n">
        <v>40</v>
      </c>
      <c r="H1990" s="79">
        <f>(E1990/1000)*(F1990/1000)*(G1990/1000)*7850</f>
        <v/>
      </c>
      <c r="I1990" s="43" t="n">
        <v>2</v>
      </c>
      <c r="J1990" s="80">
        <f>H1990*I1990</f>
        <v/>
      </c>
      <c r="K1990" s="43" t="inlineStr">
        <is>
          <t>来源页162</t>
        </is>
      </c>
      <c r="L1990" s="43">
        <f>A1990</f>
        <v/>
      </c>
      <c r="M1990" s="81" t="n"/>
      <c r="N1990" s="81" t="n"/>
      <c r="O1990" s="81" t="n"/>
      <c r="P1990" s="81" t="n"/>
      <c r="Q1990" s="81" t="n"/>
      <c r="R1990" s="81" t="n"/>
      <c r="S1990" s="81" t="n"/>
      <c r="T1990" s="81" t="n"/>
      <c r="U1990" s="81" t="n"/>
      <c r="V1990" s="81" t="n"/>
      <c r="W1990" s="43" t="n"/>
    </row>
    <row r="1991">
      <c r="A1991" s="43" t="inlineStr">
        <is>
          <t>N43</t>
        </is>
      </c>
      <c r="B1991" s="43" t="inlineStr"/>
      <c r="C1991" s="43" t="inlineStr">
        <is>
          <t>节段06</t>
        </is>
      </c>
      <c r="D1991" s="43" t="inlineStr">
        <is>
          <t>Q355D</t>
        </is>
      </c>
      <c r="E1991" s="43" t="n">
        <v>4053</v>
      </c>
      <c r="F1991" s="43" t="n">
        <v>320</v>
      </c>
      <c r="G1991" s="43" t="n">
        <v>32</v>
      </c>
      <c r="H1991" s="79">
        <f>(E1991/1000)*(F1991/1000)*(G1991/1000)*7850</f>
        <v/>
      </c>
      <c r="I1991" s="43" t="n">
        <v>4</v>
      </c>
      <c r="J1991" s="80">
        <f>H1991*I1991</f>
        <v/>
      </c>
      <c r="K1991" s="43" t="inlineStr">
        <is>
          <t>来源页162</t>
        </is>
      </c>
      <c r="L1991" s="43">
        <f>A1991</f>
        <v/>
      </c>
      <c r="M1991" s="81" t="n"/>
      <c r="N1991" s="81" t="n"/>
      <c r="O1991" s="81" t="n"/>
      <c r="P1991" s="81" t="n"/>
      <c r="Q1991" s="81" t="n"/>
      <c r="R1991" s="81" t="n"/>
      <c r="S1991" s="81" t="n"/>
      <c r="T1991" s="81" t="n"/>
      <c r="U1991" s="81" t="n"/>
      <c r="V1991" s="81" t="n"/>
      <c r="W1991" s="43" t="n"/>
    </row>
    <row r="1992">
      <c r="A1992" s="43" t="inlineStr">
        <is>
          <t>N43a</t>
        </is>
      </c>
      <c r="B1992" s="43" t="inlineStr"/>
      <c r="C1992" s="43" t="inlineStr">
        <is>
          <t>节段06</t>
        </is>
      </c>
      <c r="D1992" s="43" t="inlineStr">
        <is>
          <t>Q355D</t>
        </is>
      </c>
      <c r="E1992" s="43" t="n">
        <v>5153</v>
      </c>
      <c r="F1992" s="43" t="n">
        <v>320</v>
      </c>
      <c r="G1992" s="43" t="n">
        <v>32</v>
      </c>
      <c r="H1992" s="79">
        <f>(E1992/1000)*(F1992/1000)*(G1992/1000)*7850</f>
        <v/>
      </c>
      <c r="I1992" s="43" t="n">
        <v>1</v>
      </c>
      <c r="J1992" s="80">
        <f>H1992*I1992</f>
        <v/>
      </c>
      <c r="K1992" s="43" t="inlineStr">
        <is>
          <t>来源页162</t>
        </is>
      </c>
      <c r="L1992" s="43">
        <f>A1992</f>
        <v/>
      </c>
      <c r="M1992" s="81" t="n"/>
      <c r="N1992" s="81" t="n"/>
      <c r="O1992" s="81" t="n"/>
      <c r="P1992" s="81" t="n"/>
      <c r="Q1992" s="81" t="n"/>
      <c r="R1992" s="81" t="n"/>
      <c r="S1992" s="81" t="n"/>
      <c r="T1992" s="81" t="n"/>
      <c r="U1992" s="81" t="n"/>
      <c r="V1992" s="81" t="n"/>
      <c r="W1992" s="43" t="n"/>
    </row>
    <row r="1993">
      <c r="A1993" s="43" t="inlineStr">
        <is>
          <t>N43b</t>
        </is>
      </c>
      <c r="B1993" s="43" t="inlineStr"/>
      <c r="C1993" s="43" t="inlineStr">
        <is>
          <t>节段06</t>
        </is>
      </c>
      <c r="D1993" s="43" t="inlineStr">
        <is>
          <t>Q355D</t>
        </is>
      </c>
      <c r="E1993" s="43" t="n">
        <v>5353</v>
      </c>
      <c r="F1993" s="43" t="n">
        <v>320</v>
      </c>
      <c r="G1993" s="43" t="n">
        <v>32</v>
      </c>
      <c r="H1993" s="79">
        <f>(E1993/1000)*(F1993/1000)*(G1993/1000)*7850</f>
        <v/>
      </c>
      <c r="I1993" s="43" t="n">
        <v>1</v>
      </c>
      <c r="J1993" s="80">
        <f>H1993*I1993</f>
        <v/>
      </c>
      <c r="K1993" s="43" t="inlineStr">
        <is>
          <t>来源页162</t>
        </is>
      </c>
      <c r="L1993" s="43">
        <f>A1993</f>
        <v/>
      </c>
      <c r="M1993" s="81" t="n"/>
      <c r="N1993" s="81" t="n"/>
      <c r="O1993" s="81" t="n"/>
      <c r="P1993" s="81" t="n"/>
      <c r="Q1993" s="81" t="n"/>
      <c r="R1993" s="81" t="n"/>
      <c r="S1993" s="81" t="n"/>
      <c r="T1993" s="81" t="n"/>
      <c r="U1993" s="81" t="n"/>
      <c r="V1993" s="81" t="n"/>
      <c r="W1993" s="43" t="n"/>
    </row>
    <row r="1994">
      <c r="A1994" s="43" t="inlineStr">
        <is>
          <t>N44</t>
        </is>
      </c>
      <c r="B1994" s="43" t="inlineStr"/>
      <c r="C1994" s="43" t="inlineStr">
        <is>
          <t>节段06</t>
        </is>
      </c>
      <c r="D1994" s="43" t="inlineStr">
        <is>
          <t>Q355D</t>
        </is>
      </c>
      <c r="E1994" s="43" t="n">
        <v>1200</v>
      </c>
      <c r="F1994" s="43" t="n">
        <v>1600</v>
      </c>
      <c r="G1994" s="43" t="n">
        <v>16</v>
      </c>
      <c r="H1994" s="79">
        <f>(E1994/1000)*(F1994/1000)*(G1994/1000)*7850</f>
        <v/>
      </c>
      <c r="I1994" s="43" t="n">
        <v>2</v>
      </c>
      <c r="J1994" s="80">
        <f>H1994*I1994</f>
        <v/>
      </c>
      <c r="K1994" s="43" t="inlineStr">
        <is>
          <t>来源页162</t>
        </is>
      </c>
      <c r="L1994" s="43">
        <f>A1994</f>
        <v/>
      </c>
      <c r="M1994" s="81" t="n"/>
      <c r="N1994" s="81" t="n"/>
      <c r="O1994" s="81" t="n"/>
      <c r="P1994" s="81" t="n"/>
      <c r="Q1994" s="81" t="n"/>
      <c r="R1994" s="81" t="n"/>
      <c r="S1994" s="81" t="n"/>
      <c r="T1994" s="81" t="n"/>
      <c r="U1994" s="81" t="n"/>
      <c r="V1994" s="81" t="n"/>
      <c r="W1994" s="43" t="n"/>
    </row>
    <row r="1995">
      <c r="A1995" s="43" t="inlineStr">
        <is>
          <t>N51</t>
        </is>
      </c>
      <c r="B1995" s="43" t="inlineStr"/>
      <c r="C1995" s="43" t="inlineStr">
        <is>
          <t>节段06</t>
        </is>
      </c>
      <c r="D1995" s="43" t="inlineStr">
        <is>
          <t>Q420D</t>
        </is>
      </c>
      <c r="E1995" s="43" t="n">
        <v>6335</v>
      </c>
      <c r="F1995" s="43" t="n">
        <v>1200</v>
      </c>
      <c r="G1995" s="43" t="n">
        <v>40</v>
      </c>
      <c r="H1995" s="79">
        <f>(E1995/1000)*(F1995/1000)*(G1995/1000)*7850</f>
        <v/>
      </c>
      <c r="I1995" s="43" t="n">
        <v>1</v>
      </c>
      <c r="J1995" s="80">
        <f>H1995*I1995</f>
        <v/>
      </c>
      <c r="K1995" s="43" t="inlineStr">
        <is>
          <t>来源页162</t>
        </is>
      </c>
      <c r="L1995" s="43">
        <f>A1995</f>
        <v/>
      </c>
      <c r="M1995" s="81" t="n"/>
      <c r="N1995" s="81" t="n"/>
      <c r="O1995" s="81" t="n"/>
      <c r="P1995" s="81" t="n"/>
      <c r="Q1995" s="81" t="n"/>
      <c r="R1995" s="81" t="n"/>
      <c r="S1995" s="81" t="n"/>
      <c r="T1995" s="81" t="n"/>
      <c r="U1995" s="81" t="n"/>
      <c r="V1995" s="81" t="n"/>
      <c r="W1995" s="43" t="n"/>
    </row>
    <row r="1996">
      <c r="A1996" s="43" t="inlineStr">
        <is>
          <t>N51a</t>
        </is>
      </c>
      <c r="B1996" s="43" t="inlineStr"/>
      <c r="C1996" s="43" t="inlineStr">
        <is>
          <t>节段06</t>
        </is>
      </c>
      <c r="D1996" s="43" t="inlineStr">
        <is>
          <t>Q420D</t>
        </is>
      </c>
      <c r="E1996" s="43" t="n">
        <v>6335</v>
      </c>
      <c r="F1996" s="43" t="n">
        <v>1200</v>
      </c>
      <c r="G1996" s="43" t="n">
        <v>40</v>
      </c>
      <c r="H1996" s="79">
        <f>(E1996/1000)*(F1996/1000)*(G1996/1000)*7850</f>
        <v/>
      </c>
      <c r="I1996" s="43" t="n">
        <v>1</v>
      </c>
      <c r="J1996" s="80">
        <f>H1996*I1996</f>
        <v/>
      </c>
      <c r="K1996" s="43" t="inlineStr">
        <is>
          <t>来源页162</t>
        </is>
      </c>
      <c r="L1996" s="43">
        <f>A1996</f>
        <v/>
      </c>
      <c r="M1996" s="81" t="n"/>
      <c r="N1996" s="81" t="n"/>
      <c r="O1996" s="81" t="n"/>
      <c r="P1996" s="81" t="n"/>
      <c r="Q1996" s="81" t="n"/>
      <c r="R1996" s="81" t="n"/>
      <c r="S1996" s="81" t="n"/>
      <c r="T1996" s="81" t="n"/>
      <c r="U1996" s="81" t="n"/>
      <c r="V1996" s="81" t="n"/>
      <c r="W1996" s="43" t="n"/>
    </row>
    <row r="1997">
      <c r="A1997" s="43" t="inlineStr">
        <is>
          <t>N52</t>
        </is>
      </c>
      <c r="B1997" s="43" t="inlineStr"/>
      <c r="C1997" s="43" t="inlineStr">
        <is>
          <t>节段06</t>
        </is>
      </c>
      <c r="D1997" s="43" t="inlineStr">
        <is>
          <t>Q420D</t>
        </is>
      </c>
      <c r="E1997" s="43" t="n">
        <v>4135</v>
      </c>
      <c r="F1997" s="43" t="n">
        <v>1360</v>
      </c>
      <c r="G1997" s="43" t="n">
        <v>40</v>
      </c>
      <c r="H1997" s="79">
        <f>(E1997/1000)*(F1997/1000)*(G1997/1000)*7850</f>
        <v/>
      </c>
      <c r="I1997" s="43" t="n">
        <v>2</v>
      </c>
      <c r="J1997" s="80">
        <f>H1997*I1997</f>
        <v/>
      </c>
      <c r="K1997" s="43" t="inlineStr">
        <is>
          <t>来源页162</t>
        </is>
      </c>
      <c r="L1997" s="43">
        <f>A1997</f>
        <v/>
      </c>
      <c r="M1997" s="81" t="n"/>
      <c r="N1997" s="81" t="n"/>
      <c r="O1997" s="81" t="n"/>
      <c r="P1997" s="81" t="n"/>
      <c r="Q1997" s="81" t="n"/>
      <c r="R1997" s="81" t="n"/>
      <c r="S1997" s="81" t="n"/>
      <c r="T1997" s="81" t="n"/>
      <c r="U1997" s="81" t="n"/>
      <c r="V1997" s="81" t="n"/>
      <c r="W1997" s="43" t="n"/>
    </row>
    <row r="1998">
      <c r="A1998" s="43" t="inlineStr">
        <is>
          <t>N53</t>
        </is>
      </c>
      <c r="B1998" s="43" t="inlineStr"/>
      <c r="C1998" s="43" t="inlineStr">
        <is>
          <t>节段06</t>
        </is>
      </c>
      <c r="D1998" s="43" t="inlineStr">
        <is>
          <t>Q420D</t>
        </is>
      </c>
      <c r="E1998" s="43" t="n">
        <v>4135</v>
      </c>
      <c r="F1998" s="43" t="n">
        <v>320</v>
      </c>
      <c r="G1998" s="43" t="n">
        <v>32</v>
      </c>
      <c r="H1998" s="79">
        <f>(E1998/1000)*(F1998/1000)*(G1998/1000)*7850</f>
        <v/>
      </c>
      <c r="I1998" s="43" t="n">
        <v>4</v>
      </c>
      <c r="J1998" s="80">
        <f>H1998*I1998</f>
        <v/>
      </c>
      <c r="K1998" s="43" t="inlineStr">
        <is>
          <t>来源页162</t>
        </is>
      </c>
      <c r="L1998" s="43">
        <f>A1998</f>
        <v/>
      </c>
      <c r="M1998" s="81" t="n"/>
      <c r="N1998" s="81" t="n"/>
      <c r="O1998" s="81" t="n"/>
      <c r="P1998" s="81" t="n"/>
      <c r="Q1998" s="81" t="n"/>
      <c r="R1998" s="81" t="n"/>
      <c r="S1998" s="81" t="n"/>
      <c r="T1998" s="81" t="n"/>
      <c r="U1998" s="81" t="n"/>
      <c r="V1998" s="81" t="n"/>
      <c r="W1998" s="43" t="n"/>
    </row>
    <row r="1999">
      <c r="A1999" s="43" t="inlineStr">
        <is>
          <t>N53a</t>
        </is>
      </c>
      <c r="B1999" s="43" t="inlineStr"/>
      <c r="C1999" s="43" t="inlineStr">
        <is>
          <t>节段06</t>
        </is>
      </c>
      <c r="D1999" s="43" t="inlineStr">
        <is>
          <t>Q420D</t>
        </is>
      </c>
      <c r="E1999" s="43" t="n">
        <v>5635</v>
      </c>
      <c r="F1999" s="43" t="n">
        <v>320</v>
      </c>
      <c r="G1999" s="43" t="n">
        <v>32</v>
      </c>
      <c r="H1999" s="79">
        <f>(E1999/1000)*(F1999/1000)*(G1999/1000)*7850</f>
        <v/>
      </c>
      <c r="I1999" s="43" t="n">
        <v>1</v>
      </c>
      <c r="J1999" s="80">
        <f>H1999*I1999</f>
        <v/>
      </c>
      <c r="K1999" s="43" t="inlineStr">
        <is>
          <t>来源页162</t>
        </is>
      </c>
      <c r="L1999" s="43">
        <f>A1999</f>
        <v/>
      </c>
      <c r="M1999" s="81" t="n"/>
      <c r="N1999" s="81" t="n"/>
      <c r="O1999" s="81" t="n"/>
      <c r="P1999" s="81" t="n"/>
      <c r="Q1999" s="81" t="n"/>
      <c r="R1999" s="81" t="n"/>
      <c r="S1999" s="81" t="n"/>
      <c r="T1999" s="81" t="n"/>
      <c r="U1999" s="81" t="n"/>
      <c r="V1999" s="81" t="n"/>
      <c r="W1999" s="43" t="n"/>
    </row>
    <row r="2000">
      <c r="A2000" s="43" t="inlineStr">
        <is>
          <t>N53b</t>
        </is>
      </c>
      <c r="B2000" s="43" t="inlineStr"/>
      <c r="C2000" s="43" t="inlineStr">
        <is>
          <t>节段06</t>
        </is>
      </c>
      <c r="D2000" s="43" t="inlineStr">
        <is>
          <t>Q420D</t>
        </is>
      </c>
      <c r="E2000" s="43" t="n">
        <v>5635</v>
      </c>
      <c r="F2000" s="43" t="n">
        <v>320</v>
      </c>
      <c r="G2000" s="43" t="n">
        <v>32</v>
      </c>
      <c r="H2000" s="79">
        <f>(E2000/1000)*(F2000/1000)*(G2000/1000)*7850</f>
        <v/>
      </c>
      <c r="I2000" s="43" t="n">
        <v>1</v>
      </c>
      <c r="J2000" s="80">
        <f>H2000*I2000</f>
        <v/>
      </c>
      <c r="K2000" s="43" t="inlineStr">
        <is>
          <t>来源页162</t>
        </is>
      </c>
      <c r="L2000" s="43">
        <f>A2000</f>
        <v/>
      </c>
      <c r="M2000" s="81" t="n"/>
      <c r="N2000" s="81" t="n"/>
      <c r="O2000" s="81" t="n"/>
      <c r="P2000" s="81" t="n"/>
      <c r="Q2000" s="81" t="n"/>
      <c r="R2000" s="81" t="n"/>
      <c r="S2000" s="81" t="n"/>
      <c r="T2000" s="81" t="n"/>
      <c r="U2000" s="81" t="n"/>
      <c r="V2000" s="81" t="n"/>
      <c r="W2000" s="43" t="n"/>
    </row>
    <row r="2001">
      <c r="A2001" s="43" t="inlineStr">
        <is>
          <t>N54</t>
        </is>
      </c>
      <c r="B2001" s="43" t="inlineStr"/>
      <c r="C2001" s="43" t="inlineStr">
        <is>
          <t>节段06</t>
        </is>
      </c>
      <c r="D2001" s="43" t="inlineStr">
        <is>
          <t>Q420D</t>
        </is>
      </c>
      <c r="E2001" s="43" t="n">
        <v>1200</v>
      </c>
      <c r="F2001" s="43" t="n">
        <v>1200</v>
      </c>
      <c r="G2001" s="43" t="n">
        <v>16</v>
      </c>
      <c r="H2001" s="79">
        <f>(E2001/1000)*(F2001/1000)*(G2001/1000)*7850</f>
        <v/>
      </c>
      <c r="I2001" s="43" t="n">
        <v>2</v>
      </c>
      <c r="J2001" s="80">
        <f>H2001*I2001</f>
        <v/>
      </c>
      <c r="K2001" s="43" t="inlineStr">
        <is>
          <t>来源页162</t>
        </is>
      </c>
      <c r="L2001" s="43">
        <f>A2001</f>
        <v/>
      </c>
      <c r="M2001" s="81" t="n"/>
      <c r="N2001" s="81" t="n"/>
      <c r="O2001" s="81" t="n"/>
      <c r="P2001" s="81" t="n"/>
      <c r="Q2001" s="81" t="n"/>
      <c r="R2001" s="81" t="n"/>
      <c r="S2001" s="81" t="n"/>
      <c r="T2001" s="81" t="n"/>
      <c r="U2001" s="81" t="n"/>
      <c r="V2001" s="81" t="n"/>
      <c r="W2001" s="43" t="n"/>
    </row>
    <row r="2002">
      <c r="A2002" s="43" t="inlineStr">
        <is>
          <t>N55</t>
        </is>
      </c>
      <c r="B2002" s="43" t="inlineStr"/>
      <c r="C2002" s="43" t="inlineStr">
        <is>
          <t>节段06</t>
        </is>
      </c>
      <c r="D2002" s="43" t="inlineStr">
        <is>
          <t>Q420D</t>
        </is>
      </c>
      <c r="E2002" s="43" t="n">
        <v>2100</v>
      </c>
      <c r="F2002" s="43" t="n">
        <v>320</v>
      </c>
      <c r="G2002" s="43" t="n">
        <v>32</v>
      </c>
      <c r="H2002" s="79">
        <f>(E2002/1000)*(F2002/1000)*(G2002/1000)*7850</f>
        <v/>
      </c>
      <c r="I2002" s="43" t="n">
        <v>6</v>
      </c>
      <c r="J2002" s="80">
        <f>H2002*I2002</f>
        <v/>
      </c>
      <c r="K2002" s="43" t="inlineStr">
        <is>
          <t>来源页162</t>
        </is>
      </c>
      <c r="L2002" s="43">
        <f>A2002</f>
        <v/>
      </c>
      <c r="M2002" s="81" t="n"/>
      <c r="N2002" s="81" t="n"/>
      <c r="O2002" s="81" t="n"/>
      <c r="P2002" s="81" t="n"/>
      <c r="Q2002" s="81" t="n"/>
      <c r="R2002" s="81" t="n"/>
      <c r="S2002" s="81" t="n"/>
      <c r="T2002" s="81" t="n"/>
      <c r="U2002" s="81" t="n"/>
      <c r="V2002" s="81" t="n"/>
      <c r="W2002" s="43" t="n"/>
    </row>
    <row r="2003">
      <c r="A2003" s="43" t="inlineStr">
        <is>
          <t>N56</t>
        </is>
      </c>
      <c r="B2003" s="43" t="inlineStr"/>
      <c r="C2003" s="43" t="inlineStr">
        <is>
          <t>节段06</t>
        </is>
      </c>
      <c r="D2003" s="43" t="inlineStr">
        <is>
          <t>Q420D</t>
        </is>
      </c>
      <c r="E2003" s="43" t="n">
        <v>2200</v>
      </c>
      <c r="F2003" s="43" t="n">
        <v>320</v>
      </c>
      <c r="G2003" s="43" t="n">
        <v>32</v>
      </c>
      <c r="H2003" s="79">
        <f>(E2003/1000)*(F2003/1000)*(G2003/1000)*7850</f>
        <v/>
      </c>
      <c r="I2003" s="43" t="n">
        <v>4</v>
      </c>
      <c r="J2003" s="80">
        <f>H2003*I2003</f>
        <v/>
      </c>
      <c r="K2003" s="43" t="inlineStr">
        <is>
          <t>来源页162</t>
        </is>
      </c>
      <c r="L2003" s="43">
        <f>A2003</f>
        <v/>
      </c>
      <c r="M2003" s="81" t="n"/>
      <c r="N2003" s="81" t="n"/>
      <c r="O2003" s="81" t="n"/>
      <c r="P2003" s="81" t="n"/>
      <c r="Q2003" s="81" t="n"/>
      <c r="R2003" s="81" t="n"/>
      <c r="S2003" s="81" t="n"/>
      <c r="T2003" s="81" t="n"/>
      <c r="U2003" s="81" t="n"/>
      <c r="V2003" s="81" t="n"/>
      <c r="W2003" s="43" t="n"/>
    </row>
    <row r="2004">
      <c r="A2004" s="43" t="inlineStr">
        <is>
          <t>N61</t>
        </is>
      </c>
      <c r="B2004" s="43" t="inlineStr"/>
      <c r="C2004" s="43" t="inlineStr">
        <is>
          <t>节段06</t>
        </is>
      </c>
      <c r="D2004" s="43" t="inlineStr">
        <is>
          <t>Q355D</t>
        </is>
      </c>
      <c r="E2004" s="43" t="n">
        <v>1560</v>
      </c>
      <c r="F2004" s="43" t="n">
        <v>602</v>
      </c>
      <c r="G2004" s="43" t="n">
        <v>14</v>
      </c>
      <c r="H2004" s="79">
        <f>(E2004/1000)*(F2004/1000)*(G2004/1000)*7850</f>
        <v/>
      </c>
      <c r="I2004" s="43" t="n">
        <v>3</v>
      </c>
      <c r="J2004" s="80">
        <f>H2004*I2004</f>
        <v/>
      </c>
      <c r="K2004" s="43" t="inlineStr">
        <is>
          <t>来源页162</t>
        </is>
      </c>
      <c r="L2004" s="43">
        <f>A2004</f>
        <v/>
      </c>
      <c r="M2004" s="81" t="n"/>
      <c r="N2004" s="81" t="n"/>
      <c r="O2004" s="81" t="n"/>
      <c r="P2004" s="81" t="n"/>
      <c r="Q2004" s="81" t="n"/>
      <c r="R2004" s="81" t="n"/>
      <c r="S2004" s="81" t="n"/>
      <c r="T2004" s="81" t="n"/>
      <c r="U2004" s="81" t="n"/>
      <c r="V2004" s="81" t="n"/>
      <c r="W2004" s="43" t="n"/>
    </row>
    <row r="2005">
      <c r="A2005" s="43" t="inlineStr">
        <is>
          <t>N61a</t>
        </is>
      </c>
      <c r="B2005" s="43" t="inlineStr"/>
      <c r="C2005" s="43" t="inlineStr">
        <is>
          <t>节段06</t>
        </is>
      </c>
      <c r="D2005" s="43" t="inlineStr">
        <is>
          <t>Q355D</t>
        </is>
      </c>
      <c r="E2005" s="43" t="n">
        <v>1560</v>
      </c>
      <c r="F2005" s="43" t="n">
        <v>602</v>
      </c>
      <c r="G2005" s="43" t="n">
        <v>14</v>
      </c>
      <c r="H2005" s="79">
        <f>(E2005/1000)*(F2005/1000)*(G2005/1000)*7850</f>
        <v/>
      </c>
      <c r="I2005" s="43" t="n">
        <v>2</v>
      </c>
      <c r="J2005" s="80">
        <f>H2005*I2005</f>
        <v/>
      </c>
      <c r="K2005" s="43" t="inlineStr">
        <is>
          <t>来源页162</t>
        </is>
      </c>
      <c r="L2005" s="43">
        <f>A2005</f>
        <v/>
      </c>
      <c r="M2005" s="81" t="n"/>
      <c r="N2005" s="81" t="n"/>
      <c r="O2005" s="81" t="n"/>
      <c r="P2005" s="81" t="n"/>
      <c r="Q2005" s="81" t="n"/>
      <c r="R2005" s="81" t="n"/>
      <c r="S2005" s="81" t="n"/>
      <c r="T2005" s="81" t="n"/>
      <c r="U2005" s="81" t="n"/>
      <c r="V2005" s="81" t="n"/>
      <c r="W2005" s="43" t="n"/>
    </row>
    <row r="2006">
      <c r="A2006" s="43" t="inlineStr">
        <is>
          <t>N62</t>
        </is>
      </c>
      <c r="B2006" s="43" t="inlineStr"/>
      <c r="C2006" s="43" t="inlineStr">
        <is>
          <t>节段06</t>
        </is>
      </c>
      <c r="D2006" s="43" t="inlineStr">
        <is>
          <t>Q355D</t>
        </is>
      </c>
      <c r="E2006" s="43" t="n"/>
      <c r="F2006" s="43" t="n"/>
      <c r="G2006" s="43" t="n">
        <v>24</v>
      </c>
      <c r="H2006" s="79">
        <f>(E2006/1000)*(F2006/1000)*(G2006/1000)*7850</f>
        <v/>
      </c>
      <c r="I2006" s="43" t="n">
        <v>3</v>
      </c>
      <c r="J2006" s="80">
        <f>H2006*I2006</f>
        <v/>
      </c>
      <c r="K2006" s="43" t="inlineStr">
        <is>
          <t>来源页162</t>
        </is>
      </c>
      <c r="L2006" s="43">
        <f>A2006</f>
        <v/>
      </c>
      <c r="M2006" s="81" t="n"/>
      <c r="N2006" s="81" t="n"/>
      <c r="O2006" s="81" t="n"/>
      <c r="P2006" s="81" t="n"/>
      <c r="Q2006" s="81" t="n"/>
      <c r="R2006" s="81" t="n"/>
      <c r="S2006" s="81" t="n"/>
      <c r="T2006" s="81" t="n"/>
      <c r="U2006" s="81" t="n"/>
      <c r="V2006" s="81" t="n"/>
      <c r="W2006" s="43" t="n"/>
    </row>
    <row r="2007">
      <c r="A2007" s="43" t="inlineStr">
        <is>
          <t>N62a</t>
        </is>
      </c>
      <c r="B2007" s="43" t="inlineStr"/>
      <c r="C2007" s="43" t="inlineStr">
        <is>
          <t>节段06</t>
        </is>
      </c>
      <c r="D2007" s="43" t="inlineStr">
        <is>
          <t>Q355D</t>
        </is>
      </c>
      <c r="E2007" s="43" t="n"/>
      <c r="F2007" s="43" t="n"/>
      <c r="G2007" s="43" t="n">
        <v>24</v>
      </c>
      <c r="H2007" s="79">
        <f>(E2007/1000)*(F2007/1000)*(G2007/1000)*7850</f>
        <v/>
      </c>
      <c r="I2007" s="43" t="n">
        <v>2</v>
      </c>
      <c r="J2007" s="80">
        <f>H2007*I2007</f>
        <v/>
      </c>
      <c r="K2007" s="43" t="inlineStr">
        <is>
          <t>来源页162</t>
        </is>
      </c>
      <c r="L2007" s="43">
        <f>A2007</f>
        <v/>
      </c>
      <c r="M2007" s="81" t="n"/>
      <c r="N2007" s="81" t="n"/>
      <c r="O2007" s="81" t="n"/>
      <c r="P2007" s="81" t="n"/>
      <c r="Q2007" s="81" t="n"/>
      <c r="R2007" s="81" t="n"/>
      <c r="S2007" s="81" t="n"/>
      <c r="T2007" s="81" t="n"/>
      <c r="U2007" s="81" t="n"/>
      <c r="V2007" s="81" t="n"/>
      <c r="W2007" s="43" t="n"/>
    </row>
    <row r="2008">
      <c r="A2008" s="43" t="inlineStr">
        <is>
          <t>N63</t>
        </is>
      </c>
      <c r="B2008" s="43" t="inlineStr"/>
      <c r="C2008" s="43" t="inlineStr">
        <is>
          <t>节段06</t>
        </is>
      </c>
      <c r="D2008" s="43" t="inlineStr">
        <is>
          <t>Q355D</t>
        </is>
      </c>
      <c r="E2008" s="43" t="n">
        <v>1350</v>
      </c>
      <c r="F2008" s="43" t="n">
        <v>602</v>
      </c>
      <c r="G2008" s="43" t="n">
        <v>14</v>
      </c>
      <c r="H2008" s="79">
        <f>(E2008/1000)*(F2008/1000)*(G2008/1000)*7850</f>
        <v/>
      </c>
      <c r="I2008" s="43" t="n">
        <v>3</v>
      </c>
      <c r="J2008" s="80">
        <f>H2008*I2008</f>
        <v/>
      </c>
      <c r="K2008" s="43" t="inlineStr">
        <is>
          <t>来源页162</t>
        </is>
      </c>
      <c r="L2008" s="43">
        <f>A2008</f>
        <v/>
      </c>
      <c r="M2008" s="81" t="n"/>
      <c r="N2008" s="81" t="n"/>
      <c r="O2008" s="81" t="n"/>
      <c r="P2008" s="81" t="n"/>
      <c r="Q2008" s="81" t="n"/>
      <c r="R2008" s="81" t="n"/>
      <c r="S2008" s="81" t="n"/>
      <c r="T2008" s="81" t="n"/>
      <c r="U2008" s="81" t="n"/>
      <c r="V2008" s="81" t="n"/>
      <c r="W2008" s="43" t="n"/>
    </row>
    <row r="2009">
      <c r="A2009" s="43" t="inlineStr">
        <is>
          <t>N63a</t>
        </is>
      </c>
      <c r="B2009" s="43" t="inlineStr"/>
      <c r="C2009" s="43" t="inlineStr">
        <is>
          <t>节段06</t>
        </is>
      </c>
      <c r="D2009" s="43" t="inlineStr">
        <is>
          <t>Q355D</t>
        </is>
      </c>
      <c r="E2009" s="43" t="n">
        <v>1350</v>
      </c>
      <c r="F2009" s="43" t="n">
        <v>606</v>
      </c>
      <c r="G2009" s="43" t="n">
        <v>14</v>
      </c>
      <c r="H2009" s="79">
        <f>(E2009/1000)*(F2009/1000)*(G2009/1000)*7850</f>
        <v/>
      </c>
      <c r="I2009" s="43" t="n">
        <v>2</v>
      </c>
      <c r="J2009" s="80">
        <f>H2009*I2009</f>
        <v/>
      </c>
      <c r="K2009" s="43" t="inlineStr">
        <is>
          <t>来源页162</t>
        </is>
      </c>
      <c r="L2009" s="43">
        <f>A2009</f>
        <v/>
      </c>
      <c r="M2009" s="81" t="n"/>
      <c r="N2009" s="81" t="n"/>
      <c r="O2009" s="81" t="n"/>
      <c r="P2009" s="81" t="n"/>
      <c r="Q2009" s="81" t="n"/>
      <c r="R2009" s="81" t="n"/>
      <c r="S2009" s="81" t="n"/>
      <c r="T2009" s="81" t="n"/>
      <c r="U2009" s="81" t="n"/>
      <c r="V2009" s="81" t="n"/>
      <c r="W2009" s="43" t="n"/>
    </row>
    <row r="2010">
      <c r="A2010" s="43" t="inlineStr">
        <is>
          <t>P1</t>
        </is>
      </c>
      <c r="B2010" s="43" t="inlineStr">
        <is>
          <t>上弦杆拼接</t>
        </is>
      </c>
      <c r="C2010" s="43" t="inlineStr">
        <is>
          <t>节段6~节段7</t>
        </is>
      </c>
      <c r="D2010" s="43" t="inlineStr">
        <is>
          <t>Q420D</t>
        </is>
      </c>
      <c r="E2010" s="43" t="n">
        <v>1820</v>
      </c>
      <c r="F2010" s="43" t="n">
        <v>1400</v>
      </c>
      <c r="G2010" s="43" t="n">
        <v>40</v>
      </c>
      <c r="H2010" s="79">
        <f>(E2010/1000)*(F2010/1000)*(G2010/1000)*7850</f>
        <v/>
      </c>
      <c r="I2010" s="43" t="n">
        <v>2</v>
      </c>
      <c r="J2010" s="80">
        <f>H2010*I2010</f>
        <v/>
      </c>
      <c r="K2010" s="43" t="inlineStr">
        <is>
          <t>来源页166</t>
        </is>
      </c>
      <c r="L2010" s="43">
        <f>A2010</f>
        <v/>
      </c>
      <c r="M2010" s="81" t="n"/>
      <c r="N2010" s="81" t="n"/>
      <c r="O2010" s="81" t="n"/>
      <c r="P2010" s="81" t="n"/>
      <c r="Q2010" s="81" t="n"/>
      <c r="R2010" s="81" t="n"/>
      <c r="S2010" s="81" t="n"/>
      <c r="T2010" s="81" t="n"/>
      <c r="U2010" s="81" t="n"/>
      <c r="V2010" s="81" t="n"/>
      <c r="W2010" s="43" t="n"/>
    </row>
    <row r="2011">
      <c r="A2011" s="43" t="inlineStr">
        <is>
          <t>P2</t>
        </is>
      </c>
      <c r="B2011" s="43" t="inlineStr">
        <is>
          <t>上弦杆拼接</t>
        </is>
      </c>
      <c r="C2011" s="43" t="inlineStr">
        <is>
          <t>节段6~节段7</t>
        </is>
      </c>
      <c r="D2011" s="43" t="inlineStr">
        <is>
          <t>Q420D</t>
        </is>
      </c>
      <c r="E2011" s="43" t="n">
        <v>1820</v>
      </c>
      <c r="F2011" s="43" t="n">
        <v>300</v>
      </c>
      <c r="G2011" s="43" t="n">
        <v>40</v>
      </c>
      <c r="H2011" s="79">
        <f>(E2011/1000)*(F2011/1000)*(G2011/1000)*7850</f>
        <v/>
      </c>
      <c r="I2011" s="43" t="n">
        <v>2</v>
      </c>
      <c r="J2011" s="80">
        <f>H2011*I2011</f>
        <v/>
      </c>
      <c r="K2011" s="43" t="inlineStr">
        <is>
          <t>来源页166</t>
        </is>
      </c>
      <c r="L2011" s="43">
        <f>A2011</f>
        <v/>
      </c>
      <c r="M2011" s="81" t="n"/>
      <c r="N2011" s="81" t="n"/>
      <c r="O2011" s="81" t="n"/>
      <c r="P2011" s="81" t="n"/>
      <c r="Q2011" s="81" t="n"/>
      <c r="R2011" s="81" t="n"/>
      <c r="S2011" s="81" t="n"/>
      <c r="T2011" s="81" t="n"/>
      <c r="U2011" s="81" t="n"/>
      <c r="V2011" s="81" t="n"/>
      <c r="W2011" s="43" t="n"/>
    </row>
    <row r="2012">
      <c r="A2012" s="43" t="inlineStr">
        <is>
          <t>P3</t>
        </is>
      </c>
      <c r="B2012" s="43" t="inlineStr">
        <is>
          <t>上弦杆拼接</t>
        </is>
      </c>
      <c r="C2012" s="43" t="inlineStr">
        <is>
          <t>节段6~节段7</t>
        </is>
      </c>
      <c r="D2012" s="43" t="inlineStr">
        <is>
          <t>Q420D</t>
        </is>
      </c>
      <c r="E2012" s="43" t="n">
        <v>1820</v>
      </c>
      <c r="F2012" s="43" t="n">
        <v>500</v>
      </c>
      <c r="G2012" s="43" t="n">
        <v>40</v>
      </c>
      <c r="H2012" s="79">
        <f>(E2012/1000)*(F2012/1000)*(G2012/1000)*7850</f>
        <v/>
      </c>
      <c r="I2012" s="43" t="n">
        <v>2</v>
      </c>
      <c r="J2012" s="80">
        <f>H2012*I2012</f>
        <v/>
      </c>
      <c r="K2012" s="43" t="inlineStr">
        <is>
          <t>来源页166</t>
        </is>
      </c>
      <c r="L2012" s="43">
        <f>A2012</f>
        <v/>
      </c>
      <c r="M2012" s="81" t="n"/>
      <c r="N2012" s="81" t="n"/>
      <c r="O2012" s="81" t="n"/>
      <c r="P2012" s="81" t="n"/>
      <c r="Q2012" s="81" t="n"/>
      <c r="R2012" s="81" t="n"/>
      <c r="S2012" s="81" t="n"/>
      <c r="T2012" s="81" t="n"/>
      <c r="U2012" s="81" t="n"/>
      <c r="V2012" s="81" t="n"/>
      <c r="W2012" s="43" t="n"/>
    </row>
    <row r="2013">
      <c r="A2013" s="43" t="inlineStr">
        <is>
          <t>P4</t>
        </is>
      </c>
      <c r="B2013" s="43" t="inlineStr">
        <is>
          <t>上弦杆拼接</t>
        </is>
      </c>
      <c r="C2013" s="43" t="inlineStr">
        <is>
          <t>节段6~节段7</t>
        </is>
      </c>
      <c r="D2013" s="43" t="inlineStr">
        <is>
          <t>Q420D</t>
        </is>
      </c>
      <c r="E2013" s="43" t="n">
        <v>1820</v>
      </c>
      <c r="F2013" s="43" t="n">
        <v>400</v>
      </c>
      <c r="G2013" s="43" t="n">
        <v>40</v>
      </c>
      <c r="H2013" s="79">
        <f>(E2013/1000)*(F2013/1000)*(G2013/1000)*7850</f>
        <v/>
      </c>
      <c r="I2013" s="43" t="n">
        <v>2</v>
      </c>
      <c r="J2013" s="80">
        <f>H2013*I2013</f>
        <v/>
      </c>
      <c r="K2013" s="43" t="inlineStr">
        <is>
          <t>来源页166</t>
        </is>
      </c>
      <c r="L2013" s="43">
        <f>A2013</f>
        <v/>
      </c>
      <c r="M2013" s="81" t="n"/>
      <c r="N2013" s="81" t="n"/>
      <c r="O2013" s="81" t="n"/>
      <c r="P2013" s="81" t="n"/>
      <c r="Q2013" s="81" t="n"/>
      <c r="R2013" s="81" t="n"/>
      <c r="S2013" s="81" t="n"/>
      <c r="T2013" s="81" t="n"/>
      <c r="U2013" s="81" t="n"/>
      <c r="V2013" s="81" t="n"/>
      <c r="W2013" s="43" t="n"/>
    </row>
    <row r="2014">
      <c r="A2014" s="43" t="inlineStr">
        <is>
          <t>P5</t>
        </is>
      </c>
      <c r="B2014" s="43" t="inlineStr">
        <is>
          <t>上弦杆拼接</t>
        </is>
      </c>
      <c r="C2014" s="43" t="inlineStr">
        <is>
          <t>节段6~节段7</t>
        </is>
      </c>
      <c r="D2014" s="43" t="inlineStr">
        <is>
          <t>Q420D</t>
        </is>
      </c>
      <c r="E2014" s="43" t="n">
        <v>1720</v>
      </c>
      <c r="F2014" s="43" t="n">
        <v>1100</v>
      </c>
      <c r="G2014" s="43" t="n">
        <v>44</v>
      </c>
      <c r="H2014" s="79">
        <f>(E2014/1000)*(F2014/1000)*(G2014/1000)*7850</f>
        <v/>
      </c>
      <c r="I2014" s="43" t="n">
        <v>1</v>
      </c>
      <c r="J2014" s="80">
        <f>H2014*I2014</f>
        <v/>
      </c>
      <c r="K2014" s="43" t="inlineStr">
        <is>
          <t>来源页166</t>
        </is>
      </c>
      <c r="L2014" s="43">
        <f>A2014</f>
        <v/>
      </c>
      <c r="M2014" s="81" t="n"/>
      <c r="N2014" s="81" t="n"/>
      <c r="O2014" s="81" t="n"/>
      <c r="P2014" s="81" t="n"/>
      <c r="Q2014" s="81" t="n"/>
      <c r="R2014" s="81" t="n"/>
      <c r="S2014" s="81" t="n"/>
      <c r="T2014" s="81" t="n"/>
      <c r="U2014" s="81" t="n"/>
      <c r="V2014" s="81" t="n"/>
      <c r="W2014" s="43" t="n"/>
    </row>
    <row r="2015">
      <c r="A2015" s="43" t="inlineStr">
        <is>
          <t>P6</t>
        </is>
      </c>
      <c r="B2015" s="43" t="inlineStr">
        <is>
          <t>上弦杆拼接</t>
        </is>
      </c>
      <c r="C2015" s="43" t="inlineStr">
        <is>
          <t>节段6~节段7</t>
        </is>
      </c>
      <c r="D2015" s="43" t="inlineStr">
        <is>
          <t>Q420D</t>
        </is>
      </c>
      <c r="E2015" s="43" t="n">
        <v>1720</v>
      </c>
      <c r="F2015" s="43" t="n">
        <v>400</v>
      </c>
      <c r="G2015" s="43" t="n">
        <v>44</v>
      </c>
      <c r="H2015" s="79">
        <f>(E2015/1000)*(F2015/1000)*(G2015/1000)*7850</f>
        <v/>
      </c>
      <c r="I2015" s="43" t="n">
        <v>2</v>
      </c>
      <c r="J2015" s="80">
        <f>H2015*I2015</f>
        <v/>
      </c>
      <c r="K2015" s="43" t="inlineStr">
        <is>
          <t>来源页166</t>
        </is>
      </c>
      <c r="L2015" s="43">
        <f>A2015</f>
        <v/>
      </c>
      <c r="M2015" s="81" t="n"/>
      <c r="N2015" s="81" t="n"/>
      <c r="O2015" s="81" t="n"/>
      <c r="P2015" s="81" t="n"/>
      <c r="Q2015" s="81" t="n"/>
      <c r="R2015" s="81" t="n"/>
      <c r="S2015" s="81" t="n"/>
      <c r="T2015" s="81" t="n"/>
      <c r="U2015" s="81" t="n"/>
      <c r="V2015" s="81" t="n"/>
      <c r="W2015" s="43" t="n"/>
    </row>
    <row r="2016">
      <c r="A2016" s="43" t="inlineStr">
        <is>
          <t>P7</t>
        </is>
      </c>
      <c r="B2016" s="43" t="inlineStr">
        <is>
          <t>上弦杆拼接</t>
        </is>
      </c>
      <c r="C2016" s="43" t="inlineStr">
        <is>
          <t>节段6~节段7</t>
        </is>
      </c>
      <c r="D2016" s="43" t="inlineStr">
        <is>
          <t>Q420D</t>
        </is>
      </c>
      <c r="E2016" s="43" t="n">
        <v>1320</v>
      </c>
      <c r="F2016" s="43" t="n">
        <v>240</v>
      </c>
      <c r="G2016" s="43" t="n">
        <v>24</v>
      </c>
      <c r="H2016" s="79">
        <f>(E2016/1000)*(F2016/1000)*(G2016/1000)*7850</f>
        <v/>
      </c>
      <c r="I2016" s="43" t="n">
        <v>10</v>
      </c>
      <c r="J2016" s="80">
        <f>H2016*I2016</f>
        <v/>
      </c>
      <c r="K2016" s="43" t="inlineStr">
        <is>
          <t>来源页166</t>
        </is>
      </c>
      <c r="L2016" s="43">
        <f>A2016</f>
        <v/>
      </c>
      <c r="M2016" s="81" t="n"/>
      <c r="N2016" s="81" t="n"/>
      <c r="O2016" s="81" t="n"/>
      <c r="P2016" s="81" t="n"/>
      <c r="Q2016" s="81" t="n"/>
      <c r="R2016" s="81" t="n"/>
      <c r="S2016" s="81" t="n"/>
      <c r="T2016" s="81" t="n"/>
      <c r="U2016" s="81" t="n"/>
      <c r="V2016" s="81" t="n"/>
      <c r="W2016" s="43" t="n"/>
    </row>
    <row r="2017">
      <c r="A2017" s="43" t="inlineStr">
        <is>
          <t>M30高强螺栓</t>
        </is>
      </c>
      <c r="B2017" s="43" t="inlineStr">
        <is>
          <t>上弦杆拼接</t>
        </is>
      </c>
      <c r="C2017" s="43" t="inlineStr">
        <is>
          <t>节段6~节段7</t>
        </is>
      </c>
      <c r="D2017" s="43" t="inlineStr">
        <is>
          <t>10.9S</t>
        </is>
      </c>
      <c r="E2017" s="43" t="n"/>
      <c r="F2017" s="43" t="n"/>
      <c r="G2017" s="43" t="n"/>
      <c r="H2017" s="79">
        <f>(E2017/1000)*(F2017/1000)*(G2017/1000)*7850</f>
        <v/>
      </c>
      <c r="I2017" s="43" t="n">
        <v>652</v>
      </c>
      <c r="J2017" s="80">
        <f>H2017*I2017</f>
        <v/>
      </c>
      <c r="K2017" s="43" t="inlineStr">
        <is>
          <t>来源页166</t>
        </is>
      </c>
      <c r="L2017" s="43">
        <f>A2017</f>
        <v/>
      </c>
      <c r="M2017" s="81" t="n"/>
      <c r="N2017" s="81" t="n"/>
      <c r="O2017" s="81" t="n"/>
      <c r="P2017" s="81" t="n"/>
      <c r="Q2017" s="81" t="n"/>
      <c r="R2017" s="81" t="n"/>
      <c r="S2017" s="81" t="n"/>
      <c r="T2017" s="81" t="n"/>
      <c r="U2017" s="81" t="n"/>
      <c r="V2017" s="81" t="n"/>
      <c r="W2017" s="43" t="n"/>
    </row>
    <row r="2018">
      <c r="A2018" s="43" t="inlineStr">
        <is>
          <t>K1</t>
        </is>
      </c>
      <c r="B2018" s="43" t="inlineStr">
        <is>
          <t>下弦杆拼接</t>
        </is>
      </c>
      <c r="C2018" s="43" t="inlineStr">
        <is>
          <t>节段6~节段7</t>
        </is>
      </c>
      <c r="D2018" s="43" t="inlineStr">
        <is>
          <t>Q420D</t>
        </is>
      </c>
      <c r="E2018" s="43" t="n">
        <v>1220</v>
      </c>
      <c r="F2018" s="43" t="n">
        <v>1300</v>
      </c>
      <c r="G2018" s="43" t="n">
        <v>28</v>
      </c>
      <c r="H2018" s="79">
        <f>(E2018/1000)*(F2018/1000)*(G2018/1000)*7850</f>
        <v/>
      </c>
      <c r="I2018" s="43" t="n">
        <v>2</v>
      </c>
      <c r="J2018" s="80">
        <f>H2018*I2018</f>
        <v/>
      </c>
      <c r="K2018" s="43" t="inlineStr">
        <is>
          <t>来源页166</t>
        </is>
      </c>
      <c r="L2018" s="43">
        <f>A2018</f>
        <v/>
      </c>
      <c r="M2018" s="81" t="n"/>
      <c r="N2018" s="81" t="n"/>
      <c r="O2018" s="81" t="n"/>
      <c r="P2018" s="81" t="n"/>
      <c r="Q2018" s="81" t="n"/>
      <c r="R2018" s="81" t="n"/>
      <c r="S2018" s="81" t="n"/>
      <c r="T2018" s="81" t="n"/>
      <c r="U2018" s="81" t="n"/>
      <c r="V2018" s="81" t="n"/>
      <c r="W2018" s="43" t="n"/>
    </row>
    <row r="2019">
      <c r="A2019" s="43" t="inlineStr">
        <is>
          <t>K2</t>
        </is>
      </c>
      <c r="B2019" s="43" t="inlineStr">
        <is>
          <t>下弦杆拼接</t>
        </is>
      </c>
      <c r="C2019" s="43" t="inlineStr">
        <is>
          <t>节段6~节段7</t>
        </is>
      </c>
      <c r="D2019" s="43" t="inlineStr">
        <is>
          <t>Q420D</t>
        </is>
      </c>
      <c r="E2019" s="43" t="n">
        <v>1220</v>
      </c>
      <c r="F2019" s="43" t="n">
        <v>600</v>
      </c>
      <c r="G2019" s="43" t="n">
        <v>28</v>
      </c>
      <c r="H2019" s="79">
        <f>(E2019/1000)*(F2019/1000)*(G2019/1000)*7850</f>
        <v/>
      </c>
      <c r="I2019" s="43" t="n">
        <v>4</v>
      </c>
      <c r="J2019" s="80">
        <f>H2019*I2019</f>
        <v/>
      </c>
      <c r="K2019" s="43" t="inlineStr">
        <is>
          <t>来源页166</t>
        </is>
      </c>
      <c r="L2019" s="43">
        <f>A2019</f>
        <v/>
      </c>
      <c r="M2019" s="81" t="n"/>
      <c r="N2019" s="81" t="n"/>
      <c r="O2019" s="81" t="n"/>
      <c r="P2019" s="81" t="n"/>
      <c r="Q2019" s="81" t="n"/>
      <c r="R2019" s="81" t="n"/>
      <c r="S2019" s="81" t="n"/>
      <c r="T2019" s="81" t="n"/>
      <c r="U2019" s="81" t="n"/>
      <c r="V2019" s="81" t="n"/>
      <c r="W2019" s="43" t="n"/>
    </row>
    <row r="2020">
      <c r="A2020" s="43" t="inlineStr">
        <is>
          <t>K3</t>
        </is>
      </c>
      <c r="B2020" s="43" t="inlineStr">
        <is>
          <t>下弦杆拼接</t>
        </is>
      </c>
      <c r="C2020" s="43" t="inlineStr">
        <is>
          <t>节段6~节段7</t>
        </is>
      </c>
      <c r="D2020" s="43" t="inlineStr">
        <is>
          <t>Q420D</t>
        </is>
      </c>
      <c r="E2020" s="43" t="n">
        <v>1520</v>
      </c>
      <c r="F2020" s="43" t="n">
        <v>1100</v>
      </c>
      <c r="G2020" s="43" t="n">
        <v>36</v>
      </c>
      <c r="H2020" s="79">
        <f>(E2020/1000)*(F2020/1000)*(G2020/1000)*7850</f>
        <v/>
      </c>
      <c r="I2020" s="43" t="n">
        <v>1</v>
      </c>
      <c r="J2020" s="80">
        <f>H2020*I2020</f>
        <v/>
      </c>
      <c r="K2020" s="43" t="inlineStr">
        <is>
          <t>来源页166</t>
        </is>
      </c>
      <c r="L2020" s="43">
        <f>A2020</f>
        <v/>
      </c>
      <c r="M2020" s="81" t="n"/>
      <c r="N2020" s="81" t="n"/>
      <c r="O2020" s="81" t="n"/>
      <c r="P2020" s="81" t="n"/>
      <c r="Q2020" s="81" t="n"/>
      <c r="R2020" s="81" t="n"/>
      <c r="S2020" s="81" t="n"/>
      <c r="T2020" s="81" t="n"/>
      <c r="U2020" s="81" t="n"/>
      <c r="V2020" s="81" t="n"/>
      <c r="W2020" s="43" t="n"/>
    </row>
    <row r="2021">
      <c r="A2021" s="43" t="inlineStr">
        <is>
          <t>K4</t>
        </is>
      </c>
      <c r="B2021" s="43" t="inlineStr">
        <is>
          <t>下弦杆拼接</t>
        </is>
      </c>
      <c r="C2021" s="43" t="inlineStr">
        <is>
          <t>节段6~节段7</t>
        </is>
      </c>
      <c r="D2021" s="43" t="inlineStr">
        <is>
          <t>Q420D</t>
        </is>
      </c>
      <c r="E2021" s="43" t="n">
        <v>1520</v>
      </c>
      <c r="F2021" s="43" t="n">
        <v>400</v>
      </c>
      <c r="G2021" s="43" t="n">
        <v>36</v>
      </c>
      <c r="H2021" s="79">
        <f>(E2021/1000)*(F2021/1000)*(G2021/1000)*7850</f>
        <v/>
      </c>
      <c r="I2021" s="43" t="n">
        <v>2</v>
      </c>
      <c r="J2021" s="80">
        <f>H2021*I2021</f>
        <v/>
      </c>
      <c r="K2021" s="43" t="inlineStr">
        <is>
          <t>来源页166</t>
        </is>
      </c>
      <c r="L2021" s="43">
        <f>A2021</f>
        <v/>
      </c>
      <c r="M2021" s="81" t="n"/>
      <c r="N2021" s="81" t="n"/>
      <c r="O2021" s="81" t="n"/>
      <c r="P2021" s="81" t="n"/>
      <c r="Q2021" s="81" t="n"/>
      <c r="R2021" s="81" t="n"/>
      <c r="S2021" s="81" t="n"/>
      <c r="T2021" s="81" t="n"/>
      <c r="U2021" s="81" t="n"/>
      <c r="V2021" s="81" t="n"/>
      <c r="W2021" s="43" t="n"/>
    </row>
    <row r="2022">
      <c r="A2022" s="43" t="inlineStr">
        <is>
          <t>K6</t>
        </is>
      </c>
      <c r="B2022" s="43" t="inlineStr">
        <is>
          <t>下弦杆拼接</t>
        </is>
      </c>
      <c r="C2022" s="43" t="inlineStr">
        <is>
          <t>节段6~节段7</t>
        </is>
      </c>
      <c r="D2022" s="43" t="inlineStr">
        <is>
          <t>Q420D</t>
        </is>
      </c>
      <c r="E2022" s="43" t="n">
        <v>600</v>
      </c>
      <c r="F2022" s="43" t="n">
        <v>1300</v>
      </c>
      <c r="G2022" s="43" t="n">
        <v>4</v>
      </c>
      <c r="H2022" s="79">
        <f>(E2022/1000)*(F2022/1000)*(G2022/1000)*7850</f>
        <v/>
      </c>
      <c r="I2022" s="43" t="n">
        <v>1</v>
      </c>
      <c r="J2022" s="80">
        <f>H2022*I2022</f>
        <v/>
      </c>
      <c r="K2022" s="43" t="inlineStr">
        <is>
          <t>来源页166</t>
        </is>
      </c>
      <c r="L2022" s="43">
        <f>A2022</f>
        <v/>
      </c>
      <c r="M2022" s="81" t="n"/>
      <c r="N2022" s="81" t="n"/>
      <c r="O2022" s="81" t="n"/>
      <c r="P2022" s="81" t="n"/>
      <c r="Q2022" s="81" t="n"/>
      <c r="R2022" s="81" t="n"/>
      <c r="S2022" s="81" t="n"/>
      <c r="T2022" s="81" t="n"/>
      <c r="U2022" s="81" t="n"/>
      <c r="V2022" s="81" t="n"/>
      <c r="W2022" s="43" t="n"/>
    </row>
    <row r="2023">
      <c r="A2023" s="43" t="inlineStr">
        <is>
          <t>M30高强螺栓</t>
        </is>
      </c>
      <c r="B2023" s="43" t="inlineStr">
        <is>
          <t>下弦杆拼接</t>
        </is>
      </c>
      <c r="C2023" s="43" t="inlineStr">
        <is>
          <t>节段6~节段7</t>
        </is>
      </c>
      <c r="D2023" s="43" t="inlineStr">
        <is>
          <t>10.9S</t>
        </is>
      </c>
      <c r="E2023" s="43" t="n"/>
      <c r="F2023" s="43" t="n"/>
      <c r="G2023" s="43" t="n"/>
      <c r="H2023" s="79">
        <f>(E2023/1000)*(F2023/1000)*(G2023/1000)*7850</f>
        <v/>
      </c>
      <c r="I2023" s="43" t="n">
        <v>484</v>
      </c>
      <c r="J2023" s="80">
        <f>H2023*I2023</f>
        <v/>
      </c>
      <c r="K2023" s="43" t="inlineStr">
        <is>
          <t>来源页166</t>
        </is>
      </c>
      <c r="L2023" s="43">
        <f>A2023</f>
        <v/>
      </c>
      <c r="M2023" s="81" t="n"/>
      <c r="N2023" s="81" t="n"/>
      <c r="O2023" s="81" t="n"/>
      <c r="P2023" s="81" t="n"/>
      <c r="Q2023" s="81" t="n"/>
      <c r="R2023" s="81" t="n"/>
      <c r="S2023" s="81" t="n"/>
      <c r="T2023" s="81" t="n"/>
      <c r="U2023" s="81" t="n"/>
      <c r="V2023" s="81" t="n"/>
      <c r="W2023" s="43" t="n"/>
    </row>
    <row r="2024">
      <c r="A2024" s="43" t="inlineStr">
        <is>
          <t>L1</t>
        </is>
      </c>
      <c r="B2024" s="43" t="inlineStr">
        <is>
          <t>腹杆拼接</t>
        </is>
      </c>
      <c r="C2024" s="43" t="inlineStr">
        <is>
          <t>节段6~节段7</t>
        </is>
      </c>
      <c r="D2024" s="43" t="inlineStr">
        <is>
          <t>Q420D</t>
        </is>
      </c>
      <c r="E2024" s="43" t="n">
        <v>1520</v>
      </c>
      <c r="F2024" s="43" t="n">
        <v>1500</v>
      </c>
      <c r="G2024" s="43" t="n">
        <v>32</v>
      </c>
      <c r="H2024" s="79">
        <f>(E2024/1000)*(F2024/1000)*(G2024/1000)*7850</f>
        <v/>
      </c>
      <c r="I2024" s="43" t="n">
        <v>2</v>
      </c>
      <c r="J2024" s="80">
        <f>H2024*I2024</f>
        <v/>
      </c>
      <c r="K2024" s="43" t="inlineStr">
        <is>
          <t>来源页166</t>
        </is>
      </c>
      <c r="L2024" s="43">
        <f>A2024</f>
        <v/>
      </c>
      <c r="M2024" s="81" t="n"/>
      <c r="N2024" s="81" t="n"/>
      <c r="O2024" s="81" t="n"/>
      <c r="P2024" s="81" t="n"/>
      <c r="Q2024" s="81" t="n"/>
      <c r="R2024" s="81" t="n"/>
      <c r="S2024" s="81" t="n"/>
      <c r="T2024" s="81" t="n"/>
      <c r="U2024" s="81" t="n"/>
      <c r="V2024" s="81" t="n"/>
      <c r="W2024" s="43" t="n"/>
    </row>
    <row r="2025">
      <c r="A2025" s="43" t="inlineStr">
        <is>
          <t>L2</t>
        </is>
      </c>
      <c r="B2025" s="43" t="inlineStr">
        <is>
          <t>腹杆拼接</t>
        </is>
      </c>
      <c r="C2025" s="43" t="inlineStr">
        <is>
          <t>节段6~节段7</t>
        </is>
      </c>
      <c r="D2025" s="43" t="inlineStr">
        <is>
          <t>Q420D</t>
        </is>
      </c>
      <c r="E2025" s="43" t="n">
        <v>1520</v>
      </c>
      <c r="F2025" s="43" t="n">
        <v>400</v>
      </c>
      <c r="G2025" s="43" t="n">
        <v>32</v>
      </c>
      <c r="H2025" s="79">
        <f>(E2025/1000)*(F2025/1000)*(G2025/1000)*7850</f>
        <v/>
      </c>
      <c r="I2025" s="43" t="n">
        <v>4</v>
      </c>
      <c r="J2025" s="80">
        <f>H2025*I2025</f>
        <v/>
      </c>
      <c r="K2025" s="43" t="inlineStr">
        <is>
          <t>来源页166</t>
        </is>
      </c>
      <c r="L2025" s="43">
        <f>A2025</f>
        <v/>
      </c>
      <c r="M2025" s="81" t="n"/>
      <c r="N2025" s="81" t="n"/>
      <c r="O2025" s="81" t="n"/>
      <c r="P2025" s="81" t="n"/>
      <c r="Q2025" s="81" t="n"/>
      <c r="R2025" s="81" t="n"/>
      <c r="S2025" s="81" t="n"/>
      <c r="T2025" s="81" t="n"/>
      <c r="U2025" s="81" t="n"/>
      <c r="V2025" s="81" t="n"/>
      <c r="W2025" s="43" t="n"/>
    </row>
    <row r="2026">
      <c r="A2026" s="43" t="inlineStr">
        <is>
          <t>L3</t>
        </is>
      </c>
      <c r="B2026" s="43" t="inlineStr">
        <is>
          <t>腹杆拼接</t>
        </is>
      </c>
      <c r="C2026" s="43" t="inlineStr">
        <is>
          <t>节段6~节段7</t>
        </is>
      </c>
      <c r="D2026" s="43" t="inlineStr">
        <is>
          <t>Q420D</t>
        </is>
      </c>
      <c r="E2026" s="43" t="n">
        <v>1520</v>
      </c>
      <c r="F2026" s="43" t="n">
        <v>500</v>
      </c>
      <c r="G2026" s="43" t="n">
        <v>32</v>
      </c>
      <c r="H2026" s="79">
        <f>(E2026/1000)*(F2026/1000)*(G2026/1000)*7850</f>
        <v/>
      </c>
      <c r="I2026" s="43" t="n">
        <v>2</v>
      </c>
      <c r="J2026" s="80">
        <f>H2026*I2026</f>
        <v/>
      </c>
      <c r="K2026" s="43" t="inlineStr">
        <is>
          <t>来源页166</t>
        </is>
      </c>
      <c r="L2026" s="43">
        <f>A2026</f>
        <v/>
      </c>
      <c r="M2026" s="81" t="n"/>
      <c r="N2026" s="81" t="n"/>
      <c r="O2026" s="81" t="n"/>
      <c r="P2026" s="81" t="n"/>
      <c r="Q2026" s="81" t="n"/>
      <c r="R2026" s="81" t="n"/>
      <c r="S2026" s="81" t="n"/>
      <c r="T2026" s="81" t="n"/>
      <c r="U2026" s="81" t="n"/>
      <c r="V2026" s="81" t="n"/>
      <c r="W2026" s="43" t="n"/>
    </row>
    <row r="2027">
      <c r="A2027" s="43" t="inlineStr">
        <is>
          <t>L4</t>
        </is>
      </c>
      <c r="B2027" s="43" t="inlineStr">
        <is>
          <t>腹杆拼接</t>
        </is>
      </c>
      <c r="C2027" s="43" t="inlineStr">
        <is>
          <t>节段6~节段7</t>
        </is>
      </c>
      <c r="D2027" s="43" t="inlineStr">
        <is>
          <t>Q420D</t>
        </is>
      </c>
      <c r="E2027" s="43" t="n">
        <v>1520</v>
      </c>
      <c r="F2027" s="43" t="n">
        <v>1100</v>
      </c>
      <c r="G2027" s="43" t="n">
        <v>28</v>
      </c>
      <c r="H2027" s="79">
        <f>(E2027/1000)*(F2027/1000)*(G2027/1000)*7850</f>
        <v/>
      </c>
      <c r="I2027" s="43" t="n">
        <v>1</v>
      </c>
      <c r="J2027" s="80">
        <f>H2027*I2027</f>
        <v/>
      </c>
      <c r="K2027" s="43" t="inlineStr">
        <is>
          <t>来源页166</t>
        </is>
      </c>
      <c r="L2027" s="43">
        <f>A2027</f>
        <v/>
      </c>
      <c r="M2027" s="81" t="n"/>
      <c r="N2027" s="81" t="n"/>
      <c r="O2027" s="81" t="n"/>
      <c r="P2027" s="81" t="n"/>
      <c r="Q2027" s="81" t="n"/>
      <c r="R2027" s="81" t="n"/>
      <c r="S2027" s="81" t="n"/>
      <c r="T2027" s="81" t="n"/>
      <c r="U2027" s="81" t="n"/>
      <c r="V2027" s="81" t="n"/>
      <c r="W2027" s="43" t="n"/>
    </row>
    <row r="2028">
      <c r="A2028" s="43" t="inlineStr">
        <is>
          <t>L5</t>
        </is>
      </c>
      <c r="B2028" s="43" t="inlineStr">
        <is>
          <t>腹杆拼接</t>
        </is>
      </c>
      <c r="C2028" s="43" t="inlineStr">
        <is>
          <t>节段6~节段7</t>
        </is>
      </c>
      <c r="D2028" s="43" t="inlineStr">
        <is>
          <t>Q420D</t>
        </is>
      </c>
      <c r="E2028" s="43" t="n">
        <v>1520</v>
      </c>
      <c r="F2028" s="43" t="n">
        <v>500</v>
      </c>
      <c r="G2028" s="43" t="n">
        <v>28</v>
      </c>
      <c r="H2028" s="79">
        <f>(E2028/1000)*(F2028/1000)*(G2028/1000)*7850</f>
        <v/>
      </c>
      <c r="I2028" s="43" t="n">
        <v>2</v>
      </c>
      <c r="J2028" s="80">
        <f>H2028*I2028</f>
        <v/>
      </c>
      <c r="K2028" s="43" t="inlineStr">
        <is>
          <t>来源页166</t>
        </is>
      </c>
      <c r="L2028" s="43">
        <f>A2028</f>
        <v/>
      </c>
      <c r="M2028" s="81" t="n"/>
      <c r="N2028" s="81" t="n"/>
      <c r="O2028" s="81" t="n"/>
      <c r="P2028" s="81" t="n"/>
      <c r="Q2028" s="81" t="n"/>
      <c r="R2028" s="81" t="n"/>
      <c r="S2028" s="81" t="n"/>
      <c r="T2028" s="81" t="n"/>
      <c r="U2028" s="81" t="n"/>
      <c r="V2028" s="81" t="n"/>
      <c r="W2028" s="43" t="n"/>
    </row>
    <row r="2029">
      <c r="A2029" s="43" t="inlineStr">
        <is>
          <t>L6</t>
        </is>
      </c>
      <c r="B2029" s="43" t="inlineStr">
        <is>
          <t>腹杆拼接</t>
        </is>
      </c>
      <c r="C2029" s="43" t="inlineStr">
        <is>
          <t>节段6~节段7</t>
        </is>
      </c>
      <c r="D2029" s="43" t="inlineStr">
        <is>
          <t>Q420D</t>
        </is>
      </c>
      <c r="E2029" s="43" t="n">
        <v>1520</v>
      </c>
      <c r="F2029" s="43" t="n">
        <v>1100</v>
      </c>
      <c r="G2029" s="43" t="n">
        <v>40</v>
      </c>
      <c r="H2029" s="79">
        <f>(E2029/1000)*(F2029/1000)*(G2029/1000)*7850</f>
        <v/>
      </c>
      <c r="I2029" s="43" t="n">
        <v>1</v>
      </c>
      <c r="J2029" s="80">
        <f>H2029*I2029</f>
        <v/>
      </c>
      <c r="K2029" s="43" t="inlineStr">
        <is>
          <t>来源页166</t>
        </is>
      </c>
      <c r="L2029" s="43">
        <f>A2029</f>
        <v/>
      </c>
      <c r="M2029" s="81" t="n"/>
      <c r="N2029" s="81" t="n"/>
      <c r="O2029" s="81" t="n"/>
      <c r="P2029" s="81" t="n"/>
      <c r="Q2029" s="81" t="n"/>
      <c r="R2029" s="81" t="n"/>
      <c r="S2029" s="81" t="n"/>
      <c r="T2029" s="81" t="n"/>
      <c r="U2029" s="81" t="n"/>
      <c r="V2029" s="81" t="n"/>
      <c r="W2029" s="43" t="n"/>
    </row>
    <row r="2030">
      <c r="A2030" s="43" t="inlineStr">
        <is>
          <t>L7</t>
        </is>
      </c>
      <c r="B2030" s="43" t="inlineStr">
        <is>
          <t>腹杆拼接</t>
        </is>
      </c>
      <c r="C2030" s="43" t="inlineStr">
        <is>
          <t>节段6~节段7</t>
        </is>
      </c>
      <c r="D2030" s="43" t="inlineStr">
        <is>
          <t>Q420D</t>
        </is>
      </c>
      <c r="E2030" s="43" t="n">
        <v>1520</v>
      </c>
      <c r="F2030" s="43" t="n">
        <v>400</v>
      </c>
      <c r="G2030" s="43" t="n">
        <v>40</v>
      </c>
      <c r="H2030" s="79">
        <f>(E2030/1000)*(F2030/1000)*(G2030/1000)*7850</f>
        <v/>
      </c>
      <c r="I2030" s="43" t="n">
        <v>2</v>
      </c>
      <c r="J2030" s="80">
        <f>H2030*I2030</f>
        <v/>
      </c>
      <c r="K2030" s="43" t="inlineStr">
        <is>
          <t>来源页166</t>
        </is>
      </c>
      <c r="L2030" s="43">
        <f>A2030</f>
        <v/>
      </c>
      <c r="M2030" s="81" t="n"/>
      <c r="N2030" s="81" t="n"/>
      <c r="O2030" s="81" t="n"/>
      <c r="P2030" s="81" t="n"/>
      <c r="Q2030" s="81" t="n"/>
      <c r="R2030" s="81" t="n"/>
      <c r="S2030" s="81" t="n"/>
      <c r="T2030" s="81" t="n"/>
      <c r="U2030" s="81" t="n"/>
      <c r="V2030" s="81" t="n"/>
      <c r="W2030" s="43" t="n"/>
    </row>
    <row r="2031">
      <c r="A2031" s="43" t="inlineStr">
        <is>
          <t>L8</t>
        </is>
      </c>
      <c r="B2031" s="43" t="inlineStr">
        <is>
          <t>腹杆拼接</t>
        </is>
      </c>
      <c r="C2031" s="43" t="inlineStr">
        <is>
          <t>节段6~节段7</t>
        </is>
      </c>
      <c r="D2031" s="43" t="inlineStr">
        <is>
          <t>Q420D</t>
        </is>
      </c>
      <c r="E2031" s="43" t="n">
        <v>1320</v>
      </c>
      <c r="F2031" s="43" t="n">
        <v>240</v>
      </c>
      <c r="G2031" s="43" t="n">
        <v>24</v>
      </c>
      <c r="H2031" s="79">
        <f>(E2031/1000)*(F2031/1000)*(G2031/1000)*7850</f>
        <v/>
      </c>
      <c r="I2031" s="43" t="n">
        <v>10</v>
      </c>
      <c r="J2031" s="80">
        <f>H2031*I2031</f>
        <v/>
      </c>
      <c r="K2031" s="43" t="inlineStr">
        <is>
          <t>来源页166</t>
        </is>
      </c>
      <c r="L2031" s="43">
        <f>A2031</f>
        <v/>
      </c>
      <c r="M2031" s="81" t="n"/>
      <c r="N2031" s="81" t="n"/>
      <c r="O2031" s="81" t="n"/>
      <c r="P2031" s="81" t="n"/>
      <c r="Q2031" s="81" t="n"/>
      <c r="R2031" s="81" t="n"/>
      <c r="S2031" s="81" t="n"/>
      <c r="T2031" s="81" t="n"/>
      <c r="U2031" s="81" t="n"/>
      <c r="V2031" s="81" t="n"/>
      <c r="W2031" s="43" t="n"/>
    </row>
    <row r="2032">
      <c r="A2032" s="43" t="inlineStr">
        <is>
          <t>N11a</t>
        </is>
      </c>
      <c r="B2032" s="43" t="inlineStr"/>
      <c r="C2032" s="43" t="inlineStr">
        <is>
          <t>节段07</t>
        </is>
      </c>
      <c r="D2032" s="43" t="inlineStr">
        <is>
          <t>Q420D</t>
        </is>
      </c>
      <c r="E2032" s="43" t="n"/>
      <c r="F2032" s="43" t="n"/>
      <c r="G2032" s="43" t="n">
        <v>40</v>
      </c>
      <c r="H2032" s="79">
        <f>(E2032/1000)*(F2032/1000)*(G2032/1000)*7850</f>
        <v/>
      </c>
      <c r="I2032" s="43" t="n">
        <v>1</v>
      </c>
      <c r="J2032" s="80">
        <f>H2032*I2032</f>
        <v/>
      </c>
      <c r="K2032" s="43" t="inlineStr">
        <is>
          <t>来源页167</t>
        </is>
      </c>
      <c r="L2032" s="43">
        <f>A2032</f>
        <v/>
      </c>
      <c r="M2032" s="81" t="n"/>
      <c r="N2032" s="81" t="n"/>
      <c r="O2032" s="81" t="n"/>
      <c r="P2032" s="81" t="n"/>
      <c r="Q2032" s="81" t="n"/>
      <c r="R2032" s="81" t="n"/>
      <c r="S2032" s="81" t="n"/>
      <c r="T2032" s="81" t="n"/>
      <c r="U2032" s="81" t="n"/>
      <c r="V2032" s="81" t="n"/>
      <c r="W2032" s="43" t="n"/>
    </row>
    <row r="2033">
      <c r="A2033" s="43" t="inlineStr">
        <is>
          <t>N11b</t>
        </is>
      </c>
      <c r="B2033" s="43" t="inlineStr"/>
      <c r="C2033" s="43" t="inlineStr">
        <is>
          <t>节段07</t>
        </is>
      </c>
      <c r="D2033" s="43" t="inlineStr">
        <is>
          <t>Q420D</t>
        </is>
      </c>
      <c r="E2033" s="43" t="n"/>
      <c r="F2033" s="43" t="n"/>
      <c r="G2033" s="43" t="n">
        <v>40</v>
      </c>
      <c r="H2033" s="79">
        <f>(E2033/1000)*(F2033/1000)*(G2033/1000)*7850</f>
        <v/>
      </c>
      <c r="I2033" s="43" t="n">
        <v>1</v>
      </c>
      <c r="J2033" s="80">
        <f>H2033*I2033</f>
        <v/>
      </c>
      <c r="K2033" s="43" t="inlineStr">
        <is>
          <t>来源页167</t>
        </is>
      </c>
      <c r="L2033" s="43">
        <f>A2033</f>
        <v/>
      </c>
      <c r="M2033" s="81" t="n"/>
      <c r="N2033" s="81" t="n"/>
      <c r="O2033" s="81" t="n"/>
      <c r="P2033" s="81" t="n"/>
      <c r="Q2033" s="81" t="n"/>
      <c r="R2033" s="81" t="n"/>
      <c r="S2033" s="81" t="n"/>
      <c r="T2033" s="81" t="n"/>
      <c r="U2033" s="81" t="n"/>
      <c r="V2033" s="81" t="n"/>
      <c r="W2033" s="43" t="n"/>
    </row>
    <row r="2034">
      <c r="A2034" s="43" t="inlineStr">
        <is>
          <t>N12a</t>
        </is>
      </c>
      <c r="B2034" s="43" t="inlineStr"/>
      <c r="C2034" s="43" t="inlineStr">
        <is>
          <t>节段07</t>
        </is>
      </c>
      <c r="D2034" s="43" t="inlineStr">
        <is>
          <t>Q420D</t>
        </is>
      </c>
      <c r="E2034" s="43" t="n">
        <v>7900</v>
      </c>
      <c r="F2034" s="43" t="n">
        <v>1200</v>
      </c>
      <c r="G2034" s="43" t="n">
        <v>40</v>
      </c>
      <c r="H2034" s="79">
        <f>(E2034/1000)*(F2034/1000)*(G2034/1000)*7850</f>
        <v/>
      </c>
      <c r="I2034" s="43" t="n">
        <v>1</v>
      </c>
      <c r="J2034" s="80">
        <f>H2034*I2034</f>
        <v/>
      </c>
      <c r="K2034" s="43" t="inlineStr">
        <is>
          <t>来源页167</t>
        </is>
      </c>
      <c r="L2034" s="43">
        <f>A2034</f>
        <v/>
      </c>
      <c r="M2034" s="81" t="n"/>
      <c r="N2034" s="81" t="n"/>
      <c r="O2034" s="81" t="n"/>
      <c r="P2034" s="81" t="n"/>
      <c r="Q2034" s="81" t="n"/>
      <c r="R2034" s="81" t="n"/>
      <c r="S2034" s="81" t="n"/>
      <c r="T2034" s="81" t="n"/>
      <c r="U2034" s="81" t="n"/>
      <c r="V2034" s="81" t="n"/>
      <c r="W2034" s="43" t="n"/>
    </row>
    <row r="2035">
      <c r="A2035" s="43" t="inlineStr">
        <is>
          <t>N12b</t>
        </is>
      </c>
      <c r="B2035" s="43" t="inlineStr"/>
      <c r="C2035" s="43" t="inlineStr">
        <is>
          <t>节段07</t>
        </is>
      </c>
      <c r="D2035" s="43" t="inlineStr">
        <is>
          <t>Q420D</t>
        </is>
      </c>
      <c r="E2035" s="43" t="n">
        <v>7100</v>
      </c>
      <c r="F2035" s="43" t="n">
        <v>1200</v>
      </c>
      <c r="G2035" s="43" t="n">
        <v>40</v>
      </c>
      <c r="H2035" s="79">
        <f>(E2035/1000)*(F2035/1000)*(G2035/1000)*7850</f>
        <v/>
      </c>
      <c r="I2035" s="43" t="n">
        <v>1</v>
      </c>
      <c r="J2035" s="80">
        <f>H2035*I2035</f>
        <v/>
      </c>
      <c r="K2035" s="43" t="inlineStr">
        <is>
          <t>来源页167</t>
        </is>
      </c>
      <c r="L2035" s="43">
        <f>A2035</f>
        <v/>
      </c>
      <c r="M2035" s="81" t="n"/>
      <c r="N2035" s="81" t="n"/>
      <c r="O2035" s="81" t="n"/>
      <c r="P2035" s="81" t="n"/>
      <c r="Q2035" s="81" t="n"/>
      <c r="R2035" s="81" t="n"/>
      <c r="S2035" s="81" t="n"/>
      <c r="T2035" s="81" t="n"/>
      <c r="U2035" s="81" t="n"/>
      <c r="V2035" s="81" t="n"/>
      <c r="W2035" s="43" t="n"/>
    </row>
    <row r="2036">
      <c r="A2036" s="43" t="inlineStr">
        <is>
          <t>N13</t>
        </is>
      </c>
      <c r="B2036" s="43" t="inlineStr"/>
      <c r="C2036" s="43" t="inlineStr">
        <is>
          <t>节段07</t>
        </is>
      </c>
      <c r="D2036" s="43" t="inlineStr">
        <is>
          <t>Q420D</t>
        </is>
      </c>
      <c r="E2036" s="43" t="n"/>
      <c r="F2036" s="43" t="n"/>
      <c r="G2036" s="43" t="n">
        <v>44</v>
      </c>
      <c r="H2036" s="79">
        <f>(E2036/1000)*(F2036/1000)*(G2036/1000)*7850</f>
        <v/>
      </c>
      <c r="I2036" s="43" t="n">
        <v>2</v>
      </c>
      <c r="J2036" s="80">
        <f>H2036*I2036</f>
        <v/>
      </c>
      <c r="K2036" s="43" t="inlineStr">
        <is>
          <t>来源页167</t>
        </is>
      </c>
      <c r="L2036" s="43">
        <f>A2036</f>
        <v/>
      </c>
      <c r="M2036" s="81" t="n"/>
      <c r="N2036" s="81" t="n"/>
      <c r="O2036" s="81" t="n"/>
      <c r="P2036" s="81" t="n"/>
      <c r="Q2036" s="81" t="n"/>
      <c r="R2036" s="81" t="n"/>
      <c r="S2036" s="81" t="n"/>
      <c r="T2036" s="81" t="n"/>
      <c r="U2036" s="81" t="n"/>
      <c r="V2036" s="81" t="n"/>
      <c r="W2036" s="43" t="n"/>
    </row>
    <row r="2037">
      <c r="A2037" s="43" t="inlineStr">
        <is>
          <t>N14</t>
        </is>
      </c>
      <c r="B2037" s="43" t="inlineStr"/>
      <c r="C2037" s="43" t="inlineStr">
        <is>
          <t>节段07</t>
        </is>
      </c>
      <c r="D2037" s="43" t="inlineStr">
        <is>
          <t>Q420D</t>
        </is>
      </c>
      <c r="E2037" s="43" t="n">
        <v>7300</v>
      </c>
      <c r="F2037" s="43" t="n">
        <v>1628</v>
      </c>
      <c r="G2037" s="43" t="n">
        <v>48</v>
      </c>
      <c r="H2037" s="79">
        <f>(E2037/1000)*(F2037/1000)*(G2037/1000)*7850</f>
        <v/>
      </c>
      <c r="I2037" s="43" t="n">
        <v>2</v>
      </c>
      <c r="J2037" s="80">
        <f>H2037*I2037</f>
        <v/>
      </c>
      <c r="K2037" s="43" t="inlineStr">
        <is>
          <t>来源页167</t>
        </is>
      </c>
      <c r="L2037" s="43">
        <f>A2037</f>
        <v/>
      </c>
      <c r="M2037" s="81" t="n"/>
      <c r="N2037" s="81" t="n"/>
      <c r="O2037" s="81" t="n"/>
      <c r="P2037" s="81" t="n"/>
      <c r="Q2037" s="81" t="n"/>
      <c r="R2037" s="81" t="n"/>
      <c r="S2037" s="81" t="n"/>
      <c r="T2037" s="81" t="n"/>
      <c r="U2037" s="81" t="n"/>
      <c r="V2037" s="81" t="n"/>
      <c r="W2037" s="43" t="n"/>
    </row>
    <row r="2038">
      <c r="A2038" s="43" t="inlineStr">
        <is>
          <t>N15α</t>
        </is>
      </c>
      <c r="B2038" s="43" t="inlineStr"/>
      <c r="C2038" s="43" t="inlineStr">
        <is>
          <t>节段07</t>
        </is>
      </c>
      <c r="D2038" s="43" t="inlineStr">
        <is>
          <t>Q420D</t>
        </is>
      </c>
      <c r="E2038" s="43" t="n">
        <v>1560</v>
      </c>
      <c r="F2038" s="43" t="n">
        <v>1200</v>
      </c>
      <c r="G2038" s="43" t="n">
        <v>16</v>
      </c>
      <c r="H2038" s="79">
        <f>(E2038/1000)*(F2038/1000)*(G2038/1000)*7850</f>
        <v/>
      </c>
      <c r="I2038" s="43" t="n">
        <v>2</v>
      </c>
      <c r="J2038" s="80">
        <f>H2038*I2038</f>
        <v/>
      </c>
      <c r="K2038" s="43" t="inlineStr">
        <is>
          <t>来源页167</t>
        </is>
      </c>
      <c r="L2038" s="43">
        <f>A2038</f>
        <v/>
      </c>
      <c r="M2038" s="81" t="n"/>
      <c r="N2038" s="81" t="n"/>
      <c r="O2038" s="81" t="n"/>
      <c r="P2038" s="81" t="n"/>
      <c r="Q2038" s="81" t="n"/>
      <c r="R2038" s="81" t="n"/>
      <c r="S2038" s="81" t="n"/>
      <c r="T2038" s="81" t="n"/>
      <c r="U2038" s="81" t="n"/>
      <c r="V2038" s="81" t="n"/>
      <c r="W2038" s="43" t="n"/>
    </row>
    <row r="2039">
      <c r="A2039" s="43" t="inlineStr">
        <is>
          <t>N15‘</t>
        </is>
      </c>
      <c r="B2039" s="43" t="inlineStr"/>
      <c r="C2039" s="43" t="inlineStr">
        <is>
          <t>节段07</t>
        </is>
      </c>
      <c r="D2039" s="43" t="inlineStr">
        <is>
          <t>Q420D</t>
        </is>
      </c>
      <c r="E2039" s="43" t="n">
        <v>2057</v>
      </c>
      <c r="F2039" s="43" t="n">
        <v>200</v>
      </c>
      <c r="G2039" s="43" t="n">
        <v>16</v>
      </c>
      <c r="H2039" s="79">
        <f>(E2039/1000)*(F2039/1000)*(G2039/1000)*7850</f>
        <v/>
      </c>
      <c r="I2039" s="43" t="n">
        <v>3</v>
      </c>
      <c r="J2039" s="80">
        <f>H2039*I2039</f>
        <v/>
      </c>
      <c r="K2039" s="43" t="inlineStr">
        <is>
          <t>来源页167</t>
        </is>
      </c>
      <c r="L2039" s="43">
        <f>A2039</f>
        <v/>
      </c>
      <c r="M2039" s="81" t="n"/>
      <c r="N2039" s="81" t="n"/>
      <c r="O2039" s="81" t="n"/>
      <c r="P2039" s="81" t="n"/>
      <c r="Q2039" s="81" t="n"/>
      <c r="R2039" s="81" t="n"/>
      <c r="S2039" s="81" t="n"/>
      <c r="T2039" s="81" t="n"/>
      <c r="U2039" s="81" t="n"/>
      <c r="V2039" s="81" t="n"/>
      <c r="W2039" s="43" t="n"/>
    </row>
    <row r="2040">
      <c r="A2040" s="43" t="inlineStr">
        <is>
          <t>N15b</t>
        </is>
      </c>
      <c r="B2040" s="43" t="inlineStr"/>
      <c r="C2040" s="43" t="inlineStr">
        <is>
          <t>节段07</t>
        </is>
      </c>
      <c r="D2040" s="43" t="inlineStr">
        <is>
          <t>Q420D</t>
        </is>
      </c>
      <c r="E2040" s="43" t="n">
        <v>1782</v>
      </c>
      <c r="F2040" s="43" t="n">
        <v>40</v>
      </c>
      <c r="G2040" s="43" t="n">
        <v>4</v>
      </c>
      <c r="H2040" s="79">
        <f>(E2040/1000)*(F2040/1000)*(G2040/1000)*7850</f>
        <v/>
      </c>
      <c r="I2040" s="43" t="n">
        <v>4</v>
      </c>
      <c r="J2040" s="80">
        <f>H2040*I2040</f>
        <v/>
      </c>
      <c r="K2040" s="43" t="inlineStr">
        <is>
          <t>来源页167</t>
        </is>
      </c>
      <c r="L2040" s="43">
        <f>A2040</f>
        <v/>
      </c>
      <c r="M2040" s="81" t="n"/>
      <c r="N2040" s="81" t="n"/>
      <c r="O2040" s="81" t="n"/>
      <c r="P2040" s="81" t="n"/>
      <c r="Q2040" s="81" t="n"/>
      <c r="R2040" s="81" t="n"/>
      <c r="S2040" s="81" t="n"/>
      <c r="T2040" s="81" t="n"/>
      <c r="U2040" s="81" t="n"/>
      <c r="V2040" s="81" t="n"/>
      <c r="W2040" s="43" t="n"/>
    </row>
    <row r="2041">
      <c r="A2041" s="43" t="inlineStr">
        <is>
          <t>N15c</t>
        </is>
      </c>
      <c r="B2041" s="43" t="inlineStr"/>
      <c r="C2041" s="43" t="inlineStr">
        <is>
          <t>节段07</t>
        </is>
      </c>
      <c r="D2041" s="43" t="inlineStr">
        <is>
          <t>Q420D</t>
        </is>
      </c>
      <c r="E2041" s="43" t="n">
        <v>600</v>
      </c>
      <c r="F2041" s="43" t="n">
        <v>400</v>
      </c>
      <c r="G2041" s="43" t="n">
        <v>16</v>
      </c>
      <c r="H2041" s="79">
        <f>(E2041/1000)*(F2041/1000)*(G2041/1000)*7850</f>
        <v/>
      </c>
      <c r="I2041" s="43" t="n">
        <v>4</v>
      </c>
      <c r="J2041" s="80">
        <f>H2041*I2041</f>
        <v/>
      </c>
      <c r="K2041" s="43" t="inlineStr">
        <is>
          <t>来源页167</t>
        </is>
      </c>
      <c r="L2041" s="43">
        <f>A2041</f>
        <v/>
      </c>
      <c r="M2041" s="81" t="n"/>
      <c r="N2041" s="81" t="n"/>
      <c r="O2041" s="81" t="n"/>
      <c r="P2041" s="81" t="n"/>
      <c r="Q2041" s="81" t="n"/>
      <c r="R2041" s="81" t="n"/>
      <c r="S2041" s="81" t="n"/>
      <c r="T2041" s="81" t="n"/>
      <c r="U2041" s="81" t="n"/>
      <c r="V2041" s="81" t="n"/>
      <c r="W2041" s="43" t="n"/>
    </row>
    <row r="2042">
      <c r="A2042" s="43" t="inlineStr">
        <is>
          <t>N21a</t>
        </is>
      </c>
      <c r="B2042" s="43" t="inlineStr"/>
      <c r="C2042" s="43" t="inlineStr">
        <is>
          <t>节段07</t>
        </is>
      </c>
      <c r="D2042" s="43" t="inlineStr">
        <is>
          <t>Q420D</t>
        </is>
      </c>
      <c r="E2042" s="43" t="n">
        <v>7901</v>
      </c>
      <c r="F2042" s="43" t="n">
        <v>1850</v>
      </c>
      <c r="G2042" s="43" t="n">
        <v>32</v>
      </c>
      <c r="H2042" s="79">
        <f>(E2042/1000)*(F2042/1000)*(G2042/1000)*7850</f>
        <v/>
      </c>
      <c r="I2042" s="43" t="n">
        <v>1</v>
      </c>
      <c r="J2042" s="80">
        <f>H2042*I2042</f>
        <v/>
      </c>
      <c r="K2042" s="43" t="inlineStr">
        <is>
          <t>来源页167</t>
        </is>
      </c>
      <c r="L2042" s="43">
        <f>A2042</f>
        <v/>
      </c>
      <c r="M2042" s="81" t="n"/>
      <c r="N2042" s="81" t="n"/>
      <c r="O2042" s="81" t="n"/>
      <c r="P2042" s="81" t="n"/>
      <c r="Q2042" s="81" t="n"/>
      <c r="R2042" s="81" t="n"/>
      <c r="S2042" s="81" t="n"/>
      <c r="T2042" s="81" t="n"/>
      <c r="U2042" s="81" t="n"/>
      <c r="V2042" s="81" t="n"/>
      <c r="W2042" s="43" t="n"/>
    </row>
    <row r="2043">
      <c r="A2043" s="43" t="inlineStr">
        <is>
          <t>N21b</t>
        </is>
      </c>
      <c r="B2043" s="43" t="inlineStr"/>
      <c r="C2043" s="43" t="inlineStr">
        <is>
          <t>节段07</t>
        </is>
      </c>
      <c r="D2043" s="43" t="inlineStr">
        <is>
          <t>Q420D</t>
        </is>
      </c>
      <c r="E2043" s="43" t="n">
        <v>7101</v>
      </c>
      <c r="F2043" s="43" t="n">
        <v>1850</v>
      </c>
      <c r="G2043" s="43" t="n">
        <v>32</v>
      </c>
      <c r="H2043" s="79">
        <f>(E2043/1000)*(F2043/1000)*(G2043/1000)*7850</f>
        <v/>
      </c>
      <c r="I2043" s="43" t="n">
        <v>1</v>
      </c>
      <c r="J2043" s="80">
        <f>H2043*I2043</f>
        <v/>
      </c>
      <c r="K2043" s="43" t="inlineStr">
        <is>
          <t>来源页167</t>
        </is>
      </c>
      <c r="L2043" s="43">
        <f>A2043</f>
        <v/>
      </c>
      <c r="M2043" s="81" t="n"/>
      <c r="N2043" s="81" t="n"/>
      <c r="O2043" s="81" t="n"/>
      <c r="P2043" s="81" t="n"/>
      <c r="Q2043" s="81" t="n"/>
      <c r="R2043" s="81" t="n"/>
      <c r="S2043" s="81" t="n"/>
      <c r="T2043" s="81" t="n"/>
      <c r="U2043" s="81" t="n"/>
      <c r="V2043" s="81" t="n"/>
      <c r="W2043" s="43" t="n"/>
    </row>
    <row r="2044">
      <c r="A2044" s="43" t="inlineStr">
        <is>
          <t>N22a</t>
        </is>
      </c>
      <c r="B2044" s="43" t="inlineStr"/>
      <c r="C2044" s="43" t="inlineStr">
        <is>
          <t>节段07</t>
        </is>
      </c>
      <c r="D2044" s="43" t="inlineStr">
        <is>
          <t>Q420D</t>
        </is>
      </c>
      <c r="E2044" s="43" t="n"/>
      <c r="F2044" s="43" t="n"/>
      <c r="G2044" s="43" t="n">
        <v>40</v>
      </c>
      <c r="H2044" s="79">
        <f>(E2044/1000)*(F2044/1000)*(G2044/1000)*7850</f>
        <v/>
      </c>
      <c r="I2044" s="43" t="n">
        <v>1</v>
      </c>
      <c r="J2044" s="80">
        <f>H2044*I2044</f>
        <v/>
      </c>
      <c r="K2044" s="43" t="inlineStr">
        <is>
          <t>来源页167</t>
        </is>
      </c>
      <c r="L2044" s="43">
        <f>A2044</f>
        <v/>
      </c>
      <c r="M2044" s="81" t="n"/>
      <c r="N2044" s="81" t="n"/>
      <c r="O2044" s="81" t="n"/>
      <c r="P2044" s="81" t="n"/>
      <c r="Q2044" s="81" t="n"/>
      <c r="R2044" s="81" t="n"/>
      <c r="S2044" s="81" t="n"/>
      <c r="T2044" s="81" t="n"/>
      <c r="U2044" s="81" t="n"/>
      <c r="V2044" s="81" t="n"/>
      <c r="W2044" s="43" t="n"/>
    </row>
    <row r="2045">
      <c r="A2045" s="43" t="inlineStr">
        <is>
          <t>N22b</t>
        </is>
      </c>
      <c r="B2045" s="43" t="inlineStr"/>
      <c r="C2045" s="43" t="inlineStr">
        <is>
          <t>节段07</t>
        </is>
      </c>
      <c r="D2045" s="43" t="inlineStr">
        <is>
          <t>Q420D</t>
        </is>
      </c>
      <c r="E2045" s="43" t="n"/>
      <c r="F2045" s="43" t="n"/>
      <c r="G2045" s="43" t="n">
        <v>32</v>
      </c>
      <c r="H2045" s="79">
        <f>(E2045/1000)*(F2045/1000)*(G2045/1000)*7850</f>
        <v/>
      </c>
      <c r="I2045" s="43" t="n">
        <v>1</v>
      </c>
      <c r="J2045" s="80">
        <f>H2045*I2045</f>
        <v/>
      </c>
      <c r="K2045" s="43" t="inlineStr">
        <is>
          <t>来源页167</t>
        </is>
      </c>
      <c r="L2045" s="43">
        <f>A2045</f>
        <v/>
      </c>
      <c r="M2045" s="81" t="n"/>
      <c r="N2045" s="81" t="n"/>
      <c r="O2045" s="81" t="n"/>
      <c r="P2045" s="81" t="n"/>
      <c r="Q2045" s="81" t="n"/>
      <c r="R2045" s="81" t="n"/>
      <c r="S2045" s="81" t="n"/>
      <c r="T2045" s="81" t="n"/>
      <c r="U2045" s="81" t="n"/>
      <c r="V2045" s="81" t="n"/>
      <c r="W2045" s="43" t="n"/>
    </row>
    <row r="2046">
      <c r="A2046" s="43" t="inlineStr">
        <is>
          <t>N23</t>
        </is>
      </c>
      <c r="B2046" s="43" t="inlineStr"/>
      <c r="C2046" s="43" t="inlineStr">
        <is>
          <t>节段07</t>
        </is>
      </c>
      <c r="D2046" s="43" t="inlineStr">
        <is>
          <t>Q420D</t>
        </is>
      </c>
      <c r="E2046" s="43" t="n"/>
      <c r="F2046" s="43" t="n"/>
      <c r="G2046" s="43" t="n">
        <v>44</v>
      </c>
      <c r="H2046" s="79">
        <f>(E2046/1000)*(F2046/1000)*(G2046/1000)*7850</f>
        <v/>
      </c>
      <c r="I2046" s="43" t="n">
        <v>2</v>
      </c>
      <c r="J2046" s="80">
        <f>H2046*I2046</f>
        <v/>
      </c>
      <c r="K2046" s="43" t="inlineStr">
        <is>
          <t>Z35钢；来源页167</t>
        </is>
      </c>
      <c r="L2046" s="43">
        <f>A2046</f>
        <v/>
      </c>
      <c r="M2046" s="81" t="n"/>
      <c r="N2046" s="81" t="n"/>
      <c r="O2046" s="81" t="n"/>
      <c r="P2046" s="81" t="n"/>
      <c r="Q2046" s="81" t="n"/>
      <c r="R2046" s="81" t="n"/>
      <c r="S2046" s="81" t="n"/>
      <c r="T2046" s="81" t="n"/>
      <c r="U2046" s="81" t="n"/>
      <c r="V2046" s="81" t="n"/>
      <c r="W2046" s="43" t="n"/>
    </row>
    <row r="2047">
      <c r="A2047" s="43" t="inlineStr">
        <is>
          <t>N24</t>
        </is>
      </c>
      <c r="B2047" s="43" t="inlineStr"/>
      <c r="C2047" s="43" t="inlineStr">
        <is>
          <t>节段07</t>
        </is>
      </c>
      <c r="D2047" s="43" t="inlineStr">
        <is>
          <t>Q420D</t>
        </is>
      </c>
      <c r="E2047" s="43" t="n">
        <v>7301</v>
      </c>
      <c r="F2047" s="43" t="n">
        <v>1482</v>
      </c>
      <c r="G2047" s="43" t="n">
        <v>44</v>
      </c>
      <c r="H2047" s="79">
        <f>(E2047/1000)*(F2047/1000)*(G2047/1000)*7850</f>
        <v/>
      </c>
      <c r="I2047" s="43" t="n">
        <v>2</v>
      </c>
      <c r="J2047" s="80">
        <f>H2047*I2047</f>
        <v/>
      </c>
      <c r="K2047" s="43" t="inlineStr">
        <is>
          <t>来源页167</t>
        </is>
      </c>
      <c r="L2047" s="43">
        <f>A2047</f>
        <v/>
      </c>
      <c r="M2047" s="81" t="n"/>
      <c r="N2047" s="81" t="n"/>
      <c r="O2047" s="81" t="n"/>
      <c r="P2047" s="81" t="n"/>
      <c r="Q2047" s="81" t="n"/>
      <c r="R2047" s="81" t="n"/>
      <c r="S2047" s="81" t="n"/>
      <c r="T2047" s="81" t="n"/>
      <c r="U2047" s="81" t="n"/>
      <c r="V2047" s="81" t="n"/>
      <c r="W2047" s="43" t="n"/>
    </row>
    <row r="2048">
      <c r="A2048" s="43" t="inlineStr">
        <is>
          <t>N25α</t>
        </is>
      </c>
      <c r="B2048" s="43" t="inlineStr"/>
      <c r="C2048" s="43" t="inlineStr">
        <is>
          <t>节段07</t>
        </is>
      </c>
      <c r="D2048" s="43" t="inlineStr">
        <is>
          <t>Q420D</t>
        </is>
      </c>
      <c r="E2048" s="43" t="n">
        <v>1450</v>
      </c>
      <c r="F2048" s="43" t="n">
        <v>1200</v>
      </c>
      <c r="G2048" s="43" t="n">
        <v>16</v>
      </c>
      <c r="H2048" s="79">
        <f>(E2048/1000)*(F2048/1000)*(G2048/1000)*7850</f>
        <v/>
      </c>
      <c r="I2048" s="43" t="n">
        <v>2</v>
      </c>
      <c r="J2048" s="80">
        <f>H2048*I2048</f>
        <v/>
      </c>
      <c r="K2048" s="43" t="inlineStr">
        <is>
          <t>来源页167</t>
        </is>
      </c>
      <c r="L2048" s="43">
        <f>A2048</f>
        <v/>
      </c>
      <c r="M2048" s="81" t="n"/>
      <c r="N2048" s="81" t="n"/>
      <c r="O2048" s="81" t="n"/>
      <c r="P2048" s="81" t="n"/>
      <c r="Q2048" s="81" t="n"/>
      <c r="R2048" s="81" t="n"/>
      <c r="S2048" s="81" t="n"/>
      <c r="T2048" s="81" t="n"/>
      <c r="U2048" s="81" t="n"/>
      <c r="V2048" s="81" t="n"/>
      <c r="W2048" s="43" t="n"/>
    </row>
    <row r="2049">
      <c r="A2049" s="43" t="inlineStr">
        <is>
          <t>N26a</t>
        </is>
      </c>
      <c r="B2049" s="43" t="inlineStr"/>
      <c r="C2049" s="43" t="inlineStr">
        <is>
          <t>节段07</t>
        </is>
      </c>
      <c r="D2049" s="43" t="inlineStr">
        <is>
          <t>Q420D</t>
        </is>
      </c>
      <c r="E2049" s="43" t="n">
        <v>7901</v>
      </c>
      <c r="F2049" s="43" t="n">
        <v>320</v>
      </c>
      <c r="G2049" s="43" t="n">
        <v>32</v>
      </c>
      <c r="H2049" s="79">
        <f>(E2049/1000)*(F2049/1000)*(G2049/1000)*7850</f>
        <v/>
      </c>
      <c r="I2049" s="43" t="n">
        <v>4</v>
      </c>
      <c r="J2049" s="80">
        <f>H2049*I2049</f>
        <v/>
      </c>
      <c r="K2049" s="43" t="inlineStr">
        <is>
          <t>来源页167</t>
        </is>
      </c>
      <c r="L2049" s="43">
        <f>A2049</f>
        <v/>
      </c>
      <c r="M2049" s="81" t="n"/>
      <c r="N2049" s="81" t="n"/>
      <c r="O2049" s="81" t="n"/>
      <c r="P2049" s="81" t="n"/>
      <c r="Q2049" s="81" t="n"/>
      <c r="R2049" s="81" t="n"/>
      <c r="S2049" s="81" t="n"/>
      <c r="T2049" s="81" t="n"/>
      <c r="U2049" s="81" t="n"/>
      <c r="V2049" s="81" t="n"/>
      <c r="W2049" s="43" t="n"/>
    </row>
    <row r="2050">
      <c r="A2050" s="43" t="inlineStr">
        <is>
          <t>N26b</t>
        </is>
      </c>
      <c r="B2050" s="43" t="inlineStr"/>
      <c r="C2050" s="43" t="inlineStr">
        <is>
          <t>节段07</t>
        </is>
      </c>
      <c r="D2050" s="43" t="inlineStr">
        <is>
          <t>Q420D</t>
        </is>
      </c>
      <c r="E2050" s="43" t="n">
        <v>7101</v>
      </c>
      <c r="F2050" s="43" t="n">
        <v>320</v>
      </c>
      <c r="G2050" s="43" t="n">
        <v>32</v>
      </c>
      <c r="H2050" s="79">
        <f>(E2050/1000)*(F2050/1000)*(G2050/1000)*7850</f>
        <v/>
      </c>
      <c r="I2050" s="43" t="n">
        <v>4</v>
      </c>
      <c r="J2050" s="80">
        <f>H2050*I2050</f>
        <v/>
      </c>
      <c r="K2050" s="43" t="inlineStr">
        <is>
          <t>来源页167</t>
        </is>
      </c>
      <c r="L2050" s="43">
        <f>A2050</f>
        <v/>
      </c>
      <c r="M2050" s="81" t="n"/>
      <c r="N2050" s="81" t="n"/>
      <c r="O2050" s="81" t="n"/>
      <c r="P2050" s="81" t="n"/>
      <c r="Q2050" s="81" t="n"/>
      <c r="R2050" s="81" t="n"/>
      <c r="S2050" s="81" t="n"/>
      <c r="T2050" s="81" t="n"/>
      <c r="U2050" s="81" t="n"/>
      <c r="V2050" s="81" t="n"/>
      <c r="W2050" s="43" t="n"/>
    </row>
    <row r="2051">
      <c r="A2051" s="43" t="inlineStr">
        <is>
          <t>N26c</t>
        </is>
      </c>
      <c r="B2051" s="43" t="inlineStr"/>
      <c r="C2051" s="43" t="inlineStr">
        <is>
          <t>节段07</t>
        </is>
      </c>
      <c r="D2051" s="43" t="inlineStr">
        <is>
          <t>Q420D</t>
        </is>
      </c>
      <c r="E2051" s="43" t="n">
        <v>15002</v>
      </c>
      <c r="F2051" s="43" t="n">
        <v>170</v>
      </c>
      <c r="G2051" s="43" t="n">
        <v>14</v>
      </c>
      <c r="H2051" s="79">
        <f>(E2051/1000)*(F2051/1000)*(G2051/1000)*7850</f>
        <v/>
      </c>
      <c r="I2051" s="43" t="n">
        <v>2</v>
      </c>
      <c r="J2051" s="80">
        <f>H2051*I2051</f>
        <v/>
      </c>
      <c r="K2051" s="43" t="inlineStr">
        <is>
          <t>来源页167</t>
        </is>
      </c>
      <c r="L2051" s="43">
        <f>A2051</f>
        <v/>
      </c>
      <c r="M2051" s="81" t="n"/>
      <c r="N2051" s="81" t="n"/>
      <c r="O2051" s="81" t="n"/>
      <c r="P2051" s="81" t="n"/>
      <c r="Q2051" s="81" t="n"/>
      <c r="R2051" s="81" t="n"/>
      <c r="S2051" s="81" t="n"/>
      <c r="T2051" s="81" t="n"/>
      <c r="U2051" s="81" t="n"/>
      <c r="V2051" s="81" t="n"/>
      <c r="W2051" s="43" t="n"/>
    </row>
    <row r="2052">
      <c r="A2052" s="43" t="inlineStr">
        <is>
          <t>N31</t>
        </is>
      </c>
      <c r="B2052" s="43" t="inlineStr"/>
      <c r="C2052" s="43" t="inlineStr">
        <is>
          <t>节段07</t>
        </is>
      </c>
      <c r="D2052" s="43" t="inlineStr">
        <is>
          <t>Q420D</t>
        </is>
      </c>
      <c r="E2052" s="43" t="n">
        <v>11812</v>
      </c>
      <c r="F2052" s="43" t="n">
        <v>1200</v>
      </c>
      <c r="G2052" s="43" t="n">
        <v>40</v>
      </c>
      <c r="H2052" s="79">
        <f>(E2052/1000)*(F2052/1000)*(G2052/1000)*7850</f>
        <v/>
      </c>
      <c r="I2052" s="43" t="n">
        <v>1</v>
      </c>
      <c r="J2052" s="80">
        <f>H2052*I2052</f>
        <v/>
      </c>
      <c r="K2052" s="43" t="inlineStr">
        <is>
          <t>来源页167</t>
        </is>
      </c>
      <c r="L2052" s="43">
        <f>A2052</f>
        <v/>
      </c>
      <c r="M2052" s="81" t="n"/>
      <c r="N2052" s="81" t="n"/>
      <c r="O2052" s="81" t="n"/>
      <c r="P2052" s="81" t="n"/>
      <c r="Q2052" s="81" t="n"/>
      <c r="R2052" s="81" t="n"/>
      <c r="S2052" s="81" t="n"/>
      <c r="T2052" s="81" t="n"/>
      <c r="U2052" s="81" t="n"/>
      <c r="V2052" s="81" t="n"/>
      <c r="W2052" s="43" t="n"/>
    </row>
    <row r="2053">
      <c r="A2053" s="43" t="inlineStr">
        <is>
          <t>N31a</t>
        </is>
      </c>
      <c r="B2053" s="43" t="inlineStr"/>
      <c r="C2053" s="43" t="inlineStr">
        <is>
          <t>节段07</t>
        </is>
      </c>
      <c r="D2053" s="43" t="inlineStr">
        <is>
          <t>Q420D</t>
        </is>
      </c>
      <c r="E2053" s="43" t="n">
        <v>12212</v>
      </c>
      <c r="F2053" s="43" t="n">
        <v>1200</v>
      </c>
      <c r="G2053" s="43" t="n">
        <v>40</v>
      </c>
      <c r="H2053" s="79">
        <f>(E2053/1000)*(F2053/1000)*(G2053/1000)*7850</f>
        <v/>
      </c>
      <c r="I2053" s="43" t="n">
        <v>1</v>
      </c>
      <c r="J2053" s="80">
        <f>H2053*I2053</f>
        <v/>
      </c>
      <c r="K2053" s="43" t="inlineStr">
        <is>
          <t>来源页167</t>
        </is>
      </c>
      <c r="L2053" s="43">
        <f>A2053</f>
        <v/>
      </c>
      <c r="M2053" s="81" t="n"/>
      <c r="N2053" s="81" t="n"/>
      <c r="O2053" s="81" t="n"/>
      <c r="P2053" s="81" t="n"/>
      <c r="Q2053" s="81" t="n"/>
      <c r="R2053" s="81" t="n"/>
      <c r="S2053" s="81" t="n"/>
      <c r="T2053" s="81" t="n"/>
      <c r="U2053" s="81" t="n"/>
      <c r="V2053" s="81" t="n"/>
      <c r="W2053" s="43" t="n"/>
    </row>
    <row r="2054">
      <c r="A2054" s="43" t="inlineStr">
        <is>
          <t>N32</t>
        </is>
      </c>
      <c r="B2054" s="43" t="inlineStr"/>
      <c r="C2054" s="43" t="inlineStr">
        <is>
          <t>节段07</t>
        </is>
      </c>
      <c r="D2054" s="43" t="inlineStr">
        <is>
          <t>Q420D</t>
        </is>
      </c>
      <c r="E2054" s="43" t="n">
        <v>8212</v>
      </c>
      <c r="F2054" s="43" t="n">
        <v>1760</v>
      </c>
      <c r="G2054" s="43" t="n">
        <v>40</v>
      </c>
      <c r="H2054" s="79">
        <f>(E2054/1000)*(F2054/1000)*(G2054/1000)*7850</f>
        <v/>
      </c>
      <c r="I2054" s="43" t="n">
        <v>2</v>
      </c>
      <c r="J2054" s="80">
        <f>H2054*I2054</f>
        <v/>
      </c>
      <c r="K2054" s="43" t="inlineStr">
        <is>
          <t>来源页167</t>
        </is>
      </c>
      <c r="L2054" s="43">
        <f>A2054</f>
        <v/>
      </c>
      <c r="M2054" s="81" t="n"/>
      <c r="N2054" s="81" t="n"/>
      <c r="O2054" s="81" t="n"/>
      <c r="P2054" s="81" t="n"/>
      <c r="Q2054" s="81" t="n"/>
      <c r="R2054" s="81" t="n"/>
      <c r="S2054" s="81" t="n"/>
      <c r="T2054" s="81" t="n"/>
      <c r="U2054" s="81" t="n"/>
      <c r="V2054" s="81" t="n"/>
      <c r="W2054" s="43" t="n"/>
    </row>
    <row r="2055">
      <c r="A2055" s="43" t="inlineStr">
        <is>
          <t>N33</t>
        </is>
      </c>
      <c r="B2055" s="43" t="inlineStr"/>
      <c r="C2055" s="43" t="inlineStr">
        <is>
          <t>节段07</t>
        </is>
      </c>
      <c r="D2055" s="43" t="inlineStr">
        <is>
          <t>Q420D</t>
        </is>
      </c>
      <c r="E2055" s="43" t="n">
        <v>8212</v>
      </c>
      <c r="F2055" s="43" t="n">
        <v>320</v>
      </c>
      <c r="G2055" s="43" t="n">
        <v>32</v>
      </c>
      <c r="H2055" s="79">
        <f>(E2055/1000)*(F2055/1000)*(G2055/1000)*7850</f>
        <v/>
      </c>
      <c r="I2055" s="43" t="n">
        <v>4</v>
      </c>
      <c r="J2055" s="80">
        <f>H2055*I2055</f>
        <v/>
      </c>
      <c r="K2055" s="43" t="inlineStr">
        <is>
          <t>来源页167</t>
        </is>
      </c>
      <c r="L2055" s="43">
        <f>A2055</f>
        <v/>
      </c>
      <c r="M2055" s="81" t="n"/>
      <c r="N2055" s="81" t="n"/>
      <c r="O2055" s="81" t="n"/>
      <c r="P2055" s="81" t="n"/>
      <c r="Q2055" s="81" t="n"/>
      <c r="R2055" s="81" t="n"/>
      <c r="S2055" s="81" t="n"/>
      <c r="T2055" s="81" t="n"/>
      <c r="U2055" s="81" t="n"/>
      <c r="V2055" s="81" t="n"/>
      <c r="W2055" s="43" t="n"/>
    </row>
    <row r="2056">
      <c r="A2056" s="43" t="inlineStr">
        <is>
          <t>N33a</t>
        </is>
      </c>
      <c r="B2056" s="43" t="inlineStr"/>
      <c r="C2056" s="43" t="inlineStr">
        <is>
          <t>节段07</t>
        </is>
      </c>
      <c r="D2056" s="43" t="inlineStr">
        <is>
          <t>Q420D</t>
        </is>
      </c>
      <c r="E2056" s="43" t="n">
        <v>10412</v>
      </c>
      <c r="F2056" s="43" t="n">
        <v>320</v>
      </c>
      <c r="G2056" s="43" t="n">
        <v>32</v>
      </c>
      <c r="H2056" s="79">
        <f>(E2056/1000)*(F2056/1000)*(G2056/1000)*7850</f>
        <v/>
      </c>
      <c r="I2056" s="43" t="n">
        <v>1</v>
      </c>
      <c r="J2056" s="80">
        <f>H2056*I2056</f>
        <v/>
      </c>
      <c r="K2056" s="43" t="inlineStr">
        <is>
          <t>来源页167</t>
        </is>
      </c>
      <c r="L2056" s="43">
        <f>A2056</f>
        <v/>
      </c>
      <c r="M2056" s="81" t="n"/>
      <c r="N2056" s="81" t="n"/>
      <c r="O2056" s="81" t="n"/>
      <c r="P2056" s="81" t="n"/>
      <c r="Q2056" s="81" t="n"/>
      <c r="R2056" s="81" t="n"/>
      <c r="S2056" s="81" t="n"/>
      <c r="T2056" s="81" t="n"/>
      <c r="U2056" s="81" t="n"/>
      <c r="V2056" s="81" t="n"/>
      <c r="W2056" s="43" t="n"/>
    </row>
    <row r="2057">
      <c r="A2057" s="43" t="inlineStr">
        <is>
          <t>N33b</t>
        </is>
      </c>
      <c r="B2057" s="43" t="inlineStr"/>
      <c r="C2057" s="43" t="inlineStr">
        <is>
          <t>节段07</t>
        </is>
      </c>
      <c r="D2057" s="43" t="inlineStr">
        <is>
          <t>Q420D</t>
        </is>
      </c>
      <c r="E2057" s="43" t="n">
        <v>10812</v>
      </c>
      <c r="F2057" s="43" t="n">
        <v>320</v>
      </c>
      <c r="G2057" s="43" t="n">
        <v>32</v>
      </c>
      <c r="H2057" s="79">
        <f>(E2057/1000)*(F2057/1000)*(G2057/1000)*7850</f>
        <v/>
      </c>
      <c r="I2057" s="43" t="n">
        <v>1</v>
      </c>
      <c r="J2057" s="80">
        <f>H2057*I2057</f>
        <v/>
      </c>
      <c r="K2057" s="43" t="inlineStr">
        <is>
          <t>来源页167</t>
        </is>
      </c>
      <c r="L2057" s="43">
        <f>A2057</f>
        <v/>
      </c>
      <c r="M2057" s="81" t="n"/>
      <c r="N2057" s="81" t="n"/>
      <c r="O2057" s="81" t="n"/>
      <c r="P2057" s="81" t="n"/>
      <c r="Q2057" s="81" t="n"/>
      <c r="R2057" s="81" t="n"/>
      <c r="S2057" s="81" t="n"/>
      <c r="T2057" s="81" t="n"/>
      <c r="U2057" s="81" t="n"/>
      <c r="V2057" s="81" t="n"/>
      <c r="W2057" s="43" t="n"/>
    </row>
    <row r="2058">
      <c r="A2058" s="43" t="inlineStr">
        <is>
          <t>N41</t>
        </is>
      </c>
      <c r="B2058" s="43" t="inlineStr"/>
      <c r="C2058" s="43" t="inlineStr">
        <is>
          <t>节段07</t>
        </is>
      </c>
      <c r="D2058" s="43" t="inlineStr">
        <is>
          <t>Q420D</t>
        </is>
      </c>
      <c r="E2058" s="43" t="n">
        <v>5769</v>
      </c>
      <c r="F2058" s="43" t="n">
        <v>1200</v>
      </c>
      <c r="G2058" s="43" t="n">
        <v>40</v>
      </c>
      <c r="H2058" s="79">
        <f>(E2058/1000)*(F2058/1000)*(G2058/1000)*7850</f>
        <v/>
      </c>
      <c r="I2058" s="43" t="n">
        <v>1</v>
      </c>
      <c r="J2058" s="80">
        <f>H2058*I2058</f>
        <v/>
      </c>
      <c r="K2058" s="43" t="inlineStr">
        <is>
          <t>来源页167</t>
        </is>
      </c>
      <c r="L2058" s="43">
        <f>A2058</f>
        <v/>
      </c>
      <c r="M2058" s="81" t="n"/>
      <c r="N2058" s="81" t="n"/>
      <c r="O2058" s="81" t="n"/>
      <c r="P2058" s="81" t="n"/>
      <c r="Q2058" s="81" t="n"/>
      <c r="R2058" s="81" t="n"/>
      <c r="S2058" s="81" t="n"/>
      <c r="T2058" s="81" t="n"/>
      <c r="U2058" s="81" t="n"/>
      <c r="V2058" s="81" t="n"/>
      <c r="W2058" s="43" t="n"/>
    </row>
    <row r="2059">
      <c r="A2059" s="43" t="inlineStr">
        <is>
          <t>N41a</t>
        </is>
      </c>
      <c r="B2059" s="43" t="inlineStr"/>
      <c r="C2059" s="43" t="inlineStr">
        <is>
          <t>节段07</t>
        </is>
      </c>
      <c r="D2059" s="43" t="inlineStr">
        <is>
          <t>Q420D</t>
        </is>
      </c>
      <c r="E2059" s="43" t="n">
        <v>5969</v>
      </c>
      <c r="F2059" s="43" t="n">
        <v>1200</v>
      </c>
      <c r="G2059" s="43" t="n">
        <v>40</v>
      </c>
      <c r="H2059" s="79">
        <f>(E2059/1000)*(F2059/1000)*(G2059/1000)*7850</f>
        <v/>
      </c>
      <c r="I2059" s="43" t="n">
        <v>1</v>
      </c>
      <c r="J2059" s="80">
        <f>H2059*I2059</f>
        <v/>
      </c>
      <c r="K2059" s="43" t="inlineStr">
        <is>
          <t>来源页167</t>
        </is>
      </c>
      <c r="L2059" s="43">
        <f>A2059</f>
        <v/>
      </c>
      <c r="M2059" s="81" t="n"/>
      <c r="N2059" s="81" t="n"/>
      <c r="O2059" s="81" t="n"/>
      <c r="P2059" s="81" t="n"/>
      <c r="Q2059" s="81" t="n"/>
      <c r="R2059" s="81" t="n"/>
      <c r="S2059" s="81" t="n"/>
      <c r="T2059" s="81" t="n"/>
      <c r="U2059" s="81" t="n"/>
      <c r="V2059" s="81" t="n"/>
      <c r="W2059" s="43" t="n"/>
    </row>
    <row r="2060">
      <c r="A2060" s="43" t="inlineStr">
        <is>
          <t>N42</t>
        </is>
      </c>
      <c r="B2060" s="43" t="inlineStr"/>
      <c r="C2060" s="43" t="inlineStr">
        <is>
          <t>节段07</t>
        </is>
      </c>
      <c r="D2060" s="43" t="inlineStr">
        <is>
          <t>Q420D</t>
        </is>
      </c>
      <c r="E2060" s="43" t="n">
        <v>3969</v>
      </c>
      <c r="F2060" s="43" t="n">
        <v>1760</v>
      </c>
      <c r="G2060" s="43" t="n">
        <v>40</v>
      </c>
      <c r="H2060" s="79">
        <f>(E2060/1000)*(F2060/1000)*(G2060/1000)*7850</f>
        <v/>
      </c>
      <c r="I2060" s="43" t="n">
        <v>2</v>
      </c>
      <c r="J2060" s="80">
        <f>H2060*I2060</f>
        <v/>
      </c>
      <c r="K2060" s="43" t="inlineStr">
        <is>
          <t>来源页167</t>
        </is>
      </c>
      <c r="L2060" s="43">
        <f>A2060</f>
        <v/>
      </c>
      <c r="M2060" s="81" t="n"/>
      <c r="N2060" s="81" t="n"/>
      <c r="O2060" s="81" t="n"/>
      <c r="P2060" s="81" t="n"/>
      <c r="Q2060" s="81" t="n"/>
      <c r="R2060" s="81" t="n"/>
      <c r="S2060" s="81" t="n"/>
      <c r="T2060" s="81" t="n"/>
      <c r="U2060" s="81" t="n"/>
      <c r="V2060" s="81" t="n"/>
      <c r="W2060" s="43" t="n"/>
    </row>
    <row r="2061">
      <c r="A2061" s="43" t="inlineStr">
        <is>
          <t>N43</t>
        </is>
      </c>
      <c r="B2061" s="43" t="inlineStr"/>
      <c r="C2061" s="43" t="inlineStr">
        <is>
          <t>节段07</t>
        </is>
      </c>
      <c r="D2061" s="43" t="inlineStr">
        <is>
          <t>Q420D</t>
        </is>
      </c>
      <c r="E2061" s="43" t="n">
        <v>3969</v>
      </c>
      <c r="F2061" s="43" t="n">
        <v>320</v>
      </c>
      <c r="G2061" s="43" t="n">
        <v>32</v>
      </c>
      <c r="H2061" s="79">
        <f>(E2061/1000)*(F2061/1000)*(G2061/1000)*7850</f>
        <v/>
      </c>
      <c r="I2061" s="43" t="n">
        <v>4</v>
      </c>
      <c r="J2061" s="80">
        <f>H2061*I2061</f>
        <v/>
      </c>
      <c r="K2061" s="43" t="inlineStr">
        <is>
          <t>来源页167</t>
        </is>
      </c>
      <c r="L2061" s="43">
        <f>A2061</f>
        <v/>
      </c>
      <c r="M2061" s="81" t="n"/>
      <c r="N2061" s="81" t="n"/>
      <c r="O2061" s="81" t="n"/>
      <c r="P2061" s="81" t="n"/>
      <c r="Q2061" s="81" t="n"/>
      <c r="R2061" s="81" t="n"/>
      <c r="S2061" s="81" t="n"/>
      <c r="T2061" s="81" t="n"/>
      <c r="U2061" s="81" t="n"/>
      <c r="V2061" s="81" t="n"/>
      <c r="W2061" s="43" t="n"/>
    </row>
    <row r="2062">
      <c r="A2062" s="43" t="inlineStr">
        <is>
          <t>N43a</t>
        </is>
      </c>
      <c r="B2062" s="43" t="inlineStr"/>
      <c r="C2062" s="43" t="inlineStr">
        <is>
          <t>节段07</t>
        </is>
      </c>
      <c r="D2062" s="43" t="inlineStr">
        <is>
          <t>Q420D</t>
        </is>
      </c>
      <c r="E2062" s="43" t="n">
        <v>5069</v>
      </c>
      <c r="F2062" s="43" t="n">
        <v>320</v>
      </c>
      <c r="G2062" s="43" t="n">
        <v>32</v>
      </c>
      <c r="H2062" s="79">
        <f>(E2062/1000)*(F2062/1000)*(G2062/1000)*7850</f>
        <v/>
      </c>
      <c r="I2062" s="43" t="n">
        <v>1</v>
      </c>
      <c r="J2062" s="80">
        <f>H2062*I2062</f>
        <v/>
      </c>
      <c r="K2062" s="43" t="inlineStr">
        <is>
          <t>来源页167</t>
        </is>
      </c>
      <c r="L2062" s="43">
        <f>A2062</f>
        <v/>
      </c>
      <c r="M2062" s="81" t="n"/>
      <c r="N2062" s="81" t="n"/>
      <c r="O2062" s="81" t="n"/>
      <c r="P2062" s="81" t="n"/>
      <c r="Q2062" s="81" t="n"/>
      <c r="R2062" s="81" t="n"/>
      <c r="S2062" s="81" t="n"/>
      <c r="T2062" s="81" t="n"/>
      <c r="U2062" s="81" t="n"/>
      <c r="V2062" s="81" t="n"/>
      <c r="W2062" s="43" t="n"/>
    </row>
    <row r="2063">
      <c r="A2063" s="43" t="inlineStr">
        <is>
          <t>N43b</t>
        </is>
      </c>
      <c r="B2063" s="43" t="inlineStr"/>
      <c r="C2063" s="43" t="inlineStr">
        <is>
          <t>节段07</t>
        </is>
      </c>
      <c r="D2063" s="43" t="inlineStr">
        <is>
          <t>Q420D</t>
        </is>
      </c>
      <c r="E2063" s="43" t="n">
        <v>5269</v>
      </c>
      <c r="F2063" s="43" t="n">
        <v>320</v>
      </c>
      <c r="G2063" s="43" t="n">
        <v>32</v>
      </c>
      <c r="H2063" s="79">
        <f>(E2063/1000)*(F2063/1000)*(G2063/1000)*7850</f>
        <v/>
      </c>
      <c r="I2063" s="43" t="n">
        <v>1</v>
      </c>
      <c r="J2063" s="80">
        <f>H2063*I2063</f>
        <v/>
      </c>
      <c r="K2063" s="43" t="inlineStr">
        <is>
          <t>来源页167</t>
        </is>
      </c>
      <c r="L2063" s="43">
        <f>A2063</f>
        <v/>
      </c>
      <c r="M2063" s="81" t="n"/>
      <c r="N2063" s="81" t="n"/>
      <c r="O2063" s="81" t="n"/>
      <c r="P2063" s="81" t="n"/>
      <c r="Q2063" s="81" t="n"/>
      <c r="R2063" s="81" t="n"/>
      <c r="S2063" s="81" t="n"/>
      <c r="T2063" s="81" t="n"/>
      <c r="U2063" s="81" t="n"/>
      <c r="V2063" s="81" t="n"/>
      <c r="W2063" s="43" t="n"/>
    </row>
    <row r="2064">
      <c r="A2064" s="43" t="inlineStr">
        <is>
          <t>N44</t>
        </is>
      </c>
      <c r="B2064" s="43" t="inlineStr"/>
      <c r="C2064" s="43" t="inlineStr">
        <is>
          <t>节段07</t>
        </is>
      </c>
      <c r="D2064" s="43" t="inlineStr">
        <is>
          <t>Q420D</t>
        </is>
      </c>
      <c r="E2064" s="43" t="n">
        <v>1200</v>
      </c>
      <c r="F2064" s="43" t="n">
        <v>1600</v>
      </c>
      <c r="G2064" s="43" t="n">
        <v>16</v>
      </c>
      <c r="H2064" s="79">
        <f>(E2064/1000)*(F2064/1000)*(G2064/1000)*7850</f>
        <v/>
      </c>
      <c r="I2064" s="43" t="n">
        <v>2</v>
      </c>
      <c r="J2064" s="80">
        <f>H2064*I2064</f>
        <v/>
      </c>
      <c r="K2064" s="43" t="inlineStr">
        <is>
          <t>来源页167</t>
        </is>
      </c>
      <c r="L2064" s="43">
        <f>A2064</f>
        <v/>
      </c>
      <c r="M2064" s="81" t="n"/>
      <c r="N2064" s="81" t="n"/>
      <c r="O2064" s="81" t="n"/>
      <c r="P2064" s="81" t="n"/>
      <c r="Q2064" s="81" t="n"/>
      <c r="R2064" s="81" t="n"/>
      <c r="S2064" s="81" t="n"/>
      <c r="T2064" s="81" t="n"/>
      <c r="U2064" s="81" t="n"/>
      <c r="V2064" s="81" t="n"/>
      <c r="W2064" s="43" t="n"/>
    </row>
    <row r="2065">
      <c r="A2065" s="43" t="inlineStr">
        <is>
          <t>N51</t>
        </is>
      </c>
      <c r="B2065" s="43" t="inlineStr"/>
      <c r="C2065" s="43" t="inlineStr">
        <is>
          <t>节段07</t>
        </is>
      </c>
      <c r="D2065" s="43" t="inlineStr">
        <is>
          <t>Q420D</t>
        </is>
      </c>
      <c r="E2065" s="43" t="n">
        <v>5853</v>
      </c>
      <c r="F2065" s="43" t="n">
        <v>1200</v>
      </c>
      <c r="G2065" s="43" t="n">
        <v>40</v>
      </c>
      <c r="H2065" s="79">
        <f>(E2065/1000)*(F2065/1000)*(G2065/1000)*7850</f>
        <v/>
      </c>
      <c r="I2065" s="43" t="n">
        <v>1</v>
      </c>
      <c r="J2065" s="80">
        <f>H2065*I2065</f>
        <v/>
      </c>
      <c r="K2065" s="43" t="inlineStr">
        <is>
          <t>来源页167</t>
        </is>
      </c>
      <c r="L2065" s="43">
        <f>A2065</f>
        <v/>
      </c>
      <c r="M2065" s="81" t="n"/>
      <c r="N2065" s="81" t="n"/>
      <c r="O2065" s="81" t="n"/>
      <c r="P2065" s="81" t="n"/>
      <c r="Q2065" s="81" t="n"/>
      <c r="R2065" s="81" t="n"/>
      <c r="S2065" s="81" t="n"/>
      <c r="T2065" s="81" t="n"/>
      <c r="U2065" s="81" t="n"/>
      <c r="V2065" s="81" t="n"/>
      <c r="W2065" s="43" t="n"/>
    </row>
    <row r="2066">
      <c r="A2066" s="43" t="inlineStr">
        <is>
          <t>N51a</t>
        </is>
      </c>
      <c r="B2066" s="43" t="inlineStr"/>
      <c r="C2066" s="43" t="inlineStr">
        <is>
          <t>节段07</t>
        </is>
      </c>
      <c r="D2066" s="43" t="inlineStr">
        <is>
          <t>Q420D</t>
        </is>
      </c>
      <c r="E2066" s="43" t="n">
        <v>6053</v>
      </c>
      <c r="F2066" s="43" t="n">
        <v>1200</v>
      </c>
      <c r="G2066" s="43" t="n">
        <v>40</v>
      </c>
      <c r="H2066" s="79">
        <f>(E2066/1000)*(F2066/1000)*(G2066/1000)*7850</f>
        <v/>
      </c>
      <c r="I2066" s="43" t="n">
        <v>1</v>
      </c>
      <c r="J2066" s="80">
        <f>H2066*I2066</f>
        <v/>
      </c>
      <c r="K2066" s="43" t="inlineStr">
        <is>
          <t>来源页167</t>
        </is>
      </c>
      <c r="L2066" s="43">
        <f>A2066</f>
        <v/>
      </c>
      <c r="M2066" s="81" t="n"/>
      <c r="N2066" s="81" t="n"/>
      <c r="O2066" s="81" t="n"/>
      <c r="P2066" s="81" t="n"/>
      <c r="Q2066" s="81" t="n"/>
      <c r="R2066" s="81" t="n"/>
      <c r="S2066" s="81" t="n"/>
      <c r="T2066" s="81" t="n"/>
      <c r="U2066" s="81" t="n"/>
      <c r="V2066" s="81" t="n"/>
      <c r="W2066" s="43" t="n"/>
    </row>
    <row r="2067">
      <c r="A2067" s="43" t="inlineStr">
        <is>
          <t>N52</t>
        </is>
      </c>
      <c r="B2067" s="43" t="inlineStr"/>
      <c r="C2067" s="43" t="inlineStr">
        <is>
          <t>节段07</t>
        </is>
      </c>
      <c r="D2067" s="43" t="inlineStr">
        <is>
          <t>Q420D</t>
        </is>
      </c>
      <c r="E2067" s="43" t="n">
        <v>4053</v>
      </c>
      <c r="F2067" s="43" t="n">
        <v>1760</v>
      </c>
      <c r="G2067" s="43" t="n">
        <v>40</v>
      </c>
      <c r="H2067" s="79">
        <f>(E2067/1000)*(F2067/1000)*(G2067/1000)*7850</f>
        <v/>
      </c>
      <c r="I2067" s="43" t="n">
        <v>2</v>
      </c>
      <c r="J2067" s="80">
        <f>H2067*I2067</f>
        <v/>
      </c>
      <c r="K2067" s="43" t="inlineStr">
        <is>
          <t>来源页167</t>
        </is>
      </c>
      <c r="L2067" s="43">
        <f>A2067</f>
        <v/>
      </c>
      <c r="M2067" s="81" t="n"/>
      <c r="N2067" s="81" t="n"/>
      <c r="O2067" s="81" t="n"/>
      <c r="P2067" s="81" t="n"/>
      <c r="Q2067" s="81" t="n"/>
      <c r="R2067" s="81" t="n"/>
      <c r="S2067" s="81" t="n"/>
      <c r="T2067" s="81" t="n"/>
      <c r="U2067" s="81" t="n"/>
      <c r="V2067" s="81" t="n"/>
      <c r="W2067" s="43" t="n"/>
    </row>
    <row r="2068">
      <c r="A2068" s="43" t="inlineStr">
        <is>
          <t>N53</t>
        </is>
      </c>
      <c r="B2068" s="43" t="inlineStr"/>
      <c r="C2068" s="43" t="inlineStr">
        <is>
          <t>节段07</t>
        </is>
      </c>
      <c r="D2068" s="43" t="inlineStr">
        <is>
          <t>Q420D</t>
        </is>
      </c>
      <c r="E2068" s="43" t="n">
        <v>4053</v>
      </c>
      <c r="F2068" s="43" t="n">
        <v>320</v>
      </c>
      <c r="G2068" s="43" t="n">
        <v>32</v>
      </c>
      <c r="H2068" s="79">
        <f>(E2068/1000)*(F2068/1000)*(G2068/1000)*7850</f>
        <v/>
      </c>
      <c r="I2068" s="43" t="n">
        <v>4</v>
      </c>
      <c r="J2068" s="80">
        <f>H2068*I2068</f>
        <v/>
      </c>
      <c r="K2068" s="43" t="inlineStr">
        <is>
          <t>来源页167</t>
        </is>
      </c>
      <c r="L2068" s="43">
        <f>A2068</f>
        <v/>
      </c>
      <c r="M2068" s="81" t="n"/>
      <c r="N2068" s="81" t="n"/>
      <c r="O2068" s="81" t="n"/>
      <c r="P2068" s="81" t="n"/>
      <c r="Q2068" s="81" t="n"/>
      <c r="R2068" s="81" t="n"/>
      <c r="S2068" s="81" t="n"/>
      <c r="T2068" s="81" t="n"/>
      <c r="U2068" s="81" t="n"/>
      <c r="V2068" s="81" t="n"/>
      <c r="W2068" s="43" t="n"/>
    </row>
    <row r="2069">
      <c r="A2069" s="43" t="inlineStr">
        <is>
          <t>N53a</t>
        </is>
      </c>
      <c r="B2069" s="43" t="inlineStr"/>
      <c r="C2069" s="43" t="inlineStr">
        <is>
          <t>节段07</t>
        </is>
      </c>
      <c r="D2069" s="43" t="inlineStr">
        <is>
          <t>Q420D</t>
        </is>
      </c>
      <c r="E2069" s="43" t="n">
        <v>5153</v>
      </c>
      <c r="F2069" s="43" t="n">
        <v>320</v>
      </c>
      <c r="G2069" s="43" t="n">
        <v>32</v>
      </c>
      <c r="H2069" s="79">
        <f>(E2069/1000)*(F2069/1000)*(G2069/1000)*7850</f>
        <v/>
      </c>
      <c r="I2069" s="43" t="n">
        <v>1</v>
      </c>
      <c r="J2069" s="80">
        <f>H2069*I2069</f>
        <v/>
      </c>
      <c r="K2069" s="43" t="inlineStr">
        <is>
          <t>来源页167</t>
        </is>
      </c>
      <c r="L2069" s="43">
        <f>A2069</f>
        <v/>
      </c>
      <c r="M2069" s="81" t="n"/>
      <c r="N2069" s="81" t="n"/>
      <c r="O2069" s="81" t="n"/>
      <c r="P2069" s="81" t="n"/>
      <c r="Q2069" s="81" t="n"/>
      <c r="R2069" s="81" t="n"/>
      <c r="S2069" s="81" t="n"/>
      <c r="T2069" s="81" t="n"/>
      <c r="U2069" s="81" t="n"/>
      <c r="V2069" s="81" t="n"/>
      <c r="W2069" s="43" t="n"/>
    </row>
    <row r="2070">
      <c r="A2070" s="43" t="inlineStr">
        <is>
          <t>N53b</t>
        </is>
      </c>
      <c r="B2070" s="43" t="inlineStr"/>
      <c r="C2070" s="43" t="inlineStr">
        <is>
          <t>节段07</t>
        </is>
      </c>
      <c r="D2070" s="43" t="inlineStr">
        <is>
          <t>Q420D</t>
        </is>
      </c>
      <c r="E2070" s="43" t="n">
        <v>5353</v>
      </c>
      <c r="F2070" s="43" t="n">
        <v>320</v>
      </c>
      <c r="G2070" s="43" t="n">
        <v>32</v>
      </c>
      <c r="H2070" s="79">
        <f>(E2070/1000)*(F2070/1000)*(G2070/1000)*7850</f>
        <v/>
      </c>
      <c r="I2070" s="43" t="n">
        <v>1</v>
      </c>
      <c r="J2070" s="80">
        <f>H2070*I2070</f>
        <v/>
      </c>
      <c r="K2070" s="43" t="inlineStr">
        <is>
          <t>来源页167</t>
        </is>
      </c>
      <c r="L2070" s="43">
        <f>A2070</f>
        <v/>
      </c>
      <c r="M2070" s="81" t="n"/>
      <c r="N2070" s="81" t="n"/>
      <c r="O2070" s="81" t="n"/>
      <c r="P2070" s="81" t="n"/>
      <c r="Q2070" s="81" t="n"/>
      <c r="R2070" s="81" t="n"/>
      <c r="S2070" s="81" t="n"/>
      <c r="T2070" s="81" t="n"/>
      <c r="U2070" s="81" t="n"/>
      <c r="V2070" s="81" t="n"/>
      <c r="W2070" s="43" t="n"/>
    </row>
    <row r="2071">
      <c r="A2071" s="43" t="inlineStr">
        <is>
          <t>N54</t>
        </is>
      </c>
      <c r="B2071" s="43" t="inlineStr"/>
      <c r="C2071" s="43" t="inlineStr">
        <is>
          <t>节段07</t>
        </is>
      </c>
      <c r="D2071" s="43" t="inlineStr">
        <is>
          <t>Q420D</t>
        </is>
      </c>
      <c r="E2071" s="43" t="n">
        <v>1200</v>
      </c>
      <c r="F2071" s="43" t="n">
        <v>1600</v>
      </c>
      <c r="G2071" s="43" t="n">
        <v>16</v>
      </c>
      <c r="H2071" s="79">
        <f>(E2071/1000)*(F2071/1000)*(G2071/1000)*7850</f>
        <v/>
      </c>
      <c r="I2071" s="43" t="n">
        <v>2</v>
      </c>
      <c r="J2071" s="80">
        <f>H2071*I2071</f>
        <v/>
      </c>
      <c r="K2071" s="43" t="inlineStr">
        <is>
          <t>来源页167</t>
        </is>
      </c>
      <c r="L2071" s="43">
        <f>A2071</f>
        <v/>
      </c>
      <c r="M2071" s="81" t="n"/>
      <c r="N2071" s="81" t="n"/>
      <c r="O2071" s="81" t="n"/>
      <c r="P2071" s="81" t="n"/>
      <c r="Q2071" s="81" t="n"/>
      <c r="R2071" s="81" t="n"/>
      <c r="S2071" s="81" t="n"/>
      <c r="T2071" s="81" t="n"/>
      <c r="U2071" s="81" t="n"/>
      <c r="V2071" s="81" t="n"/>
      <c r="W2071" s="43" t="n"/>
    </row>
    <row r="2072">
      <c r="A2072" s="43" t="inlineStr">
        <is>
          <t>N55</t>
        </is>
      </c>
      <c r="B2072" s="43" t="inlineStr"/>
      <c r="C2072" s="43" t="inlineStr">
        <is>
          <t>节段07</t>
        </is>
      </c>
      <c r="D2072" s="43" t="inlineStr">
        <is>
          <t>Q420D</t>
        </is>
      </c>
      <c r="E2072" s="43" t="n">
        <v>2100</v>
      </c>
      <c r="F2072" s="43" t="n">
        <v>320</v>
      </c>
      <c r="G2072" s="43" t="n">
        <v>32</v>
      </c>
      <c r="H2072" s="79">
        <f>(E2072/1000)*(F2072/1000)*(G2072/1000)*7850</f>
        <v/>
      </c>
      <c r="I2072" s="43" t="n">
        <v>8</v>
      </c>
      <c r="J2072" s="80">
        <f>H2072*I2072</f>
        <v/>
      </c>
      <c r="K2072" s="43" t="inlineStr">
        <is>
          <t>来源页167</t>
        </is>
      </c>
      <c r="L2072" s="43">
        <f>A2072</f>
        <v/>
      </c>
      <c r="M2072" s="81" t="n"/>
      <c r="N2072" s="81" t="n"/>
      <c r="O2072" s="81" t="n"/>
      <c r="P2072" s="81" t="n"/>
      <c r="Q2072" s="81" t="n"/>
      <c r="R2072" s="81" t="n"/>
      <c r="S2072" s="81" t="n"/>
      <c r="T2072" s="81" t="n"/>
      <c r="U2072" s="81" t="n"/>
      <c r="V2072" s="81" t="n"/>
      <c r="W2072" s="43" t="n"/>
    </row>
    <row r="2073">
      <c r="A2073" s="43" t="inlineStr">
        <is>
          <t>N56</t>
        </is>
      </c>
      <c r="B2073" s="43" t="inlineStr"/>
      <c r="C2073" s="43" t="inlineStr">
        <is>
          <t>节段07</t>
        </is>
      </c>
      <c r="D2073" s="43" t="inlineStr">
        <is>
          <t>Q420D</t>
        </is>
      </c>
      <c r="E2073" s="43" t="n">
        <v>2000</v>
      </c>
      <c r="F2073" s="43" t="n">
        <v>320</v>
      </c>
      <c r="G2073" s="43" t="n">
        <v>32</v>
      </c>
      <c r="H2073" s="79">
        <f>(E2073/1000)*(F2073/1000)*(G2073/1000)*7850</f>
        <v/>
      </c>
      <c r="I2073" s="43" t="n">
        <v>8</v>
      </c>
      <c r="J2073" s="80">
        <f>H2073*I2073</f>
        <v/>
      </c>
      <c r="K2073" s="43" t="inlineStr">
        <is>
          <t>来源页167</t>
        </is>
      </c>
      <c r="L2073" s="43">
        <f>A2073</f>
        <v/>
      </c>
      <c r="M2073" s="81" t="n"/>
      <c r="N2073" s="81" t="n"/>
      <c r="O2073" s="81" t="n"/>
      <c r="P2073" s="81" t="n"/>
      <c r="Q2073" s="81" t="n"/>
      <c r="R2073" s="81" t="n"/>
      <c r="S2073" s="81" t="n"/>
      <c r="T2073" s="81" t="n"/>
      <c r="U2073" s="81" t="n"/>
      <c r="V2073" s="81" t="n"/>
      <c r="W2073" s="43" t="n"/>
    </row>
    <row r="2074">
      <c r="A2074" s="43" t="inlineStr">
        <is>
          <t>N61a</t>
        </is>
      </c>
      <c r="B2074" s="43" t="inlineStr"/>
      <c r="C2074" s="43" t="inlineStr">
        <is>
          <t>节段07</t>
        </is>
      </c>
      <c r="D2074" s="43" t="inlineStr">
        <is>
          <t>Q355D</t>
        </is>
      </c>
      <c r="E2074" s="43" t="n">
        <v>1560</v>
      </c>
      <c r="F2074" s="43" t="n">
        <v>602</v>
      </c>
      <c r="G2074" s="43" t="n">
        <v>14</v>
      </c>
      <c r="H2074" s="79">
        <f>(E2074/1000)*(F2074/1000)*(G2074/1000)*7850</f>
        <v/>
      </c>
      <c r="I2074" s="43" t="n">
        <v>2</v>
      </c>
      <c r="J2074" s="80">
        <f>H2074*I2074</f>
        <v/>
      </c>
      <c r="K2074" s="43" t="inlineStr">
        <is>
          <t>来源页167</t>
        </is>
      </c>
      <c r="L2074" s="43">
        <f>A2074</f>
        <v/>
      </c>
      <c r="M2074" s="81" t="n"/>
      <c r="N2074" s="81" t="n"/>
      <c r="O2074" s="81" t="n"/>
      <c r="P2074" s="81" t="n"/>
      <c r="Q2074" s="81" t="n"/>
      <c r="R2074" s="81" t="n"/>
      <c r="S2074" s="81" t="n"/>
      <c r="T2074" s="81" t="n"/>
      <c r="U2074" s="81" t="n"/>
      <c r="V2074" s="81" t="n"/>
      <c r="W2074" s="43" t="n"/>
    </row>
    <row r="2075">
      <c r="A2075" s="43" t="inlineStr">
        <is>
          <t>N62a</t>
        </is>
      </c>
      <c r="B2075" s="43" t="inlineStr"/>
      <c r="C2075" s="43" t="inlineStr">
        <is>
          <t>节段07</t>
        </is>
      </c>
      <c r="D2075" s="43" t="inlineStr">
        <is>
          <t>Q355D</t>
        </is>
      </c>
      <c r="E2075" s="43" t="n"/>
      <c r="F2075" s="43" t="n"/>
      <c r="G2075" s="43" t="n">
        <v>24</v>
      </c>
      <c r="H2075" s="79">
        <f>(E2075/1000)*(F2075/1000)*(G2075/1000)*7850</f>
        <v/>
      </c>
      <c r="I2075" s="43" t="n">
        <v>2</v>
      </c>
      <c r="J2075" s="80">
        <f>H2075*I2075</f>
        <v/>
      </c>
      <c r="K2075" s="43" t="inlineStr">
        <is>
          <t>来源页167</t>
        </is>
      </c>
      <c r="L2075" s="43">
        <f>A2075</f>
        <v/>
      </c>
      <c r="M2075" s="81" t="n"/>
      <c r="N2075" s="81" t="n"/>
      <c r="O2075" s="81" t="n"/>
      <c r="P2075" s="81" t="n"/>
      <c r="Q2075" s="81" t="n"/>
      <c r="R2075" s="81" t="n"/>
      <c r="S2075" s="81" t="n"/>
      <c r="T2075" s="81" t="n"/>
      <c r="U2075" s="81" t="n"/>
      <c r="V2075" s="81" t="n"/>
      <c r="W2075" s="43" t="n"/>
    </row>
    <row r="2076">
      <c r="A2076" s="43" t="inlineStr">
        <is>
          <t>N63</t>
        </is>
      </c>
      <c r="B2076" s="43" t="inlineStr"/>
      <c r="C2076" s="43" t="inlineStr">
        <is>
          <t>节段07</t>
        </is>
      </c>
      <c r="D2076" s="43" t="inlineStr">
        <is>
          <t>Q355D</t>
        </is>
      </c>
      <c r="E2076" s="43" t="n">
        <v>1450</v>
      </c>
      <c r="F2076" s="43" t="n">
        <v>606</v>
      </c>
      <c r="G2076" s="43" t="n">
        <v>14</v>
      </c>
      <c r="H2076" s="79">
        <f>(E2076/1000)*(F2076/1000)*(G2076/1000)*7850</f>
        <v/>
      </c>
      <c r="I2076" s="43" t="n">
        <v>2</v>
      </c>
      <c r="J2076" s="80">
        <f>H2076*I2076</f>
        <v/>
      </c>
      <c r="K2076" s="43" t="inlineStr">
        <is>
          <t>来源页167</t>
        </is>
      </c>
      <c r="L2076" s="43">
        <f>A2076</f>
        <v/>
      </c>
      <c r="M2076" s="81" t="n"/>
      <c r="N2076" s="81" t="n"/>
      <c r="O2076" s="81" t="n"/>
      <c r="P2076" s="81" t="n"/>
      <c r="Q2076" s="81" t="n"/>
      <c r="R2076" s="81" t="n"/>
      <c r="S2076" s="81" t="n"/>
      <c r="T2076" s="81" t="n"/>
      <c r="U2076" s="81" t="n"/>
      <c r="V2076" s="81" t="n"/>
      <c r="W2076" s="43" t="n"/>
    </row>
    <row r="2077">
      <c r="A2077" s="43" t="inlineStr">
        <is>
          <t>N63a</t>
        </is>
      </c>
      <c r="B2077" s="43" t="inlineStr"/>
      <c r="C2077" s="43" t="inlineStr">
        <is>
          <t>节段07</t>
        </is>
      </c>
      <c r="D2077" s="43" t="inlineStr">
        <is>
          <t>Q355D</t>
        </is>
      </c>
      <c r="E2077" s="43" t="n">
        <v>1450</v>
      </c>
      <c r="F2077" s="43" t="n">
        <v>606</v>
      </c>
      <c r="G2077" s="43" t="n">
        <v>14</v>
      </c>
      <c r="H2077" s="79">
        <f>(E2077/1000)*(F2077/1000)*(G2077/1000)*7850</f>
        <v/>
      </c>
      <c r="I2077" s="43" t="n">
        <v>2</v>
      </c>
      <c r="J2077" s="80">
        <f>H2077*I2077</f>
        <v/>
      </c>
      <c r="K2077" s="43" t="inlineStr">
        <is>
          <t>来源页167</t>
        </is>
      </c>
      <c r="L2077" s="43">
        <f>A2077</f>
        <v/>
      </c>
      <c r="M2077" s="81" t="n"/>
      <c r="N2077" s="81" t="n"/>
      <c r="O2077" s="81" t="n"/>
      <c r="P2077" s="81" t="n"/>
      <c r="Q2077" s="81" t="n"/>
      <c r="R2077" s="81" t="n"/>
      <c r="S2077" s="81" t="n"/>
      <c r="T2077" s="81" t="n"/>
      <c r="U2077" s="81" t="n"/>
      <c r="V2077" s="81" t="n"/>
      <c r="W2077" s="43" t="n"/>
    </row>
    <row r="2078">
      <c r="A2078" s="43" t="inlineStr">
        <is>
          <t>N81</t>
        </is>
      </c>
      <c r="B2078" s="43" t="inlineStr"/>
      <c r="C2078" s="43" t="inlineStr">
        <is>
          <t>节段07</t>
        </is>
      </c>
      <c r="D2078" s="43" t="inlineStr">
        <is>
          <t>Q420D</t>
        </is>
      </c>
      <c r="E2078" s="43" t="n">
        <v>1450</v>
      </c>
      <c r="F2078" s="43" t="n">
        <v>1200</v>
      </c>
      <c r="G2078" s="43" t="n">
        <v>32</v>
      </c>
      <c r="H2078" s="79">
        <f>(E2078/1000)*(F2078/1000)*(G2078/1000)*7850</f>
        <v/>
      </c>
      <c r="I2078" s="43" t="n">
        <v>5</v>
      </c>
      <c r="J2078" s="80">
        <f>H2078*I2078</f>
        <v/>
      </c>
      <c r="K2078" s="43" t="inlineStr">
        <is>
          <t>来源页167</t>
        </is>
      </c>
      <c r="L2078" s="43">
        <f>A2078</f>
        <v/>
      </c>
      <c r="M2078" s="81" t="n"/>
      <c r="N2078" s="81" t="n"/>
      <c r="O2078" s="81" t="n"/>
      <c r="P2078" s="81" t="n"/>
      <c r="Q2078" s="81" t="n"/>
      <c r="R2078" s="81" t="n"/>
      <c r="S2078" s="81" t="n"/>
      <c r="T2078" s="81" t="n"/>
      <c r="U2078" s="81" t="n"/>
      <c r="V2078" s="81" t="n"/>
      <c r="W2078" s="43" t="n"/>
    </row>
    <row r="2079">
      <c r="A2079" s="43" t="inlineStr">
        <is>
          <t>N82</t>
        </is>
      </c>
      <c r="B2079" s="43" t="inlineStr"/>
      <c r="C2079" s="43" t="inlineStr">
        <is>
          <t>节段07</t>
        </is>
      </c>
      <c r="D2079" s="43" t="inlineStr">
        <is>
          <t>Q420D</t>
        </is>
      </c>
      <c r="E2079" s="43" t="n">
        <v>1450</v>
      </c>
      <c r="F2079" s="43" t="n">
        <v>602</v>
      </c>
      <c r="G2079" s="43" t="n">
        <v>60</v>
      </c>
      <c r="H2079" s="79">
        <f>(E2079/1000)*(F2079/1000)*(G2079/1000)*7850</f>
        <v/>
      </c>
      <c r="I2079" s="43" t="n">
        <v>3</v>
      </c>
      <c r="J2079" s="80">
        <f>H2079*I2079</f>
        <v/>
      </c>
      <c r="K2079" s="43" t="inlineStr">
        <is>
          <t>来源页167</t>
        </is>
      </c>
      <c r="L2079" s="43">
        <f>A2079</f>
        <v/>
      </c>
      <c r="M2079" s="81" t="n"/>
      <c r="N2079" s="81" t="n"/>
      <c r="O2079" s="81" t="n"/>
      <c r="P2079" s="81" t="n"/>
      <c r="Q2079" s="81" t="n"/>
      <c r="R2079" s="81" t="n"/>
      <c r="S2079" s="81" t="n"/>
      <c r="T2079" s="81" t="n"/>
      <c r="U2079" s="81" t="n"/>
      <c r="V2079" s="81" t="n"/>
      <c r="W2079" s="43" t="n"/>
    </row>
    <row r="2080">
      <c r="A2080" s="43" t="inlineStr">
        <is>
          <t>N83</t>
        </is>
      </c>
      <c r="B2080" s="43" t="inlineStr"/>
      <c r="C2080" s="43" t="inlineStr">
        <is>
          <t>节段07</t>
        </is>
      </c>
      <c r="D2080" s="43" t="inlineStr">
        <is>
          <t>Q420D</t>
        </is>
      </c>
      <c r="E2080" s="43" t="n">
        <v>2800</v>
      </c>
      <c r="F2080" s="43" t="n">
        <v>2650</v>
      </c>
      <c r="G2080" s="43" t="n">
        <v>100</v>
      </c>
      <c r="H2080" s="79">
        <f>(E2080/1000)*(F2080/1000)*(G2080/1000)*7850</f>
        <v/>
      </c>
      <c r="I2080" s="43" t="n">
        <v>1</v>
      </c>
      <c r="J2080" s="80">
        <f>H2080*I2080</f>
        <v/>
      </c>
      <c r="K2080" s="43" t="inlineStr">
        <is>
          <t>来源页167</t>
        </is>
      </c>
      <c r="L2080" s="43">
        <f>A2080</f>
        <v/>
      </c>
      <c r="M2080" s="81" t="n"/>
      <c r="N2080" s="81" t="n"/>
      <c r="O2080" s="81" t="n"/>
      <c r="P2080" s="81" t="n"/>
      <c r="Q2080" s="81" t="n"/>
      <c r="R2080" s="81" t="n"/>
      <c r="S2080" s="81" t="n"/>
      <c r="T2080" s="81" t="n"/>
      <c r="U2080" s="81" t="n"/>
      <c r="V2080" s="81" t="n"/>
      <c r="W2080" s="43" t="n"/>
    </row>
    <row r="2081">
      <c r="A2081" s="43" t="inlineStr">
        <is>
          <t>N84</t>
        </is>
      </c>
      <c r="B2081" s="43" t="inlineStr"/>
      <c r="C2081" s="43" t="inlineStr">
        <is>
          <t>节段07</t>
        </is>
      </c>
      <c r="D2081" s="43" t="inlineStr">
        <is>
          <t>Q420D</t>
        </is>
      </c>
      <c r="E2081" s="43" t="n">
        <v>1000</v>
      </c>
      <c r="F2081" s="43" t="n">
        <v>568</v>
      </c>
      <c r="G2081" s="43" t="n">
        <v>32</v>
      </c>
      <c r="H2081" s="79">
        <f>(E2081/1000)*(F2081/1000)*(G2081/1000)*7850</f>
        <v/>
      </c>
      <c r="I2081" s="43" t="n">
        <v>4</v>
      </c>
      <c r="J2081" s="80">
        <f>H2081*I2081</f>
        <v/>
      </c>
      <c r="K2081" s="43" t="inlineStr">
        <is>
          <t>来源页167</t>
        </is>
      </c>
      <c r="L2081" s="43">
        <f>A2081</f>
        <v/>
      </c>
      <c r="M2081" s="81" t="n"/>
      <c r="N2081" s="81" t="n"/>
      <c r="O2081" s="81" t="n"/>
      <c r="P2081" s="81" t="n"/>
      <c r="Q2081" s="81" t="n"/>
      <c r="R2081" s="81" t="n"/>
      <c r="S2081" s="81" t="n"/>
      <c r="T2081" s="81" t="n"/>
      <c r="U2081" s="81" t="n"/>
      <c r="V2081" s="81" t="n"/>
      <c r="W2081" s="43" t="n"/>
    </row>
    <row r="2082">
      <c r="A2082" s="43" t="inlineStr">
        <is>
          <t>N85</t>
        </is>
      </c>
      <c r="B2082" s="43" t="inlineStr"/>
      <c r="C2082" s="43" t="inlineStr">
        <is>
          <t>节段07</t>
        </is>
      </c>
      <c r="D2082" s="43" t="inlineStr">
        <is>
          <t>Q420D</t>
        </is>
      </c>
      <c r="E2082" s="43" t="n">
        <v>1350</v>
      </c>
      <c r="F2082" s="43" t="n">
        <v>570</v>
      </c>
      <c r="G2082" s="43" t="n">
        <v>32</v>
      </c>
      <c r="H2082" s="79">
        <f>(E2082/1000)*(F2082/1000)*(G2082/1000)*7850</f>
        <v/>
      </c>
      <c r="I2082" s="43" t="n">
        <v>7</v>
      </c>
      <c r="J2082" s="80">
        <f>H2082*I2082</f>
        <v/>
      </c>
      <c r="K2082" s="43" t="inlineStr">
        <is>
          <t>来源页167</t>
        </is>
      </c>
      <c r="L2082" s="43">
        <f>A2082</f>
        <v/>
      </c>
      <c r="M2082" s="81" t="n"/>
      <c r="N2082" s="81" t="n"/>
      <c r="O2082" s="81" t="n"/>
      <c r="P2082" s="81" t="n"/>
      <c r="Q2082" s="81" t="n"/>
      <c r="R2082" s="81" t="n"/>
      <c r="S2082" s="81" t="n"/>
      <c r="T2082" s="81" t="n"/>
      <c r="U2082" s="81" t="n"/>
      <c r="V2082" s="81" t="n"/>
      <c r="W2082" s="43" t="n"/>
    </row>
    <row r="2083">
      <c r="A2083" s="43" t="inlineStr">
        <is>
          <t>N86</t>
        </is>
      </c>
      <c r="B2083" s="43" t="inlineStr"/>
      <c r="C2083" s="43" t="inlineStr">
        <is>
          <t>节段07</t>
        </is>
      </c>
      <c r="D2083" s="43" t="inlineStr">
        <is>
          <t>Q420D</t>
        </is>
      </c>
      <c r="E2083" s="43" t="n">
        <v>2960</v>
      </c>
      <c r="F2083" s="43" t="n">
        <v>650</v>
      </c>
      <c r="G2083" s="43" t="n">
        <v>32</v>
      </c>
      <c r="H2083" s="79">
        <f>(E2083/1000)*(F2083/1000)*(G2083/1000)*7850</f>
        <v/>
      </c>
      <c r="I2083" s="43" t="n">
        <v>1</v>
      </c>
      <c r="J2083" s="80">
        <f>H2083*I2083</f>
        <v/>
      </c>
      <c r="K2083" s="43" t="inlineStr">
        <is>
          <t>来源页167</t>
        </is>
      </c>
      <c r="L2083" s="43">
        <f>A2083</f>
        <v/>
      </c>
      <c r="M2083" s="81" t="n"/>
      <c r="N2083" s="81" t="n"/>
      <c r="O2083" s="81" t="n"/>
      <c r="P2083" s="81" t="n"/>
      <c r="Q2083" s="81" t="n"/>
      <c r="R2083" s="81" t="n"/>
      <c r="S2083" s="81" t="n"/>
      <c r="T2083" s="81" t="n"/>
      <c r="U2083" s="81" t="n"/>
      <c r="V2083" s="81" t="n"/>
      <c r="W2083" s="43" t="n"/>
    </row>
    <row r="2084">
      <c r="A2084" s="43" t="inlineStr">
        <is>
          <t>P1</t>
        </is>
      </c>
      <c r="B2084" s="43" t="inlineStr">
        <is>
          <t>上弦杆拼接</t>
        </is>
      </c>
      <c r="C2084" s="43" t="inlineStr">
        <is>
          <t>节段7~节段8</t>
        </is>
      </c>
      <c r="D2084" s="43" t="inlineStr">
        <is>
          <t>Q420D</t>
        </is>
      </c>
      <c r="E2084" s="43" t="n">
        <v>1820</v>
      </c>
      <c r="F2084" s="43" t="n">
        <v>1400</v>
      </c>
      <c r="G2084" s="43" t="n">
        <v>40</v>
      </c>
      <c r="H2084" s="79">
        <f>(E2084/1000)*(F2084/1000)*(G2084/1000)*7850</f>
        <v/>
      </c>
      <c r="I2084" s="43" t="n">
        <v>2</v>
      </c>
      <c r="J2084" s="80">
        <f>H2084*I2084</f>
        <v/>
      </c>
      <c r="K2084" s="43" t="inlineStr">
        <is>
          <t>来源页170</t>
        </is>
      </c>
      <c r="L2084" s="43">
        <f>A2084</f>
        <v/>
      </c>
      <c r="M2084" s="81" t="n"/>
      <c r="N2084" s="81" t="n"/>
      <c r="O2084" s="81" t="n"/>
      <c r="P2084" s="81" t="n"/>
      <c r="Q2084" s="81" t="n"/>
      <c r="R2084" s="81" t="n"/>
      <c r="S2084" s="81" t="n"/>
      <c r="T2084" s="81" t="n"/>
      <c r="U2084" s="81" t="n"/>
      <c r="V2084" s="81" t="n"/>
      <c r="W2084" s="43" t="n"/>
    </row>
    <row r="2085">
      <c r="A2085" s="43" t="inlineStr">
        <is>
          <t>P2</t>
        </is>
      </c>
      <c r="B2085" s="43" t="inlineStr">
        <is>
          <t>上弦杆拼接</t>
        </is>
      </c>
      <c r="C2085" s="43" t="inlineStr">
        <is>
          <t>节段7~节段8</t>
        </is>
      </c>
      <c r="D2085" s="43" t="inlineStr">
        <is>
          <t>Q420D</t>
        </is>
      </c>
      <c r="E2085" s="43" t="n">
        <v>1820</v>
      </c>
      <c r="F2085" s="43" t="n">
        <v>300</v>
      </c>
      <c r="G2085" s="43" t="n">
        <v>40</v>
      </c>
      <c r="H2085" s="79">
        <f>(E2085/1000)*(F2085/1000)*(G2085/1000)*7850</f>
        <v/>
      </c>
      <c r="I2085" s="43" t="n">
        <v>2</v>
      </c>
      <c r="J2085" s="80">
        <f>H2085*I2085</f>
        <v/>
      </c>
      <c r="K2085" s="43" t="inlineStr">
        <is>
          <t>来源页170</t>
        </is>
      </c>
      <c r="L2085" s="43">
        <f>A2085</f>
        <v/>
      </c>
      <c r="M2085" s="81" t="n"/>
      <c r="N2085" s="81" t="n"/>
      <c r="O2085" s="81" t="n"/>
      <c r="P2085" s="81" t="n"/>
      <c r="Q2085" s="81" t="n"/>
      <c r="R2085" s="81" t="n"/>
      <c r="S2085" s="81" t="n"/>
      <c r="T2085" s="81" t="n"/>
      <c r="U2085" s="81" t="n"/>
      <c r="V2085" s="81" t="n"/>
      <c r="W2085" s="43" t="n"/>
    </row>
    <row r="2086">
      <c r="A2086" s="43" t="inlineStr">
        <is>
          <t>P3</t>
        </is>
      </c>
      <c r="B2086" s="43" t="inlineStr">
        <is>
          <t>上弦杆拼接</t>
        </is>
      </c>
      <c r="C2086" s="43" t="inlineStr">
        <is>
          <t>节段7~节段8</t>
        </is>
      </c>
      <c r="D2086" s="43" t="inlineStr">
        <is>
          <t>Q420D</t>
        </is>
      </c>
      <c r="E2086" s="43" t="n">
        <v>1820</v>
      </c>
      <c r="F2086" s="43" t="n">
        <v>500</v>
      </c>
      <c r="G2086" s="43" t="n">
        <v>40</v>
      </c>
      <c r="H2086" s="79">
        <f>(E2086/1000)*(F2086/1000)*(G2086/1000)*7850</f>
        <v/>
      </c>
      <c r="I2086" s="43" t="n">
        <v>2</v>
      </c>
      <c r="J2086" s="80">
        <f>H2086*I2086</f>
        <v/>
      </c>
      <c r="K2086" s="43" t="inlineStr">
        <is>
          <t>来源页170</t>
        </is>
      </c>
      <c r="L2086" s="43">
        <f>A2086</f>
        <v/>
      </c>
      <c r="M2086" s="81" t="n"/>
      <c r="N2086" s="81" t="n"/>
      <c r="O2086" s="81" t="n"/>
      <c r="P2086" s="81" t="n"/>
      <c r="Q2086" s="81" t="n"/>
      <c r="R2086" s="81" t="n"/>
      <c r="S2086" s="81" t="n"/>
      <c r="T2086" s="81" t="n"/>
      <c r="U2086" s="81" t="n"/>
      <c r="V2086" s="81" t="n"/>
      <c r="W2086" s="43" t="n"/>
    </row>
    <row r="2087">
      <c r="A2087" s="43" t="inlineStr">
        <is>
          <t>P4</t>
        </is>
      </c>
      <c r="B2087" s="43" t="inlineStr">
        <is>
          <t>上弦杆拼接</t>
        </is>
      </c>
      <c r="C2087" s="43" t="inlineStr">
        <is>
          <t>节段7~节段8</t>
        </is>
      </c>
      <c r="D2087" s="43" t="inlineStr">
        <is>
          <t>Q420D</t>
        </is>
      </c>
      <c r="E2087" s="43" t="n">
        <v>1820</v>
      </c>
      <c r="F2087" s="43" t="n">
        <v>400</v>
      </c>
      <c r="G2087" s="43" t="n">
        <v>40</v>
      </c>
      <c r="H2087" s="79">
        <f>(E2087/1000)*(F2087/1000)*(G2087/1000)*7850</f>
        <v/>
      </c>
      <c r="I2087" s="43" t="n">
        <v>2</v>
      </c>
      <c r="J2087" s="80">
        <f>H2087*I2087</f>
        <v/>
      </c>
      <c r="K2087" s="43" t="inlineStr">
        <is>
          <t>来源页170</t>
        </is>
      </c>
      <c r="L2087" s="43">
        <f>A2087</f>
        <v/>
      </c>
      <c r="M2087" s="81" t="n"/>
      <c r="N2087" s="81" t="n"/>
      <c r="O2087" s="81" t="n"/>
      <c r="P2087" s="81" t="n"/>
      <c r="Q2087" s="81" t="n"/>
      <c r="R2087" s="81" t="n"/>
      <c r="S2087" s="81" t="n"/>
      <c r="T2087" s="81" t="n"/>
      <c r="U2087" s="81" t="n"/>
      <c r="V2087" s="81" t="n"/>
      <c r="W2087" s="43" t="n"/>
    </row>
    <row r="2088">
      <c r="A2088" s="43" t="inlineStr">
        <is>
          <t>P5</t>
        </is>
      </c>
      <c r="B2088" s="43" t="inlineStr">
        <is>
          <t>上弦杆拼接</t>
        </is>
      </c>
      <c r="C2088" s="43" t="inlineStr">
        <is>
          <t>节段7~节段8</t>
        </is>
      </c>
      <c r="D2088" s="43" t="inlineStr">
        <is>
          <t>Q420D</t>
        </is>
      </c>
      <c r="E2088" s="43" t="n">
        <v>1720</v>
      </c>
      <c r="F2088" s="43" t="n">
        <v>1100</v>
      </c>
      <c r="G2088" s="43" t="n">
        <v>44</v>
      </c>
      <c r="H2088" s="79">
        <f>(E2088/1000)*(F2088/1000)*(G2088/1000)*7850</f>
        <v/>
      </c>
      <c r="I2088" s="43" t="n">
        <v>1</v>
      </c>
      <c r="J2088" s="80">
        <f>H2088*I2088</f>
        <v/>
      </c>
      <c r="K2088" s="43" t="inlineStr">
        <is>
          <t>来源页170</t>
        </is>
      </c>
      <c r="L2088" s="43">
        <f>A2088</f>
        <v/>
      </c>
      <c r="M2088" s="81" t="n"/>
      <c r="N2088" s="81" t="n"/>
      <c r="O2088" s="81" t="n"/>
      <c r="P2088" s="81" t="n"/>
      <c r="Q2088" s="81" t="n"/>
      <c r="R2088" s="81" t="n"/>
      <c r="S2088" s="81" t="n"/>
      <c r="T2088" s="81" t="n"/>
      <c r="U2088" s="81" t="n"/>
      <c r="V2088" s="81" t="n"/>
      <c r="W2088" s="43" t="n"/>
    </row>
    <row r="2089">
      <c r="A2089" s="43" t="inlineStr">
        <is>
          <t>P6</t>
        </is>
      </c>
      <c r="B2089" s="43" t="inlineStr">
        <is>
          <t>上弦杆拼接</t>
        </is>
      </c>
      <c r="C2089" s="43" t="inlineStr">
        <is>
          <t>节段7~节段8</t>
        </is>
      </c>
      <c r="D2089" s="43" t="inlineStr">
        <is>
          <t>Q420D</t>
        </is>
      </c>
      <c r="E2089" s="43" t="n">
        <v>1720</v>
      </c>
      <c r="F2089" s="43" t="n">
        <v>400</v>
      </c>
      <c r="G2089" s="43" t="n">
        <v>44</v>
      </c>
      <c r="H2089" s="79">
        <f>(E2089/1000)*(F2089/1000)*(G2089/1000)*7850</f>
        <v/>
      </c>
      <c r="I2089" s="43" t="n">
        <v>2</v>
      </c>
      <c r="J2089" s="80">
        <f>H2089*I2089</f>
        <v/>
      </c>
      <c r="K2089" s="43" t="inlineStr">
        <is>
          <t>来源页170</t>
        </is>
      </c>
      <c r="L2089" s="43">
        <f>A2089</f>
        <v/>
      </c>
      <c r="M2089" s="81" t="n"/>
      <c r="N2089" s="81" t="n"/>
      <c r="O2089" s="81" t="n"/>
      <c r="P2089" s="81" t="n"/>
      <c r="Q2089" s="81" t="n"/>
      <c r="R2089" s="81" t="n"/>
      <c r="S2089" s="81" t="n"/>
      <c r="T2089" s="81" t="n"/>
      <c r="U2089" s="81" t="n"/>
      <c r="V2089" s="81" t="n"/>
      <c r="W2089" s="43" t="n"/>
    </row>
    <row r="2090">
      <c r="A2090" s="43" t="inlineStr">
        <is>
          <t>P7</t>
        </is>
      </c>
      <c r="B2090" s="43" t="inlineStr">
        <is>
          <t>上弦杆拼接</t>
        </is>
      </c>
      <c r="C2090" s="43" t="inlineStr">
        <is>
          <t>节段7~节段8</t>
        </is>
      </c>
      <c r="D2090" s="43" t="inlineStr">
        <is>
          <t>Q420D</t>
        </is>
      </c>
      <c r="E2090" s="43" t="n">
        <v>1320</v>
      </c>
      <c r="F2090" s="43" t="n">
        <v>240</v>
      </c>
      <c r="G2090" s="43" t="n">
        <v>24</v>
      </c>
      <c r="H2090" s="79">
        <f>(E2090/1000)*(F2090/1000)*(G2090/1000)*7850</f>
        <v/>
      </c>
      <c r="I2090" s="43" t="n">
        <v>10</v>
      </c>
      <c r="J2090" s="80">
        <f>H2090*I2090</f>
        <v/>
      </c>
      <c r="K2090" s="43" t="inlineStr">
        <is>
          <t>来源页170</t>
        </is>
      </c>
      <c r="L2090" s="43">
        <f>A2090</f>
        <v/>
      </c>
      <c r="M2090" s="81" t="n"/>
      <c r="N2090" s="81" t="n"/>
      <c r="O2090" s="81" t="n"/>
      <c r="P2090" s="81" t="n"/>
      <c r="Q2090" s="81" t="n"/>
      <c r="R2090" s="81" t="n"/>
      <c r="S2090" s="81" t="n"/>
      <c r="T2090" s="81" t="n"/>
      <c r="U2090" s="81" t="n"/>
      <c r="V2090" s="81" t="n"/>
      <c r="W2090" s="43" t="n"/>
    </row>
    <row r="2091">
      <c r="A2091" s="43" t="inlineStr">
        <is>
          <t>M30高强螺栓</t>
        </is>
      </c>
      <c r="B2091" s="43" t="inlineStr">
        <is>
          <t>上弦杆拼接</t>
        </is>
      </c>
      <c r="C2091" s="43" t="inlineStr">
        <is>
          <t>节段7~节段8</t>
        </is>
      </c>
      <c r="D2091" s="43" t="inlineStr">
        <is>
          <t>10.9S</t>
        </is>
      </c>
      <c r="E2091" s="43" t="n"/>
      <c r="F2091" s="43" t="n"/>
      <c r="G2091" s="43" t="n"/>
      <c r="H2091" s="79">
        <f>(E2091/1000)*(F2091/1000)*(G2091/1000)*7850</f>
        <v/>
      </c>
      <c r="I2091" s="43" t="n">
        <v>652</v>
      </c>
      <c r="J2091" s="80">
        <f>H2091*I2091</f>
        <v/>
      </c>
      <c r="K2091" s="43" t="inlineStr">
        <is>
          <t>来源页170</t>
        </is>
      </c>
      <c r="L2091" s="43">
        <f>A2091</f>
        <v/>
      </c>
      <c r="M2091" s="81" t="n"/>
      <c r="N2091" s="81" t="n"/>
      <c r="O2091" s="81" t="n"/>
      <c r="P2091" s="81" t="n"/>
      <c r="Q2091" s="81" t="n"/>
      <c r="R2091" s="81" t="n"/>
      <c r="S2091" s="81" t="n"/>
      <c r="T2091" s="81" t="n"/>
      <c r="U2091" s="81" t="n"/>
      <c r="V2091" s="81" t="n"/>
      <c r="W2091" s="43" t="n"/>
    </row>
    <row r="2092">
      <c r="A2092" s="43" t="inlineStr">
        <is>
          <t>K1</t>
        </is>
      </c>
      <c r="B2092" s="43" t="inlineStr">
        <is>
          <t>下弦杆拼接</t>
        </is>
      </c>
      <c r="C2092" s="43" t="inlineStr">
        <is>
          <t>节段7~节段8</t>
        </is>
      </c>
      <c r="D2092" s="43" t="inlineStr">
        <is>
          <t>Q420D</t>
        </is>
      </c>
      <c r="E2092" s="43" t="n">
        <v>1220</v>
      </c>
      <c r="F2092" s="43" t="n">
        <v>1300</v>
      </c>
      <c r="G2092" s="43" t="n">
        <v>28</v>
      </c>
      <c r="H2092" s="79">
        <f>(E2092/1000)*(F2092/1000)*(G2092/1000)*7850</f>
        <v/>
      </c>
      <c r="I2092" s="43" t="n">
        <v>2</v>
      </c>
      <c r="J2092" s="80">
        <f>H2092*I2092</f>
        <v/>
      </c>
      <c r="K2092" s="43" t="inlineStr">
        <is>
          <t>来源页170</t>
        </is>
      </c>
      <c r="L2092" s="43">
        <f>A2092</f>
        <v/>
      </c>
      <c r="M2092" s="81" t="n"/>
      <c r="N2092" s="81" t="n"/>
      <c r="O2092" s="81" t="n"/>
      <c r="P2092" s="81" t="n"/>
      <c r="Q2092" s="81" t="n"/>
      <c r="R2092" s="81" t="n"/>
      <c r="S2092" s="81" t="n"/>
      <c r="T2092" s="81" t="n"/>
      <c r="U2092" s="81" t="n"/>
      <c r="V2092" s="81" t="n"/>
      <c r="W2092" s="43" t="n"/>
    </row>
    <row r="2093">
      <c r="A2093" s="43" t="inlineStr">
        <is>
          <t>K2</t>
        </is>
      </c>
      <c r="B2093" s="43" t="inlineStr">
        <is>
          <t>下弦杆拼接</t>
        </is>
      </c>
      <c r="C2093" s="43" t="inlineStr">
        <is>
          <t>节段7~节段8</t>
        </is>
      </c>
      <c r="D2093" s="43" t="inlineStr">
        <is>
          <t>Q420D</t>
        </is>
      </c>
      <c r="E2093" s="43" t="n">
        <v>1220</v>
      </c>
      <c r="F2093" s="43" t="n">
        <v>600</v>
      </c>
      <c r="G2093" s="43" t="n">
        <v>28</v>
      </c>
      <c r="H2093" s="79">
        <f>(E2093/1000)*(F2093/1000)*(G2093/1000)*7850</f>
        <v/>
      </c>
      <c r="I2093" s="43" t="n">
        <v>4</v>
      </c>
      <c r="J2093" s="80">
        <f>H2093*I2093</f>
        <v/>
      </c>
      <c r="K2093" s="43" t="inlineStr">
        <is>
          <t>来源页170</t>
        </is>
      </c>
      <c r="L2093" s="43">
        <f>A2093</f>
        <v/>
      </c>
      <c r="M2093" s="81" t="n"/>
      <c r="N2093" s="81" t="n"/>
      <c r="O2093" s="81" t="n"/>
      <c r="P2093" s="81" t="n"/>
      <c r="Q2093" s="81" t="n"/>
      <c r="R2093" s="81" t="n"/>
      <c r="S2093" s="81" t="n"/>
      <c r="T2093" s="81" t="n"/>
      <c r="U2093" s="81" t="n"/>
      <c r="V2093" s="81" t="n"/>
      <c r="W2093" s="43" t="n"/>
    </row>
    <row r="2094">
      <c r="A2094" s="43" t="inlineStr">
        <is>
          <t>K3</t>
        </is>
      </c>
      <c r="B2094" s="43" t="inlineStr">
        <is>
          <t>下弦杆拼接</t>
        </is>
      </c>
      <c r="C2094" s="43" t="inlineStr">
        <is>
          <t>节段7~节段8</t>
        </is>
      </c>
      <c r="D2094" s="43" t="inlineStr">
        <is>
          <t>Q420D</t>
        </is>
      </c>
      <c r="E2094" s="43" t="n">
        <v>1520</v>
      </c>
      <c r="F2094" s="43" t="n">
        <v>1100</v>
      </c>
      <c r="G2094" s="43" t="n">
        <v>36</v>
      </c>
      <c r="H2094" s="79">
        <f>(E2094/1000)*(F2094/1000)*(G2094/1000)*7850</f>
        <v/>
      </c>
      <c r="I2094" s="43" t="n">
        <v>1</v>
      </c>
      <c r="J2094" s="80">
        <f>H2094*I2094</f>
        <v/>
      </c>
      <c r="K2094" s="43" t="inlineStr">
        <is>
          <t>来源页170</t>
        </is>
      </c>
      <c r="L2094" s="43">
        <f>A2094</f>
        <v/>
      </c>
      <c r="M2094" s="81" t="n"/>
      <c r="N2094" s="81" t="n"/>
      <c r="O2094" s="81" t="n"/>
      <c r="P2094" s="81" t="n"/>
      <c r="Q2094" s="81" t="n"/>
      <c r="R2094" s="81" t="n"/>
      <c r="S2094" s="81" t="n"/>
      <c r="T2094" s="81" t="n"/>
      <c r="U2094" s="81" t="n"/>
      <c r="V2094" s="81" t="n"/>
      <c r="W2094" s="43" t="n"/>
    </row>
    <row r="2095">
      <c r="A2095" s="43" t="inlineStr">
        <is>
          <t>K4</t>
        </is>
      </c>
      <c r="B2095" s="43" t="inlineStr">
        <is>
          <t>下弦杆拼接</t>
        </is>
      </c>
      <c r="C2095" s="43" t="inlineStr">
        <is>
          <t>节段7~节段8</t>
        </is>
      </c>
      <c r="D2095" s="43" t="inlineStr">
        <is>
          <t>Q420D</t>
        </is>
      </c>
      <c r="E2095" s="43" t="n">
        <v>1320</v>
      </c>
      <c r="F2095" s="43" t="n">
        <v>240</v>
      </c>
      <c r="G2095" s="43" t="n">
        <v>24</v>
      </c>
      <c r="H2095" s="79">
        <f>(E2095/1000)*(F2095/1000)*(G2095/1000)*7850</f>
        <v/>
      </c>
      <c r="I2095" s="43" t="n">
        <v>2</v>
      </c>
      <c r="J2095" s="80">
        <f>H2095*I2095</f>
        <v/>
      </c>
      <c r="K2095" s="43" t="inlineStr">
        <is>
          <t>来源页170</t>
        </is>
      </c>
      <c r="L2095" s="43">
        <f>A2095</f>
        <v/>
      </c>
      <c r="M2095" s="81" t="n"/>
      <c r="N2095" s="81" t="n"/>
      <c r="O2095" s="81" t="n"/>
      <c r="P2095" s="81" t="n"/>
      <c r="Q2095" s="81" t="n"/>
      <c r="R2095" s="81" t="n"/>
      <c r="S2095" s="81" t="n"/>
      <c r="T2095" s="81" t="n"/>
      <c r="U2095" s="81" t="n"/>
      <c r="V2095" s="81" t="n"/>
      <c r="W2095" s="43" t="n"/>
    </row>
    <row r="2096">
      <c r="A2096" s="43" t="inlineStr">
        <is>
          <t>K6</t>
        </is>
      </c>
      <c r="B2096" s="43" t="inlineStr">
        <is>
          <t>下弦杆拼接</t>
        </is>
      </c>
      <c r="C2096" s="43" t="inlineStr">
        <is>
          <t>节段7~节段8</t>
        </is>
      </c>
      <c r="D2096" s="43" t="inlineStr">
        <is>
          <t>Q420D</t>
        </is>
      </c>
      <c r="E2096" s="43" t="n">
        <v>600</v>
      </c>
      <c r="F2096" s="43" t="n">
        <v>1300</v>
      </c>
      <c r="G2096" s="43" t="n">
        <v>4</v>
      </c>
      <c r="H2096" s="79">
        <f>(E2096/1000)*(F2096/1000)*(G2096/1000)*7850</f>
        <v/>
      </c>
      <c r="I2096" s="43" t="n">
        <v>1</v>
      </c>
      <c r="J2096" s="80">
        <f>H2096*I2096</f>
        <v/>
      </c>
      <c r="K2096" s="43" t="inlineStr">
        <is>
          <t>填板；来源页170</t>
        </is>
      </c>
      <c r="L2096" s="43">
        <f>A2096</f>
        <v/>
      </c>
      <c r="M2096" s="81" t="n"/>
      <c r="N2096" s="81" t="n"/>
      <c r="O2096" s="81" t="n"/>
      <c r="P2096" s="81" t="n"/>
      <c r="Q2096" s="81" t="n"/>
      <c r="R2096" s="81" t="n"/>
      <c r="S2096" s="81" t="n"/>
      <c r="T2096" s="81" t="n"/>
      <c r="U2096" s="81" t="n"/>
      <c r="V2096" s="81" t="n"/>
      <c r="W2096" s="43" t="n"/>
    </row>
    <row r="2097">
      <c r="A2097" s="43" t="inlineStr">
        <is>
          <t>M30高强螺栓</t>
        </is>
      </c>
      <c r="B2097" s="43" t="inlineStr">
        <is>
          <t>下弦杆拼接</t>
        </is>
      </c>
      <c r="C2097" s="43" t="inlineStr">
        <is>
          <t>节段7~节段8</t>
        </is>
      </c>
      <c r="D2097" s="43" t="inlineStr">
        <is>
          <t>10.9S</t>
        </is>
      </c>
      <c r="E2097" s="43" t="n"/>
      <c r="F2097" s="43" t="n"/>
      <c r="G2097" s="43" t="n"/>
      <c r="H2097" s="79">
        <f>(E2097/1000)*(F2097/1000)*(G2097/1000)*7850</f>
        <v/>
      </c>
      <c r="I2097" s="43" t="n">
        <v>484</v>
      </c>
      <c r="J2097" s="80">
        <f>H2097*I2097</f>
        <v/>
      </c>
      <c r="K2097" s="43" t="inlineStr">
        <is>
          <t>来源页170</t>
        </is>
      </c>
      <c r="L2097" s="43">
        <f>A2097</f>
        <v/>
      </c>
      <c r="M2097" s="81" t="n"/>
      <c r="N2097" s="81" t="n"/>
      <c r="O2097" s="81" t="n"/>
      <c r="P2097" s="81" t="n"/>
      <c r="Q2097" s="81" t="n"/>
      <c r="R2097" s="81" t="n"/>
      <c r="S2097" s="81" t="n"/>
      <c r="T2097" s="81" t="n"/>
      <c r="U2097" s="81" t="n"/>
      <c r="V2097" s="81" t="n"/>
      <c r="W2097" s="43" t="n"/>
    </row>
    <row r="2098">
      <c r="A2098" s="43" t="inlineStr">
        <is>
          <t>L1</t>
        </is>
      </c>
      <c r="B2098" s="43" t="inlineStr">
        <is>
          <t>腹杆拼接</t>
        </is>
      </c>
      <c r="C2098" s="43" t="inlineStr">
        <is>
          <t>节段7~节段8</t>
        </is>
      </c>
      <c r="D2098" s="43" t="inlineStr">
        <is>
          <t>Q420D</t>
        </is>
      </c>
      <c r="E2098" s="43" t="n">
        <v>1720</v>
      </c>
      <c r="F2098" s="43" t="n">
        <v>1500</v>
      </c>
      <c r="G2098" s="43" t="n">
        <v>36</v>
      </c>
      <c r="H2098" s="79">
        <f>(E2098/1000)*(F2098/1000)*(G2098/1000)*7850</f>
        <v/>
      </c>
      <c r="I2098" s="43" t="n">
        <v>2</v>
      </c>
      <c r="J2098" s="80">
        <f>H2098*I2098</f>
        <v/>
      </c>
      <c r="K2098" s="43" t="inlineStr">
        <is>
          <t>来源页170</t>
        </is>
      </c>
      <c r="L2098" s="43">
        <f>A2098</f>
        <v/>
      </c>
      <c r="M2098" s="81" t="n"/>
      <c r="N2098" s="81" t="n"/>
      <c r="O2098" s="81" t="n"/>
      <c r="P2098" s="81" t="n"/>
      <c r="Q2098" s="81" t="n"/>
      <c r="R2098" s="81" t="n"/>
      <c r="S2098" s="81" t="n"/>
      <c r="T2098" s="81" t="n"/>
      <c r="U2098" s="81" t="n"/>
      <c r="V2098" s="81" t="n"/>
      <c r="W2098" s="43" t="n"/>
    </row>
    <row r="2099">
      <c r="A2099" s="43" t="inlineStr">
        <is>
          <t>L2</t>
        </is>
      </c>
      <c r="B2099" s="43" t="inlineStr">
        <is>
          <t>腹杆拼接</t>
        </is>
      </c>
      <c r="C2099" s="43" t="inlineStr">
        <is>
          <t>节段7~节段8</t>
        </is>
      </c>
      <c r="D2099" s="43" t="inlineStr">
        <is>
          <t>Q420D</t>
        </is>
      </c>
      <c r="E2099" s="43" t="n">
        <v>1720</v>
      </c>
      <c r="F2099" s="43" t="n">
        <v>400</v>
      </c>
      <c r="G2099" s="43" t="n">
        <v>36</v>
      </c>
      <c r="H2099" s="79">
        <f>(E2099/1000)*(F2099/1000)*(G2099/1000)*7850</f>
        <v/>
      </c>
      <c r="I2099" s="43" t="n">
        <v>4</v>
      </c>
      <c r="J2099" s="80">
        <f>H2099*I2099</f>
        <v/>
      </c>
      <c r="K2099" s="43" t="inlineStr">
        <is>
          <t>来源页170</t>
        </is>
      </c>
      <c r="L2099" s="43">
        <f>A2099</f>
        <v/>
      </c>
      <c r="M2099" s="81" t="n"/>
      <c r="N2099" s="81" t="n"/>
      <c r="O2099" s="81" t="n"/>
      <c r="P2099" s="81" t="n"/>
      <c r="Q2099" s="81" t="n"/>
      <c r="R2099" s="81" t="n"/>
      <c r="S2099" s="81" t="n"/>
      <c r="T2099" s="81" t="n"/>
      <c r="U2099" s="81" t="n"/>
      <c r="V2099" s="81" t="n"/>
      <c r="W2099" s="43" t="n"/>
    </row>
    <row r="2100">
      <c r="A2100" s="43" t="inlineStr">
        <is>
          <t>L3</t>
        </is>
      </c>
      <c r="B2100" s="43" t="inlineStr">
        <is>
          <t>腹杆拼接</t>
        </is>
      </c>
      <c r="C2100" s="43" t="inlineStr">
        <is>
          <t>节段7~节段8</t>
        </is>
      </c>
      <c r="D2100" s="43" t="inlineStr">
        <is>
          <t>Q420D</t>
        </is>
      </c>
      <c r="E2100" s="43" t="n">
        <v>1720</v>
      </c>
      <c r="F2100" s="43" t="n">
        <v>500</v>
      </c>
      <c r="G2100" s="43" t="n">
        <v>36</v>
      </c>
      <c r="H2100" s="79">
        <f>(E2100/1000)*(F2100/1000)*(G2100/1000)*7850</f>
        <v/>
      </c>
      <c r="I2100" s="43" t="n">
        <v>2</v>
      </c>
      <c r="J2100" s="80">
        <f>H2100*I2100</f>
        <v/>
      </c>
      <c r="K2100" s="43" t="inlineStr">
        <is>
          <t>来源页170</t>
        </is>
      </c>
      <c r="L2100" s="43">
        <f>A2100</f>
        <v/>
      </c>
      <c r="M2100" s="81" t="n"/>
      <c r="N2100" s="81" t="n"/>
      <c r="O2100" s="81" t="n"/>
      <c r="P2100" s="81" t="n"/>
      <c r="Q2100" s="81" t="n"/>
      <c r="R2100" s="81" t="n"/>
      <c r="S2100" s="81" t="n"/>
      <c r="T2100" s="81" t="n"/>
      <c r="U2100" s="81" t="n"/>
      <c r="V2100" s="81" t="n"/>
      <c r="W2100" s="43" t="n"/>
    </row>
    <row r="2101">
      <c r="A2101" s="43" t="inlineStr">
        <is>
          <t>L4</t>
        </is>
      </c>
      <c r="B2101" s="43" t="inlineStr">
        <is>
          <t>腹杆拼接</t>
        </is>
      </c>
      <c r="C2101" s="43" t="inlineStr">
        <is>
          <t>节段7~节段8</t>
        </is>
      </c>
      <c r="D2101" s="43" t="inlineStr">
        <is>
          <t>Q420D</t>
        </is>
      </c>
      <c r="E2101" s="43" t="n">
        <v>1720</v>
      </c>
      <c r="F2101" s="43" t="n">
        <v>1100</v>
      </c>
      <c r="G2101" s="43" t="n">
        <v>32</v>
      </c>
      <c r="H2101" s="79">
        <f>(E2101/1000)*(F2101/1000)*(G2101/1000)*7850</f>
        <v/>
      </c>
      <c r="I2101" s="43" t="n">
        <v>1</v>
      </c>
      <c r="J2101" s="80">
        <f>H2101*I2101</f>
        <v/>
      </c>
      <c r="K2101" s="43" t="inlineStr">
        <is>
          <t>来源页170</t>
        </is>
      </c>
      <c r="L2101" s="43">
        <f>A2101</f>
        <v/>
      </c>
      <c r="M2101" s="81" t="n"/>
      <c r="N2101" s="81" t="n"/>
      <c r="O2101" s="81" t="n"/>
      <c r="P2101" s="81" t="n"/>
      <c r="Q2101" s="81" t="n"/>
      <c r="R2101" s="81" t="n"/>
      <c r="S2101" s="81" t="n"/>
      <c r="T2101" s="81" t="n"/>
      <c r="U2101" s="81" t="n"/>
      <c r="V2101" s="81" t="n"/>
      <c r="W2101" s="43" t="n"/>
    </row>
    <row r="2102">
      <c r="A2102" s="43" t="inlineStr">
        <is>
          <t>L5</t>
        </is>
      </c>
      <c r="B2102" s="43" t="inlineStr">
        <is>
          <t>腹杆拼接</t>
        </is>
      </c>
      <c r="C2102" s="43" t="inlineStr">
        <is>
          <t>节段7~节段8</t>
        </is>
      </c>
      <c r="D2102" s="43" t="inlineStr">
        <is>
          <t>Q420D</t>
        </is>
      </c>
      <c r="E2102" s="43" t="n">
        <v>1720</v>
      </c>
      <c r="F2102" s="43" t="n">
        <v>500</v>
      </c>
      <c r="G2102" s="43" t="n">
        <v>32</v>
      </c>
      <c r="H2102" s="79">
        <f>(E2102/1000)*(F2102/1000)*(G2102/1000)*7850</f>
        <v/>
      </c>
      <c r="I2102" s="43" t="n">
        <v>2</v>
      </c>
      <c r="J2102" s="80">
        <f>H2102*I2102</f>
        <v/>
      </c>
      <c r="K2102" s="43" t="inlineStr">
        <is>
          <t>来源页170</t>
        </is>
      </c>
      <c r="L2102" s="43">
        <f>A2102</f>
        <v/>
      </c>
      <c r="M2102" s="81" t="n"/>
      <c r="N2102" s="81" t="n"/>
      <c r="O2102" s="81" t="n"/>
      <c r="P2102" s="81" t="n"/>
      <c r="Q2102" s="81" t="n"/>
      <c r="R2102" s="81" t="n"/>
      <c r="S2102" s="81" t="n"/>
      <c r="T2102" s="81" t="n"/>
      <c r="U2102" s="81" t="n"/>
      <c r="V2102" s="81" t="n"/>
      <c r="W2102" s="43" t="n"/>
    </row>
    <row r="2103">
      <c r="A2103" s="43" t="inlineStr">
        <is>
          <t>L6</t>
        </is>
      </c>
      <c r="B2103" s="43" t="inlineStr">
        <is>
          <t>腹杆拼接</t>
        </is>
      </c>
      <c r="C2103" s="43" t="inlineStr">
        <is>
          <t>节段7~节段8</t>
        </is>
      </c>
      <c r="D2103" s="43" t="inlineStr">
        <is>
          <t>Q420D</t>
        </is>
      </c>
      <c r="E2103" s="43" t="n">
        <v>1520</v>
      </c>
      <c r="F2103" s="43" t="n">
        <v>1100</v>
      </c>
      <c r="G2103" s="43" t="n">
        <v>48</v>
      </c>
      <c r="H2103" s="79">
        <f>(E2103/1000)*(F2103/1000)*(G2103/1000)*7850</f>
        <v/>
      </c>
      <c r="I2103" s="43" t="n">
        <v>1</v>
      </c>
      <c r="J2103" s="80">
        <f>H2103*I2103</f>
        <v/>
      </c>
      <c r="K2103" s="43" t="inlineStr">
        <is>
          <t>来源页170</t>
        </is>
      </c>
      <c r="L2103" s="43">
        <f>A2103</f>
        <v/>
      </c>
      <c r="M2103" s="81" t="n"/>
      <c r="N2103" s="81" t="n"/>
      <c r="O2103" s="81" t="n"/>
      <c r="P2103" s="81" t="n"/>
      <c r="Q2103" s="81" t="n"/>
      <c r="R2103" s="81" t="n"/>
      <c r="S2103" s="81" t="n"/>
      <c r="T2103" s="81" t="n"/>
      <c r="U2103" s="81" t="n"/>
      <c r="V2103" s="81" t="n"/>
      <c r="W2103" s="43" t="n"/>
    </row>
    <row r="2104">
      <c r="A2104" s="43" t="inlineStr">
        <is>
          <t>L7</t>
        </is>
      </c>
      <c r="B2104" s="43" t="inlineStr">
        <is>
          <t>腹杆拼接</t>
        </is>
      </c>
      <c r="C2104" s="43" t="inlineStr">
        <is>
          <t>节段7~节段8</t>
        </is>
      </c>
      <c r="D2104" s="43" t="inlineStr">
        <is>
          <t>Q420D</t>
        </is>
      </c>
      <c r="E2104" s="43" t="n">
        <v>1520</v>
      </c>
      <c r="F2104" s="43" t="n">
        <v>400</v>
      </c>
      <c r="G2104" s="43" t="n">
        <v>48</v>
      </c>
      <c r="H2104" s="79">
        <f>(E2104/1000)*(F2104/1000)*(G2104/1000)*7850</f>
        <v/>
      </c>
      <c r="I2104" s="43" t="n">
        <v>2</v>
      </c>
      <c r="J2104" s="80">
        <f>H2104*I2104</f>
        <v/>
      </c>
      <c r="K2104" s="43" t="inlineStr">
        <is>
          <t>来源页170</t>
        </is>
      </c>
      <c r="L2104" s="43">
        <f>A2104</f>
        <v/>
      </c>
      <c r="M2104" s="81" t="n"/>
      <c r="N2104" s="81" t="n"/>
      <c r="O2104" s="81" t="n"/>
      <c r="P2104" s="81" t="n"/>
      <c r="Q2104" s="81" t="n"/>
      <c r="R2104" s="81" t="n"/>
      <c r="S2104" s="81" t="n"/>
      <c r="T2104" s="81" t="n"/>
      <c r="U2104" s="81" t="n"/>
      <c r="V2104" s="81" t="n"/>
      <c r="W2104" s="43" t="n"/>
    </row>
    <row r="2105">
      <c r="A2105" s="43" t="inlineStr">
        <is>
          <t>L8</t>
        </is>
      </c>
      <c r="B2105" s="43" t="inlineStr">
        <is>
          <t>腹杆拼接</t>
        </is>
      </c>
      <c r="C2105" s="43" t="inlineStr">
        <is>
          <t>节段7~节段8</t>
        </is>
      </c>
      <c r="D2105" s="43" t="inlineStr">
        <is>
          <t>Q420D</t>
        </is>
      </c>
      <c r="E2105" s="43" t="n">
        <v>1320</v>
      </c>
      <c r="F2105" s="43" t="n">
        <v>240</v>
      </c>
      <c r="G2105" s="43" t="n">
        <v>24</v>
      </c>
      <c r="H2105" s="79">
        <f>(E2105/1000)*(F2105/1000)*(G2105/1000)*7850</f>
        <v/>
      </c>
      <c r="I2105" s="43" t="n">
        <v>8</v>
      </c>
      <c r="J2105" s="80">
        <f>H2105*I2105</f>
        <v/>
      </c>
      <c r="K2105" s="43" t="inlineStr">
        <is>
          <t>来源页170</t>
        </is>
      </c>
      <c r="L2105" s="43">
        <f>A2105</f>
        <v/>
      </c>
      <c r="M2105" s="81" t="n"/>
      <c r="N2105" s="81" t="n"/>
      <c r="O2105" s="81" t="n"/>
      <c r="P2105" s="81" t="n"/>
      <c r="Q2105" s="81" t="n"/>
      <c r="R2105" s="81" t="n"/>
      <c r="S2105" s="81" t="n"/>
      <c r="T2105" s="81" t="n"/>
      <c r="U2105" s="81" t="n"/>
      <c r="V2105" s="81" t="n"/>
      <c r="W2105" s="43" t="n"/>
    </row>
    <row r="2106">
      <c r="A2106" s="43" t="inlineStr">
        <is>
          <t>L9</t>
        </is>
      </c>
      <c r="B2106" s="43" t="inlineStr">
        <is>
          <t>腹杆拼接</t>
        </is>
      </c>
      <c r="C2106" s="43" t="inlineStr">
        <is>
          <t>节段7~节段8</t>
        </is>
      </c>
      <c r="D2106" s="43" t="inlineStr">
        <is>
          <t>Q420D</t>
        </is>
      </c>
      <c r="E2106" s="43" t="n">
        <v>1220</v>
      </c>
      <c r="F2106" s="43" t="n">
        <v>240</v>
      </c>
      <c r="G2106" s="43" t="n">
        <v>24</v>
      </c>
      <c r="H2106" s="79">
        <f>(E2106/1000)*(F2106/1000)*(G2106/1000)*7850</f>
        <v/>
      </c>
      <c r="I2106" s="43" t="n">
        <v>2</v>
      </c>
      <c r="J2106" s="80">
        <f>H2106*I2106</f>
        <v/>
      </c>
      <c r="K2106" s="43" t="inlineStr">
        <is>
          <t>来源页170</t>
        </is>
      </c>
      <c r="L2106" s="43">
        <f>A2106</f>
        <v/>
      </c>
      <c r="M2106" s="81" t="n"/>
      <c r="N2106" s="81" t="n"/>
      <c r="O2106" s="81" t="n"/>
      <c r="P2106" s="81" t="n"/>
      <c r="Q2106" s="81" t="n"/>
      <c r="R2106" s="81" t="n"/>
      <c r="S2106" s="81" t="n"/>
      <c r="T2106" s="81" t="n"/>
      <c r="U2106" s="81" t="n"/>
      <c r="V2106" s="81" t="n"/>
      <c r="W2106" s="43" t="n"/>
    </row>
    <row r="2107">
      <c r="A2107" s="43" t="inlineStr"/>
      <c r="B2107" s="43" t="inlineStr"/>
      <c r="C2107" s="43" t="inlineStr">
        <is>
          <t>节段08</t>
        </is>
      </c>
      <c r="D2107" s="43" t="inlineStr">
        <is>
          <t>Q420D</t>
        </is>
      </c>
      <c r="E2107" s="43" t="n"/>
      <c r="F2107" s="43" t="n"/>
      <c r="G2107" s="43" t="n">
        <v>48</v>
      </c>
      <c r="H2107" s="79">
        <f>(E2107/1000)*(F2107/1000)*(G2107/1000)*7850</f>
        <v/>
      </c>
      <c r="I2107" s="43" t="n">
        <v>2</v>
      </c>
      <c r="J2107" s="80">
        <f>H2107*I2107</f>
        <v/>
      </c>
      <c r="K2107" s="43" t="inlineStr">
        <is>
          <t>来源页171</t>
        </is>
      </c>
      <c r="L2107" s="43">
        <f>A2107</f>
        <v/>
      </c>
      <c r="M2107" s="81" t="n"/>
      <c r="N2107" s="81" t="n"/>
      <c r="O2107" s="81" t="n"/>
      <c r="P2107" s="81" t="n"/>
      <c r="Q2107" s="81" t="n"/>
      <c r="R2107" s="81" t="n"/>
      <c r="S2107" s="81" t="n"/>
      <c r="T2107" s="81" t="n"/>
      <c r="U2107" s="81" t="n"/>
      <c r="V2107" s="81" t="n"/>
      <c r="W2107" s="43" t="n"/>
    </row>
    <row r="2108">
      <c r="A2108" s="43" t="inlineStr"/>
      <c r="B2108" s="43" t="inlineStr"/>
      <c r="C2108" s="43" t="inlineStr">
        <is>
          <t>节段08</t>
        </is>
      </c>
      <c r="D2108" s="43" t="inlineStr">
        <is>
          <t>Q420D</t>
        </is>
      </c>
      <c r="E2108" s="43" t="n"/>
      <c r="F2108" s="43" t="n"/>
      <c r="G2108" s="43" t="n">
        <v>44</v>
      </c>
      <c r="H2108" s="79">
        <f>(E2108/1000)*(F2108/1000)*(G2108/1000)*7850</f>
        <v/>
      </c>
      <c r="I2108" s="43" t="n">
        <v>2</v>
      </c>
      <c r="J2108" s="80">
        <f>H2108*I2108</f>
        <v/>
      </c>
      <c r="K2108" s="43" t="inlineStr">
        <is>
          <t>来源页171</t>
        </is>
      </c>
      <c r="L2108" s="43">
        <f>A2108</f>
        <v/>
      </c>
      <c r="M2108" s="81" t="n"/>
      <c r="N2108" s="81" t="n"/>
      <c r="O2108" s="81" t="n"/>
      <c r="P2108" s="81" t="n"/>
      <c r="Q2108" s="81" t="n"/>
      <c r="R2108" s="81" t="n"/>
      <c r="S2108" s="81" t="n"/>
      <c r="T2108" s="81" t="n"/>
      <c r="U2108" s="81" t="n"/>
      <c r="V2108" s="81" t="n"/>
      <c r="W2108" s="43" t="n"/>
    </row>
    <row r="2109">
      <c r="A2109" s="43" t="inlineStr"/>
      <c r="B2109" s="43" t="inlineStr"/>
      <c r="C2109" s="43" t="inlineStr">
        <is>
          <t>节段08</t>
        </is>
      </c>
      <c r="D2109" s="43" t="inlineStr">
        <is>
          <t>Q420D</t>
        </is>
      </c>
      <c r="E2109" s="43" t="n"/>
      <c r="F2109" s="43" t="n"/>
      <c r="G2109" s="43" t="n">
        <v>40</v>
      </c>
      <c r="H2109" s="79">
        <f>(E2109/1000)*(F2109/1000)*(G2109/1000)*7850</f>
        <v/>
      </c>
      <c r="I2109" s="43" t="n">
        <v>2</v>
      </c>
      <c r="J2109" s="80">
        <f>H2109*I2109</f>
        <v/>
      </c>
      <c r="K2109" s="43" t="inlineStr">
        <is>
          <t>来源页171</t>
        </is>
      </c>
      <c r="L2109" s="43">
        <f>A2109</f>
        <v/>
      </c>
      <c r="M2109" s="81" t="n"/>
      <c r="N2109" s="81" t="n"/>
      <c r="O2109" s="81" t="n"/>
      <c r="P2109" s="81" t="n"/>
      <c r="Q2109" s="81" t="n"/>
      <c r="R2109" s="81" t="n"/>
      <c r="S2109" s="81" t="n"/>
      <c r="T2109" s="81" t="n"/>
      <c r="U2109" s="81" t="n"/>
      <c r="V2109" s="81" t="n"/>
      <c r="W2109" s="43" t="n"/>
    </row>
    <row r="2110">
      <c r="A2110" s="43" t="inlineStr"/>
      <c r="B2110" s="43" t="inlineStr"/>
      <c r="C2110" s="43" t="inlineStr">
        <is>
          <t>节段08</t>
        </is>
      </c>
      <c r="D2110" s="43" t="inlineStr">
        <is>
          <t>Q420D</t>
        </is>
      </c>
      <c r="E2110" s="43" t="n"/>
      <c r="F2110" s="43" t="n"/>
      <c r="G2110" s="43" t="n">
        <v>32</v>
      </c>
      <c r="H2110" s="79">
        <f>(E2110/1000)*(F2110/1000)*(G2110/1000)*7850</f>
        <v/>
      </c>
      <c r="I2110" s="43" t="n">
        <v>2</v>
      </c>
      <c r="J2110" s="80">
        <f>H2110*I2110</f>
        <v/>
      </c>
      <c r="K2110" s="43" t="inlineStr">
        <is>
          <t>来源页171</t>
        </is>
      </c>
      <c r="L2110" s="43">
        <f>A2110</f>
        <v/>
      </c>
      <c r="M2110" s="81" t="n"/>
      <c r="N2110" s="81" t="n"/>
      <c r="O2110" s="81" t="n"/>
      <c r="P2110" s="81" t="n"/>
      <c r="Q2110" s="81" t="n"/>
      <c r="R2110" s="81" t="n"/>
      <c r="S2110" s="81" t="n"/>
      <c r="T2110" s="81" t="n"/>
      <c r="U2110" s="81" t="n"/>
      <c r="V2110" s="81" t="n"/>
      <c r="W2110" s="43" t="n"/>
    </row>
    <row r="2111">
      <c r="A2111" s="43" t="inlineStr"/>
      <c r="B2111" s="43" t="inlineStr"/>
      <c r="C2111" s="43" t="inlineStr">
        <is>
          <t>节段08</t>
        </is>
      </c>
      <c r="D2111" s="43" t="inlineStr">
        <is>
          <t>Q355D</t>
        </is>
      </c>
      <c r="E2111" s="43" t="n"/>
      <c r="F2111" s="43" t="n"/>
      <c r="G2111" s="43" t="n">
        <v>40</v>
      </c>
      <c r="H2111" s="79">
        <f>(E2111/1000)*(F2111/1000)*(G2111/1000)*7850</f>
        <v/>
      </c>
      <c r="I2111" s="43" t="n">
        <v>2</v>
      </c>
      <c r="J2111" s="80">
        <f>H2111*I2111</f>
        <v/>
      </c>
      <c r="K2111" s="43" t="inlineStr">
        <is>
          <t>来源页171</t>
        </is>
      </c>
      <c r="L2111" s="43">
        <f>A2111</f>
        <v/>
      </c>
      <c r="M2111" s="81" t="n"/>
      <c r="N2111" s="81" t="n"/>
      <c r="O2111" s="81" t="n"/>
      <c r="P2111" s="81" t="n"/>
      <c r="Q2111" s="81" t="n"/>
      <c r="R2111" s="81" t="n"/>
      <c r="S2111" s="81" t="n"/>
      <c r="T2111" s="81" t="n"/>
      <c r="U2111" s="81" t="n"/>
      <c r="V2111" s="81" t="n"/>
      <c r="W2111" s="43" t="n"/>
    </row>
    <row r="2112">
      <c r="A2112" s="43" t="inlineStr"/>
      <c r="B2112" s="43" t="inlineStr"/>
      <c r="C2112" s="43" t="inlineStr">
        <is>
          <t>节段08</t>
        </is>
      </c>
      <c r="D2112" s="43" t="inlineStr">
        <is>
          <t>Q355D</t>
        </is>
      </c>
      <c r="E2112" s="43" t="n"/>
      <c r="F2112" s="43" t="n"/>
      <c r="G2112" s="43" t="n">
        <v>36</v>
      </c>
      <c r="H2112" s="79">
        <f>(E2112/1000)*(F2112/1000)*(G2112/1000)*7850</f>
        <v/>
      </c>
      <c r="I2112" s="43" t="n">
        <v>2</v>
      </c>
      <c r="J2112" s="80">
        <f>H2112*I2112</f>
        <v/>
      </c>
      <c r="K2112" s="43" t="inlineStr">
        <is>
          <t>来源页171</t>
        </is>
      </c>
      <c r="L2112" s="43">
        <f>A2112</f>
        <v/>
      </c>
      <c r="M2112" s="81" t="n"/>
      <c r="N2112" s="81" t="n"/>
      <c r="O2112" s="81" t="n"/>
      <c r="P2112" s="81" t="n"/>
      <c r="Q2112" s="81" t="n"/>
      <c r="R2112" s="81" t="n"/>
      <c r="S2112" s="81" t="n"/>
      <c r="T2112" s="81" t="n"/>
      <c r="U2112" s="81" t="n"/>
      <c r="V2112" s="81" t="n"/>
      <c r="W2112" s="43" t="n"/>
    </row>
    <row r="2113">
      <c r="A2113" s="43" t="inlineStr"/>
      <c r="B2113" s="43" t="inlineStr"/>
      <c r="C2113" s="43" t="inlineStr">
        <is>
          <t>节段08</t>
        </is>
      </c>
      <c r="D2113" s="43" t="inlineStr">
        <is>
          <t>Q355D</t>
        </is>
      </c>
      <c r="E2113" s="43" t="n"/>
      <c r="F2113" s="43" t="n"/>
      <c r="G2113" s="43" t="n">
        <v>32</v>
      </c>
      <c r="H2113" s="79">
        <f>(E2113/1000)*(F2113/1000)*(G2113/1000)*7850</f>
        <v/>
      </c>
      <c r="I2113" s="43" t="n">
        <v>2</v>
      </c>
      <c r="J2113" s="80">
        <f>H2113*I2113</f>
        <v/>
      </c>
      <c r="K2113" s="43" t="inlineStr">
        <is>
          <t>来源页171</t>
        </is>
      </c>
      <c r="L2113" s="43">
        <f>A2113</f>
        <v/>
      </c>
      <c r="M2113" s="81" t="n"/>
      <c r="N2113" s="81" t="n"/>
      <c r="O2113" s="81" t="n"/>
      <c r="P2113" s="81" t="n"/>
      <c r="Q2113" s="81" t="n"/>
      <c r="R2113" s="81" t="n"/>
      <c r="S2113" s="81" t="n"/>
      <c r="T2113" s="81" t="n"/>
      <c r="U2113" s="81" t="n"/>
      <c r="V2113" s="81" t="n"/>
      <c r="W2113" s="43" t="n"/>
    </row>
    <row r="2114">
      <c r="A2114" s="43" t="inlineStr"/>
      <c r="B2114" s="43" t="inlineStr"/>
      <c r="C2114" s="43" t="inlineStr">
        <is>
          <t>节段08</t>
        </is>
      </c>
      <c r="D2114" s="43" t="inlineStr">
        <is>
          <t>Q355D</t>
        </is>
      </c>
      <c r="E2114" s="43" t="n"/>
      <c r="F2114" s="43" t="n"/>
      <c r="G2114" s="43" t="n">
        <v>24</v>
      </c>
      <c r="H2114" s="79">
        <f>(E2114/1000)*(F2114/1000)*(G2114/1000)*7850</f>
        <v/>
      </c>
      <c r="I2114" s="43" t="n">
        <v>2</v>
      </c>
      <c r="J2114" s="80">
        <f>H2114*I2114</f>
        <v/>
      </c>
      <c r="K2114" s="43" t="inlineStr">
        <is>
          <t>来源页171</t>
        </is>
      </c>
      <c r="L2114" s="43">
        <f>A2114</f>
        <v/>
      </c>
      <c r="M2114" s="81" t="n"/>
      <c r="N2114" s="81" t="n"/>
      <c r="O2114" s="81" t="n"/>
      <c r="P2114" s="81" t="n"/>
      <c r="Q2114" s="81" t="n"/>
      <c r="R2114" s="81" t="n"/>
      <c r="S2114" s="81" t="n"/>
      <c r="T2114" s="81" t="n"/>
      <c r="U2114" s="81" t="n"/>
      <c r="V2114" s="81" t="n"/>
      <c r="W2114" s="43" t="n"/>
    </row>
    <row r="2115">
      <c r="A2115" s="43" t="inlineStr"/>
      <c r="B2115" s="43" t="inlineStr"/>
      <c r="C2115" s="43" t="inlineStr">
        <is>
          <t>节段08</t>
        </is>
      </c>
      <c r="D2115" s="43" t="inlineStr">
        <is>
          <t>Q355D</t>
        </is>
      </c>
      <c r="E2115" s="43" t="n"/>
      <c r="F2115" s="43" t="n"/>
      <c r="G2115" s="43" t="n">
        <v>16</v>
      </c>
      <c r="H2115" s="79">
        <f>(E2115/1000)*(F2115/1000)*(G2115/1000)*7850</f>
        <v/>
      </c>
      <c r="I2115" s="43" t="n">
        <v>2</v>
      </c>
      <c r="J2115" s="80">
        <f>H2115*I2115</f>
        <v/>
      </c>
      <c r="K2115" s="43" t="inlineStr">
        <is>
          <t>来源页171</t>
        </is>
      </c>
      <c r="L2115" s="43">
        <f>A2115</f>
        <v/>
      </c>
      <c r="M2115" s="81" t="n"/>
      <c r="N2115" s="81" t="n"/>
      <c r="O2115" s="81" t="n"/>
      <c r="P2115" s="81" t="n"/>
      <c r="Q2115" s="81" t="n"/>
      <c r="R2115" s="81" t="n"/>
      <c r="S2115" s="81" t="n"/>
      <c r="T2115" s="81" t="n"/>
      <c r="U2115" s="81" t="n"/>
      <c r="V2115" s="81" t="n"/>
      <c r="W2115" s="43" t="n"/>
    </row>
    <row r="2116">
      <c r="A2116" s="43" t="inlineStr"/>
      <c r="B2116" s="43" t="inlineStr"/>
      <c r="C2116" s="43" t="inlineStr">
        <is>
          <t>节段08</t>
        </is>
      </c>
      <c r="D2116" s="43" t="inlineStr">
        <is>
          <t>Q355D</t>
        </is>
      </c>
      <c r="E2116" s="43" t="n"/>
      <c r="F2116" s="43" t="n"/>
      <c r="G2116" s="43" t="n">
        <v>14</v>
      </c>
      <c r="H2116" s="79">
        <f>(E2116/1000)*(F2116/1000)*(G2116/1000)*7850</f>
        <v/>
      </c>
      <c r="I2116" s="43" t="n">
        <v>2</v>
      </c>
      <c r="J2116" s="80">
        <f>H2116*I2116</f>
        <v/>
      </c>
      <c r="K2116" s="43" t="inlineStr">
        <is>
          <t>来源页171</t>
        </is>
      </c>
      <c r="L2116" s="43">
        <f>A2116</f>
        <v/>
      </c>
      <c r="M2116" s="81" t="n"/>
      <c r="N2116" s="81" t="n"/>
      <c r="O2116" s="81" t="n"/>
      <c r="P2116" s="81" t="n"/>
      <c r="Q2116" s="81" t="n"/>
      <c r="R2116" s="81" t="n"/>
      <c r="S2116" s="81" t="n"/>
      <c r="T2116" s="81" t="n"/>
      <c r="U2116" s="81" t="n"/>
      <c r="V2116" s="81" t="n"/>
      <c r="W2116" s="43" t="n"/>
    </row>
    <row r="2117">
      <c r="A2117" s="43" t="inlineStr"/>
      <c r="B2117" s="43" t="inlineStr"/>
      <c r="C2117" s="43" t="inlineStr">
        <is>
          <t>节段08</t>
        </is>
      </c>
      <c r="D2117" s="43" t="inlineStr">
        <is>
          <t>Q355D</t>
        </is>
      </c>
      <c r="E2117" s="43" t="n"/>
      <c r="F2117" s="43" t="n"/>
      <c r="G2117" s="43" t="n">
        <v>4</v>
      </c>
      <c r="H2117" s="79">
        <f>(E2117/1000)*(F2117/1000)*(G2117/1000)*7850</f>
        <v/>
      </c>
      <c r="I2117" s="43" t="n">
        <v>2</v>
      </c>
      <c r="J2117" s="80">
        <f>H2117*I2117</f>
        <v/>
      </c>
      <c r="K2117" s="43" t="inlineStr">
        <is>
          <t>来源页171</t>
        </is>
      </c>
      <c r="L2117" s="43">
        <f>A2117</f>
        <v/>
      </c>
      <c r="M2117" s="81" t="n"/>
      <c r="N2117" s="81" t="n"/>
      <c r="O2117" s="81" t="n"/>
      <c r="P2117" s="81" t="n"/>
      <c r="Q2117" s="81" t="n"/>
      <c r="R2117" s="81" t="n"/>
      <c r="S2117" s="81" t="n"/>
      <c r="T2117" s="81" t="n"/>
      <c r="U2117" s="81" t="n"/>
      <c r="V2117" s="81" t="n"/>
      <c r="W2117" s="43" t="n"/>
    </row>
    <row r="2118">
      <c r="A2118" s="43" t="inlineStr"/>
      <c r="B2118" s="43" t="inlineStr"/>
      <c r="C2118" s="43" t="inlineStr">
        <is>
          <t>节段08</t>
        </is>
      </c>
      <c r="D2118" s="43" t="inlineStr">
        <is>
          <t>Q355D</t>
        </is>
      </c>
      <c r="E2118" s="43" t="n"/>
      <c r="F2118" s="43" t="n"/>
      <c r="G2118" s="43" t="n"/>
      <c r="H2118" s="79">
        <f>(E2118/1000)*(F2118/1000)*(G2118/1000)*7850</f>
        <v/>
      </c>
      <c r="I2118" s="43" t="n">
        <v>2</v>
      </c>
      <c r="J2118" s="80">
        <f>H2118*I2118</f>
        <v/>
      </c>
      <c r="K2118" s="43" t="inlineStr">
        <is>
          <t>来源页171</t>
        </is>
      </c>
      <c r="L2118" s="43">
        <f>A2118</f>
        <v/>
      </c>
      <c r="M2118" s="81" t="n"/>
      <c r="N2118" s="81" t="n"/>
      <c r="O2118" s="81" t="n"/>
      <c r="P2118" s="81" t="n"/>
      <c r="Q2118" s="81" t="n"/>
      <c r="R2118" s="81" t="n"/>
      <c r="S2118" s="81" t="n"/>
      <c r="T2118" s="81" t="n"/>
      <c r="U2118" s="81" t="n"/>
      <c r="V2118" s="81" t="n"/>
      <c r="W2118" s="43" t="n"/>
    </row>
    <row r="2119">
      <c r="A2119" s="43" t="inlineStr"/>
      <c r="B2119" s="43" t="inlineStr"/>
      <c r="C2119" s="43" t="inlineStr">
        <is>
          <t>节段08</t>
        </is>
      </c>
      <c r="D2119" s="43" t="inlineStr">
        <is>
          <t>Q355D</t>
        </is>
      </c>
      <c r="E2119" s="43" t="n"/>
      <c r="F2119" s="43" t="n"/>
      <c r="G2119" s="43" t="n"/>
      <c r="H2119" s="79">
        <f>(E2119/1000)*(F2119/1000)*(G2119/1000)*7850</f>
        <v/>
      </c>
      <c r="I2119" s="43" t="n">
        <v>2</v>
      </c>
      <c r="J2119" s="80">
        <f>H2119*I2119</f>
        <v/>
      </c>
      <c r="K2119" s="43" t="inlineStr">
        <is>
          <t>来源页171</t>
        </is>
      </c>
      <c r="L2119" s="43">
        <f>A2119</f>
        <v/>
      </c>
      <c r="M2119" s="81" t="n"/>
      <c r="N2119" s="81" t="n"/>
      <c r="O2119" s="81" t="n"/>
      <c r="P2119" s="81" t="n"/>
      <c r="Q2119" s="81" t="n"/>
      <c r="R2119" s="81" t="n"/>
      <c r="S2119" s="81" t="n"/>
      <c r="T2119" s="81" t="n"/>
      <c r="U2119" s="81" t="n"/>
      <c r="V2119" s="81" t="n"/>
      <c r="W2119" s="43" t="n"/>
    </row>
    <row r="2120">
      <c r="A2120" s="43" t="inlineStr"/>
      <c r="B2120" s="43" t="inlineStr"/>
      <c r="C2120" s="43" t="inlineStr">
        <is>
          <t>节段08</t>
        </is>
      </c>
      <c r="D2120" s="43" t="inlineStr">
        <is>
          <t>Q355D</t>
        </is>
      </c>
      <c r="E2120" s="43" t="n"/>
      <c r="F2120" s="43" t="n"/>
      <c r="G2120" s="43" t="n"/>
      <c r="H2120" s="79">
        <f>(E2120/1000)*(F2120/1000)*(G2120/1000)*7850</f>
        <v/>
      </c>
      <c r="I2120" s="43" t="n">
        <v>2</v>
      </c>
      <c r="J2120" s="80">
        <f>H2120*I2120</f>
        <v/>
      </c>
      <c r="K2120" s="43" t="inlineStr">
        <is>
          <t>来源页171</t>
        </is>
      </c>
      <c r="L2120" s="43">
        <f>A2120</f>
        <v/>
      </c>
      <c r="M2120" s="81" t="n"/>
      <c r="N2120" s="81" t="n"/>
      <c r="O2120" s="81" t="n"/>
      <c r="P2120" s="81" t="n"/>
      <c r="Q2120" s="81" t="n"/>
      <c r="R2120" s="81" t="n"/>
      <c r="S2120" s="81" t="n"/>
      <c r="T2120" s="81" t="n"/>
      <c r="U2120" s="81" t="n"/>
      <c r="V2120" s="81" t="n"/>
      <c r="W2120" s="43" t="n"/>
    </row>
    <row r="2121">
      <c r="A2121" s="43" t="inlineStr">
        <is>
          <t>N11a</t>
        </is>
      </c>
      <c r="B2121" s="43" t="inlineStr"/>
      <c r="C2121" s="43" t="inlineStr">
        <is>
          <t>节段08</t>
        </is>
      </c>
      <c r="D2121" s="43" t="inlineStr">
        <is>
          <t>Q420D</t>
        </is>
      </c>
      <c r="E2121" s="43" t="n"/>
      <c r="F2121" s="43" t="n"/>
      <c r="G2121" s="43" t="n">
        <v>40</v>
      </c>
      <c r="H2121" s="79">
        <f>(E2121/1000)*(F2121/1000)*(G2121/1000)*7850</f>
        <v/>
      </c>
      <c r="I2121" s="43" t="n">
        <v>1</v>
      </c>
      <c r="J2121" s="80">
        <f>H2121*I2121</f>
        <v/>
      </c>
      <c r="K2121" s="43" t="inlineStr">
        <is>
          <t>来源页171</t>
        </is>
      </c>
      <c r="L2121" s="43">
        <f>A2121</f>
        <v/>
      </c>
      <c r="M2121" s="81" t="n"/>
      <c r="N2121" s="81" t="n"/>
      <c r="O2121" s="81" t="n"/>
      <c r="P2121" s="81" t="n"/>
      <c r="Q2121" s="81" t="n"/>
      <c r="R2121" s="81" t="n"/>
      <c r="S2121" s="81" t="n"/>
      <c r="T2121" s="81" t="n"/>
      <c r="U2121" s="81" t="n"/>
      <c r="V2121" s="81" t="n"/>
      <c r="W2121" s="43" t="n"/>
    </row>
    <row r="2122">
      <c r="A2122" s="43" t="inlineStr">
        <is>
          <t>N11b</t>
        </is>
      </c>
      <c r="B2122" s="43" t="inlineStr"/>
      <c r="C2122" s="43" t="inlineStr">
        <is>
          <t>节段08</t>
        </is>
      </c>
      <c r="D2122" s="43" t="inlineStr">
        <is>
          <t>Q420D</t>
        </is>
      </c>
      <c r="E2122" s="43" t="n"/>
      <c r="F2122" s="43" t="n"/>
      <c r="G2122" s="43" t="n">
        <v>40</v>
      </c>
      <c r="H2122" s="79">
        <f>(E2122/1000)*(F2122/1000)*(G2122/1000)*7850</f>
        <v/>
      </c>
      <c r="I2122" s="43" t="n">
        <v>1</v>
      </c>
      <c r="J2122" s="80">
        <f>H2122*I2122</f>
        <v/>
      </c>
      <c r="K2122" s="43" t="inlineStr">
        <is>
          <t>来源页171</t>
        </is>
      </c>
      <c r="L2122" s="43">
        <f>A2122</f>
        <v/>
      </c>
      <c r="M2122" s="81" t="n"/>
      <c r="N2122" s="81" t="n"/>
      <c r="O2122" s="81" t="n"/>
      <c r="P2122" s="81" t="n"/>
      <c r="Q2122" s="81" t="n"/>
      <c r="R2122" s="81" t="n"/>
      <c r="S2122" s="81" t="n"/>
      <c r="T2122" s="81" t="n"/>
      <c r="U2122" s="81" t="n"/>
      <c r="V2122" s="81" t="n"/>
      <c r="W2122" s="43" t="n"/>
    </row>
    <row r="2123">
      <c r="A2123" s="43" t="inlineStr">
        <is>
          <t>N12a</t>
        </is>
      </c>
      <c r="B2123" s="43" t="inlineStr"/>
      <c r="C2123" s="43" t="inlineStr">
        <is>
          <t>节段08</t>
        </is>
      </c>
      <c r="D2123" s="43" t="inlineStr">
        <is>
          <t>Q420D</t>
        </is>
      </c>
      <c r="E2123" s="43" t="n">
        <v>7900</v>
      </c>
      <c r="F2123" s="43" t="n">
        <v>1200</v>
      </c>
      <c r="G2123" s="43" t="n">
        <v>40</v>
      </c>
      <c r="H2123" s="79">
        <f>(E2123/1000)*(F2123/1000)*(G2123/1000)*7850</f>
        <v/>
      </c>
      <c r="I2123" s="43" t="n">
        <v>1</v>
      </c>
      <c r="J2123" s="80">
        <f>H2123*I2123</f>
        <v/>
      </c>
      <c r="K2123" s="43" t="inlineStr">
        <is>
          <t>来源页171</t>
        </is>
      </c>
      <c r="L2123" s="43">
        <f>A2123</f>
        <v/>
      </c>
      <c r="M2123" s="81" t="n"/>
      <c r="N2123" s="81" t="n"/>
      <c r="O2123" s="81" t="n"/>
      <c r="P2123" s="81" t="n"/>
      <c r="Q2123" s="81" t="n"/>
      <c r="R2123" s="81" t="n"/>
      <c r="S2123" s="81" t="n"/>
      <c r="T2123" s="81" t="n"/>
      <c r="U2123" s="81" t="n"/>
      <c r="V2123" s="81" t="n"/>
      <c r="W2123" s="43" t="n"/>
    </row>
    <row r="2124">
      <c r="A2124" s="43" t="inlineStr">
        <is>
          <t>N12b</t>
        </is>
      </c>
      <c r="B2124" s="43" t="inlineStr"/>
      <c r="C2124" s="43" t="inlineStr">
        <is>
          <t>节段08</t>
        </is>
      </c>
      <c r="D2124" s="43" t="inlineStr">
        <is>
          <t>Q420D</t>
        </is>
      </c>
      <c r="E2124" s="43" t="n">
        <v>7100</v>
      </c>
      <c r="F2124" s="43" t="n">
        <v>1200</v>
      </c>
      <c r="G2124" s="43" t="n">
        <v>40</v>
      </c>
      <c r="H2124" s="79">
        <f>(E2124/1000)*(F2124/1000)*(G2124/1000)*7850</f>
        <v/>
      </c>
      <c r="I2124" s="43" t="n">
        <v>1</v>
      </c>
      <c r="J2124" s="80">
        <f>H2124*I2124</f>
        <v/>
      </c>
      <c r="K2124" s="43" t="inlineStr">
        <is>
          <t>来源页171</t>
        </is>
      </c>
      <c r="L2124" s="43">
        <f>A2124</f>
        <v/>
      </c>
      <c r="M2124" s="81" t="n"/>
      <c r="N2124" s="81" t="n"/>
      <c r="O2124" s="81" t="n"/>
      <c r="P2124" s="81" t="n"/>
      <c r="Q2124" s="81" t="n"/>
      <c r="R2124" s="81" t="n"/>
      <c r="S2124" s="81" t="n"/>
      <c r="T2124" s="81" t="n"/>
      <c r="U2124" s="81" t="n"/>
      <c r="V2124" s="81" t="n"/>
      <c r="W2124" s="43" t="n"/>
    </row>
    <row r="2125">
      <c r="A2125" s="43" t="inlineStr">
        <is>
          <t>N13</t>
        </is>
      </c>
      <c r="B2125" s="43" t="inlineStr"/>
      <c r="C2125" s="43" t="inlineStr">
        <is>
          <t>节段08</t>
        </is>
      </c>
      <c r="D2125" s="43" t="inlineStr">
        <is>
          <t>Q420D</t>
        </is>
      </c>
      <c r="E2125" s="43" t="n"/>
      <c r="F2125" s="43" t="n"/>
      <c r="G2125" s="43" t="n">
        <v>44</v>
      </c>
      <c r="H2125" s="79">
        <f>(E2125/1000)*(F2125/1000)*(G2125/1000)*7850</f>
        <v/>
      </c>
      <c r="I2125" s="43" t="n">
        <v>2</v>
      </c>
      <c r="J2125" s="80">
        <f>H2125*I2125</f>
        <v/>
      </c>
      <c r="K2125" s="43" t="inlineStr">
        <is>
          <t>来源页171</t>
        </is>
      </c>
      <c r="L2125" s="43">
        <f>A2125</f>
        <v/>
      </c>
      <c r="M2125" s="81" t="n"/>
      <c r="N2125" s="81" t="n"/>
      <c r="O2125" s="81" t="n"/>
      <c r="P2125" s="81" t="n"/>
      <c r="Q2125" s="81" t="n"/>
      <c r="R2125" s="81" t="n"/>
      <c r="S2125" s="81" t="n"/>
      <c r="T2125" s="81" t="n"/>
      <c r="U2125" s="81" t="n"/>
      <c r="V2125" s="81" t="n"/>
      <c r="W2125" s="43" t="n"/>
    </row>
    <row r="2126">
      <c r="A2126" s="43" t="inlineStr">
        <is>
          <t>N14</t>
        </is>
      </c>
      <c r="B2126" s="43" t="inlineStr"/>
      <c r="C2126" s="43" t="inlineStr">
        <is>
          <t>节段08</t>
        </is>
      </c>
      <c r="D2126" s="43" t="inlineStr">
        <is>
          <t>Q420D</t>
        </is>
      </c>
      <c r="E2126" s="43" t="n">
        <v>7300</v>
      </c>
      <c r="F2126" s="43" t="n">
        <v>1628</v>
      </c>
      <c r="G2126" s="43" t="n">
        <v>48</v>
      </c>
      <c r="H2126" s="79">
        <f>(E2126/1000)*(F2126/1000)*(G2126/1000)*7850</f>
        <v/>
      </c>
      <c r="I2126" s="43" t="n">
        <v>2</v>
      </c>
      <c r="J2126" s="80">
        <f>H2126*I2126</f>
        <v/>
      </c>
      <c r="K2126" s="43" t="inlineStr">
        <is>
          <t>来源页171</t>
        </is>
      </c>
      <c r="L2126" s="43">
        <f>A2126</f>
        <v/>
      </c>
      <c r="M2126" s="81" t="n"/>
      <c r="N2126" s="81" t="n"/>
      <c r="O2126" s="81" t="n"/>
      <c r="P2126" s="81" t="n"/>
      <c r="Q2126" s="81" t="n"/>
      <c r="R2126" s="81" t="n"/>
      <c r="S2126" s="81" t="n"/>
      <c r="T2126" s="81" t="n"/>
      <c r="U2126" s="81" t="n"/>
      <c r="V2126" s="81" t="n"/>
      <c r="W2126" s="43" t="n"/>
    </row>
    <row r="2127">
      <c r="A2127" s="43" t="inlineStr">
        <is>
          <t>N15</t>
        </is>
      </c>
      <c r="B2127" s="43" t="inlineStr"/>
      <c r="C2127" s="43" t="inlineStr">
        <is>
          <t>节段08</t>
        </is>
      </c>
      <c r="D2127" s="43" t="inlineStr">
        <is>
          <t>Q355D</t>
        </is>
      </c>
      <c r="E2127" s="43" t="n">
        <v>1560</v>
      </c>
      <c r="F2127" s="43" t="n">
        <v>1200</v>
      </c>
      <c r="G2127" s="43" t="n">
        <v>16</v>
      </c>
      <c r="H2127" s="79">
        <f>(E2127/1000)*(F2127/1000)*(G2127/1000)*7850</f>
        <v/>
      </c>
      <c r="I2127" s="43" t="n">
        <v>3</v>
      </c>
      <c r="J2127" s="80">
        <f>H2127*I2127</f>
        <v/>
      </c>
      <c r="K2127" s="43" t="inlineStr">
        <is>
          <t>来源页171</t>
        </is>
      </c>
      <c r="L2127" s="43">
        <f>A2127</f>
        <v/>
      </c>
      <c r="M2127" s="81" t="n"/>
      <c r="N2127" s="81" t="n"/>
      <c r="O2127" s="81" t="n"/>
      <c r="P2127" s="81" t="n"/>
      <c r="Q2127" s="81" t="n"/>
      <c r="R2127" s="81" t="n"/>
      <c r="S2127" s="81" t="n"/>
      <c r="T2127" s="81" t="n"/>
      <c r="U2127" s="81" t="n"/>
      <c r="V2127" s="81" t="n"/>
      <c r="W2127" s="43" t="n"/>
    </row>
    <row r="2128">
      <c r="A2128" s="43" t="inlineStr">
        <is>
          <t>N15a</t>
        </is>
      </c>
      <c r="B2128" s="43" t="inlineStr"/>
      <c r="C2128" s="43" t="inlineStr">
        <is>
          <t>节段08</t>
        </is>
      </c>
      <c r="D2128" s="43" t="inlineStr">
        <is>
          <t>Q355D</t>
        </is>
      </c>
      <c r="E2128" s="43" t="n">
        <v>1657</v>
      </c>
      <c r="F2128" s="43" t="n">
        <v>1200</v>
      </c>
      <c r="G2128" s="43" t="n">
        <v>16</v>
      </c>
      <c r="H2128" s="79">
        <f>(E2128/1000)*(F2128/1000)*(G2128/1000)*7850</f>
        <v/>
      </c>
      <c r="I2128" s="43" t="n">
        <v>2</v>
      </c>
      <c r="J2128" s="80">
        <f>H2128*I2128</f>
        <v/>
      </c>
      <c r="K2128" s="43" t="inlineStr">
        <is>
          <t>来源页171</t>
        </is>
      </c>
      <c r="L2128" s="43">
        <f>A2128</f>
        <v/>
      </c>
      <c r="M2128" s="81" t="n"/>
      <c r="N2128" s="81" t="n"/>
      <c r="O2128" s="81" t="n"/>
      <c r="P2128" s="81" t="n"/>
      <c r="Q2128" s="81" t="n"/>
      <c r="R2128" s="81" t="n"/>
      <c r="S2128" s="81" t="n"/>
      <c r="T2128" s="81" t="n"/>
      <c r="U2128" s="81" t="n"/>
      <c r="V2128" s="81" t="n"/>
      <c r="W2128" s="43" t="n"/>
    </row>
    <row r="2129">
      <c r="A2129" s="43" t="inlineStr">
        <is>
          <t>N15‘</t>
        </is>
      </c>
      <c r="B2129" s="43" t="inlineStr"/>
      <c r="C2129" s="43" t="inlineStr">
        <is>
          <t>节段08</t>
        </is>
      </c>
      <c r="D2129" s="43" t="inlineStr">
        <is>
          <t>Q355D</t>
        </is>
      </c>
      <c r="E2129" s="43" t="n">
        <v>2057</v>
      </c>
      <c r="F2129" s="43" t="n">
        <v>200</v>
      </c>
      <c r="G2129" s="43" t="n">
        <v>16</v>
      </c>
      <c r="H2129" s="79">
        <f>(E2129/1000)*(F2129/1000)*(G2129/1000)*7850</f>
        <v/>
      </c>
      <c r="I2129" s="43" t="n">
        <v>3</v>
      </c>
      <c r="J2129" s="80">
        <f>H2129*I2129</f>
        <v/>
      </c>
      <c r="K2129" s="43" t="inlineStr">
        <is>
          <t>来源页171</t>
        </is>
      </c>
      <c r="L2129" s="43">
        <f>A2129</f>
        <v/>
      </c>
      <c r="M2129" s="81" t="n"/>
      <c r="N2129" s="81" t="n"/>
      <c r="O2129" s="81" t="n"/>
      <c r="P2129" s="81" t="n"/>
      <c r="Q2129" s="81" t="n"/>
      <c r="R2129" s="81" t="n"/>
      <c r="S2129" s="81" t="n"/>
      <c r="T2129" s="81" t="n"/>
      <c r="U2129" s="81" t="n"/>
      <c r="V2129" s="81" t="n"/>
      <c r="W2129" s="43" t="n"/>
    </row>
    <row r="2130">
      <c r="A2130" s="43" t="inlineStr">
        <is>
          <t>N15b</t>
        </is>
      </c>
      <c r="B2130" s="43" t="inlineStr"/>
      <c r="C2130" s="43" t="inlineStr">
        <is>
          <t>节段08</t>
        </is>
      </c>
      <c r="D2130" s="43" t="inlineStr">
        <is>
          <t>Q355D</t>
        </is>
      </c>
      <c r="E2130" s="43" t="n">
        <v>1782</v>
      </c>
      <c r="F2130" s="43" t="n">
        <v>40</v>
      </c>
      <c r="G2130" s="43" t="n">
        <v>4</v>
      </c>
      <c r="H2130" s="79">
        <f>(E2130/1000)*(F2130/1000)*(G2130/1000)*7850</f>
        <v/>
      </c>
      <c r="I2130" s="43" t="n">
        <v>4</v>
      </c>
      <c r="J2130" s="80">
        <f>H2130*I2130</f>
        <v/>
      </c>
      <c r="K2130" s="43" t="inlineStr">
        <is>
          <t>来源页171</t>
        </is>
      </c>
      <c r="L2130" s="43">
        <f>A2130</f>
        <v/>
      </c>
      <c r="M2130" s="81" t="n"/>
      <c r="N2130" s="81" t="n"/>
      <c r="O2130" s="81" t="n"/>
      <c r="P2130" s="81" t="n"/>
      <c r="Q2130" s="81" t="n"/>
      <c r="R2130" s="81" t="n"/>
      <c r="S2130" s="81" t="n"/>
      <c r="T2130" s="81" t="n"/>
      <c r="U2130" s="81" t="n"/>
      <c r="V2130" s="81" t="n"/>
      <c r="W2130" s="43" t="n"/>
    </row>
    <row r="2131">
      <c r="A2131" s="43" t="inlineStr">
        <is>
          <t>N15c</t>
        </is>
      </c>
      <c r="B2131" s="43" t="inlineStr"/>
      <c r="C2131" s="43" t="inlineStr">
        <is>
          <t>节段08</t>
        </is>
      </c>
      <c r="D2131" s="43" t="inlineStr">
        <is>
          <t>Q355D</t>
        </is>
      </c>
      <c r="E2131" s="43" t="n">
        <v>600</v>
      </c>
      <c r="F2131" s="43" t="n">
        <v>400</v>
      </c>
      <c r="G2131" s="43" t="n">
        <v>16</v>
      </c>
      <c r="H2131" s="79">
        <f>(E2131/1000)*(F2131/1000)*(G2131/1000)*7850</f>
        <v/>
      </c>
      <c r="I2131" s="43" t="n">
        <v>4</v>
      </c>
      <c r="J2131" s="80">
        <f>H2131*I2131</f>
        <v/>
      </c>
      <c r="K2131" s="43" t="inlineStr">
        <is>
          <t>来源页171</t>
        </is>
      </c>
      <c r="L2131" s="43">
        <f>A2131</f>
        <v/>
      </c>
      <c r="M2131" s="81" t="n"/>
      <c r="N2131" s="81" t="n"/>
      <c r="O2131" s="81" t="n"/>
      <c r="P2131" s="81" t="n"/>
      <c r="Q2131" s="81" t="n"/>
      <c r="R2131" s="81" t="n"/>
      <c r="S2131" s="81" t="n"/>
      <c r="T2131" s="81" t="n"/>
      <c r="U2131" s="81" t="n"/>
      <c r="V2131" s="81" t="n"/>
      <c r="W2131" s="43" t="n"/>
    </row>
    <row r="2132">
      <c r="A2132" s="43" t="inlineStr">
        <is>
          <t>N16a</t>
        </is>
      </c>
      <c r="B2132" s="43" t="inlineStr"/>
      <c r="C2132" s="43" t="inlineStr">
        <is>
          <t>节段08</t>
        </is>
      </c>
      <c r="D2132" s="43" t="inlineStr">
        <is>
          <t>Q420D</t>
        </is>
      </c>
      <c r="E2132" s="43" t="n">
        <v>7900</v>
      </c>
      <c r="F2132" s="43" t="n">
        <v>320</v>
      </c>
      <c r="G2132" s="43" t="n">
        <v>32</v>
      </c>
      <c r="H2132" s="79">
        <f>(E2132/1000)*(F2132/1000)*(G2132/1000)*7850</f>
        <v/>
      </c>
      <c r="I2132" s="43" t="n">
        <v>6</v>
      </c>
      <c r="J2132" s="80">
        <f>H2132*I2132</f>
        <v/>
      </c>
      <c r="K2132" s="43" t="inlineStr">
        <is>
          <t>来源页171</t>
        </is>
      </c>
      <c r="L2132" s="43">
        <f>A2132</f>
        <v/>
      </c>
      <c r="M2132" s="81" t="n"/>
      <c r="N2132" s="81" t="n"/>
      <c r="O2132" s="81" t="n"/>
      <c r="P2132" s="81" t="n"/>
      <c r="Q2132" s="81" t="n"/>
      <c r="R2132" s="81" t="n"/>
      <c r="S2132" s="81" t="n"/>
      <c r="T2132" s="81" t="n"/>
      <c r="U2132" s="81" t="n"/>
      <c r="V2132" s="81" t="n"/>
      <c r="W2132" s="43" t="n"/>
    </row>
    <row r="2133">
      <c r="A2133" s="43" t="inlineStr">
        <is>
          <t>N21α</t>
        </is>
      </c>
      <c r="B2133" s="43" t="inlineStr"/>
      <c r="C2133" s="43" t="inlineStr">
        <is>
          <t>节段08</t>
        </is>
      </c>
      <c r="D2133" s="43" t="inlineStr">
        <is>
          <t>Q420D</t>
        </is>
      </c>
      <c r="E2133" s="43" t="n">
        <v>7901</v>
      </c>
      <c r="F2133" s="43" t="n">
        <v>1850</v>
      </c>
      <c r="G2133" s="43" t="n">
        <v>32</v>
      </c>
      <c r="H2133" s="79">
        <f>(E2133/1000)*(F2133/1000)*(G2133/1000)*7850</f>
        <v/>
      </c>
      <c r="I2133" s="43" t="n">
        <v>1</v>
      </c>
      <c r="J2133" s="80">
        <f>H2133*I2133</f>
        <v/>
      </c>
      <c r="K2133" s="43" t="inlineStr">
        <is>
          <t>来源页171</t>
        </is>
      </c>
      <c r="L2133" s="43">
        <f>A2133</f>
        <v/>
      </c>
      <c r="M2133" s="81" t="n"/>
      <c r="N2133" s="81" t="n"/>
      <c r="O2133" s="81" t="n"/>
      <c r="P2133" s="81" t="n"/>
      <c r="Q2133" s="81" t="n"/>
      <c r="R2133" s="81" t="n"/>
      <c r="S2133" s="81" t="n"/>
      <c r="T2133" s="81" t="n"/>
      <c r="U2133" s="81" t="n"/>
      <c r="V2133" s="81" t="n"/>
      <c r="W2133" s="43" t="n"/>
    </row>
    <row r="2134">
      <c r="A2134" s="43" t="inlineStr">
        <is>
          <t>N21b</t>
        </is>
      </c>
      <c r="B2134" s="43" t="inlineStr"/>
      <c r="C2134" s="43" t="inlineStr">
        <is>
          <t>节段08</t>
        </is>
      </c>
      <c r="D2134" s="43" t="inlineStr">
        <is>
          <t>Q355D</t>
        </is>
      </c>
      <c r="E2134" s="43" t="n">
        <v>7101</v>
      </c>
      <c r="F2134" s="43" t="n">
        <v>1850</v>
      </c>
      <c r="G2134" s="43" t="n">
        <v>24</v>
      </c>
      <c r="H2134" s="79">
        <f>(E2134/1000)*(F2134/1000)*(G2134/1000)*7850</f>
        <v/>
      </c>
      <c r="I2134" s="43" t="n">
        <v>1</v>
      </c>
      <c r="J2134" s="80">
        <f>H2134*I2134</f>
        <v/>
      </c>
      <c r="K2134" s="43" t="inlineStr">
        <is>
          <t>来源页171</t>
        </is>
      </c>
      <c r="L2134" s="43">
        <f>A2134</f>
        <v/>
      </c>
      <c r="M2134" s="81" t="n"/>
      <c r="N2134" s="81" t="n"/>
      <c r="O2134" s="81" t="n"/>
      <c r="P2134" s="81" t="n"/>
      <c r="Q2134" s="81" t="n"/>
      <c r="R2134" s="81" t="n"/>
      <c r="S2134" s="81" t="n"/>
      <c r="T2134" s="81" t="n"/>
      <c r="U2134" s="81" t="n"/>
      <c r="V2134" s="81" t="n"/>
      <c r="W2134" s="43" t="n"/>
    </row>
    <row r="2135">
      <c r="A2135" s="43" t="inlineStr">
        <is>
          <t>N22a</t>
        </is>
      </c>
      <c r="B2135" s="43" t="inlineStr"/>
      <c r="C2135" s="43" t="inlineStr">
        <is>
          <t>节段08</t>
        </is>
      </c>
      <c r="D2135" s="43" t="inlineStr">
        <is>
          <t>Q420D</t>
        </is>
      </c>
      <c r="E2135" s="43" t="n"/>
      <c r="F2135" s="43" t="n"/>
      <c r="G2135" s="43" t="n">
        <v>32</v>
      </c>
      <c r="H2135" s="79">
        <f>(E2135/1000)*(F2135/1000)*(G2135/1000)*7850</f>
        <v/>
      </c>
      <c r="I2135" s="43" t="n">
        <v>1</v>
      </c>
      <c r="J2135" s="80">
        <f>H2135*I2135</f>
        <v/>
      </c>
      <c r="K2135" s="43" t="inlineStr">
        <is>
          <t>来源页171</t>
        </is>
      </c>
      <c r="L2135" s="43">
        <f>A2135</f>
        <v/>
      </c>
      <c r="M2135" s="81" t="n"/>
      <c r="N2135" s="81" t="n"/>
      <c r="O2135" s="81" t="n"/>
      <c r="P2135" s="81" t="n"/>
      <c r="Q2135" s="81" t="n"/>
      <c r="R2135" s="81" t="n"/>
      <c r="S2135" s="81" t="n"/>
      <c r="T2135" s="81" t="n"/>
      <c r="U2135" s="81" t="n"/>
      <c r="V2135" s="81" t="n"/>
      <c r="W2135" s="43" t="n"/>
    </row>
    <row r="2136">
      <c r="A2136" s="43" t="inlineStr">
        <is>
          <t>N22b</t>
        </is>
      </c>
      <c r="B2136" s="43" t="inlineStr"/>
      <c r="C2136" s="43" t="inlineStr">
        <is>
          <t>节段08</t>
        </is>
      </c>
      <c r="D2136" s="43" t="inlineStr">
        <is>
          <t>Q355D</t>
        </is>
      </c>
      <c r="E2136" s="43" t="n"/>
      <c r="F2136" s="43" t="n"/>
      <c r="G2136" s="43" t="n">
        <v>24</v>
      </c>
      <c r="H2136" s="79">
        <f>(E2136/1000)*(F2136/1000)*(G2136/1000)*7850</f>
        <v/>
      </c>
      <c r="I2136" s="43" t="n">
        <v>1</v>
      </c>
      <c r="J2136" s="80">
        <f>H2136*I2136</f>
        <v/>
      </c>
      <c r="K2136" s="43" t="inlineStr">
        <is>
          <t>来源页171</t>
        </is>
      </c>
      <c r="L2136" s="43">
        <f>A2136</f>
        <v/>
      </c>
      <c r="M2136" s="81" t="n"/>
      <c r="N2136" s="81" t="n"/>
      <c r="O2136" s="81" t="n"/>
      <c r="P2136" s="81" t="n"/>
      <c r="Q2136" s="81" t="n"/>
      <c r="R2136" s="81" t="n"/>
      <c r="S2136" s="81" t="n"/>
      <c r="T2136" s="81" t="n"/>
      <c r="U2136" s="81" t="n"/>
      <c r="V2136" s="81" t="n"/>
      <c r="W2136" s="43" t="n"/>
    </row>
    <row r="2137">
      <c r="A2137" s="43" t="inlineStr">
        <is>
          <t>N23</t>
        </is>
      </c>
      <c r="B2137" s="43" t="inlineStr"/>
      <c r="C2137" s="43" t="inlineStr">
        <is>
          <t>节段08</t>
        </is>
      </c>
      <c r="D2137" s="43" t="inlineStr">
        <is>
          <t>Q420D</t>
        </is>
      </c>
      <c r="E2137" s="43" t="n"/>
      <c r="F2137" s="43" t="n"/>
      <c r="G2137" s="43" t="n">
        <v>44</v>
      </c>
      <c r="H2137" s="79">
        <f>(E2137/1000)*(F2137/1000)*(G2137/1000)*7850</f>
        <v/>
      </c>
      <c r="I2137" s="43" t="n">
        <v>2</v>
      </c>
      <c r="J2137" s="80">
        <f>H2137*I2137</f>
        <v/>
      </c>
      <c r="K2137" s="43" t="inlineStr">
        <is>
          <t>Z35钢；来源页171</t>
        </is>
      </c>
      <c r="L2137" s="43">
        <f>A2137</f>
        <v/>
      </c>
      <c r="M2137" s="81" t="n"/>
      <c r="N2137" s="81" t="n"/>
      <c r="O2137" s="81" t="n"/>
      <c r="P2137" s="81" t="n"/>
      <c r="Q2137" s="81" t="n"/>
      <c r="R2137" s="81" t="n"/>
      <c r="S2137" s="81" t="n"/>
      <c r="T2137" s="81" t="n"/>
      <c r="U2137" s="81" t="n"/>
      <c r="V2137" s="81" t="n"/>
      <c r="W2137" s="43" t="n"/>
    </row>
    <row r="2138">
      <c r="A2138" s="43" t="inlineStr">
        <is>
          <t>N24</t>
        </is>
      </c>
      <c r="B2138" s="43" t="inlineStr"/>
      <c r="C2138" s="43" t="inlineStr">
        <is>
          <t>节段08</t>
        </is>
      </c>
      <c r="D2138" s="43" t="inlineStr">
        <is>
          <t>Q355D</t>
        </is>
      </c>
      <c r="E2138" s="43" t="n">
        <v>7301</v>
      </c>
      <c r="F2138" s="43" t="n">
        <v>1474</v>
      </c>
      <c r="G2138" s="43" t="n">
        <v>32</v>
      </c>
      <c r="H2138" s="79">
        <f>(E2138/1000)*(F2138/1000)*(G2138/1000)*7850</f>
        <v/>
      </c>
      <c r="I2138" s="43" t="n">
        <v>2</v>
      </c>
      <c r="J2138" s="80">
        <f>H2138*I2138</f>
        <v/>
      </c>
      <c r="K2138" s="43" t="inlineStr">
        <is>
          <t>来源页171</t>
        </is>
      </c>
      <c r="L2138" s="43">
        <f>A2138</f>
        <v/>
      </c>
      <c r="M2138" s="81" t="n"/>
      <c r="N2138" s="81" t="n"/>
      <c r="O2138" s="81" t="n"/>
      <c r="P2138" s="81" t="n"/>
      <c r="Q2138" s="81" t="n"/>
      <c r="R2138" s="81" t="n"/>
      <c r="S2138" s="81" t="n"/>
      <c r="T2138" s="81" t="n"/>
      <c r="U2138" s="81" t="n"/>
      <c r="V2138" s="81" t="n"/>
      <c r="W2138" s="43" t="n"/>
    </row>
    <row r="2139">
      <c r="A2139" s="43" t="inlineStr">
        <is>
          <t>N25</t>
        </is>
      </c>
      <c r="B2139" s="43" t="inlineStr"/>
      <c r="C2139" s="43" t="inlineStr">
        <is>
          <t>节段08</t>
        </is>
      </c>
      <c r="D2139" s="43" t="inlineStr">
        <is>
          <t>Q355D</t>
        </is>
      </c>
      <c r="E2139" s="43" t="n">
        <v>1450</v>
      </c>
      <c r="F2139" s="43" t="n">
        <v>1200</v>
      </c>
      <c r="G2139" s="43" t="n">
        <v>16</v>
      </c>
      <c r="H2139" s="79">
        <f>(E2139/1000)*(F2139/1000)*(G2139/1000)*7850</f>
        <v/>
      </c>
      <c r="I2139" s="43" t="n">
        <v>3</v>
      </c>
      <c r="J2139" s="80">
        <f>H2139*I2139</f>
        <v/>
      </c>
      <c r="K2139" s="43" t="inlineStr">
        <is>
          <t>来源页171</t>
        </is>
      </c>
      <c r="L2139" s="43">
        <f>A2139</f>
        <v/>
      </c>
      <c r="M2139" s="81" t="n"/>
      <c r="N2139" s="81" t="n"/>
      <c r="O2139" s="81" t="n"/>
      <c r="P2139" s="81" t="n"/>
      <c r="Q2139" s="81" t="n"/>
      <c r="R2139" s="81" t="n"/>
      <c r="S2139" s="81" t="n"/>
      <c r="T2139" s="81" t="n"/>
      <c r="U2139" s="81" t="n"/>
      <c r="V2139" s="81" t="n"/>
      <c r="W2139" s="43" t="n"/>
    </row>
    <row r="2140">
      <c r="A2140" s="43" t="inlineStr">
        <is>
          <t>N25a</t>
        </is>
      </c>
      <c r="B2140" s="43" t="inlineStr"/>
      <c r="C2140" s="43" t="inlineStr">
        <is>
          <t>节段08</t>
        </is>
      </c>
      <c r="D2140" s="43" t="inlineStr">
        <is>
          <t>Q355D</t>
        </is>
      </c>
      <c r="E2140" s="43" t="n">
        <v>1450</v>
      </c>
      <c r="F2140" s="43" t="n">
        <v>1200</v>
      </c>
      <c r="G2140" s="43" t="n">
        <v>16</v>
      </c>
      <c r="H2140" s="79">
        <f>(E2140/1000)*(F2140/1000)*(G2140/1000)*7850</f>
        <v/>
      </c>
      <c r="I2140" s="43" t="n">
        <v>2</v>
      </c>
      <c r="J2140" s="80">
        <f>H2140*I2140</f>
        <v/>
      </c>
      <c r="K2140" s="43" t="inlineStr">
        <is>
          <t>来源页171</t>
        </is>
      </c>
      <c r="L2140" s="43">
        <f>A2140</f>
        <v/>
      </c>
      <c r="M2140" s="81" t="n"/>
      <c r="N2140" s="81" t="n"/>
      <c r="O2140" s="81" t="n"/>
      <c r="P2140" s="81" t="n"/>
      <c r="Q2140" s="81" t="n"/>
      <c r="R2140" s="81" t="n"/>
      <c r="S2140" s="81" t="n"/>
      <c r="T2140" s="81" t="n"/>
      <c r="U2140" s="81" t="n"/>
      <c r="V2140" s="81" t="n"/>
      <c r="W2140" s="43" t="n"/>
    </row>
    <row r="2141">
      <c r="A2141" s="43" t="inlineStr">
        <is>
          <t>N25'</t>
        </is>
      </c>
      <c r="B2141" s="43" t="inlineStr"/>
      <c r="C2141" s="43" t="inlineStr">
        <is>
          <t>节段08</t>
        </is>
      </c>
      <c r="D2141" s="43" t="inlineStr">
        <is>
          <t>Q355D</t>
        </is>
      </c>
      <c r="E2141" s="43" t="n">
        <v>1657</v>
      </c>
      <c r="F2141" s="43" t="n">
        <v>200</v>
      </c>
      <c r="G2141" s="43" t="n">
        <v>16</v>
      </c>
      <c r="H2141" s="79">
        <f>(E2141/1000)*(F2141/1000)*(G2141/1000)*7850</f>
        <v/>
      </c>
      <c r="I2141" s="43" t="n">
        <v>3</v>
      </c>
      <c r="J2141" s="80">
        <f>H2141*I2141</f>
        <v/>
      </c>
      <c r="K2141" s="43" t="inlineStr">
        <is>
          <t>来源页171</t>
        </is>
      </c>
      <c r="L2141" s="43">
        <f>A2141</f>
        <v/>
      </c>
      <c r="M2141" s="81" t="n"/>
      <c r="N2141" s="81" t="n"/>
      <c r="O2141" s="81" t="n"/>
      <c r="P2141" s="81" t="n"/>
      <c r="Q2141" s="81" t="n"/>
      <c r="R2141" s="81" t="n"/>
      <c r="S2141" s="81" t="n"/>
      <c r="T2141" s="81" t="n"/>
      <c r="U2141" s="81" t="n"/>
      <c r="V2141" s="81" t="n"/>
      <c r="W2141" s="43" t="n"/>
    </row>
    <row r="2142">
      <c r="A2142" s="43" t="inlineStr">
        <is>
          <t>N26a</t>
        </is>
      </c>
      <c r="B2142" s="43" t="inlineStr"/>
      <c r="C2142" s="43" t="inlineStr">
        <is>
          <t>节段08</t>
        </is>
      </c>
      <c r="D2142" s="43" t="inlineStr">
        <is>
          <t>Q420D</t>
        </is>
      </c>
      <c r="E2142" s="43" t="n">
        <v>7901</v>
      </c>
      <c r="F2142" s="43" t="n">
        <v>320</v>
      </c>
      <c r="G2142" s="43" t="n">
        <v>32</v>
      </c>
      <c r="H2142" s="79">
        <f>(E2142/1000)*(F2142/1000)*(G2142/1000)*7850</f>
        <v/>
      </c>
      <c r="I2142" s="43" t="n">
        <v>4</v>
      </c>
      <c r="J2142" s="80">
        <f>H2142*I2142</f>
        <v/>
      </c>
      <c r="K2142" s="43" t="inlineStr">
        <is>
          <t>来源页171</t>
        </is>
      </c>
      <c r="L2142" s="43">
        <f>A2142</f>
        <v/>
      </c>
      <c r="M2142" s="81" t="n"/>
      <c r="N2142" s="81" t="n"/>
      <c r="O2142" s="81" t="n"/>
      <c r="P2142" s="81" t="n"/>
      <c r="Q2142" s="81" t="n"/>
      <c r="R2142" s="81" t="n"/>
      <c r="S2142" s="81" t="n"/>
      <c r="T2142" s="81" t="n"/>
      <c r="U2142" s="81" t="n"/>
      <c r="V2142" s="81" t="n"/>
      <c r="W2142" s="43" t="n"/>
    </row>
    <row r="2143">
      <c r="A2143" s="43" t="inlineStr">
        <is>
          <t>N26b</t>
        </is>
      </c>
      <c r="B2143" s="43" t="inlineStr"/>
      <c r="C2143" s="43" t="inlineStr">
        <is>
          <t>节段08</t>
        </is>
      </c>
      <c r="D2143" s="43" t="inlineStr">
        <is>
          <t>Q355D</t>
        </is>
      </c>
      <c r="E2143" s="43" t="n">
        <v>7101</v>
      </c>
      <c r="F2143" s="43" t="n">
        <v>320</v>
      </c>
      <c r="G2143" s="43" t="n">
        <v>32</v>
      </c>
      <c r="H2143" s="79">
        <f>(E2143/1000)*(F2143/1000)*(G2143/1000)*7850</f>
        <v/>
      </c>
      <c r="I2143" s="43" t="n">
        <v>4</v>
      </c>
      <c r="J2143" s="80">
        <f>H2143*I2143</f>
        <v/>
      </c>
      <c r="K2143" s="43" t="inlineStr">
        <is>
          <t>来源页171</t>
        </is>
      </c>
      <c r="L2143" s="43">
        <f>A2143</f>
        <v/>
      </c>
      <c r="M2143" s="81" t="n"/>
      <c r="N2143" s="81" t="n"/>
      <c r="O2143" s="81" t="n"/>
      <c r="P2143" s="81" t="n"/>
      <c r="Q2143" s="81" t="n"/>
      <c r="R2143" s="81" t="n"/>
      <c r="S2143" s="81" t="n"/>
      <c r="T2143" s="81" t="n"/>
      <c r="U2143" s="81" t="n"/>
      <c r="V2143" s="81" t="n"/>
      <c r="W2143" s="43" t="n"/>
    </row>
    <row r="2144">
      <c r="A2144" s="43" t="inlineStr">
        <is>
          <t>N26c</t>
        </is>
      </c>
      <c r="B2144" s="43" t="inlineStr"/>
      <c r="C2144" s="43" t="inlineStr">
        <is>
          <t>节段08</t>
        </is>
      </c>
      <c r="D2144" s="43" t="inlineStr">
        <is>
          <t>Q355D</t>
        </is>
      </c>
      <c r="E2144" s="43" t="n">
        <v>15002</v>
      </c>
      <c r="F2144" s="43" t="n">
        <v>170</v>
      </c>
      <c r="G2144" s="43" t="n">
        <v>14</v>
      </c>
      <c r="H2144" s="79">
        <f>(E2144/1000)*(F2144/1000)*(G2144/1000)*7850</f>
        <v/>
      </c>
      <c r="I2144" s="43" t="n">
        <v>1</v>
      </c>
      <c r="J2144" s="80">
        <f>H2144*I2144</f>
        <v/>
      </c>
      <c r="K2144" s="43" t="inlineStr">
        <is>
          <t>来源页171</t>
        </is>
      </c>
      <c r="L2144" s="43">
        <f>A2144</f>
        <v/>
      </c>
      <c r="M2144" s="81" t="n"/>
      <c r="N2144" s="81" t="n"/>
      <c r="O2144" s="81" t="n"/>
      <c r="P2144" s="81" t="n"/>
      <c r="Q2144" s="81" t="n"/>
      <c r="R2144" s="81" t="n"/>
      <c r="S2144" s="81" t="n"/>
      <c r="T2144" s="81" t="n"/>
      <c r="U2144" s="81" t="n"/>
      <c r="V2144" s="81" t="n"/>
      <c r="W2144" s="43" t="n"/>
    </row>
    <row r="2145">
      <c r="A2145" s="43" t="inlineStr">
        <is>
          <t>N31</t>
        </is>
      </c>
      <c r="B2145" s="43" t="inlineStr"/>
      <c r="C2145" s="43" t="inlineStr">
        <is>
          <t>节段08</t>
        </is>
      </c>
      <c r="D2145" s="43" t="inlineStr">
        <is>
          <t>Q355D</t>
        </is>
      </c>
      <c r="E2145" s="43" t="n">
        <v>11850</v>
      </c>
      <c r="F2145" s="43" t="n">
        <v>1200</v>
      </c>
      <c r="G2145" s="43" t="n">
        <v>40</v>
      </c>
      <c r="H2145" s="79">
        <f>(E2145/1000)*(F2145/1000)*(G2145/1000)*7850</f>
        <v/>
      </c>
      <c r="I2145" s="43" t="n">
        <v>1</v>
      </c>
      <c r="J2145" s="80">
        <f>H2145*I2145</f>
        <v/>
      </c>
      <c r="K2145" s="43" t="inlineStr">
        <is>
          <t>来源页171</t>
        </is>
      </c>
      <c r="L2145" s="43">
        <f>A2145</f>
        <v/>
      </c>
      <c r="M2145" s="81" t="n"/>
      <c r="N2145" s="81" t="n"/>
      <c r="O2145" s="81" t="n"/>
      <c r="P2145" s="81" t="n"/>
      <c r="Q2145" s="81" t="n"/>
      <c r="R2145" s="81" t="n"/>
      <c r="S2145" s="81" t="n"/>
      <c r="T2145" s="81" t="n"/>
      <c r="U2145" s="81" t="n"/>
      <c r="V2145" s="81" t="n"/>
      <c r="W2145" s="43" t="n"/>
    </row>
    <row r="2146">
      <c r="A2146" s="43" t="inlineStr">
        <is>
          <t>N31a</t>
        </is>
      </c>
      <c r="B2146" s="43" t="inlineStr"/>
      <c r="C2146" s="43" t="inlineStr">
        <is>
          <t>节段08</t>
        </is>
      </c>
      <c r="D2146" s="43" t="inlineStr">
        <is>
          <t>Q355D</t>
        </is>
      </c>
      <c r="E2146" s="43" t="n">
        <v>12250</v>
      </c>
      <c r="F2146" s="43" t="n">
        <v>1200</v>
      </c>
      <c r="G2146" s="43" t="n">
        <v>40</v>
      </c>
      <c r="H2146" s="79">
        <f>(E2146/1000)*(F2146/1000)*(G2146/1000)*7850</f>
        <v/>
      </c>
      <c r="I2146" s="43" t="n">
        <v>1</v>
      </c>
      <c r="J2146" s="80">
        <f>H2146*I2146</f>
        <v/>
      </c>
      <c r="K2146" s="43" t="inlineStr">
        <is>
          <t>来源页171</t>
        </is>
      </c>
      <c r="L2146" s="43">
        <f>A2146</f>
        <v/>
      </c>
      <c r="M2146" s="81" t="n"/>
      <c r="N2146" s="81" t="n"/>
      <c r="O2146" s="81" t="n"/>
      <c r="P2146" s="81" t="n"/>
      <c r="Q2146" s="81" t="n"/>
      <c r="R2146" s="81" t="n"/>
      <c r="S2146" s="81" t="n"/>
      <c r="T2146" s="81" t="n"/>
      <c r="U2146" s="81" t="n"/>
      <c r="V2146" s="81" t="n"/>
      <c r="W2146" s="43" t="n"/>
    </row>
    <row r="2147">
      <c r="A2147" s="43" t="inlineStr">
        <is>
          <t>N32</t>
        </is>
      </c>
      <c r="B2147" s="43" t="inlineStr"/>
      <c r="C2147" s="43" t="inlineStr">
        <is>
          <t>节段08</t>
        </is>
      </c>
      <c r="D2147" s="43" t="inlineStr">
        <is>
          <t>Q355D</t>
        </is>
      </c>
      <c r="E2147" s="43" t="n">
        <v>8050</v>
      </c>
      <c r="F2147" s="43" t="n">
        <v>1760</v>
      </c>
      <c r="G2147" s="43" t="n">
        <v>40</v>
      </c>
      <c r="H2147" s="79">
        <f>(E2147/1000)*(F2147/1000)*(G2147/1000)*7850</f>
        <v/>
      </c>
      <c r="I2147" s="43" t="n">
        <v>2</v>
      </c>
      <c r="J2147" s="80">
        <f>H2147*I2147</f>
        <v/>
      </c>
      <c r="K2147" s="43" t="inlineStr">
        <is>
          <t>来源页171</t>
        </is>
      </c>
      <c r="L2147" s="43">
        <f>A2147</f>
        <v/>
      </c>
      <c r="M2147" s="81" t="n"/>
      <c r="N2147" s="81" t="n"/>
      <c r="O2147" s="81" t="n"/>
      <c r="P2147" s="81" t="n"/>
      <c r="Q2147" s="81" t="n"/>
      <c r="R2147" s="81" t="n"/>
      <c r="S2147" s="81" t="n"/>
      <c r="T2147" s="81" t="n"/>
      <c r="U2147" s="81" t="n"/>
      <c r="V2147" s="81" t="n"/>
      <c r="W2147" s="43" t="n"/>
    </row>
    <row r="2148">
      <c r="A2148" s="43" t="inlineStr">
        <is>
          <t>N33</t>
        </is>
      </c>
      <c r="B2148" s="43" t="inlineStr"/>
      <c r="C2148" s="43" t="inlineStr">
        <is>
          <t>节段08</t>
        </is>
      </c>
      <c r="D2148" s="43" t="inlineStr">
        <is>
          <t>Q355D</t>
        </is>
      </c>
      <c r="E2148" s="43" t="n">
        <v>8050</v>
      </c>
      <c r="F2148" s="43" t="n">
        <v>320</v>
      </c>
      <c r="G2148" s="43" t="n">
        <v>32</v>
      </c>
      <c r="H2148" s="79">
        <f>(E2148/1000)*(F2148/1000)*(G2148/1000)*7850</f>
        <v/>
      </c>
      <c r="I2148" s="43" t="n">
        <v>4</v>
      </c>
      <c r="J2148" s="80">
        <f>H2148*I2148</f>
        <v/>
      </c>
      <c r="K2148" s="43" t="inlineStr">
        <is>
          <t>来源页171</t>
        </is>
      </c>
      <c r="L2148" s="43">
        <f>A2148</f>
        <v/>
      </c>
      <c r="M2148" s="81" t="n"/>
      <c r="N2148" s="81" t="n"/>
      <c r="O2148" s="81" t="n"/>
      <c r="P2148" s="81" t="n"/>
      <c r="Q2148" s="81" t="n"/>
      <c r="R2148" s="81" t="n"/>
      <c r="S2148" s="81" t="n"/>
      <c r="T2148" s="81" t="n"/>
      <c r="U2148" s="81" t="n"/>
      <c r="V2148" s="81" t="n"/>
      <c r="W2148" s="43" t="n"/>
    </row>
    <row r="2149">
      <c r="A2149" s="43" t="inlineStr">
        <is>
          <t>N33a</t>
        </is>
      </c>
      <c r="B2149" s="43" t="inlineStr"/>
      <c r="C2149" s="43" t="inlineStr">
        <is>
          <t>节段08</t>
        </is>
      </c>
      <c r="D2149" s="43" t="inlineStr">
        <is>
          <t>Q355D</t>
        </is>
      </c>
      <c r="E2149" s="43" t="n">
        <v>10450</v>
      </c>
      <c r="F2149" s="43" t="n">
        <v>320</v>
      </c>
      <c r="G2149" s="43" t="n">
        <v>32</v>
      </c>
      <c r="H2149" s="79">
        <f>(E2149/1000)*(F2149/1000)*(G2149/1000)*7850</f>
        <v/>
      </c>
      <c r="I2149" s="43" t="n">
        <v>1</v>
      </c>
      <c r="J2149" s="80">
        <f>H2149*I2149</f>
        <v/>
      </c>
      <c r="K2149" s="43" t="inlineStr">
        <is>
          <t>来源页171</t>
        </is>
      </c>
      <c r="L2149" s="43">
        <f>A2149</f>
        <v/>
      </c>
      <c r="M2149" s="81" t="n"/>
      <c r="N2149" s="81" t="n"/>
      <c r="O2149" s="81" t="n"/>
      <c r="P2149" s="81" t="n"/>
      <c r="Q2149" s="81" t="n"/>
      <c r="R2149" s="81" t="n"/>
      <c r="S2149" s="81" t="n"/>
      <c r="T2149" s="81" t="n"/>
      <c r="U2149" s="81" t="n"/>
      <c r="V2149" s="81" t="n"/>
      <c r="W2149" s="43" t="n"/>
    </row>
    <row r="2150">
      <c r="A2150" s="43" t="inlineStr">
        <is>
          <t>N33b</t>
        </is>
      </c>
      <c r="B2150" s="43" t="inlineStr"/>
      <c r="C2150" s="43" t="inlineStr">
        <is>
          <t>节段08</t>
        </is>
      </c>
      <c r="D2150" s="43" t="inlineStr">
        <is>
          <t>Q355D</t>
        </is>
      </c>
      <c r="E2150" s="43" t="n">
        <v>10850</v>
      </c>
      <c r="F2150" s="43" t="n">
        <v>320</v>
      </c>
      <c r="G2150" s="43" t="n">
        <v>32</v>
      </c>
      <c r="H2150" s="79">
        <f>(E2150/1000)*(F2150/1000)*(G2150/1000)*7850</f>
        <v/>
      </c>
      <c r="I2150" s="43" t="n">
        <v>1</v>
      </c>
      <c r="J2150" s="80">
        <f>H2150*I2150</f>
        <v/>
      </c>
      <c r="K2150" s="43" t="inlineStr">
        <is>
          <t>来源页171</t>
        </is>
      </c>
      <c r="L2150" s="43">
        <f>A2150</f>
        <v/>
      </c>
      <c r="M2150" s="81" t="n"/>
      <c r="N2150" s="81" t="n"/>
      <c r="O2150" s="81" t="n"/>
      <c r="P2150" s="81" t="n"/>
      <c r="Q2150" s="81" t="n"/>
      <c r="R2150" s="81" t="n"/>
      <c r="S2150" s="81" t="n"/>
      <c r="T2150" s="81" t="n"/>
      <c r="U2150" s="81" t="n"/>
      <c r="V2150" s="81" t="n"/>
      <c r="W2150" s="43" t="n"/>
    </row>
    <row r="2151">
      <c r="A2151" s="43" t="inlineStr">
        <is>
          <t>N34</t>
        </is>
      </c>
      <c r="B2151" s="43" t="inlineStr"/>
      <c r="C2151" s="43" t="inlineStr">
        <is>
          <t>节段08</t>
        </is>
      </c>
      <c r="D2151" s="43" t="inlineStr">
        <is>
          <t>Q355D</t>
        </is>
      </c>
      <c r="E2151" s="43" t="n">
        <v>1200</v>
      </c>
      <c r="F2151" s="43" t="n">
        <v>1600</v>
      </c>
      <c r="G2151" s="43" t="n">
        <v>16</v>
      </c>
      <c r="H2151" s="79">
        <f>(E2151/1000)*(F2151/1000)*(G2151/1000)*7850</f>
        <v/>
      </c>
      <c r="I2151" s="43" t="n">
        <v>3</v>
      </c>
      <c r="J2151" s="80">
        <f>H2151*I2151</f>
        <v/>
      </c>
      <c r="K2151" s="43" t="inlineStr">
        <is>
          <t>来源页171</t>
        </is>
      </c>
      <c r="L2151" s="43">
        <f>A2151</f>
        <v/>
      </c>
      <c r="M2151" s="81" t="n"/>
      <c r="N2151" s="81" t="n"/>
      <c r="O2151" s="81" t="n"/>
      <c r="P2151" s="81" t="n"/>
      <c r="Q2151" s="81" t="n"/>
      <c r="R2151" s="81" t="n"/>
      <c r="S2151" s="81" t="n"/>
      <c r="T2151" s="81" t="n"/>
      <c r="U2151" s="81" t="n"/>
      <c r="V2151" s="81" t="n"/>
      <c r="W2151" s="43" t="n"/>
    </row>
    <row r="2152">
      <c r="A2152" s="43" t="inlineStr">
        <is>
          <t>N41</t>
        </is>
      </c>
      <c r="B2152" s="43" t="inlineStr"/>
      <c r="C2152" s="43" t="inlineStr">
        <is>
          <t>节段08</t>
        </is>
      </c>
      <c r="D2152" s="43" t="inlineStr">
        <is>
          <t>Q355D</t>
        </is>
      </c>
      <c r="E2152" s="43" t="n">
        <v>5711</v>
      </c>
      <c r="F2152" s="43" t="n">
        <v>1200</v>
      </c>
      <c r="G2152" s="43" t="n">
        <v>36</v>
      </c>
      <c r="H2152" s="79">
        <f>(E2152/1000)*(F2152/1000)*(G2152/1000)*7850</f>
        <v/>
      </c>
      <c r="I2152" s="43" t="n">
        <v>1</v>
      </c>
      <c r="J2152" s="80">
        <f>H2152*I2152</f>
        <v/>
      </c>
      <c r="K2152" s="43" t="inlineStr">
        <is>
          <t>来源页171</t>
        </is>
      </c>
      <c r="L2152" s="43">
        <f>A2152</f>
        <v/>
      </c>
      <c r="M2152" s="81" t="n"/>
      <c r="N2152" s="81" t="n"/>
      <c r="O2152" s="81" t="n"/>
      <c r="P2152" s="81" t="n"/>
      <c r="Q2152" s="81" t="n"/>
      <c r="R2152" s="81" t="n"/>
      <c r="S2152" s="81" t="n"/>
      <c r="T2152" s="81" t="n"/>
      <c r="U2152" s="81" t="n"/>
      <c r="V2152" s="81" t="n"/>
      <c r="W2152" s="43" t="n"/>
    </row>
    <row r="2153">
      <c r="A2153" s="43" t="inlineStr">
        <is>
          <t>N41a</t>
        </is>
      </c>
      <c r="B2153" s="43" t="inlineStr"/>
      <c r="C2153" s="43" t="inlineStr">
        <is>
          <t>节段08</t>
        </is>
      </c>
      <c r="D2153" s="43" t="inlineStr">
        <is>
          <t>Q355D</t>
        </is>
      </c>
      <c r="E2153" s="43" t="n">
        <v>6011</v>
      </c>
      <c r="F2153" s="43" t="n">
        <v>1200</v>
      </c>
      <c r="G2153" s="43" t="n">
        <v>36</v>
      </c>
      <c r="H2153" s="79">
        <f>(E2153/1000)*(F2153/1000)*(G2153/1000)*7850</f>
        <v/>
      </c>
      <c r="I2153" s="43" t="n">
        <v>1</v>
      </c>
      <c r="J2153" s="80">
        <f>H2153*I2153</f>
        <v/>
      </c>
      <c r="K2153" s="43" t="inlineStr">
        <is>
          <t>来源页171</t>
        </is>
      </c>
      <c r="L2153" s="43">
        <f>A2153</f>
        <v/>
      </c>
      <c r="M2153" s="81" t="n"/>
      <c r="N2153" s="81" t="n"/>
      <c r="O2153" s="81" t="n"/>
      <c r="P2153" s="81" t="n"/>
      <c r="Q2153" s="81" t="n"/>
      <c r="R2153" s="81" t="n"/>
      <c r="S2153" s="81" t="n"/>
      <c r="T2153" s="81" t="n"/>
      <c r="U2153" s="81" t="n"/>
      <c r="V2153" s="81" t="n"/>
      <c r="W2153" s="43" t="n"/>
    </row>
    <row r="2154">
      <c r="A2154" s="43" t="inlineStr">
        <is>
          <t>N42</t>
        </is>
      </c>
      <c r="B2154" s="43" t="inlineStr"/>
      <c r="C2154" s="43" t="inlineStr">
        <is>
          <t>节段08</t>
        </is>
      </c>
      <c r="D2154" s="43" t="inlineStr">
        <is>
          <t>Q355D</t>
        </is>
      </c>
      <c r="E2154" s="43" t="n">
        <v>3911</v>
      </c>
      <c r="F2154" s="43" t="n">
        <v>1360</v>
      </c>
      <c r="G2154" s="43" t="n">
        <v>36</v>
      </c>
      <c r="H2154" s="79">
        <f>(E2154/1000)*(F2154/1000)*(G2154/1000)*7850</f>
        <v/>
      </c>
      <c r="I2154" s="43" t="n">
        <v>2</v>
      </c>
      <c r="J2154" s="80">
        <f>H2154*I2154</f>
        <v/>
      </c>
      <c r="K2154" s="43" t="inlineStr">
        <is>
          <t>来源页171</t>
        </is>
      </c>
      <c r="L2154" s="43">
        <f>A2154</f>
        <v/>
      </c>
      <c r="M2154" s="81" t="n"/>
      <c r="N2154" s="81" t="n"/>
      <c r="O2154" s="81" t="n"/>
      <c r="P2154" s="81" t="n"/>
      <c r="Q2154" s="81" t="n"/>
      <c r="R2154" s="81" t="n"/>
      <c r="S2154" s="81" t="n"/>
      <c r="T2154" s="81" t="n"/>
      <c r="U2154" s="81" t="n"/>
      <c r="V2154" s="81" t="n"/>
      <c r="W2154" s="43" t="n"/>
    </row>
    <row r="2155">
      <c r="A2155" s="43" t="inlineStr">
        <is>
          <t>N43</t>
        </is>
      </c>
      <c r="B2155" s="43" t="inlineStr"/>
      <c r="C2155" s="43" t="inlineStr">
        <is>
          <t>节段08</t>
        </is>
      </c>
      <c r="D2155" s="43" t="inlineStr">
        <is>
          <t>Q355D</t>
        </is>
      </c>
      <c r="E2155" s="43" t="n">
        <v>3911</v>
      </c>
      <c r="F2155" s="43" t="n">
        <v>320</v>
      </c>
      <c r="G2155" s="43" t="n">
        <v>32</v>
      </c>
      <c r="H2155" s="79">
        <f>(E2155/1000)*(F2155/1000)*(G2155/1000)*7850</f>
        <v/>
      </c>
      <c r="I2155" s="43" t="n">
        <v>2</v>
      </c>
      <c r="J2155" s="80">
        <f>H2155*I2155</f>
        <v/>
      </c>
      <c r="K2155" s="43" t="inlineStr">
        <is>
          <t>来源页171</t>
        </is>
      </c>
      <c r="L2155" s="43">
        <f>A2155</f>
        <v/>
      </c>
      <c r="M2155" s="81" t="n"/>
      <c r="N2155" s="81" t="n"/>
      <c r="O2155" s="81" t="n"/>
      <c r="P2155" s="81" t="n"/>
      <c r="Q2155" s="81" t="n"/>
      <c r="R2155" s="81" t="n"/>
      <c r="S2155" s="81" t="n"/>
      <c r="T2155" s="81" t="n"/>
      <c r="U2155" s="81" t="n"/>
      <c r="V2155" s="81" t="n"/>
      <c r="W2155" s="43" t="n"/>
    </row>
    <row r="2156">
      <c r="A2156" s="43" t="inlineStr">
        <is>
          <t>N43a</t>
        </is>
      </c>
      <c r="B2156" s="43" t="inlineStr"/>
      <c r="C2156" s="43" t="inlineStr">
        <is>
          <t>节段08</t>
        </is>
      </c>
      <c r="D2156" s="43" t="inlineStr">
        <is>
          <t>Q355D</t>
        </is>
      </c>
      <c r="E2156" s="43" t="n">
        <v>5011</v>
      </c>
      <c r="F2156" s="43" t="n">
        <v>320</v>
      </c>
      <c r="G2156" s="43" t="n">
        <v>32</v>
      </c>
      <c r="H2156" s="79">
        <f>(E2156/1000)*(F2156/1000)*(G2156/1000)*7850</f>
        <v/>
      </c>
      <c r="I2156" s="43" t="n">
        <v>1</v>
      </c>
      <c r="J2156" s="80">
        <f>H2156*I2156</f>
        <v/>
      </c>
      <c r="K2156" s="43" t="inlineStr">
        <is>
          <t>来源页171</t>
        </is>
      </c>
      <c r="L2156" s="43">
        <f>A2156</f>
        <v/>
      </c>
      <c r="M2156" s="81" t="n"/>
      <c r="N2156" s="81" t="n"/>
      <c r="O2156" s="81" t="n"/>
      <c r="P2156" s="81" t="n"/>
      <c r="Q2156" s="81" t="n"/>
      <c r="R2156" s="81" t="n"/>
      <c r="S2156" s="81" t="n"/>
      <c r="T2156" s="81" t="n"/>
      <c r="U2156" s="81" t="n"/>
      <c r="V2156" s="81" t="n"/>
      <c r="W2156" s="43" t="n"/>
    </row>
    <row r="2157">
      <c r="A2157" s="43" t="inlineStr">
        <is>
          <t>N43b</t>
        </is>
      </c>
      <c r="B2157" s="43" t="inlineStr"/>
      <c r="C2157" s="43" t="inlineStr">
        <is>
          <t>节段08</t>
        </is>
      </c>
      <c r="D2157" s="43" t="inlineStr">
        <is>
          <t>Q355D</t>
        </is>
      </c>
      <c r="E2157" s="43" t="n">
        <v>5311</v>
      </c>
      <c r="F2157" s="43" t="n">
        <v>320</v>
      </c>
      <c r="G2157" s="43" t="n">
        <v>32</v>
      </c>
      <c r="H2157" s="79">
        <f>(E2157/1000)*(F2157/1000)*(G2157/1000)*7850</f>
        <v/>
      </c>
      <c r="I2157" s="43" t="n">
        <v>1</v>
      </c>
      <c r="J2157" s="80">
        <f>H2157*I2157</f>
        <v/>
      </c>
      <c r="K2157" s="43" t="inlineStr">
        <is>
          <t>来源页171</t>
        </is>
      </c>
      <c r="L2157" s="43">
        <f>A2157</f>
        <v/>
      </c>
      <c r="M2157" s="81" t="n"/>
      <c r="N2157" s="81" t="n"/>
      <c r="O2157" s="81" t="n"/>
      <c r="P2157" s="81" t="n"/>
      <c r="Q2157" s="81" t="n"/>
      <c r="R2157" s="81" t="n"/>
      <c r="S2157" s="81" t="n"/>
      <c r="T2157" s="81" t="n"/>
      <c r="U2157" s="81" t="n"/>
      <c r="V2157" s="81" t="n"/>
      <c r="W2157" s="43" t="n"/>
    </row>
    <row r="2158">
      <c r="A2158" s="43" t="inlineStr">
        <is>
          <t>N44</t>
        </is>
      </c>
      <c r="B2158" s="43" t="inlineStr"/>
      <c r="C2158" s="43" t="inlineStr">
        <is>
          <t>节段08</t>
        </is>
      </c>
      <c r="D2158" s="43" t="inlineStr">
        <is>
          <t>Q355D</t>
        </is>
      </c>
      <c r="E2158" s="43" t="n">
        <v>1200</v>
      </c>
      <c r="F2158" s="43" t="n">
        <v>1200</v>
      </c>
      <c r="G2158" s="43" t="n">
        <v>16</v>
      </c>
      <c r="H2158" s="79">
        <f>(E2158/1000)*(F2158/1000)*(G2158/1000)*7850</f>
        <v/>
      </c>
      <c r="I2158" s="43" t="n">
        <v>2</v>
      </c>
      <c r="J2158" s="80">
        <f>H2158*I2158</f>
        <v/>
      </c>
      <c r="K2158" s="43" t="inlineStr">
        <is>
          <t>来源页171</t>
        </is>
      </c>
      <c r="L2158" s="43">
        <f>A2158</f>
        <v/>
      </c>
      <c r="M2158" s="81" t="n"/>
      <c r="N2158" s="81" t="n"/>
      <c r="O2158" s="81" t="n"/>
      <c r="P2158" s="81" t="n"/>
      <c r="Q2158" s="81" t="n"/>
      <c r="R2158" s="81" t="n"/>
      <c r="S2158" s="81" t="n"/>
      <c r="T2158" s="81" t="n"/>
      <c r="U2158" s="81" t="n"/>
      <c r="V2158" s="81" t="n"/>
      <c r="W2158" s="43" t="n"/>
    </row>
    <row r="2159">
      <c r="A2159" s="43" t="inlineStr">
        <is>
          <t>N51</t>
        </is>
      </c>
      <c r="B2159" s="43" t="inlineStr"/>
      <c r="C2159" s="43" t="inlineStr">
        <is>
          <t>节段08</t>
        </is>
      </c>
      <c r="D2159" s="43" t="inlineStr">
        <is>
          <t>Q355D</t>
        </is>
      </c>
      <c r="E2159" s="43" t="n">
        <v>5979</v>
      </c>
      <c r="F2159" s="43" t="n">
        <v>1200</v>
      </c>
      <c r="G2159" s="43" t="n">
        <v>36</v>
      </c>
      <c r="H2159" s="79">
        <f>(E2159/1000)*(F2159/1000)*(G2159/1000)*7850</f>
        <v/>
      </c>
      <c r="I2159" s="43" t="n">
        <v>1</v>
      </c>
      <c r="J2159" s="80">
        <f>H2159*I2159</f>
        <v/>
      </c>
      <c r="K2159" s="43" t="inlineStr">
        <is>
          <t>来源页171</t>
        </is>
      </c>
      <c r="L2159" s="43">
        <f>A2159</f>
        <v/>
      </c>
      <c r="M2159" s="81" t="n"/>
      <c r="N2159" s="81" t="n"/>
      <c r="O2159" s="81" t="n"/>
      <c r="P2159" s="81" t="n"/>
      <c r="Q2159" s="81" t="n"/>
      <c r="R2159" s="81" t="n"/>
      <c r="S2159" s="81" t="n"/>
      <c r="T2159" s="81" t="n"/>
      <c r="U2159" s="81" t="n"/>
      <c r="V2159" s="81" t="n"/>
      <c r="W2159" s="43" t="n"/>
    </row>
    <row r="2160">
      <c r="A2160" s="43" t="inlineStr">
        <is>
          <t>N51a</t>
        </is>
      </c>
      <c r="B2160" s="43" t="inlineStr"/>
      <c r="C2160" s="43" t="inlineStr">
        <is>
          <t>节段08</t>
        </is>
      </c>
      <c r="D2160" s="43" t="inlineStr">
        <is>
          <t>Q355D</t>
        </is>
      </c>
      <c r="E2160" s="43" t="n">
        <v>6079</v>
      </c>
      <c r="F2160" s="43" t="n">
        <v>1200</v>
      </c>
      <c r="G2160" s="43" t="n">
        <v>36</v>
      </c>
      <c r="H2160" s="79">
        <f>(E2160/1000)*(F2160/1000)*(G2160/1000)*7850</f>
        <v/>
      </c>
      <c r="I2160" s="43" t="n">
        <v>1</v>
      </c>
      <c r="J2160" s="80">
        <f>H2160*I2160</f>
        <v/>
      </c>
      <c r="K2160" s="43" t="inlineStr">
        <is>
          <t>来源页171</t>
        </is>
      </c>
      <c r="L2160" s="43">
        <f>A2160</f>
        <v/>
      </c>
      <c r="M2160" s="81" t="n"/>
      <c r="N2160" s="81" t="n"/>
      <c r="O2160" s="81" t="n"/>
      <c r="P2160" s="81" t="n"/>
      <c r="Q2160" s="81" t="n"/>
      <c r="R2160" s="81" t="n"/>
      <c r="S2160" s="81" t="n"/>
      <c r="T2160" s="81" t="n"/>
      <c r="U2160" s="81" t="n"/>
      <c r="V2160" s="81" t="n"/>
      <c r="W2160" s="43" t="n"/>
    </row>
    <row r="2161">
      <c r="A2161" s="43" t="inlineStr">
        <is>
          <t>N52</t>
        </is>
      </c>
      <c r="B2161" s="43" t="inlineStr"/>
      <c r="C2161" s="43" t="inlineStr">
        <is>
          <t>节段08</t>
        </is>
      </c>
      <c r="D2161" s="43" t="inlineStr">
        <is>
          <t>Q355D</t>
        </is>
      </c>
      <c r="E2161" s="43" t="n">
        <v>3979</v>
      </c>
      <c r="F2161" s="43" t="n">
        <v>1760</v>
      </c>
      <c r="G2161" s="43" t="n">
        <v>36</v>
      </c>
      <c r="H2161" s="79">
        <f>(E2161/1000)*(F2161/1000)*(G2161/1000)*7850</f>
        <v/>
      </c>
      <c r="I2161" s="43" t="n">
        <v>2</v>
      </c>
      <c r="J2161" s="80">
        <f>H2161*I2161</f>
        <v/>
      </c>
      <c r="K2161" s="43" t="inlineStr">
        <is>
          <t>来源页171</t>
        </is>
      </c>
      <c r="L2161" s="43">
        <f>A2161</f>
        <v/>
      </c>
      <c r="M2161" s="81" t="n"/>
      <c r="N2161" s="81" t="n"/>
      <c r="O2161" s="81" t="n"/>
      <c r="P2161" s="81" t="n"/>
      <c r="Q2161" s="81" t="n"/>
      <c r="R2161" s="81" t="n"/>
      <c r="S2161" s="81" t="n"/>
      <c r="T2161" s="81" t="n"/>
      <c r="U2161" s="81" t="n"/>
      <c r="V2161" s="81" t="n"/>
      <c r="W2161" s="43" t="n"/>
    </row>
    <row r="2162">
      <c r="A2162" s="43" t="inlineStr">
        <is>
          <t>N53</t>
        </is>
      </c>
      <c r="B2162" s="43" t="inlineStr"/>
      <c r="C2162" s="43" t="inlineStr">
        <is>
          <t>节段08</t>
        </is>
      </c>
      <c r="D2162" s="43" t="inlineStr">
        <is>
          <t>Q355D</t>
        </is>
      </c>
      <c r="E2162" s="43" t="n">
        <v>3979</v>
      </c>
      <c r="F2162" s="43" t="n">
        <v>320</v>
      </c>
      <c r="G2162" s="43" t="n">
        <v>32</v>
      </c>
      <c r="H2162" s="79">
        <f>(E2162/1000)*(F2162/1000)*(G2162/1000)*7850</f>
        <v/>
      </c>
      <c r="I2162" s="43" t="n">
        <v>4</v>
      </c>
      <c r="J2162" s="80">
        <f>H2162*I2162</f>
        <v/>
      </c>
      <c r="K2162" s="43" t="inlineStr">
        <is>
          <t>来源页171</t>
        </is>
      </c>
      <c r="L2162" s="43">
        <f>A2162</f>
        <v/>
      </c>
      <c r="M2162" s="81" t="n"/>
      <c r="N2162" s="81" t="n"/>
      <c r="O2162" s="81" t="n"/>
      <c r="P2162" s="81" t="n"/>
      <c r="Q2162" s="81" t="n"/>
      <c r="R2162" s="81" t="n"/>
      <c r="S2162" s="81" t="n"/>
      <c r="T2162" s="81" t="n"/>
      <c r="U2162" s="81" t="n"/>
      <c r="V2162" s="81" t="n"/>
      <c r="W2162" s="43" t="n"/>
    </row>
    <row r="2163">
      <c r="A2163" s="43" t="inlineStr">
        <is>
          <t>N53a</t>
        </is>
      </c>
      <c r="B2163" s="43" t="inlineStr"/>
      <c r="C2163" s="43" t="inlineStr">
        <is>
          <t>节段08</t>
        </is>
      </c>
      <c r="D2163" s="43" t="inlineStr">
        <is>
          <t>Q355D</t>
        </is>
      </c>
      <c r="E2163" s="43" t="n">
        <v>5279</v>
      </c>
      <c r="F2163" s="43" t="n">
        <v>320</v>
      </c>
      <c r="G2163" s="43" t="n">
        <v>32</v>
      </c>
      <c r="H2163" s="79">
        <f>(E2163/1000)*(F2163/1000)*(G2163/1000)*7850</f>
        <v/>
      </c>
      <c r="I2163" s="43" t="n">
        <v>1</v>
      </c>
      <c r="J2163" s="80">
        <f>H2163*I2163</f>
        <v/>
      </c>
      <c r="K2163" s="43" t="inlineStr">
        <is>
          <t>来源页171</t>
        </is>
      </c>
      <c r="L2163" s="43">
        <f>A2163</f>
        <v/>
      </c>
      <c r="M2163" s="81" t="n"/>
      <c r="N2163" s="81" t="n"/>
      <c r="O2163" s="81" t="n"/>
      <c r="P2163" s="81" t="n"/>
      <c r="Q2163" s="81" t="n"/>
      <c r="R2163" s="81" t="n"/>
      <c r="S2163" s="81" t="n"/>
      <c r="T2163" s="81" t="n"/>
      <c r="U2163" s="81" t="n"/>
      <c r="V2163" s="81" t="n"/>
      <c r="W2163" s="43" t="n"/>
    </row>
    <row r="2164">
      <c r="A2164" s="43" t="inlineStr">
        <is>
          <t>N53b</t>
        </is>
      </c>
      <c r="B2164" s="43" t="inlineStr"/>
      <c r="C2164" s="43" t="inlineStr">
        <is>
          <t>节段08</t>
        </is>
      </c>
      <c r="D2164" s="43" t="inlineStr">
        <is>
          <t>Q355D</t>
        </is>
      </c>
      <c r="E2164" s="43" t="n">
        <v>5379</v>
      </c>
      <c r="F2164" s="43" t="n">
        <v>320</v>
      </c>
      <c r="G2164" s="43" t="n">
        <v>32</v>
      </c>
      <c r="H2164" s="79">
        <f>(E2164/1000)*(F2164/1000)*(G2164/1000)*7850</f>
        <v/>
      </c>
      <c r="I2164" s="43" t="n">
        <v>1</v>
      </c>
      <c r="J2164" s="80">
        <f>H2164*I2164</f>
        <v/>
      </c>
      <c r="K2164" s="43" t="inlineStr">
        <is>
          <t>来源页171</t>
        </is>
      </c>
      <c r="L2164" s="43">
        <f>A2164</f>
        <v/>
      </c>
      <c r="M2164" s="81" t="n"/>
      <c r="N2164" s="81" t="n"/>
      <c r="O2164" s="81" t="n"/>
      <c r="P2164" s="81" t="n"/>
      <c r="Q2164" s="81" t="n"/>
      <c r="R2164" s="81" t="n"/>
      <c r="S2164" s="81" t="n"/>
      <c r="T2164" s="81" t="n"/>
      <c r="U2164" s="81" t="n"/>
      <c r="V2164" s="81" t="n"/>
      <c r="W2164" s="43" t="n"/>
    </row>
    <row r="2165">
      <c r="A2165" s="43" t="inlineStr">
        <is>
          <t>N54</t>
        </is>
      </c>
      <c r="B2165" s="43" t="inlineStr"/>
      <c r="C2165" s="43" t="inlineStr">
        <is>
          <t>节段08</t>
        </is>
      </c>
      <c r="D2165" s="43" t="inlineStr">
        <is>
          <t>Q355D</t>
        </is>
      </c>
      <c r="E2165" s="43" t="n">
        <v>1200</v>
      </c>
      <c r="F2165" s="43" t="n">
        <v>1600</v>
      </c>
      <c r="G2165" s="43" t="n">
        <v>16</v>
      </c>
      <c r="H2165" s="79">
        <f>(E2165/1000)*(F2165/1000)*(G2165/1000)*7850</f>
        <v/>
      </c>
      <c r="I2165" s="43" t="n">
        <v>2</v>
      </c>
      <c r="J2165" s="80">
        <f>H2165*I2165</f>
        <v/>
      </c>
      <c r="K2165" s="43" t="inlineStr">
        <is>
          <t>来源页171</t>
        </is>
      </c>
      <c r="L2165" s="43">
        <f>A2165</f>
        <v/>
      </c>
      <c r="M2165" s="81" t="n"/>
      <c r="N2165" s="81" t="n"/>
      <c r="O2165" s="81" t="n"/>
      <c r="P2165" s="81" t="n"/>
      <c r="Q2165" s="81" t="n"/>
      <c r="R2165" s="81" t="n"/>
      <c r="S2165" s="81" t="n"/>
      <c r="T2165" s="81" t="n"/>
      <c r="U2165" s="81" t="n"/>
      <c r="V2165" s="81" t="n"/>
      <c r="W2165" s="43" t="n"/>
    </row>
    <row r="2166">
      <c r="A2166" s="43" t="inlineStr">
        <is>
          <t>N55</t>
        </is>
      </c>
      <c r="B2166" s="43" t="inlineStr"/>
      <c r="C2166" s="43" t="inlineStr">
        <is>
          <t>节段08</t>
        </is>
      </c>
      <c r="D2166" s="43" t="inlineStr">
        <is>
          <t>Q355D</t>
        </is>
      </c>
      <c r="E2166" s="43" t="n">
        <v>2100</v>
      </c>
      <c r="F2166" s="43" t="n">
        <v>320</v>
      </c>
      <c r="G2166" s="43" t="n">
        <v>32</v>
      </c>
      <c r="H2166" s="79">
        <f>(E2166/1000)*(F2166/1000)*(G2166/1000)*7850</f>
        <v/>
      </c>
      <c r="I2166" s="43" t="n">
        <v>6</v>
      </c>
      <c r="J2166" s="80">
        <f>H2166*I2166</f>
        <v/>
      </c>
      <c r="K2166" s="43" t="inlineStr">
        <is>
          <t>来源页171</t>
        </is>
      </c>
      <c r="L2166" s="43">
        <f>A2166</f>
        <v/>
      </c>
      <c r="M2166" s="81" t="n"/>
      <c r="N2166" s="81" t="n"/>
      <c r="O2166" s="81" t="n"/>
      <c r="P2166" s="81" t="n"/>
      <c r="Q2166" s="81" t="n"/>
      <c r="R2166" s="81" t="n"/>
      <c r="S2166" s="81" t="n"/>
      <c r="T2166" s="81" t="n"/>
      <c r="U2166" s="81" t="n"/>
      <c r="V2166" s="81" t="n"/>
      <c r="W2166" s="43" t="n"/>
    </row>
    <row r="2167">
      <c r="A2167" s="43" t="inlineStr">
        <is>
          <t>N56</t>
        </is>
      </c>
      <c r="B2167" s="43" t="inlineStr"/>
      <c r="C2167" s="43" t="inlineStr">
        <is>
          <t>节段08</t>
        </is>
      </c>
      <c r="D2167" s="43" t="inlineStr">
        <is>
          <t>Q355D</t>
        </is>
      </c>
      <c r="E2167" s="43" t="n">
        <v>2400</v>
      </c>
      <c r="F2167" s="43" t="n">
        <v>320</v>
      </c>
      <c r="G2167" s="43" t="n">
        <v>32</v>
      </c>
      <c r="H2167" s="79">
        <f>(E2167/1000)*(F2167/1000)*(G2167/1000)*7850</f>
        <v/>
      </c>
      <c r="I2167" s="43" t="n">
        <v>8</v>
      </c>
      <c r="J2167" s="80">
        <f>H2167*I2167</f>
        <v/>
      </c>
      <c r="K2167" s="43" t="inlineStr">
        <is>
          <t>来源页171</t>
        </is>
      </c>
      <c r="L2167" s="43">
        <f>A2167</f>
        <v/>
      </c>
      <c r="M2167" s="81" t="n"/>
      <c r="N2167" s="81" t="n"/>
      <c r="O2167" s="81" t="n"/>
      <c r="P2167" s="81" t="n"/>
      <c r="Q2167" s="81" t="n"/>
      <c r="R2167" s="81" t="n"/>
      <c r="S2167" s="81" t="n"/>
      <c r="T2167" s="81" t="n"/>
      <c r="U2167" s="81" t="n"/>
      <c r="V2167" s="81" t="n"/>
      <c r="W2167" s="43" t="n"/>
    </row>
    <row r="2168">
      <c r="A2168" s="43" t="inlineStr">
        <is>
          <t>N61</t>
        </is>
      </c>
      <c r="B2168" s="43" t="inlineStr"/>
      <c r="C2168" s="43" t="inlineStr">
        <is>
          <t>节段08</t>
        </is>
      </c>
      <c r="D2168" s="43" t="inlineStr">
        <is>
          <t>Q355D</t>
        </is>
      </c>
      <c r="E2168" s="43" t="n">
        <v>1560</v>
      </c>
      <c r="F2168" s="43" t="n">
        <v>606</v>
      </c>
      <c r="G2168" s="43" t="n">
        <v>14</v>
      </c>
      <c r="H2168" s="79">
        <f>(E2168/1000)*(F2168/1000)*(G2168/1000)*7850</f>
        <v/>
      </c>
      <c r="I2168" s="43" t="n">
        <v>3</v>
      </c>
      <c r="J2168" s="80">
        <f>H2168*I2168</f>
        <v/>
      </c>
      <c r="K2168" s="43" t="inlineStr">
        <is>
          <t>来源页171</t>
        </is>
      </c>
      <c r="L2168" s="43">
        <f>A2168</f>
        <v/>
      </c>
      <c r="M2168" s="81" t="n"/>
      <c r="N2168" s="81" t="n"/>
      <c r="O2168" s="81" t="n"/>
      <c r="P2168" s="81" t="n"/>
      <c r="Q2168" s="81" t="n"/>
      <c r="R2168" s="81" t="n"/>
      <c r="S2168" s="81" t="n"/>
      <c r="T2168" s="81" t="n"/>
      <c r="U2168" s="81" t="n"/>
      <c r="V2168" s="81" t="n"/>
      <c r="W2168" s="43" t="n"/>
    </row>
    <row r="2169">
      <c r="A2169" s="43" t="inlineStr">
        <is>
          <t>N61a</t>
        </is>
      </c>
      <c r="B2169" s="43" t="inlineStr"/>
      <c r="C2169" s="43" t="inlineStr">
        <is>
          <t>节段08</t>
        </is>
      </c>
      <c r="D2169" s="43" t="inlineStr">
        <is>
          <t>Q355D</t>
        </is>
      </c>
      <c r="E2169" s="43" t="n">
        <v>1560</v>
      </c>
      <c r="F2169" s="43" t="n">
        <v>602</v>
      </c>
      <c r="G2169" s="43" t="n">
        <v>14</v>
      </c>
      <c r="H2169" s="79">
        <f>(E2169/1000)*(F2169/1000)*(G2169/1000)*7850</f>
        <v/>
      </c>
      <c r="I2169" s="43" t="n">
        <v>2</v>
      </c>
      <c r="J2169" s="80">
        <f>H2169*I2169</f>
        <v/>
      </c>
      <c r="K2169" s="43" t="inlineStr">
        <is>
          <t>来源页171</t>
        </is>
      </c>
      <c r="L2169" s="43">
        <f>A2169</f>
        <v/>
      </c>
      <c r="M2169" s="81" t="n"/>
      <c r="N2169" s="81" t="n"/>
      <c r="O2169" s="81" t="n"/>
      <c r="P2169" s="81" t="n"/>
      <c r="Q2169" s="81" t="n"/>
      <c r="R2169" s="81" t="n"/>
      <c r="S2169" s="81" t="n"/>
      <c r="T2169" s="81" t="n"/>
      <c r="U2169" s="81" t="n"/>
      <c r="V2169" s="81" t="n"/>
      <c r="W2169" s="43" t="n"/>
    </row>
    <row r="2170">
      <c r="A2170" s="43" t="inlineStr">
        <is>
          <t>N62</t>
        </is>
      </c>
      <c r="B2170" s="43" t="inlineStr"/>
      <c r="C2170" s="43" t="inlineStr">
        <is>
          <t>节段08</t>
        </is>
      </c>
      <c r="D2170" s="43" t="inlineStr">
        <is>
          <t>Q355D</t>
        </is>
      </c>
      <c r="E2170" s="43" t="n"/>
      <c r="F2170" s="43" t="n"/>
      <c r="G2170" s="43" t="n">
        <v>24</v>
      </c>
      <c r="H2170" s="79">
        <f>(E2170/1000)*(F2170/1000)*(G2170/1000)*7850</f>
        <v/>
      </c>
      <c r="I2170" s="43" t="n">
        <v>3</v>
      </c>
      <c r="J2170" s="80">
        <f>H2170*I2170</f>
        <v/>
      </c>
      <c r="K2170" s="43" t="inlineStr">
        <is>
          <t>来源页171</t>
        </is>
      </c>
      <c r="L2170" s="43">
        <f>A2170</f>
        <v/>
      </c>
      <c r="M2170" s="81" t="n"/>
      <c r="N2170" s="81" t="n"/>
      <c r="O2170" s="81" t="n"/>
      <c r="P2170" s="81" t="n"/>
      <c r="Q2170" s="81" t="n"/>
      <c r="R2170" s="81" t="n"/>
      <c r="S2170" s="81" t="n"/>
      <c r="T2170" s="81" t="n"/>
      <c r="U2170" s="81" t="n"/>
      <c r="V2170" s="81" t="n"/>
      <c r="W2170" s="43" t="n"/>
    </row>
    <row r="2171">
      <c r="A2171" s="43" t="inlineStr">
        <is>
          <t>N62a</t>
        </is>
      </c>
      <c r="B2171" s="43" t="inlineStr"/>
      <c r="C2171" s="43" t="inlineStr">
        <is>
          <t>节段08</t>
        </is>
      </c>
      <c r="D2171" s="43" t="inlineStr">
        <is>
          <t>Q355D</t>
        </is>
      </c>
      <c r="E2171" s="43" t="n"/>
      <c r="F2171" s="43" t="n"/>
      <c r="G2171" s="43" t="n">
        <v>24</v>
      </c>
      <c r="H2171" s="79">
        <f>(E2171/1000)*(F2171/1000)*(G2171/1000)*7850</f>
        <v/>
      </c>
      <c r="I2171" s="43" t="n">
        <v>2</v>
      </c>
      <c r="J2171" s="80">
        <f>H2171*I2171</f>
        <v/>
      </c>
      <c r="K2171" s="43" t="inlineStr">
        <is>
          <t>来源页171</t>
        </is>
      </c>
      <c r="L2171" s="43">
        <f>A2171</f>
        <v/>
      </c>
      <c r="M2171" s="81" t="n"/>
      <c r="N2171" s="81" t="n"/>
      <c r="O2171" s="81" t="n"/>
      <c r="P2171" s="81" t="n"/>
      <c r="Q2171" s="81" t="n"/>
      <c r="R2171" s="81" t="n"/>
      <c r="S2171" s="81" t="n"/>
      <c r="T2171" s="81" t="n"/>
      <c r="U2171" s="81" t="n"/>
      <c r="V2171" s="81" t="n"/>
      <c r="W2171" s="43" t="n"/>
    </row>
    <row r="2172">
      <c r="A2172" s="43" t="inlineStr">
        <is>
          <t>N63</t>
        </is>
      </c>
      <c r="B2172" s="43" t="inlineStr"/>
      <c r="C2172" s="43" t="inlineStr">
        <is>
          <t>节段08</t>
        </is>
      </c>
      <c r="D2172" s="43" t="inlineStr">
        <is>
          <t>Q355D</t>
        </is>
      </c>
      <c r="E2172" s="43" t="n">
        <v>1450</v>
      </c>
      <c r="F2172" s="43" t="n">
        <v>606</v>
      </c>
      <c r="G2172" s="43" t="n">
        <v>14</v>
      </c>
      <c r="H2172" s="79">
        <f>(E2172/1000)*(F2172/1000)*(G2172/1000)*7850</f>
        <v/>
      </c>
      <c r="I2172" s="43" t="n">
        <v>3</v>
      </c>
      <c r="J2172" s="80">
        <f>H2172*I2172</f>
        <v/>
      </c>
      <c r="K2172" s="43" t="inlineStr">
        <is>
          <t>来源页171</t>
        </is>
      </c>
      <c r="L2172" s="43">
        <f>A2172</f>
        <v/>
      </c>
      <c r="M2172" s="81" t="n"/>
      <c r="N2172" s="81" t="n"/>
      <c r="O2172" s="81" t="n"/>
      <c r="P2172" s="81" t="n"/>
      <c r="Q2172" s="81" t="n"/>
      <c r="R2172" s="81" t="n"/>
      <c r="S2172" s="81" t="n"/>
      <c r="T2172" s="81" t="n"/>
      <c r="U2172" s="81" t="n"/>
      <c r="V2172" s="81" t="n"/>
      <c r="W2172" s="43" t="n"/>
    </row>
    <row r="2173">
      <c r="A2173" s="43" t="inlineStr">
        <is>
          <t>N63a</t>
        </is>
      </c>
      <c r="B2173" s="43" t="inlineStr"/>
      <c r="C2173" s="43" t="inlineStr">
        <is>
          <t>节段08</t>
        </is>
      </c>
      <c r="D2173" s="43" t="inlineStr">
        <is>
          <t>Q355D</t>
        </is>
      </c>
      <c r="E2173" s="43" t="n">
        <v>1450</v>
      </c>
      <c r="F2173" s="43" t="n">
        <v>618</v>
      </c>
      <c r="G2173" s="43" t="n">
        <v>14</v>
      </c>
      <c r="H2173" s="79">
        <f>(E2173/1000)*(F2173/1000)*(G2173/1000)*7850</f>
        <v/>
      </c>
      <c r="I2173" s="43" t="n">
        <v>2</v>
      </c>
      <c r="J2173" s="80">
        <f>H2173*I2173</f>
        <v/>
      </c>
      <c r="K2173" s="43" t="inlineStr">
        <is>
          <t>来源页171</t>
        </is>
      </c>
      <c r="L2173" s="43">
        <f>A2173</f>
        <v/>
      </c>
      <c r="M2173" s="81" t="n"/>
      <c r="N2173" s="81" t="n"/>
      <c r="O2173" s="81" t="n"/>
      <c r="P2173" s="81" t="n"/>
      <c r="Q2173" s="81" t="n"/>
      <c r="R2173" s="81" t="n"/>
      <c r="S2173" s="81" t="n"/>
      <c r="T2173" s="81" t="n"/>
      <c r="U2173" s="81" t="n"/>
      <c r="V2173" s="81" t="n"/>
      <c r="W2173" s="43" t="n"/>
    </row>
    <row r="2174">
      <c r="A2174" s="43" t="inlineStr">
        <is>
          <t>P1</t>
        </is>
      </c>
      <c r="B2174" s="43" t="inlineStr">
        <is>
          <t>上弦杆拼接</t>
        </is>
      </c>
      <c r="C2174" s="43" t="inlineStr">
        <is>
          <t>节段8~节段9</t>
        </is>
      </c>
      <c r="D2174" s="43" t="inlineStr">
        <is>
          <t>Q355D</t>
        </is>
      </c>
      <c r="E2174" s="43" t="n">
        <v>1220</v>
      </c>
      <c r="F2174" s="43" t="n">
        <v>1400</v>
      </c>
      <c r="G2174" s="43" t="n">
        <v>28</v>
      </c>
      <c r="H2174" s="79">
        <f>(E2174/1000)*(F2174/1000)*(G2174/1000)*7850</f>
        <v/>
      </c>
      <c r="I2174" s="43" t="n">
        <v>2</v>
      </c>
      <c r="J2174" s="80">
        <f>H2174*I2174</f>
        <v/>
      </c>
      <c r="K2174" s="43" t="inlineStr">
        <is>
          <t>来源页174</t>
        </is>
      </c>
      <c r="L2174" s="43">
        <f>A2174</f>
        <v/>
      </c>
      <c r="M2174" s="81" t="n"/>
      <c r="N2174" s="81" t="n"/>
      <c r="O2174" s="81" t="n"/>
      <c r="P2174" s="81" t="n"/>
      <c r="Q2174" s="81" t="n"/>
      <c r="R2174" s="81" t="n"/>
      <c r="S2174" s="81" t="n"/>
      <c r="T2174" s="81" t="n"/>
      <c r="U2174" s="81" t="n"/>
      <c r="V2174" s="81" t="n"/>
      <c r="W2174" s="43" t="n"/>
    </row>
    <row r="2175">
      <c r="A2175" s="43" t="inlineStr">
        <is>
          <t>P2</t>
        </is>
      </c>
      <c r="B2175" s="43" t="inlineStr">
        <is>
          <t>上弦杆拼接</t>
        </is>
      </c>
      <c r="C2175" s="43" t="inlineStr">
        <is>
          <t>节段8~节段9</t>
        </is>
      </c>
      <c r="D2175" s="43" t="inlineStr">
        <is>
          <t>Q355D</t>
        </is>
      </c>
      <c r="E2175" s="43" t="n">
        <v>1220</v>
      </c>
      <c r="F2175" s="43" t="n">
        <v>300</v>
      </c>
      <c r="G2175" s="43" t="n">
        <v>28</v>
      </c>
      <c r="H2175" s="79">
        <f>(E2175/1000)*(F2175/1000)*(G2175/1000)*7850</f>
        <v/>
      </c>
      <c r="I2175" s="43" t="n">
        <v>2</v>
      </c>
      <c r="J2175" s="80">
        <f>H2175*I2175</f>
        <v/>
      </c>
      <c r="K2175" s="43" t="inlineStr">
        <is>
          <t>来源页174</t>
        </is>
      </c>
      <c r="L2175" s="43">
        <f>A2175</f>
        <v/>
      </c>
      <c r="M2175" s="81" t="n"/>
      <c r="N2175" s="81" t="n"/>
      <c r="O2175" s="81" t="n"/>
      <c r="P2175" s="81" t="n"/>
      <c r="Q2175" s="81" t="n"/>
      <c r="R2175" s="81" t="n"/>
      <c r="S2175" s="81" t="n"/>
      <c r="T2175" s="81" t="n"/>
      <c r="U2175" s="81" t="n"/>
      <c r="V2175" s="81" t="n"/>
      <c r="W2175" s="43" t="n"/>
    </row>
    <row r="2176">
      <c r="A2176" s="43" t="inlineStr">
        <is>
          <t>P3</t>
        </is>
      </c>
      <c r="B2176" s="43" t="inlineStr">
        <is>
          <t>上弦杆拼接</t>
        </is>
      </c>
      <c r="C2176" s="43" t="inlineStr">
        <is>
          <t>节段8~节段9</t>
        </is>
      </c>
      <c r="D2176" s="43" t="inlineStr">
        <is>
          <t>Q355D</t>
        </is>
      </c>
      <c r="E2176" s="43" t="n">
        <v>1220</v>
      </c>
      <c r="F2176" s="43" t="n">
        <v>500</v>
      </c>
      <c r="G2176" s="43" t="n">
        <v>28</v>
      </c>
      <c r="H2176" s="79">
        <f>(E2176/1000)*(F2176/1000)*(G2176/1000)*7850</f>
        <v/>
      </c>
      <c r="I2176" s="43" t="n">
        <v>2</v>
      </c>
      <c r="J2176" s="80">
        <f>H2176*I2176</f>
        <v/>
      </c>
      <c r="K2176" s="43" t="inlineStr">
        <is>
          <t>来源页174</t>
        </is>
      </c>
      <c r="L2176" s="43">
        <f>A2176</f>
        <v/>
      </c>
      <c r="M2176" s="81" t="n"/>
      <c r="N2176" s="81" t="n"/>
      <c r="O2176" s="81" t="n"/>
      <c r="P2176" s="81" t="n"/>
      <c r="Q2176" s="81" t="n"/>
      <c r="R2176" s="81" t="n"/>
      <c r="S2176" s="81" t="n"/>
      <c r="T2176" s="81" t="n"/>
      <c r="U2176" s="81" t="n"/>
      <c r="V2176" s="81" t="n"/>
      <c r="W2176" s="43" t="n"/>
    </row>
    <row r="2177">
      <c r="A2177" s="43" t="inlineStr">
        <is>
          <t>P4</t>
        </is>
      </c>
      <c r="B2177" s="43" t="inlineStr">
        <is>
          <t>上弦杆拼接</t>
        </is>
      </c>
      <c r="C2177" s="43" t="inlineStr">
        <is>
          <t>节段8~节段9</t>
        </is>
      </c>
      <c r="D2177" s="43" t="inlineStr">
        <is>
          <t>Q355D</t>
        </is>
      </c>
      <c r="E2177" s="43" t="n">
        <v>1220</v>
      </c>
      <c r="F2177" s="43" t="n">
        <v>400</v>
      </c>
      <c r="G2177" s="43" t="n">
        <v>28</v>
      </c>
      <c r="H2177" s="79">
        <f>(E2177/1000)*(F2177/1000)*(G2177/1000)*7850</f>
        <v/>
      </c>
      <c r="I2177" s="43" t="n">
        <v>2</v>
      </c>
      <c r="J2177" s="80">
        <f>H2177*I2177</f>
        <v/>
      </c>
      <c r="K2177" s="43" t="inlineStr">
        <is>
          <t>来源页174</t>
        </is>
      </c>
      <c r="L2177" s="43">
        <f>A2177</f>
        <v/>
      </c>
      <c r="M2177" s="81" t="n"/>
      <c r="N2177" s="81" t="n"/>
      <c r="O2177" s="81" t="n"/>
      <c r="P2177" s="81" t="n"/>
      <c r="Q2177" s="81" t="n"/>
      <c r="R2177" s="81" t="n"/>
      <c r="S2177" s="81" t="n"/>
      <c r="T2177" s="81" t="n"/>
      <c r="U2177" s="81" t="n"/>
      <c r="V2177" s="81" t="n"/>
      <c r="W2177" s="43" t="n"/>
    </row>
    <row r="2178">
      <c r="A2178" s="43" t="inlineStr">
        <is>
          <t>P5</t>
        </is>
      </c>
      <c r="B2178" s="43" t="inlineStr">
        <is>
          <t>上弦杆拼接</t>
        </is>
      </c>
      <c r="C2178" s="43" t="inlineStr">
        <is>
          <t>节段8~节段9</t>
        </is>
      </c>
      <c r="D2178" s="43" t="inlineStr">
        <is>
          <t>Q355D</t>
        </is>
      </c>
      <c r="E2178" s="43" t="n">
        <v>1420</v>
      </c>
      <c r="F2178" s="43" t="n">
        <v>1100</v>
      </c>
      <c r="G2178" s="43" t="n">
        <v>32</v>
      </c>
      <c r="H2178" s="79">
        <f>(E2178/1000)*(F2178/1000)*(G2178/1000)*7850</f>
        <v/>
      </c>
      <c r="I2178" s="43" t="n">
        <v>1</v>
      </c>
      <c r="J2178" s="80">
        <f>H2178*I2178</f>
        <v/>
      </c>
      <c r="K2178" s="43" t="inlineStr">
        <is>
          <t>来源页174</t>
        </is>
      </c>
      <c r="L2178" s="43">
        <f>A2178</f>
        <v/>
      </c>
      <c r="M2178" s="81" t="n"/>
      <c r="N2178" s="81" t="n"/>
      <c r="O2178" s="81" t="n"/>
      <c r="P2178" s="81" t="n"/>
      <c r="Q2178" s="81" t="n"/>
      <c r="R2178" s="81" t="n"/>
      <c r="S2178" s="81" t="n"/>
      <c r="T2178" s="81" t="n"/>
      <c r="U2178" s="81" t="n"/>
      <c r="V2178" s="81" t="n"/>
      <c r="W2178" s="43" t="n"/>
    </row>
    <row r="2179">
      <c r="A2179" s="43" t="inlineStr">
        <is>
          <t>P6</t>
        </is>
      </c>
      <c r="B2179" s="43" t="inlineStr">
        <is>
          <t>上弦杆拼接</t>
        </is>
      </c>
      <c r="C2179" s="43" t="inlineStr">
        <is>
          <t>节段8~节段9</t>
        </is>
      </c>
      <c r="D2179" s="43" t="inlineStr">
        <is>
          <t>Q355D</t>
        </is>
      </c>
      <c r="E2179" s="43" t="n">
        <v>1420</v>
      </c>
      <c r="F2179" s="43" t="n">
        <v>400</v>
      </c>
      <c r="G2179" s="43" t="n">
        <v>32</v>
      </c>
      <c r="H2179" s="79">
        <f>(E2179/1000)*(F2179/1000)*(G2179/1000)*7850</f>
        <v/>
      </c>
      <c r="I2179" s="43" t="n">
        <v>2</v>
      </c>
      <c r="J2179" s="80">
        <f>H2179*I2179</f>
        <v/>
      </c>
      <c r="K2179" s="43" t="inlineStr">
        <is>
          <t>来源页174</t>
        </is>
      </c>
      <c r="L2179" s="43">
        <f>A2179</f>
        <v/>
      </c>
      <c r="M2179" s="81" t="n"/>
      <c r="N2179" s="81" t="n"/>
      <c r="O2179" s="81" t="n"/>
      <c r="P2179" s="81" t="n"/>
      <c r="Q2179" s="81" t="n"/>
      <c r="R2179" s="81" t="n"/>
      <c r="S2179" s="81" t="n"/>
      <c r="T2179" s="81" t="n"/>
      <c r="U2179" s="81" t="n"/>
      <c r="V2179" s="81" t="n"/>
      <c r="W2179" s="43" t="n"/>
    </row>
    <row r="2180">
      <c r="A2180" s="43" t="inlineStr">
        <is>
          <t>P7</t>
        </is>
      </c>
      <c r="B2180" s="43" t="inlineStr">
        <is>
          <t>上弦杆拼接</t>
        </is>
      </c>
      <c r="C2180" s="43" t="inlineStr">
        <is>
          <t>节段8~节段9</t>
        </is>
      </c>
      <c r="D2180" s="43" t="inlineStr">
        <is>
          <t>Q355D</t>
        </is>
      </c>
      <c r="E2180" s="43" t="n">
        <v>920</v>
      </c>
      <c r="F2180" s="43" t="n">
        <v>200</v>
      </c>
      <c r="G2180" s="43" t="n">
        <v>20</v>
      </c>
      <c r="H2180" s="79">
        <f>(E2180/1000)*(F2180/1000)*(G2180/1000)*7850</f>
        <v/>
      </c>
      <c r="I2180" s="43" t="n">
        <v>10</v>
      </c>
      <c r="J2180" s="80">
        <f>H2180*I2180</f>
        <v/>
      </c>
      <c r="K2180" s="43" t="inlineStr">
        <is>
          <t>来源页174</t>
        </is>
      </c>
      <c r="L2180" s="43">
        <f>A2180</f>
        <v/>
      </c>
      <c r="M2180" s="81" t="n"/>
      <c r="N2180" s="81" t="n"/>
      <c r="O2180" s="81" t="n"/>
      <c r="P2180" s="81" t="n"/>
      <c r="Q2180" s="81" t="n"/>
      <c r="R2180" s="81" t="n"/>
      <c r="S2180" s="81" t="n"/>
      <c r="T2180" s="81" t="n"/>
      <c r="U2180" s="81" t="n"/>
      <c r="V2180" s="81" t="n"/>
      <c r="W2180" s="43" t="n"/>
    </row>
    <row r="2181">
      <c r="A2181" s="43" t="inlineStr">
        <is>
          <t>P8</t>
        </is>
      </c>
      <c r="B2181" s="43" t="inlineStr">
        <is>
          <t>上弦杆拼接</t>
        </is>
      </c>
      <c r="C2181" s="43" t="inlineStr">
        <is>
          <t>节段8~节段9</t>
        </is>
      </c>
      <c r="D2181" s="43" t="inlineStr">
        <is>
          <t>Q355D</t>
        </is>
      </c>
      <c r="E2181" s="43" t="n">
        <v>600</v>
      </c>
      <c r="F2181" s="43" t="n">
        <v>1800</v>
      </c>
      <c r="G2181" s="43" t="n">
        <v>16</v>
      </c>
      <c r="H2181" s="79">
        <f>(E2181/1000)*(F2181/1000)*(G2181/1000)*7850</f>
        <v/>
      </c>
      <c r="I2181" s="43" t="n">
        <v>2</v>
      </c>
      <c r="J2181" s="80">
        <f>H2181*I2181</f>
        <v/>
      </c>
      <c r="K2181" s="43" t="inlineStr">
        <is>
          <t>填板；来源页174</t>
        </is>
      </c>
      <c r="L2181" s="43">
        <f>A2181</f>
        <v/>
      </c>
      <c r="M2181" s="81" t="n"/>
      <c r="N2181" s="81" t="n"/>
      <c r="O2181" s="81" t="n"/>
      <c r="P2181" s="81" t="n"/>
      <c r="Q2181" s="81" t="n"/>
      <c r="R2181" s="81" t="n"/>
      <c r="S2181" s="81" t="n"/>
      <c r="T2181" s="81" t="n"/>
      <c r="U2181" s="81" t="n"/>
      <c r="V2181" s="81" t="n"/>
      <c r="W2181" s="43" t="n"/>
    </row>
    <row r="2182">
      <c r="A2182" s="43" t="inlineStr">
        <is>
          <t>P9</t>
        </is>
      </c>
      <c r="B2182" s="43" t="inlineStr">
        <is>
          <t>上弦杆拼接</t>
        </is>
      </c>
      <c r="C2182" s="43" t="inlineStr">
        <is>
          <t>节段8~节段9</t>
        </is>
      </c>
      <c r="D2182" s="43" t="inlineStr">
        <is>
          <t>Q355D</t>
        </is>
      </c>
      <c r="E2182" s="43" t="n">
        <v>700</v>
      </c>
      <c r="F2182" s="43" t="n">
        <v>1100</v>
      </c>
      <c r="G2182" s="43" t="n">
        <v>16</v>
      </c>
      <c r="H2182" s="79">
        <f>(E2182/1000)*(F2182/1000)*(G2182/1000)*7850</f>
        <v/>
      </c>
      <c r="I2182" s="43" t="n">
        <v>1</v>
      </c>
      <c r="J2182" s="80">
        <f>H2182*I2182</f>
        <v/>
      </c>
      <c r="K2182" s="43" t="inlineStr">
        <is>
          <t>填板；来源页174</t>
        </is>
      </c>
      <c r="L2182" s="43">
        <f>A2182</f>
        <v/>
      </c>
      <c r="M2182" s="81" t="n"/>
      <c r="N2182" s="81" t="n"/>
      <c r="O2182" s="81" t="n"/>
      <c r="P2182" s="81" t="n"/>
      <c r="Q2182" s="81" t="n"/>
      <c r="R2182" s="81" t="n"/>
      <c r="S2182" s="81" t="n"/>
      <c r="T2182" s="81" t="n"/>
      <c r="U2182" s="81" t="n"/>
      <c r="V2182" s="81" t="n"/>
      <c r="W2182" s="43" t="n"/>
    </row>
    <row r="2183">
      <c r="A2183" s="43" t="inlineStr">
        <is>
          <t>M30高强螺栓</t>
        </is>
      </c>
      <c r="B2183" s="43" t="inlineStr">
        <is>
          <t>上弦杆拼接</t>
        </is>
      </c>
      <c r="C2183" s="43" t="inlineStr">
        <is>
          <t>节段8~节段9</t>
        </is>
      </c>
      <c r="D2183" s="43" t="inlineStr">
        <is>
          <t>10.9S</t>
        </is>
      </c>
      <c r="E2183" s="43" t="n"/>
      <c r="F2183" s="43" t="n"/>
      <c r="G2183" s="43" t="n"/>
      <c r="H2183" s="79">
        <f>(E2183/1000)*(F2183/1000)*(G2183/1000)*7850</f>
        <v/>
      </c>
      <c r="I2183" s="43" t="n">
        <v>428</v>
      </c>
      <c r="J2183" s="80">
        <f>H2183*I2183</f>
        <v/>
      </c>
      <c r="K2183" s="43" t="inlineStr">
        <is>
          <t>来源页174</t>
        </is>
      </c>
      <c r="L2183" s="43">
        <f>A2183</f>
        <v/>
      </c>
      <c r="M2183" s="81" t="n"/>
      <c r="N2183" s="81" t="n"/>
      <c r="O2183" s="81" t="n"/>
      <c r="P2183" s="81" t="n"/>
      <c r="Q2183" s="81" t="n"/>
      <c r="R2183" s="81" t="n"/>
      <c r="S2183" s="81" t="n"/>
      <c r="T2183" s="81" t="n"/>
      <c r="U2183" s="81" t="n"/>
      <c r="V2183" s="81" t="n"/>
      <c r="W2183" s="43" t="n"/>
    </row>
    <row r="2184">
      <c r="A2184" s="43" t="inlineStr">
        <is>
          <t>K1</t>
        </is>
      </c>
      <c r="B2184" s="43" t="inlineStr">
        <is>
          <t>下弦杆拼接</t>
        </is>
      </c>
      <c r="C2184" s="43" t="inlineStr">
        <is>
          <t>节段8~节段9</t>
        </is>
      </c>
      <c r="D2184" s="43" t="inlineStr">
        <is>
          <t>Q355D</t>
        </is>
      </c>
      <c r="E2184" s="43" t="n">
        <v>1020</v>
      </c>
      <c r="F2184" s="43" t="n">
        <v>1300</v>
      </c>
      <c r="G2184" s="43" t="n">
        <v>24</v>
      </c>
      <c r="H2184" s="79">
        <f>(E2184/1000)*(F2184/1000)*(G2184/1000)*7850</f>
        <v/>
      </c>
      <c r="I2184" s="43" t="n">
        <v>2</v>
      </c>
      <c r="J2184" s="80">
        <f>H2184*I2184</f>
        <v/>
      </c>
      <c r="K2184" s="43" t="inlineStr">
        <is>
          <t>来源页174</t>
        </is>
      </c>
      <c r="L2184" s="43">
        <f>A2184</f>
        <v/>
      </c>
      <c r="M2184" s="81" t="n"/>
      <c r="N2184" s="81" t="n"/>
      <c r="O2184" s="81" t="n"/>
      <c r="P2184" s="81" t="n"/>
      <c r="Q2184" s="81" t="n"/>
      <c r="R2184" s="81" t="n"/>
      <c r="S2184" s="81" t="n"/>
      <c r="T2184" s="81" t="n"/>
      <c r="U2184" s="81" t="n"/>
      <c r="V2184" s="81" t="n"/>
      <c r="W2184" s="43" t="n"/>
    </row>
    <row r="2185">
      <c r="A2185" s="43" t="inlineStr">
        <is>
          <t>K2</t>
        </is>
      </c>
      <c r="B2185" s="43" t="inlineStr">
        <is>
          <t>下弦杆拼接</t>
        </is>
      </c>
      <c r="C2185" s="43" t="inlineStr">
        <is>
          <t>节段8~节段9</t>
        </is>
      </c>
      <c r="D2185" s="43" t="inlineStr">
        <is>
          <t>Q355D</t>
        </is>
      </c>
      <c r="E2185" s="43" t="n">
        <v>1020</v>
      </c>
      <c r="F2185" s="43" t="n">
        <v>600</v>
      </c>
      <c r="G2185" s="43" t="n">
        <v>24</v>
      </c>
      <c r="H2185" s="79">
        <f>(E2185/1000)*(F2185/1000)*(G2185/1000)*7850</f>
        <v/>
      </c>
      <c r="I2185" s="43" t="n">
        <v>4</v>
      </c>
      <c r="J2185" s="80">
        <f>H2185*I2185</f>
        <v/>
      </c>
      <c r="K2185" s="43" t="inlineStr">
        <is>
          <t>来源页174</t>
        </is>
      </c>
      <c r="L2185" s="43">
        <f>A2185</f>
        <v/>
      </c>
      <c r="M2185" s="81" t="n"/>
      <c r="N2185" s="81" t="n"/>
      <c r="O2185" s="81" t="n"/>
      <c r="P2185" s="81" t="n"/>
      <c r="Q2185" s="81" t="n"/>
      <c r="R2185" s="81" t="n"/>
      <c r="S2185" s="81" t="n"/>
      <c r="T2185" s="81" t="n"/>
      <c r="U2185" s="81" t="n"/>
      <c r="V2185" s="81" t="n"/>
      <c r="W2185" s="43" t="n"/>
    </row>
    <row r="2186">
      <c r="A2186" s="43" t="inlineStr">
        <is>
          <t>K3</t>
        </is>
      </c>
      <c r="B2186" s="43" t="inlineStr">
        <is>
          <t>下弦杆拼接</t>
        </is>
      </c>
      <c r="C2186" s="43" t="inlineStr">
        <is>
          <t>节段8~节段9</t>
        </is>
      </c>
      <c r="D2186" s="43" t="inlineStr">
        <is>
          <t>Q355D</t>
        </is>
      </c>
      <c r="E2186" s="43" t="n">
        <v>1320</v>
      </c>
      <c r="F2186" s="43" t="n">
        <v>1100</v>
      </c>
      <c r="G2186" s="43" t="n">
        <v>36</v>
      </c>
      <c r="H2186" s="79">
        <f>(E2186/1000)*(F2186/1000)*(G2186/1000)*7850</f>
        <v/>
      </c>
      <c r="I2186" s="43" t="n">
        <v>1</v>
      </c>
      <c r="J2186" s="80">
        <f>H2186*I2186</f>
        <v/>
      </c>
      <c r="K2186" s="43" t="inlineStr">
        <is>
          <t>来源页174</t>
        </is>
      </c>
      <c r="L2186" s="43">
        <f>A2186</f>
        <v/>
      </c>
      <c r="M2186" s="81" t="n"/>
      <c r="N2186" s="81" t="n"/>
      <c r="O2186" s="81" t="n"/>
      <c r="P2186" s="81" t="n"/>
      <c r="Q2186" s="81" t="n"/>
      <c r="R2186" s="81" t="n"/>
      <c r="S2186" s="81" t="n"/>
      <c r="T2186" s="81" t="n"/>
      <c r="U2186" s="81" t="n"/>
      <c r="V2186" s="81" t="n"/>
      <c r="W2186" s="43" t="n"/>
    </row>
    <row r="2187">
      <c r="A2187" s="43" t="inlineStr">
        <is>
          <t>K4</t>
        </is>
      </c>
      <c r="B2187" s="43" t="inlineStr">
        <is>
          <t>下弦杆拼接</t>
        </is>
      </c>
      <c r="C2187" s="43" t="inlineStr">
        <is>
          <t>节段8~节段9</t>
        </is>
      </c>
      <c r="D2187" s="43" t="inlineStr">
        <is>
          <t>Q355D</t>
        </is>
      </c>
      <c r="E2187" s="43" t="n">
        <v>1320</v>
      </c>
      <c r="F2187" s="43" t="n">
        <v>400</v>
      </c>
      <c r="G2187" s="43" t="n">
        <v>36</v>
      </c>
      <c r="H2187" s="79">
        <f>(E2187/1000)*(F2187/1000)*(G2187/1000)*7850</f>
        <v/>
      </c>
      <c r="I2187" s="43" t="n">
        <v>2</v>
      </c>
      <c r="J2187" s="80">
        <f>H2187*I2187</f>
        <v/>
      </c>
      <c r="K2187" s="43" t="inlineStr">
        <is>
          <t>来源页174</t>
        </is>
      </c>
      <c r="L2187" s="43">
        <f>A2187</f>
        <v/>
      </c>
      <c r="M2187" s="81" t="n"/>
      <c r="N2187" s="81" t="n"/>
      <c r="O2187" s="81" t="n"/>
      <c r="P2187" s="81" t="n"/>
      <c r="Q2187" s="81" t="n"/>
      <c r="R2187" s="81" t="n"/>
      <c r="S2187" s="81" t="n"/>
      <c r="T2187" s="81" t="n"/>
      <c r="U2187" s="81" t="n"/>
      <c r="V2187" s="81" t="n"/>
      <c r="W2187" s="43" t="n"/>
    </row>
    <row r="2188">
      <c r="A2188" s="43" t="inlineStr">
        <is>
          <t>K6</t>
        </is>
      </c>
      <c r="B2188" s="43" t="inlineStr">
        <is>
          <t>下弦杆拼接</t>
        </is>
      </c>
      <c r="C2188" s="43" t="inlineStr">
        <is>
          <t>节段8~节段9</t>
        </is>
      </c>
      <c r="D2188" s="43" t="inlineStr">
        <is>
          <t>Q355D</t>
        </is>
      </c>
      <c r="E2188" s="43" t="n">
        <v>500</v>
      </c>
      <c r="F2188" s="43" t="n">
        <v>1700</v>
      </c>
      <c r="G2188" s="43" t="n">
        <v>8</v>
      </c>
      <c r="H2188" s="79">
        <f>(E2188/1000)*(F2188/1000)*(G2188/1000)*7850</f>
        <v/>
      </c>
      <c r="I2188" s="43" t="n">
        <v>2</v>
      </c>
      <c r="J2188" s="80">
        <f>H2188*I2188</f>
        <v/>
      </c>
      <c r="K2188" s="43" t="inlineStr">
        <is>
          <t>填板；来源页174</t>
        </is>
      </c>
      <c r="L2188" s="43">
        <f>A2188</f>
        <v/>
      </c>
      <c r="M2188" s="81" t="n"/>
      <c r="N2188" s="81" t="n"/>
      <c r="O2188" s="81" t="n"/>
      <c r="P2188" s="81" t="n"/>
      <c r="Q2188" s="81" t="n"/>
      <c r="R2188" s="81" t="n"/>
      <c r="S2188" s="81" t="n"/>
      <c r="T2188" s="81" t="n"/>
      <c r="U2188" s="81" t="n"/>
      <c r="V2188" s="81" t="n"/>
      <c r="W2188" s="43" t="n"/>
    </row>
    <row r="2189">
      <c r="A2189" s="43" t="inlineStr">
        <is>
          <t>K7</t>
        </is>
      </c>
      <c r="B2189" s="43" t="inlineStr">
        <is>
          <t>下弦杆拼接</t>
        </is>
      </c>
      <c r="C2189" s="43" t="inlineStr">
        <is>
          <t>节段8~节段9</t>
        </is>
      </c>
      <c r="D2189" s="43" t="inlineStr">
        <is>
          <t>Q355D</t>
        </is>
      </c>
      <c r="E2189" s="43" t="n">
        <v>650</v>
      </c>
      <c r="F2189" s="43" t="n">
        <v>1100</v>
      </c>
      <c r="G2189" s="43" t="n">
        <v>4</v>
      </c>
      <c r="H2189" s="79">
        <f>(E2189/1000)*(F2189/1000)*(G2189/1000)*7850</f>
        <v/>
      </c>
      <c r="I2189" s="43" t="n">
        <v>1</v>
      </c>
      <c r="J2189" s="80">
        <f>H2189*I2189</f>
        <v/>
      </c>
      <c r="K2189" s="43" t="inlineStr">
        <is>
          <t>填板；来源页174</t>
        </is>
      </c>
      <c r="L2189" s="43">
        <f>A2189</f>
        <v/>
      </c>
      <c r="M2189" s="81" t="n"/>
      <c r="N2189" s="81" t="n"/>
      <c r="O2189" s="81" t="n"/>
      <c r="P2189" s="81" t="n"/>
      <c r="Q2189" s="81" t="n"/>
      <c r="R2189" s="81" t="n"/>
      <c r="S2189" s="81" t="n"/>
      <c r="T2189" s="81" t="n"/>
      <c r="U2189" s="81" t="n"/>
      <c r="V2189" s="81" t="n"/>
      <c r="W2189" s="43" t="n"/>
    </row>
    <row r="2190">
      <c r="A2190" s="43" t="inlineStr">
        <is>
          <t>M30高强螺栓</t>
        </is>
      </c>
      <c r="B2190" s="43" t="inlineStr">
        <is>
          <t>下弦杆拼接</t>
        </is>
      </c>
      <c r="C2190" s="43" t="inlineStr">
        <is>
          <t>节段8~节段9</t>
        </is>
      </c>
      <c r="D2190" s="43" t="inlineStr">
        <is>
          <t>10.9S</t>
        </is>
      </c>
      <c r="E2190" s="43" t="n"/>
      <c r="F2190" s="43" t="n"/>
      <c r="G2190" s="43" t="n"/>
      <c r="H2190" s="79">
        <f>(E2190/1000)*(F2190/1000)*(G2190/1000)*7850</f>
        <v/>
      </c>
      <c r="I2190" s="43" t="n">
        <v>344</v>
      </c>
      <c r="J2190" s="80">
        <f>H2190*I2190</f>
        <v/>
      </c>
      <c r="K2190" s="43" t="inlineStr">
        <is>
          <t>来源页174</t>
        </is>
      </c>
      <c r="L2190" s="43">
        <f>A2190</f>
        <v/>
      </c>
      <c r="M2190" s="81" t="n"/>
      <c r="N2190" s="81" t="n"/>
      <c r="O2190" s="81" t="n"/>
      <c r="P2190" s="81" t="n"/>
      <c r="Q2190" s="81" t="n"/>
      <c r="R2190" s="81" t="n"/>
      <c r="S2190" s="81" t="n"/>
      <c r="T2190" s="81" t="n"/>
      <c r="U2190" s="81" t="n"/>
      <c r="V2190" s="81" t="n"/>
      <c r="W2190" s="43" t="n"/>
    </row>
    <row r="2191">
      <c r="A2191" s="43" t="inlineStr">
        <is>
          <t>L1</t>
        </is>
      </c>
      <c r="B2191" s="43" t="inlineStr">
        <is>
          <t>腹杆拼接</t>
        </is>
      </c>
      <c r="C2191" s="43" t="inlineStr">
        <is>
          <t>节段8~节段9</t>
        </is>
      </c>
      <c r="D2191" s="43" t="inlineStr">
        <is>
          <t>Q355D</t>
        </is>
      </c>
      <c r="E2191" s="43" t="n">
        <v>1520</v>
      </c>
      <c r="F2191" s="43" t="n">
        <v>1100</v>
      </c>
      <c r="G2191" s="43" t="n">
        <v>24</v>
      </c>
      <c r="H2191" s="79">
        <f>(E2191/1000)*(F2191/1000)*(G2191/1000)*7850</f>
        <v/>
      </c>
      <c r="I2191" s="43" t="n">
        <v>2</v>
      </c>
      <c r="J2191" s="80">
        <f>H2191*I2191</f>
        <v/>
      </c>
      <c r="K2191" s="43" t="inlineStr">
        <is>
          <t>来源页174</t>
        </is>
      </c>
      <c r="L2191" s="43">
        <f>A2191</f>
        <v/>
      </c>
      <c r="M2191" s="81" t="n"/>
      <c r="N2191" s="81" t="n"/>
      <c r="O2191" s="81" t="n"/>
      <c r="P2191" s="81" t="n"/>
      <c r="Q2191" s="81" t="n"/>
      <c r="R2191" s="81" t="n"/>
      <c r="S2191" s="81" t="n"/>
      <c r="T2191" s="81" t="n"/>
      <c r="U2191" s="81" t="n"/>
      <c r="V2191" s="81" t="n"/>
      <c r="W2191" s="43" t="n"/>
    </row>
    <row r="2192">
      <c r="A2192" s="43" t="inlineStr">
        <is>
          <t>L2</t>
        </is>
      </c>
      <c r="B2192" s="43" t="inlineStr">
        <is>
          <t>腹杆拼接</t>
        </is>
      </c>
      <c r="C2192" s="43" t="inlineStr">
        <is>
          <t>节段8~节段9</t>
        </is>
      </c>
      <c r="D2192" s="43" t="inlineStr">
        <is>
          <t>Q355D</t>
        </is>
      </c>
      <c r="E2192" s="43" t="n">
        <v>1520</v>
      </c>
      <c r="F2192" s="43" t="n">
        <v>500</v>
      </c>
      <c r="G2192" s="43" t="n">
        <v>24</v>
      </c>
      <c r="H2192" s="79">
        <f>(E2192/1000)*(F2192/1000)*(G2192/1000)*7850</f>
        <v/>
      </c>
      <c r="I2192" s="43" t="n">
        <v>4</v>
      </c>
      <c r="J2192" s="80">
        <f>H2192*I2192</f>
        <v/>
      </c>
      <c r="K2192" s="43" t="inlineStr">
        <is>
          <t>来源页174</t>
        </is>
      </c>
      <c r="L2192" s="43">
        <f>A2192</f>
        <v/>
      </c>
      <c r="M2192" s="81" t="n"/>
      <c r="N2192" s="81" t="n"/>
      <c r="O2192" s="81" t="n"/>
      <c r="P2192" s="81" t="n"/>
      <c r="Q2192" s="81" t="n"/>
      <c r="R2192" s="81" t="n"/>
      <c r="S2192" s="81" t="n"/>
      <c r="T2192" s="81" t="n"/>
      <c r="U2192" s="81" t="n"/>
      <c r="V2192" s="81" t="n"/>
      <c r="W2192" s="43" t="n"/>
    </row>
    <row r="2193">
      <c r="A2193" s="43" t="inlineStr">
        <is>
          <t>L3</t>
        </is>
      </c>
      <c r="B2193" s="43" t="inlineStr">
        <is>
          <t>腹杆拼接</t>
        </is>
      </c>
      <c r="C2193" s="43" t="inlineStr">
        <is>
          <t>节段8~节段9</t>
        </is>
      </c>
      <c r="D2193" s="43" t="inlineStr">
        <is>
          <t>Q355D</t>
        </is>
      </c>
      <c r="E2193" s="43" t="n">
        <v>1320</v>
      </c>
      <c r="F2193" s="43" t="n">
        <v>1100</v>
      </c>
      <c r="G2193" s="43" t="n">
        <v>28</v>
      </c>
      <c r="H2193" s="79">
        <f>(E2193/1000)*(F2193/1000)*(G2193/1000)*7850</f>
        <v/>
      </c>
      <c r="I2193" s="43" t="n">
        <v>1</v>
      </c>
      <c r="J2193" s="80">
        <f>H2193*I2193</f>
        <v/>
      </c>
      <c r="K2193" s="43" t="inlineStr">
        <is>
          <t>来源页174</t>
        </is>
      </c>
      <c r="L2193" s="43">
        <f>A2193</f>
        <v/>
      </c>
      <c r="M2193" s="81" t="n"/>
      <c r="N2193" s="81" t="n"/>
      <c r="O2193" s="81" t="n"/>
      <c r="P2193" s="81" t="n"/>
      <c r="Q2193" s="81" t="n"/>
      <c r="R2193" s="81" t="n"/>
      <c r="S2193" s="81" t="n"/>
      <c r="T2193" s="81" t="n"/>
      <c r="U2193" s="81" t="n"/>
      <c r="V2193" s="81" t="n"/>
      <c r="W2193" s="43" t="n"/>
    </row>
    <row r="2194">
      <c r="A2194" s="43" t="inlineStr">
        <is>
          <t>L4</t>
        </is>
      </c>
      <c r="B2194" s="43" t="inlineStr">
        <is>
          <t>腹杆拼接</t>
        </is>
      </c>
      <c r="C2194" s="43" t="inlineStr">
        <is>
          <t>节段8~节段9</t>
        </is>
      </c>
      <c r="D2194" s="43" t="inlineStr">
        <is>
          <t>Q355D</t>
        </is>
      </c>
      <c r="E2194" s="43" t="n">
        <v>1320</v>
      </c>
      <c r="F2194" s="43" t="n">
        <v>500</v>
      </c>
      <c r="G2194" s="43" t="n">
        <v>28</v>
      </c>
      <c r="H2194" s="79">
        <f>(E2194/1000)*(F2194/1000)*(G2194/1000)*7850</f>
        <v/>
      </c>
      <c r="I2194" s="43" t="n">
        <v>2</v>
      </c>
      <c r="J2194" s="80">
        <f>H2194*I2194</f>
        <v/>
      </c>
      <c r="K2194" s="43" t="inlineStr">
        <is>
          <t>来源页174</t>
        </is>
      </c>
      <c r="L2194" s="43">
        <f>A2194</f>
        <v/>
      </c>
      <c r="M2194" s="81" t="n"/>
      <c r="N2194" s="81" t="n"/>
      <c r="O2194" s="81" t="n"/>
      <c r="P2194" s="81" t="n"/>
      <c r="Q2194" s="81" t="n"/>
      <c r="R2194" s="81" t="n"/>
      <c r="S2194" s="81" t="n"/>
      <c r="T2194" s="81" t="n"/>
      <c r="U2194" s="81" t="n"/>
      <c r="V2194" s="81" t="n"/>
      <c r="W2194" s="43" t="n"/>
    </row>
    <row r="2195">
      <c r="A2195" s="43" t="inlineStr">
        <is>
          <t>L5</t>
        </is>
      </c>
      <c r="B2195" s="43" t="inlineStr">
        <is>
          <t>腹杆拼接</t>
        </is>
      </c>
      <c r="C2195" s="43" t="inlineStr">
        <is>
          <t>节段8~节段9</t>
        </is>
      </c>
      <c r="D2195" s="43" t="inlineStr">
        <is>
          <t>Q355D</t>
        </is>
      </c>
      <c r="E2195" s="43" t="n">
        <v>1520</v>
      </c>
      <c r="F2195" s="43" t="n">
        <v>1100</v>
      </c>
      <c r="G2195" s="43" t="n">
        <v>44</v>
      </c>
      <c r="H2195" s="79">
        <f>(E2195/1000)*(F2195/1000)*(G2195/1000)*7850</f>
        <v/>
      </c>
      <c r="I2195" s="43" t="n">
        <v>1</v>
      </c>
      <c r="J2195" s="80">
        <f>H2195*I2195</f>
        <v/>
      </c>
      <c r="K2195" s="43" t="inlineStr">
        <is>
          <t>来源页174</t>
        </is>
      </c>
      <c r="L2195" s="43">
        <f>A2195</f>
        <v/>
      </c>
      <c r="M2195" s="81" t="n"/>
      <c r="N2195" s="81" t="n"/>
      <c r="O2195" s="81" t="n"/>
      <c r="P2195" s="81" t="n"/>
      <c r="Q2195" s="81" t="n"/>
      <c r="R2195" s="81" t="n"/>
      <c r="S2195" s="81" t="n"/>
      <c r="T2195" s="81" t="n"/>
      <c r="U2195" s="81" t="n"/>
      <c r="V2195" s="81" t="n"/>
      <c r="W2195" s="43" t="n"/>
    </row>
    <row r="2196">
      <c r="A2196" s="43" t="inlineStr">
        <is>
          <t>L6</t>
        </is>
      </c>
      <c r="B2196" s="43" t="inlineStr">
        <is>
          <t>腹杆拼接</t>
        </is>
      </c>
      <c r="C2196" s="43" t="inlineStr">
        <is>
          <t>节段8~节段9</t>
        </is>
      </c>
      <c r="D2196" s="43" t="inlineStr">
        <is>
          <t>Q355D</t>
        </is>
      </c>
      <c r="E2196" s="43" t="n">
        <v>1520</v>
      </c>
      <c r="F2196" s="43" t="n">
        <v>240</v>
      </c>
      <c r="G2196" s="43" t="n">
        <v>44</v>
      </c>
      <c r="H2196" s="79">
        <f>(E2196/1000)*(F2196/1000)*(G2196/1000)*7850</f>
        <v/>
      </c>
      <c r="I2196" s="43" t="n">
        <v>2</v>
      </c>
      <c r="J2196" s="80">
        <f>H2196*I2196</f>
        <v/>
      </c>
      <c r="K2196" s="43" t="inlineStr">
        <is>
          <t>来源页174</t>
        </is>
      </c>
      <c r="L2196" s="43">
        <f>A2196</f>
        <v/>
      </c>
      <c r="M2196" s="81" t="n"/>
      <c r="N2196" s="81" t="n"/>
      <c r="O2196" s="81" t="n"/>
      <c r="P2196" s="81" t="n"/>
      <c r="Q2196" s="81" t="n"/>
      <c r="R2196" s="81" t="n"/>
      <c r="S2196" s="81" t="n"/>
      <c r="T2196" s="81" t="n"/>
      <c r="U2196" s="81" t="n"/>
      <c r="V2196" s="81" t="n"/>
      <c r="W2196" s="43" t="n"/>
    </row>
    <row r="2197">
      <c r="A2197" s="43" t="inlineStr">
        <is>
          <t>L7</t>
        </is>
      </c>
      <c r="B2197" s="43" t="inlineStr">
        <is>
          <t>腹杆拼接</t>
        </is>
      </c>
      <c r="C2197" s="43" t="inlineStr">
        <is>
          <t>节段8~节段9</t>
        </is>
      </c>
      <c r="D2197" s="43" t="inlineStr">
        <is>
          <t>Q355D</t>
        </is>
      </c>
      <c r="E2197" s="43" t="n">
        <v>1220</v>
      </c>
      <c r="F2197" s="43" t="n">
        <v>240</v>
      </c>
      <c r="G2197" s="43" t="n">
        <v>24</v>
      </c>
      <c r="H2197" s="79">
        <f>(E2197/1000)*(F2197/1000)*(G2197/1000)*7850</f>
        <v/>
      </c>
      <c r="I2197" s="43" t="n">
        <v>4</v>
      </c>
      <c r="J2197" s="80">
        <f>H2197*I2197</f>
        <v/>
      </c>
      <c r="K2197" s="43" t="inlineStr">
        <is>
          <t>来源页174</t>
        </is>
      </c>
      <c r="L2197" s="43">
        <f>A2197</f>
        <v/>
      </c>
      <c r="M2197" s="81" t="n"/>
      <c r="N2197" s="81" t="n"/>
      <c r="O2197" s="81" t="n"/>
      <c r="P2197" s="81" t="n"/>
      <c r="Q2197" s="81" t="n"/>
      <c r="R2197" s="81" t="n"/>
      <c r="S2197" s="81" t="n"/>
      <c r="T2197" s="81" t="n"/>
      <c r="U2197" s="81" t="n"/>
      <c r="V2197" s="81" t="n"/>
      <c r="W2197" s="43" t="n"/>
    </row>
    <row r="2198">
      <c r="A2198" s="43" t="inlineStr">
        <is>
          <t>L8</t>
        </is>
      </c>
      <c r="B2198" s="43" t="inlineStr">
        <is>
          <t>腹杆拼接</t>
        </is>
      </c>
      <c r="C2198" s="43" t="inlineStr">
        <is>
          <t>节段8~节段9</t>
        </is>
      </c>
      <c r="D2198" s="43" t="inlineStr">
        <is>
          <t>Q355D</t>
        </is>
      </c>
      <c r="E2198" s="43" t="n">
        <v>1320</v>
      </c>
      <c r="F2198" s="43" t="n">
        <v>240</v>
      </c>
      <c r="G2198" s="43" t="n">
        <v>24</v>
      </c>
      <c r="H2198" s="79">
        <f>(E2198/1000)*(F2198/1000)*(G2198/1000)*7850</f>
        <v/>
      </c>
      <c r="I2198" s="43" t="n">
        <v>2</v>
      </c>
      <c r="J2198" s="80">
        <f>H2198*I2198</f>
        <v/>
      </c>
      <c r="K2198" s="43" t="inlineStr">
        <is>
          <t>来源页174</t>
        </is>
      </c>
      <c r="L2198" s="43">
        <f>A2198</f>
        <v/>
      </c>
      <c r="M2198" s="81" t="n"/>
      <c r="N2198" s="81" t="n"/>
      <c r="O2198" s="81" t="n"/>
      <c r="P2198" s="81" t="n"/>
      <c r="Q2198" s="81" t="n"/>
      <c r="R2198" s="81" t="n"/>
      <c r="S2198" s="81" t="n"/>
      <c r="T2198" s="81" t="n"/>
      <c r="U2198" s="81" t="n"/>
      <c r="V2198" s="81" t="n"/>
      <c r="W2198" s="43" t="n"/>
    </row>
    <row r="2199">
      <c r="A2199" s="43" t="inlineStr"/>
      <c r="B2199" s="43" t="inlineStr"/>
      <c r="C2199" s="43" t="inlineStr">
        <is>
          <t>节段09</t>
        </is>
      </c>
      <c r="D2199" s="43" t="inlineStr">
        <is>
          <t>Q355D</t>
        </is>
      </c>
      <c r="E2199" s="43" t="n"/>
      <c r="F2199" s="43" t="n"/>
      <c r="G2199" s="43" t="n">
        <v>44</v>
      </c>
      <c r="H2199" s="79">
        <f>(E2199/1000)*(F2199/1000)*(G2199/1000)*7850</f>
        <v/>
      </c>
      <c r="I2199" s="43" t="n">
        <v>2</v>
      </c>
      <c r="J2199" s="80">
        <f>H2199*I2199</f>
        <v/>
      </c>
      <c r="K2199" s="43" t="inlineStr">
        <is>
          <t>来源页175</t>
        </is>
      </c>
      <c r="L2199" s="43">
        <f>A2199</f>
        <v/>
      </c>
      <c r="M2199" s="81" t="n"/>
      <c r="N2199" s="81" t="n"/>
      <c r="O2199" s="81" t="n"/>
      <c r="P2199" s="81" t="n"/>
      <c r="Q2199" s="81" t="n"/>
      <c r="R2199" s="81" t="n"/>
      <c r="S2199" s="81" t="n"/>
      <c r="T2199" s="81" t="n"/>
      <c r="U2199" s="81" t="n"/>
      <c r="V2199" s="81" t="n"/>
      <c r="W2199" s="43" t="n"/>
    </row>
    <row r="2200">
      <c r="A2200" s="43" t="inlineStr"/>
      <c r="B2200" s="43" t="inlineStr"/>
      <c r="C2200" s="43" t="inlineStr">
        <is>
          <t>节段09</t>
        </is>
      </c>
      <c r="D2200" s="43" t="inlineStr">
        <is>
          <t>Q355D</t>
        </is>
      </c>
      <c r="E2200" s="43" t="n"/>
      <c r="F2200" s="43" t="n"/>
      <c r="G2200" s="43" t="n">
        <v>40</v>
      </c>
      <c r="H2200" s="79">
        <f>(E2200/1000)*(F2200/1000)*(G2200/1000)*7850</f>
        <v/>
      </c>
      <c r="I2200" s="43" t="n">
        <v>2</v>
      </c>
      <c r="J2200" s="80">
        <f>H2200*I2200</f>
        <v/>
      </c>
      <c r="K2200" s="43" t="inlineStr">
        <is>
          <t>来源页175</t>
        </is>
      </c>
      <c r="L2200" s="43">
        <f>A2200</f>
        <v/>
      </c>
      <c r="M2200" s="81" t="n"/>
      <c r="N2200" s="81" t="n"/>
      <c r="O2200" s="81" t="n"/>
      <c r="P2200" s="81" t="n"/>
      <c r="Q2200" s="81" t="n"/>
      <c r="R2200" s="81" t="n"/>
      <c r="S2200" s="81" t="n"/>
      <c r="T2200" s="81" t="n"/>
      <c r="U2200" s="81" t="n"/>
      <c r="V2200" s="81" t="n"/>
      <c r="W2200" s="43" t="n"/>
    </row>
    <row r="2201">
      <c r="A2201" s="43" t="inlineStr"/>
      <c r="B2201" s="43" t="inlineStr"/>
      <c r="C2201" s="43" t="inlineStr">
        <is>
          <t>节段09</t>
        </is>
      </c>
      <c r="D2201" s="43" t="inlineStr">
        <is>
          <t>Q355D</t>
        </is>
      </c>
      <c r="E2201" s="43" t="n"/>
      <c r="F2201" s="43" t="n"/>
      <c r="G2201" s="43" t="n">
        <v>36</v>
      </c>
      <c r="H2201" s="79">
        <f>(E2201/1000)*(F2201/1000)*(G2201/1000)*7850</f>
        <v/>
      </c>
      <c r="I2201" s="43" t="n">
        <v>2</v>
      </c>
      <c r="J2201" s="80">
        <f>H2201*I2201</f>
        <v/>
      </c>
      <c r="K2201" s="43" t="inlineStr">
        <is>
          <t>来源页175</t>
        </is>
      </c>
      <c r="L2201" s="43">
        <f>A2201</f>
        <v/>
      </c>
      <c r="M2201" s="81" t="n"/>
      <c r="N2201" s="81" t="n"/>
      <c r="O2201" s="81" t="n"/>
      <c r="P2201" s="81" t="n"/>
      <c r="Q2201" s="81" t="n"/>
      <c r="R2201" s="81" t="n"/>
      <c r="S2201" s="81" t="n"/>
      <c r="T2201" s="81" t="n"/>
      <c r="U2201" s="81" t="n"/>
      <c r="V2201" s="81" t="n"/>
      <c r="W2201" s="43" t="n"/>
    </row>
    <row r="2202">
      <c r="A2202" s="43" t="inlineStr"/>
      <c r="B2202" s="43" t="inlineStr"/>
      <c r="C2202" s="43" t="inlineStr">
        <is>
          <t>节段09</t>
        </is>
      </c>
      <c r="D2202" s="43" t="inlineStr">
        <is>
          <t>Q355D</t>
        </is>
      </c>
      <c r="E2202" s="43" t="n"/>
      <c r="F2202" s="43" t="n"/>
      <c r="G2202" s="43" t="n">
        <v>32</v>
      </c>
      <c r="H2202" s="79">
        <f>(E2202/1000)*(F2202/1000)*(G2202/1000)*7850</f>
        <v/>
      </c>
      <c r="I2202" s="43" t="n">
        <v>2</v>
      </c>
      <c r="J2202" s="80">
        <f>H2202*I2202</f>
        <v/>
      </c>
      <c r="K2202" s="43" t="inlineStr">
        <is>
          <t>来源页175</t>
        </is>
      </c>
      <c r="L2202" s="43">
        <f>A2202</f>
        <v/>
      </c>
      <c r="M2202" s="81" t="n"/>
      <c r="N2202" s="81" t="n"/>
      <c r="O2202" s="81" t="n"/>
      <c r="P2202" s="81" t="n"/>
      <c r="Q2202" s="81" t="n"/>
      <c r="R2202" s="81" t="n"/>
      <c r="S2202" s="81" t="n"/>
      <c r="T2202" s="81" t="n"/>
      <c r="U2202" s="81" t="n"/>
      <c r="V2202" s="81" t="n"/>
      <c r="W2202" s="43" t="n"/>
    </row>
    <row r="2203">
      <c r="A2203" s="43" t="inlineStr"/>
      <c r="B2203" s="43" t="inlineStr"/>
      <c r="C2203" s="43" t="inlineStr">
        <is>
          <t>节段09</t>
        </is>
      </c>
      <c r="D2203" s="43" t="inlineStr">
        <is>
          <t>Q355D</t>
        </is>
      </c>
      <c r="E2203" s="43" t="n"/>
      <c r="F2203" s="43" t="n"/>
      <c r="G2203" s="43" t="n">
        <v>24</v>
      </c>
      <c r="H2203" s="79">
        <f>(E2203/1000)*(F2203/1000)*(G2203/1000)*7850</f>
        <v/>
      </c>
      <c r="I2203" s="43" t="n">
        <v>2</v>
      </c>
      <c r="J2203" s="80">
        <f>H2203*I2203</f>
        <v/>
      </c>
      <c r="K2203" s="43" t="inlineStr">
        <is>
          <t>来源页175</t>
        </is>
      </c>
      <c r="L2203" s="43">
        <f>A2203</f>
        <v/>
      </c>
      <c r="M2203" s="81" t="n"/>
      <c r="N2203" s="81" t="n"/>
      <c r="O2203" s="81" t="n"/>
      <c r="P2203" s="81" t="n"/>
      <c r="Q2203" s="81" t="n"/>
      <c r="R2203" s="81" t="n"/>
      <c r="S2203" s="81" t="n"/>
      <c r="T2203" s="81" t="n"/>
      <c r="U2203" s="81" t="n"/>
      <c r="V2203" s="81" t="n"/>
      <c r="W2203" s="43" t="n"/>
    </row>
    <row r="2204">
      <c r="A2204" s="43" t="inlineStr"/>
      <c r="B2204" s="43" t="inlineStr"/>
      <c r="C2204" s="43" t="inlineStr">
        <is>
          <t>节段09</t>
        </is>
      </c>
      <c r="D2204" s="43" t="inlineStr">
        <is>
          <t>Q355D</t>
        </is>
      </c>
      <c r="E2204" s="43" t="n"/>
      <c r="F2204" s="43" t="n"/>
      <c r="G2204" s="43" t="n">
        <v>20</v>
      </c>
      <c r="H2204" s="79">
        <f>(E2204/1000)*(F2204/1000)*(G2204/1000)*7850</f>
        <v/>
      </c>
      <c r="I2204" s="43" t="n">
        <v>2</v>
      </c>
      <c r="J2204" s="80">
        <f>H2204*I2204</f>
        <v/>
      </c>
      <c r="K2204" s="43" t="inlineStr">
        <is>
          <t>来源页175</t>
        </is>
      </c>
      <c r="L2204" s="43">
        <f>A2204</f>
        <v/>
      </c>
      <c r="M2204" s="81" t="n"/>
      <c r="N2204" s="81" t="n"/>
      <c r="O2204" s="81" t="n"/>
      <c r="P2204" s="81" t="n"/>
      <c r="Q2204" s="81" t="n"/>
      <c r="R2204" s="81" t="n"/>
      <c r="S2204" s="81" t="n"/>
      <c r="T2204" s="81" t="n"/>
      <c r="U2204" s="81" t="n"/>
      <c r="V2204" s="81" t="n"/>
      <c r="W2204" s="43" t="n"/>
    </row>
    <row r="2205">
      <c r="A2205" s="43" t="inlineStr"/>
      <c r="B2205" s="43" t="inlineStr"/>
      <c r="C2205" s="43" t="inlineStr">
        <is>
          <t>节段09</t>
        </is>
      </c>
      <c r="D2205" s="43" t="inlineStr">
        <is>
          <t>Q355D</t>
        </is>
      </c>
      <c r="E2205" s="43" t="n"/>
      <c r="F2205" s="43" t="n"/>
      <c r="G2205" s="43" t="n">
        <v>16</v>
      </c>
      <c r="H2205" s="79">
        <f>(E2205/1000)*(F2205/1000)*(G2205/1000)*7850</f>
        <v/>
      </c>
      <c r="I2205" s="43" t="n">
        <v>2</v>
      </c>
      <c r="J2205" s="80">
        <f>H2205*I2205</f>
        <v/>
      </c>
      <c r="K2205" s="43" t="inlineStr">
        <is>
          <t>来源页175</t>
        </is>
      </c>
      <c r="L2205" s="43">
        <f>A2205</f>
        <v/>
      </c>
      <c r="M2205" s="81" t="n"/>
      <c r="N2205" s="81" t="n"/>
      <c r="O2205" s="81" t="n"/>
      <c r="P2205" s="81" t="n"/>
      <c r="Q2205" s="81" t="n"/>
      <c r="R2205" s="81" t="n"/>
      <c r="S2205" s="81" t="n"/>
      <c r="T2205" s="81" t="n"/>
      <c r="U2205" s="81" t="n"/>
      <c r="V2205" s="81" t="n"/>
      <c r="W2205" s="43" t="n"/>
    </row>
    <row r="2206">
      <c r="A2206" s="43" t="inlineStr"/>
      <c r="B2206" s="43" t="inlineStr"/>
      <c r="C2206" s="43" t="inlineStr">
        <is>
          <t>节段09</t>
        </is>
      </c>
      <c r="D2206" s="43" t="inlineStr">
        <is>
          <t>Q355D</t>
        </is>
      </c>
      <c r="E2206" s="43" t="n"/>
      <c r="F2206" s="43" t="n"/>
      <c r="G2206" s="43" t="n">
        <v>14</v>
      </c>
      <c r="H2206" s="79">
        <f>(E2206/1000)*(F2206/1000)*(G2206/1000)*7850</f>
        <v/>
      </c>
      <c r="I2206" s="43" t="n">
        <v>2</v>
      </c>
      <c r="J2206" s="80">
        <f>H2206*I2206</f>
        <v/>
      </c>
      <c r="K2206" s="43" t="inlineStr">
        <is>
          <t>来源页175</t>
        </is>
      </c>
      <c r="L2206" s="43">
        <f>A2206</f>
        <v/>
      </c>
      <c r="M2206" s="81" t="n"/>
      <c r="N2206" s="81" t="n"/>
      <c r="O2206" s="81" t="n"/>
      <c r="P2206" s="81" t="n"/>
      <c r="Q2206" s="81" t="n"/>
      <c r="R2206" s="81" t="n"/>
      <c r="S2206" s="81" t="n"/>
      <c r="T2206" s="81" t="n"/>
      <c r="U2206" s="81" t="n"/>
      <c r="V2206" s="81" t="n"/>
      <c r="W2206" s="43" t="n"/>
    </row>
    <row r="2207">
      <c r="A2207" s="43" t="inlineStr"/>
      <c r="B2207" s="43" t="inlineStr"/>
      <c r="C2207" s="43" t="inlineStr">
        <is>
          <t>节段09</t>
        </is>
      </c>
      <c r="D2207" s="43" t="inlineStr">
        <is>
          <t>Q355D</t>
        </is>
      </c>
      <c r="E2207" s="43" t="n"/>
      <c r="F2207" s="43" t="n"/>
      <c r="G2207" s="43" t="n">
        <v>4</v>
      </c>
      <c r="H2207" s="79">
        <f>(E2207/1000)*(F2207/1000)*(G2207/1000)*7850</f>
        <v/>
      </c>
      <c r="I2207" s="43" t="n">
        <v>2</v>
      </c>
      <c r="J2207" s="80">
        <f>H2207*I2207</f>
        <v/>
      </c>
      <c r="K2207" s="43" t="inlineStr">
        <is>
          <t>来源页175</t>
        </is>
      </c>
      <c r="L2207" s="43">
        <f>A2207</f>
        <v/>
      </c>
      <c r="M2207" s="81" t="n"/>
      <c r="N2207" s="81" t="n"/>
      <c r="O2207" s="81" t="n"/>
      <c r="P2207" s="81" t="n"/>
      <c r="Q2207" s="81" t="n"/>
      <c r="R2207" s="81" t="n"/>
      <c r="S2207" s="81" t="n"/>
      <c r="T2207" s="81" t="n"/>
      <c r="U2207" s="81" t="n"/>
      <c r="V2207" s="81" t="n"/>
      <c r="W2207" s="43" t="n"/>
    </row>
    <row r="2208">
      <c r="A2208" s="43" t="inlineStr"/>
      <c r="B2208" s="43" t="inlineStr"/>
      <c r="C2208" s="43" t="inlineStr">
        <is>
          <t>节段09</t>
        </is>
      </c>
      <c r="D2208" s="43" t="inlineStr">
        <is>
          <t>Q355D</t>
        </is>
      </c>
      <c r="E2208" s="43" t="n"/>
      <c r="F2208" s="43" t="n"/>
      <c r="G2208" s="43" t="n"/>
      <c r="H2208" s="79">
        <f>(E2208/1000)*(F2208/1000)*(G2208/1000)*7850</f>
        <v/>
      </c>
      <c r="I2208" s="43" t="n">
        <v>2</v>
      </c>
      <c r="J2208" s="80">
        <f>H2208*I2208</f>
        <v/>
      </c>
      <c r="K2208" s="43" t="inlineStr">
        <is>
          <t>来源页175</t>
        </is>
      </c>
      <c r="L2208" s="43">
        <f>A2208</f>
        <v/>
      </c>
      <c r="M2208" s="81" t="n"/>
      <c r="N2208" s="81" t="n"/>
      <c r="O2208" s="81" t="n"/>
      <c r="P2208" s="81" t="n"/>
      <c r="Q2208" s="81" t="n"/>
      <c r="R2208" s="81" t="n"/>
      <c r="S2208" s="81" t="n"/>
      <c r="T2208" s="81" t="n"/>
      <c r="U2208" s="81" t="n"/>
      <c r="V2208" s="81" t="n"/>
      <c r="W2208" s="43" t="n"/>
    </row>
    <row r="2209">
      <c r="A2209" s="43" t="inlineStr"/>
      <c r="B2209" s="43" t="inlineStr"/>
      <c r="C2209" s="43" t="inlineStr">
        <is>
          <t>节段09</t>
        </is>
      </c>
      <c r="D2209" s="43" t="inlineStr">
        <is>
          <t>Q355D</t>
        </is>
      </c>
      <c r="E2209" s="43" t="n"/>
      <c r="F2209" s="43" t="n"/>
      <c r="G2209" s="43" t="n"/>
      <c r="H2209" s="79">
        <f>(E2209/1000)*(F2209/1000)*(G2209/1000)*7850</f>
        <v/>
      </c>
      <c r="I2209" s="43" t="n">
        <v>2</v>
      </c>
      <c r="J2209" s="80">
        <f>H2209*I2209</f>
        <v/>
      </c>
      <c r="K2209" s="43" t="inlineStr">
        <is>
          <t>来源页175</t>
        </is>
      </c>
      <c r="L2209" s="43">
        <f>A2209</f>
        <v/>
      </c>
      <c r="M2209" s="81" t="n"/>
      <c r="N2209" s="81" t="n"/>
      <c r="O2209" s="81" t="n"/>
      <c r="P2209" s="81" t="n"/>
      <c r="Q2209" s="81" t="n"/>
      <c r="R2209" s="81" t="n"/>
      <c r="S2209" s="81" t="n"/>
      <c r="T2209" s="81" t="n"/>
      <c r="U2209" s="81" t="n"/>
      <c r="V2209" s="81" t="n"/>
      <c r="W2209" s="43" t="n"/>
    </row>
    <row r="2210">
      <c r="A2210" s="43" t="inlineStr"/>
      <c r="B2210" s="43" t="inlineStr"/>
      <c r="C2210" s="43" t="inlineStr">
        <is>
          <t>节段09</t>
        </is>
      </c>
      <c r="D2210" s="43" t="inlineStr">
        <is>
          <t>Q355D</t>
        </is>
      </c>
      <c r="E2210" s="43" t="n"/>
      <c r="F2210" s="43" t="n"/>
      <c r="G2210" s="43" t="n"/>
      <c r="H2210" s="79">
        <f>(E2210/1000)*(F2210/1000)*(G2210/1000)*7850</f>
        <v/>
      </c>
      <c r="I2210" s="43" t="n">
        <v>2</v>
      </c>
      <c r="J2210" s="80">
        <f>H2210*I2210</f>
        <v/>
      </c>
      <c r="K2210" s="43" t="inlineStr">
        <is>
          <t>来源页175</t>
        </is>
      </c>
      <c r="L2210" s="43">
        <f>A2210</f>
        <v/>
      </c>
      <c r="M2210" s="81" t="n"/>
      <c r="N2210" s="81" t="n"/>
      <c r="O2210" s="81" t="n"/>
      <c r="P2210" s="81" t="n"/>
      <c r="Q2210" s="81" t="n"/>
      <c r="R2210" s="81" t="n"/>
      <c r="S2210" s="81" t="n"/>
      <c r="T2210" s="81" t="n"/>
      <c r="U2210" s="81" t="n"/>
      <c r="V2210" s="81" t="n"/>
      <c r="W2210" s="43" t="n"/>
    </row>
    <row r="2211">
      <c r="A2211" s="43" t="inlineStr"/>
      <c r="B2211" s="43" t="inlineStr"/>
      <c r="C2211" s="43" t="inlineStr">
        <is>
          <t>节段09</t>
        </is>
      </c>
      <c r="D2211" s="43" t="inlineStr">
        <is>
          <t>Q355D</t>
        </is>
      </c>
      <c r="E2211" s="43" t="n"/>
      <c r="F2211" s="43" t="n"/>
      <c r="G2211" s="43" t="n"/>
      <c r="H2211" s="79">
        <f>(E2211/1000)*(F2211/1000)*(G2211/1000)*7850</f>
        <v/>
      </c>
      <c r="I2211" s="43" t="n">
        <v>2</v>
      </c>
      <c r="J2211" s="80">
        <f>H2211*I2211</f>
        <v/>
      </c>
      <c r="K2211" s="43" t="inlineStr">
        <is>
          <t>来源页175</t>
        </is>
      </c>
      <c r="L2211" s="43">
        <f>A2211</f>
        <v/>
      </c>
      <c r="M2211" s="81" t="n"/>
      <c r="N2211" s="81" t="n"/>
      <c r="O2211" s="81" t="n"/>
      <c r="P2211" s="81" t="n"/>
      <c r="Q2211" s="81" t="n"/>
      <c r="R2211" s="81" t="n"/>
      <c r="S2211" s="81" t="n"/>
      <c r="T2211" s="81" t="n"/>
      <c r="U2211" s="81" t="n"/>
      <c r="V2211" s="81" t="n"/>
      <c r="W2211" s="43" t="n"/>
    </row>
    <row r="2212">
      <c r="A2212" s="43" t="inlineStr">
        <is>
          <t>N11a</t>
        </is>
      </c>
      <c r="B2212" s="43" t="inlineStr"/>
      <c r="C2212" s="43" t="inlineStr">
        <is>
          <t>节段09</t>
        </is>
      </c>
      <c r="D2212" s="43" t="inlineStr">
        <is>
          <t>Q355D</t>
        </is>
      </c>
      <c r="E2212" s="43" t="n"/>
      <c r="F2212" s="43" t="n"/>
      <c r="G2212" s="43" t="n">
        <v>20</v>
      </c>
      <c r="H2212" s="79">
        <f>(E2212/1000)*(F2212/1000)*(G2212/1000)*7850</f>
        <v/>
      </c>
      <c r="I2212" s="43" t="n">
        <v>1</v>
      </c>
      <c r="J2212" s="80">
        <f>H2212*I2212</f>
        <v/>
      </c>
      <c r="K2212" s="43" t="inlineStr">
        <is>
          <t>来源页175</t>
        </is>
      </c>
      <c r="L2212" s="43">
        <f>A2212</f>
        <v/>
      </c>
      <c r="M2212" s="81" t="n"/>
      <c r="N2212" s="81" t="n"/>
      <c r="O2212" s="81" t="n"/>
      <c r="P2212" s="81" t="n"/>
      <c r="Q2212" s="81" t="n"/>
      <c r="R2212" s="81" t="n"/>
      <c r="S2212" s="81" t="n"/>
      <c r="T2212" s="81" t="n"/>
      <c r="U2212" s="81" t="n"/>
      <c r="V2212" s="81" t="n"/>
      <c r="W2212" s="43" t="n"/>
    </row>
    <row r="2213">
      <c r="A2213" s="43" t="inlineStr">
        <is>
          <t>N11b</t>
        </is>
      </c>
      <c r="B2213" s="43" t="inlineStr"/>
      <c r="C2213" s="43" t="inlineStr">
        <is>
          <t>节段09</t>
        </is>
      </c>
      <c r="D2213" s="43" t="inlineStr">
        <is>
          <t>Q355D</t>
        </is>
      </c>
      <c r="E2213" s="43" t="n"/>
      <c r="F2213" s="43" t="n"/>
      <c r="G2213" s="43" t="n">
        <v>24</v>
      </c>
      <c r="H2213" s="79">
        <f>(E2213/1000)*(F2213/1000)*(G2213/1000)*7850</f>
        <v/>
      </c>
      <c r="I2213" s="43" t="n">
        <v>1</v>
      </c>
      <c r="J2213" s="80">
        <f>H2213*I2213</f>
        <v/>
      </c>
      <c r="K2213" s="43" t="inlineStr">
        <is>
          <t>来源页175</t>
        </is>
      </c>
      <c r="L2213" s="43">
        <f>A2213</f>
        <v/>
      </c>
      <c r="M2213" s="81" t="n"/>
      <c r="N2213" s="81" t="n"/>
      <c r="O2213" s="81" t="n"/>
      <c r="P2213" s="81" t="n"/>
      <c r="Q2213" s="81" t="n"/>
      <c r="R2213" s="81" t="n"/>
      <c r="S2213" s="81" t="n"/>
      <c r="T2213" s="81" t="n"/>
      <c r="U2213" s="81" t="n"/>
      <c r="V2213" s="81" t="n"/>
      <c r="W2213" s="43" t="n"/>
    </row>
    <row r="2214">
      <c r="A2214" s="43" t="inlineStr">
        <is>
          <t>N12α</t>
        </is>
      </c>
      <c r="B2214" s="43" t="inlineStr"/>
      <c r="C2214" s="43" t="inlineStr">
        <is>
          <t>节段09</t>
        </is>
      </c>
      <c r="D2214" s="43" t="inlineStr">
        <is>
          <t>Q355D</t>
        </is>
      </c>
      <c r="E2214" s="43" t="n">
        <v>7900</v>
      </c>
      <c r="F2214" s="43" t="n">
        <v>1200</v>
      </c>
      <c r="G2214" s="43" t="n">
        <v>20</v>
      </c>
      <c r="H2214" s="79">
        <f>(E2214/1000)*(F2214/1000)*(G2214/1000)*7850</f>
        <v/>
      </c>
      <c r="I2214" s="43" t="n">
        <v>1</v>
      </c>
      <c r="J2214" s="80">
        <f>H2214*I2214</f>
        <v/>
      </c>
      <c r="K2214" s="43" t="inlineStr">
        <is>
          <t>来源页175</t>
        </is>
      </c>
      <c r="L2214" s="43">
        <f>A2214</f>
        <v/>
      </c>
      <c r="M2214" s="81" t="n"/>
      <c r="N2214" s="81" t="n"/>
      <c r="O2214" s="81" t="n"/>
      <c r="P2214" s="81" t="n"/>
      <c r="Q2214" s="81" t="n"/>
      <c r="R2214" s="81" t="n"/>
      <c r="S2214" s="81" t="n"/>
      <c r="T2214" s="81" t="n"/>
      <c r="U2214" s="81" t="n"/>
      <c r="V2214" s="81" t="n"/>
      <c r="W2214" s="43" t="n"/>
    </row>
    <row r="2215">
      <c r="A2215" s="43" t="inlineStr">
        <is>
          <t>N12b</t>
        </is>
      </c>
      <c r="B2215" s="43" t="inlineStr"/>
      <c r="C2215" s="43" t="inlineStr">
        <is>
          <t>节段09</t>
        </is>
      </c>
      <c r="D2215" s="43" t="inlineStr">
        <is>
          <t>Q355D</t>
        </is>
      </c>
      <c r="E2215" s="43" t="n">
        <v>7100</v>
      </c>
      <c r="F2215" s="43" t="n">
        <v>1200</v>
      </c>
      <c r="G2215" s="43" t="n">
        <v>24</v>
      </c>
      <c r="H2215" s="79">
        <f>(E2215/1000)*(F2215/1000)*(G2215/1000)*7850</f>
        <v/>
      </c>
      <c r="I2215" s="43" t="n">
        <v>1</v>
      </c>
      <c r="J2215" s="80">
        <f>H2215*I2215</f>
        <v/>
      </c>
      <c r="K2215" s="43" t="inlineStr">
        <is>
          <t>来源页175</t>
        </is>
      </c>
      <c r="L2215" s="43">
        <f>A2215</f>
        <v/>
      </c>
      <c r="M2215" s="81" t="n"/>
      <c r="N2215" s="81" t="n"/>
      <c r="O2215" s="81" t="n"/>
      <c r="P2215" s="81" t="n"/>
      <c r="Q2215" s="81" t="n"/>
      <c r="R2215" s="81" t="n"/>
      <c r="S2215" s="81" t="n"/>
      <c r="T2215" s="81" t="n"/>
      <c r="U2215" s="81" t="n"/>
      <c r="V2215" s="81" t="n"/>
      <c r="W2215" s="43" t="n"/>
    </row>
    <row r="2216">
      <c r="A2216" s="43" t="inlineStr">
        <is>
          <t>N13</t>
        </is>
      </c>
      <c r="B2216" s="43" t="inlineStr"/>
      <c r="C2216" s="43" t="inlineStr">
        <is>
          <t>节段09</t>
        </is>
      </c>
      <c r="D2216" s="43" t="inlineStr">
        <is>
          <t>Q355D</t>
        </is>
      </c>
      <c r="E2216" s="43" t="n"/>
      <c r="F2216" s="43" t="n"/>
      <c r="G2216" s="43" t="n">
        <v>40</v>
      </c>
      <c r="H2216" s="79">
        <f>(E2216/1000)*(F2216/1000)*(G2216/1000)*7850</f>
        <v/>
      </c>
      <c r="I2216" s="43" t="n">
        <v>2</v>
      </c>
      <c r="J2216" s="80">
        <f>H2216*I2216</f>
        <v/>
      </c>
      <c r="K2216" s="43" t="inlineStr">
        <is>
          <t>来源页175</t>
        </is>
      </c>
      <c r="L2216" s="43">
        <f>A2216</f>
        <v/>
      </c>
      <c r="M2216" s="81" t="n"/>
      <c r="N2216" s="81" t="n"/>
      <c r="O2216" s="81" t="n"/>
      <c r="P2216" s="81" t="n"/>
      <c r="Q2216" s="81" t="n"/>
      <c r="R2216" s="81" t="n"/>
      <c r="S2216" s="81" t="n"/>
      <c r="T2216" s="81" t="n"/>
      <c r="U2216" s="81" t="n"/>
      <c r="V2216" s="81" t="n"/>
      <c r="W2216" s="43" t="n"/>
    </row>
    <row r="2217">
      <c r="A2217" s="43" t="inlineStr">
        <is>
          <t>N14</t>
        </is>
      </c>
      <c r="B2217" s="43" t="inlineStr"/>
      <c r="C2217" s="43" t="inlineStr">
        <is>
          <t>节段09</t>
        </is>
      </c>
      <c r="D2217" s="43" t="inlineStr">
        <is>
          <t>Q355D</t>
        </is>
      </c>
      <c r="E2217" s="43" t="n">
        <v>7300</v>
      </c>
      <c r="F2217" s="43" t="n">
        <v>1644</v>
      </c>
      <c r="G2217" s="43" t="n">
        <v>32</v>
      </c>
      <c r="H2217" s="79">
        <f>(E2217/1000)*(F2217/1000)*(G2217/1000)*7850</f>
        <v/>
      </c>
      <c r="I2217" s="43" t="n">
        <v>2</v>
      </c>
      <c r="J2217" s="80">
        <f>H2217*I2217</f>
        <v/>
      </c>
      <c r="K2217" s="43" t="inlineStr">
        <is>
          <t>来源页175</t>
        </is>
      </c>
      <c r="L2217" s="43">
        <f>A2217</f>
        <v/>
      </c>
      <c r="M2217" s="81" t="n"/>
      <c r="N2217" s="81" t="n"/>
      <c r="O2217" s="81" t="n"/>
      <c r="P2217" s="81" t="n"/>
      <c r="Q2217" s="81" t="n"/>
      <c r="R2217" s="81" t="n"/>
      <c r="S2217" s="81" t="n"/>
      <c r="T2217" s="81" t="n"/>
      <c r="U2217" s="81" t="n"/>
      <c r="V2217" s="81" t="n"/>
      <c r="W2217" s="43" t="n"/>
    </row>
    <row r="2218">
      <c r="A2218" s="43" t="inlineStr">
        <is>
          <t>N15</t>
        </is>
      </c>
      <c r="B2218" s="43" t="inlineStr"/>
      <c r="C2218" s="43" t="inlineStr">
        <is>
          <t>节段09</t>
        </is>
      </c>
      <c r="D2218" s="43" t="inlineStr">
        <is>
          <t>Q355D</t>
        </is>
      </c>
      <c r="E2218" s="43" t="n">
        <v>1580</v>
      </c>
      <c r="F2218" s="43" t="n">
        <v>1200</v>
      </c>
      <c r="G2218" s="43" t="n">
        <v>16</v>
      </c>
      <c r="H2218" s="79">
        <f>(E2218/1000)*(F2218/1000)*(G2218/1000)*7850</f>
        <v/>
      </c>
      <c r="I2218" s="43" t="n">
        <v>3</v>
      </c>
      <c r="J2218" s="80">
        <f>H2218*I2218</f>
        <v/>
      </c>
      <c r="K2218" s="43" t="inlineStr">
        <is>
          <t>来源页175</t>
        </is>
      </c>
      <c r="L2218" s="43">
        <f>A2218</f>
        <v/>
      </c>
      <c r="M2218" s="81" t="n"/>
      <c r="N2218" s="81" t="n"/>
      <c r="O2218" s="81" t="n"/>
      <c r="P2218" s="81" t="n"/>
      <c r="Q2218" s="81" t="n"/>
      <c r="R2218" s="81" t="n"/>
      <c r="S2218" s="81" t="n"/>
      <c r="T2218" s="81" t="n"/>
      <c r="U2218" s="81" t="n"/>
      <c r="V2218" s="81" t="n"/>
      <c r="W2218" s="43" t="n"/>
    </row>
    <row r="2219">
      <c r="A2219" s="43" t="inlineStr">
        <is>
          <t>N15a</t>
        </is>
      </c>
      <c r="B2219" s="43" t="inlineStr"/>
      <c r="C2219" s="43" t="inlineStr">
        <is>
          <t>节段09</t>
        </is>
      </c>
      <c r="D2219" s="43" t="inlineStr">
        <is>
          <t>Q355D</t>
        </is>
      </c>
      <c r="E2219" s="43" t="n">
        <v>1576</v>
      </c>
      <c r="F2219" s="43" t="n">
        <v>1200</v>
      </c>
      <c r="G2219" s="43" t="n">
        <v>16</v>
      </c>
      <c r="H2219" s="79">
        <f>(E2219/1000)*(F2219/1000)*(G2219/1000)*7850</f>
        <v/>
      </c>
      <c r="I2219" s="43" t="n">
        <v>2</v>
      </c>
      <c r="J2219" s="80">
        <f>H2219*I2219</f>
        <v/>
      </c>
      <c r="K2219" s="43" t="inlineStr">
        <is>
          <t>来源页175</t>
        </is>
      </c>
      <c r="L2219" s="43">
        <f>A2219</f>
        <v/>
      </c>
      <c r="M2219" s="81" t="n"/>
      <c r="N2219" s="81" t="n"/>
      <c r="O2219" s="81" t="n"/>
      <c r="P2219" s="81" t="n"/>
      <c r="Q2219" s="81" t="n"/>
      <c r="R2219" s="81" t="n"/>
      <c r="S2219" s="81" t="n"/>
      <c r="T2219" s="81" t="n"/>
      <c r="U2219" s="81" t="n"/>
      <c r="V2219" s="81" t="n"/>
      <c r="W2219" s="43" t="n"/>
    </row>
    <row r="2220">
      <c r="A2220" s="43" t="inlineStr">
        <is>
          <t>N15‘</t>
        </is>
      </c>
      <c r="B2220" s="43" t="inlineStr"/>
      <c r="C2220" s="43" t="inlineStr">
        <is>
          <t>节段09</t>
        </is>
      </c>
      <c r="D2220" s="43" t="inlineStr">
        <is>
          <t>Q355D</t>
        </is>
      </c>
      <c r="E2220" s="43" t="n">
        <v>1657</v>
      </c>
      <c r="F2220" s="43" t="n">
        <v>200</v>
      </c>
      <c r="G2220" s="43" t="n">
        <v>16</v>
      </c>
      <c r="H2220" s="79">
        <f>(E2220/1000)*(F2220/1000)*(G2220/1000)*7850</f>
        <v/>
      </c>
      <c r="I2220" s="43" t="n">
        <v>3</v>
      </c>
      <c r="J2220" s="80">
        <f>H2220*I2220</f>
        <v/>
      </c>
      <c r="K2220" s="43" t="inlineStr">
        <is>
          <t>来源页175</t>
        </is>
      </c>
      <c r="L2220" s="43">
        <f>A2220</f>
        <v/>
      </c>
      <c r="M2220" s="81" t="n"/>
      <c r="N2220" s="81" t="n"/>
      <c r="O2220" s="81" t="n"/>
      <c r="P2220" s="81" t="n"/>
      <c r="Q2220" s="81" t="n"/>
      <c r="R2220" s="81" t="n"/>
      <c r="S2220" s="81" t="n"/>
      <c r="T2220" s="81" t="n"/>
      <c r="U2220" s="81" t="n"/>
      <c r="V2220" s="81" t="n"/>
      <c r="W2220" s="43" t="n"/>
    </row>
    <row r="2221">
      <c r="A2221" s="43" t="inlineStr">
        <is>
          <t>N15b</t>
        </is>
      </c>
      <c r="B2221" s="43" t="inlineStr"/>
      <c r="C2221" s="43" t="inlineStr">
        <is>
          <t>节段09</t>
        </is>
      </c>
      <c r="D2221" s="43" t="inlineStr">
        <is>
          <t>Q355D</t>
        </is>
      </c>
      <c r="E2221" s="43" t="n">
        <v>1782</v>
      </c>
      <c r="F2221" s="43" t="n">
        <v>40</v>
      </c>
      <c r="G2221" s="43" t="n">
        <v>4</v>
      </c>
      <c r="H2221" s="79">
        <f>(E2221/1000)*(F2221/1000)*(G2221/1000)*7850</f>
        <v/>
      </c>
      <c r="I2221" s="43" t="n">
        <v>4</v>
      </c>
      <c r="J2221" s="80">
        <f>H2221*I2221</f>
        <v/>
      </c>
      <c r="K2221" s="43" t="inlineStr">
        <is>
          <t>来源页175</t>
        </is>
      </c>
      <c r="L2221" s="43">
        <f>A2221</f>
        <v/>
      </c>
      <c r="M2221" s="81" t="n"/>
      <c r="N2221" s="81" t="n"/>
      <c r="O2221" s="81" t="n"/>
      <c r="P2221" s="81" t="n"/>
      <c r="Q2221" s="81" t="n"/>
      <c r="R2221" s="81" t="n"/>
      <c r="S2221" s="81" t="n"/>
      <c r="T2221" s="81" t="n"/>
      <c r="U2221" s="81" t="n"/>
      <c r="V2221" s="81" t="n"/>
      <c r="W2221" s="43" t="n"/>
    </row>
    <row r="2222">
      <c r="A2222" s="43" t="inlineStr">
        <is>
          <t>N15c</t>
        </is>
      </c>
      <c r="B2222" s="43" t="inlineStr"/>
      <c r="C2222" s="43" t="inlineStr">
        <is>
          <t>节段09</t>
        </is>
      </c>
      <c r="D2222" s="43" t="inlineStr">
        <is>
          <t>Q355D</t>
        </is>
      </c>
      <c r="E2222" s="43" t="n">
        <v>600</v>
      </c>
      <c r="F2222" s="43" t="n">
        <v>400</v>
      </c>
      <c r="G2222" s="43" t="n">
        <v>16</v>
      </c>
      <c r="H2222" s="79">
        <f>(E2222/1000)*(F2222/1000)*(G2222/1000)*7850</f>
        <v/>
      </c>
      <c r="I2222" s="43" t="n">
        <v>4</v>
      </c>
      <c r="J2222" s="80">
        <f>H2222*I2222</f>
        <v/>
      </c>
      <c r="K2222" s="43" t="inlineStr">
        <is>
          <t>来源页175</t>
        </is>
      </c>
      <c r="L2222" s="43">
        <f>A2222</f>
        <v/>
      </c>
      <c r="M2222" s="81" t="n"/>
      <c r="N2222" s="81" t="n"/>
      <c r="O2222" s="81" t="n"/>
      <c r="P2222" s="81" t="n"/>
      <c r="Q2222" s="81" t="n"/>
      <c r="R2222" s="81" t="n"/>
      <c r="S2222" s="81" t="n"/>
      <c r="T2222" s="81" t="n"/>
      <c r="U2222" s="81" t="n"/>
      <c r="V2222" s="81" t="n"/>
      <c r="W2222" s="43" t="n"/>
    </row>
    <row r="2223">
      <c r="A2223" s="43" t="inlineStr">
        <is>
          <t>N16a</t>
        </is>
      </c>
      <c r="B2223" s="43" t="inlineStr"/>
      <c r="C2223" s="43" t="inlineStr">
        <is>
          <t>节段09</t>
        </is>
      </c>
      <c r="D2223" s="43" t="inlineStr">
        <is>
          <t>Q355D</t>
        </is>
      </c>
      <c r="E2223" s="43" t="n">
        <v>7900</v>
      </c>
      <c r="F2223" s="43" t="n">
        <v>240</v>
      </c>
      <c r="G2223" s="43" t="n">
        <v>20</v>
      </c>
      <c r="H2223" s="79">
        <f>(E2223/1000)*(F2223/1000)*(G2223/1000)*7850</f>
        <v/>
      </c>
      <c r="I2223" s="43" t="n">
        <v>6</v>
      </c>
      <c r="J2223" s="80">
        <f>H2223*I2223</f>
        <v/>
      </c>
      <c r="K2223" s="43" t="inlineStr">
        <is>
          <t>来源页175</t>
        </is>
      </c>
      <c r="L2223" s="43">
        <f>A2223</f>
        <v/>
      </c>
      <c r="M2223" s="81" t="n"/>
      <c r="N2223" s="81" t="n"/>
      <c r="O2223" s="81" t="n"/>
      <c r="P2223" s="81" t="n"/>
      <c r="Q2223" s="81" t="n"/>
      <c r="R2223" s="81" t="n"/>
      <c r="S2223" s="81" t="n"/>
      <c r="T2223" s="81" t="n"/>
      <c r="U2223" s="81" t="n"/>
      <c r="V2223" s="81" t="n"/>
      <c r="W2223" s="43" t="n"/>
    </row>
    <row r="2224">
      <c r="A2224" s="43" t="inlineStr">
        <is>
          <t>N21α</t>
        </is>
      </c>
      <c r="B2224" s="43" t="inlineStr"/>
      <c r="C2224" s="43" t="inlineStr">
        <is>
          <t>节段09</t>
        </is>
      </c>
      <c r="D2224" s="43" t="inlineStr">
        <is>
          <t>Q355D</t>
        </is>
      </c>
      <c r="E2224" s="43" t="n">
        <v>7901</v>
      </c>
      <c r="F2224" s="43" t="n">
        <v>1850</v>
      </c>
      <c r="G2224" s="43" t="n">
        <v>24</v>
      </c>
      <c r="H2224" s="79">
        <f>(E2224/1000)*(F2224/1000)*(G2224/1000)*7850</f>
        <v/>
      </c>
      <c r="I2224" s="43" t="n">
        <v>1</v>
      </c>
      <c r="J2224" s="80">
        <f>H2224*I2224</f>
        <v/>
      </c>
      <c r="K2224" s="43" t="inlineStr">
        <is>
          <t>来源页175</t>
        </is>
      </c>
      <c r="L2224" s="43">
        <f>A2224</f>
        <v/>
      </c>
      <c r="M2224" s="81" t="n"/>
      <c r="N2224" s="81" t="n"/>
      <c r="O2224" s="81" t="n"/>
      <c r="P2224" s="81" t="n"/>
      <c r="Q2224" s="81" t="n"/>
      <c r="R2224" s="81" t="n"/>
      <c r="S2224" s="81" t="n"/>
      <c r="T2224" s="81" t="n"/>
      <c r="U2224" s="81" t="n"/>
      <c r="V2224" s="81" t="n"/>
      <c r="W2224" s="43" t="n"/>
    </row>
    <row r="2225">
      <c r="A2225" s="43" t="inlineStr">
        <is>
          <t>N21b</t>
        </is>
      </c>
      <c r="B2225" s="43" t="inlineStr"/>
      <c r="C2225" s="43" t="inlineStr">
        <is>
          <t>节段09</t>
        </is>
      </c>
      <c r="D2225" s="43" t="inlineStr">
        <is>
          <t>Q355D</t>
        </is>
      </c>
      <c r="E2225" s="43" t="n">
        <v>7101</v>
      </c>
      <c r="F2225" s="43" t="n">
        <v>1850</v>
      </c>
      <c r="G2225" s="43" t="n">
        <v>24</v>
      </c>
      <c r="H2225" s="79">
        <f>(E2225/1000)*(F2225/1000)*(G2225/1000)*7850</f>
        <v/>
      </c>
      <c r="I2225" s="43" t="n">
        <v>1</v>
      </c>
      <c r="J2225" s="80">
        <f>H2225*I2225</f>
        <v/>
      </c>
      <c r="K2225" s="43" t="inlineStr">
        <is>
          <t>来源页175</t>
        </is>
      </c>
      <c r="L2225" s="43">
        <f>A2225</f>
        <v/>
      </c>
      <c r="M2225" s="81" t="n"/>
      <c r="N2225" s="81" t="n"/>
      <c r="O2225" s="81" t="n"/>
      <c r="P2225" s="81" t="n"/>
      <c r="Q2225" s="81" t="n"/>
      <c r="R2225" s="81" t="n"/>
      <c r="S2225" s="81" t="n"/>
      <c r="T2225" s="81" t="n"/>
      <c r="U2225" s="81" t="n"/>
      <c r="V2225" s="81" t="n"/>
      <c r="W2225" s="43" t="n"/>
    </row>
    <row r="2226">
      <c r="A2226" s="43" t="inlineStr">
        <is>
          <t>N22a</t>
        </is>
      </c>
      <c r="B2226" s="43" t="inlineStr"/>
      <c r="C2226" s="43" t="inlineStr">
        <is>
          <t>节段09</t>
        </is>
      </c>
      <c r="D2226" s="43" t="inlineStr">
        <is>
          <t>Q355D</t>
        </is>
      </c>
      <c r="E2226" s="43" t="n"/>
      <c r="F2226" s="43" t="n"/>
      <c r="G2226" s="43" t="n">
        <v>24</v>
      </c>
      <c r="H2226" s="79">
        <f>(E2226/1000)*(F2226/1000)*(G2226/1000)*7850</f>
        <v/>
      </c>
      <c r="I2226" s="43" t="n">
        <v>1</v>
      </c>
      <c r="J2226" s="80">
        <f>H2226*I2226</f>
        <v/>
      </c>
      <c r="K2226" s="43" t="inlineStr">
        <is>
          <t>来源页175</t>
        </is>
      </c>
      <c r="L2226" s="43">
        <f>A2226</f>
        <v/>
      </c>
      <c r="M2226" s="81" t="n"/>
      <c r="N2226" s="81" t="n"/>
      <c r="O2226" s="81" t="n"/>
      <c r="P2226" s="81" t="n"/>
      <c r="Q2226" s="81" t="n"/>
      <c r="R2226" s="81" t="n"/>
      <c r="S2226" s="81" t="n"/>
      <c r="T2226" s="81" t="n"/>
      <c r="U2226" s="81" t="n"/>
      <c r="V2226" s="81" t="n"/>
      <c r="W2226" s="43" t="n"/>
    </row>
    <row r="2227">
      <c r="A2227" s="43" t="inlineStr">
        <is>
          <t>N22b</t>
        </is>
      </c>
      <c r="B2227" s="43" t="inlineStr"/>
      <c r="C2227" s="43" t="inlineStr">
        <is>
          <t>节段09</t>
        </is>
      </c>
      <c r="D2227" s="43" t="inlineStr">
        <is>
          <t>Q355D</t>
        </is>
      </c>
      <c r="E2227" s="43" t="n"/>
      <c r="F2227" s="43" t="n"/>
      <c r="G2227" s="43" t="n">
        <v>24</v>
      </c>
      <c r="H2227" s="79">
        <f>(E2227/1000)*(F2227/1000)*(G2227/1000)*7850</f>
        <v/>
      </c>
      <c r="I2227" s="43" t="n">
        <v>1</v>
      </c>
      <c r="J2227" s="80">
        <f>H2227*I2227</f>
        <v/>
      </c>
      <c r="K2227" s="43" t="inlineStr">
        <is>
          <t>来源页175</t>
        </is>
      </c>
      <c r="L2227" s="43">
        <f>A2227</f>
        <v/>
      </c>
      <c r="M2227" s="81" t="n"/>
      <c r="N2227" s="81" t="n"/>
      <c r="O2227" s="81" t="n"/>
      <c r="P2227" s="81" t="n"/>
      <c r="Q2227" s="81" t="n"/>
      <c r="R2227" s="81" t="n"/>
      <c r="S2227" s="81" t="n"/>
      <c r="T2227" s="81" t="n"/>
      <c r="U2227" s="81" t="n"/>
      <c r="V2227" s="81" t="n"/>
      <c r="W2227" s="43" t="n"/>
    </row>
    <row r="2228">
      <c r="A2228" s="43" t="inlineStr">
        <is>
          <t>N23</t>
        </is>
      </c>
      <c r="B2228" s="43" t="inlineStr"/>
      <c r="C2228" s="43" t="inlineStr">
        <is>
          <t>节段09</t>
        </is>
      </c>
      <c r="D2228" s="43" t="inlineStr">
        <is>
          <t>Q355D</t>
        </is>
      </c>
      <c r="E2228" s="43" t="n"/>
      <c r="F2228" s="43" t="n"/>
      <c r="G2228" s="43" t="n">
        <v>44</v>
      </c>
      <c r="H2228" s="79">
        <f>(E2228/1000)*(F2228/1000)*(G2228/1000)*7850</f>
        <v/>
      </c>
      <c r="I2228" s="43" t="n">
        <v>2</v>
      </c>
      <c r="J2228" s="80">
        <f>H2228*I2228</f>
        <v/>
      </c>
      <c r="K2228" s="43" t="inlineStr">
        <is>
          <t>Z35钢；来源页175</t>
        </is>
      </c>
      <c r="L2228" s="43">
        <f>A2228</f>
        <v/>
      </c>
      <c r="M2228" s="81" t="n"/>
      <c r="N2228" s="81" t="n"/>
      <c r="O2228" s="81" t="n"/>
      <c r="P2228" s="81" t="n"/>
      <c r="Q2228" s="81" t="n"/>
      <c r="R2228" s="81" t="n"/>
      <c r="S2228" s="81" t="n"/>
      <c r="T2228" s="81" t="n"/>
      <c r="U2228" s="81" t="n"/>
      <c r="V2228" s="81" t="n"/>
      <c r="W2228" s="43" t="n"/>
    </row>
    <row r="2229">
      <c r="A2229" s="43" t="inlineStr">
        <is>
          <t>N24</t>
        </is>
      </c>
      <c r="B2229" s="43" t="inlineStr"/>
      <c r="C2229" s="43" t="inlineStr">
        <is>
          <t>节段09</t>
        </is>
      </c>
      <c r="D2229" s="43" t="inlineStr">
        <is>
          <t>Q355D</t>
        </is>
      </c>
      <c r="E2229" s="43" t="n">
        <v>7301</v>
      </c>
      <c r="F2229" s="43" t="n">
        <v>1474</v>
      </c>
      <c r="G2229" s="43" t="n">
        <v>32</v>
      </c>
      <c r="H2229" s="79">
        <f>(E2229/1000)*(F2229/1000)*(G2229/1000)*7850</f>
        <v/>
      </c>
      <c r="I2229" s="43" t="n">
        <v>2</v>
      </c>
      <c r="J2229" s="80">
        <f>H2229*I2229</f>
        <v/>
      </c>
      <c r="K2229" s="43" t="inlineStr">
        <is>
          <t>来源页175</t>
        </is>
      </c>
      <c r="L2229" s="43">
        <f>A2229</f>
        <v/>
      </c>
      <c r="M2229" s="81" t="n"/>
      <c r="N2229" s="81" t="n"/>
      <c r="O2229" s="81" t="n"/>
      <c r="P2229" s="81" t="n"/>
      <c r="Q2229" s="81" t="n"/>
      <c r="R2229" s="81" t="n"/>
      <c r="S2229" s="81" t="n"/>
      <c r="T2229" s="81" t="n"/>
      <c r="U2229" s="81" t="n"/>
      <c r="V2229" s="81" t="n"/>
      <c r="W2229" s="43" t="n"/>
    </row>
    <row r="2230">
      <c r="A2230" s="43" t="inlineStr">
        <is>
          <t>N25</t>
        </is>
      </c>
      <c r="B2230" s="43" t="inlineStr"/>
      <c r="C2230" s="43" t="inlineStr">
        <is>
          <t>节段09</t>
        </is>
      </c>
      <c r="D2230" s="43" t="inlineStr">
        <is>
          <t>Q355D</t>
        </is>
      </c>
      <c r="E2230" s="43" t="n">
        <v>1450</v>
      </c>
      <c r="F2230" s="43" t="n">
        <v>1200</v>
      </c>
      <c r="G2230" s="43" t="n">
        <v>16</v>
      </c>
      <c r="H2230" s="79">
        <f>(E2230/1000)*(F2230/1000)*(G2230/1000)*7850</f>
        <v/>
      </c>
      <c r="I2230" s="43" t="n">
        <v>3</v>
      </c>
      <c r="J2230" s="80">
        <f>H2230*I2230</f>
        <v/>
      </c>
      <c r="K2230" s="43" t="inlineStr">
        <is>
          <t>来源页175</t>
        </is>
      </c>
      <c r="L2230" s="43">
        <f>A2230</f>
        <v/>
      </c>
      <c r="M2230" s="81" t="n"/>
      <c r="N2230" s="81" t="n"/>
      <c r="O2230" s="81" t="n"/>
      <c r="P2230" s="81" t="n"/>
      <c r="Q2230" s="81" t="n"/>
      <c r="R2230" s="81" t="n"/>
      <c r="S2230" s="81" t="n"/>
      <c r="T2230" s="81" t="n"/>
      <c r="U2230" s="81" t="n"/>
      <c r="V2230" s="81" t="n"/>
      <c r="W2230" s="43" t="n"/>
    </row>
    <row r="2231">
      <c r="A2231" s="43" t="inlineStr">
        <is>
          <t>N25a</t>
        </is>
      </c>
      <c r="B2231" s="43" t="inlineStr"/>
      <c r="C2231" s="43" t="inlineStr">
        <is>
          <t>节段09</t>
        </is>
      </c>
      <c r="D2231" s="43" t="inlineStr">
        <is>
          <t>Q355D</t>
        </is>
      </c>
      <c r="E2231" s="43" t="n">
        <v>1450</v>
      </c>
      <c r="F2231" s="43" t="n">
        <v>1200</v>
      </c>
      <c r="G2231" s="43" t="n">
        <v>16</v>
      </c>
      <c r="H2231" s="79">
        <f>(E2231/1000)*(F2231/1000)*(G2231/1000)*7850</f>
        <v/>
      </c>
      <c r="I2231" s="43" t="n">
        <v>2</v>
      </c>
      <c r="J2231" s="80">
        <f>H2231*I2231</f>
        <v/>
      </c>
      <c r="K2231" s="43" t="inlineStr">
        <is>
          <t>来源页175</t>
        </is>
      </c>
      <c r="L2231" s="43">
        <f>A2231</f>
        <v/>
      </c>
      <c r="M2231" s="81" t="n"/>
      <c r="N2231" s="81" t="n"/>
      <c r="O2231" s="81" t="n"/>
      <c r="P2231" s="81" t="n"/>
      <c r="Q2231" s="81" t="n"/>
      <c r="R2231" s="81" t="n"/>
      <c r="S2231" s="81" t="n"/>
      <c r="T2231" s="81" t="n"/>
      <c r="U2231" s="81" t="n"/>
      <c r="V2231" s="81" t="n"/>
      <c r="W2231" s="43" t="n"/>
    </row>
    <row r="2232">
      <c r="A2232" s="43" t="inlineStr">
        <is>
          <t>N25'</t>
        </is>
      </c>
      <c r="B2232" s="43" t="inlineStr"/>
      <c r="C2232" s="43" t="inlineStr">
        <is>
          <t>节段09</t>
        </is>
      </c>
      <c r="D2232" s="43" t="inlineStr">
        <is>
          <t>Q355D</t>
        </is>
      </c>
      <c r="E2232" s="43" t="n">
        <v>1657</v>
      </c>
      <c r="F2232" s="43" t="n">
        <v>200</v>
      </c>
      <c r="G2232" s="43" t="n">
        <v>16</v>
      </c>
      <c r="H2232" s="79">
        <f>(E2232/1000)*(F2232/1000)*(G2232/1000)*7850</f>
        <v/>
      </c>
      <c r="I2232" s="43" t="n">
        <v>3</v>
      </c>
      <c r="J2232" s="80">
        <f>H2232*I2232</f>
        <v/>
      </c>
      <c r="K2232" s="43" t="inlineStr">
        <is>
          <t>来源页175</t>
        </is>
      </c>
      <c r="L2232" s="43">
        <f>A2232</f>
        <v/>
      </c>
      <c r="M2232" s="81" t="n"/>
      <c r="N2232" s="81" t="n"/>
      <c r="O2232" s="81" t="n"/>
      <c r="P2232" s="81" t="n"/>
      <c r="Q2232" s="81" t="n"/>
      <c r="R2232" s="81" t="n"/>
      <c r="S2232" s="81" t="n"/>
      <c r="T2232" s="81" t="n"/>
      <c r="U2232" s="81" t="n"/>
      <c r="V2232" s="81" t="n"/>
      <c r="W2232" s="43" t="n"/>
    </row>
    <row r="2233">
      <c r="A2233" s="43" t="inlineStr">
        <is>
          <t>N26a</t>
        </is>
      </c>
      <c r="B2233" s="43" t="inlineStr"/>
      <c r="C2233" s="43" t="inlineStr">
        <is>
          <t>节段09</t>
        </is>
      </c>
      <c r="D2233" s="43" t="inlineStr">
        <is>
          <t>Q355D</t>
        </is>
      </c>
      <c r="E2233" s="43" t="n">
        <v>7901</v>
      </c>
      <c r="F2233" s="43" t="n">
        <v>320</v>
      </c>
      <c r="G2233" s="43" t="n">
        <v>32</v>
      </c>
      <c r="H2233" s="79">
        <f>(E2233/1000)*(F2233/1000)*(G2233/1000)*7850</f>
        <v/>
      </c>
      <c r="I2233" s="43" t="n">
        <v>4</v>
      </c>
      <c r="J2233" s="80">
        <f>H2233*I2233</f>
        <v/>
      </c>
      <c r="K2233" s="43" t="inlineStr">
        <is>
          <t>来源页175</t>
        </is>
      </c>
      <c r="L2233" s="43">
        <f>A2233</f>
        <v/>
      </c>
      <c r="M2233" s="81" t="n"/>
      <c r="N2233" s="81" t="n"/>
      <c r="O2233" s="81" t="n"/>
      <c r="P2233" s="81" t="n"/>
      <c r="Q2233" s="81" t="n"/>
      <c r="R2233" s="81" t="n"/>
      <c r="S2233" s="81" t="n"/>
      <c r="T2233" s="81" t="n"/>
      <c r="U2233" s="81" t="n"/>
      <c r="V2233" s="81" t="n"/>
      <c r="W2233" s="43" t="n"/>
    </row>
    <row r="2234">
      <c r="A2234" s="43" t="inlineStr">
        <is>
          <t>N26b</t>
        </is>
      </c>
      <c r="B2234" s="43" t="inlineStr"/>
      <c r="C2234" s="43" t="inlineStr">
        <is>
          <t>节段09</t>
        </is>
      </c>
      <c r="D2234" s="43" t="inlineStr">
        <is>
          <t>Q355D</t>
        </is>
      </c>
      <c r="E2234" s="43" t="n">
        <v>7101</v>
      </c>
      <c r="F2234" s="43" t="n">
        <v>240</v>
      </c>
      <c r="G2234" s="43" t="n">
        <v>20</v>
      </c>
      <c r="H2234" s="79">
        <f>(E2234/1000)*(F2234/1000)*(G2234/1000)*7850</f>
        <v/>
      </c>
      <c r="I2234" s="43" t="n">
        <v>4</v>
      </c>
      <c r="J2234" s="80">
        <f>H2234*I2234</f>
        <v/>
      </c>
      <c r="K2234" s="43" t="inlineStr">
        <is>
          <t>来源页175</t>
        </is>
      </c>
      <c r="L2234" s="43">
        <f>A2234</f>
        <v/>
      </c>
      <c r="M2234" s="81" t="n"/>
      <c r="N2234" s="81" t="n"/>
      <c r="O2234" s="81" t="n"/>
      <c r="P2234" s="81" t="n"/>
      <c r="Q2234" s="81" t="n"/>
      <c r="R2234" s="81" t="n"/>
      <c r="S2234" s="81" t="n"/>
      <c r="T2234" s="81" t="n"/>
      <c r="U2234" s="81" t="n"/>
      <c r="V2234" s="81" t="n"/>
      <c r="W2234" s="43" t="n"/>
    </row>
    <row r="2235">
      <c r="A2235" s="43" t="inlineStr">
        <is>
          <t>N26c</t>
        </is>
      </c>
      <c r="B2235" s="43" t="inlineStr"/>
      <c r="C2235" s="43" t="inlineStr">
        <is>
          <t>节段09</t>
        </is>
      </c>
      <c r="D2235" s="43" t="inlineStr">
        <is>
          <t>Q355D</t>
        </is>
      </c>
      <c r="E2235" s="43" t="n">
        <v>15002</v>
      </c>
      <c r="F2235" s="43" t="n">
        <v>170</v>
      </c>
      <c r="G2235" s="43" t="n">
        <v>14</v>
      </c>
      <c r="H2235" s="79">
        <f>(E2235/1000)*(F2235/1000)*(G2235/1000)*7850</f>
        <v/>
      </c>
      <c r="I2235" s="43" t="n">
        <v>1</v>
      </c>
      <c r="J2235" s="80">
        <f>H2235*I2235</f>
        <v/>
      </c>
      <c r="K2235" s="43" t="inlineStr">
        <is>
          <t>来源页175</t>
        </is>
      </c>
      <c r="L2235" s="43">
        <f>A2235</f>
        <v/>
      </c>
      <c r="M2235" s="81" t="n"/>
      <c r="N2235" s="81" t="n"/>
      <c r="O2235" s="81" t="n"/>
      <c r="P2235" s="81" t="n"/>
      <c r="Q2235" s="81" t="n"/>
      <c r="R2235" s="81" t="n"/>
      <c r="S2235" s="81" t="n"/>
      <c r="T2235" s="81" t="n"/>
      <c r="U2235" s="81" t="n"/>
      <c r="V2235" s="81" t="n"/>
      <c r="W2235" s="43" t="n"/>
    </row>
    <row r="2236">
      <c r="A2236" s="43" t="inlineStr">
        <is>
          <t>N31</t>
        </is>
      </c>
      <c r="B2236" s="43" t="inlineStr"/>
      <c r="C2236" s="43" t="inlineStr">
        <is>
          <t>节段09</t>
        </is>
      </c>
      <c r="D2236" s="43" t="inlineStr">
        <is>
          <t>Q355D</t>
        </is>
      </c>
      <c r="E2236" s="43" t="n">
        <v>11903</v>
      </c>
      <c r="F2236" s="43" t="n">
        <v>1200</v>
      </c>
      <c r="G2236" s="43" t="n">
        <v>36</v>
      </c>
      <c r="H2236" s="79">
        <f>(E2236/1000)*(F2236/1000)*(G2236/1000)*7850</f>
        <v/>
      </c>
      <c r="I2236" s="43" t="n">
        <v>1</v>
      </c>
      <c r="J2236" s="80">
        <f>H2236*I2236</f>
        <v/>
      </c>
      <c r="K2236" s="43" t="inlineStr">
        <is>
          <t>来源页175</t>
        </is>
      </c>
      <c r="L2236" s="43">
        <f>A2236</f>
        <v/>
      </c>
      <c r="M2236" s="81" t="n"/>
      <c r="N2236" s="81" t="n"/>
      <c r="O2236" s="81" t="n"/>
      <c r="P2236" s="81" t="n"/>
      <c r="Q2236" s="81" t="n"/>
      <c r="R2236" s="81" t="n"/>
      <c r="S2236" s="81" t="n"/>
      <c r="T2236" s="81" t="n"/>
      <c r="U2236" s="81" t="n"/>
      <c r="V2236" s="81" t="n"/>
      <c r="W2236" s="43" t="n"/>
    </row>
    <row r="2237">
      <c r="A2237" s="43" t="inlineStr">
        <is>
          <t>N31a</t>
        </is>
      </c>
      <c r="B2237" s="43" t="inlineStr"/>
      <c r="C2237" s="43" t="inlineStr">
        <is>
          <t>节段09</t>
        </is>
      </c>
      <c r="D2237" s="43" t="inlineStr">
        <is>
          <t>Q355D</t>
        </is>
      </c>
      <c r="E2237" s="43" t="n">
        <v>12203</v>
      </c>
      <c r="F2237" s="43" t="n">
        <v>1200</v>
      </c>
      <c r="G2237" s="43" t="n">
        <v>36</v>
      </c>
      <c r="H2237" s="79">
        <f>(E2237/1000)*(F2237/1000)*(G2237/1000)*7850</f>
        <v/>
      </c>
      <c r="I2237" s="43" t="n">
        <v>1</v>
      </c>
      <c r="J2237" s="80">
        <f>H2237*I2237</f>
        <v/>
      </c>
      <c r="K2237" s="43" t="inlineStr">
        <is>
          <t>来源页175</t>
        </is>
      </c>
      <c r="L2237" s="43">
        <f>A2237</f>
        <v/>
      </c>
      <c r="M2237" s="81" t="n"/>
      <c r="N2237" s="81" t="n"/>
      <c r="O2237" s="81" t="n"/>
      <c r="P2237" s="81" t="n"/>
      <c r="Q2237" s="81" t="n"/>
      <c r="R2237" s="81" t="n"/>
      <c r="S2237" s="81" t="n"/>
      <c r="T2237" s="81" t="n"/>
      <c r="U2237" s="81" t="n"/>
      <c r="V2237" s="81" t="n"/>
      <c r="W2237" s="43" t="n"/>
    </row>
    <row r="2238">
      <c r="A2238" s="43" t="inlineStr">
        <is>
          <t>N32</t>
        </is>
      </c>
      <c r="B2238" s="43" t="inlineStr"/>
      <c r="C2238" s="43" t="inlineStr">
        <is>
          <t>节段09</t>
        </is>
      </c>
      <c r="D2238" s="43" t="inlineStr">
        <is>
          <t>Q355D</t>
        </is>
      </c>
      <c r="E2238" s="43" t="n">
        <v>7903</v>
      </c>
      <c r="F2238" s="43" t="n">
        <v>1360</v>
      </c>
      <c r="G2238" s="43" t="n">
        <v>36</v>
      </c>
      <c r="H2238" s="79">
        <f>(E2238/1000)*(F2238/1000)*(G2238/1000)*7850</f>
        <v/>
      </c>
      <c r="I2238" s="43" t="n">
        <v>2</v>
      </c>
      <c r="J2238" s="80">
        <f>H2238*I2238</f>
        <v/>
      </c>
      <c r="K2238" s="43" t="inlineStr">
        <is>
          <t>来源页175</t>
        </is>
      </c>
      <c r="L2238" s="43">
        <f>A2238</f>
        <v/>
      </c>
      <c r="M2238" s="81" t="n"/>
      <c r="N2238" s="81" t="n"/>
      <c r="O2238" s="81" t="n"/>
      <c r="P2238" s="81" t="n"/>
      <c r="Q2238" s="81" t="n"/>
      <c r="R2238" s="81" t="n"/>
      <c r="S2238" s="81" t="n"/>
      <c r="T2238" s="81" t="n"/>
      <c r="U2238" s="81" t="n"/>
      <c r="V2238" s="81" t="n"/>
      <c r="W2238" s="43" t="n"/>
    </row>
    <row r="2239">
      <c r="A2239" s="43" t="inlineStr">
        <is>
          <t>N33</t>
        </is>
      </c>
      <c r="B2239" s="43" t="inlineStr"/>
      <c r="C2239" s="43" t="inlineStr">
        <is>
          <t>节段09</t>
        </is>
      </c>
      <c r="D2239" s="43" t="inlineStr">
        <is>
          <t>Q355D</t>
        </is>
      </c>
      <c r="E2239" s="43" t="n">
        <v>7903</v>
      </c>
      <c r="F2239" s="43" t="n">
        <v>320</v>
      </c>
      <c r="G2239" s="43" t="n">
        <v>32</v>
      </c>
      <c r="H2239" s="79">
        <f>(E2239/1000)*(F2239/1000)*(G2239/1000)*7850</f>
        <v/>
      </c>
      <c r="I2239" s="43" t="n">
        <v>2</v>
      </c>
      <c r="J2239" s="80">
        <f>H2239*I2239</f>
        <v/>
      </c>
      <c r="K2239" s="43" t="inlineStr">
        <is>
          <t>来源页175</t>
        </is>
      </c>
      <c r="L2239" s="43">
        <f>A2239</f>
        <v/>
      </c>
      <c r="M2239" s="81" t="n"/>
      <c r="N2239" s="81" t="n"/>
      <c r="O2239" s="81" t="n"/>
      <c r="P2239" s="81" t="n"/>
      <c r="Q2239" s="81" t="n"/>
      <c r="R2239" s="81" t="n"/>
      <c r="S2239" s="81" t="n"/>
      <c r="T2239" s="81" t="n"/>
      <c r="U2239" s="81" t="n"/>
      <c r="V2239" s="81" t="n"/>
      <c r="W2239" s="43" t="n"/>
    </row>
    <row r="2240">
      <c r="A2240" s="43" t="inlineStr">
        <is>
          <t>N33a</t>
        </is>
      </c>
      <c r="B2240" s="43" t="inlineStr"/>
      <c r="C2240" s="43" t="inlineStr">
        <is>
          <t>节段09</t>
        </is>
      </c>
      <c r="D2240" s="43" t="inlineStr">
        <is>
          <t>Q355D</t>
        </is>
      </c>
      <c r="E2240" s="43" t="n">
        <v>10503</v>
      </c>
      <c r="F2240" s="43" t="n">
        <v>320</v>
      </c>
      <c r="G2240" s="43" t="n">
        <v>32</v>
      </c>
      <c r="H2240" s="79">
        <f>(E2240/1000)*(F2240/1000)*(G2240/1000)*7850</f>
        <v/>
      </c>
      <c r="I2240" s="43" t="n">
        <v>1</v>
      </c>
      <c r="J2240" s="80">
        <f>H2240*I2240</f>
        <v/>
      </c>
      <c r="K2240" s="43" t="inlineStr">
        <is>
          <t>来源页175</t>
        </is>
      </c>
      <c r="L2240" s="43">
        <f>A2240</f>
        <v/>
      </c>
      <c r="M2240" s="81" t="n"/>
      <c r="N2240" s="81" t="n"/>
      <c r="O2240" s="81" t="n"/>
      <c r="P2240" s="81" t="n"/>
      <c r="Q2240" s="81" t="n"/>
      <c r="R2240" s="81" t="n"/>
      <c r="S2240" s="81" t="n"/>
      <c r="T2240" s="81" t="n"/>
      <c r="U2240" s="81" t="n"/>
      <c r="V2240" s="81" t="n"/>
      <c r="W2240" s="43" t="n"/>
    </row>
    <row r="2241">
      <c r="A2241" s="43" t="inlineStr">
        <is>
          <t>N33b</t>
        </is>
      </c>
      <c r="B2241" s="43" t="inlineStr"/>
      <c r="C2241" s="43" t="inlineStr">
        <is>
          <t>节段09</t>
        </is>
      </c>
      <c r="D2241" s="43" t="inlineStr">
        <is>
          <t>Q355D</t>
        </is>
      </c>
      <c r="E2241" s="43" t="n">
        <v>10803</v>
      </c>
      <c r="F2241" s="43" t="n">
        <v>320</v>
      </c>
      <c r="G2241" s="43" t="n">
        <v>32</v>
      </c>
      <c r="H2241" s="79">
        <f>(E2241/1000)*(F2241/1000)*(G2241/1000)*7850</f>
        <v/>
      </c>
      <c r="I2241" s="43" t="n">
        <v>1</v>
      </c>
      <c r="J2241" s="80">
        <f>H2241*I2241</f>
        <v/>
      </c>
      <c r="K2241" s="43" t="inlineStr">
        <is>
          <t>来源页175</t>
        </is>
      </c>
      <c r="L2241" s="43">
        <f>A2241</f>
        <v/>
      </c>
      <c r="M2241" s="81" t="n"/>
      <c r="N2241" s="81" t="n"/>
      <c r="O2241" s="81" t="n"/>
      <c r="P2241" s="81" t="n"/>
      <c r="Q2241" s="81" t="n"/>
      <c r="R2241" s="81" t="n"/>
      <c r="S2241" s="81" t="n"/>
      <c r="T2241" s="81" t="n"/>
      <c r="U2241" s="81" t="n"/>
      <c r="V2241" s="81" t="n"/>
      <c r="W2241" s="43" t="n"/>
    </row>
    <row r="2242">
      <c r="A2242" s="43" t="inlineStr">
        <is>
          <t>N34</t>
        </is>
      </c>
      <c r="B2242" s="43" t="inlineStr"/>
      <c r="C2242" s="43" t="inlineStr">
        <is>
          <t>节段09</t>
        </is>
      </c>
      <c r="D2242" s="43" t="inlineStr">
        <is>
          <t>Q355D</t>
        </is>
      </c>
      <c r="E2242" s="43" t="n">
        <v>1200</v>
      </c>
      <c r="F2242" s="43" t="n">
        <v>1200</v>
      </c>
      <c r="G2242" s="43" t="n">
        <v>16</v>
      </c>
      <c r="H2242" s="79">
        <f>(E2242/1000)*(F2242/1000)*(G2242/1000)*7850</f>
        <v/>
      </c>
      <c r="I2242" s="43" t="n">
        <v>3</v>
      </c>
      <c r="J2242" s="80">
        <f>H2242*I2242</f>
        <v/>
      </c>
      <c r="K2242" s="43" t="inlineStr">
        <is>
          <t>来源页175</t>
        </is>
      </c>
      <c r="L2242" s="43">
        <f>A2242</f>
        <v/>
      </c>
      <c r="M2242" s="81" t="n"/>
      <c r="N2242" s="81" t="n"/>
      <c r="O2242" s="81" t="n"/>
      <c r="P2242" s="81" t="n"/>
      <c r="Q2242" s="81" t="n"/>
      <c r="R2242" s="81" t="n"/>
      <c r="S2242" s="81" t="n"/>
      <c r="T2242" s="81" t="n"/>
      <c r="U2242" s="81" t="n"/>
      <c r="V2242" s="81" t="n"/>
      <c r="W2242" s="43" t="n"/>
    </row>
    <row r="2243">
      <c r="A2243" s="43" t="inlineStr">
        <is>
          <t>N41</t>
        </is>
      </c>
      <c r="B2243" s="43" t="inlineStr"/>
      <c r="C2243" s="43" t="inlineStr">
        <is>
          <t>节段09</t>
        </is>
      </c>
      <c r="D2243" s="43" t="inlineStr">
        <is>
          <t>Q355D</t>
        </is>
      </c>
      <c r="E2243" s="43" t="n">
        <v>5651</v>
      </c>
      <c r="F2243" s="43" t="n">
        <v>1200</v>
      </c>
      <c r="G2243" s="43" t="n">
        <v>36</v>
      </c>
      <c r="H2243" s="79">
        <f>(E2243/1000)*(F2243/1000)*(G2243/1000)*7850</f>
        <v/>
      </c>
      <c r="I2243" s="43" t="n">
        <v>1</v>
      </c>
      <c r="J2243" s="80">
        <f>H2243*I2243</f>
        <v/>
      </c>
      <c r="K2243" s="43" t="inlineStr">
        <is>
          <t>来源页175</t>
        </is>
      </c>
      <c r="L2243" s="43">
        <f>A2243</f>
        <v/>
      </c>
      <c r="M2243" s="81" t="n"/>
      <c r="N2243" s="81" t="n"/>
      <c r="O2243" s="81" t="n"/>
      <c r="P2243" s="81" t="n"/>
      <c r="Q2243" s="81" t="n"/>
      <c r="R2243" s="81" t="n"/>
      <c r="S2243" s="81" t="n"/>
      <c r="T2243" s="81" t="n"/>
      <c r="U2243" s="81" t="n"/>
      <c r="V2243" s="81" t="n"/>
      <c r="W2243" s="43" t="n"/>
    </row>
    <row r="2244">
      <c r="A2244" s="43" t="inlineStr">
        <is>
          <t>N41a</t>
        </is>
      </c>
      <c r="B2244" s="43" t="inlineStr"/>
      <c r="C2244" s="43" t="inlineStr">
        <is>
          <t>节段09</t>
        </is>
      </c>
      <c r="D2244" s="43" t="inlineStr">
        <is>
          <t>Q355D</t>
        </is>
      </c>
      <c r="E2244" s="43" t="n">
        <v>5951</v>
      </c>
      <c r="F2244" s="43" t="n">
        <v>1200</v>
      </c>
      <c r="G2244" s="43" t="n">
        <v>36</v>
      </c>
      <c r="H2244" s="79">
        <f>(E2244/1000)*(F2244/1000)*(G2244/1000)*7850</f>
        <v/>
      </c>
      <c r="I2244" s="43" t="n">
        <v>1</v>
      </c>
      <c r="J2244" s="80">
        <f>H2244*I2244</f>
        <v/>
      </c>
      <c r="K2244" s="43" t="inlineStr">
        <is>
          <t>来源页175</t>
        </is>
      </c>
      <c r="L2244" s="43">
        <f>A2244</f>
        <v/>
      </c>
      <c r="M2244" s="81" t="n"/>
      <c r="N2244" s="81" t="n"/>
      <c r="O2244" s="81" t="n"/>
      <c r="P2244" s="81" t="n"/>
      <c r="Q2244" s="81" t="n"/>
      <c r="R2244" s="81" t="n"/>
      <c r="S2244" s="81" t="n"/>
      <c r="T2244" s="81" t="n"/>
      <c r="U2244" s="81" t="n"/>
      <c r="V2244" s="81" t="n"/>
      <c r="W2244" s="43" t="n"/>
    </row>
    <row r="2245">
      <c r="A2245" s="43" t="inlineStr">
        <is>
          <t>N42</t>
        </is>
      </c>
      <c r="B2245" s="43" t="inlineStr"/>
      <c r="C2245" s="43" t="inlineStr">
        <is>
          <t>节段09</t>
        </is>
      </c>
      <c r="D2245" s="43" t="inlineStr">
        <is>
          <t>Q355D</t>
        </is>
      </c>
      <c r="E2245" s="43" t="n">
        <v>3851</v>
      </c>
      <c r="F2245" s="43" t="n">
        <v>1360</v>
      </c>
      <c r="G2245" s="43" t="n">
        <v>36</v>
      </c>
      <c r="H2245" s="79">
        <f>(E2245/1000)*(F2245/1000)*(G2245/1000)*7850</f>
        <v/>
      </c>
      <c r="I2245" s="43" t="n">
        <v>2</v>
      </c>
      <c r="J2245" s="80">
        <f>H2245*I2245</f>
        <v/>
      </c>
      <c r="K2245" s="43" t="inlineStr">
        <is>
          <t>来源页175</t>
        </is>
      </c>
      <c r="L2245" s="43">
        <f>A2245</f>
        <v/>
      </c>
      <c r="M2245" s="81" t="n"/>
      <c r="N2245" s="81" t="n"/>
      <c r="O2245" s="81" t="n"/>
      <c r="P2245" s="81" t="n"/>
      <c r="Q2245" s="81" t="n"/>
      <c r="R2245" s="81" t="n"/>
      <c r="S2245" s="81" t="n"/>
      <c r="T2245" s="81" t="n"/>
      <c r="U2245" s="81" t="n"/>
      <c r="V2245" s="81" t="n"/>
      <c r="W2245" s="43" t="n"/>
    </row>
    <row r="2246">
      <c r="A2246" s="43" t="inlineStr">
        <is>
          <t>N43</t>
        </is>
      </c>
      <c r="B2246" s="43" t="inlineStr"/>
      <c r="C2246" s="43" t="inlineStr">
        <is>
          <t>节段09</t>
        </is>
      </c>
      <c r="D2246" s="43" t="inlineStr">
        <is>
          <t>Q355D</t>
        </is>
      </c>
      <c r="E2246" s="43" t="n">
        <v>3851</v>
      </c>
      <c r="F2246" s="43" t="n">
        <v>320</v>
      </c>
      <c r="G2246" s="43" t="n">
        <v>32</v>
      </c>
      <c r="H2246" s="79">
        <f>(E2246/1000)*(F2246/1000)*(G2246/1000)*7850</f>
        <v/>
      </c>
      <c r="I2246" s="43" t="n">
        <v>2</v>
      </c>
      <c r="J2246" s="80">
        <f>H2246*I2246</f>
        <v/>
      </c>
      <c r="K2246" s="43" t="inlineStr">
        <is>
          <t>来源页175</t>
        </is>
      </c>
      <c r="L2246" s="43">
        <f>A2246</f>
        <v/>
      </c>
      <c r="M2246" s="81" t="n"/>
      <c r="N2246" s="81" t="n"/>
      <c r="O2246" s="81" t="n"/>
      <c r="P2246" s="81" t="n"/>
      <c r="Q2246" s="81" t="n"/>
      <c r="R2246" s="81" t="n"/>
      <c r="S2246" s="81" t="n"/>
      <c r="T2246" s="81" t="n"/>
      <c r="U2246" s="81" t="n"/>
      <c r="V2246" s="81" t="n"/>
      <c r="W2246" s="43" t="n"/>
    </row>
    <row r="2247">
      <c r="A2247" s="43" t="inlineStr">
        <is>
          <t>N43a</t>
        </is>
      </c>
      <c r="B2247" s="43" t="inlineStr"/>
      <c r="C2247" s="43" t="inlineStr">
        <is>
          <t>节段09</t>
        </is>
      </c>
      <c r="D2247" s="43" t="inlineStr">
        <is>
          <t>Q355D</t>
        </is>
      </c>
      <c r="E2247" s="43" t="n">
        <v>4951</v>
      </c>
      <c r="F2247" s="43" t="n">
        <v>320</v>
      </c>
      <c r="G2247" s="43" t="n">
        <v>32</v>
      </c>
      <c r="H2247" s="79">
        <f>(E2247/1000)*(F2247/1000)*(G2247/1000)*7850</f>
        <v/>
      </c>
      <c r="I2247" s="43" t="n">
        <v>1</v>
      </c>
      <c r="J2247" s="80">
        <f>H2247*I2247</f>
        <v/>
      </c>
      <c r="K2247" s="43" t="inlineStr">
        <is>
          <t>来源页175</t>
        </is>
      </c>
      <c r="L2247" s="43">
        <f>A2247</f>
        <v/>
      </c>
      <c r="M2247" s="81" t="n"/>
      <c r="N2247" s="81" t="n"/>
      <c r="O2247" s="81" t="n"/>
      <c r="P2247" s="81" t="n"/>
      <c r="Q2247" s="81" t="n"/>
      <c r="R2247" s="81" t="n"/>
      <c r="S2247" s="81" t="n"/>
      <c r="T2247" s="81" t="n"/>
      <c r="U2247" s="81" t="n"/>
      <c r="V2247" s="81" t="n"/>
      <c r="W2247" s="43" t="n"/>
    </row>
    <row r="2248">
      <c r="A2248" s="43" t="inlineStr">
        <is>
          <t>N43b</t>
        </is>
      </c>
      <c r="B2248" s="43" t="inlineStr"/>
      <c r="C2248" s="43" t="inlineStr">
        <is>
          <t>节段09</t>
        </is>
      </c>
      <c r="D2248" s="43" t="inlineStr">
        <is>
          <t>Q355D</t>
        </is>
      </c>
      <c r="E2248" s="43" t="n">
        <v>5251</v>
      </c>
      <c r="F2248" s="43" t="n">
        <v>320</v>
      </c>
      <c r="G2248" s="43" t="n">
        <v>32</v>
      </c>
      <c r="H2248" s="79">
        <f>(E2248/1000)*(F2248/1000)*(G2248/1000)*7850</f>
        <v/>
      </c>
      <c r="I2248" s="43" t="n">
        <v>1</v>
      </c>
      <c r="J2248" s="80">
        <f>H2248*I2248</f>
        <v/>
      </c>
      <c r="K2248" s="43" t="inlineStr">
        <is>
          <t>来源页175</t>
        </is>
      </c>
      <c r="L2248" s="43">
        <f>A2248</f>
        <v/>
      </c>
      <c r="M2248" s="81" t="n"/>
      <c r="N2248" s="81" t="n"/>
      <c r="O2248" s="81" t="n"/>
      <c r="P2248" s="81" t="n"/>
      <c r="Q2248" s="81" t="n"/>
      <c r="R2248" s="81" t="n"/>
      <c r="S2248" s="81" t="n"/>
      <c r="T2248" s="81" t="n"/>
      <c r="U2248" s="81" t="n"/>
      <c r="V2248" s="81" t="n"/>
      <c r="W2248" s="43" t="n"/>
    </row>
    <row r="2249">
      <c r="A2249" s="43" t="inlineStr">
        <is>
          <t>N44</t>
        </is>
      </c>
      <c r="B2249" s="43" t="inlineStr"/>
      <c r="C2249" s="43" t="inlineStr">
        <is>
          <t>节段09</t>
        </is>
      </c>
      <c r="D2249" s="43" t="inlineStr">
        <is>
          <t>Q355D</t>
        </is>
      </c>
      <c r="E2249" s="43" t="n">
        <v>1200</v>
      </c>
      <c r="F2249" s="43" t="n">
        <v>1200</v>
      </c>
      <c r="G2249" s="43" t="n">
        <v>16</v>
      </c>
      <c r="H2249" s="79">
        <f>(E2249/1000)*(F2249/1000)*(G2249/1000)*7850</f>
        <v/>
      </c>
      <c r="I2249" s="43" t="n">
        <v>3</v>
      </c>
      <c r="J2249" s="80">
        <f>H2249*I2249</f>
        <v/>
      </c>
      <c r="K2249" s="43" t="inlineStr">
        <is>
          <t>来源页175</t>
        </is>
      </c>
      <c r="L2249" s="43">
        <f>A2249</f>
        <v/>
      </c>
      <c r="M2249" s="81" t="n"/>
      <c r="N2249" s="81" t="n"/>
      <c r="O2249" s="81" t="n"/>
      <c r="P2249" s="81" t="n"/>
      <c r="Q2249" s="81" t="n"/>
      <c r="R2249" s="81" t="n"/>
      <c r="S2249" s="81" t="n"/>
      <c r="T2249" s="81" t="n"/>
      <c r="U2249" s="81" t="n"/>
      <c r="V2249" s="81" t="n"/>
      <c r="W2249" s="43" t="n"/>
    </row>
    <row r="2250">
      <c r="A2250" s="43" t="inlineStr">
        <is>
          <t>N51</t>
        </is>
      </c>
      <c r="B2250" s="43" t="inlineStr"/>
      <c r="C2250" s="43" t="inlineStr">
        <is>
          <t>节段09</t>
        </is>
      </c>
      <c r="D2250" s="43" t="inlineStr">
        <is>
          <t>Q355D</t>
        </is>
      </c>
      <c r="E2250" s="43" t="n">
        <v>6111</v>
      </c>
      <c r="F2250" s="43" t="n">
        <v>1200</v>
      </c>
      <c r="G2250" s="43" t="n">
        <v>36</v>
      </c>
      <c r="H2250" s="79">
        <f>(E2250/1000)*(F2250/1000)*(G2250/1000)*7850</f>
        <v/>
      </c>
      <c r="I2250" s="43" t="n">
        <v>1</v>
      </c>
      <c r="J2250" s="80">
        <f>H2250*I2250</f>
        <v/>
      </c>
      <c r="K2250" s="43" t="inlineStr">
        <is>
          <t>来源页175</t>
        </is>
      </c>
      <c r="L2250" s="43">
        <f>A2250</f>
        <v/>
      </c>
      <c r="M2250" s="81" t="n"/>
      <c r="N2250" s="81" t="n"/>
      <c r="O2250" s="81" t="n"/>
      <c r="P2250" s="81" t="n"/>
      <c r="Q2250" s="81" t="n"/>
      <c r="R2250" s="81" t="n"/>
      <c r="S2250" s="81" t="n"/>
      <c r="T2250" s="81" t="n"/>
      <c r="U2250" s="81" t="n"/>
      <c r="V2250" s="81" t="n"/>
      <c r="W2250" s="43" t="n"/>
    </row>
    <row r="2251">
      <c r="A2251" s="43" t="inlineStr">
        <is>
          <t>N51a</t>
        </is>
      </c>
      <c r="B2251" s="43" t="inlineStr"/>
      <c r="C2251" s="43" t="inlineStr">
        <is>
          <t>节段09</t>
        </is>
      </c>
      <c r="D2251" s="43" t="inlineStr">
        <is>
          <t>Q355D</t>
        </is>
      </c>
      <c r="E2251" s="43" t="n">
        <v>6111</v>
      </c>
      <c r="F2251" s="43" t="n">
        <v>1200</v>
      </c>
      <c r="G2251" s="43" t="n">
        <v>36</v>
      </c>
      <c r="H2251" s="79">
        <f>(E2251/1000)*(F2251/1000)*(G2251/1000)*7850</f>
        <v/>
      </c>
      <c r="I2251" s="43" t="n">
        <v>1</v>
      </c>
      <c r="J2251" s="80">
        <f>H2251*I2251</f>
        <v/>
      </c>
      <c r="K2251" s="43" t="inlineStr">
        <is>
          <t>来源页175</t>
        </is>
      </c>
      <c r="L2251" s="43">
        <f>A2251</f>
        <v/>
      </c>
      <c r="M2251" s="81" t="n"/>
      <c r="N2251" s="81" t="n"/>
      <c r="O2251" s="81" t="n"/>
      <c r="P2251" s="81" t="n"/>
      <c r="Q2251" s="81" t="n"/>
      <c r="R2251" s="81" t="n"/>
      <c r="S2251" s="81" t="n"/>
      <c r="T2251" s="81" t="n"/>
      <c r="U2251" s="81" t="n"/>
      <c r="V2251" s="81" t="n"/>
      <c r="W2251" s="43" t="n"/>
    </row>
    <row r="2252">
      <c r="A2252" s="43" t="inlineStr">
        <is>
          <t>N52</t>
        </is>
      </c>
      <c r="B2252" s="43" t="inlineStr"/>
      <c r="C2252" s="43" t="inlineStr">
        <is>
          <t>节段09</t>
        </is>
      </c>
      <c r="D2252" s="43" t="inlineStr">
        <is>
          <t>Q355D</t>
        </is>
      </c>
      <c r="E2252" s="43" t="n">
        <v>3911</v>
      </c>
      <c r="F2252" s="43" t="n">
        <v>1360</v>
      </c>
      <c r="G2252" s="43" t="n">
        <v>36</v>
      </c>
      <c r="H2252" s="79">
        <f>(E2252/1000)*(F2252/1000)*(G2252/1000)*7850</f>
        <v/>
      </c>
      <c r="I2252" s="43" t="n">
        <v>2</v>
      </c>
      <c r="J2252" s="80">
        <f>H2252*I2252</f>
        <v/>
      </c>
      <c r="K2252" s="43" t="inlineStr">
        <is>
          <t>来源页175</t>
        </is>
      </c>
      <c r="L2252" s="43">
        <f>A2252</f>
        <v/>
      </c>
      <c r="M2252" s="81" t="n"/>
      <c r="N2252" s="81" t="n"/>
      <c r="O2252" s="81" t="n"/>
      <c r="P2252" s="81" t="n"/>
      <c r="Q2252" s="81" t="n"/>
      <c r="R2252" s="81" t="n"/>
      <c r="S2252" s="81" t="n"/>
      <c r="T2252" s="81" t="n"/>
      <c r="U2252" s="81" t="n"/>
      <c r="V2252" s="81" t="n"/>
      <c r="W2252" s="43" t="n"/>
    </row>
    <row r="2253">
      <c r="A2253" s="43" t="inlineStr">
        <is>
          <t>N53</t>
        </is>
      </c>
      <c r="B2253" s="43" t="inlineStr"/>
      <c r="C2253" s="43" t="inlineStr">
        <is>
          <t>节段09</t>
        </is>
      </c>
      <c r="D2253" s="43" t="inlineStr">
        <is>
          <t>Q355D</t>
        </is>
      </c>
      <c r="E2253" s="43" t="n">
        <v>3911</v>
      </c>
      <c r="F2253" s="43" t="n">
        <v>320</v>
      </c>
      <c r="G2253" s="43" t="n">
        <v>32</v>
      </c>
      <c r="H2253" s="79">
        <f>(E2253/1000)*(F2253/1000)*(G2253/1000)*7850</f>
        <v/>
      </c>
      <c r="I2253" s="43" t="n">
        <v>2</v>
      </c>
      <c r="J2253" s="80">
        <f>H2253*I2253</f>
        <v/>
      </c>
      <c r="K2253" s="43" t="inlineStr">
        <is>
          <t>来源页175</t>
        </is>
      </c>
      <c r="L2253" s="43">
        <f>A2253</f>
        <v/>
      </c>
      <c r="M2253" s="81" t="n"/>
      <c r="N2253" s="81" t="n"/>
      <c r="O2253" s="81" t="n"/>
      <c r="P2253" s="81" t="n"/>
      <c r="Q2253" s="81" t="n"/>
      <c r="R2253" s="81" t="n"/>
      <c r="S2253" s="81" t="n"/>
      <c r="T2253" s="81" t="n"/>
      <c r="U2253" s="81" t="n"/>
      <c r="V2253" s="81" t="n"/>
      <c r="W2253" s="43" t="n"/>
    </row>
    <row r="2254">
      <c r="A2254" s="43" t="inlineStr">
        <is>
          <t>N53a</t>
        </is>
      </c>
      <c r="B2254" s="43" t="inlineStr"/>
      <c r="C2254" s="43" t="inlineStr">
        <is>
          <t>节段09</t>
        </is>
      </c>
      <c r="D2254" s="43" t="inlineStr">
        <is>
          <t>Q355D</t>
        </is>
      </c>
      <c r="E2254" s="43" t="n">
        <v>5411</v>
      </c>
      <c r="F2254" s="43" t="n">
        <v>320</v>
      </c>
      <c r="G2254" s="43" t="n">
        <v>32</v>
      </c>
      <c r="H2254" s="79">
        <f>(E2254/1000)*(F2254/1000)*(G2254/1000)*7850</f>
        <v/>
      </c>
      <c r="I2254" s="43" t="n">
        <v>1</v>
      </c>
      <c r="J2254" s="80">
        <f>H2254*I2254</f>
        <v/>
      </c>
      <c r="K2254" s="43" t="inlineStr">
        <is>
          <t>来源页175</t>
        </is>
      </c>
      <c r="L2254" s="43">
        <f>A2254</f>
        <v/>
      </c>
      <c r="M2254" s="81" t="n"/>
      <c r="N2254" s="81" t="n"/>
      <c r="O2254" s="81" t="n"/>
      <c r="P2254" s="81" t="n"/>
      <c r="Q2254" s="81" t="n"/>
      <c r="R2254" s="81" t="n"/>
      <c r="S2254" s="81" t="n"/>
      <c r="T2254" s="81" t="n"/>
      <c r="U2254" s="81" t="n"/>
      <c r="V2254" s="81" t="n"/>
      <c r="W2254" s="43" t="n"/>
    </row>
    <row r="2255">
      <c r="A2255" s="43" t="inlineStr">
        <is>
          <t>N53b</t>
        </is>
      </c>
      <c r="B2255" s="43" t="inlineStr"/>
      <c r="C2255" s="43" t="inlineStr">
        <is>
          <t>节段09</t>
        </is>
      </c>
      <c r="D2255" s="43" t="inlineStr">
        <is>
          <t>Q355D</t>
        </is>
      </c>
      <c r="E2255" s="43" t="n">
        <v>5411</v>
      </c>
      <c r="F2255" s="43" t="n">
        <v>320</v>
      </c>
      <c r="G2255" s="43" t="n">
        <v>32</v>
      </c>
      <c r="H2255" s="79">
        <f>(E2255/1000)*(F2255/1000)*(G2255/1000)*7850</f>
        <v/>
      </c>
      <c r="I2255" s="43" t="n">
        <v>1</v>
      </c>
      <c r="J2255" s="80">
        <f>H2255*I2255</f>
        <v/>
      </c>
      <c r="K2255" s="43" t="inlineStr">
        <is>
          <t>来源页175</t>
        </is>
      </c>
      <c r="L2255" s="43">
        <f>A2255</f>
        <v/>
      </c>
      <c r="M2255" s="81" t="n"/>
      <c r="N2255" s="81" t="n"/>
      <c r="O2255" s="81" t="n"/>
      <c r="P2255" s="81" t="n"/>
      <c r="Q2255" s="81" t="n"/>
      <c r="R2255" s="81" t="n"/>
      <c r="S2255" s="81" t="n"/>
      <c r="T2255" s="81" t="n"/>
      <c r="U2255" s="81" t="n"/>
      <c r="V2255" s="81" t="n"/>
      <c r="W2255" s="43" t="n"/>
    </row>
    <row r="2256">
      <c r="A2256" s="43" t="inlineStr">
        <is>
          <t>N54</t>
        </is>
      </c>
      <c r="B2256" s="43" t="inlineStr"/>
      <c r="C2256" s="43" t="inlineStr">
        <is>
          <t>节段09</t>
        </is>
      </c>
      <c r="D2256" s="43" t="inlineStr">
        <is>
          <t>Q355D</t>
        </is>
      </c>
      <c r="E2256" s="43" t="n">
        <v>1200</v>
      </c>
      <c r="F2256" s="43" t="n">
        <v>1200</v>
      </c>
      <c r="G2256" s="43" t="n">
        <v>16</v>
      </c>
      <c r="H2256" s="79">
        <f>(E2256/1000)*(F2256/1000)*(G2256/1000)*7850</f>
        <v/>
      </c>
      <c r="I2256" s="43" t="n">
        <v>2</v>
      </c>
      <c r="J2256" s="80">
        <f>H2256*I2256</f>
        <v/>
      </c>
      <c r="K2256" s="43" t="inlineStr">
        <is>
          <t>来源页175</t>
        </is>
      </c>
      <c r="L2256" s="43">
        <f>A2256</f>
        <v/>
      </c>
      <c r="M2256" s="81" t="n"/>
      <c r="N2256" s="81" t="n"/>
      <c r="O2256" s="81" t="n"/>
      <c r="P2256" s="81" t="n"/>
      <c r="Q2256" s="81" t="n"/>
      <c r="R2256" s="81" t="n"/>
      <c r="S2256" s="81" t="n"/>
      <c r="T2256" s="81" t="n"/>
      <c r="U2256" s="81" t="n"/>
      <c r="V2256" s="81" t="n"/>
      <c r="W2256" s="43" t="n"/>
    </row>
    <row r="2257">
      <c r="A2257" s="43" t="inlineStr">
        <is>
          <t>N55</t>
        </is>
      </c>
      <c r="B2257" s="43" t="inlineStr"/>
      <c r="C2257" s="43" t="inlineStr">
        <is>
          <t>节段09</t>
        </is>
      </c>
      <c r="D2257" s="43" t="inlineStr">
        <is>
          <t>Q355D</t>
        </is>
      </c>
      <c r="E2257" s="43" t="n">
        <v>2300</v>
      </c>
      <c r="F2257" s="43" t="n">
        <v>320</v>
      </c>
      <c r="G2257" s="43" t="n">
        <v>32</v>
      </c>
      <c r="H2257" s="79">
        <f>(E2257/1000)*(F2257/1000)*(G2257/1000)*7850</f>
        <v/>
      </c>
      <c r="I2257" s="43" t="n">
        <v>4</v>
      </c>
      <c r="J2257" s="80">
        <f>H2257*I2257</f>
        <v/>
      </c>
      <c r="K2257" s="43" t="inlineStr">
        <is>
          <t>来源页175</t>
        </is>
      </c>
      <c r="L2257" s="43">
        <f>A2257</f>
        <v/>
      </c>
      <c r="M2257" s="81" t="n"/>
      <c r="N2257" s="81" t="n"/>
      <c r="O2257" s="81" t="n"/>
      <c r="P2257" s="81" t="n"/>
      <c r="Q2257" s="81" t="n"/>
      <c r="R2257" s="81" t="n"/>
      <c r="S2257" s="81" t="n"/>
      <c r="T2257" s="81" t="n"/>
      <c r="U2257" s="81" t="n"/>
      <c r="V2257" s="81" t="n"/>
      <c r="W2257" s="43" t="n"/>
    </row>
    <row r="2258">
      <c r="A2258" s="43" t="inlineStr">
        <is>
          <t>N56</t>
        </is>
      </c>
      <c r="B2258" s="43" t="inlineStr"/>
      <c r="C2258" s="43" t="inlineStr">
        <is>
          <t>节段09</t>
        </is>
      </c>
      <c r="D2258" s="43" t="inlineStr">
        <is>
          <t>Q355D</t>
        </is>
      </c>
      <c r="E2258" s="43" t="n">
        <v>2600</v>
      </c>
      <c r="F2258" s="43" t="n">
        <v>320</v>
      </c>
      <c r="G2258" s="43" t="n">
        <v>32</v>
      </c>
      <c r="H2258" s="79">
        <f>(E2258/1000)*(F2258/1000)*(G2258/1000)*7850</f>
        <v/>
      </c>
      <c r="I2258" s="43" t="n">
        <v>4</v>
      </c>
      <c r="J2258" s="80">
        <f>H2258*I2258</f>
        <v/>
      </c>
      <c r="K2258" s="43" t="inlineStr">
        <is>
          <t>来源页175</t>
        </is>
      </c>
      <c r="L2258" s="43">
        <f>A2258</f>
        <v/>
      </c>
      <c r="M2258" s="81" t="n"/>
      <c r="N2258" s="81" t="n"/>
      <c r="O2258" s="81" t="n"/>
      <c r="P2258" s="81" t="n"/>
      <c r="Q2258" s="81" t="n"/>
      <c r="R2258" s="81" t="n"/>
      <c r="S2258" s="81" t="n"/>
      <c r="T2258" s="81" t="n"/>
      <c r="U2258" s="81" t="n"/>
      <c r="V2258" s="81" t="n"/>
      <c r="W2258" s="43" t="n"/>
    </row>
    <row r="2259">
      <c r="A2259" s="43" t="inlineStr">
        <is>
          <t>N61</t>
        </is>
      </c>
      <c r="B2259" s="43" t="inlineStr"/>
      <c r="C2259" s="43" t="inlineStr">
        <is>
          <t>节段09</t>
        </is>
      </c>
      <c r="D2259" s="43" t="inlineStr">
        <is>
          <t>Q355D</t>
        </is>
      </c>
      <c r="E2259" s="43" t="n">
        <v>1580</v>
      </c>
      <c r="F2259" s="43" t="n">
        <v>610</v>
      </c>
      <c r="G2259" s="43" t="n">
        <v>14</v>
      </c>
      <c r="H2259" s="79">
        <f>(E2259/1000)*(F2259/1000)*(G2259/1000)*7850</f>
        <v/>
      </c>
      <c r="I2259" s="43" t="n">
        <v>3</v>
      </c>
      <c r="J2259" s="80">
        <f>H2259*I2259</f>
        <v/>
      </c>
      <c r="K2259" s="43" t="inlineStr">
        <is>
          <t>来源页175</t>
        </is>
      </c>
      <c r="L2259" s="43">
        <f>A2259</f>
        <v/>
      </c>
      <c r="M2259" s="81" t="n"/>
      <c r="N2259" s="81" t="n"/>
      <c r="O2259" s="81" t="n"/>
      <c r="P2259" s="81" t="n"/>
      <c r="Q2259" s="81" t="n"/>
      <c r="R2259" s="81" t="n"/>
      <c r="S2259" s="81" t="n"/>
      <c r="T2259" s="81" t="n"/>
      <c r="U2259" s="81" t="n"/>
      <c r="V2259" s="81" t="n"/>
      <c r="W2259" s="43" t="n"/>
    </row>
    <row r="2260">
      <c r="A2260" s="43" t="inlineStr">
        <is>
          <t>N61a</t>
        </is>
      </c>
      <c r="B2260" s="43" t="inlineStr"/>
      <c r="C2260" s="43" t="inlineStr">
        <is>
          <t>节段09</t>
        </is>
      </c>
      <c r="D2260" s="43" t="inlineStr">
        <is>
          <t>Q355D</t>
        </is>
      </c>
      <c r="E2260" s="43" t="n">
        <v>1576</v>
      </c>
      <c r="F2260" s="43" t="n">
        <v>618</v>
      </c>
      <c r="G2260" s="43" t="n">
        <v>14</v>
      </c>
      <c r="H2260" s="79">
        <f>(E2260/1000)*(F2260/1000)*(G2260/1000)*7850</f>
        <v/>
      </c>
      <c r="I2260" s="43" t="n">
        <v>2</v>
      </c>
      <c r="J2260" s="80">
        <f>H2260*I2260</f>
        <v/>
      </c>
      <c r="K2260" s="43" t="inlineStr">
        <is>
          <t>来源页175</t>
        </is>
      </c>
      <c r="L2260" s="43">
        <f>A2260</f>
        <v/>
      </c>
      <c r="M2260" s="81" t="n"/>
      <c r="N2260" s="81" t="n"/>
      <c r="O2260" s="81" t="n"/>
      <c r="P2260" s="81" t="n"/>
      <c r="Q2260" s="81" t="n"/>
      <c r="R2260" s="81" t="n"/>
      <c r="S2260" s="81" t="n"/>
      <c r="T2260" s="81" t="n"/>
      <c r="U2260" s="81" t="n"/>
      <c r="V2260" s="81" t="n"/>
      <c r="W2260" s="43" t="n"/>
    </row>
    <row r="2261">
      <c r="A2261" s="43" t="inlineStr">
        <is>
          <t>N62</t>
        </is>
      </c>
      <c r="B2261" s="43" t="inlineStr"/>
      <c r="C2261" s="43" t="inlineStr">
        <is>
          <t>节段09</t>
        </is>
      </c>
      <c r="D2261" s="43" t="inlineStr">
        <is>
          <t>Q355D</t>
        </is>
      </c>
      <c r="E2261" s="43" t="n"/>
      <c r="F2261" s="43" t="n"/>
      <c r="G2261" s="43" t="n">
        <v>24</v>
      </c>
      <c r="H2261" s="79">
        <f>(E2261/1000)*(F2261/1000)*(G2261/1000)*7850</f>
        <v/>
      </c>
      <c r="I2261" s="43" t="n">
        <v>3</v>
      </c>
      <c r="J2261" s="80">
        <f>H2261*I2261</f>
        <v/>
      </c>
      <c r="K2261" s="43" t="inlineStr">
        <is>
          <t>来源页175</t>
        </is>
      </c>
      <c r="L2261" s="43">
        <f>A2261</f>
        <v/>
      </c>
      <c r="M2261" s="81" t="n"/>
      <c r="N2261" s="81" t="n"/>
      <c r="O2261" s="81" t="n"/>
      <c r="P2261" s="81" t="n"/>
      <c r="Q2261" s="81" t="n"/>
      <c r="R2261" s="81" t="n"/>
      <c r="S2261" s="81" t="n"/>
      <c r="T2261" s="81" t="n"/>
      <c r="U2261" s="81" t="n"/>
      <c r="V2261" s="81" t="n"/>
      <c r="W2261" s="43" t="n"/>
    </row>
    <row r="2262">
      <c r="A2262" s="43" t="inlineStr">
        <is>
          <t>N62a</t>
        </is>
      </c>
      <c r="B2262" s="43" t="inlineStr"/>
      <c r="C2262" s="43" t="inlineStr">
        <is>
          <t>节段09</t>
        </is>
      </c>
      <c r="D2262" s="43" t="inlineStr">
        <is>
          <t>Q355D</t>
        </is>
      </c>
      <c r="E2262" s="43" t="n"/>
      <c r="F2262" s="43" t="n"/>
      <c r="G2262" s="43" t="n">
        <v>24</v>
      </c>
      <c r="H2262" s="79">
        <f>(E2262/1000)*(F2262/1000)*(G2262/1000)*7850</f>
        <v/>
      </c>
      <c r="I2262" s="43" t="n">
        <v>2</v>
      </c>
      <c r="J2262" s="80">
        <f>H2262*I2262</f>
        <v/>
      </c>
      <c r="K2262" s="43" t="inlineStr">
        <is>
          <t>来源页175</t>
        </is>
      </c>
      <c r="L2262" s="43">
        <f>A2262</f>
        <v/>
      </c>
      <c r="M2262" s="81" t="n"/>
      <c r="N2262" s="81" t="n"/>
      <c r="O2262" s="81" t="n"/>
      <c r="P2262" s="81" t="n"/>
      <c r="Q2262" s="81" t="n"/>
      <c r="R2262" s="81" t="n"/>
      <c r="S2262" s="81" t="n"/>
      <c r="T2262" s="81" t="n"/>
      <c r="U2262" s="81" t="n"/>
      <c r="V2262" s="81" t="n"/>
      <c r="W2262" s="43" t="n"/>
    </row>
    <row r="2263">
      <c r="A2263" s="43" t="inlineStr">
        <is>
          <t>N63</t>
        </is>
      </c>
      <c r="B2263" s="43" t="inlineStr"/>
      <c r="C2263" s="43" t="inlineStr">
        <is>
          <t>节段09</t>
        </is>
      </c>
      <c r="D2263" s="43" t="inlineStr">
        <is>
          <t>Q355D</t>
        </is>
      </c>
      <c r="E2263" s="43" t="n">
        <v>1450</v>
      </c>
      <c r="F2263" s="43" t="n">
        <v>606</v>
      </c>
      <c r="G2263" s="43" t="n">
        <v>14</v>
      </c>
      <c r="H2263" s="79">
        <f>(E2263/1000)*(F2263/1000)*(G2263/1000)*7850</f>
        <v/>
      </c>
      <c r="I2263" s="43" t="n">
        <v>3</v>
      </c>
      <c r="J2263" s="80">
        <f>H2263*I2263</f>
        <v/>
      </c>
      <c r="K2263" s="43" t="inlineStr">
        <is>
          <t>来源页175</t>
        </is>
      </c>
      <c r="L2263" s="43">
        <f>A2263</f>
        <v/>
      </c>
      <c r="M2263" s="81" t="n"/>
      <c r="N2263" s="81" t="n"/>
      <c r="O2263" s="81" t="n"/>
      <c r="P2263" s="81" t="n"/>
      <c r="Q2263" s="81" t="n"/>
      <c r="R2263" s="81" t="n"/>
      <c r="S2263" s="81" t="n"/>
      <c r="T2263" s="81" t="n"/>
      <c r="U2263" s="81" t="n"/>
      <c r="V2263" s="81" t="n"/>
      <c r="W2263" s="43" t="n"/>
    </row>
    <row r="2264">
      <c r="A2264" s="43" t="inlineStr">
        <is>
          <t>N63a</t>
        </is>
      </c>
      <c r="B2264" s="43" t="inlineStr"/>
      <c r="C2264" s="43" t="inlineStr">
        <is>
          <t>节段09</t>
        </is>
      </c>
      <c r="D2264" s="43" t="inlineStr">
        <is>
          <t>Q355D</t>
        </is>
      </c>
      <c r="E2264" s="43" t="n">
        <v>1450</v>
      </c>
      <c r="F2264" s="43" t="n">
        <v>618</v>
      </c>
      <c r="G2264" s="43" t="n">
        <v>14</v>
      </c>
      <c r="H2264" s="79">
        <f>(E2264/1000)*(F2264/1000)*(G2264/1000)*7850</f>
        <v/>
      </c>
      <c r="I2264" s="43" t="n">
        <v>2</v>
      </c>
      <c r="J2264" s="80">
        <f>H2264*I2264</f>
        <v/>
      </c>
      <c r="K2264" s="43" t="inlineStr">
        <is>
          <t>来源页175</t>
        </is>
      </c>
      <c r="L2264" s="43">
        <f>A2264</f>
        <v/>
      </c>
      <c r="M2264" s="81" t="n"/>
      <c r="N2264" s="81" t="n"/>
      <c r="O2264" s="81" t="n"/>
      <c r="P2264" s="81" t="n"/>
      <c r="Q2264" s="81" t="n"/>
      <c r="R2264" s="81" t="n"/>
      <c r="S2264" s="81" t="n"/>
      <c r="T2264" s="81" t="n"/>
      <c r="U2264" s="81" t="n"/>
      <c r="V2264" s="81" t="n"/>
      <c r="W2264" s="43" t="n"/>
    </row>
    <row r="2265">
      <c r="A2265" s="43" t="inlineStr"/>
      <c r="B2265" s="43" t="inlineStr"/>
      <c r="C2265" s="43" t="inlineStr">
        <is>
          <t>节段8~节段9</t>
        </is>
      </c>
      <c r="D2265" s="43" t="inlineStr">
        <is>
          <t>Q355D</t>
        </is>
      </c>
      <c r="E2265" s="43" t="n"/>
      <c r="F2265" s="43" t="n"/>
      <c r="G2265" s="43" t="n">
        <v>44</v>
      </c>
      <c r="H2265" s="79">
        <f>(E2265/1000)*(F2265/1000)*(G2265/1000)*7850</f>
        <v/>
      </c>
      <c r="I2265" s="43" t="n">
        <v>2</v>
      </c>
      <c r="J2265" s="80">
        <f>H2265*I2265</f>
        <v/>
      </c>
      <c r="K2265" s="43" t="inlineStr">
        <is>
          <t>来源页175</t>
        </is>
      </c>
      <c r="L2265" s="43">
        <f>A2265</f>
        <v/>
      </c>
      <c r="M2265" s="81" t="n"/>
      <c r="N2265" s="81" t="n"/>
      <c r="O2265" s="81" t="n"/>
      <c r="P2265" s="81" t="n"/>
      <c r="Q2265" s="81" t="n"/>
      <c r="R2265" s="81" t="n"/>
      <c r="S2265" s="81" t="n"/>
      <c r="T2265" s="81" t="n"/>
      <c r="U2265" s="81" t="n"/>
      <c r="V2265" s="81" t="n"/>
      <c r="W2265" s="43" t="n"/>
    </row>
    <row r="2266">
      <c r="A2266" s="43" t="inlineStr"/>
      <c r="B2266" s="43" t="inlineStr"/>
      <c r="C2266" s="43" t="inlineStr">
        <is>
          <t>节段8~节段9</t>
        </is>
      </c>
      <c r="D2266" s="43" t="inlineStr">
        <is>
          <t>Q355D</t>
        </is>
      </c>
      <c r="E2266" s="43" t="n"/>
      <c r="F2266" s="43" t="n"/>
      <c r="G2266" s="43" t="n">
        <v>36</v>
      </c>
      <c r="H2266" s="79">
        <f>(E2266/1000)*(F2266/1000)*(G2266/1000)*7850</f>
        <v/>
      </c>
      <c r="I2266" s="43" t="n">
        <v>2</v>
      </c>
      <c r="J2266" s="80">
        <f>H2266*I2266</f>
        <v/>
      </c>
      <c r="K2266" s="43" t="inlineStr">
        <is>
          <t>来源页175</t>
        </is>
      </c>
      <c r="L2266" s="43">
        <f>A2266</f>
        <v/>
      </c>
      <c r="M2266" s="81" t="n"/>
      <c r="N2266" s="81" t="n"/>
      <c r="O2266" s="81" t="n"/>
      <c r="P2266" s="81" t="n"/>
      <c r="Q2266" s="81" t="n"/>
      <c r="R2266" s="81" t="n"/>
      <c r="S2266" s="81" t="n"/>
      <c r="T2266" s="81" t="n"/>
      <c r="U2266" s="81" t="n"/>
      <c r="V2266" s="81" t="n"/>
      <c r="W2266" s="43" t="n"/>
    </row>
    <row r="2267">
      <c r="A2267" s="43" t="inlineStr"/>
      <c r="B2267" s="43" t="inlineStr"/>
      <c r="C2267" s="43" t="inlineStr">
        <is>
          <t>节段8~节段9</t>
        </is>
      </c>
      <c r="D2267" s="43" t="inlineStr">
        <is>
          <t>Q355D</t>
        </is>
      </c>
      <c r="E2267" s="43" t="n"/>
      <c r="F2267" s="43" t="n"/>
      <c r="G2267" s="43" t="n">
        <v>32</v>
      </c>
      <c r="H2267" s="79">
        <f>(E2267/1000)*(F2267/1000)*(G2267/1000)*7850</f>
        <v/>
      </c>
      <c r="I2267" s="43" t="n">
        <v>2</v>
      </c>
      <c r="J2267" s="80">
        <f>H2267*I2267</f>
        <v/>
      </c>
      <c r="K2267" s="43" t="inlineStr">
        <is>
          <t>来源页175</t>
        </is>
      </c>
      <c r="L2267" s="43">
        <f>A2267</f>
        <v/>
      </c>
      <c r="M2267" s="81" t="n"/>
      <c r="N2267" s="81" t="n"/>
      <c r="O2267" s="81" t="n"/>
      <c r="P2267" s="81" t="n"/>
      <c r="Q2267" s="81" t="n"/>
      <c r="R2267" s="81" t="n"/>
      <c r="S2267" s="81" t="n"/>
      <c r="T2267" s="81" t="n"/>
      <c r="U2267" s="81" t="n"/>
      <c r="V2267" s="81" t="n"/>
      <c r="W2267" s="43" t="n"/>
    </row>
    <row r="2268">
      <c r="A2268" s="43" t="inlineStr"/>
      <c r="B2268" s="43" t="inlineStr"/>
      <c r="C2268" s="43" t="inlineStr">
        <is>
          <t>节段8~节段9</t>
        </is>
      </c>
      <c r="D2268" s="43" t="inlineStr">
        <is>
          <t>Q355D</t>
        </is>
      </c>
      <c r="E2268" s="43" t="n"/>
      <c r="F2268" s="43" t="n"/>
      <c r="G2268" s="43" t="n">
        <v>28</v>
      </c>
      <c r="H2268" s="79">
        <f>(E2268/1000)*(F2268/1000)*(G2268/1000)*7850</f>
        <v/>
      </c>
      <c r="I2268" s="43" t="n">
        <v>2</v>
      </c>
      <c r="J2268" s="80">
        <f>H2268*I2268</f>
        <v/>
      </c>
      <c r="K2268" s="43" t="inlineStr">
        <is>
          <t>来源页175</t>
        </is>
      </c>
      <c r="L2268" s="43">
        <f>A2268</f>
        <v/>
      </c>
      <c r="M2268" s="81" t="n"/>
      <c r="N2268" s="81" t="n"/>
      <c r="O2268" s="81" t="n"/>
      <c r="P2268" s="81" t="n"/>
      <c r="Q2268" s="81" t="n"/>
      <c r="R2268" s="81" t="n"/>
      <c r="S2268" s="81" t="n"/>
      <c r="T2268" s="81" t="n"/>
      <c r="U2268" s="81" t="n"/>
      <c r="V2268" s="81" t="n"/>
      <c r="W2268" s="43" t="n"/>
    </row>
    <row r="2269">
      <c r="A2269" s="43" t="inlineStr"/>
      <c r="B2269" s="43" t="inlineStr"/>
      <c r="C2269" s="43" t="inlineStr">
        <is>
          <t>节段8~节段9</t>
        </is>
      </c>
      <c r="D2269" s="43" t="inlineStr">
        <is>
          <t>Q355D</t>
        </is>
      </c>
      <c r="E2269" s="43" t="n"/>
      <c r="F2269" s="43" t="n"/>
      <c r="G2269" s="43" t="n">
        <v>24</v>
      </c>
      <c r="H2269" s="79">
        <f>(E2269/1000)*(F2269/1000)*(G2269/1000)*7850</f>
        <v/>
      </c>
      <c r="I2269" s="43" t="n">
        <v>2</v>
      </c>
      <c r="J2269" s="80">
        <f>H2269*I2269</f>
        <v/>
      </c>
      <c r="K2269" s="43" t="inlineStr">
        <is>
          <t>来源页175</t>
        </is>
      </c>
      <c r="L2269" s="43">
        <f>A2269</f>
        <v/>
      </c>
      <c r="M2269" s="81" t="n"/>
      <c r="N2269" s="81" t="n"/>
      <c r="O2269" s="81" t="n"/>
      <c r="P2269" s="81" t="n"/>
      <c r="Q2269" s="81" t="n"/>
      <c r="R2269" s="81" t="n"/>
      <c r="S2269" s="81" t="n"/>
      <c r="T2269" s="81" t="n"/>
      <c r="U2269" s="81" t="n"/>
      <c r="V2269" s="81" t="n"/>
      <c r="W2269" s="43" t="n"/>
    </row>
    <row r="2270">
      <c r="A2270" s="43" t="inlineStr"/>
      <c r="B2270" s="43" t="inlineStr"/>
      <c r="C2270" s="43" t="inlineStr">
        <is>
          <t>节段8~节段9</t>
        </is>
      </c>
      <c r="D2270" s="43" t="inlineStr">
        <is>
          <t>Q355D</t>
        </is>
      </c>
      <c r="E2270" s="43" t="n"/>
      <c r="F2270" s="43" t="n"/>
      <c r="G2270" s="43" t="n">
        <v>20</v>
      </c>
      <c r="H2270" s="79">
        <f>(E2270/1000)*(F2270/1000)*(G2270/1000)*7850</f>
        <v/>
      </c>
      <c r="I2270" s="43" t="n">
        <v>2</v>
      </c>
      <c r="J2270" s="80">
        <f>H2270*I2270</f>
        <v/>
      </c>
      <c r="K2270" s="43" t="inlineStr">
        <is>
          <t>来源页175</t>
        </is>
      </c>
      <c r="L2270" s="43">
        <f>A2270</f>
        <v/>
      </c>
      <c r="M2270" s="81" t="n"/>
      <c r="N2270" s="81" t="n"/>
      <c r="O2270" s="81" t="n"/>
      <c r="P2270" s="81" t="n"/>
      <c r="Q2270" s="81" t="n"/>
      <c r="R2270" s="81" t="n"/>
      <c r="S2270" s="81" t="n"/>
      <c r="T2270" s="81" t="n"/>
      <c r="U2270" s="81" t="n"/>
      <c r="V2270" s="81" t="n"/>
      <c r="W2270" s="43" t="n"/>
    </row>
    <row r="2271">
      <c r="A2271" s="43" t="inlineStr"/>
      <c r="B2271" s="43" t="inlineStr"/>
      <c r="C2271" s="43" t="inlineStr">
        <is>
          <t>节段8~节段9</t>
        </is>
      </c>
      <c r="D2271" s="43" t="inlineStr">
        <is>
          <t>Q355D</t>
        </is>
      </c>
      <c r="E2271" s="43" t="n"/>
      <c r="F2271" s="43" t="n"/>
      <c r="G2271" s="43" t="n">
        <v>16</v>
      </c>
      <c r="H2271" s="79">
        <f>(E2271/1000)*(F2271/1000)*(G2271/1000)*7850</f>
        <v/>
      </c>
      <c r="I2271" s="43" t="n">
        <v>2</v>
      </c>
      <c r="J2271" s="80">
        <f>H2271*I2271</f>
        <v/>
      </c>
      <c r="K2271" s="43" t="inlineStr">
        <is>
          <t>来源页175</t>
        </is>
      </c>
      <c r="L2271" s="43">
        <f>A2271</f>
        <v/>
      </c>
      <c r="M2271" s="81" t="n"/>
      <c r="N2271" s="81" t="n"/>
      <c r="O2271" s="81" t="n"/>
      <c r="P2271" s="81" t="n"/>
      <c r="Q2271" s="81" t="n"/>
      <c r="R2271" s="81" t="n"/>
      <c r="S2271" s="81" t="n"/>
      <c r="T2271" s="81" t="n"/>
      <c r="U2271" s="81" t="n"/>
      <c r="V2271" s="81" t="n"/>
      <c r="W2271" s="43" t="n"/>
    </row>
    <row r="2272">
      <c r="A2272" s="43" t="inlineStr"/>
      <c r="B2272" s="43" t="inlineStr"/>
      <c r="C2272" s="43" t="inlineStr">
        <is>
          <t>节段8~节段9</t>
        </is>
      </c>
      <c r="D2272" s="43" t="inlineStr">
        <is>
          <t>Q355D</t>
        </is>
      </c>
      <c r="E2272" s="43" t="n"/>
      <c r="F2272" s="43" t="n"/>
      <c r="G2272" s="43" t="n">
        <v>8</v>
      </c>
      <c r="H2272" s="79">
        <f>(E2272/1000)*(F2272/1000)*(G2272/1000)*7850</f>
        <v/>
      </c>
      <c r="I2272" s="43" t="n">
        <v>2</v>
      </c>
      <c r="J2272" s="80">
        <f>H2272*I2272</f>
        <v/>
      </c>
      <c r="K2272" s="43" t="inlineStr">
        <is>
          <t>来源页175</t>
        </is>
      </c>
      <c r="L2272" s="43">
        <f>A2272</f>
        <v/>
      </c>
      <c r="M2272" s="81" t="n"/>
      <c r="N2272" s="81" t="n"/>
      <c r="O2272" s="81" t="n"/>
      <c r="P2272" s="81" t="n"/>
      <c r="Q2272" s="81" t="n"/>
      <c r="R2272" s="81" t="n"/>
      <c r="S2272" s="81" t="n"/>
      <c r="T2272" s="81" t="n"/>
      <c r="U2272" s="81" t="n"/>
      <c r="V2272" s="81" t="n"/>
      <c r="W2272" s="43" t="n"/>
    </row>
    <row r="2273">
      <c r="A2273" s="43" t="inlineStr"/>
      <c r="B2273" s="43" t="inlineStr"/>
      <c r="C2273" s="43" t="inlineStr">
        <is>
          <t>节段8~节段9</t>
        </is>
      </c>
      <c r="D2273" s="43" t="inlineStr">
        <is>
          <t>Q355D</t>
        </is>
      </c>
      <c r="E2273" s="43" t="n"/>
      <c r="F2273" s="43" t="n"/>
      <c r="G2273" s="43" t="n">
        <v>4</v>
      </c>
      <c r="H2273" s="79">
        <f>(E2273/1000)*(F2273/1000)*(G2273/1000)*7850</f>
        <v/>
      </c>
      <c r="I2273" s="43" t="n">
        <v>2</v>
      </c>
      <c r="J2273" s="80">
        <f>H2273*I2273</f>
        <v/>
      </c>
      <c r="K2273" s="43" t="inlineStr">
        <is>
          <t>来源页175</t>
        </is>
      </c>
      <c r="L2273" s="43">
        <f>A2273</f>
        <v/>
      </c>
      <c r="M2273" s="81" t="n"/>
      <c r="N2273" s="81" t="n"/>
      <c r="O2273" s="81" t="n"/>
      <c r="P2273" s="81" t="n"/>
      <c r="Q2273" s="81" t="n"/>
      <c r="R2273" s="81" t="n"/>
      <c r="S2273" s="81" t="n"/>
      <c r="T2273" s="81" t="n"/>
      <c r="U2273" s="81" t="n"/>
      <c r="V2273" s="81" t="n"/>
      <c r="W2273" s="43" t="n"/>
    </row>
    <row r="2274">
      <c r="A2274" s="43" t="inlineStr"/>
      <c r="B2274" s="43" t="inlineStr"/>
      <c r="C2274" s="43" t="inlineStr">
        <is>
          <t>节段8~节段9</t>
        </is>
      </c>
      <c r="D2274" s="43" t="inlineStr">
        <is>
          <t>10.9S高强螺栓</t>
        </is>
      </c>
      <c r="E2274" s="43" t="n"/>
      <c r="F2274" s="43" t="n"/>
      <c r="G2274" s="43" t="n"/>
      <c r="H2274" s="79">
        <f>(E2274/1000)*(F2274/1000)*(G2274/1000)*7850</f>
        <v/>
      </c>
      <c r="I2274" s="43" t="n">
        <v>2</v>
      </c>
      <c r="J2274" s="80">
        <f>H2274*I2274</f>
        <v/>
      </c>
      <c r="K2274" s="43" t="inlineStr">
        <is>
          <t>来源页175</t>
        </is>
      </c>
      <c r="L2274" s="43">
        <f>A2274</f>
        <v/>
      </c>
      <c r="M2274" s="81" t="n"/>
      <c r="N2274" s="81" t="n"/>
      <c r="O2274" s="81" t="n"/>
      <c r="P2274" s="81" t="n"/>
      <c r="Q2274" s="81" t="n"/>
      <c r="R2274" s="81" t="n"/>
      <c r="S2274" s="81" t="n"/>
      <c r="T2274" s="81" t="n"/>
      <c r="U2274" s="81" t="n"/>
      <c r="V2274" s="81" t="n"/>
      <c r="W2274" s="43" t="n"/>
    </row>
    <row r="2275">
      <c r="A2275" s="43" t="inlineStr">
        <is>
          <t>P1</t>
        </is>
      </c>
      <c r="B2275" s="43" t="inlineStr">
        <is>
          <t>上弦杆拼接</t>
        </is>
      </c>
      <c r="C2275" s="43" t="inlineStr">
        <is>
          <t>节段9~节段10</t>
        </is>
      </c>
      <c r="D2275" s="43" t="inlineStr">
        <is>
          <t>Q355D</t>
        </is>
      </c>
      <c r="E2275" s="43" t="n">
        <v>1020</v>
      </c>
      <c r="F2275" s="43" t="n">
        <v>1400</v>
      </c>
      <c r="G2275" s="43" t="n">
        <v>24</v>
      </c>
      <c r="H2275" s="79">
        <f>(E2275/1000)*(F2275/1000)*(G2275/1000)*7850</f>
        <v/>
      </c>
      <c r="I2275" s="43" t="n">
        <v>2</v>
      </c>
      <c r="J2275" s="80">
        <f>H2275*I2275</f>
        <v/>
      </c>
      <c r="K2275" s="43" t="inlineStr">
        <is>
          <t>来源页178</t>
        </is>
      </c>
      <c r="L2275" s="43">
        <f>A2275</f>
        <v/>
      </c>
      <c r="M2275" s="81" t="n"/>
      <c r="N2275" s="81" t="n"/>
      <c r="O2275" s="81" t="n"/>
      <c r="P2275" s="81" t="n"/>
      <c r="Q2275" s="81" t="n"/>
      <c r="R2275" s="81" t="n"/>
      <c r="S2275" s="81" t="n"/>
      <c r="T2275" s="81" t="n"/>
      <c r="U2275" s="81" t="n"/>
      <c r="V2275" s="81" t="n"/>
      <c r="W2275" s="43" t="n"/>
    </row>
    <row r="2276">
      <c r="A2276" s="43" t="inlineStr">
        <is>
          <t>P2</t>
        </is>
      </c>
      <c r="B2276" s="43" t="inlineStr">
        <is>
          <t>上弦杆拼接</t>
        </is>
      </c>
      <c r="C2276" s="43" t="inlineStr">
        <is>
          <t>节段9~节段10</t>
        </is>
      </c>
      <c r="D2276" s="43" t="inlineStr">
        <is>
          <t>Q355D</t>
        </is>
      </c>
      <c r="E2276" s="43" t="n">
        <v>1020</v>
      </c>
      <c r="F2276" s="43" t="n">
        <v>300</v>
      </c>
      <c r="G2276" s="43" t="n">
        <v>24</v>
      </c>
      <c r="H2276" s="79">
        <f>(E2276/1000)*(F2276/1000)*(G2276/1000)*7850</f>
        <v/>
      </c>
      <c r="I2276" s="43" t="n">
        <v>2</v>
      </c>
      <c r="J2276" s="80">
        <f>H2276*I2276</f>
        <v/>
      </c>
      <c r="K2276" s="43" t="inlineStr">
        <is>
          <t>来源页178</t>
        </is>
      </c>
      <c r="L2276" s="43">
        <f>A2276</f>
        <v/>
      </c>
      <c r="M2276" s="81" t="n"/>
      <c r="N2276" s="81" t="n"/>
      <c r="O2276" s="81" t="n"/>
      <c r="P2276" s="81" t="n"/>
      <c r="Q2276" s="81" t="n"/>
      <c r="R2276" s="81" t="n"/>
      <c r="S2276" s="81" t="n"/>
      <c r="T2276" s="81" t="n"/>
      <c r="U2276" s="81" t="n"/>
      <c r="V2276" s="81" t="n"/>
      <c r="W2276" s="43" t="n"/>
    </row>
    <row r="2277">
      <c r="A2277" s="43" t="inlineStr">
        <is>
          <t>P3</t>
        </is>
      </c>
      <c r="B2277" s="43" t="inlineStr">
        <is>
          <t>上弦杆拼接</t>
        </is>
      </c>
      <c r="C2277" s="43" t="inlineStr">
        <is>
          <t>节段9~节段10</t>
        </is>
      </c>
      <c r="D2277" s="43" t="inlineStr">
        <is>
          <t>Q355D</t>
        </is>
      </c>
      <c r="E2277" s="43" t="n">
        <v>1020</v>
      </c>
      <c r="F2277" s="43" t="n">
        <v>500</v>
      </c>
      <c r="G2277" s="43" t="n">
        <v>24</v>
      </c>
      <c r="H2277" s="79">
        <f>(E2277/1000)*(F2277/1000)*(G2277/1000)*7850</f>
        <v/>
      </c>
      <c r="I2277" s="43" t="n">
        <v>2</v>
      </c>
      <c r="J2277" s="80">
        <f>H2277*I2277</f>
        <v/>
      </c>
      <c r="K2277" s="43" t="inlineStr">
        <is>
          <t>来源页178</t>
        </is>
      </c>
      <c r="L2277" s="43">
        <f>A2277</f>
        <v/>
      </c>
      <c r="M2277" s="81" t="n"/>
      <c r="N2277" s="81" t="n"/>
      <c r="O2277" s="81" t="n"/>
      <c r="P2277" s="81" t="n"/>
      <c r="Q2277" s="81" t="n"/>
      <c r="R2277" s="81" t="n"/>
      <c r="S2277" s="81" t="n"/>
      <c r="T2277" s="81" t="n"/>
      <c r="U2277" s="81" t="n"/>
      <c r="V2277" s="81" t="n"/>
      <c r="W2277" s="43" t="n"/>
    </row>
    <row r="2278">
      <c r="A2278" s="43" t="inlineStr">
        <is>
          <t>P4</t>
        </is>
      </c>
      <c r="B2278" s="43" t="inlineStr">
        <is>
          <t>上弦杆拼接</t>
        </is>
      </c>
      <c r="C2278" s="43" t="inlineStr">
        <is>
          <t>节段9~节段10</t>
        </is>
      </c>
      <c r="D2278" s="43" t="inlineStr">
        <is>
          <t>Q355D</t>
        </is>
      </c>
      <c r="E2278" s="43" t="n">
        <v>1020</v>
      </c>
      <c r="F2278" s="43" t="n">
        <v>400</v>
      </c>
      <c r="G2278" s="43" t="n">
        <v>24</v>
      </c>
      <c r="H2278" s="79">
        <f>(E2278/1000)*(F2278/1000)*(G2278/1000)*7850</f>
        <v/>
      </c>
      <c r="I2278" s="43" t="n">
        <v>2</v>
      </c>
      <c r="J2278" s="80">
        <f>H2278*I2278</f>
        <v/>
      </c>
      <c r="K2278" s="43" t="inlineStr">
        <is>
          <t>来源页178</t>
        </is>
      </c>
      <c r="L2278" s="43">
        <f>A2278</f>
        <v/>
      </c>
      <c r="M2278" s="81" t="n"/>
      <c r="N2278" s="81" t="n"/>
      <c r="O2278" s="81" t="n"/>
      <c r="P2278" s="81" t="n"/>
      <c r="Q2278" s="81" t="n"/>
      <c r="R2278" s="81" t="n"/>
      <c r="S2278" s="81" t="n"/>
      <c r="T2278" s="81" t="n"/>
      <c r="U2278" s="81" t="n"/>
      <c r="V2278" s="81" t="n"/>
      <c r="W2278" s="43" t="n"/>
    </row>
    <row r="2279">
      <c r="A2279" s="43" t="inlineStr">
        <is>
          <t>P5</t>
        </is>
      </c>
      <c r="B2279" s="43" t="inlineStr">
        <is>
          <t>上弦杆拼接</t>
        </is>
      </c>
      <c r="C2279" s="43" t="inlineStr">
        <is>
          <t>节段9~节段10</t>
        </is>
      </c>
      <c r="D2279" s="43" t="inlineStr">
        <is>
          <t>Q355D</t>
        </is>
      </c>
      <c r="E2279" s="43" t="n">
        <v>1420</v>
      </c>
      <c r="F2279" s="43" t="n">
        <v>1100</v>
      </c>
      <c r="G2279" s="43" t="n">
        <v>28</v>
      </c>
      <c r="H2279" s="79">
        <f>(E2279/1000)*(F2279/1000)*(G2279/1000)*7850</f>
        <v/>
      </c>
      <c r="I2279" s="43" t="n">
        <v>1</v>
      </c>
      <c r="J2279" s="80">
        <f>H2279*I2279</f>
        <v/>
      </c>
      <c r="K2279" s="43" t="inlineStr">
        <is>
          <t>来源页178</t>
        </is>
      </c>
      <c r="L2279" s="43">
        <f>A2279</f>
        <v/>
      </c>
      <c r="M2279" s="81" t="n"/>
      <c r="N2279" s="81" t="n"/>
      <c r="O2279" s="81" t="n"/>
      <c r="P2279" s="81" t="n"/>
      <c r="Q2279" s="81" t="n"/>
      <c r="R2279" s="81" t="n"/>
      <c r="S2279" s="81" t="n"/>
      <c r="T2279" s="81" t="n"/>
      <c r="U2279" s="81" t="n"/>
      <c r="V2279" s="81" t="n"/>
      <c r="W2279" s="43" t="n"/>
    </row>
    <row r="2280">
      <c r="A2280" s="43" t="inlineStr">
        <is>
          <t>P6</t>
        </is>
      </c>
      <c r="B2280" s="43" t="inlineStr">
        <is>
          <t>上弦杆拼接</t>
        </is>
      </c>
      <c r="C2280" s="43" t="inlineStr">
        <is>
          <t>节段9~节段10</t>
        </is>
      </c>
      <c r="D2280" s="43" t="inlineStr">
        <is>
          <t>Q355D</t>
        </is>
      </c>
      <c r="E2280" s="43" t="n">
        <v>1420</v>
      </c>
      <c r="F2280" s="43" t="n">
        <v>400</v>
      </c>
      <c r="G2280" s="43" t="n">
        <v>28</v>
      </c>
      <c r="H2280" s="79">
        <f>(E2280/1000)*(F2280/1000)*(G2280/1000)*7850</f>
        <v/>
      </c>
      <c r="I2280" s="43" t="n">
        <v>2</v>
      </c>
      <c r="J2280" s="80">
        <f>H2280*I2280</f>
        <v/>
      </c>
      <c r="K2280" s="43" t="inlineStr">
        <is>
          <t>来源页178</t>
        </is>
      </c>
      <c r="L2280" s="43">
        <f>A2280</f>
        <v/>
      </c>
      <c r="M2280" s="81" t="n"/>
      <c r="N2280" s="81" t="n"/>
      <c r="O2280" s="81" t="n"/>
      <c r="P2280" s="81" t="n"/>
      <c r="Q2280" s="81" t="n"/>
      <c r="R2280" s="81" t="n"/>
      <c r="S2280" s="81" t="n"/>
      <c r="T2280" s="81" t="n"/>
      <c r="U2280" s="81" t="n"/>
      <c r="V2280" s="81" t="n"/>
      <c r="W2280" s="43" t="n"/>
    </row>
    <row r="2281">
      <c r="A2281" s="43" t="inlineStr">
        <is>
          <t>P7</t>
        </is>
      </c>
      <c r="B2281" s="43" t="inlineStr">
        <is>
          <t>上弦杆拼接</t>
        </is>
      </c>
      <c r="C2281" s="43" t="inlineStr">
        <is>
          <t>节段9~节段10</t>
        </is>
      </c>
      <c r="D2281" s="43" t="inlineStr">
        <is>
          <t>Q355D</t>
        </is>
      </c>
      <c r="E2281" s="43" t="n">
        <v>920</v>
      </c>
      <c r="F2281" s="43" t="n">
        <v>200</v>
      </c>
      <c r="G2281" s="43" t="n">
        <v>20</v>
      </c>
      <c r="H2281" s="79">
        <f>(E2281/1000)*(F2281/1000)*(G2281/1000)*7850</f>
        <v/>
      </c>
      <c r="I2281" s="43" t="n">
        <v>10</v>
      </c>
      <c r="J2281" s="80">
        <f>H2281*I2281</f>
        <v/>
      </c>
      <c r="K2281" s="43" t="inlineStr">
        <is>
          <t>来源页178</t>
        </is>
      </c>
      <c r="L2281" s="43">
        <f>A2281</f>
        <v/>
      </c>
      <c r="M2281" s="81" t="n"/>
      <c r="N2281" s="81" t="n"/>
      <c r="O2281" s="81" t="n"/>
      <c r="P2281" s="81" t="n"/>
      <c r="Q2281" s="81" t="n"/>
      <c r="R2281" s="81" t="n"/>
      <c r="S2281" s="81" t="n"/>
      <c r="T2281" s="81" t="n"/>
      <c r="U2281" s="81" t="n"/>
      <c r="V2281" s="81" t="n"/>
      <c r="W2281" s="43" t="n"/>
    </row>
    <row r="2282">
      <c r="A2282" s="43" t="inlineStr">
        <is>
          <t>P8</t>
        </is>
      </c>
      <c r="B2282" s="43" t="inlineStr">
        <is>
          <t>上弦杆拼接</t>
        </is>
      </c>
      <c r="C2282" s="43" t="inlineStr">
        <is>
          <t>节段9~节段10</t>
        </is>
      </c>
      <c r="D2282" s="43" t="inlineStr">
        <is>
          <t>Q355D</t>
        </is>
      </c>
      <c r="E2282" s="43" t="n">
        <v>600</v>
      </c>
      <c r="F2282" s="43" t="n">
        <v>1800</v>
      </c>
      <c r="G2282" s="43" t="n">
        <v>12</v>
      </c>
      <c r="H2282" s="79">
        <f>(E2282/1000)*(F2282/1000)*(G2282/1000)*7850</f>
        <v/>
      </c>
      <c r="I2282" s="43" t="n">
        <v>2</v>
      </c>
      <c r="J2282" s="80">
        <f>H2282*I2282</f>
        <v/>
      </c>
      <c r="K2282" s="43" t="inlineStr">
        <is>
          <t>填板；来源页178</t>
        </is>
      </c>
      <c r="L2282" s="43">
        <f>A2282</f>
        <v/>
      </c>
      <c r="M2282" s="81" t="n"/>
      <c r="N2282" s="81" t="n"/>
      <c r="O2282" s="81" t="n"/>
      <c r="P2282" s="81" t="n"/>
      <c r="Q2282" s="81" t="n"/>
      <c r="R2282" s="81" t="n"/>
      <c r="S2282" s="81" t="n"/>
      <c r="T2282" s="81" t="n"/>
      <c r="U2282" s="81" t="n"/>
      <c r="V2282" s="81" t="n"/>
      <c r="W2282" s="43" t="n"/>
    </row>
    <row r="2283">
      <c r="A2283" s="43" t="inlineStr">
        <is>
          <t>P9</t>
        </is>
      </c>
      <c r="B2283" s="43" t="inlineStr">
        <is>
          <t>上弦杆拼接</t>
        </is>
      </c>
      <c r="C2283" s="43" t="inlineStr">
        <is>
          <t>节段9~节段10</t>
        </is>
      </c>
      <c r="D2283" s="43" t="inlineStr">
        <is>
          <t>Q355D</t>
        </is>
      </c>
      <c r="E2283" s="43" t="n">
        <v>700</v>
      </c>
      <c r="F2283" s="43" t="n">
        <v>1100</v>
      </c>
      <c r="G2283" s="43" t="n">
        <v>4</v>
      </c>
      <c r="H2283" s="79">
        <f>(E2283/1000)*(F2283/1000)*(G2283/1000)*7850</f>
        <v/>
      </c>
      <c r="I2283" s="43" t="n">
        <v>1</v>
      </c>
      <c r="J2283" s="80">
        <f>H2283*I2283</f>
        <v/>
      </c>
      <c r="K2283" s="43" t="inlineStr">
        <is>
          <t>填板；来源页178</t>
        </is>
      </c>
      <c r="L2283" s="43">
        <f>A2283</f>
        <v/>
      </c>
      <c r="M2283" s="81" t="n"/>
      <c r="N2283" s="81" t="n"/>
      <c r="O2283" s="81" t="n"/>
      <c r="P2283" s="81" t="n"/>
      <c r="Q2283" s="81" t="n"/>
      <c r="R2283" s="81" t="n"/>
      <c r="S2283" s="81" t="n"/>
      <c r="T2283" s="81" t="n"/>
      <c r="U2283" s="81" t="n"/>
      <c r="V2283" s="81" t="n"/>
      <c r="W2283" s="43" t="n"/>
    </row>
    <row r="2284">
      <c r="A2284" s="43" t="inlineStr">
        <is>
          <t>M30高强螺栓</t>
        </is>
      </c>
      <c r="B2284" s="43" t="inlineStr">
        <is>
          <t>上弦杆拼接</t>
        </is>
      </c>
      <c r="C2284" s="43" t="inlineStr">
        <is>
          <t>节段9~节段10</t>
        </is>
      </c>
      <c r="D2284" s="43" t="inlineStr">
        <is>
          <t>10.9S</t>
        </is>
      </c>
      <c r="E2284" s="43" t="n"/>
      <c r="F2284" s="43" t="n"/>
      <c r="G2284" s="43" t="n"/>
      <c r="H2284" s="79">
        <f>(E2284/1000)*(F2284/1000)*(G2284/1000)*7850</f>
        <v/>
      </c>
      <c r="I2284" s="43" t="n">
        <v>380</v>
      </c>
      <c r="J2284" s="80">
        <f>H2284*I2284</f>
        <v/>
      </c>
      <c r="K2284" s="43" t="inlineStr">
        <is>
          <t>来源页178</t>
        </is>
      </c>
      <c r="L2284" s="43">
        <f>A2284</f>
        <v/>
      </c>
      <c r="M2284" s="81" t="n"/>
      <c r="N2284" s="81" t="n"/>
      <c r="O2284" s="81" t="n"/>
      <c r="P2284" s="81" t="n"/>
      <c r="Q2284" s="81" t="n"/>
      <c r="R2284" s="81" t="n"/>
      <c r="S2284" s="81" t="n"/>
      <c r="T2284" s="81" t="n"/>
      <c r="U2284" s="81" t="n"/>
      <c r="V2284" s="81" t="n"/>
      <c r="W2284" s="43" t="n"/>
    </row>
    <row r="2285">
      <c r="A2285" s="43" t="inlineStr">
        <is>
          <t>K1</t>
        </is>
      </c>
      <c r="B2285" s="43" t="inlineStr">
        <is>
          <t>下弦杆拼接</t>
        </is>
      </c>
      <c r="C2285" s="43" t="inlineStr">
        <is>
          <t>节段9~节段10</t>
        </is>
      </c>
      <c r="D2285" s="43" t="inlineStr">
        <is>
          <t>Q355D</t>
        </is>
      </c>
      <c r="E2285" s="43" t="n">
        <v>1020</v>
      </c>
      <c r="F2285" s="43" t="n">
        <v>1300</v>
      </c>
      <c r="G2285" s="43" t="n">
        <v>24</v>
      </c>
      <c r="H2285" s="79">
        <f>(E2285/1000)*(F2285/1000)*(G2285/1000)*7850</f>
        <v/>
      </c>
      <c r="I2285" s="43" t="n">
        <v>2</v>
      </c>
      <c r="J2285" s="80">
        <f>H2285*I2285</f>
        <v/>
      </c>
      <c r="K2285" s="43" t="inlineStr">
        <is>
          <t>来源页178</t>
        </is>
      </c>
      <c r="L2285" s="43">
        <f>A2285</f>
        <v/>
      </c>
      <c r="M2285" s="81" t="n"/>
      <c r="N2285" s="81" t="n"/>
      <c r="O2285" s="81" t="n"/>
      <c r="P2285" s="81" t="n"/>
      <c r="Q2285" s="81" t="n"/>
      <c r="R2285" s="81" t="n"/>
      <c r="S2285" s="81" t="n"/>
      <c r="T2285" s="81" t="n"/>
      <c r="U2285" s="81" t="n"/>
      <c r="V2285" s="81" t="n"/>
      <c r="W2285" s="43" t="n"/>
    </row>
    <row r="2286">
      <c r="A2286" s="43" t="inlineStr">
        <is>
          <t>K2</t>
        </is>
      </c>
      <c r="B2286" s="43" t="inlineStr">
        <is>
          <t>下弦杆拼接</t>
        </is>
      </c>
      <c r="C2286" s="43" t="inlineStr">
        <is>
          <t>节段9~节段10</t>
        </is>
      </c>
      <c r="D2286" s="43" t="inlineStr">
        <is>
          <t>Q355D</t>
        </is>
      </c>
      <c r="E2286" s="43" t="n">
        <v>1020</v>
      </c>
      <c r="F2286" s="43" t="n">
        <v>600</v>
      </c>
      <c r="G2286" s="43" t="n">
        <v>24</v>
      </c>
      <c r="H2286" s="79">
        <f>(E2286/1000)*(F2286/1000)*(G2286/1000)*7850</f>
        <v/>
      </c>
      <c r="I2286" s="43" t="n">
        <v>4</v>
      </c>
      <c r="J2286" s="80">
        <f>H2286*I2286</f>
        <v/>
      </c>
      <c r="K2286" s="43" t="inlineStr">
        <is>
          <t>来源页178</t>
        </is>
      </c>
      <c r="L2286" s="43">
        <f>A2286</f>
        <v/>
      </c>
      <c r="M2286" s="81" t="n"/>
      <c r="N2286" s="81" t="n"/>
      <c r="O2286" s="81" t="n"/>
      <c r="P2286" s="81" t="n"/>
      <c r="Q2286" s="81" t="n"/>
      <c r="R2286" s="81" t="n"/>
      <c r="S2286" s="81" t="n"/>
      <c r="T2286" s="81" t="n"/>
      <c r="U2286" s="81" t="n"/>
      <c r="V2286" s="81" t="n"/>
      <c r="W2286" s="43" t="n"/>
    </row>
    <row r="2287">
      <c r="A2287" s="43" t="inlineStr">
        <is>
          <t>K3</t>
        </is>
      </c>
      <c r="B2287" s="43" t="inlineStr">
        <is>
          <t>下弦杆拼接</t>
        </is>
      </c>
      <c r="C2287" s="43" t="inlineStr">
        <is>
          <t>节段9~节段10</t>
        </is>
      </c>
      <c r="D2287" s="43" t="inlineStr">
        <is>
          <t>Q355D</t>
        </is>
      </c>
      <c r="E2287" s="43" t="n">
        <v>1320</v>
      </c>
      <c r="F2287" s="43" t="n">
        <v>1100</v>
      </c>
      <c r="G2287" s="43" t="n">
        <v>36</v>
      </c>
      <c r="H2287" s="79">
        <f>(E2287/1000)*(F2287/1000)*(G2287/1000)*7850</f>
        <v/>
      </c>
      <c r="I2287" s="43" t="n">
        <v>1</v>
      </c>
      <c r="J2287" s="80">
        <f>H2287*I2287</f>
        <v/>
      </c>
      <c r="K2287" s="43" t="inlineStr">
        <is>
          <t>来源页178</t>
        </is>
      </c>
      <c r="L2287" s="43">
        <f>A2287</f>
        <v/>
      </c>
      <c r="M2287" s="81" t="n"/>
      <c r="N2287" s="81" t="n"/>
      <c r="O2287" s="81" t="n"/>
      <c r="P2287" s="81" t="n"/>
      <c r="Q2287" s="81" t="n"/>
      <c r="R2287" s="81" t="n"/>
      <c r="S2287" s="81" t="n"/>
      <c r="T2287" s="81" t="n"/>
      <c r="U2287" s="81" t="n"/>
      <c r="V2287" s="81" t="n"/>
      <c r="W2287" s="43" t="n"/>
    </row>
    <row r="2288">
      <c r="A2288" s="43" t="inlineStr">
        <is>
          <t>K4</t>
        </is>
      </c>
      <c r="B2288" s="43" t="inlineStr">
        <is>
          <t>下弦杆拼接</t>
        </is>
      </c>
      <c r="C2288" s="43" t="inlineStr">
        <is>
          <t>节段9~节段10</t>
        </is>
      </c>
      <c r="D2288" s="43" t="inlineStr">
        <is>
          <t>Q355D</t>
        </is>
      </c>
      <c r="E2288" s="43" t="n">
        <v>1320</v>
      </c>
      <c r="F2288" s="43" t="n">
        <v>400</v>
      </c>
      <c r="G2288" s="43" t="n">
        <v>36</v>
      </c>
      <c r="H2288" s="79">
        <f>(E2288/1000)*(F2288/1000)*(G2288/1000)*7850</f>
        <v/>
      </c>
      <c r="I2288" s="43" t="n">
        <v>2</v>
      </c>
      <c r="J2288" s="80">
        <f>H2288*I2288</f>
        <v/>
      </c>
      <c r="K2288" s="43" t="inlineStr">
        <is>
          <t>来源页178</t>
        </is>
      </c>
      <c r="L2288" s="43">
        <f>A2288</f>
        <v/>
      </c>
      <c r="M2288" s="81" t="n"/>
      <c r="N2288" s="81" t="n"/>
      <c r="O2288" s="81" t="n"/>
      <c r="P2288" s="81" t="n"/>
      <c r="Q2288" s="81" t="n"/>
      <c r="R2288" s="81" t="n"/>
      <c r="S2288" s="81" t="n"/>
      <c r="T2288" s="81" t="n"/>
      <c r="U2288" s="81" t="n"/>
      <c r="V2288" s="81" t="n"/>
      <c r="W2288" s="43" t="n"/>
    </row>
    <row r="2289">
      <c r="A2289" s="43" t="inlineStr">
        <is>
          <t>K6</t>
        </is>
      </c>
      <c r="B2289" s="43" t="inlineStr">
        <is>
          <t>下弦杆拼接</t>
        </is>
      </c>
      <c r="C2289" s="43" t="inlineStr">
        <is>
          <t>节段9~节段10</t>
        </is>
      </c>
      <c r="D2289" s="43" t="inlineStr">
        <is>
          <t>Q355D</t>
        </is>
      </c>
      <c r="E2289" s="43" t="n">
        <v>500</v>
      </c>
      <c r="F2289" s="43" t="n">
        <v>1700</v>
      </c>
      <c r="G2289" s="43" t="n">
        <v>8</v>
      </c>
      <c r="H2289" s="79">
        <f>(E2289/1000)*(F2289/1000)*(G2289/1000)*7850</f>
        <v/>
      </c>
      <c r="I2289" s="43" t="n">
        <v>2</v>
      </c>
      <c r="J2289" s="80">
        <f>H2289*I2289</f>
        <v/>
      </c>
      <c r="K2289" s="43" t="inlineStr">
        <is>
          <t>填板；来源页178</t>
        </is>
      </c>
      <c r="L2289" s="43">
        <f>A2289</f>
        <v/>
      </c>
      <c r="M2289" s="81" t="n"/>
      <c r="N2289" s="81" t="n"/>
      <c r="O2289" s="81" t="n"/>
      <c r="P2289" s="81" t="n"/>
      <c r="Q2289" s="81" t="n"/>
      <c r="R2289" s="81" t="n"/>
      <c r="S2289" s="81" t="n"/>
      <c r="T2289" s="81" t="n"/>
      <c r="U2289" s="81" t="n"/>
      <c r="V2289" s="81" t="n"/>
      <c r="W2289" s="43" t="n"/>
    </row>
    <row r="2290">
      <c r="A2290" s="43" t="inlineStr">
        <is>
          <t>K7</t>
        </is>
      </c>
      <c r="B2290" s="43" t="inlineStr">
        <is>
          <t>下弦杆拼接</t>
        </is>
      </c>
      <c r="C2290" s="43" t="inlineStr">
        <is>
          <t>节段9~节段10</t>
        </is>
      </c>
      <c r="D2290" s="43" t="inlineStr">
        <is>
          <t>Q355D</t>
        </is>
      </c>
      <c r="E2290" s="43" t="n">
        <v>650</v>
      </c>
      <c r="F2290" s="43" t="n">
        <v>1100</v>
      </c>
      <c r="G2290" s="43" t="n">
        <v>4</v>
      </c>
      <c r="H2290" s="79">
        <f>(E2290/1000)*(F2290/1000)*(G2290/1000)*7850</f>
        <v/>
      </c>
      <c r="I2290" s="43" t="n">
        <v>1</v>
      </c>
      <c r="J2290" s="80">
        <f>H2290*I2290</f>
        <v/>
      </c>
      <c r="K2290" s="43" t="inlineStr">
        <is>
          <t>填板；来源页178</t>
        </is>
      </c>
      <c r="L2290" s="43">
        <f>A2290</f>
        <v/>
      </c>
      <c r="M2290" s="81" t="n"/>
      <c r="N2290" s="81" t="n"/>
      <c r="O2290" s="81" t="n"/>
      <c r="P2290" s="81" t="n"/>
      <c r="Q2290" s="81" t="n"/>
      <c r="R2290" s="81" t="n"/>
      <c r="S2290" s="81" t="n"/>
      <c r="T2290" s="81" t="n"/>
      <c r="U2290" s="81" t="n"/>
      <c r="V2290" s="81" t="n"/>
      <c r="W2290" s="43" t="n"/>
    </row>
    <row r="2291">
      <c r="A2291" s="43" t="inlineStr">
        <is>
          <t>M30高强螺栓</t>
        </is>
      </c>
      <c r="B2291" s="43" t="inlineStr">
        <is>
          <t>下弦杆拼接</t>
        </is>
      </c>
      <c r="C2291" s="43" t="inlineStr">
        <is>
          <t>节段9~节段10</t>
        </is>
      </c>
      <c r="D2291" s="43" t="inlineStr">
        <is>
          <t>10.9S</t>
        </is>
      </c>
      <c r="E2291" s="43" t="n"/>
      <c r="F2291" s="43" t="n"/>
      <c r="G2291" s="43" t="n"/>
      <c r="H2291" s="79">
        <f>(E2291/1000)*(F2291/1000)*(G2291/1000)*7850</f>
        <v/>
      </c>
      <c r="I2291" s="43" t="n">
        <v>344</v>
      </c>
      <c r="J2291" s="80">
        <f>H2291*I2291</f>
        <v/>
      </c>
      <c r="K2291" s="43" t="inlineStr">
        <is>
          <t>来源页178</t>
        </is>
      </c>
      <c r="L2291" s="43">
        <f>A2291</f>
        <v/>
      </c>
      <c r="M2291" s="81" t="n"/>
      <c r="N2291" s="81" t="n"/>
      <c r="O2291" s="81" t="n"/>
      <c r="P2291" s="81" t="n"/>
      <c r="Q2291" s="81" t="n"/>
      <c r="R2291" s="81" t="n"/>
      <c r="S2291" s="81" t="n"/>
      <c r="T2291" s="81" t="n"/>
      <c r="U2291" s="81" t="n"/>
      <c r="V2291" s="81" t="n"/>
      <c r="W2291" s="43" t="n"/>
    </row>
    <row r="2292">
      <c r="A2292" s="43" t="inlineStr">
        <is>
          <t>L1</t>
        </is>
      </c>
      <c r="B2292" s="43" t="inlineStr">
        <is>
          <t>腹杆拼接</t>
        </is>
      </c>
      <c r="C2292" s="43" t="inlineStr">
        <is>
          <t>节段9~节段10</t>
        </is>
      </c>
      <c r="D2292" s="43" t="inlineStr">
        <is>
          <t>Q355D</t>
        </is>
      </c>
      <c r="E2292" s="43" t="n">
        <v>1520</v>
      </c>
      <c r="F2292" s="43" t="n">
        <v>1100</v>
      </c>
      <c r="G2292" s="43" t="n">
        <v>24</v>
      </c>
      <c r="H2292" s="79">
        <f>(E2292/1000)*(F2292/1000)*(G2292/1000)*7850</f>
        <v/>
      </c>
      <c r="I2292" s="43" t="n">
        <v>2</v>
      </c>
      <c r="J2292" s="80">
        <f>H2292*I2292</f>
        <v/>
      </c>
      <c r="K2292" s="43" t="inlineStr">
        <is>
          <t>来源页178</t>
        </is>
      </c>
      <c r="L2292" s="43">
        <f>A2292</f>
        <v/>
      </c>
      <c r="M2292" s="81" t="n"/>
      <c r="N2292" s="81" t="n"/>
      <c r="O2292" s="81" t="n"/>
      <c r="P2292" s="81" t="n"/>
      <c r="Q2292" s="81" t="n"/>
      <c r="R2292" s="81" t="n"/>
      <c r="S2292" s="81" t="n"/>
      <c r="T2292" s="81" t="n"/>
      <c r="U2292" s="81" t="n"/>
      <c r="V2292" s="81" t="n"/>
      <c r="W2292" s="43" t="n"/>
    </row>
    <row r="2293">
      <c r="A2293" s="43" t="inlineStr">
        <is>
          <t>L2</t>
        </is>
      </c>
      <c r="B2293" s="43" t="inlineStr">
        <is>
          <t>腹杆拼接</t>
        </is>
      </c>
      <c r="C2293" s="43" t="inlineStr">
        <is>
          <t>节段9~节段10</t>
        </is>
      </c>
      <c r="D2293" s="43" t="inlineStr">
        <is>
          <t>Q355D</t>
        </is>
      </c>
      <c r="E2293" s="43" t="n">
        <v>1520</v>
      </c>
      <c r="F2293" s="43" t="n">
        <v>500</v>
      </c>
      <c r="G2293" s="43" t="n">
        <v>24</v>
      </c>
      <c r="H2293" s="79">
        <f>(E2293/1000)*(F2293/1000)*(G2293/1000)*7850</f>
        <v/>
      </c>
      <c r="I2293" s="43" t="n">
        <v>4</v>
      </c>
      <c r="J2293" s="80">
        <f>H2293*I2293</f>
        <v/>
      </c>
      <c r="K2293" s="43" t="inlineStr">
        <is>
          <t>来源页178</t>
        </is>
      </c>
      <c r="L2293" s="43">
        <f>A2293</f>
        <v/>
      </c>
      <c r="M2293" s="81" t="n"/>
      <c r="N2293" s="81" t="n"/>
      <c r="O2293" s="81" t="n"/>
      <c r="P2293" s="81" t="n"/>
      <c r="Q2293" s="81" t="n"/>
      <c r="R2293" s="81" t="n"/>
      <c r="S2293" s="81" t="n"/>
      <c r="T2293" s="81" t="n"/>
      <c r="U2293" s="81" t="n"/>
      <c r="V2293" s="81" t="n"/>
      <c r="W2293" s="43" t="n"/>
    </row>
    <row r="2294">
      <c r="A2294" s="43" t="inlineStr">
        <is>
          <t>L3</t>
        </is>
      </c>
      <c r="B2294" s="43" t="inlineStr">
        <is>
          <t>腹杆拼接</t>
        </is>
      </c>
      <c r="C2294" s="43" t="inlineStr">
        <is>
          <t>节段9~节段10</t>
        </is>
      </c>
      <c r="D2294" s="43" t="inlineStr">
        <is>
          <t>Q355D</t>
        </is>
      </c>
      <c r="E2294" s="43" t="n">
        <v>1320</v>
      </c>
      <c r="F2294" s="43" t="n">
        <v>1100</v>
      </c>
      <c r="G2294" s="43" t="n">
        <v>28</v>
      </c>
      <c r="H2294" s="79">
        <f>(E2294/1000)*(F2294/1000)*(G2294/1000)*7850</f>
        <v/>
      </c>
      <c r="I2294" s="43" t="n">
        <v>1</v>
      </c>
      <c r="J2294" s="80">
        <f>H2294*I2294</f>
        <v/>
      </c>
      <c r="K2294" s="43" t="inlineStr">
        <is>
          <t>来源页178</t>
        </is>
      </c>
      <c r="L2294" s="43">
        <f>A2294</f>
        <v/>
      </c>
      <c r="M2294" s="81" t="n"/>
      <c r="N2294" s="81" t="n"/>
      <c r="O2294" s="81" t="n"/>
      <c r="P2294" s="81" t="n"/>
      <c r="Q2294" s="81" t="n"/>
      <c r="R2294" s="81" t="n"/>
      <c r="S2294" s="81" t="n"/>
      <c r="T2294" s="81" t="n"/>
      <c r="U2294" s="81" t="n"/>
      <c r="V2294" s="81" t="n"/>
      <c r="W2294" s="43" t="n"/>
    </row>
    <row r="2295">
      <c r="A2295" s="43" t="inlineStr">
        <is>
          <t>L4</t>
        </is>
      </c>
      <c r="B2295" s="43" t="inlineStr">
        <is>
          <t>腹杆拼接</t>
        </is>
      </c>
      <c r="C2295" s="43" t="inlineStr">
        <is>
          <t>节段9~节段10</t>
        </is>
      </c>
      <c r="D2295" s="43" t="inlineStr">
        <is>
          <t>Q355D</t>
        </is>
      </c>
      <c r="E2295" s="43" t="n">
        <v>1320</v>
      </c>
      <c r="F2295" s="43" t="n">
        <v>500</v>
      </c>
      <c r="G2295" s="43" t="n">
        <v>28</v>
      </c>
      <c r="H2295" s="79">
        <f>(E2295/1000)*(F2295/1000)*(G2295/1000)*7850</f>
        <v/>
      </c>
      <c r="I2295" s="43" t="n">
        <v>2</v>
      </c>
      <c r="J2295" s="80">
        <f>H2295*I2295</f>
        <v/>
      </c>
      <c r="K2295" s="43" t="inlineStr">
        <is>
          <t>来源页178</t>
        </is>
      </c>
      <c r="L2295" s="43">
        <f>A2295</f>
        <v/>
      </c>
      <c r="M2295" s="81" t="n"/>
      <c r="N2295" s="81" t="n"/>
      <c r="O2295" s="81" t="n"/>
      <c r="P2295" s="81" t="n"/>
      <c r="Q2295" s="81" t="n"/>
      <c r="R2295" s="81" t="n"/>
      <c r="S2295" s="81" t="n"/>
      <c r="T2295" s="81" t="n"/>
      <c r="U2295" s="81" t="n"/>
      <c r="V2295" s="81" t="n"/>
      <c r="W2295" s="43" t="n"/>
    </row>
    <row r="2296">
      <c r="A2296" s="43" t="inlineStr">
        <is>
          <t>L5</t>
        </is>
      </c>
      <c r="B2296" s="43" t="inlineStr">
        <is>
          <t>腹杆拼接</t>
        </is>
      </c>
      <c r="C2296" s="43" t="inlineStr">
        <is>
          <t>节段9~节段10</t>
        </is>
      </c>
      <c r="D2296" s="43" t="inlineStr">
        <is>
          <t>Q355D</t>
        </is>
      </c>
      <c r="E2296" s="43" t="n">
        <v>1520</v>
      </c>
      <c r="F2296" s="43" t="n">
        <v>1100</v>
      </c>
      <c r="G2296" s="43" t="n">
        <v>44</v>
      </c>
      <c r="H2296" s="79">
        <f>(E2296/1000)*(F2296/1000)*(G2296/1000)*7850</f>
        <v/>
      </c>
      <c r="I2296" s="43" t="n">
        <v>1</v>
      </c>
      <c r="J2296" s="80">
        <f>H2296*I2296</f>
        <v/>
      </c>
      <c r="K2296" s="43" t="inlineStr">
        <is>
          <t>来源页178</t>
        </is>
      </c>
      <c r="L2296" s="43">
        <f>A2296</f>
        <v/>
      </c>
      <c r="M2296" s="81" t="n"/>
      <c r="N2296" s="81" t="n"/>
      <c r="O2296" s="81" t="n"/>
      <c r="P2296" s="81" t="n"/>
      <c r="Q2296" s="81" t="n"/>
      <c r="R2296" s="81" t="n"/>
      <c r="S2296" s="81" t="n"/>
      <c r="T2296" s="81" t="n"/>
      <c r="U2296" s="81" t="n"/>
      <c r="V2296" s="81" t="n"/>
      <c r="W2296" s="43" t="n"/>
    </row>
    <row r="2297">
      <c r="A2297" s="43" t="inlineStr">
        <is>
          <t>L6</t>
        </is>
      </c>
      <c r="B2297" s="43" t="inlineStr">
        <is>
          <t>腹杆拼接</t>
        </is>
      </c>
      <c r="C2297" s="43" t="inlineStr">
        <is>
          <t>节段9~节段10</t>
        </is>
      </c>
      <c r="D2297" s="43" t="inlineStr">
        <is>
          <t>Q355D</t>
        </is>
      </c>
      <c r="E2297" s="43" t="n">
        <v>1520</v>
      </c>
      <c r="F2297" s="43" t="n">
        <v>240</v>
      </c>
      <c r="G2297" s="43" t="n">
        <v>44</v>
      </c>
      <c r="H2297" s="79">
        <f>(E2297/1000)*(F2297/1000)*(G2297/1000)*7850</f>
        <v/>
      </c>
      <c r="I2297" s="43" t="n">
        <v>2</v>
      </c>
      <c r="J2297" s="80">
        <f>H2297*I2297</f>
        <v/>
      </c>
      <c r="K2297" s="43" t="inlineStr">
        <is>
          <t>来源页178</t>
        </is>
      </c>
      <c r="L2297" s="43">
        <f>A2297</f>
        <v/>
      </c>
      <c r="M2297" s="81" t="n"/>
      <c r="N2297" s="81" t="n"/>
      <c r="O2297" s="81" t="n"/>
      <c r="P2297" s="81" t="n"/>
      <c r="Q2297" s="81" t="n"/>
      <c r="R2297" s="81" t="n"/>
      <c r="S2297" s="81" t="n"/>
      <c r="T2297" s="81" t="n"/>
      <c r="U2297" s="81" t="n"/>
      <c r="V2297" s="81" t="n"/>
      <c r="W2297" s="43" t="n"/>
    </row>
    <row r="2298">
      <c r="A2298" s="43" t="inlineStr">
        <is>
          <t>L7</t>
        </is>
      </c>
      <c r="B2298" s="43" t="inlineStr">
        <is>
          <t>腹杆拼接</t>
        </is>
      </c>
      <c r="C2298" s="43" t="inlineStr">
        <is>
          <t>节段9~节段10</t>
        </is>
      </c>
      <c r="D2298" s="43" t="inlineStr">
        <is>
          <t>Q355D</t>
        </is>
      </c>
      <c r="E2298" s="43" t="n">
        <v>1220</v>
      </c>
      <c r="F2298" s="43" t="n">
        <v>240</v>
      </c>
      <c r="G2298" s="43" t="n">
        <v>24</v>
      </c>
      <c r="H2298" s="79">
        <f>(E2298/1000)*(F2298/1000)*(G2298/1000)*7850</f>
        <v/>
      </c>
      <c r="I2298" s="43" t="n">
        <v>4</v>
      </c>
      <c r="J2298" s="80">
        <f>H2298*I2298</f>
        <v/>
      </c>
      <c r="K2298" s="43" t="inlineStr">
        <is>
          <t>来源页178</t>
        </is>
      </c>
      <c r="L2298" s="43">
        <f>A2298</f>
        <v/>
      </c>
      <c r="M2298" s="81" t="n"/>
      <c r="N2298" s="81" t="n"/>
      <c r="O2298" s="81" t="n"/>
      <c r="P2298" s="81" t="n"/>
      <c r="Q2298" s="81" t="n"/>
      <c r="R2298" s="81" t="n"/>
      <c r="S2298" s="81" t="n"/>
      <c r="T2298" s="81" t="n"/>
      <c r="U2298" s="81" t="n"/>
      <c r="V2298" s="81" t="n"/>
      <c r="W2298" s="43" t="n"/>
    </row>
    <row r="2299">
      <c r="A2299" s="43" t="inlineStr">
        <is>
          <t>L8</t>
        </is>
      </c>
      <c r="B2299" s="43" t="inlineStr">
        <is>
          <t>腹杆拼接</t>
        </is>
      </c>
      <c r="C2299" s="43" t="inlineStr">
        <is>
          <t>节段9~节段10</t>
        </is>
      </c>
      <c r="D2299" s="43" t="inlineStr">
        <is>
          <t>Q355D</t>
        </is>
      </c>
      <c r="E2299" s="43" t="n">
        <v>1320</v>
      </c>
      <c r="F2299" s="43" t="n">
        <v>240</v>
      </c>
      <c r="G2299" s="43" t="n">
        <v>24</v>
      </c>
      <c r="H2299" s="79">
        <f>(E2299/1000)*(F2299/1000)*(G2299/1000)*7850</f>
        <v/>
      </c>
      <c r="I2299" s="43" t="n">
        <v>2</v>
      </c>
      <c r="J2299" s="80">
        <f>H2299*I2299</f>
        <v/>
      </c>
      <c r="K2299" s="43" t="inlineStr">
        <is>
          <t>来源页178</t>
        </is>
      </c>
      <c r="L2299" s="43">
        <f>A2299</f>
        <v/>
      </c>
      <c r="M2299" s="81" t="n"/>
      <c r="N2299" s="81" t="n"/>
      <c r="O2299" s="81" t="n"/>
      <c r="P2299" s="81" t="n"/>
      <c r="Q2299" s="81" t="n"/>
      <c r="R2299" s="81" t="n"/>
      <c r="S2299" s="81" t="n"/>
      <c r="T2299" s="81" t="n"/>
      <c r="U2299" s="81" t="n"/>
      <c r="V2299" s="81" t="n"/>
      <c r="W2299" s="43" t="n"/>
    </row>
    <row r="2300">
      <c r="A2300" s="43" t="inlineStr">
        <is>
          <t>N11a</t>
        </is>
      </c>
      <c r="B2300" s="43" t="inlineStr"/>
      <c r="C2300" s="43" t="inlineStr">
        <is>
          <t>节段10</t>
        </is>
      </c>
      <c r="D2300" s="43" t="inlineStr">
        <is>
          <t>Q355D</t>
        </is>
      </c>
      <c r="E2300" s="43" t="n"/>
      <c r="F2300" s="43" t="n"/>
      <c r="G2300" s="43" t="n">
        <v>20</v>
      </c>
      <c r="H2300" s="79">
        <f>(E2300/1000)*(F2300/1000)*(G2300/1000)*7850</f>
        <v/>
      </c>
      <c r="I2300" s="43" t="n">
        <v>1</v>
      </c>
      <c r="J2300" s="80">
        <f>H2300*I2300</f>
        <v/>
      </c>
      <c r="K2300" s="43" t="inlineStr">
        <is>
          <t>来源页179</t>
        </is>
      </c>
      <c r="L2300" s="43">
        <f>A2300</f>
        <v/>
      </c>
      <c r="M2300" s="81" t="n"/>
      <c r="N2300" s="81" t="n"/>
      <c r="O2300" s="81" t="n"/>
      <c r="P2300" s="81" t="n"/>
      <c r="Q2300" s="81" t="n"/>
      <c r="R2300" s="81" t="n"/>
      <c r="S2300" s="81" t="n"/>
      <c r="T2300" s="81" t="n"/>
      <c r="U2300" s="81" t="n"/>
      <c r="V2300" s="81" t="n"/>
      <c r="W2300" s="43" t="n"/>
    </row>
    <row r="2301">
      <c r="A2301" s="43" t="inlineStr">
        <is>
          <t>N11b</t>
        </is>
      </c>
      <c r="B2301" s="43" t="inlineStr"/>
      <c r="C2301" s="43" t="inlineStr">
        <is>
          <t>节段10</t>
        </is>
      </c>
      <c r="D2301" s="43" t="inlineStr">
        <is>
          <t>Q355D</t>
        </is>
      </c>
      <c r="E2301" s="43" t="n"/>
      <c r="F2301" s="43" t="n"/>
      <c r="G2301" s="43" t="n">
        <v>20</v>
      </c>
      <c r="H2301" s="79">
        <f>(E2301/1000)*(F2301/1000)*(G2301/1000)*7850</f>
        <v/>
      </c>
      <c r="I2301" s="43" t="n">
        <v>1</v>
      </c>
      <c r="J2301" s="80">
        <f>H2301*I2301</f>
        <v/>
      </c>
      <c r="K2301" s="43" t="inlineStr">
        <is>
          <t>来源页179</t>
        </is>
      </c>
      <c r="L2301" s="43">
        <f>A2301</f>
        <v/>
      </c>
      <c r="M2301" s="81" t="n"/>
      <c r="N2301" s="81" t="n"/>
      <c r="O2301" s="81" t="n"/>
      <c r="P2301" s="81" t="n"/>
      <c r="Q2301" s="81" t="n"/>
      <c r="R2301" s="81" t="n"/>
      <c r="S2301" s="81" t="n"/>
      <c r="T2301" s="81" t="n"/>
      <c r="U2301" s="81" t="n"/>
      <c r="V2301" s="81" t="n"/>
      <c r="W2301" s="43" t="n"/>
    </row>
    <row r="2302">
      <c r="A2302" s="43" t="inlineStr">
        <is>
          <t>N12a</t>
        </is>
      </c>
      <c r="B2302" s="43" t="inlineStr"/>
      <c r="C2302" s="43" t="inlineStr">
        <is>
          <t>节段10</t>
        </is>
      </c>
      <c r="D2302" s="43" t="inlineStr">
        <is>
          <t>Q355D</t>
        </is>
      </c>
      <c r="E2302" s="43" t="n">
        <v>7900</v>
      </c>
      <c r="F2302" s="43" t="n">
        <v>1200</v>
      </c>
      <c r="G2302" s="43" t="n">
        <v>20</v>
      </c>
      <c r="H2302" s="79">
        <f>(E2302/1000)*(F2302/1000)*(G2302/1000)*7850</f>
        <v/>
      </c>
      <c r="I2302" s="43" t="n">
        <v>1</v>
      </c>
      <c r="J2302" s="80">
        <f>H2302*I2302</f>
        <v/>
      </c>
      <c r="K2302" s="43" t="inlineStr">
        <is>
          <t>来源页179</t>
        </is>
      </c>
      <c r="L2302" s="43">
        <f>A2302</f>
        <v/>
      </c>
      <c r="M2302" s="81" t="n"/>
      <c r="N2302" s="81" t="n"/>
      <c r="O2302" s="81" t="n"/>
      <c r="P2302" s="81" t="n"/>
      <c r="Q2302" s="81" t="n"/>
      <c r="R2302" s="81" t="n"/>
      <c r="S2302" s="81" t="n"/>
      <c r="T2302" s="81" t="n"/>
      <c r="U2302" s="81" t="n"/>
      <c r="V2302" s="81" t="n"/>
      <c r="W2302" s="43" t="n"/>
    </row>
    <row r="2303">
      <c r="A2303" s="43" t="inlineStr">
        <is>
          <t>N12b</t>
        </is>
      </c>
      <c r="B2303" s="43" t="inlineStr"/>
      <c r="C2303" s="43" t="inlineStr">
        <is>
          <t>节段10</t>
        </is>
      </c>
      <c r="D2303" s="43" t="inlineStr">
        <is>
          <t>Q355D</t>
        </is>
      </c>
      <c r="E2303" s="43" t="n">
        <v>7100</v>
      </c>
      <c r="F2303" s="43" t="n">
        <v>1200</v>
      </c>
      <c r="G2303" s="43" t="n">
        <v>20</v>
      </c>
      <c r="H2303" s="79">
        <f>(E2303/1000)*(F2303/1000)*(G2303/1000)*7850</f>
        <v/>
      </c>
      <c r="I2303" s="43" t="n">
        <v>1</v>
      </c>
      <c r="J2303" s="80">
        <f>H2303*I2303</f>
        <v/>
      </c>
      <c r="K2303" s="43" t="inlineStr">
        <is>
          <t>来源页179</t>
        </is>
      </c>
      <c r="L2303" s="43">
        <f>A2303</f>
        <v/>
      </c>
      <c r="M2303" s="81" t="n"/>
      <c r="N2303" s="81" t="n"/>
      <c r="O2303" s="81" t="n"/>
      <c r="P2303" s="81" t="n"/>
      <c r="Q2303" s="81" t="n"/>
      <c r="R2303" s="81" t="n"/>
      <c r="S2303" s="81" t="n"/>
      <c r="T2303" s="81" t="n"/>
      <c r="U2303" s="81" t="n"/>
      <c r="V2303" s="81" t="n"/>
      <c r="W2303" s="43" t="n"/>
    </row>
    <row r="2304">
      <c r="A2304" s="43" t="inlineStr">
        <is>
          <t>N13</t>
        </is>
      </c>
      <c r="B2304" s="43" t="inlineStr"/>
      <c r="C2304" s="43" t="inlineStr">
        <is>
          <t>节段10</t>
        </is>
      </c>
      <c r="D2304" s="43" t="inlineStr">
        <is>
          <t>Q355D</t>
        </is>
      </c>
      <c r="E2304" s="43" t="n"/>
      <c r="F2304" s="43" t="n"/>
      <c r="G2304" s="43" t="n">
        <v>40</v>
      </c>
      <c r="H2304" s="79">
        <f>(E2304/1000)*(F2304/1000)*(G2304/1000)*7850</f>
        <v/>
      </c>
      <c r="I2304" s="43" t="n">
        <v>2</v>
      </c>
      <c r="J2304" s="80">
        <f>H2304*I2304</f>
        <v/>
      </c>
      <c r="K2304" s="43" t="inlineStr">
        <is>
          <t>来源页179</t>
        </is>
      </c>
      <c r="L2304" s="43">
        <f>A2304</f>
        <v/>
      </c>
      <c r="M2304" s="81" t="n"/>
      <c r="N2304" s="81" t="n"/>
      <c r="O2304" s="81" t="n"/>
      <c r="P2304" s="81" t="n"/>
      <c r="Q2304" s="81" t="n"/>
      <c r="R2304" s="81" t="n"/>
      <c r="S2304" s="81" t="n"/>
      <c r="T2304" s="81" t="n"/>
      <c r="U2304" s="81" t="n"/>
      <c r="V2304" s="81" t="n"/>
      <c r="W2304" s="43" t="n"/>
    </row>
    <row r="2305">
      <c r="A2305" s="43" t="inlineStr">
        <is>
          <t>N14</t>
        </is>
      </c>
      <c r="B2305" s="43" t="inlineStr"/>
      <c r="C2305" s="43" t="inlineStr">
        <is>
          <t>节段10</t>
        </is>
      </c>
      <c r="D2305" s="43" t="inlineStr">
        <is>
          <t>Q355D</t>
        </is>
      </c>
      <c r="E2305" s="43" t="n">
        <v>7300</v>
      </c>
      <c r="F2305" s="43" t="n">
        <v>1648</v>
      </c>
      <c r="G2305" s="43" t="n">
        <v>28</v>
      </c>
      <c r="H2305" s="79">
        <f>(E2305/1000)*(F2305/1000)*(G2305/1000)*7850</f>
        <v/>
      </c>
      <c r="I2305" s="43" t="n">
        <v>2</v>
      </c>
      <c r="J2305" s="80">
        <f>H2305*I2305</f>
        <v/>
      </c>
      <c r="K2305" s="43" t="inlineStr">
        <is>
          <t>来源页179</t>
        </is>
      </c>
      <c r="L2305" s="43">
        <f>A2305</f>
        <v/>
      </c>
      <c r="M2305" s="81" t="n"/>
      <c r="N2305" s="81" t="n"/>
      <c r="O2305" s="81" t="n"/>
      <c r="P2305" s="81" t="n"/>
      <c r="Q2305" s="81" t="n"/>
      <c r="R2305" s="81" t="n"/>
      <c r="S2305" s="81" t="n"/>
      <c r="T2305" s="81" t="n"/>
      <c r="U2305" s="81" t="n"/>
      <c r="V2305" s="81" t="n"/>
      <c r="W2305" s="43" t="n"/>
    </row>
    <row r="2306">
      <c r="A2306" s="43" t="inlineStr">
        <is>
          <t>N15</t>
        </is>
      </c>
      <c r="B2306" s="43" t="inlineStr"/>
      <c r="C2306" s="43" t="inlineStr">
        <is>
          <t>节段10</t>
        </is>
      </c>
      <c r="D2306" s="43" t="inlineStr">
        <is>
          <t>Q355D</t>
        </is>
      </c>
      <c r="E2306" s="43" t="n">
        <v>1580</v>
      </c>
      <c r="F2306" s="43" t="n">
        <v>1200</v>
      </c>
      <c r="G2306" s="43" t="n">
        <v>16</v>
      </c>
      <c r="H2306" s="79">
        <f>(E2306/1000)*(F2306/1000)*(G2306/1000)*7850</f>
        <v/>
      </c>
      <c r="I2306" s="43" t="n">
        <v>3</v>
      </c>
      <c r="J2306" s="80">
        <f>H2306*I2306</f>
        <v/>
      </c>
      <c r="K2306" s="43" t="inlineStr">
        <is>
          <t>来源页179</t>
        </is>
      </c>
      <c r="L2306" s="43">
        <f>A2306</f>
        <v/>
      </c>
      <c r="M2306" s="81" t="n"/>
      <c r="N2306" s="81" t="n"/>
      <c r="O2306" s="81" t="n"/>
      <c r="P2306" s="81" t="n"/>
      <c r="Q2306" s="81" t="n"/>
      <c r="R2306" s="81" t="n"/>
      <c r="S2306" s="81" t="n"/>
      <c r="T2306" s="81" t="n"/>
      <c r="U2306" s="81" t="n"/>
      <c r="V2306" s="81" t="n"/>
      <c r="W2306" s="43" t="n"/>
    </row>
    <row r="2307">
      <c r="A2307" s="43" t="inlineStr">
        <is>
          <t>N15a</t>
        </is>
      </c>
      <c r="B2307" s="43" t="inlineStr"/>
      <c r="C2307" s="43" t="inlineStr">
        <is>
          <t>节段10</t>
        </is>
      </c>
      <c r="D2307" s="43" t="inlineStr">
        <is>
          <t>Q355D</t>
        </is>
      </c>
      <c r="E2307" s="43" t="n">
        <v>1580</v>
      </c>
      <c r="F2307" s="43" t="n">
        <v>1200</v>
      </c>
      <c r="G2307" s="43" t="n">
        <v>16</v>
      </c>
      <c r="H2307" s="79">
        <f>(E2307/1000)*(F2307/1000)*(G2307/1000)*7850</f>
        <v/>
      </c>
      <c r="I2307" s="43" t="n">
        <v>2</v>
      </c>
      <c r="J2307" s="80">
        <f>H2307*I2307</f>
        <v/>
      </c>
      <c r="K2307" s="43" t="inlineStr">
        <is>
          <t>来源页179</t>
        </is>
      </c>
      <c r="L2307" s="43">
        <f>A2307</f>
        <v/>
      </c>
      <c r="M2307" s="81" t="n"/>
      <c r="N2307" s="81" t="n"/>
      <c r="O2307" s="81" t="n"/>
      <c r="P2307" s="81" t="n"/>
      <c r="Q2307" s="81" t="n"/>
      <c r="R2307" s="81" t="n"/>
      <c r="S2307" s="81" t="n"/>
      <c r="T2307" s="81" t="n"/>
      <c r="U2307" s="81" t="n"/>
      <c r="V2307" s="81" t="n"/>
      <c r="W2307" s="43" t="n"/>
    </row>
    <row r="2308">
      <c r="A2308" s="43" t="inlineStr">
        <is>
          <t>N15 ‘</t>
        </is>
      </c>
      <c r="B2308" s="43" t="inlineStr"/>
      <c r="C2308" s="43" t="inlineStr">
        <is>
          <t>节段10</t>
        </is>
      </c>
      <c r="D2308" s="43" t="inlineStr">
        <is>
          <t>Q355D</t>
        </is>
      </c>
      <c r="E2308" s="43" t="n">
        <v>1657</v>
      </c>
      <c r="F2308" s="43" t="n">
        <v>200</v>
      </c>
      <c r="G2308" s="43" t="n">
        <v>16</v>
      </c>
      <c r="H2308" s="79">
        <f>(E2308/1000)*(F2308/1000)*(G2308/1000)*7850</f>
        <v/>
      </c>
      <c r="I2308" s="43" t="n">
        <v>3</v>
      </c>
      <c r="J2308" s="80">
        <f>H2308*I2308</f>
        <v/>
      </c>
      <c r="K2308" s="43" t="inlineStr">
        <is>
          <t>来源页179</t>
        </is>
      </c>
      <c r="L2308" s="43">
        <f>A2308</f>
        <v/>
      </c>
      <c r="M2308" s="81" t="n"/>
      <c r="N2308" s="81" t="n"/>
      <c r="O2308" s="81" t="n"/>
      <c r="P2308" s="81" t="n"/>
      <c r="Q2308" s="81" t="n"/>
      <c r="R2308" s="81" t="n"/>
      <c r="S2308" s="81" t="n"/>
      <c r="T2308" s="81" t="n"/>
      <c r="U2308" s="81" t="n"/>
      <c r="V2308" s="81" t="n"/>
      <c r="W2308" s="43" t="n"/>
    </row>
    <row r="2309">
      <c r="A2309" s="43" t="inlineStr">
        <is>
          <t>N15b</t>
        </is>
      </c>
      <c r="B2309" s="43" t="inlineStr"/>
      <c r="C2309" s="43" t="inlineStr">
        <is>
          <t>节段10</t>
        </is>
      </c>
      <c r="D2309" s="43" t="inlineStr">
        <is>
          <t>Q355D</t>
        </is>
      </c>
      <c r="E2309" s="43" t="n">
        <v>1782</v>
      </c>
      <c r="F2309" s="43" t="n">
        <v>40</v>
      </c>
      <c r="G2309" s="43" t="n">
        <v>4</v>
      </c>
      <c r="H2309" s="79">
        <f>(E2309/1000)*(F2309/1000)*(G2309/1000)*7850</f>
        <v/>
      </c>
      <c r="I2309" s="43" t="n">
        <v>4</v>
      </c>
      <c r="J2309" s="80">
        <f>H2309*I2309</f>
        <v/>
      </c>
      <c r="K2309" s="43" t="inlineStr">
        <is>
          <t>来源页179</t>
        </is>
      </c>
      <c r="L2309" s="43">
        <f>A2309</f>
        <v/>
      </c>
      <c r="M2309" s="81" t="n"/>
      <c r="N2309" s="81" t="n"/>
      <c r="O2309" s="81" t="n"/>
      <c r="P2309" s="81" t="n"/>
      <c r="Q2309" s="81" t="n"/>
      <c r="R2309" s="81" t="n"/>
      <c r="S2309" s="81" t="n"/>
      <c r="T2309" s="81" t="n"/>
      <c r="U2309" s="81" t="n"/>
      <c r="V2309" s="81" t="n"/>
      <c r="W2309" s="43" t="n"/>
    </row>
    <row r="2310">
      <c r="A2310" s="43" t="inlineStr">
        <is>
          <t>N15c</t>
        </is>
      </c>
      <c r="B2310" s="43" t="inlineStr"/>
      <c r="C2310" s="43" t="inlineStr">
        <is>
          <t>节段10</t>
        </is>
      </c>
      <c r="D2310" s="43" t="inlineStr">
        <is>
          <t>Q355D</t>
        </is>
      </c>
      <c r="E2310" s="43" t="n">
        <v>600</v>
      </c>
      <c r="F2310" s="43" t="n">
        <v>400</v>
      </c>
      <c r="G2310" s="43" t="n">
        <v>16</v>
      </c>
      <c r="H2310" s="79">
        <f>(E2310/1000)*(F2310/1000)*(G2310/1000)*7850</f>
        <v/>
      </c>
      <c r="I2310" s="43" t="n">
        <v>4</v>
      </c>
      <c r="J2310" s="80">
        <f>H2310*I2310</f>
        <v/>
      </c>
      <c r="K2310" s="43" t="inlineStr">
        <is>
          <t>来源页179</t>
        </is>
      </c>
      <c r="L2310" s="43">
        <f>A2310</f>
        <v/>
      </c>
      <c r="M2310" s="81" t="n"/>
      <c r="N2310" s="81" t="n"/>
      <c r="O2310" s="81" t="n"/>
      <c r="P2310" s="81" t="n"/>
      <c r="Q2310" s="81" t="n"/>
      <c r="R2310" s="81" t="n"/>
      <c r="S2310" s="81" t="n"/>
      <c r="T2310" s="81" t="n"/>
      <c r="U2310" s="81" t="n"/>
      <c r="V2310" s="81" t="n"/>
      <c r="W2310" s="43" t="n"/>
    </row>
    <row r="2311">
      <c r="A2311" s="43" t="inlineStr">
        <is>
          <t>N21a</t>
        </is>
      </c>
      <c r="B2311" s="43" t="inlineStr"/>
      <c r="C2311" s="43" t="inlineStr">
        <is>
          <t>节段10</t>
        </is>
      </c>
      <c r="D2311" s="43" t="inlineStr">
        <is>
          <t>Q355D</t>
        </is>
      </c>
      <c r="E2311" s="43" t="n">
        <v>7901</v>
      </c>
      <c r="F2311" s="43" t="n">
        <v>1850</v>
      </c>
      <c r="G2311" s="43" t="n">
        <v>24</v>
      </c>
      <c r="H2311" s="79">
        <f>(E2311/1000)*(F2311/1000)*(G2311/1000)*7850</f>
        <v/>
      </c>
      <c r="I2311" s="43" t="n">
        <v>1</v>
      </c>
      <c r="J2311" s="80">
        <f>H2311*I2311</f>
        <v/>
      </c>
      <c r="K2311" s="43" t="inlineStr">
        <is>
          <t>来源页179</t>
        </is>
      </c>
      <c r="L2311" s="43">
        <f>A2311</f>
        <v/>
      </c>
      <c r="M2311" s="81" t="n"/>
      <c r="N2311" s="81" t="n"/>
      <c r="O2311" s="81" t="n"/>
      <c r="P2311" s="81" t="n"/>
      <c r="Q2311" s="81" t="n"/>
      <c r="R2311" s="81" t="n"/>
      <c r="S2311" s="81" t="n"/>
      <c r="T2311" s="81" t="n"/>
      <c r="U2311" s="81" t="n"/>
      <c r="V2311" s="81" t="n"/>
      <c r="W2311" s="43" t="n"/>
    </row>
    <row r="2312">
      <c r="A2312" s="43" t="inlineStr">
        <is>
          <t>N21b</t>
        </is>
      </c>
      <c r="B2312" s="43" t="inlineStr"/>
      <c r="C2312" s="43" t="inlineStr">
        <is>
          <t>节段10</t>
        </is>
      </c>
      <c r="D2312" s="43" t="inlineStr">
        <is>
          <t>Q355D</t>
        </is>
      </c>
      <c r="E2312" s="43" t="n">
        <v>7101</v>
      </c>
      <c r="F2312" s="43" t="n">
        <v>1850</v>
      </c>
      <c r="G2312" s="43" t="n">
        <v>24</v>
      </c>
      <c r="H2312" s="79">
        <f>(E2312/1000)*(F2312/1000)*(G2312/1000)*7850</f>
        <v/>
      </c>
      <c r="I2312" s="43" t="n">
        <v>1</v>
      </c>
      <c r="J2312" s="80">
        <f>H2312*I2312</f>
        <v/>
      </c>
      <c r="K2312" s="43" t="inlineStr">
        <is>
          <t>来源页179</t>
        </is>
      </c>
      <c r="L2312" s="43">
        <f>A2312</f>
        <v/>
      </c>
      <c r="M2312" s="81" t="n"/>
      <c r="N2312" s="81" t="n"/>
      <c r="O2312" s="81" t="n"/>
      <c r="P2312" s="81" t="n"/>
      <c r="Q2312" s="81" t="n"/>
      <c r="R2312" s="81" t="n"/>
      <c r="S2312" s="81" t="n"/>
      <c r="T2312" s="81" t="n"/>
      <c r="U2312" s="81" t="n"/>
      <c r="V2312" s="81" t="n"/>
      <c r="W2312" s="43" t="n"/>
    </row>
    <row r="2313">
      <c r="A2313" s="43" t="inlineStr">
        <is>
          <t>N22a</t>
        </is>
      </c>
      <c r="B2313" s="43" t="inlineStr"/>
      <c r="C2313" s="43" t="inlineStr">
        <is>
          <t>节段10</t>
        </is>
      </c>
      <c r="D2313" s="43" t="inlineStr">
        <is>
          <t>Q355D</t>
        </is>
      </c>
      <c r="E2313" s="43" t="n"/>
      <c r="F2313" s="43" t="n"/>
      <c r="G2313" s="43" t="n">
        <v>24</v>
      </c>
      <c r="H2313" s="79">
        <f>(E2313/1000)*(F2313/1000)*(G2313/1000)*7850</f>
        <v/>
      </c>
      <c r="I2313" s="43" t="n">
        <v>1</v>
      </c>
      <c r="J2313" s="80">
        <f>H2313*I2313</f>
        <v/>
      </c>
      <c r="K2313" s="43" t="inlineStr">
        <is>
          <t>来源页179</t>
        </is>
      </c>
      <c r="L2313" s="43">
        <f>A2313</f>
        <v/>
      </c>
      <c r="M2313" s="81" t="n"/>
      <c r="N2313" s="81" t="n"/>
      <c r="O2313" s="81" t="n"/>
      <c r="P2313" s="81" t="n"/>
      <c r="Q2313" s="81" t="n"/>
      <c r="R2313" s="81" t="n"/>
      <c r="S2313" s="81" t="n"/>
      <c r="T2313" s="81" t="n"/>
      <c r="U2313" s="81" t="n"/>
      <c r="V2313" s="81" t="n"/>
      <c r="W2313" s="43" t="n"/>
    </row>
    <row r="2314">
      <c r="A2314" s="43" t="inlineStr">
        <is>
          <t>N22b</t>
        </is>
      </c>
      <c r="B2314" s="43" t="inlineStr"/>
      <c r="C2314" s="43" t="inlineStr">
        <is>
          <t>节段10</t>
        </is>
      </c>
      <c r="D2314" s="43" t="inlineStr">
        <is>
          <t>Q355D</t>
        </is>
      </c>
      <c r="E2314" s="43" t="n"/>
      <c r="F2314" s="43" t="n"/>
      <c r="G2314" s="43" t="n">
        <v>24</v>
      </c>
      <c r="H2314" s="79">
        <f>(E2314/1000)*(F2314/1000)*(G2314/1000)*7850</f>
        <v/>
      </c>
      <c r="I2314" s="43" t="n">
        <v>1</v>
      </c>
      <c r="J2314" s="80">
        <f>H2314*I2314</f>
        <v/>
      </c>
      <c r="K2314" s="43" t="inlineStr">
        <is>
          <t>来源页179</t>
        </is>
      </c>
      <c r="L2314" s="43">
        <f>A2314</f>
        <v/>
      </c>
      <c r="M2314" s="81" t="n"/>
      <c r="N2314" s="81" t="n"/>
      <c r="O2314" s="81" t="n"/>
      <c r="P2314" s="81" t="n"/>
      <c r="Q2314" s="81" t="n"/>
      <c r="R2314" s="81" t="n"/>
      <c r="S2314" s="81" t="n"/>
      <c r="T2314" s="81" t="n"/>
      <c r="U2314" s="81" t="n"/>
      <c r="V2314" s="81" t="n"/>
      <c r="W2314" s="43" t="n"/>
    </row>
    <row r="2315">
      <c r="A2315" s="43" t="inlineStr">
        <is>
          <t>N23</t>
        </is>
      </c>
      <c r="B2315" s="43" t="inlineStr"/>
      <c r="C2315" s="43" t="inlineStr">
        <is>
          <t>节段10</t>
        </is>
      </c>
      <c r="D2315" s="43" t="inlineStr">
        <is>
          <t>Q355D</t>
        </is>
      </c>
      <c r="E2315" s="43" t="n"/>
      <c r="F2315" s="43" t="n"/>
      <c r="G2315" s="43" t="n">
        <v>44</v>
      </c>
      <c r="H2315" s="79">
        <f>(E2315/1000)*(F2315/1000)*(G2315/1000)*7850</f>
        <v/>
      </c>
      <c r="I2315" s="43" t="n">
        <v>2</v>
      </c>
      <c r="J2315" s="80">
        <f>H2315*I2315</f>
        <v/>
      </c>
      <c r="K2315" s="43" t="inlineStr">
        <is>
          <t>Z35钢；来源页179</t>
        </is>
      </c>
      <c r="L2315" s="43">
        <f>A2315</f>
        <v/>
      </c>
      <c r="M2315" s="81" t="n"/>
      <c r="N2315" s="81" t="n"/>
      <c r="O2315" s="81" t="n"/>
      <c r="P2315" s="81" t="n"/>
      <c r="Q2315" s="81" t="n"/>
      <c r="R2315" s="81" t="n"/>
      <c r="S2315" s="81" t="n"/>
      <c r="T2315" s="81" t="n"/>
      <c r="U2315" s="81" t="n"/>
      <c r="V2315" s="81" t="n"/>
      <c r="W2315" s="43" t="n"/>
    </row>
    <row r="2316">
      <c r="A2316" s="43" t="inlineStr">
        <is>
          <t>N24</t>
        </is>
      </c>
      <c r="B2316" s="43" t="inlineStr"/>
      <c r="C2316" s="43" t="inlineStr">
        <is>
          <t>节段10</t>
        </is>
      </c>
      <c r="D2316" s="43" t="inlineStr">
        <is>
          <t>Q355D</t>
        </is>
      </c>
      <c r="E2316" s="43" t="n">
        <v>7301</v>
      </c>
      <c r="F2316" s="43" t="n">
        <v>1474</v>
      </c>
      <c r="G2316" s="43" t="n">
        <v>32</v>
      </c>
      <c r="H2316" s="79">
        <f>(E2316/1000)*(F2316/1000)*(G2316/1000)*7850</f>
        <v/>
      </c>
      <c r="I2316" s="43" t="n">
        <v>2</v>
      </c>
      <c r="J2316" s="80">
        <f>H2316*I2316</f>
        <v/>
      </c>
      <c r="K2316" s="43" t="inlineStr">
        <is>
          <t>来源页179</t>
        </is>
      </c>
      <c r="L2316" s="43">
        <f>A2316</f>
        <v/>
      </c>
      <c r="M2316" s="81" t="n"/>
      <c r="N2316" s="81" t="n"/>
      <c r="O2316" s="81" t="n"/>
      <c r="P2316" s="81" t="n"/>
      <c r="Q2316" s="81" t="n"/>
      <c r="R2316" s="81" t="n"/>
      <c r="S2316" s="81" t="n"/>
      <c r="T2316" s="81" t="n"/>
      <c r="U2316" s="81" t="n"/>
      <c r="V2316" s="81" t="n"/>
      <c r="W2316" s="43" t="n"/>
    </row>
    <row r="2317">
      <c r="A2317" s="43" t="inlineStr">
        <is>
          <t>N25</t>
        </is>
      </c>
      <c r="B2317" s="43" t="inlineStr"/>
      <c r="C2317" s="43" t="inlineStr">
        <is>
          <t>节段10</t>
        </is>
      </c>
      <c r="D2317" s="43" t="inlineStr">
        <is>
          <t>Q355D</t>
        </is>
      </c>
      <c r="E2317" s="43" t="n">
        <v>1450</v>
      </c>
      <c r="F2317" s="43" t="n">
        <v>1200</v>
      </c>
      <c r="G2317" s="43" t="n">
        <v>16</v>
      </c>
      <c r="H2317" s="79">
        <f>(E2317/1000)*(F2317/1000)*(G2317/1000)*7850</f>
        <v/>
      </c>
      <c r="I2317" s="43" t="n">
        <v>3</v>
      </c>
      <c r="J2317" s="80">
        <f>H2317*I2317</f>
        <v/>
      </c>
      <c r="K2317" s="43" t="inlineStr">
        <is>
          <t>来源页179</t>
        </is>
      </c>
      <c r="L2317" s="43">
        <f>A2317</f>
        <v/>
      </c>
      <c r="M2317" s="81" t="n"/>
      <c r="N2317" s="81" t="n"/>
      <c r="O2317" s="81" t="n"/>
      <c r="P2317" s="81" t="n"/>
      <c r="Q2317" s="81" t="n"/>
      <c r="R2317" s="81" t="n"/>
      <c r="S2317" s="81" t="n"/>
      <c r="T2317" s="81" t="n"/>
      <c r="U2317" s="81" t="n"/>
      <c r="V2317" s="81" t="n"/>
      <c r="W2317" s="43" t="n"/>
    </row>
    <row r="2318">
      <c r="A2318" s="43" t="inlineStr">
        <is>
          <t>N25a</t>
        </is>
      </c>
      <c r="B2318" s="43" t="inlineStr"/>
      <c r="C2318" s="43" t="inlineStr">
        <is>
          <t>节段10</t>
        </is>
      </c>
      <c r="D2318" s="43" t="inlineStr">
        <is>
          <t>Q355D</t>
        </is>
      </c>
      <c r="E2318" s="43" t="n">
        <v>1450</v>
      </c>
      <c r="F2318" s="43" t="n">
        <v>1200</v>
      </c>
      <c r="G2318" s="43" t="n">
        <v>16</v>
      </c>
      <c r="H2318" s="79">
        <f>(E2318/1000)*(F2318/1000)*(G2318/1000)*7850</f>
        <v/>
      </c>
      <c r="I2318" s="43" t="n">
        <v>2</v>
      </c>
      <c r="J2318" s="80">
        <f>H2318*I2318</f>
        <v/>
      </c>
      <c r="K2318" s="43" t="inlineStr">
        <is>
          <t>来源页179</t>
        </is>
      </c>
      <c r="L2318" s="43">
        <f>A2318</f>
        <v/>
      </c>
      <c r="M2318" s="81" t="n"/>
      <c r="N2318" s="81" t="n"/>
      <c r="O2318" s="81" t="n"/>
      <c r="P2318" s="81" t="n"/>
      <c r="Q2318" s="81" t="n"/>
      <c r="R2318" s="81" t="n"/>
      <c r="S2318" s="81" t="n"/>
      <c r="T2318" s="81" t="n"/>
      <c r="U2318" s="81" t="n"/>
      <c r="V2318" s="81" t="n"/>
      <c r="W2318" s="43" t="n"/>
    </row>
    <row r="2319">
      <c r="A2319" s="43" t="inlineStr">
        <is>
          <t>N25'</t>
        </is>
      </c>
      <c r="B2319" s="43" t="inlineStr"/>
      <c r="C2319" s="43" t="inlineStr">
        <is>
          <t>节段10</t>
        </is>
      </c>
      <c r="D2319" s="43" t="inlineStr">
        <is>
          <t>Q355D</t>
        </is>
      </c>
      <c r="E2319" s="43" t="n">
        <v>1657</v>
      </c>
      <c r="F2319" s="43" t="n">
        <v>200</v>
      </c>
      <c r="G2319" s="43" t="n">
        <v>16</v>
      </c>
      <c r="H2319" s="79">
        <f>(E2319/1000)*(F2319/1000)*(G2319/1000)*7850</f>
        <v/>
      </c>
      <c r="I2319" s="43" t="n">
        <v>3</v>
      </c>
      <c r="J2319" s="80">
        <f>H2319*I2319</f>
        <v/>
      </c>
      <c r="K2319" s="43" t="inlineStr">
        <is>
          <t>来源页179</t>
        </is>
      </c>
      <c r="L2319" s="43">
        <f>A2319</f>
        <v/>
      </c>
      <c r="M2319" s="81" t="n"/>
      <c r="N2319" s="81" t="n"/>
      <c r="O2319" s="81" t="n"/>
      <c r="P2319" s="81" t="n"/>
      <c r="Q2319" s="81" t="n"/>
      <c r="R2319" s="81" t="n"/>
      <c r="S2319" s="81" t="n"/>
      <c r="T2319" s="81" t="n"/>
      <c r="U2319" s="81" t="n"/>
      <c r="V2319" s="81" t="n"/>
      <c r="W2319" s="43" t="n"/>
    </row>
    <row r="2320">
      <c r="A2320" s="43" t="inlineStr">
        <is>
          <t>N26a</t>
        </is>
      </c>
      <c r="B2320" s="43" t="inlineStr"/>
      <c r="C2320" s="43" t="inlineStr">
        <is>
          <t>节段10</t>
        </is>
      </c>
      <c r="D2320" s="43" t="inlineStr">
        <is>
          <t>Q355D</t>
        </is>
      </c>
      <c r="E2320" s="43" t="n">
        <v>7901</v>
      </c>
      <c r="F2320" s="43" t="n">
        <v>240</v>
      </c>
      <c r="G2320" s="43" t="n">
        <v>20</v>
      </c>
      <c r="H2320" s="79">
        <f>(E2320/1000)*(F2320/1000)*(G2320/1000)*7850</f>
        <v/>
      </c>
      <c r="I2320" s="43" t="n">
        <v>4</v>
      </c>
      <c r="J2320" s="80">
        <f>H2320*I2320</f>
        <v/>
      </c>
      <c r="K2320" s="43" t="inlineStr">
        <is>
          <t>来源页179</t>
        </is>
      </c>
      <c r="L2320" s="43">
        <f>A2320</f>
        <v/>
      </c>
      <c r="M2320" s="81" t="n"/>
      <c r="N2320" s="81" t="n"/>
      <c r="O2320" s="81" t="n"/>
      <c r="P2320" s="81" t="n"/>
      <c r="Q2320" s="81" t="n"/>
      <c r="R2320" s="81" t="n"/>
      <c r="S2320" s="81" t="n"/>
      <c r="T2320" s="81" t="n"/>
      <c r="U2320" s="81" t="n"/>
      <c r="V2320" s="81" t="n"/>
      <c r="W2320" s="43" t="n"/>
    </row>
    <row r="2321">
      <c r="A2321" s="43" t="inlineStr">
        <is>
          <t>N26b</t>
        </is>
      </c>
      <c r="B2321" s="43" t="inlineStr"/>
      <c r="C2321" s="43" t="inlineStr">
        <is>
          <t>节段10</t>
        </is>
      </c>
      <c r="D2321" s="43" t="inlineStr">
        <is>
          <t>Q355D</t>
        </is>
      </c>
      <c r="E2321" s="43" t="n">
        <v>7101</v>
      </c>
      <c r="F2321" s="43" t="n">
        <v>240</v>
      </c>
      <c r="G2321" s="43" t="n">
        <v>20</v>
      </c>
      <c r="H2321" s="79">
        <f>(E2321/1000)*(F2321/1000)*(G2321/1000)*7850</f>
        <v/>
      </c>
      <c r="I2321" s="43" t="n">
        <v>4</v>
      </c>
      <c r="J2321" s="80">
        <f>H2321*I2321</f>
        <v/>
      </c>
      <c r="K2321" s="43" t="inlineStr">
        <is>
          <t>来源页179</t>
        </is>
      </c>
      <c r="L2321" s="43">
        <f>A2321</f>
        <v/>
      </c>
      <c r="M2321" s="81" t="n"/>
      <c r="N2321" s="81" t="n"/>
      <c r="O2321" s="81" t="n"/>
      <c r="P2321" s="81" t="n"/>
      <c r="Q2321" s="81" t="n"/>
      <c r="R2321" s="81" t="n"/>
      <c r="S2321" s="81" t="n"/>
      <c r="T2321" s="81" t="n"/>
      <c r="U2321" s="81" t="n"/>
      <c r="V2321" s="81" t="n"/>
      <c r="W2321" s="43" t="n"/>
    </row>
    <row r="2322">
      <c r="A2322" s="43" t="inlineStr">
        <is>
          <t>N26c</t>
        </is>
      </c>
      <c r="B2322" s="43" t="inlineStr"/>
      <c r="C2322" s="43" t="inlineStr">
        <is>
          <t>节段10</t>
        </is>
      </c>
      <c r="D2322" s="43" t="inlineStr">
        <is>
          <t>Q355D</t>
        </is>
      </c>
      <c r="E2322" s="43" t="n">
        <v>15002</v>
      </c>
      <c r="F2322" s="43" t="n">
        <v>170</v>
      </c>
      <c r="G2322" s="43" t="n">
        <v>14</v>
      </c>
      <c r="H2322" s="79">
        <f>(E2322/1000)*(F2322/1000)*(G2322/1000)*7850</f>
        <v/>
      </c>
      <c r="I2322" s="43" t="n">
        <v>1</v>
      </c>
      <c r="J2322" s="80">
        <f>H2322*I2322</f>
        <v/>
      </c>
      <c r="K2322" s="43" t="inlineStr">
        <is>
          <t>来源页179</t>
        </is>
      </c>
      <c r="L2322" s="43">
        <f>A2322</f>
        <v/>
      </c>
      <c r="M2322" s="81" t="n"/>
      <c r="N2322" s="81" t="n"/>
      <c r="O2322" s="81" t="n"/>
      <c r="P2322" s="81" t="n"/>
      <c r="Q2322" s="81" t="n"/>
      <c r="R2322" s="81" t="n"/>
      <c r="S2322" s="81" t="n"/>
      <c r="T2322" s="81" t="n"/>
      <c r="U2322" s="81" t="n"/>
      <c r="V2322" s="81" t="n"/>
      <c r="W2322" s="43" t="n"/>
    </row>
    <row r="2323">
      <c r="A2323" s="43" t="inlineStr">
        <is>
          <t>N31</t>
        </is>
      </c>
      <c r="B2323" s="43" t="inlineStr"/>
      <c r="C2323" s="43" t="inlineStr">
        <is>
          <t>节段10</t>
        </is>
      </c>
      <c r="D2323" s="43" t="inlineStr">
        <is>
          <t>Q355D</t>
        </is>
      </c>
      <c r="E2323" s="43" t="n">
        <v>11770</v>
      </c>
      <c r="F2323" s="43" t="n">
        <v>1200</v>
      </c>
      <c r="G2323" s="43" t="n">
        <v>36</v>
      </c>
      <c r="H2323" s="79">
        <f>(E2323/1000)*(F2323/1000)*(G2323/1000)*7850</f>
        <v/>
      </c>
      <c r="I2323" s="43" t="n">
        <v>1</v>
      </c>
      <c r="J2323" s="80">
        <f>H2323*I2323</f>
        <v/>
      </c>
      <c r="K2323" s="43" t="inlineStr">
        <is>
          <t>来源页179</t>
        </is>
      </c>
      <c r="L2323" s="43">
        <f>A2323</f>
        <v/>
      </c>
      <c r="M2323" s="81" t="n"/>
      <c r="N2323" s="81" t="n"/>
      <c r="O2323" s="81" t="n"/>
      <c r="P2323" s="81" t="n"/>
      <c r="Q2323" s="81" t="n"/>
      <c r="R2323" s="81" t="n"/>
      <c r="S2323" s="81" t="n"/>
      <c r="T2323" s="81" t="n"/>
      <c r="U2323" s="81" t="n"/>
      <c r="V2323" s="81" t="n"/>
      <c r="W2323" s="43" t="n"/>
    </row>
    <row r="2324">
      <c r="A2324" s="43" t="inlineStr">
        <is>
          <t>N31a</t>
        </is>
      </c>
      <c r="B2324" s="43" t="inlineStr"/>
      <c r="C2324" s="43" t="inlineStr">
        <is>
          <t>节段10</t>
        </is>
      </c>
      <c r="D2324" s="43" t="inlineStr">
        <is>
          <t>Q355D</t>
        </is>
      </c>
      <c r="E2324" s="43" t="n">
        <v>12070</v>
      </c>
      <c r="F2324" s="43" t="n">
        <v>1200</v>
      </c>
      <c r="G2324" s="43" t="n">
        <v>36</v>
      </c>
      <c r="H2324" s="79">
        <f>(E2324/1000)*(F2324/1000)*(G2324/1000)*7850</f>
        <v/>
      </c>
      <c r="I2324" s="43" t="n">
        <v>1</v>
      </c>
      <c r="J2324" s="80">
        <f>H2324*I2324</f>
        <v/>
      </c>
      <c r="K2324" s="43" t="inlineStr">
        <is>
          <t>来源页179</t>
        </is>
      </c>
      <c r="L2324" s="43">
        <f>A2324</f>
        <v/>
      </c>
      <c r="M2324" s="81" t="n"/>
      <c r="N2324" s="81" t="n"/>
      <c r="O2324" s="81" t="n"/>
      <c r="P2324" s="81" t="n"/>
      <c r="Q2324" s="81" t="n"/>
      <c r="R2324" s="81" t="n"/>
      <c r="S2324" s="81" t="n"/>
      <c r="T2324" s="81" t="n"/>
      <c r="U2324" s="81" t="n"/>
      <c r="V2324" s="81" t="n"/>
      <c r="W2324" s="43" t="n"/>
    </row>
    <row r="2325">
      <c r="A2325" s="43" t="inlineStr">
        <is>
          <t>N32</t>
        </is>
      </c>
      <c r="B2325" s="43" t="inlineStr"/>
      <c r="C2325" s="43" t="inlineStr">
        <is>
          <t>节段10</t>
        </is>
      </c>
      <c r="D2325" s="43" t="inlineStr">
        <is>
          <t>Q355D</t>
        </is>
      </c>
      <c r="E2325" s="43" t="n">
        <v>7770</v>
      </c>
      <c r="F2325" s="43" t="n">
        <v>1360</v>
      </c>
      <c r="G2325" s="43" t="n">
        <v>36</v>
      </c>
      <c r="H2325" s="79">
        <f>(E2325/1000)*(F2325/1000)*(G2325/1000)*7850</f>
        <v/>
      </c>
      <c r="I2325" s="43" t="n">
        <v>2</v>
      </c>
      <c r="J2325" s="80">
        <f>H2325*I2325</f>
        <v/>
      </c>
      <c r="K2325" s="43" t="inlineStr">
        <is>
          <t>来源页179</t>
        </is>
      </c>
      <c r="L2325" s="43">
        <f>A2325</f>
        <v/>
      </c>
      <c r="M2325" s="81" t="n"/>
      <c r="N2325" s="81" t="n"/>
      <c r="O2325" s="81" t="n"/>
      <c r="P2325" s="81" t="n"/>
      <c r="Q2325" s="81" t="n"/>
      <c r="R2325" s="81" t="n"/>
      <c r="S2325" s="81" t="n"/>
      <c r="T2325" s="81" t="n"/>
      <c r="U2325" s="81" t="n"/>
      <c r="V2325" s="81" t="n"/>
      <c r="W2325" s="43" t="n"/>
    </row>
    <row r="2326">
      <c r="A2326" s="43" t="inlineStr">
        <is>
          <t>N33</t>
        </is>
      </c>
      <c r="B2326" s="43" t="inlineStr"/>
      <c r="C2326" s="43" t="inlineStr">
        <is>
          <t>节段10</t>
        </is>
      </c>
      <c r="D2326" s="43" t="inlineStr">
        <is>
          <t>Q355D</t>
        </is>
      </c>
      <c r="E2326" s="43" t="n">
        <v>7770</v>
      </c>
      <c r="F2326" s="43" t="n">
        <v>320</v>
      </c>
      <c r="G2326" s="43" t="n">
        <v>32</v>
      </c>
      <c r="H2326" s="79">
        <f>(E2326/1000)*(F2326/1000)*(G2326/1000)*7850</f>
        <v/>
      </c>
      <c r="I2326" s="43" t="n">
        <v>2</v>
      </c>
      <c r="J2326" s="80">
        <f>H2326*I2326</f>
        <v/>
      </c>
      <c r="K2326" s="43" t="inlineStr">
        <is>
          <t>来源页179</t>
        </is>
      </c>
      <c r="L2326" s="43">
        <f>A2326</f>
        <v/>
      </c>
      <c r="M2326" s="81" t="n"/>
      <c r="N2326" s="81" t="n"/>
      <c r="O2326" s="81" t="n"/>
      <c r="P2326" s="81" t="n"/>
      <c r="Q2326" s="81" t="n"/>
      <c r="R2326" s="81" t="n"/>
      <c r="S2326" s="81" t="n"/>
      <c r="T2326" s="81" t="n"/>
      <c r="U2326" s="81" t="n"/>
      <c r="V2326" s="81" t="n"/>
      <c r="W2326" s="43" t="n"/>
    </row>
    <row r="2327">
      <c r="A2327" s="43" t="inlineStr">
        <is>
          <t>N33a</t>
        </is>
      </c>
      <c r="B2327" s="43" t="inlineStr"/>
      <c r="C2327" s="43" t="inlineStr">
        <is>
          <t>节段10</t>
        </is>
      </c>
      <c r="D2327" s="43" t="inlineStr">
        <is>
          <t>Q355D</t>
        </is>
      </c>
      <c r="E2327" s="43" t="n">
        <v>10370</v>
      </c>
      <c r="F2327" s="43" t="n">
        <v>320</v>
      </c>
      <c r="G2327" s="43" t="n">
        <v>32</v>
      </c>
      <c r="H2327" s="79">
        <f>(E2327/1000)*(F2327/1000)*(G2327/1000)*7850</f>
        <v/>
      </c>
      <c r="I2327" s="43" t="n">
        <v>1</v>
      </c>
      <c r="J2327" s="80">
        <f>H2327*I2327</f>
        <v/>
      </c>
      <c r="K2327" s="43" t="inlineStr">
        <is>
          <t>来源页179</t>
        </is>
      </c>
      <c r="L2327" s="43">
        <f>A2327</f>
        <v/>
      </c>
      <c r="M2327" s="81" t="n"/>
      <c r="N2327" s="81" t="n"/>
      <c r="O2327" s="81" t="n"/>
      <c r="P2327" s="81" t="n"/>
      <c r="Q2327" s="81" t="n"/>
      <c r="R2327" s="81" t="n"/>
      <c r="S2327" s="81" t="n"/>
      <c r="T2327" s="81" t="n"/>
      <c r="U2327" s="81" t="n"/>
      <c r="V2327" s="81" t="n"/>
      <c r="W2327" s="43" t="n"/>
    </row>
    <row r="2328">
      <c r="A2328" s="43" t="inlineStr">
        <is>
          <t>N33b</t>
        </is>
      </c>
      <c r="B2328" s="43" t="inlineStr"/>
      <c r="C2328" s="43" t="inlineStr">
        <is>
          <t>节段10</t>
        </is>
      </c>
      <c r="D2328" s="43" t="inlineStr">
        <is>
          <t>Q355D</t>
        </is>
      </c>
      <c r="E2328" s="43" t="n">
        <v>10670</v>
      </c>
      <c r="F2328" s="43" t="n">
        <v>320</v>
      </c>
      <c r="G2328" s="43" t="n">
        <v>32</v>
      </c>
      <c r="H2328" s="79">
        <f>(E2328/1000)*(F2328/1000)*(G2328/1000)*7850</f>
        <v/>
      </c>
      <c r="I2328" s="43" t="n">
        <v>1</v>
      </c>
      <c r="J2328" s="80">
        <f>H2328*I2328</f>
        <v/>
      </c>
      <c r="K2328" s="43" t="inlineStr">
        <is>
          <t>来源页179</t>
        </is>
      </c>
      <c r="L2328" s="43">
        <f>A2328</f>
        <v/>
      </c>
      <c r="M2328" s="81" t="n"/>
      <c r="N2328" s="81" t="n"/>
      <c r="O2328" s="81" t="n"/>
      <c r="P2328" s="81" t="n"/>
      <c r="Q2328" s="81" t="n"/>
      <c r="R2328" s="81" t="n"/>
      <c r="S2328" s="81" t="n"/>
      <c r="T2328" s="81" t="n"/>
      <c r="U2328" s="81" t="n"/>
      <c r="V2328" s="81" t="n"/>
      <c r="W2328" s="43" t="n"/>
    </row>
    <row r="2329">
      <c r="A2329" s="43" t="inlineStr">
        <is>
          <t>N34</t>
        </is>
      </c>
      <c r="B2329" s="43" t="inlineStr"/>
      <c r="C2329" s="43" t="inlineStr">
        <is>
          <t>节段10</t>
        </is>
      </c>
      <c r="D2329" s="43" t="inlineStr">
        <is>
          <t>Q355D</t>
        </is>
      </c>
      <c r="E2329" s="43" t="n">
        <v>1200</v>
      </c>
      <c r="F2329" s="43" t="n">
        <v>1200</v>
      </c>
      <c r="G2329" s="43" t="n">
        <v>16</v>
      </c>
      <c r="H2329" s="79">
        <f>(E2329/1000)*(F2329/1000)*(G2329/1000)*7850</f>
        <v/>
      </c>
      <c r="I2329" s="43" t="n">
        <v>3</v>
      </c>
      <c r="J2329" s="80">
        <f>H2329*I2329</f>
        <v/>
      </c>
      <c r="K2329" s="43" t="inlineStr">
        <is>
          <t>来源页179</t>
        </is>
      </c>
      <c r="L2329" s="43">
        <f>A2329</f>
        <v/>
      </c>
      <c r="M2329" s="81" t="n"/>
      <c r="N2329" s="81" t="n"/>
      <c r="O2329" s="81" t="n"/>
      <c r="P2329" s="81" t="n"/>
      <c r="Q2329" s="81" t="n"/>
      <c r="R2329" s="81" t="n"/>
      <c r="S2329" s="81" t="n"/>
      <c r="T2329" s="81" t="n"/>
      <c r="U2329" s="81" t="n"/>
      <c r="V2329" s="81" t="n"/>
      <c r="W2329" s="43" t="n"/>
    </row>
    <row r="2330">
      <c r="A2330" s="43" t="inlineStr">
        <is>
          <t>N41</t>
        </is>
      </c>
      <c r="B2330" s="43" t="inlineStr"/>
      <c r="C2330" s="43" t="inlineStr">
        <is>
          <t>节段10</t>
        </is>
      </c>
      <c r="D2330" s="43" t="inlineStr">
        <is>
          <t>Q355D</t>
        </is>
      </c>
      <c r="E2330" s="43" t="n">
        <v>3798</v>
      </c>
      <c r="F2330" s="43" t="n">
        <v>900</v>
      </c>
      <c r="G2330" s="43" t="n">
        <v>36</v>
      </c>
      <c r="H2330" s="79">
        <f>(E2330/1000)*(F2330/1000)*(G2330/1000)*7850</f>
        <v/>
      </c>
      <c r="I2330" s="43" t="n">
        <v>2</v>
      </c>
      <c r="J2330" s="80">
        <f>H2330*I2330</f>
        <v/>
      </c>
      <c r="K2330" s="43" t="inlineStr">
        <is>
          <t>来源页179</t>
        </is>
      </c>
      <c r="L2330" s="43">
        <f>A2330</f>
        <v/>
      </c>
      <c r="M2330" s="81" t="n"/>
      <c r="N2330" s="81" t="n"/>
      <c r="O2330" s="81" t="n"/>
      <c r="P2330" s="81" t="n"/>
      <c r="Q2330" s="81" t="n"/>
      <c r="R2330" s="81" t="n"/>
      <c r="S2330" s="81" t="n"/>
      <c r="T2330" s="81" t="n"/>
      <c r="U2330" s="81" t="n"/>
      <c r="V2330" s="81" t="n"/>
      <c r="W2330" s="43" t="n"/>
    </row>
    <row r="2331">
      <c r="A2331" s="43" t="inlineStr">
        <is>
          <t>N42</t>
        </is>
      </c>
      <c r="B2331" s="43" t="inlineStr"/>
      <c r="C2331" s="43" t="inlineStr">
        <is>
          <t>节段10</t>
        </is>
      </c>
      <c r="D2331" s="43" t="inlineStr">
        <is>
          <t>Q355D</t>
        </is>
      </c>
      <c r="E2331" s="43" t="n">
        <v>6098</v>
      </c>
      <c r="F2331" s="43" t="n">
        <v>1200</v>
      </c>
      <c r="G2331" s="43" t="n">
        <v>32</v>
      </c>
      <c r="H2331" s="79">
        <f>(E2331/1000)*(F2331/1000)*(G2331/1000)*7850</f>
        <v/>
      </c>
      <c r="I2331" s="43" t="n">
        <v>1</v>
      </c>
      <c r="J2331" s="80">
        <f>H2331*I2331</f>
        <v/>
      </c>
      <c r="K2331" s="43" t="inlineStr">
        <is>
          <t>来源页179</t>
        </is>
      </c>
      <c r="L2331" s="43">
        <f>A2331</f>
        <v/>
      </c>
      <c r="M2331" s="81" t="n"/>
      <c r="N2331" s="81" t="n"/>
      <c r="O2331" s="81" t="n"/>
      <c r="P2331" s="81" t="n"/>
      <c r="Q2331" s="81" t="n"/>
      <c r="R2331" s="81" t="n"/>
      <c r="S2331" s="81" t="n"/>
      <c r="T2331" s="81" t="n"/>
      <c r="U2331" s="81" t="n"/>
      <c r="V2331" s="81" t="n"/>
      <c r="W2331" s="43" t="n"/>
    </row>
    <row r="2332">
      <c r="A2332" s="43" t="inlineStr">
        <is>
          <t>N43</t>
        </is>
      </c>
      <c r="B2332" s="43" t="inlineStr"/>
      <c r="C2332" s="43" t="inlineStr">
        <is>
          <t>节段10</t>
        </is>
      </c>
      <c r="D2332" s="43" t="inlineStr">
        <is>
          <t>Q355D</t>
        </is>
      </c>
      <c r="E2332" s="43" t="n">
        <v>5398</v>
      </c>
      <c r="F2332" s="43" t="n">
        <v>240</v>
      </c>
      <c r="G2332" s="43" t="n">
        <v>24</v>
      </c>
      <c r="H2332" s="79">
        <f>(E2332/1000)*(F2332/1000)*(G2332/1000)*7850</f>
        <v/>
      </c>
      <c r="I2332" s="43" t="n">
        <v>2</v>
      </c>
      <c r="J2332" s="80">
        <f>H2332*I2332</f>
        <v/>
      </c>
      <c r="K2332" s="43" t="inlineStr">
        <is>
          <t>来源页179</t>
        </is>
      </c>
      <c r="L2332" s="43">
        <f>A2332</f>
        <v/>
      </c>
      <c r="M2332" s="81" t="n"/>
      <c r="N2332" s="81" t="n"/>
      <c r="O2332" s="81" t="n"/>
      <c r="P2332" s="81" t="n"/>
      <c r="Q2332" s="81" t="n"/>
      <c r="R2332" s="81" t="n"/>
      <c r="S2332" s="81" t="n"/>
      <c r="T2332" s="81" t="n"/>
      <c r="U2332" s="81" t="n"/>
      <c r="V2332" s="81" t="n"/>
      <c r="W2332" s="43" t="n"/>
    </row>
    <row r="2333">
      <c r="A2333" s="43" t="inlineStr">
        <is>
          <t>N51</t>
        </is>
      </c>
      <c r="B2333" s="43" t="inlineStr"/>
      <c r="C2333" s="43" t="inlineStr">
        <is>
          <t>节段10</t>
        </is>
      </c>
      <c r="D2333" s="43" t="inlineStr">
        <is>
          <t>Q355D</t>
        </is>
      </c>
      <c r="E2333" s="43" t="n">
        <v>6051</v>
      </c>
      <c r="F2333" s="43" t="n">
        <v>1200</v>
      </c>
      <c r="G2333" s="43" t="n">
        <v>36</v>
      </c>
      <c r="H2333" s="79">
        <f>(E2333/1000)*(F2333/1000)*(G2333/1000)*7850</f>
        <v/>
      </c>
      <c r="I2333" s="43" t="n">
        <v>1</v>
      </c>
      <c r="J2333" s="80">
        <f>H2333*I2333</f>
        <v/>
      </c>
      <c r="K2333" s="43" t="inlineStr">
        <is>
          <t>来源页179</t>
        </is>
      </c>
      <c r="L2333" s="43">
        <f>A2333</f>
        <v/>
      </c>
      <c r="M2333" s="81" t="n"/>
      <c r="N2333" s="81" t="n"/>
      <c r="O2333" s="81" t="n"/>
      <c r="P2333" s="81" t="n"/>
      <c r="Q2333" s="81" t="n"/>
      <c r="R2333" s="81" t="n"/>
      <c r="S2333" s="81" t="n"/>
      <c r="T2333" s="81" t="n"/>
      <c r="U2333" s="81" t="n"/>
      <c r="V2333" s="81" t="n"/>
      <c r="W2333" s="43" t="n"/>
    </row>
    <row r="2334">
      <c r="A2334" s="43" t="inlineStr">
        <is>
          <t>N51a</t>
        </is>
      </c>
      <c r="B2334" s="43" t="inlineStr"/>
      <c r="C2334" s="43" t="inlineStr">
        <is>
          <t>节段10</t>
        </is>
      </c>
      <c r="D2334" s="43" t="inlineStr">
        <is>
          <t>Q355D</t>
        </is>
      </c>
      <c r="E2334" s="43" t="n">
        <v>6051</v>
      </c>
      <c r="F2334" s="43" t="n">
        <v>1200</v>
      </c>
      <c r="G2334" s="43" t="n">
        <v>36</v>
      </c>
      <c r="H2334" s="79">
        <f>(E2334/1000)*(F2334/1000)*(G2334/1000)*7850</f>
        <v/>
      </c>
      <c r="I2334" s="43" t="n">
        <v>1</v>
      </c>
      <c r="J2334" s="80">
        <f>H2334*I2334</f>
        <v/>
      </c>
      <c r="K2334" s="43" t="inlineStr">
        <is>
          <t>来源页179</t>
        </is>
      </c>
      <c r="L2334" s="43">
        <f>A2334</f>
        <v/>
      </c>
      <c r="M2334" s="81" t="n"/>
      <c r="N2334" s="81" t="n"/>
      <c r="O2334" s="81" t="n"/>
      <c r="P2334" s="81" t="n"/>
      <c r="Q2334" s="81" t="n"/>
      <c r="R2334" s="81" t="n"/>
      <c r="S2334" s="81" t="n"/>
      <c r="T2334" s="81" t="n"/>
      <c r="U2334" s="81" t="n"/>
      <c r="V2334" s="81" t="n"/>
      <c r="W2334" s="43" t="n"/>
    </row>
    <row r="2335">
      <c r="A2335" s="43" t="inlineStr">
        <is>
          <t>N52</t>
        </is>
      </c>
      <c r="B2335" s="43" t="inlineStr"/>
      <c r="C2335" s="43" t="inlineStr">
        <is>
          <t>节段10</t>
        </is>
      </c>
      <c r="D2335" s="43" t="inlineStr">
        <is>
          <t>Q355D</t>
        </is>
      </c>
      <c r="E2335" s="43" t="n">
        <v>3851</v>
      </c>
      <c r="F2335" s="43" t="n">
        <v>1360</v>
      </c>
      <c r="G2335" s="43" t="n">
        <v>36</v>
      </c>
      <c r="H2335" s="79">
        <f>(E2335/1000)*(F2335/1000)*(G2335/1000)*7850</f>
        <v/>
      </c>
      <c r="I2335" s="43" t="n">
        <v>2</v>
      </c>
      <c r="J2335" s="80">
        <f>H2335*I2335</f>
        <v/>
      </c>
      <c r="K2335" s="43" t="inlineStr">
        <is>
          <t>来源页179</t>
        </is>
      </c>
      <c r="L2335" s="43">
        <f>A2335</f>
        <v/>
      </c>
      <c r="M2335" s="81" t="n"/>
      <c r="N2335" s="81" t="n"/>
      <c r="O2335" s="81" t="n"/>
      <c r="P2335" s="81" t="n"/>
      <c r="Q2335" s="81" t="n"/>
      <c r="R2335" s="81" t="n"/>
      <c r="S2335" s="81" t="n"/>
      <c r="T2335" s="81" t="n"/>
      <c r="U2335" s="81" t="n"/>
      <c r="V2335" s="81" t="n"/>
      <c r="W2335" s="43" t="n"/>
    </row>
    <row r="2336">
      <c r="A2336" s="43" t="inlineStr">
        <is>
          <t>N53</t>
        </is>
      </c>
      <c r="B2336" s="43" t="inlineStr"/>
      <c r="C2336" s="43" t="inlineStr">
        <is>
          <t>节段10</t>
        </is>
      </c>
      <c r="D2336" s="43" t="inlineStr">
        <is>
          <t>Q355D</t>
        </is>
      </c>
      <c r="E2336" s="43" t="n">
        <v>3851</v>
      </c>
      <c r="F2336" s="43" t="n">
        <v>320</v>
      </c>
      <c r="G2336" s="43" t="n">
        <v>32</v>
      </c>
      <c r="H2336" s="79">
        <f>(E2336/1000)*(F2336/1000)*(G2336/1000)*7850</f>
        <v/>
      </c>
      <c r="I2336" s="43" t="n">
        <v>2</v>
      </c>
      <c r="J2336" s="80">
        <f>H2336*I2336</f>
        <v/>
      </c>
      <c r="K2336" s="43" t="inlineStr">
        <is>
          <t>来源页179</t>
        </is>
      </c>
      <c r="L2336" s="43">
        <f>A2336</f>
        <v/>
      </c>
      <c r="M2336" s="81" t="n"/>
      <c r="N2336" s="81" t="n"/>
      <c r="O2336" s="81" t="n"/>
      <c r="P2336" s="81" t="n"/>
      <c r="Q2336" s="81" t="n"/>
      <c r="R2336" s="81" t="n"/>
      <c r="S2336" s="81" t="n"/>
      <c r="T2336" s="81" t="n"/>
      <c r="U2336" s="81" t="n"/>
      <c r="V2336" s="81" t="n"/>
      <c r="W2336" s="43" t="n"/>
    </row>
    <row r="2337">
      <c r="A2337" s="43" t="inlineStr">
        <is>
          <t>N53a</t>
        </is>
      </c>
      <c r="B2337" s="43" t="inlineStr"/>
      <c r="C2337" s="43" t="inlineStr">
        <is>
          <t>节段10</t>
        </is>
      </c>
      <c r="D2337" s="43" t="inlineStr">
        <is>
          <t>Q355D</t>
        </is>
      </c>
      <c r="E2337" s="43" t="n">
        <v>4651</v>
      </c>
      <c r="F2337" s="43" t="n">
        <v>320</v>
      </c>
      <c r="G2337" s="43" t="n">
        <v>32</v>
      </c>
      <c r="H2337" s="79">
        <f>(E2337/1000)*(F2337/1000)*(G2337/1000)*7850</f>
        <v/>
      </c>
      <c r="I2337" s="43" t="n">
        <v>1</v>
      </c>
      <c r="J2337" s="80">
        <f>H2337*I2337</f>
        <v/>
      </c>
      <c r="K2337" s="43" t="inlineStr">
        <is>
          <t>来源页179</t>
        </is>
      </c>
      <c r="L2337" s="43">
        <f>A2337</f>
        <v/>
      </c>
      <c r="M2337" s="81" t="n"/>
      <c r="N2337" s="81" t="n"/>
      <c r="O2337" s="81" t="n"/>
      <c r="P2337" s="81" t="n"/>
      <c r="Q2337" s="81" t="n"/>
      <c r="R2337" s="81" t="n"/>
      <c r="S2337" s="81" t="n"/>
      <c r="T2337" s="81" t="n"/>
      <c r="U2337" s="81" t="n"/>
      <c r="V2337" s="81" t="n"/>
      <c r="W2337" s="43" t="n"/>
    </row>
    <row r="2338">
      <c r="A2338" s="43" t="inlineStr">
        <is>
          <t>N53b</t>
        </is>
      </c>
      <c r="B2338" s="43" t="inlineStr"/>
      <c r="C2338" s="43" t="inlineStr">
        <is>
          <t>节段10</t>
        </is>
      </c>
      <c r="D2338" s="43" t="inlineStr">
        <is>
          <t>Q355D</t>
        </is>
      </c>
      <c r="E2338" s="43" t="n">
        <v>4651</v>
      </c>
      <c r="F2338" s="43" t="n">
        <v>320</v>
      </c>
      <c r="G2338" s="43" t="n">
        <v>32</v>
      </c>
      <c r="H2338" s="79">
        <f>(E2338/1000)*(F2338/1000)*(G2338/1000)*7850</f>
        <v/>
      </c>
      <c r="I2338" s="43" t="n">
        <v>1</v>
      </c>
      <c r="J2338" s="80">
        <f>H2338*I2338</f>
        <v/>
      </c>
      <c r="K2338" s="43" t="inlineStr">
        <is>
          <t>来源页179</t>
        </is>
      </c>
      <c r="L2338" s="43">
        <f>A2338</f>
        <v/>
      </c>
      <c r="M2338" s="81" t="n"/>
      <c r="N2338" s="81" t="n"/>
      <c r="O2338" s="81" t="n"/>
      <c r="P2338" s="81" t="n"/>
      <c r="Q2338" s="81" t="n"/>
      <c r="R2338" s="81" t="n"/>
      <c r="S2338" s="81" t="n"/>
      <c r="T2338" s="81" t="n"/>
      <c r="U2338" s="81" t="n"/>
      <c r="V2338" s="81" t="n"/>
      <c r="W2338" s="43" t="n"/>
    </row>
    <row r="2339">
      <c r="A2339" s="43" t="inlineStr">
        <is>
          <t>N54</t>
        </is>
      </c>
      <c r="B2339" s="43" t="inlineStr"/>
      <c r="C2339" s="43" t="inlineStr">
        <is>
          <t>节段10</t>
        </is>
      </c>
      <c r="D2339" s="43" t="inlineStr">
        <is>
          <t>Q355D</t>
        </is>
      </c>
      <c r="E2339" s="43" t="n">
        <v>1200</v>
      </c>
      <c r="F2339" s="43" t="n">
        <v>1200</v>
      </c>
      <c r="G2339" s="43" t="n">
        <v>16</v>
      </c>
      <c r="H2339" s="79">
        <f>(E2339/1000)*(F2339/1000)*(G2339/1000)*7850</f>
        <v/>
      </c>
      <c r="I2339" s="43" t="n">
        <v>2</v>
      </c>
      <c r="J2339" s="80">
        <f>H2339*I2339</f>
        <v/>
      </c>
      <c r="K2339" s="43" t="inlineStr">
        <is>
          <t>来源页179</t>
        </is>
      </c>
      <c r="L2339" s="43">
        <f>A2339</f>
        <v/>
      </c>
      <c r="M2339" s="81" t="n"/>
      <c r="N2339" s="81" t="n"/>
      <c r="O2339" s="81" t="n"/>
      <c r="P2339" s="81" t="n"/>
      <c r="Q2339" s="81" t="n"/>
      <c r="R2339" s="81" t="n"/>
      <c r="S2339" s="81" t="n"/>
      <c r="T2339" s="81" t="n"/>
      <c r="U2339" s="81" t="n"/>
      <c r="V2339" s="81" t="n"/>
      <c r="W2339" s="43" t="n"/>
    </row>
    <row r="2340">
      <c r="A2340" s="43" t="inlineStr">
        <is>
          <t>N55</t>
        </is>
      </c>
      <c r="B2340" s="43" t="inlineStr"/>
      <c r="C2340" s="43" t="inlineStr">
        <is>
          <t>节段10</t>
        </is>
      </c>
      <c r="D2340" s="43" t="inlineStr">
        <is>
          <t>Q355D</t>
        </is>
      </c>
      <c r="E2340" s="43" t="n">
        <v>2300</v>
      </c>
      <c r="F2340" s="43" t="n">
        <v>320</v>
      </c>
      <c r="G2340" s="43" t="n">
        <v>32</v>
      </c>
      <c r="H2340" s="79">
        <f>(E2340/1000)*(F2340/1000)*(G2340/1000)*7850</f>
        <v/>
      </c>
      <c r="I2340" s="43" t="n">
        <v>2</v>
      </c>
      <c r="J2340" s="80">
        <f>H2340*I2340</f>
        <v/>
      </c>
      <c r="K2340" s="43" t="inlineStr">
        <is>
          <t>来源页179</t>
        </is>
      </c>
      <c r="L2340" s="43">
        <f>A2340</f>
        <v/>
      </c>
      <c r="M2340" s="81" t="n"/>
      <c r="N2340" s="81" t="n"/>
      <c r="O2340" s="81" t="n"/>
      <c r="P2340" s="81" t="n"/>
      <c r="Q2340" s="81" t="n"/>
      <c r="R2340" s="81" t="n"/>
      <c r="S2340" s="81" t="n"/>
      <c r="T2340" s="81" t="n"/>
      <c r="U2340" s="81" t="n"/>
      <c r="V2340" s="81" t="n"/>
      <c r="W2340" s="43" t="n"/>
    </row>
    <row r="2341">
      <c r="A2341" s="43" t="inlineStr">
        <is>
          <t>N56</t>
        </is>
      </c>
      <c r="B2341" s="43" t="inlineStr"/>
      <c r="C2341" s="43" t="inlineStr">
        <is>
          <t>节段10</t>
        </is>
      </c>
      <c r="D2341" s="43" t="inlineStr">
        <is>
          <t>Q355D</t>
        </is>
      </c>
      <c r="E2341" s="43" t="n">
        <v>3600</v>
      </c>
      <c r="F2341" s="43" t="n">
        <v>320</v>
      </c>
      <c r="G2341" s="43" t="n">
        <v>32</v>
      </c>
      <c r="H2341" s="79">
        <f>(E2341/1000)*(F2341/1000)*(G2341/1000)*7850</f>
        <v/>
      </c>
      <c r="I2341" s="43" t="n">
        <v>4</v>
      </c>
      <c r="J2341" s="80">
        <f>H2341*I2341</f>
        <v/>
      </c>
      <c r="K2341" s="43" t="inlineStr">
        <is>
          <t>来源页179</t>
        </is>
      </c>
      <c r="L2341" s="43">
        <f>A2341</f>
        <v/>
      </c>
      <c r="M2341" s="81" t="n"/>
      <c r="N2341" s="81" t="n"/>
      <c r="O2341" s="81" t="n"/>
      <c r="P2341" s="81" t="n"/>
      <c r="Q2341" s="81" t="n"/>
      <c r="R2341" s="81" t="n"/>
      <c r="S2341" s="81" t="n"/>
      <c r="T2341" s="81" t="n"/>
      <c r="U2341" s="81" t="n"/>
      <c r="V2341" s="81" t="n"/>
      <c r="W2341" s="43" t="n"/>
    </row>
    <row r="2342">
      <c r="A2342" s="43" t="inlineStr">
        <is>
          <t>N61</t>
        </is>
      </c>
      <c r="B2342" s="43" t="inlineStr"/>
      <c r="C2342" s="43" t="inlineStr">
        <is>
          <t>节段10</t>
        </is>
      </c>
      <c r="D2342" s="43" t="inlineStr">
        <is>
          <t>Q355D</t>
        </is>
      </c>
      <c r="E2342" s="43" t="n">
        <v>1580</v>
      </c>
      <c r="F2342" s="43" t="n">
        <v>610</v>
      </c>
      <c r="G2342" s="43" t="n">
        <v>14</v>
      </c>
      <c r="H2342" s="79">
        <f>(E2342/1000)*(F2342/1000)*(G2342/1000)*7850</f>
        <v/>
      </c>
      <c r="I2342" s="43" t="n">
        <v>3</v>
      </c>
      <c r="J2342" s="80">
        <f>H2342*I2342</f>
        <v/>
      </c>
      <c r="K2342" s="43" t="inlineStr">
        <is>
          <t>来源页179</t>
        </is>
      </c>
      <c r="L2342" s="43">
        <f>A2342</f>
        <v/>
      </c>
      <c r="M2342" s="81" t="n"/>
      <c r="N2342" s="81" t="n"/>
      <c r="O2342" s="81" t="n"/>
      <c r="P2342" s="81" t="n"/>
      <c r="Q2342" s="81" t="n"/>
      <c r="R2342" s="81" t="n"/>
      <c r="S2342" s="81" t="n"/>
      <c r="T2342" s="81" t="n"/>
      <c r="U2342" s="81" t="n"/>
      <c r="V2342" s="81" t="n"/>
      <c r="W2342" s="43" t="n"/>
    </row>
    <row r="2343">
      <c r="A2343" s="43" t="inlineStr">
        <is>
          <t>N61a</t>
        </is>
      </c>
      <c r="B2343" s="43" t="inlineStr"/>
      <c r="C2343" s="43" t="inlineStr">
        <is>
          <t>节段10</t>
        </is>
      </c>
      <c r="D2343" s="43" t="inlineStr">
        <is>
          <t>Q355D</t>
        </is>
      </c>
      <c r="E2343" s="43" t="n">
        <v>1580</v>
      </c>
      <c r="F2343" s="43" t="n">
        <v>622</v>
      </c>
      <c r="G2343" s="43" t="n">
        <v>14</v>
      </c>
      <c r="H2343" s="79">
        <f>(E2343/1000)*(F2343/1000)*(G2343/1000)*7850</f>
        <v/>
      </c>
      <c r="I2343" s="43" t="n">
        <v>2</v>
      </c>
      <c r="J2343" s="80">
        <f>H2343*I2343</f>
        <v/>
      </c>
      <c r="K2343" s="43" t="inlineStr">
        <is>
          <t>来源页179</t>
        </is>
      </c>
      <c r="L2343" s="43">
        <f>A2343</f>
        <v/>
      </c>
      <c r="M2343" s="81" t="n"/>
      <c r="N2343" s="81" t="n"/>
      <c r="O2343" s="81" t="n"/>
      <c r="P2343" s="81" t="n"/>
      <c r="Q2343" s="81" t="n"/>
      <c r="R2343" s="81" t="n"/>
      <c r="S2343" s="81" t="n"/>
      <c r="T2343" s="81" t="n"/>
      <c r="U2343" s="81" t="n"/>
      <c r="V2343" s="81" t="n"/>
      <c r="W2343" s="43" t="n"/>
    </row>
    <row r="2344">
      <c r="A2344" s="43" t="inlineStr">
        <is>
          <t>N62</t>
        </is>
      </c>
      <c r="B2344" s="43" t="inlineStr"/>
      <c r="C2344" s="43" t="inlineStr">
        <is>
          <t>节段10</t>
        </is>
      </c>
      <c r="D2344" s="43" t="inlineStr">
        <is>
          <t>Q355D</t>
        </is>
      </c>
      <c r="E2344" s="43" t="n"/>
      <c r="F2344" s="43" t="n"/>
      <c r="G2344" s="43" t="n">
        <v>24</v>
      </c>
      <c r="H2344" s="79">
        <f>(E2344/1000)*(F2344/1000)*(G2344/1000)*7850</f>
        <v/>
      </c>
      <c r="I2344" s="43" t="n">
        <v>3</v>
      </c>
      <c r="J2344" s="80">
        <f>H2344*I2344</f>
        <v/>
      </c>
      <c r="K2344" s="43" t="inlineStr">
        <is>
          <t>来源页179</t>
        </is>
      </c>
      <c r="L2344" s="43">
        <f>A2344</f>
        <v/>
      </c>
      <c r="M2344" s="81" t="n"/>
      <c r="N2344" s="81" t="n"/>
      <c r="O2344" s="81" t="n"/>
      <c r="P2344" s="81" t="n"/>
      <c r="Q2344" s="81" t="n"/>
      <c r="R2344" s="81" t="n"/>
      <c r="S2344" s="81" t="n"/>
      <c r="T2344" s="81" t="n"/>
      <c r="U2344" s="81" t="n"/>
      <c r="V2344" s="81" t="n"/>
      <c r="W2344" s="43" t="n"/>
    </row>
    <row r="2345">
      <c r="A2345" s="43" t="inlineStr">
        <is>
          <t>N62a</t>
        </is>
      </c>
      <c r="B2345" s="43" t="inlineStr"/>
      <c r="C2345" s="43" t="inlineStr">
        <is>
          <t>节段10</t>
        </is>
      </c>
      <c r="D2345" s="43" t="inlineStr">
        <is>
          <t>Q355D</t>
        </is>
      </c>
      <c r="E2345" s="43" t="n"/>
      <c r="F2345" s="43" t="n"/>
      <c r="G2345" s="43" t="n">
        <v>24</v>
      </c>
      <c r="H2345" s="79">
        <f>(E2345/1000)*(F2345/1000)*(G2345/1000)*7850</f>
        <v/>
      </c>
      <c r="I2345" s="43" t="n">
        <v>2</v>
      </c>
      <c r="J2345" s="80">
        <f>H2345*I2345</f>
        <v/>
      </c>
      <c r="K2345" s="43" t="inlineStr">
        <is>
          <t>来源页179</t>
        </is>
      </c>
      <c r="L2345" s="43">
        <f>A2345</f>
        <v/>
      </c>
      <c r="M2345" s="81" t="n"/>
      <c r="N2345" s="81" t="n"/>
      <c r="O2345" s="81" t="n"/>
      <c r="P2345" s="81" t="n"/>
      <c r="Q2345" s="81" t="n"/>
      <c r="R2345" s="81" t="n"/>
      <c r="S2345" s="81" t="n"/>
      <c r="T2345" s="81" t="n"/>
      <c r="U2345" s="81" t="n"/>
      <c r="V2345" s="81" t="n"/>
      <c r="W2345" s="43" t="n"/>
    </row>
    <row r="2346">
      <c r="A2346" s="43" t="inlineStr">
        <is>
          <t>N63</t>
        </is>
      </c>
      <c r="B2346" s="43" t="inlineStr"/>
      <c r="C2346" s="43" t="inlineStr">
        <is>
          <t>节段10</t>
        </is>
      </c>
      <c r="D2346" s="43" t="inlineStr">
        <is>
          <t>Q355D</t>
        </is>
      </c>
      <c r="E2346" s="43" t="n">
        <v>1450</v>
      </c>
      <c r="F2346" s="43" t="n">
        <v>606</v>
      </c>
      <c r="G2346" s="43" t="n">
        <v>14</v>
      </c>
      <c r="H2346" s="79">
        <f>(E2346/1000)*(F2346/1000)*(G2346/1000)*7850</f>
        <v/>
      </c>
      <c r="I2346" s="43" t="n">
        <v>3</v>
      </c>
      <c r="J2346" s="80">
        <f>H2346*I2346</f>
        <v/>
      </c>
      <c r="K2346" s="43" t="inlineStr">
        <is>
          <t>来源页179</t>
        </is>
      </c>
      <c r="L2346" s="43">
        <f>A2346</f>
        <v/>
      </c>
      <c r="M2346" s="81" t="n"/>
      <c r="N2346" s="81" t="n"/>
      <c r="O2346" s="81" t="n"/>
      <c r="P2346" s="81" t="n"/>
      <c r="Q2346" s="81" t="n"/>
      <c r="R2346" s="81" t="n"/>
      <c r="S2346" s="81" t="n"/>
      <c r="T2346" s="81" t="n"/>
      <c r="U2346" s="81" t="n"/>
      <c r="V2346" s="81" t="n"/>
      <c r="W2346" s="43" t="n"/>
    </row>
    <row r="2347">
      <c r="A2347" s="43" t="inlineStr">
        <is>
          <t>N63a</t>
        </is>
      </c>
      <c r="B2347" s="43" t="inlineStr"/>
      <c r="C2347" s="43" t="inlineStr">
        <is>
          <t>节段10</t>
        </is>
      </c>
      <c r="D2347" s="43" t="inlineStr">
        <is>
          <t>Q355D</t>
        </is>
      </c>
      <c r="E2347" s="43" t="n">
        <v>1450</v>
      </c>
      <c r="F2347" s="43" t="n">
        <v>618</v>
      </c>
      <c r="G2347" s="43" t="n">
        <v>14</v>
      </c>
      <c r="H2347" s="79">
        <f>(E2347/1000)*(F2347/1000)*(G2347/1000)*7850</f>
        <v/>
      </c>
      <c r="I2347" s="43" t="n">
        <v>2</v>
      </c>
      <c r="J2347" s="80">
        <f>H2347*I2347</f>
        <v/>
      </c>
      <c r="K2347" s="43" t="inlineStr">
        <is>
          <t>来源页179</t>
        </is>
      </c>
      <c r="L2347" s="43">
        <f>A2347</f>
        <v/>
      </c>
      <c r="M2347" s="81" t="n"/>
      <c r="N2347" s="81" t="n"/>
      <c r="O2347" s="81" t="n"/>
      <c r="P2347" s="81" t="n"/>
      <c r="Q2347" s="81" t="n"/>
      <c r="R2347" s="81" t="n"/>
      <c r="S2347" s="81" t="n"/>
      <c r="T2347" s="81" t="n"/>
      <c r="U2347" s="81" t="n"/>
      <c r="V2347" s="81" t="n"/>
      <c r="W2347" s="43" t="n"/>
    </row>
    <row r="2348">
      <c r="A2348" s="43" t="inlineStr">
        <is>
          <t>P1</t>
        </is>
      </c>
      <c r="B2348" s="43" t="inlineStr"/>
      <c r="C2348" s="43" t="inlineStr">
        <is>
          <t>节段10~节段11</t>
        </is>
      </c>
      <c r="D2348" s="43" t="inlineStr">
        <is>
          <t>Q355D</t>
        </is>
      </c>
      <c r="E2348" s="43" t="n">
        <v>1020</v>
      </c>
      <c r="F2348" s="43" t="n">
        <v>1400</v>
      </c>
      <c r="G2348" s="43" t="n">
        <v>24</v>
      </c>
      <c r="H2348" s="79">
        <f>(E2348/1000)*(F2348/1000)*(G2348/1000)*7850</f>
        <v/>
      </c>
      <c r="I2348" s="43" t="n">
        <v>2</v>
      </c>
      <c r="J2348" s="80">
        <f>H2348*I2348</f>
        <v/>
      </c>
      <c r="K2348" s="43" t="inlineStr">
        <is>
          <t>来源页182</t>
        </is>
      </c>
      <c r="L2348" s="43">
        <f>A2348</f>
        <v/>
      </c>
      <c r="M2348" s="81" t="n"/>
      <c r="N2348" s="81" t="n"/>
      <c r="O2348" s="81" t="n"/>
      <c r="P2348" s="81" t="n"/>
      <c r="Q2348" s="81" t="n"/>
      <c r="R2348" s="81" t="n"/>
      <c r="S2348" s="81" t="n"/>
      <c r="T2348" s="81" t="n"/>
      <c r="U2348" s="81" t="n"/>
      <c r="V2348" s="81" t="n"/>
      <c r="W2348" s="43" t="n"/>
    </row>
    <row r="2349">
      <c r="A2349" s="43" t="inlineStr">
        <is>
          <t>P2</t>
        </is>
      </c>
      <c r="B2349" s="43" t="inlineStr"/>
      <c r="C2349" s="43" t="inlineStr">
        <is>
          <t>节段10~节段11</t>
        </is>
      </c>
      <c r="D2349" s="43" t="inlineStr">
        <is>
          <t>Q355D</t>
        </is>
      </c>
      <c r="E2349" s="43" t="n">
        <v>1020</v>
      </c>
      <c r="F2349" s="43" t="n">
        <v>300</v>
      </c>
      <c r="G2349" s="43" t="n">
        <v>24</v>
      </c>
      <c r="H2349" s="79">
        <f>(E2349/1000)*(F2349/1000)*(G2349/1000)*7850</f>
        <v/>
      </c>
      <c r="I2349" s="43" t="n">
        <v>2</v>
      </c>
      <c r="J2349" s="80">
        <f>H2349*I2349</f>
        <v/>
      </c>
      <c r="K2349" s="43" t="inlineStr">
        <is>
          <t>来源页182</t>
        </is>
      </c>
      <c r="L2349" s="43">
        <f>A2349</f>
        <v/>
      </c>
      <c r="M2349" s="81" t="n"/>
      <c r="N2349" s="81" t="n"/>
      <c r="O2349" s="81" t="n"/>
      <c r="P2349" s="81" t="n"/>
      <c r="Q2349" s="81" t="n"/>
      <c r="R2349" s="81" t="n"/>
      <c r="S2349" s="81" t="n"/>
      <c r="T2349" s="81" t="n"/>
      <c r="U2349" s="81" t="n"/>
      <c r="V2349" s="81" t="n"/>
      <c r="W2349" s="43" t="n"/>
    </row>
    <row r="2350">
      <c r="A2350" s="43" t="inlineStr">
        <is>
          <t>P3</t>
        </is>
      </c>
      <c r="B2350" s="43" t="inlineStr"/>
      <c r="C2350" s="43" t="inlineStr">
        <is>
          <t>节段10~节段11</t>
        </is>
      </c>
      <c r="D2350" s="43" t="inlineStr">
        <is>
          <t>Q355D</t>
        </is>
      </c>
      <c r="E2350" s="43" t="n">
        <v>1020</v>
      </c>
      <c r="F2350" s="43" t="n">
        <v>500</v>
      </c>
      <c r="G2350" s="43" t="n">
        <v>24</v>
      </c>
      <c r="H2350" s="79">
        <f>(E2350/1000)*(F2350/1000)*(G2350/1000)*7850</f>
        <v/>
      </c>
      <c r="I2350" s="43" t="n">
        <v>2</v>
      </c>
      <c r="J2350" s="80">
        <f>H2350*I2350</f>
        <v/>
      </c>
      <c r="K2350" s="43" t="inlineStr">
        <is>
          <t>来源页182</t>
        </is>
      </c>
      <c r="L2350" s="43">
        <f>A2350</f>
        <v/>
      </c>
      <c r="M2350" s="81" t="n"/>
      <c r="N2350" s="81" t="n"/>
      <c r="O2350" s="81" t="n"/>
      <c r="P2350" s="81" t="n"/>
      <c r="Q2350" s="81" t="n"/>
      <c r="R2350" s="81" t="n"/>
      <c r="S2350" s="81" t="n"/>
      <c r="T2350" s="81" t="n"/>
      <c r="U2350" s="81" t="n"/>
      <c r="V2350" s="81" t="n"/>
      <c r="W2350" s="43" t="n"/>
    </row>
    <row r="2351">
      <c r="A2351" s="43" t="inlineStr">
        <is>
          <t>P4</t>
        </is>
      </c>
      <c r="B2351" s="43" t="inlineStr"/>
      <c r="C2351" s="43" t="inlineStr">
        <is>
          <t>节段10~节段11</t>
        </is>
      </c>
      <c r="D2351" s="43" t="inlineStr">
        <is>
          <t>Q355D</t>
        </is>
      </c>
      <c r="E2351" s="43" t="n">
        <v>1020</v>
      </c>
      <c r="F2351" s="43" t="n">
        <v>400</v>
      </c>
      <c r="G2351" s="43" t="n">
        <v>24</v>
      </c>
      <c r="H2351" s="79">
        <f>(E2351/1000)*(F2351/1000)*(G2351/1000)*7850</f>
        <v/>
      </c>
      <c r="I2351" s="43" t="n">
        <v>2</v>
      </c>
      <c r="J2351" s="80">
        <f>H2351*I2351</f>
        <v/>
      </c>
      <c r="K2351" s="43" t="inlineStr">
        <is>
          <t>来源页182</t>
        </is>
      </c>
      <c r="L2351" s="43">
        <f>A2351</f>
        <v/>
      </c>
      <c r="M2351" s="81" t="n"/>
      <c r="N2351" s="81" t="n"/>
      <c r="O2351" s="81" t="n"/>
      <c r="P2351" s="81" t="n"/>
      <c r="Q2351" s="81" t="n"/>
      <c r="R2351" s="81" t="n"/>
      <c r="S2351" s="81" t="n"/>
      <c r="T2351" s="81" t="n"/>
      <c r="U2351" s="81" t="n"/>
      <c r="V2351" s="81" t="n"/>
      <c r="W2351" s="43" t="n"/>
    </row>
    <row r="2352">
      <c r="A2352" s="43" t="inlineStr">
        <is>
          <t>P5</t>
        </is>
      </c>
      <c r="B2352" s="43" t="inlineStr"/>
      <c r="C2352" s="43" t="inlineStr">
        <is>
          <t>节段10~节段11</t>
        </is>
      </c>
      <c r="D2352" s="43" t="inlineStr">
        <is>
          <t>Q355D</t>
        </is>
      </c>
      <c r="E2352" s="43" t="n">
        <v>1420</v>
      </c>
      <c r="F2352" s="43" t="n">
        <v>1100</v>
      </c>
      <c r="G2352" s="43" t="n">
        <v>28</v>
      </c>
      <c r="H2352" s="79">
        <f>(E2352/1000)*(F2352/1000)*(G2352/1000)*7850</f>
        <v/>
      </c>
      <c r="I2352" s="43" t="n">
        <v>1</v>
      </c>
      <c r="J2352" s="80">
        <f>H2352*I2352</f>
        <v/>
      </c>
      <c r="K2352" s="43" t="inlineStr">
        <is>
          <t>来源页182</t>
        </is>
      </c>
      <c r="L2352" s="43">
        <f>A2352</f>
        <v/>
      </c>
      <c r="M2352" s="81" t="n"/>
      <c r="N2352" s="81" t="n"/>
      <c r="O2352" s="81" t="n"/>
      <c r="P2352" s="81" t="n"/>
      <c r="Q2352" s="81" t="n"/>
      <c r="R2352" s="81" t="n"/>
      <c r="S2352" s="81" t="n"/>
      <c r="T2352" s="81" t="n"/>
      <c r="U2352" s="81" t="n"/>
      <c r="V2352" s="81" t="n"/>
      <c r="W2352" s="43" t="n"/>
    </row>
    <row r="2353">
      <c r="A2353" s="43" t="inlineStr">
        <is>
          <t>P6</t>
        </is>
      </c>
      <c r="B2353" s="43" t="inlineStr"/>
      <c r="C2353" s="43" t="inlineStr">
        <is>
          <t>节段10~节段11</t>
        </is>
      </c>
      <c r="D2353" s="43" t="inlineStr">
        <is>
          <t>Q355D</t>
        </is>
      </c>
      <c r="E2353" s="43" t="n">
        <v>1420</v>
      </c>
      <c r="F2353" s="43" t="n">
        <v>400</v>
      </c>
      <c r="G2353" s="43" t="n">
        <v>28</v>
      </c>
      <c r="H2353" s="79">
        <f>(E2353/1000)*(F2353/1000)*(G2353/1000)*7850</f>
        <v/>
      </c>
      <c r="I2353" s="43" t="n">
        <v>2</v>
      </c>
      <c r="J2353" s="80">
        <f>H2353*I2353</f>
        <v/>
      </c>
      <c r="K2353" s="43" t="inlineStr">
        <is>
          <t>来源页182</t>
        </is>
      </c>
      <c r="L2353" s="43">
        <f>A2353</f>
        <v/>
      </c>
      <c r="M2353" s="81" t="n"/>
      <c r="N2353" s="81" t="n"/>
      <c r="O2353" s="81" t="n"/>
      <c r="P2353" s="81" t="n"/>
      <c r="Q2353" s="81" t="n"/>
      <c r="R2353" s="81" t="n"/>
      <c r="S2353" s="81" t="n"/>
      <c r="T2353" s="81" t="n"/>
      <c r="U2353" s="81" t="n"/>
      <c r="V2353" s="81" t="n"/>
      <c r="W2353" s="43" t="n"/>
    </row>
    <row r="2354">
      <c r="A2354" s="43" t="inlineStr">
        <is>
          <t>P7</t>
        </is>
      </c>
      <c r="B2354" s="43" t="inlineStr"/>
      <c r="C2354" s="43" t="inlineStr">
        <is>
          <t>节段10~节段11</t>
        </is>
      </c>
      <c r="D2354" s="43" t="inlineStr">
        <is>
          <t>Q355D</t>
        </is>
      </c>
      <c r="E2354" s="43" t="n">
        <v>920</v>
      </c>
      <c r="F2354" s="43" t="n">
        <v>200</v>
      </c>
      <c r="G2354" s="43" t="n">
        <v>20</v>
      </c>
      <c r="H2354" s="79">
        <f>(E2354/1000)*(F2354/1000)*(G2354/1000)*7850</f>
        <v/>
      </c>
      <c r="I2354" s="43" t="n">
        <v>10</v>
      </c>
      <c r="J2354" s="80">
        <f>H2354*I2354</f>
        <v/>
      </c>
      <c r="K2354" s="43" t="inlineStr">
        <is>
          <t>来源页182</t>
        </is>
      </c>
      <c r="L2354" s="43">
        <f>A2354</f>
        <v/>
      </c>
      <c r="M2354" s="81" t="n"/>
      <c r="N2354" s="81" t="n"/>
      <c r="O2354" s="81" t="n"/>
      <c r="P2354" s="81" t="n"/>
      <c r="Q2354" s="81" t="n"/>
      <c r="R2354" s="81" t="n"/>
      <c r="S2354" s="81" t="n"/>
      <c r="T2354" s="81" t="n"/>
      <c r="U2354" s="81" t="n"/>
      <c r="V2354" s="81" t="n"/>
      <c r="W2354" s="43" t="n"/>
    </row>
    <row r="2355">
      <c r="A2355" s="43" t="inlineStr">
        <is>
          <t>P8</t>
        </is>
      </c>
      <c r="B2355" s="43" t="inlineStr"/>
      <c r="C2355" s="43" t="inlineStr">
        <is>
          <t>节段10~节段11</t>
        </is>
      </c>
      <c r="D2355" s="43" t="inlineStr">
        <is>
          <t>Q355D</t>
        </is>
      </c>
      <c r="E2355" s="43" t="n">
        <v>600</v>
      </c>
      <c r="F2355" s="43" t="n">
        <v>1800</v>
      </c>
      <c r="G2355" s="43" t="n">
        <v>12</v>
      </c>
      <c r="H2355" s="79">
        <f>(E2355/1000)*(F2355/1000)*(G2355/1000)*7850</f>
        <v/>
      </c>
      <c r="I2355" s="43" t="n">
        <v>2</v>
      </c>
      <c r="J2355" s="80">
        <f>H2355*I2355</f>
        <v/>
      </c>
      <c r="K2355" s="43" t="inlineStr">
        <is>
          <t>填板；来源页182</t>
        </is>
      </c>
      <c r="L2355" s="43">
        <f>A2355</f>
        <v/>
      </c>
      <c r="M2355" s="81" t="n"/>
      <c r="N2355" s="81" t="n"/>
      <c r="O2355" s="81" t="n"/>
      <c r="P2355" s="81" t="n"/>
      <c r="Q2355" s="81" t="n"/>
      <c r="R2355" s="81" t="n"/>
      <c r="S2355" s="81" t="n"/>
      <c r="T2355" s="81" t="n"/>
      <c r="U2355" s="81" t="n"/>
      <c r="V2355" s="81" t="n"/>
      <c r="W2355" s="43" t="n"/>
    </row>
    <row r="2356">
      <c r="A2356" s="43" t="inlineStr">
        <is>
          <t>P9</t>
        </is>
      </c>
      <c r="B2356" s="43" t="inlineStr"/>
      <c r="C2356" s="43" t="inlineStr">
        <is>
          <t>节段10~节段11</t>
        </is>
      </c>
      <c r="D2356" s="43" t="inlineStr">
        <is>
          <t>Q355D</t>
        </is>
      </c>
      <c r="E2356" s="43" t="n">
        <v>700</v>
      </c>
      <c r="F2356" s="43" t="n">
        <v>1100</v>
      </c>
      <c r="G2356" s="43" t="n">
        <v>4</v>
      </c>
      <c r="H2356" s="79">
        <f>(E2356/1000)*(F2356/1000)*(G2356/1000)*7850</f>
        <v/>
      </c>
      <c r="I2356" s="43" t="n">
        <v>1</v>
      </c>
      <c r="J2356" s="80">
        <f>H2356*I2356</f>
        <v/>
      </c>
      <c r="K2356" s="43" t="inlineStr">
        <is>
          <t>填板；来源页182</t>
        </is>
      </c>
      <c r="L2356" s="43">
        <f>A2356</f>
        <v/>
      </c>
      <c r="M2356" s="81" t="n"/>
      <c r="N2356" s="81" t="n"/>
      <c r="O2356" s="81" t="n"/>
      <c r="P2356" s="81" t="n"/>
      <c r="Q2356" s="81" t="n"/>
      <c r="R2356" s="81" t="n"/>
      <c r="S2356" s="81" t="n"/>
      <c r="T2356" s="81" t="n"/>
      <c r="U2356" s="81" t="n"/>
      <c r="V2356" s="81" t="n"/>
      <c r="W2356" s="43" t="n"/>
    </row>
    <row r="2357">
      <c r="A2357" s="43" t="inlineStr">
        <is>
          <t>M30高强螺栓</t>
        </is>
      </c>
      <c r="B2357" s="43" t="inlineStr"/>
      <c r="C2357" s="43" t="inlineStr">
        <is>
          <t>节段10~节段11</t>
        </is>
      </c>
      <c r="D2357" s="43" t="inlineStr">
        <is>
          <t>10.9S</t>
        </is>
      </c>
      <c r="E2357" s="43" t="n"/>
      <c r="F2357" s="43" t="n"/>
      <c r="G2357" s="43" t="n"/>
      <c r="H2357" s="79">
        <f>(E2357/1000)*(F2357/1000)*(G2357/1000)*7850</f>
        <v/>
      </c>
      <c r="I2357" s="43" t="n">
        <v>380</v>
      </c>
      <c r="J2357" s="80">
        <f>H2357*I2357</f>
        <v/>
      </c>
      <c r="K2357" s="43" t="inlineStr">
        <is>
          <t>来源页182</t>
        </is>
      </c>
      <c r="L2357" s="43">
        <f>A2357</f>
        <v/>
      </c>
      <c r="M2357" s="81" t="n"/>
      <c r="N2357" s="81" t="n"/>
      <c r="O2357" s="81" t="n"/>
      <c r="P2357" s="81" t="n"/>
      <c r="Q2357" s="81" t="n"/>
      <c r="R2357" s="81" t="n"/>
      <c r="S2357" s="81" t="n"/>
      <c r="T2357" s="81" t="n"/>
      <c r="U2357" s="81" t="n"/>
      <c r="V2357" s="81" t="n"/>
      <c r="W2357" s="43" t="n"/>
    </row>
    <row r="2358">
      <c r="A2358" s="43" t="inlineStr">
        <is>
          <t>K1</t>
        </is>
      </c>
      <c r="B2358" s="43" t="inlineStr"/>
      <c r="C2358" s="43" t="inlineStr">
        <is>
          <t>节段10~节段11</t>
        </is>
      </c>
      <c r="D2358" s="43" t="inlineStr">
        <is>
          <t>Q355D</t>
        </is>
      </c>
      <c r="E2358" s="43" t="n">
        <v>1020</v>
      </c>
      <c r="F2358" s="43" t="n">
        <v>1300</v>
      </c>
      <c r="G2358" s="43" t="n">
        <v>24</v>
      </c>
      <c r="H2358" s="79">
        <f>(E2358/1000)*(F2358/1000)*(G2358/1000)*7850</f>
        <v/>
      </c>
      <c r="I2358" s="43" t="n">
        <v>2</v>
      </c>
      <c r="J2358" s="80">
        <f>H2358*I2358</f>
        <v/>
      </c>
      <c r="K2358" s="43" t="inlineStr">
        <is>
          <t>来源页182</t>
        </is>
      </c>
      <c r="L2358" s="43">
        <f>A2358</f>
        <v/>
      </c>
      <c r="M2358" s="81" t="n"/>
      <c r="N2358" s="81" t="n"/>
      <c r="O2358" s="81" t="n"/>
      <c r="P2358" s="81" t="n"/>
      <c r="Q2358" s="81" t="n"/>
      <c r="R2358" s="81" t="n"/>
      <c r="S2358" s="81" t="n"/>
      <c r="T2358" s="81" t="n"/>
      <c r="U2358" s="81" t="n"/>
      <c r="V2358" s="81" t="n"/>
      <c r="W2358" s="43" t="n"/>
    </row>
    <row r="2359">
      <c r="A2359" s="43" t="inlineStr">
        <is>
          <t>K2</t>
        </is>
      </c>
      <c r="B2359" s="43" t="inlineStr"/>
      <c r="C2359" s="43" t="inlineStr">
        <is>
          <t>节段10~节段11</t>
        </is>
      </c>
      <c r="D2359" s="43" t="inlineStr">
        <is>
          <t>Q355D</t>
        </is>
      </c>
      <c r="E2359" s="43" t="n">
        <v>1020</v>
      </c>
      <c r="F2359" s="43" t="n">
        <v>600</v>
      </c>
      <c r="G2359" s="43" t="n">
        <v>24</v>
      </c>
      <c r="H2359" s="79">
        <f>(E2359/1000)*(F2359/1000)*(G2359/1000)*7850</f>
        <v/>
      </c>
      <c r="I2359" s="43" t="n">
        <v>4</v>
      </c>
      <c r="J2359" s="80">
        <f>H2359*I2359</f>
        <v/>
      </c>
      <c r="K2359" s="43" t="inlineStr">
        <is>
          <t>来源页182</t>
        </is>
      </c>
      <c r="L2359" s="43">
        <f>A2359</f>
        <v/>
      </c>
      <c r="M2359" s="81" t="n"/>
      <c r="N2359" s="81" t="n"/>
      <c r="O2359" s="81" t="n"/>
      <c r="P2359" s="81" t="n"/>
      <c r="Q2359" s="81" t="n"/>
      <c r="R2359" s="81" t="n"/>
      <c r="S2359" s="81" t="n"/>
      <c r="T2359" s="81" t="n"/>
      <c r="U2359" s="81" t="n"/>
      <c r="V2359" s="81" t="n"/>
      <c r="W2359" s="43" t="n"/>
    </row>
    <row r="2360">
      <c r="A2360" s="43" t="inlineStr">
        <is>
          <t>K3</t>
        </is>
      </c>
      <c r="B2360" s="43" t="inlineStr"/>
      <c r="C2360" s="43" t="inlineStr">
        <is>
          <t>节段10~节段11</t>
        </is>
      </c>
      <c r="D2360" s="43" t="inlineStr">
        <is>
          <t>Q355D</t>
        </is>
      </c>
      <c r="E2360" s="43" t="n">
        <v>1320</v>
      </c>
      <c r="F2360" s="43" t="n">
        <v>1100</v>
      </c>
      <c r="G2360" s="43" t="n">
        <v>36</v>
      </c>
      <c r="H2360" s="79">
        <f>(E2360/1000)*(F2360/1000)*(G2360/1000)*7850</f>
        <v/>
      </c>
      <c r="I2360" s="43" t="n">
        <v>1</v>
      </c>
      <c r="J2360" s="80">
        <f>H2360*I2360</f>
        <v/>
      </c>
      <c r="K2360" s="43" t="inlineStr">
        <is>
          <t>来源页182</t>
        </is>
      </c>
      <c r="L2360" s="43">
        <f>A2360</f>
        <v/>
      </c>
      <c r="M2360" s="81" t="n"/>
      <c r="N2360" s="81" t="n"/>
      <c r="O2360" s="81" t="n"/>
      <c r="P2360" s="81" t="n"/>
      <c r="Q2360" s="81" t="n"/>
      <c r="R2360" s="81" t="n"/>
      <c r="S2360" s="81" t="n"/>
      <c r="T2360" s="81" t="n"/>
      <c r="U2360" s="81" t="n"/>
      <c r="V2360" s="81" t="n"/>
      <c r="W2360" s="43" t="n"/>
    </row>
    <row r="2361">
      <c r="A2361" s="43" t="inlineStr">
        <is>
          <t>K4</t>
        </is>
      </c>
      <c r="B2361" s="43" t="inlineStr"/>
      <c r="C2361" s="43" t="inlineStr">
        <is>
          <t>节段10~节段11</t>
        </is>
      </c>
      <c r="D2361" s="43" t="inlineStr">
        <is>
          <t>Q355D</t>
        </is>
      </c>
      <c r="E2361" s="43" t="n">
        <v>1320</v>
      </c>
      <c r="F2361" s="43" t="n">
        <v>400</v>
      </c>
      <c r="G2361" s="43" t="n">
        <v>36</v>
      </c>
      <c r="H2361" s="79">
        <f>(E2361/1000)*(F2361/1000)*(G2361/1000)*7850</f>
        <v/>
      </c>
      <c r="I2361" s="43" t="n">
        <v>2</v>
      </c>
      <c r="J2361" s="80">
        <f>H2361*I2361</f>
        <v/>
      </c>
      <c r="K2361" s="43" t="inlineStr">
        <is>
          <t>来源页182</t>
        </is>
      </c>
      <c r="L2361" s="43">
        <f>A2361</f>
        <v/>
      </c>
      <c r="M2361" s="81" t="n"/>
      <c r="N2361" s="81" t="n"/>
      <c r="O2361" s="81" t="n"/>
      <c r="P2361" s="81" t="n"/>
      <c r="Q2361" s="81" t="n"/>
      <c r="R2361" s="81" t="n"/>
      <c r="S2361" s="81" t="n"/>
      <c r="T2361" s="81" t="n"/>
      <c r="U2361" s="81" t="n"/>
      <c r="V2361" s="81" t="n"/>
      <c r="W2361" s="43" t="n"/>
    </row>
    <row r="2362">
      <c r="A2362" s="43" t="inlineStr">
        <is>
          <t>K5</t>
        </is>
      </c>
      <c r="B2362" s="43" t="inlineStr"/>
      <c r="C2362" s="43" t="inlineStr">
        <is>
          <t>节段10~节段11</t>
        </is>
      </c>
      <c r="D2362" s="43" t="inlineStr">
        <is>
          <t>Q355D</t>
        </is>
      </c>
      <c r="E2362" s="43" t="n">
        <v>920</v>
      </c>
      <c r="F2362" s="43" t="n">
        <v>200</v>
      </c>
      <c r="G2362" s="43" t="n">
        <v>20</v>
      </c>
      <c r="H2362" s="79">
        <f>(E2362/1000)*(F2362/1000)*(G2362/1000)*7850</f>
        <v/>
      </c>
      <c r="I2362" s="43" t="n">
        <v>6</v>
      </c>
      <c r="J2362" s="80">
        <f>H2362*I2362</f>
        <v/>
      </c>
      <c r="K2362" s="43" t="inlineStr">
        <is>
          <t>来源页182</t>
        </is>
      </c>
      <c r="L2362" s="43">
        <f>A2362</f>
        <v/>
      </c>
      <c r="M2362" s="81" t="n"/>
      <c r="N2362" s="81" t="n"/>
      <c r="O2362" s="81" t="n"/>
      <c r="P2362" s="81" t="n"/>
      <c r="Q2362" s="81" t="n"/>
      <c r="R2362" s="81" t="n"/>
      <c r="S2362" s="81" t="n"/>
      <c r="T2362" s="81" t="n"/>
      <c r="U2362" s="81" t="n"/>
      <c r="V2362" s="81" t="n"/>
      <c r="W2362" s="43" t="n"/>
    </row>
    <row r="2363">
      <c r="A2363" s="43" t="inlineStr">
        <is>
          <t>K6</t>
        </is>
      </c>
      <c r="B2363" s="43" t="inlineStr"/>
      <c r="C2363" s="43" t="inlineStr">
        <is>
          <t>节段10~节段11</t>
        </is>
      </c>
      <c r="D2363" s="43" t="inlineStr">
        <is>
          <t>Q355D</t>
        </is>
      </c>
      <c r="E2363" s="43" t="n">
        <v>500</v>
      </c>
      <c r="F2363" s="43" t="n">
        <v>1700</v>
      </c>
      <c r="G2363" s="43" t="n">
        <v>8</v>
      </c>
      <c r="H2363" s="79">
        <f>(E2363/1000)*(F2363/1000)*(G2363/1000)*7850</f>
        <v/>
      </c>
      <c r="I2363" s="43" t="n">
        <v>2</v>
      </c>
      <c r="J2363" s="80">
        <f>H2363*I2363</f>
        <v/>
      </c>
      <c r="K2363" s="43" t="inlineStr">
        <is>
          <t>填板；来源页182</t>
        </is>
      </c>
      <c r="L2363" s="43">
        <f>A2363</f>
        <v/>
      </c>
      <c r="M2363" s="81" t="n"/>
      <c r="N2363" s="81" t="n"/>
      <c r="O2363" s="81" t="n"/>
      <c r="P2363" s="81" t="n"/>
      <c r="Q2363" s="81" t="n"/>
      <c r="R2363" s="81" t="n"/>
      <c r="S2363" s="81" t="n"/>
      <c r="T2363" s="81" t="n"/>
      <c r="U2363" s="81" t="n"/>
      <c r="V2363" s="81" t="n"/>
      <c r="W2363" s="43" t="n"/>
    </row>
    <row r="2364">
      <c r="A2364" s="43" t="inlineStr">
        <is>
          <t>K7</t>
        </is>
      </c>
      <c r="B2364" s="43" t="inlineStr"/>
      <c r="C2364" s="43" t="inlineStr">
        <is>
          <t>节段10~节段11</t>
        </is>
      </c>
      <c r="D2364" s="43" t="inlineStr">
        <is>
          <t>Q355D</t>
        </is>
      </c>
      <c r="E2364" s="43" t="n">
        <v>650</v>
      </c>
      <c r="F2364" s="43" t="n">
        <v>1100</v>
      </c>
      <c r="G2364" s="43" t="n">
        <v>4</v>
      </c>
      <c r="H2364" s="79">
        <f>(E2364/1000)*(F2364/1000)*(G2364/1000)*7850</f>
        <v/>
      </c>
      <c r="I2364" s="43" t="n">
        <v>1</v>
      </c>
      <c r="J2364" s="80">
        <f>H2364*I2364</f>
        <v/>
      </c>
      <c r="K2364" s="43" t="inlineStr">
        <is>
          <t>填板；来源页182</t>
        </is>
      </c>
      <c r="L2364" s="43">
        <f>A2364</f>
        <v/>
      </c>
      <c r="M2364" s="81" t="n"/>
      <c r="N2364" s="81" t="n"/>
      <c r="O2364" s="81" t="n"/>
      <c r="P2364" s="81" t="n"/>
      <c r="Q2364" s="81" t="n"/>
      <c r="R2364" s="81" t="n"/>
      <c r="S2364" s="81" t="n"/>
      <c r="T2364" s="81" t="n"/>
      <c r="U2364" s="81" t="n"/>
      <c r="V2364" s="81" t="n"/>
      <c r="W2364" s="43" t="n"/>
    </row>
    <row r="2365">
      <c r="A2365" s="43" t="inlineStr">
        <is>
          <t>M30高强螺栓</t>
        </is>
      </c>
      <c r="B2365" s="43" t="inlineStr"/>
      <c r="C2365" s="43" t="inlineStr">
        <is>
          <t>节段10~节段11</t>
        </is>
      </c>
      <c r="D2365" s="43" t="inlineStr">
        <is>
          <t>10.9S</t>
        </is>
      </c>
      <c r="E2365" s="43" t="n"/>
      <c r="F2365" s="43" t="n"/>
      <c r="G2365" s="43" t="n"/>
      <c r="H2365" s="79">
        <f>(E2365/1000)*(F2365/1000)*(G2365/1000)*7850</f>
        <v/>
      </c>
      <c r="I2365" s="43" t="n">
        <v>344</v>
      </c>
      <c r="J2365" s="80">
        <f>H2365*I2365</f>
        <v/>
      </c>
      <c r="K2365" s="43" t="inlineStr">
        <is>
          <t>来源页182</t>
        </is>
      </c>
      <c r="L2365" s="43">
        <f>A2365</f>
        <v/>
      </c>
      <c r="M2365" s="81" t="n"/>
      <c r="N2365" s="81" t="n"/>
      <c r="O2365" s="81" t="n"/>
      <c r="P2365" s="81" t="n"/>
      <c r="Q2365" s="81" t="n"/>
      <c r="R2365" s="81" t="n"/>
      <c r="S2365" s="81" t="n"/>
      <c r="T2365" s="81" t="n"/>
      <c r="U2365" s="81" t="n"/>
      <c r="V2365" s="81" t="n"/>
      <c r="W2365" s="43" t="n"/>
    </row>
    <row r="2366">
      <c r="A2366" s="43" t="inlineStr">
        <is>
          <t>L1</t>
        </is>
      </c>
      <c r="B2366" s="43" t="inlineStr"/>
      <c r="C2366" s="43" t="inlineStr">
        <is>
          <t>节段10~节段11</t>
        </is>
      </c>
      <c r="D2366" s="43" t="inlineStr">
        <is>
          <t>Q355D</t>
        </is>
      </c>
      <c r="E2366" s="43" t="n">
        <v>1320</v>
      </c>
      <c r="F2366" s="43" t="n">
        <v>900</v>
      </c>
      <c r="G2366" s="43" t="n">
        <v>28</v>
      </c>
      <c r="H2366" s="79">
        <f>(E2366/1000)*(F2366/1000)*(G2366/1000)*7850</f>
        <v/>
      </c>
      <c r="I2366" s="43" t="n">
        <v>2</v>
      </c>
      <c r="J2366" s="80">
        <f>H2366*I2366</f>
        <v/>
      </c>
      <c r="K2366" s="43" t="inlineStr">
        <is>
          <t>来源页182</t>
        </is>
      </c>
      <c r="L2366" s="43">
        <f>A2366</f>
        <v/>
      </c>
      <c r="M2366" s="81" t="n"/>
      <c r="N2366" s="81" t="n"/>
      <c r="O2366" s="81" t="n"/>
      <c r="P2366" s="81" t="n"/>
      <c r="Q2366" s="81" t="n"/>
      <c r="R2366" s="81" t="n"/>
      <c r="S2366" s="81" t="n"/>
      <c r="T2366" s="81" t="n"/>
      <c r="U2366" s="81" t="n"/>
      <c r="V2366" s="81" t="n"/>
      <c r="W2366" s="43" t="n"/>
    </row>
    <row r="2367">
      <c r="A2367" s="43" t="inlineStr">
        <is>
          <t>L2</t>
        </is>
      </c>
      <c r="B2367" s="43" t="inlineStr"/>
      <c r="C2367" s="43" t="inlineStr">
        <is>
          <t>节段10~节段11</t>
        </is>
      </c>
      <c r="D2367" s="43" t="inlineStr">
        <is>
          <t>Q355D</t>
        </is>
      </c>
      <c r="E2367" s="43" t="n">
        <v>1320</v>
      </c>
      <c r="F2367" s="43" t="n">
        <v>400</v>
      </c>
      <c r="G2367" s="43" t="n">
        <v>28</v>
      </c>
      <c r="H2367" s="79">
        <f>(E2367/1000)*(F2367/1000)*(G2367/1000)*7850</f>
        <v/>
      </c>
      <c r="I2367" s="43" t="n">
        <v>4</v>
      </c>
      <c r="J2367" s="80">
        <f>H2367*I2367</f>
        <v/>
      </c>
      <c r="K2367" s="43" t="inlineStr">
        <is>
          <t>来源页182</t>
        </is>
      </c>
      <c r="L2367" s="43">
        <f>A2367</f>
        <v/>
      </c>
      <c r="M2367" s="81" t="n"/>
      <c r="N2367" s="81" t="n"/>
      <c r="O2367" s="81" t="n"/>
      <c r="P2367" s="81" t="n"/>
      <c r="Q2367" s="81" t="n"/>
      <c r="R2367" s="81" t="n"/>
      <c r="S2367" s="81" t="n"/>
      <c r="T2367" s="81" t="n"/>
      <c r="U2367" s="81" t="n"/>
      <c r="V2367" s="81" t="n"/>
      <c r="W2367" s="43" t="n"/>
    </row>
    <row r="2368">
      <c r="A2368" s="43" t="inlineStr">
        <is>
          <t>L3</t>
        </is>
      </c>
      <c r="B2368" s="43" t="inlineStr"/>
      <c r="C2368" s="43" t="inlineStr">
        <is>
          <t>节段10~节段11</t>
        </is>
      </c>
      <c r="D2368" s="43" t="inlineStr">
        <is>
          <t>Q355D</t>
        </is>
      </c>
      <c r="E2368" s="43" t="n">
        <v>1320</v>
      </c>
      <c r="F2368" s="43" t="n">
        <v>500</v>
      </c>
      <c r="G2368" s="43" t="n">
        <v>28</v>
      </c>
      <c r="H2368" s="79">
        <f>(E2368/1000)*(F2368/1000)*(G2368/1000)*7850</f>
        <v/>
      </c>
      <c r="I2368" s="43" t="n">
        <v>4</v>
      </c>
      <c r="J2368" s="80">
        <f>H2368*I2368</f>
        <v/>
      </c>
      <c r="K2368" s="43" t="inlineStr">
        <is>
          <t>来源页182</t>
        </is>
      </c>
      <c r="L2368" s="43">
        <f>A2368</f>
        <v/>
      </c>
      <c r="M2368" s="81" t="n"/>
      <c r="N2368" s="81" t="n"/>
      <c r="O2368" s="81" t="n"/>
      <c r="P2368" s="81" t="n"/>
      <c r="Q2368" s="81" t="n"/>
      <c r="R2368" s="81" t="n"/>
      <c r="S2368" s="81" t="n"/>
      <c r="T2368" s="81" t="n"/>
      <c r="U2368" s="81" t="n"/>
      <c r="V2368" s="81" t="n"/>
      <c r="W2368" s="43" t="n"/>
    </row>
    <row r="2369">
      <c r="A2369" s="43" t="inlineStr">
        <is>
          <t>L4</t>
        </is>
      </c>
      <c r="B2369" s="43" t="inlineStr"/>
      <c r="C2369" s="43" t="inlineStr">
        <is>
          <t>节段10~节段11</t>
        </is>
      </c>
      <c r="D2369" s="43" t="inlineStr">
        <is>
          <t>Q355D</t>
        </is>
      </c>
      <c r="E2369" s="43" t="n">
        <v>820</v>
      </c>
      <c r="F2369" s="43" t="n">
        <v>200</v>
      </c>
      <c r="G2369" s="43" t="n">
        <v>20</v>
      </c>
      <c r="H2369" s="79">
        <f>(E2369/1000)*(F2369/1000)*(G2369/1000)*7850</f>
        <v/>
      </c>
      <c r="I2369" s="43" t="n">
        <v>4</v>
      </c>
      <c r="J2369" s="80">
        <f>H2369*I2369</f>
        <v/>
      </c>
      <c r="K2369" s="43" t="inlineStr">
        <is>
          <t>来源页182</t>
        </is>
      </c>
      <c r="L2369" s="43">
        <f>A2369</f>
        <v/>
      </c>
      <c r="M2369" s="81" t="n"/>
      <c r="N2369" s="81" t="n"/>
      <c r="O2369" s="81" t="n"/>
      <c r="P2369" s="81" t="n"/>
      <c r="Q2369" s="81" t="n"/>
      <c r="R2369" s="81" t="n"/>
      <c r="S2369" s="81" t="n"/>
      <c r="T2369" s="81" t="n"/>
      <c r="U2369" s="81" t="n"/>
      <c r="V2369" s="81" t="n"/>
      <c r="W2369" s="43" t="n"/>
    </row>
    <row r="2370">
      <c r="A2370" s="43" t="inlineStr">
        <is>
          <t>M30高强螺栓</t>
        </is>
      </c>
      <c r="B2370" s="43" t="inlineStr"/>
      <c r="C2370" s="43" t="inlineStr">
        <is>
          <t>节段10~节段11</t>
        </is>
      </c>
      <c r="D2370" s="43" t="inlineStr">
        <is>
          <t>10.9S</t>
        </is>
      </c>
      <c r="E2370" s="43" t="n"/>
      <c r="F2370" s="43" t="n"/>
      <c r="G2370" s="43" t="n"/>
      <c r="H2370" s="79">
        <f>(E2370/1000)*(F2370/1000)*(G2370/1000)*7850</f>
        <v/>
      </c>
      <c r="I2370" s="43" t="n">
        <v>507</v>
      </c>
      <c r="J2370" s="80">
        <f>H2370*I2370</f>
        <v/>
      </c>
      <c r="K2370" s="43" t="inlineStr">
        <is>
          <t>来源页182</t>
        </is>
      </c>
      <c r="L2370" s="43">
        <f>A2370</f>
        <v/>
      </c>
      <c r="M2370" s="81" t="n"/>
      <c r="N2370" s="81" t="n"/>
      <c r="O2370" s="81" t="n"/>
      <c r="P2370" s="81" t="n"/>
      <c r="Q2370" s="81" t="n"/>
      <c r="R2370" s="81" t="n"/>
      <c r="S2370" s="81" t="n"/>
      <c r="T2370" s="81" t="n"/>
      <c r="U2370" s="81" t="n"/>
      <c r="V2370" s="81" t="n"/>
      <c r="W2370" s="43" t="n"/>
    </row>
    <row r="2371">
      <c r="A2371" s="43" t="inlineStr">
        <is>
          <t>N11a</t>
        </is>
      </c>
      <c r="B2371" s="43" t="inlineStr"/>
      <c r="C2371" s="43" t="inlineStr">
        <is>
          <t>节段11</t>
        </is>
      </c>
      <c r="D2371" s="43" t="inlineStr">
        <is>
          <t>Q355D</t>
        </is>
      </c>
      <c r="E2371" s="43" t="n"/>
      <c r="F2371" s="43" t="n"/>
      <c r="G2371" s="43" t="n">
        <v>20</v>
      </c>
      <c r="H2371" s="79">
        <f>(E2371/1000)*(F2371/1000)*(G2371/1000)*7850</f>
        <v/>
      </c>
      <c r="I2371" s="43" t="n">
        <v>1</v>
      </c>
      <c r="J2371" s="80">
        <f>H2371*I2371</f>
        <v/>
      </c>
      <c r="K2371" s="43" t="inlineStr">
        <is>
          <t>来源页183</t>
        </is>
      </c>
      <c r="L2371" s="43">
        <f>A2371</f>
        <v/>
      </c>
      <c r="M2371" s="81" t="n"/>
      <c r="N2371" s="81" t="n"/>
      <c r="O2371" s="81" t="n"/>
      <c r="P2371" s="81" t="n"/>
      <c r="Q2371" s="81" t="n"/>
      <c r="R2371" s="81" t="n"/>
      <c r="S2371" s="81" t="n"/>
      <c r="T2371" s="81" t="n"/>
      <c r="U2371" s="81" t="n"/>
      <c r="V2371" s="81" t="n"/>
      <c r="W2371" s="43" t="n"/>
    </row>
    <row r="2372">
      <c r="A2372" s="43" t="inlineStr">
        <is>
          <t>N11b</t>
        </is>
      </c>
      <c r="B2372" s="43" t="inlineStr"/>
      <c r="C2372" s="43" t="inlineStr">
        <is>
          <t>节段11</t>
        </is>
      </c>
      <c r="D2372" s="43" t="inlineStr">
        <is>
          <t>Q355D</t>
        </is>
      </c>
      <c r="E2372" s="43" t="n"/>
      <c r="F2372" s="43" t="n"/>
      <c r="G2372" s="43" t="n">
        <v>20</v>
      </c>
      <c r="H2372" s="79">
        <f>(E2372/1000)*(F2372/1000)*(G2372/1000)*7850</f>
        <v/>
      </c>
      <c r="I2372" s="43" t="n">
        <v>1</v>
      </c>
      <c r="J2372" s="80">
        <f>H2372*I2372</f>
        <v/>
      </c>
      <c r="K2372" s="43" t="inlineStr">
        <is>
          <t>来源页183</t>
        </is>
      </c>
      <c r="L2372" s="43">
        <f>A2372</f>
        <v/>
      </c>
      <c r="M2372" s="81" t="n"/>
      <c r="N2372" s="81" t="n"/>
      <c r="O2372" s="81" t="n"/>
      <c r="P2372" s="81" t="n"/>
      <c r="Q2372" s="81" t="n"/>
      <c r="R2372" s="81" t="n"/>
      <c r="S2372" s="81" t="n"/>
      <c r="T2372" s="81" t="n"/>
      <c r="U2372" s="81" t="n"/>
      <c r="V2372" s="81" t="n"/>
      <c r="W2372" s="43" t="n"/>
    </row>
    <row r="2373">
      <c r="A2373" s="43" t="inlineStr">
        <is>
          <t>N12a</t>
        </is>
      </c>
      <c r="B2373" s="43" t="inlineStr"/>
      <c r="C2373" s="43" t="inlineStr">
        <is>
          <t>节段11</t>
        </is>
      </c>
      <c r="D2373" s="43" t="inlineStr">
        <is>
          <t>Q355D</t>
        </is>
      </c>
      <c r="E2373" s="43" t="n">
        <v>7900</v>
      </c>
      <c r="F2373" s="43" t="n">
        <v>1200</v>
      </c>
      <c r="G2373" s="43" t="n">
        <v>20</v>
      </c>
      <c r="H2373" s="79">
        <f>(E2373/1000)*(F2373/1000)*(G2373/1000)*7850</f>
        <v/>
      </c>
      <c r="I2373" s="43" t="n">
        <v>1</v>
      </c>
      <c r="J2373" s="80">
        <f>H2373*I2373</f>
        <v/>
      </c>
      <c r="K2373" s="43" t="inlineStr">
        <is>
          <t>来源页183</t>
        </is>
      </c>
      <c r="L2373" s="43">
        <f>A2373</f>
        <v/>
      </c>
      <c r="M2373" s="81" t="n"/>
      <c r="N2373" s="81" t="n"/>
      <c r="O2373" s="81" t="n"/>
      <c r="P2373" s="81" t="n"/>
      <c r="Q2373" s="81" t="n"/>
      <c r="R2373" s="81" t="n"/>
      <c r="S2373" s="81" t="n"/>
      <c r="T2373" s="81" t="n"/>
      <c r="U2373" s="81" t="n"/>
      <c r="V2373" s="81" t="n"/>
      <c r="W2373" s="43" t="n"/>
    </row>
    <row r="2374">
      <c r="A2374" s="43" t="inlineStr">
        <is>
          <t>N12b</t>
        </is>
      </c>
      <c r="B2374" s="43" t="inlineStr"/>
      <c r="C2374" s="43" t="inlineStr">
        <is>
          <t>节段11</t>
        </is>
      </c>
      <c r="D2374" s="43" t="inlineStr">
        <is>
          <t>Q355D</t>
        </is>
      </c>
      <c r="E2374" s="43" t="n">
        <v>7100</v>
      </c>
      <c r="F2374" s="43" t="n">
        <v>1200</v>
      </c>
      <c r="G2374" s="43" t="n">
        <v>20</v>
      </c>
      <c r="H2374" s="79">
        <f>(E2374/1000)*(F2374/1000)*(G2374/1000)*7850</f>
        <v/>
      </c>
      <c r="I2374" s="43" t="n">
        <v>1</v>
      </c>
      <c r="J2374" s="80">
        <f>H2374*I2374</f>
        <v/>
      </c>
      <c r="K2374" s="43" t="inlineStr">
        <is>
          <t>来源页183</t>
        </is>
      </c>
      <c r="L2374" s="43">
        <f>A2374</f>
        <v/>
      </c>
      <c r="M2374" s="81" t="n"/>
      <c r="N2374" s="81" t="n"/>
      <c r="O2374" s="81" t="n"/>
      <c r="P2374" s="81" t="n"/>
      <c r="Q2374" s="81" t="n"/>
      <c r="R2374" s="81" t="n"/>
      <c r="S2374" s="81" t="n"/>
      <c r="T2374" s="81" t="n"/>
      <c r="U2374" s="81" t="n"/>
      <c r="V2374" s="81" t="n"/>
      <c r="W2374" s="43" t="n"/>
    </row>
    <row r="2375">
      <c r="A2375" s="43" t="inlineStr">
        <is>
          <t>N13</t>
        </is>
      </c>
      <c r="B2375" s="43" t="inlineStr"/>
      <c r="C2375" s="43" t="inlineStr">
        <is>
          <t>节段11</t>
        </is>
      </c>
      <c r="D2375" s="43" t="inlineStr">
        <is>
          <t>Q355D</t>
        </is>
      </c>
      <c r="E2375" s="43" t="n"/>
      <c r="F2375" s="43" t="n"/>
      <c r="G2375" s="43" t="n">
        <v>40</v>
      </c>
      <c r="H2375" s="79">
        <f>(E2375/1000)*(F2375/1000)*(G2375/1000)*7850</f>
        <v/>
      </c>
      <c r="I2375" s="43" t="n">
        <v>2</v>
      </c>
      <c r="J2375" s="80">
        <f>H2375*I2375</f>
        <v/>
      </c>
      <c r="K2375" s="43" t="inlineStr">
        <is>
          <t>来源页183</t>
        </is>
      </c>
      <c r="L2375" s="43">
        <f>A2375</f>
        <v/>
      </c>
      <c r="M2375" s="81" t="n"/>
      <c r="N2375" s="81" t="n"/>
      <c r="O2375" s="81" t="n"/>
      <c r="P2375" s="81" t="n"/>
      <c r="Q2375" s="81" t="n"/>
      <c r="R2375" s="81" t="n"/>
      <c r="S2375" s="81" t="n"/>
      <c r="T2375" s="81" t="n"/>
      <c r="U2375" s="81" t="n"/>
      <c r="V2375" s="81" t="n"/>
      <c r="W2375" s="43" t="n"/>
    </row>
    <row r="2376">
      <c r="A2376" s="43" t="inlineStr">
        <is>
          <t>N14</t>
        </is>
      </c>
      <c r="B2376" s="43" t="inlineStr"/>
      <c r="C2376" s="43" t="inlineStr">
        <is>
          <t>节段11</t>
        </is>
      </c>
      <c r="D2376" s="43" t="inlineStr">
        <is>
          <t>Q355D</t>
        </is>
      </c>
      <c r="E2376" s="43" t="n">
        <v>7300</v>
      </c>
      <c r="F2376" s="43" t="n">
        <v>1648</v>
      </c>
      <c r="G2376" s="43" t="n">
        <v>28</v>
      </c>
      <c r="H2376" s="79">
        <f>(E2376/1000)*(F2376/1000)*(G2376/1000)*7850</f>
        <v/>
      </c>
      <c r="I2376" s="43" t="n">
        <v>2</v>
      </c>
      <c r="J2376" s="80">
        <f>H2376*I2376</f>
        <v/>
      </c>
      <c r="K2376" s="43" t="inlineStr">
        <is>
          <t>来源页183</t>
        </is>
      </c>
      <c r="L2376" s="43">
        <f>A2376</f>
        <v/>
      </c>
      <c r="M2376" s="81" t="n"/>
      <c r="N2376" s="81" t="n"/>
      <c r="O2376" s="81" t="n"/>
      <c r="P2376" s="81" t="n"/>
      <c r="Q2376" s="81" t="n"/>
      <c r="R2376" s="81" t="n"/>
      <c r="S2376" s="81" t="n"/>
      <c r="T2376" s="81" t="n"/>
      <c r="U2376" s="81" t="n"/>
      <c r="V2376" s="81" t="n"/>
      <c r="W2376" s="43" t="n"/>
    </row>
    <row r="2377">
      <c r="A2377" s="43" t="inlineStr">
        <is>
          <t>N15</t>
        </is>
      </c>
      <c r="B2377" s="43" t="inlineStr"/>
      <c r="C2377" s="43" t="inlineStr">
        <is>
          <t>节段11</t>
        </is>
      </c>
      <c r="D2377" s="43" t="inlineStr">
        <is>
          <t>Q355D</t>
        </is>
      </c>
      <c r="E2377" s="43" t="n">
        <v>1580</v>
      </c>
      <c r="F2377" s="43" t="n">
        <v>1200</v>
      </c>
      <c r="G2377" s="43" t="n">
        <v>16</v>
      </c>
      <c r="H2377" s="79">
        <f>(E2377/1000)*(F2377/1000)*(G2377/1000)*7850</f>
        <v/>
      </c>
      <c r="I2377" s="43" t="n">
        <v>3</v>
      </c>
      <c r="J2377" s="80">
        <f>H2377*I2377</f>
        <v/>
      </c>
      <c r="K2377" s="43" t="inlineStr">
        <is>
          <t>来源页183</t>
        </is>
      </c>
      <c r="L2377" s="43">
        <f>A2377</f>
        <v/>
      </c>
      <c r="M2377" s="81" t="n"/>
      <c r="N2377" s="81" t="n"/>
      <c r="O2377" s="81" t="n"/>
      <c r="P2377" s="81" t="n"/>
      <c r="Q2377" s="81" t="n"/>
      <c r="R2377" s="81" t="n"/>
      <c r="S2377" s="81" t="n"/>
      <c r="T2377" s="81" t="n"/>
      <c r="U2377" s="81" t="n"/>
      <c r="V2377" s="81" t="n"/>
      <c r="W2377" s="43" t="n"/>
    </row>
    <row r="2378">
      <c r="A2378" s="43" t="inlineStr">
        <is>
          <t>N15a</t>
        </is>
      </c>
      <c r="B2378" s="43" t="inlineStr"/>
      <c r="C2378" s="43" t="inlineStr">
        <is>
          <t>节段11</t>
        </is>
      </c>
      <c r="D2378" s="43" t="inlineStr">
        <is>
          <t>Q355D</t>
        </is>
      </c>
      <c r="E2378" s="43" t="n">
        <v>1580</v>
      </c>
      <c r="F2378" s="43" t="n">
        <v>1200</v>
      </c>
      <c r="G2378" s="43" t="n">
        <v>16</v>
      </c>
      <c r="H2378" s="79">
        <f>(E2378/1000)*(F2378/1000)*(G2378/1000)*7850</f>
        <v/>
      </c>
      <c r="I2378" s="43" t="n">
        <v>2</v>
      </c>
      <c r="J2378" s="80">
        <f>H2378*I2378</f>
        <v/>
      </c>
      <c r="K2378" s="43" t="inlineStr">
        <is>
          <t>来源页183</t>
        </is>
      </c>
      <c r="L2378" s="43">
        <f>A2378</f>
        <v/>
      </c>
      <c r="M2378" s="81" t="n"/>
      <c r="N2378" s="81" t="n"/>
      <c r="O2378" s="81" t="n"/>
      <c r="P2378" s="81" t="n"/>
      <c r="Q2378" s="81" t="n"/>
      <c r="R2378" s="81" t="n"/>
      <c r="S2378" s="81" t="n"/>
      <c r="T2378" s="81" t="n"/>
      <c r="U2378" s="81" t="n"/>
      <c r="V2378" s="81" t="n"/>
      <c r="W2378" s="43" t="n"/>
    </row>
    <row r="2379">
      <c r="A2379" s="43" t="inlineStr">
        <is>
          <t>N15‘</t>
        </is>
      </c>
      <c r="B2379" s="43" t="inlineStr"/>
      <c r="C2379" s="43" t="inlineStr">
        <is>
          <t>节段11</t>
        </is>
      </c>
      <c r="D2379" s="43" t="inlineStr">
        <is>
          <t>Q355D</t>
        </is>
      </c>
      <c r="E2379" s="43" t="n">
        <v>1657</v>
      </c>
      <c r="F2379" s="43" t="n">
        <v>200</v>
      </c>
      <c r="G2379" s="43" t="n">
        <v>16</v>
      </c>
      <c r="H2379" s="79">
        <f>(E2379/1000)*(F2379/1000)*(G2379/1000)*7850</f>
        <v/>
      </c>
      <c r="I2379" s="43" t="n">
        <v>3</v>
      </c>
      <c r="J2379" s="80">
        <f>H2379*I2379</f>
        <v/>
      </c>
      <c r="K2379" s="43" t="inlineStr">
        <is>
          <t>来源页183</t>
        </is>
      </c>
      <c r="L2379" s="43">
        <f>A2379</f>
        <v/>
      </c>
      <c r="M2379" s="81" t="n"/>
      <c r="N2379" s="81" t="n"/>
      <c r="O2379" s="81" t="n"/>
      <c r="P2379" s="81" t="n"/>
      <c r="Q2379" s="81" t="n"/>
      <c r="R2379" s="81" t="n"/>
      <c r="S2379" s="81" t="n"/>
      <c r="T2379" s="81" t="n"/>
      <c r="U2379" s="81" t="n"/>
      <c r="V2379" s="81" t="n"/>
      <c r="W2379" s="43" t="n"/>
    </row>
    <row r="2380">
      <c r="A2380" s="43" t="inlineStr">
        <is>
          <t>N15b</t>
        </is>
      </c>
      <c r="B2380" s="43" t="inlineStr"/>
      <c r="C2380" s="43" t="inlineStr">
        <is>
          <t>节段11</t>
        </is>
      </c>
      <c r="D2380" s="43" t="inlineStr">
        <is>
          <t>Q355D</t>
        </is>
      </c>
      <c r="E2380" s="43" t="n">
        <v>1782</v>
      </c>
      <c r="F2380" s="43" t="n">
        <v>40</v>
      </c>
      <c r="G2380" s="43" t="n">
        <v>4</v>
      </c>
      <c r="H2380" s="79">
        <f>(E2380/1000)*(F2380/1000)*(G2380/1000)*7850</f>
        <v/>
      </c>
      <c r="I2380" s="43" t="n">
        <v>4</v>
      </c>
      <c r="J2380" s="80">
        <f>H2380*I2380</f>
        <v/>
      </c>
      <c r="K2380" s="43" t="inlineStr">
        <is>
          <t>来源页183</t>
        </is>
      </c>
      <c r="L2380" s="43">
        <f>A2380</f>
        <v/>
      </c>
      <c r="M2380" s="81" t="n"/>
      <c r="N2380" s="81" t="n"/>
      <c r="O2380" s="81" t="n"/>
      <c r="P2380" s="81" t="n"/>
      <c r="Q2380" s="81" t="n"/>
      <c r="R2380" s="81" t="n"/>
      <c r="S2380" s="81" t="n"/>
      <c r="T2380" s="81" t="n"/>
      <c r="U2380" s="81" t="n"/>
      <c r="V2380" s="81" t="n"/>
      <c r="W2380" s="43" t="n"/>
    </row>
    <row r="2381">
      <c r="A2381" s="43" t="inlineStr">
        <is>
          <t>N15c</t>
        </is>
      </c>
      <c r="B2381" s="43" t="inlineStr"/>
      <c r="C2381" s="43" t="inlineStr">
        <is>
          <t>节段11</t>
        </is>
      </c>
      <c r="D2381" s="43" t="inlineStr">
        <is>
          <t>Q355D</t>
        </is>
      </c>
      <c r="E2381" s="43" t="n">
        <v>600</v>
      </c>
      <c r="F2381" s="43" t="n">
        <v>400</v>
      </c>
      <c r="G2381" s="43" t="n">
        <v>16</v>
      </c>
      <c r="H2381" s="79">
        <f>(E2381/1000)*(F2381/1000)*(G2381/1000)*7850</f>
        <v/>
      </c>
      <c r="I2381" s="43" t="n">
        <v>4</v>
      </c>
      <c r="J2381" s="80">
        <f>H2381*I2381</f>
        <v/>
      </c>
      <c r="K2381" s="43" t="inlineStr">
        <is>
          <t>来源页183</t>
        </is>
      </c>
      <c r="L2381" s="43">
        <f>A2381</f>
        <v/>
      </c>
      <c r="M2381" s="81" t="n"/>
      <c r="N2381" s="81" t="n"/>
      <c r="O2381" s="81" t="n"/>
      <c r="P2381" s="81" t="n"/>
      <c r="Q2381" s="81" t="n"/>
      <c r="R2381" s="81" t="n"/>
      <c r="S2381" s="81" t="n"/>
      <c r="T2381" s="81" t="n"/>
      <c r="U2381" s="81" t="n"/>
      <c r="V2381" s="81" t="n"/>
      <c r="W2381" s="43" t="n"/>
    </row>
    <row r="2382">
      <c r="A2382" s="43" t="inlineStr">
        <is>
          <t>N21a</t>
        </is>
      </c>
      <c r="B2382" s="43" t="inlineStr"/>
      <c r="C2382" s="43" t="inlineStr">
        <is>
          <t>节段11</t>
        </is>
      </c>
      <c r="D2382" s="43" t="inlineStr">
        <is>
          <t>Q355D</t>
        </is>
      </c>
      <c r="E2382" s="43" t="n">
        <v>7901</v>
      </c>
      <c r="F2382" s="43" t="n">
        <v>1850</v>
      </c>
      <c r="G2382" s="43" t="n">
        <v>24</v>
      </c>
      <c r="H2382" s="79">
        <f>(E2382/1000)*(F2382/1000)*(G2382/1000)*7850</f>
        <v/>
      </c>
      <c r="I2382" s="43" t="n">
        <v>1</v>
      </c>
      <c r="J2382" s="80">
        <f>H2382*I2382</f>
        <v/>
      </c>
      <c r="K2382" s="43" t="inlineStr">
        <is>
          <t>来源页183</t>
        </is>
      </c>
      <c r="L2382" s="43">
        <f>A2382</f>
        <v/>
      </c>
      <c r="M2382" s="81" t="n"/>
      <c r="N2382" s="81" t="n"/>
      <c r="O2382" s="81" t="n"/>
      <c r="P2382" s="81" t="n"/>
      <c r="Q2382" s="81" t="n"/>
      <c r="R2382" s="81" t="n"/>
      <c r="S2382" s="81" t="n"/>
      <c r="T2382" s="81" t="n"/>
      <c r="U2382" s="81" t="n"/>
      <c r="V2382" s="81" t="n"/>
      <c r="W2382" s="43" t="n"/>
    </row>
    <row r="2383">
      <c r="A2383" s="43" t="inlineStr">
        <is>
          <t>N21b</t>
        </is>
      </c>
      <c r="B2383" s="43" t="inlineStr"/>
      <c r="C2383" s="43" t="inlineStr">
        <is>
          <t>节段11</t>
        </is>
      </c>
      <c r="D2383" s="43" t="inlineStr">
        <is>
          <t>Q355D</t>
        </is>
      </c>
      <c r="E2383" s="43" t="n">
        <v>7101</v>
      </c>
      <c r="F2383" s="43" t="n">
        <v>1850</v>
      </c>
      <c r="G2383" s="43" t="n">
        <v>24</v>
      </c>
      <c r="H2383" s="79">
        <f>(E2383/1000)*(F2383/1000)*(G2383/1000)*7850</f>
        <v/>
      </c>
      <c r="I2383" s="43" t="n">
        <v>1</v>
      </c>
      <c r="J2383" s="80">
        <f>H2383*I2383</f>
        <v/>
      </c>
      <c r="K2383" s="43" t="inlineStr">
        <is>
          <t>来源页183</t>
        </is>
      </c>
      <c r="L2383" s="43">
        <f>A2383</f>
        <v/>
      </c>
      <c r="M2383" s="81" t="n"/>
      <c r="N2383" s="81" t="n"/>
      <c r="O2383" s="81" t="n"/>
      <c r="P2383" s="81" t="n"/>
      <c r="Q2383" s="81" t="n"/>
      <c r="R2383" s="81" t="n"/>
      <c r="S2383" s="81" t="n"/>
      <c r="T2383" s="81" t="n"/>
      <c r="U2383" s="81" t="n"/>
      <c r="V2383" s="81" t="n"/>
      <c r="W2383" s="43" t="n"/>
    </row>
    <row r="2384">
      <c r="A2384" s="43" t="inlineStr">
        <is>
          <t>N22a</t>
        </is>
      </c>
      <c r="B2384" s="43" t="inlineStr"/>
      <c r="C2384" s="43" t="inlineStr">
        <is>
          <t>节段11</t>
        </is>
      </c>
      <c r="D2384" s="43" t="inlineStr">
        <is>
          <t>Q355D</t>
        </is>
      </c>
      <c r="E2384" s="43" t="n"/>
      <c r="F2384" s="43" t="n"/>
      <c r="G2384" s="43" t="n">
        <v>24</v>
      </c>
      <c r="H2384" s="79">
        <f>(E2384/1000)*(F2384/1000)*(G2384/1000)*7850</f>
        <v/>
      </c>
      <c r="I2384" s="43" t="n">
        <v>1</v>
      </c>
      <c r="J2384" s="80">
        <f>H2384*I2384</f>
        <v/>
      </c>
      <c r="K2384" s="43" t="inlineStr">
        <is>
          <t>来源页183</t>
        </is>
      </c>
      <c r="L2384" s="43">
        <f>A2384</f>
        <v/>
      </c>
      <c r="M2384" s="81" t="n"/>
      <c r="N2384" s="81" t="n"/>
      <c r="O2384" s="81" t="n"/>
      <c r="P2384" s="81" t="n"/>
      <c r="Q2384" s="81" t="n"/>
      <c r="R2384" s="81" t="n"/>
      <c r="S2384" s="81" t="n"/>
      <c r="T2384" s="81" t="n"/>
      <c r="U2384" s="81" t="n"/>
      <c r="V2384" s="81" t="n"/>
      <c r="W2384" s="43" t="n"/>
    </row>
    <row r="2385">
      <c r="A2385" s="43" t="inlineStr">
        <is>
          <t>N22b</t>
        </is>
      </c>
      <c r="B2385" s="43" t="inlineStr"/>
      <c r="C2385" s="43" t="inlineStr">
        <is>
          <t>节段11</t>
        </is>
      </c>
      <c r="D2385" s="43" t="inlineStr">
        <is>
          <t>Q355D</t>
        </is>
      </c>
      <c r="E2385" s="43" t="n"/>
      <c r="F2385" s="43" t="n"/>
      <c r="G2385" s="43" t="n">
        <v>24</v>
      </c>
      <c r="H2385" s="79">
        <f>(E2385/1000)*(F2385/1000)*(G2385/1000)*7850</f>
        <v/>
      </c>
      <c r="I2385" s="43" t="n">
        <v>1</v>
      </c>
      <c r="J2385" s="80">
        <f>H2385*I2385</f>
        <v/>
      </c>
      <c r="K2385" s="43" t="inlineStr">
        <is>
          <t>来源页183</t>
        </is>
      </c>
      <c r="L2385" s="43">
        <f>A2385</f>
        <v/>
      </c>
      <c r="M2385" s="81" t="n"/>
      <c r="N2385" s="81" t="n"/>
      <c r="O2385" s="81" t="n"/>
      <c r="P2385" s="81" t="n"/>
      <c r="Q2385" s="81" t="n"/>
      <c r="R2385" s="81" t="n"/>
      <c r="S2385" s="81" t="n"/>
      <c r="T2385" s="81" t="n"/>
      <c r="U2385" s="81" t="n"/>
      <c r="V2385" s="81" t="n"/>
      <c r="W2385" s="43" t="n"/>
    </row>
    <row r="2386">
      <c r="A2386" s="43" t="inlineStr">
        <is>
          <t>N23</t>
        </is>
      </c>
      <c r="B2386" s="43" t="inlineStr"/>
      <c r="C2386" s="43" t="inlineStr">
        <is>
          <t>节段11</t>
        </is>
      </c>
      <c r="D2386" s="43" t="inlineStr">
        <is>
          <t>Q355D</t>
        </is>
      </c>
      <c r="E2386" s="43" t="n"/>
      <c r="F2386" s="43" t="n"/>
      <c r="G2386" s="43" t="n">
        <v>44</v>
      </c>
      <c r="H2386" s="79">
        <f>(E2386/1000)*(F2386/1000)*(G2386/1000)*7850</f>
        <v/>
      </c>
      <c r="I2386" s="43" t="n">
        <v>2</v>
      </c>
      <c r="J2386" s="80">
        <f>H2386*I2386</f>
        <v/>
      </c>
      <c r="K2386" s="43" t="inlineStr">
        <is>
          <t>Z35钢；来源页183</t>
        </is>
      </c>
      <c r="L2386" s="43">
        <f>A2386</f>
        <v/>
      </c>
      <c r="M2386" s="81" t="n"/>
      <c r="N2386" s="81" t="n"/>
      <c r="O2386" s="81" t="n"/>
      <c r="P2386" s="81" t="n"/>
      <c r="Q2386" s="81" t="n"/>
      <c r="R2386" s="81" t="n"/>
      <c r="S2386" s="81" t="n"/>
      <c r="T2386" s="81" t="n"/>
      <c r="U2386" s="81" t="n"/>
      <c r="V2386" s="81" t="n"/>
      <c r="W2386" s="43" t="n"/>
    </row>
    <row r="2387">
      <c r="A2387" s="43" t="inlineStr">
        <is>
          <t>N24</t>
        </is>
      </c>
      <c r="B2387" s="43" t="inlineStr"/>
      <c r="C2387" s="43" t="inlineStr">
        <is>
          <t>节段11</t>
        </is>
      </c>
      <c r="D2387" s="43" t="inlineStr">
        <is>
          <t>Q355D</t>
        </is>
      </c>
      <c r="E2387" s="43" t="n">
        <v>7301</v>
      </c>
      <c r="F2387" s="43" t="n">
        <v>1474</v>
      </c>
      <c r="G2387" s="43" t="n">
        <v>32</v>
      </c>
      <c r="H2387" s="79">
        <f>(E2387/1000)*(F2387/1000)*(G2387/1000)*7850</f>
        <v/>
      </c>
      <c r="I2387" s="43" t="n">
        <v>2</v>
      </c>
      <c r="J2387" s="80">
        <f>H2387*I2387</f>
        <v/>
      </c>
      <c r="K2387" s="43" t="inlineStr">
        <is>
          <t>来源页183</t>
        </is>
      </c>
      <c r="L2387" s="43">
        <f>A2387</f>
        <v/>
      </c>
      <c r="M2387" s="81" t="n"/>
      <c r="N2387" s="81" t="n"/>
      <c r="O2387" s="81" t="n"/>
      <c r="P2387" s="81" t="n"/>
      <c r="Q2387" s="81" t="n"/>
      <c r="R2387" s="81" t="n"/>
      <c r="S2387" s="81" t="n"/>
      <c r="T2387" s="81" t="n"/>
      <c r="U2387" s="81" t="n"/>
      <c r="V2387" s="81" t="n"/>
      <c r="W2387" s="43" t="n"/>
    </row>
    <row r="2388">
      <c r="A2388" s="43" t="inlineStr">
        <is>
          <t>N25</t>
        </is>
      </c>
      <c r="B2388" s="43" t="inlineStr"/>
      <c r="C2388" s="43" t="inlineStr">
        <is>
          <t>节段11</t>
        </is>
      </c>
      <c r="D2388" s="43" t="inlineStr">
        <is>
          <t>Q355D</t>
        </is>
      </c>
      <c r="E2388" s="43" t="n">
        <v>1450</v>
      </c>
      <c r="F2388" s="43" t="n">
        <v>1200</v>
      </c>
      <c r="G2388" s="43" t="n">
        <v>16</v>
      </c>
      <c r="H2388" s="79">
        <f>(E2388/1000)*(F2388/1000)*(G2388/1000)*7850</f>
        <v/>
      </c>
      <c r="I2388" s="43" t="n">
        <v>3</v>
      </c>
      <c r="J2388" s="80">
        <f>H2388*I2388</f>
        <v/>
      </c>
      <c r="K2388" s="43" t="inlineStr">
        <is>
          <t>来源页183</t>
        </is>
      </c>
      <c r="L2388" s="43">
        <f>A2388</f>
        <v/>
      </c>
      <c r="M2388" s="81" t="n"/>
      <c r="N2388" s="81" t="n"/>
      <c r="O2388" s="81" t="n"/>
      <c r="P2388" s="81" t="n"/>
      <c r="Q2388" s="81" t="n"/>
      <c r="R2388" s="81" t="n"/>
      <c r="S2388" s="81" t="n"/>
      <c r="T2388" s="81" t="n"/>
      <c r="U2388" s="81" t="n"/>
      <c r="V2388" s="81" t="n"/>
      <c r="W2388" s="43" t="n"/>
    </row>
    <row r="2389">
      <c r="A2389" s="43" t="inlineStr">
        <is>
          <t>N25a</t>
        </is>
      </c>
      <c r="B2389" s="43" t="inlineStr"/>
      <c r="C2389" s="43" t="inlineStr">
        <is>
          <t>节段11</t>
        </is>
      </c>
      <c r="D2389" s="43" t="inlineStr">
        <is>
          <t>Q355D</t>
        </is>
      </c>
      <c r="E2389" s="43" t="n">
        <v>1450</v>
      </c>
      <c r="F2389" s="43" t="n">
        <v>1200</v>
      </c>
      <c r="G2389" s="43" t="n">
        <v>16</v>
      </c>
      <c r="H2389" s="79">
        <f>(E2389/1000)*(F2389/1000)*(G2389/1000)*7850</f>
        <v/>
      </c>
      <c r="I2389" s="43" t="n">
        <v>2</v>
      </c>
      <c r="J2389" s="80">
        <f>H2389*I2389</f>
        <v/>
      </c>
      <c r="K2389" s="43" t="inlineStr">
        <is>
          <t>来源页183</t>
        </is>
      </c>
      <c r="L2389" s="43">
        <f>A2389</f>
        <v/>
      </c>
      <c r="M2389" s="81" t="n"/>
      <c r="N2389" s="81" t="n"/>
      <c r="O2389" s="81" t="n"/>
      <c r="P2389" s="81" t="n"/>
      <c r="Q2389" s="81" t="n"/>
      <c r="R2389" s="81" t="n"/>
      <c r="S2389" s="81" t="n"/>
      <c r="T2389" s="81" t="n"/>
      <c r="U2389" s="81" t="n"/>
      <c r="V2389" s="81" t="n"/>
      <c r="W2389" s="43" t="n"/>
    </row>
    <row r="2390">
      <c r="A2390" s="43" t="inlineStr">
        <is>
          <t>N25'</t>
        </is>
      </c>
      <c r="B2390" s="43" t="inlineStr"/>
      <c r="C2390" s="43" t="inlineStr">
        <is>
          <t>节段11</t>
        </is>
      </c>
      <c r="D2390" s="43" t="inlineStr">
        <is>
          <t>Q355D</t>
        </is>
      </c>
      <c r="E2390" s="43" t="n">
        <v>1657</v>
      </c>
      <c r="F2390" s="43" t="n">
        <v>200</v>
      </c>
      <c r="G2390" s="43" t="n">
        <v>16</v>
      </c>
      <c r="H2390" s="79">
        <f>(E2390/1000)*(F2390/1000)*(G2390/1000)*7850</f>
        <v/>
      </c>
      <c r="I2390" s="43" t="n">
        <v>3</v>
      </c>
      <c r="J2390" s="80">
        <f>H2390*I2390</f>
        <v/>
      </c>
      <c r="K2390" s="43" t="inlineStr">
        <is>
          <t>来源页183</t>
        </is>
      </c>
      <c r="L2390" s="43">
        <f>A2390</f>
        <v/>
      </c>
      <c r="M2390" s="81" t="n"/>
      <c r="N2390" s="81" t="n"/>
      <c r="O2390" s="81" t="n"/>
      <c r="P2390" s="81" t="n"/>
      <c r="Q2390" s="81" t="n"/>
      <c r="R2390" s="81" t="n"/>
      <c r="S2390" s="81" t="n"/>
      <c r="T2390" s="81" t="n"/>
      <c r="U2390" s="81" t="n"/>
      <c r="V2390" s="81" t="n"/>
      <c r="W2390" s="43" t="n"/>
    </row>
    <row r="2391">
      <c r="A2391" s="43" t="inlineStr">
        <is>
          <t>N26a</t>
        </is>
      </c>
      <c r="B2391" s="43" t="inlineStr"/>
      <c r="C2391" s="43" t="inlineStr">
        <is>
          <t>节段11</t>
        </is>
      </c>
      <c r="D2391" s="43" t="inlineStr">
        <is>
          <t>Q355D</t>
        </is>
      </c>
      <c r="E2391" s="43" t="n">
        <v>7901</v>
      </c>
      <c r="F2391" s="43" t="n">
        <v>240</v>
      </c>
      <c r="G2391" s="43" t="n">
        <v>20</v>
      </c>
      <c r="H2391" s="79">
        <f>(E2391/1000)*(F2391/1000)*(G2391/1000)*7850</f>
        <v/>
      </c>
      <c r="I2391" s="43" t="n">
        <v>4</v>
      </c>
      <c r="J2391" s="80">
        <f>H2391*I2391</f>
        <v/>
      </c>
      <c r="K2391" s="43" t="inlineStr">
        <is>
          <t>来源页183</t>
        </is>
      </c>
      <c r="L2391" s="43">
        <f>A2391</f>
        <v/>
      </c>
      <c r="M2391" s="81" t="n"/>
      <c r="N2391" s="81" t="n"/>
      <c r="O2391" s="81" t="n"/>
      <c r="P2391" s="81" t="n"/>
      <c r="Q2391" s="81" t="n"/>
      <c r="R2391" s="81" t="n"/>
      <c r="S2391" s="81" t="n"/>
      <c r="T2391" s="81" t="n"/>
      <c r="U2391" s="81" t="n"/>
      <c r="V2391" s="81" t="n"/>
      <c r="W2391" s="43" t="n"/>
    </row>
    <row r="2392">
      <c r="A2392" s="43" t="inlineStr">
        <is>
          <t>N26b</t>
        </is>
      </c>
      <c r="B2392" s="43" t="inlineStr"/>
      <c r="C2392" s="43" t="inlineStr">
        <is>
          <t>节段11</t>
        </is>
      </c>
      <c r="D2392" s="43" t="inlineStr">
        <is>
          <t>Q355D</t>
        </is>
      </c>
      <c r="E2392" s="43" t="n">
        <v>7101</v>
      </c>
      <c r="F2392" s="43" t="n">
        <v>240</v>
      </c>
      <c r="G2392" s="43" t="n">
        <v>20</v>
      </c>
      <c r="H2392" s="79">
        <f>(E2392/1000)*(F2392/1000)*(G2392/1000)*7850</f>
        <v/>
      </c>
      <c r="I2392" s="43" t="n">
        <v>4</v>
      </c>
      <c r="J2392" s="80">
        <f>H2392*I2392</f>
        <v/>
      </c>
      <c r="K2392" s="43" t="inlineStr">
        <is>
          <t>来源页183</t>
        </is>
      </c>
      <c r="L2392" s="43">
        <f>A2392</f>
        <v/>
      </c>
      <c r="M2392" s="81" t="n"/>
      <c r="N2392" s="81" t="n"/>
      <c r="O2392" s="81" t="n"/>
      <c r="P2392" s="81" t="n"/>
      <c r="Q2392" s="81" t="n"/>
      <c r="R2392" s="81" t="n"/>
      <c r="S2392" s="81" t="n"/>
      <c r="T2392" s="81" t="n"/>
      <c r="U2392" s="81" t="n"/>
      <c r="V2392" s="81" t="n"/>
      <c r="W2392" s="43" t="n"/>
    </row>
    <row r="2393">
      <c r="A2393" s="43" t="inlineStr">
        <is>
          <t>N26c</t>
        </is>
      </c>
      <c r="B2393" s="43" t="inlineStr"/>
      <c r="C2393" s="43" t="inlineStr">
        <is>
          <t>节段11</t>
        </is>
      </c>
      <c r="D2393" s="43" t="inlineStr">
        <is>
          <t>Q355D</t>
        </is>
      </c>
      <c r="E2393" s="43" t="n">
        <v>15002</v>
      </c>
      <c r="F2393" s="43" t="n">
        <v>170</v>
      </c>
      <c r="G2393" s="43" t="n">
        <v>14</v>
      </c>
      <c r="H2393" s="79">
        <f>(E2393/1000)*(F2393/1000)*(G2393/1000)*7850</f>
        <v/>
      </c>
      <c r="I2393" s="43" t="n">
        <v>1</v>
      </c>
      <c r="J2393" s="80">
        <f>H2393*I2393</f>
        <v/>
      </c>
      <c r="K2393" s="43" t="inlineStr">
        <is>
          <t>来源页183</t>
        </is>
      </c>
      <c r="L2393" s="43">
        <f>A2393</f>
        <v/>
      </c>
      <c r="M2393" s="81" t="n"/>
      <c r="N2393" s="81" t="n"/>
      <c r="O2393" s="81" t="n"/>
      <c r="P2393" s="81" t="n"/>
      <c r="Q2393" s="81" t="n"/>
      <c r="R2393" s="81" t="n"/>
      <c r="S2393" s="81" t="n"/>
      <c r="T2393" s="81" t="n"/>
      <c r="U2393" s="81" t="n"/>
      <c r="V2393" s="81" t="n"/>
      <c r="W2393" s="43" t="n"/>
    </row>
    <row r="2394">
      <c r="A2394" s="43" t="inlineStr">
        <is>
          <t>N31</t>
        </is>
      </c>
      <c r="B2394" s="43" t="inlineStr"/>
      <c r="C2394" s="43" t="inlineStr">
        <is>
          <t>节段11</t>
        </is>
      </c>
      <c r="D2394" s="43" t="inlineStr">
        <is>
          <t>Q355D</t>
        </is>
      </c>
      <c r="E2394" s="43" t="n">
        <v>7651</v>
      </c>
      <c r="F2394" s="43" t="n">
        <v>900</v>
      </c>
      <c r="G2394" s="43" t="n">
        <v>36</v>
      </c>
      <c r="H2394" s="79">
        <f>(E2394/1000)*(F2394/1000)*(G2394/1000)*7850</f>
        <v/>
      </c>
      <c r="I2394" s="43" t="n">
        <v>2</v>
      </c>
      <c r="J2394" s="80">
        <f>H2394*I2394</f>
        <v/>
      </c>
      <c r="K2394" s="43" t="inlineStr">
        <is>
          <t>来源页183</t>
        </is>
      </c>
      <c r="L2394" s="43">
        <f>A2394</f>
        <v/>
      </c>
      <c r="M2394" s="81" t="n"/>
      <c r="N2394" s="81" t="n"/>
      <c r="O2394" s="81" t="n"/>
      <c r="P2394" s="81" t="n"/>
      <c r="Q2394" s="81" t="n"/>
      <c r="R2394" s="81" t="n"/>
      <c r="S2394" s="81" t="n"/>
      <c r="T2394" s="81" t="n"/>
      <c r="U2394" s="81" t="n"/>
      <c r="V2394" s="81" t="n"/>
      <c r="W2394" s="43" t="n"/>
    </row>
    <row r="2395">
      <c r="A2395" s="43" t="inlineStr">
        <is>
          <t>N32</t>
        </is>
      </c>
      <c r="B2395" s="43" t="inlineStr"/>
      <c r="C2395" s="43" t="inlineStr">
        <is>
          <t>节段11</t>
        </is>
      </c>
      <c r="D2395" s="43" t="inlineStr">
        <is>
          <t>Q355D</t>
        </is>
      </c>
      <c r="E2395" s="43" t="n">
        <v>12551</v>
      </c>
      <c r="F2395" s="43" t="n">
        <v>1200</v>
      </c>
      <c r="G2395" s="43" t="n">
        <v>32</v>
      </c>
      <c r="H2395" s="79">
        <f>(E2395/1000)*(F2395/1000)*(G2395/1000)*7850</f>
        <v/>
      </c>
      <c r="I2395" s="43" t="n">
        <v>1</v>
      </c>
      <c r="J2395" s="80">
        <f>H2395*I2395</f>
        <v/>
      </c>
      <c r="K2395" s="43" t="inlineStr">
        <is>
          <t>来源页183</t>
        </is>
      </c>
      <c r="L2395" s="43">
        <f>A2395</f>
        <v/>
      </c>
      <c r="M2395" s="81" t="n"/>
      <c r="N2395" s="81" t="n"/>
      <c r="O2395" s="81" t="n"/>
      <c r="P2395" s="81" t="n"/>
      <c r="Q2395" s="81" t="n"/>
      <c r="R2395" s="81" t="n"/>
      <c r="S2395" s="81" t="n"/>
      <c r="T2395" s="81" t="n"/>
      <c r="U2395" s="81" t="n"/>
      <c r="V2395" s="81" t="n"/>
      <c r="W2395" s="43" t="n"/>
    </row>
    <row r="2396">
      <c r="A2396" s="43" t="inlineStr">
        <is>
          <t>N33</t>
        </is>
      </c>
      <c r="B2396" s="43" t="inlineStr"/>
      <c r="C2396" s="43" t="inlineStr">
        <is>
          <t>节段11</t>
        </is>
      </c>
      <c r="D2396" s="43" t="inlineStr">
        <is>
          <t>Q355D</t>
        </is>
      </c>
      <c r="E2396" s="43" t="n">
        <v>11151</v>
      </c>
      <c r="F2396" s="43" t="n">
        <v>240</v>
      </c>
      <c r="G2396" s="43" t="n">
        <v>24</v>
      </c>
      <c r="H2396" s="79">
        <f>(E2396/1000)*(F2396/1000)*(G2396/1000)*7850</f>
        <v/>
      </c>
      <c r="I2396" s="43" t="n">
        <v>2</v>
      </c>
      <c r="J2396" s="80">
        <f>H2396*I2396</f>
        <v/>
      </c>
      <c r="K2396" s="43" t="inlineStr">
        <is>
          <t>来源页183</t>
        </is>
      </c>
      <c r="L2396" s="43">
        <f>A2396</f>
        <v/>
      </c>
      <c r="M2396" s="81" t="n"/>
      <c r="N2396" s="81" t="n"/>
      <c r="O2396" s="81" t="n"/>
      <c r="P2396" s="81" t="n"/>
      <c r="Q2396" s="81" t="n"/>
      <c r="R2396" s="81" t="n"/>
      <c r="S2396" s="81" t="n"/>
      <c r="T2396" s="81" t="n"/>
      <c r="U2396" s="81" t="n"/>
      <c r="V2396" s="81" t="n"/>
      <c r="W2396" s="43" t="n"/>
    </row>
    <row r="2397">
      <c r="A2397" s="43" t="inlineStr">
        <is>
          <t>N41</t>
        </is>
      </c>
      <c r="B2397" s="43" t="inlineStr"/>
      <c r="C2397" s="43" t="inlineStr">
        <is>
          <t>节段11</t>
        </is>
      </c>
      <c r="D2397" s="43" t="inlineStr">
        <is>
          <t>Q355D</t>
        </is>
      </c>
      <c r="E2397" s="43" t="n">
        <v>3752</v>
      </c>
      <c r="F2397" s="43" t="n">
        <v>900</v>
      </c>
      <c r="G2397" s="43" t="n">
        <v>36</v>
      </c>
      <c r="H2397" s="79">
        <f>(E2397/1000)*(F2397/1000)*(G2397/1000)*7850</f>
        <v/>
      </c>
      <c r="I2397" s="43" t="n">
        <v>2</v>
      </c>
      <c r="J2397" s="80">
        <f>H2397*I2397</f>
        <v/>
      </c>
      <c r="K2397" s="43" t="inlineStr">
        <is>
          <t>来源页183</t>
        </is>
      </c>
      <c r="L2397" s="43">
        <f>A2397</f>
        <v/>
      </c>
      <c r="M2397" s="81" t="n"/>
      <c r="N2397" s="81" t="n"/>
      <c r="O2397" s="81" t="n"/>
      <c r="P2397" s="81" t="n"/>
      <c r="Q2397" s="81" t="n"/>
      <c r="R2397" s="81" t="n"/>
      <c r="S2397" s="81" t="n"/>
      <c r="T2397" s="81" t="n"/>
      <c r="U2397" s="81" t="n"/>
      <c r="V2397" s="81" t="n"/>
      <c r="W2397" s="43" t="n"/>
    </row>
    <row r="2398">
      <c r="A2398" s="43" t="inlineStr">
        <is>
          <t>N42</t>
        </is>
      </c>
      <c r="B2398" s="43" t="inlineStr"/>
      <c r="C2398" s="43" t="inlineStr">
        <is>
          <t>节段11</t>
        </is>
      </c>
      <c r="D2398" s="43" t="inlineStr">
        <is>
          <t>Q355D</t>
        </is>
      </c>
      <c r="E2398" s="43" t="n">
        <v>6052</v>
      </c>
      <c r="F2398" s="43" t="n">
        <v>1200</v>
      </c>
      <c r="G2398" s="43" t="n">
        <v>32</v>
      </c>
      <c r="H2398" s="79">
        <f>(E2398/1000)*(F2398/1000)*(G2398/1000)*7850</f>
        <v/>
      </c>
      <c r="I2398" s="43" t="n">
        <v>1</v>
      </c>
      <c r="J2398" s="80">
        <f>H2398*I2398</f>
        <v/>
      </c>
      <c r="K2398" s="43" t="inlineStr">
        <is>
          <t>来源页183</t>
        </is>
      </c>
      <c r="L2398" s="43">
        <f>A2398</f>
        <v/>
      </c>
      <c r="M2398" s="81" t="n"/>
      <c r="N2398" s="81" t="n"/>
      <c r="O2398" s="81" t="n"/>
      <c r="P2398" s="81" t="n"/>
      <c r="Q2398" s="81" t="n"/>
      <c r="R2398" s="81" t="n"/>
      <c r="S2398" s="81" t="n"/>
      <c r="T2398" s="81" t="n"/>
      <c r="U2398" s="81" t="n"/>
      <c r="V2398" s="81" t="n"/>
      <c r="W2398" s="43" t="n"/>
    </row>
    <row r="2399">
      <c r="A2399" s="43" t="inlineStr">
        <is>
          <t>N43</t>
        </is>
      </c>
      <c r="B2399" s="43" t="inlineStr"/>
      <c r="C2399" s="43" t="inlineStr">
        <is>
          <t>节段11</t>
        </is>
      </c>
      <c r="D2399" s="43" t="inlineStr">
        <is>
          <t>Q355D</t>
        </is>
      </c>
      <c r="E2399" s="43" t="n">
        <v>5352</v>
      </c>
      <c r="F2399" s="43" t="n">
        <v>240</v>
      </c>
      <c r="G2399" s="43" t="n">
        <v>24</v>
      </c>
      <c r="H2399" s="79">
        <f>(E2399/1000)*(F2399/1000)*(G2399/1000)*7850</f>
        <v/>
      </c>
      <c r="I2399" s="43" t="n">
        <v>2</v>
      </c>
      <c r="J2399" s="80">
        <f>H2399*I2399</f>
        <v/>
      </c>
      <c r="K2399" s="43" t="inlineStr">
        <is>
          <t>来源页183</t>
        </is>
      </c>
      <c r="L2399" s="43">
        <f>A2399</f>
        <v/>
      </c>
      <c r="M2399" s="81" t="n"/>
      <c r="N2399" s="81" t="n"/>
      <c r="O2399" s="81" t="n"/>
      <c r="P2399" s="81" t="n"/>
      <c r="Q2399" s="81" t="n"/>
      <c r="R2399" s="81" t="n"/>
      <c r="S2399" s="81" t="n"/>
      <c r="T2399" s="81" t="n"/>
      <c r="U2399" s="81" t="n"/>
      <c r="V2399" s="81" t="n"/>
      <c r="W2399" s="43" t="n"/>
    </row>
    <row r="2400">
      <c r="A2400" s="43" t="inlineStr">
        <is>
          <t>N51</t>
        </is>
      </c>
      <c r="B2400" s="43" t="inlineStr"/>
      <c r="C2400" s="43" t="inlineStr">
        <is>
          <t>节段11</t>
        </is>
      </c>
      <c r="D2400" s="43" t="inlineStr">
        <is>
          <t>Q355D</t>
        </is>
      </c>
      <c r="E2400" s="43" t="n">
        <v>3789</v>
      </c>
      <c r="F2400" s="43" t="n">
        <v>900</v>
      </c>
      <c r="G2400" s="43" t="n">
        <v>36</v>
      </c>
      <c r="H2400" s="79">
        <f>(E2400/1000)*(F2400/1000)*(G2400/1000)*7850</f>
        <v/>
      </c>
      <c r="I2400" s="43" t="n">
        <v>2</v>
      </c>
      <c r="J2400" s="80">
        <f>H2400*I2400</f>
        <v/>
      </c>
      <c r="K2400" s="43" t="inlineStr">
        <is>
          <t>来源页183</t>
        </is>
      </c>
      <c r="L2400" s="43">
        <f>A2400</f>
        <v/>
      </c>
      <c r="M2400" s="81" t="n"/>
      <c r="N2400" s="81" t="n"/>
      <c r="O2400" s="81" t="n"/>
      <c r="P2400" s="81" t="n"/>
      <c r="Q2400" s="81" t="n"/>
      <c r="R2400" s="81" t="n"/>
      <c r="S2400" s="81" t="n"/>
      <c r="T2400" s="81" t="n"/>
      <c r="U2400" s="81" t="n"/>
      <c r="V2400" s="81" t="n"/>
      <c r="W2400" s="43" t="n"/>
    </row>
    <row r="2401">
      <c r="A2401" s="43" t="inlineStr">
        <is>
          <t>N52</t>
        </is>
      </c>
      <c r="B2401" s="43" t="inlineStr"/>
      <c r="C2401" s="43" t="inlineStr">
        <is>
          <t>节段11</t>
        </is>
      </c>
      <c r="D2401" s="43" t="inlineStr">
        <is>
          <t>Q355D</t>
        </is>
      </c>
      <c r="E2401" s="43" t="n">
        <v>6389</v>
      </c>
      <c r="F2401" s="43" t="n">
        <v>1200</v>
      </c>
      <c r="G2401" s="43" t="n">
        <v>32</v>
      </c>
      <c r="H2401" s="79">
        <f>(E2401/1000)*(F2401/1000)*(G2401/1000)*7850</f>
        <v/>
      </c>
      <c r="I2401" s="43" t="n">
        <v>1</v>
      </c>
      <c r="J2401" s="80">
        <f>H2401*I2401</f>
        <v/>
      </c>
      <c r="K2401" s="43" t="inlineStr">
        <is>
          <t>来源页183</t>
        </is>
      </c>
      <c r="L2401" s="43">
        <f>A2401</f>
        <v/>
      </c>
      <c r="M2401" s="81" t="n"/>
      <c r="N2401" s="81" t="n"/>
      <c r="O2401" s="81" t="n"/>
      <c r="P2401" s="81" t="n"/>
      <c r="Q2401" s="81" t="n"/>
      <c r="R2401" s="81" t="n"/>
      <c r="S2401" s="81" t="n"/>
      <c r="T2401" s="81" t="n"/>
      <c r="U2401" s="81" t="n"/>
      <c r="V2401" s="81" t="n"/>
      <c r="W2401" s="43" t="n"/>
    </row>
    <row r="2402">
      <c r="A2402" s="43" t="inlineStr">
        <is>
          <t>N53</t>
        </is>
      </c>
      <c r="B2402" s="43" t="inlineStr"/>
      <c r="C2402" s="43" t="inlineStr">
        <is>
          <t>节段11</t>
        </is>
      </c>
      <c r="D2402" s="43" t="inlineStr">
        <is>
          <t>Q355D</t>
        </is>
      </c>
      <c r="E2402" s="43" t="n">
        <v>5689</v>
      </c>
      <c r="F2402" s="43" t="n">
        <v>240</v>
      </c>
      <c r="G2402" s="43" t="n">
        <v>24</v>
      </c>
      <c r="H2402" s="79">
        <f>(E2402/1000)*(F2402/1000)*(G2402/1000)*7850</f>
        <v/>
      </c>
      <c r="I2402" s="43" t="n">
        <v>2</v>
      </c>
      <c r="J2402" s="80">
        <f>H2402*I2402</f>
        <v/>
      </c>
      <c r="K2402" s="43" t="inlineStr">
        <is>
          <t>来源页183</t>
        </is>
      </c>
      <c r="L2402" s="43">
        <f>A2402</f>
        <v/>
      </c>
      <c r="M2402" s="81" t="n"/>
      <c r="N2402" s="81" t="n"/>
      <c r="O2402" s="81" t="n"/>
      <c r="P2402" s="81" t="n"/>
      <c r="Q2402" s="81" t="n"/>
      <c r="R2402" s="81" t="n"/>
      <c r="S2402" s="81" t="n"/>
      <c r="T2402" s="81" t="n"/>
      <c r="U2402" s="81" t="n"/>
      <c r="V2402" s="81" t="n"/>
      <c r="W2402" s="43" t="n"/>
    </row>
    <row r="2403">
      <c r="A2403" s="43" t="inlineStr">
        <is>
          <t>N54</t>
        </is>
      </c>
      <c r="B2403" s="43" t="inlineStr"/>
      <c r="C2403" s="43" t="inlineStr">
        <is>
          <t>节段11</t>
        </is>
      </c>
      <c r="D2403" s="43" t="inlineStr">
        <is>
          <t>Q355D</t>
        </is>
      </c>
      <c r="E2403" s="43" t="n">
        <v>1123</v>
      </c>
      <c r="F2403" s="43" t="n">
        <v>1200</v>
      </c>
      <c r="G2403" s="43" t="n">
        <v>20</v>
      </c>
      <c r="H2403" s="79">
        <f>(E2403/1000)*(F2403/1000)*(G2403/1000)*7850</f>
        <v/>
      </c>
      <c r="I2403" s="43" t="n">
        <v>1</v>
      </c>
      <c r="J2403" s="80">
        <f>H2403*I2403</f>
        <v/>
      </c>
      <c r="K2403" s="43" t="inlineStr">
        <is>
          <t>来源页183</t>
        </is>
      </c>
      <c r="L2403" s="43">
        <f>A2403</f>
        <v/>
      </c>
      <c r="M2403" s="81" t="n"/>
      <c r="N2403" s="81" t="n"/>
      <c r="O2403" s="81" t="n"/>
      <c r="P2403" s="81" t="n"/>
      <c r="Q2403" s="81" t="n"/>
      <c r="R2403" s="81" t="n"/>
      <c r="S2403" s="81" t="n"/>
      <c r="T2403" s="81" t="n"/>
      <c r="U2403" s="81" t="n"/>
      <c r="V2403" s="81" t="n"/>
      <c r="W2403" s="43" t="n"/>
    </row>
    <row r="2404">
      <c r="A2404" s="43" t="inlineStr">
        <is>
          <t>N55</t>
        </is>
      </c>
      <c r="B2404" s="43" t="inlineStr"/>
      <c r="C2404" s="43" t="inlineStr">
        <is>
          <t>节段11</t>
        </is>
      </c>
      <c r="D2404" s="43" t="inlineStr">
        <is>
          <t>Q355D</t>
        </is>
      </c>
      <c r="E2404" s="43" t="n">
        <v>1089</v>
      </c>
      <c r="F2404" s="43" t="n">
        <v>1200</v>
      </c>
      <c r="G2404" s="43" t="n">
        <v>20</v>
      </c>
      <c r="H2404" s="79">
        <f>(E2404/1000)*(F2404/1000)*(G2404/1000)*7850</f>
        <v/>
      </c>
      <c r="I2404" s="43" t="n">
        <v>2</v>
      </c>
      <c r="J2404" s="80">
        <f>H2404*I2404</f>
        <v/>
      </c>
      <c r="K2404" s="43" t="inlineStr">
        <is>
          <t>来源页183</t>
        </is>
      </c>
      <c r="L2404" s="43">
        <f>A2404</f>
        <v/>
      </c>
      <c r="M2404" s="81" t="n"/>
      <c r="N2404" s="81" t="n"/>
      <c r="O2404" s="81" t="n"/>
      <c r="P2404" s="81" t="n"/>
      <c r="Q2404" s="81" t="n"/>
      <c r="R2404" s="81" t="n"/>
      <c r="S2404" s="81" t="n"/>
      <c r="T2404" s="81" t="n"/>
      <c r="U2404" s="81" t="n"/>
      <c r="V2404" s="81" t="n"/>
      <c r="W2404" s="43" t="n"/>
    </row>
    <row r="2405">
      <c r="A2405" s="43" t="inlineStr">
        <is>
          <t>N61</t>
        </is>
      </c>
      <c r="B2405" s="43" t="inlineStr"/>
      <c r="C2405" s="43" t="inlineStr">
        <is>
          <t>节段11</t>
        </is>
      </c>
      <c r="D2405" s="43" t="inlineStr">
        <is>
          <t>Q355D</t>
        </is>
      </c>
      <c r="E2405" s="43" t="n">
        <v>1580</v>
      </c>
      <c r="F2405" s="43" t="n">
        <v>610</v>
      </c>
      <c r="G2405" s="43" t="n">
        <v>14</v>
      </c>
      <c r="H2405" s="79">
        <f>(E2405/1000)*(F2405/1000)*(G2405/1000)*7850</f>
        <v/>
      </c>
      <c r="I2405" s="43" t="n">
        <v>3</v>
      </c>
      <c r="J2405" s="80">
        <f>H2405*I2405</f>
        <v/>
      </c>
      <c r="K2405" s="43" t="inlineStr">
        <is>
          <t>来源页183</t>
        </is>
      </c>
      <c r="L2405" s="43">
        <f>A2405</f>
        <v/>
      </c>
      <c r="M2405" s="81" t="n"/>
      <c r="N2405" s="81" t="n"/>
      <c r="O2405" s="81" t="n"/>
      <c r="P2405" s="81" t="n"/>
      <c r="Q2405" s="81" t="n"/>
      <c r="R2405" s="81" t="n"/>
      <c r="S2405" s="81" t="n"/>
      <c r="T2405" s="81" t="n"/>
      <c r="U2405" s="81" t="n"/>
      <c r="V2405" s="81" t="n"/>
      <c r="W2405" s="43" t="n"/>
    </row>
    <row r="2406">
      <c r="A2406" s="43" t="inlineStr">
        <is>
          <t>N61a</t>
        </is>
      </c>
      <c r="B2406" s="43" t="inlineStr"/>
      <c r="C2406" s="43" t="inlineStr">
        <is>
          <t>节段11</t>
        </is>
      </c>
      <c r="D2406" s="43" t="inlineStr">
        <is>
          <t>Q355D</t>
        </is>
      </c>
      <c r="E2406" s="43" t="n">
        <v>1580</v>
      </c>
      <c r="F2406" s="43" t="n">
        <v>622</v>
      </c>
      <c r="G2406" s="43" t="n">
        <v>14</v>
      </c>
      <c r="H2406" s="79">
        <f>(E2406/1000)*(F2406/1000)*(G2406/1000)*7850</f>
        <v/>
      </c>
      <c r="I2406" s="43" t="n">
        <v>2</v>
      </c>
      <c r="J2406" s="80">
        <f>H2406*I2406</f>
        <v/>
      </c>
      <c r="K2406" s="43" t="inlineStr">
        <is>
          <t>来源页183</t>
        </is>
      </c>
      <c r="L2406" s="43">
        <f>A2406</f>
        <v/>
      </c>
      <c r="M2406" s="81" t="n"/>
      <c r="N2406" s="81" t="n"/>
      <c r="O2406" s="81" t="n"/>
      <c r="P2406" s="81" t="n"/>
      <c r="Q2406" s="81" t="n"/>
      <c r="R2406" s="81" t="n"/>
      <c r="S2406" s="81" t="n"/>
      <c r="T2406" s="81" t="n"/>
      <c r="U2406" s="81" t="n"/>
      <c r="V2406" s="81" t="n"/>
      <c r="W2406" s="43" t="n"/>
    </row>
    <row r="2407">
      <c r="A2407" s="43" t="inlineStr">
        <is>
          <t>N62</t>
        </is>
      </c>
      <c r="B2407" s="43" t="inlineStr"/>
      <c r="C2407" s="43" t="inlineStr">
        <is>
          <t>节段11</t>
        </is>
      </c>
      <c r="D2407" s="43" t="inlineStr">
        <is>
          <t>Q355D</t>
        </is>
      </c>
      <c r="E2407" s="43" t="n"/>
      <c r="F2407" s="43" t="n"/>
      <c r="G2407" s="43" t="n">
        <v>24</v>
      </c>
      <c r="H2407" s="79">
        <f>(E2407/1000)*(F2407/1000)*(G2407/1000)*7850</f>
        <v/>
      </c>
      <c r="I2407" s="43" t="n">
        <v>3</v>
      </c>
      <c r="J2407" s="80">
        <f>H2407*I2407</f>
        <v/>
      </c>
      <c r="K2407" s="43" t="inlineStr">
        <is>
          <t>来源页183</t>
        </is>
      </c>
      <c r="L2407" s="43">
        <f>A2407</f>
        <v/>
      </c>
      <c r="M2407" s="81" t="n"/>
      <c r="N2407" s="81" t="n"/>
      <c r="O2407" s="81" t="n"/>
      <c r="P2407" s="81" t="n"/>
      <c r="Q2407" s="81" t="n"/>
      <c r="R2407" s="81" t="n"/>
      <c r="S2407" s="81" t="n"/>
      <c r="T2407" s="81" t="n"/>
      <c r="U2407" s="81" t="n"/>
      <c r="V2407" s="81" t="n"/>
      <c r="W2407" s="43" t="n"/>
    </row>
    <row r="2408">
      <c r="A2408" s="43" t="inlineStr">
        <is>
          <t>N62a</t>
        </is>
      </c>
      <c r="B2408" s="43" t="inlineStr"/>
      <c r="C2408" s="43" t="inlineStr">
        <is>
          <t>节段11</t>
        </is>
      </c>
      <c r="D2408" s="43" t="inlineStr">
        <is>
          <t>Q355D</t>
        </is>
      </c>
      <c r="E2408" s="43" t="n"/>
      <c r="F2408" s="43" t="n"/>
      <c r="G2408" s="43" t="n">
        <v>24</v>
      </c>
      <c r="H2408" s="79">
        <f>(E2408/1000)*(F2408/1000)*(G2408/1000)*7850</f>
        <v/>
      </c>
      <c r="I2408" s="43" t="n">
        <v>2</v>
      </c>
      <c r="J2408" s="80">
        <f>H2408*I2408</f>
        <v/>
      </c>
      <c r="K2408" s="43" t="inlineStr">
        <is>
          <t>来源页183</t>
        </is>
      </c>
      <c r="L2408" s="43">
        <f>A2408</f>
        <v/>
      </c>
      <c r="M2408" s="81" t="n"/>
      <c r="N2408" s="81" t="n"/>
      <c r="O2408" s="81" t="n"/>
      <c r="P2408" s="81" t="n"/>
      <c r="Q2408" s="81" t="n"/>
      <c r="R2408" s="81" t="n"/>
      <c r="S2408" s="81" t="n"/>
      <c r="T2408" s="81" t="n"/>
      <c r="U2408" s="81" t="n"/>
      <c r="V2408" s="81" t="n"/>
      <c r="W2408" s="43" t="n"/>
    </row>
    <row r="2409">
      <c r="A2409" s="43" t="inlineStr">
        <is>
          <t>N63</t>
        </is>
      </c>
      <c r="B2409" s="43" t="inlineStr"/>
      <c r="C2409" s="43" t="inlineStr">
        <is>
          <t>节段11</t>
        </is>
      </c>
      <c r="D2409" s="43" t="inlineStr">
        <is>
          <t>Q355D</t>
        </is>
      </c>
      <c r="E2409" s="43" t="n">
        <v>1450</v>
      </c>
      <c r="F2409" s="43" t="n">
        <v>606</v>
      </c>
      <c r="G2409" s="43" t="n">
        <v>14</v>
      </c>
      <c r="H2409" s="79">
        <f>(E2409/1000)*(F2409/1000)*(G2409/1000)*7850</f>
        <v/>
      </c>
      <c r="I2409" s="43" t="n">
        <v>3</v>
      </c>
      <c r="J2409" s="80">
        <f>H2409*I2409</f>
        <v/>
      </c>
      <c r="K2409" s="43" t="inlineStr">
        <is>
          <t>来源页183</t>
        </is>
      </c>
      <c r="L2409" s="43">
        <f>A2409</f>
        <v/>
      </c>
      <c r="M2409" s="81" t="n"/>
      <c r="N2409" s="81" t="n"/>
      <c r="O2409" s="81" t="n"/>
      <c r="P2409" s="81" t="n"/>
      <c r="Q2409" s="81" t="n"/>
      <c r="R2409" s="81" t="n"/>
      <c r="S2409" s="81" t="n"/>
      <c r="T2409" s="81" t="n"/>
      <c r="U2409" s="81" t="n"/>
      <c r="V2409" s="81" t="n"/>
      <c r="W2409" s="43" t="n"/>
    </row>
    <row r="2410">
      <c r="A2410" s="43" t="inlineStr">
        <is>
          <t>N63a</t>
        </is>
      </c>
      <c r="B2410" s="43" t="inlineStr"/>
      <c r="C2410" s="43" t="inlineStr">
        <is>
          <t>节段11</t>
        </is>
      </c>
      <c r="D2410" s="43" t="inlineStr">
        <is>
          <t>Q355D</t>
        </is>
      </c>
      <c r="E2410" s="43" t="n">
        <v>1450</v>
      </c>
      <c r="F2410" s="43" t="n">
        <v>618</v>
      </c>
      <c r="G2410" s="43" t="n">
        <v>14</v>
      </c>
      <c r="H2410" s="79">
        <f>(E2410/1000)*(F2410/1000)*(G2410/1000)*7850</f>
        <v/>
      </c>
      <c r="I2410" s="43" t="n">
        <v>2</v>
      </c>
      <c r="J2410" s="80">
        <f>H2410*I2410</f>
        <v/>
      </c>
      <c r="K2410" s="43" t="inlineStr">
        <is>
          <t>来源页183</t>
        </is>
      </c>
      <c r="L2410" s="43">
        <f>A2410</f>
        <v/>
      </c>
      <c r="M2410" s="81" t="n"/>
      <c r="N2410" s="81" t="n"/>
      <c r="O2410" s="81" t="n"/>
      <c r="P2410" s="81" t="n"/>
      <c r="Q2410" s="81" t="n"/>
      <c r="R2410" s="81" t="n"/>
      <c r="S2410" s="81" t="n"/>
      <c r="T2410" s="81" t="n"/>
      <c r="U2410" s="81" t="n"/>
      <c r="V2410" s="81" t="n"/>
      <c r="W2410" s="43" t="n"/>
    </row>
    <row r="2411">
      <c r="A2411" s="43" t="inlineStr">
        <is>
          <t>P1</t>
        </is>
      </c>
      <c r="B2411" s="43" t="inlineStr">
        <is>
          <t>上弦杆拼接</t>
        </is>
      </c>
      <c r="C2411" s="43" t="inlineStr">
        <is>
          <t>节段11~节段12</t>
        </is>
      </c>
      <c r="D2411" s="43" t="inlineStr">
        <is>
          <t>Q355D</t>
        </is>
      </c>
      <c r="E2411" s="43" t="n">
        <v>1020</v>
      </c>
      <c r="F2411" s="43" t="n">
        <v>1400</v>
      </c>
      <c r="G2411" s="43" t="n">
        <v>24</v>
      </c>
      <c r="H2411" s="79">
        <f>(E2411/1000)*(F2411/1000)*(G2411/1000)*7850</f>
        <v/>
      </c>
      <c r="I2411" s="43" t="n">
        <v>2</v>
      </c>
      <c r="J2411" s="80">
        <f>H2411*I2411</f>
        <v/>
      </c>
      <c r="K2411" s="43" t="inlineStr">
        <is>
          <t>来源页186</t>
        </is>
      </c>
      <c r="L2411" s="43">
        <f>A2411</f>
        <v/>
      </c>
      <c r="M2411" s="81" t="n"/>
      <c r="N2411" s="81" t="n"/>
      <c r="O2411" s="81" t="n"/>
      <c r="P2411" s="81" t="n"/>
      <c r="Q2411" s="81" t="n"/>
      <c r="R2411" s="81" t="n"/>
      <c r="S2411" s="81" t="n"/>
      <c r="T2411" s="81" t="n"/>
      <c r="U2411" s="81" t="n"/>
      <c r="V2411" s="81" t="n"/>
      <c r="W2411" s="43" t="n"/>
    </row>
    <row r="2412">
      <c r="A2412" s="43" t="inlineStr">
        <is>
          <t>P2</t>
        </is>
      </c>
      <c r="B2412" s="43" t="inlineStr">
        <is>
          <t>上弦杆拼接</t>
        </is>
      </c>
      <c r="C2412" s="43" t="inlineStr">
        <is>
          <t>节段11~节段12</t>
        </is>
      </c>
      <c r="D2412" s="43" t="inlineStr">
        <is>
          <t>Q355D</t>
        </is>
      </c>
      <c r="E2412" s="43" t="n">
        <v>1020</v>
      </c>
      <c r="F2412" s="43" t="n">
        <v>300</v>
      </c>
      <c r="G2412" s="43" t="n">
        <v>24</v>
      </c>
      <c r="H2412" s="79">
        <f>(E2412/1000)*(F2412/1000)*(G2412/1000)*7850</f>
        <v/>
      </c>
      <c r="I2412" s="43" t="n">
        <v>2</v>
      </c>
      <c r="J2412" s="80">
        <f>H2412*I2412</f>
        <v/>
      </c>
      <c r="K2412" s="43" t="inlineStr">
        <is>
          <t>来源页186</t>
        </is>
      </c>
      <c r="L2412" s="43">
        <f>A2412</f>
        <v/>
      </c>
      <c r="M2412" s="81" t="n"/>
      <c r="N2412" s="81" t="n"/>
      <c r="O2412" s="81" t="n"/>
      <c r="P2412" s="81" t="n"/>
      <c r="Q2412" s="81" t="n"/>
      <c r="R2412" s="81" t="n"/>
      <c r="S2412" s="81" t="n"/>
      <c r="T2412" s="81" t="n"/>
      <c r="U2412" s="81" t="n"/>
      <c r="V2412" s="81" t="n"/>
      <c r="W2412" s="43" t="n"/>
    </row>
    <row r="2413">
      <c r="A2413" s="43" t="inlineStr">
        <is>
          <t>P3</t>
        </is>
      </c>
      <c r="B2413" s="43" t="inlineStr">
        <is>
          <t>上弦杆拼接</t>
        </is>
      </c>
      <c r="C2413" s="43" t="inlineStr">
        <is>
          <t>节段11~节段12</t>
        </is>
      </c>
      <c r="D2413" s="43" t="inlineStr">
        <is>
          <t>Q355D</t>
        </is>
      </c>
      <c r="E2413" s="43" t="n">
        <v>1020</v>
      </c>
      <c r="F2413" s="43" t="n">
        <v>500</v>
      </c>
      <c r="G2413" s="43" t="n">
        <v>24</v>
      </c>
      <c r="H2413" s="79">
        <f>(E2413/1000)*(F2413/1000)*(G2413/1000)*7850</f>
        <v/>
      </c>
      <c r="I2413" s="43" t="n">
        <v>2</v>
      </c>
      <c r="J2413" s="80">
        <f>H2413*I2413</f>
        <v/>
      </c>
      <c r="K2413" s="43" t="inlineStr">
        <is>
          <t>来源页186</t>
        </is>
      </c>
      <c r="L2413" s="43">
        <f>A2413</f>
        <v/>
      </c>
      <c r="M2413" s="81" t="n"/>
      <c r="N2413" s="81" t="n"/>
      <c r="O2413" s="81" t="n"/>
      <c r="P2413" s="81" t="n"/>
      <c r="Q2413" s="81" t="n"/>
      <c r="R2413" s="81" t="n"/>
      <c r="S2413" s="81" t="n"/>
      <c r="T2413" s="81" t="n"/>
      <c r="U2413" s="81" t="n"/>
      <c r="V2413" s="81" t="n"/>
      <c r="W2413" s="43" t="n"/>
    </row>
    <row r="2414">
      <c r="A2414" s="43" t="inlineStr">
        <is>
          <t>P4</t>
        </is>
      </c>
      <c r="B2414" s="43" t="inlineStr">
        <is>
          <t>上弦杆拼接</t>
        </is>
      </c>
      <c r="C2414" s="43" t="inlineStr">
        <is>
          <t>节段11~节段12</t>
        </is>
      </c>
      <c r="D2414" s="43" t="inlineStr">
        <is>
          <t>Q355D</t>
        </is>
      </c>
      <c r="E2414" s="43" t="n">
        <v>1020</v>
      </c>
      <c r="F2414" s="43" t="n">
        <v>400</v>
      </c>
      <c r="G2414" s="43" t="n">
        <v>24</v>
      </c>
      <c r="H2414" s="79">
        <f>(E2414/1000)*(F2414/1000)*(G2414/1000)*7850</f>
        <v/>
      </c>
      <c r="I2414" s="43" t="n">
        <v>2</v>
      </c>
      <c r="J2414" s="80">
        <f>H2414*I2414</f>
        <v/>
      </c>
      <c r="K2414" s="43" t="inlineStr">
        <is>
          <t>来源页186</t>
        </is>
      </c>
      <c r="L2414" s="43">
        <f>A2414</f>
        <v/>
      </c>
      <c r="M2414" s="81" t="n"/>
      <c r="N2414" s="81" t="n"/>
      <c r="O2414" s="81" t="n"/>
      <c r="P2414" s="81" t="n"/>
      <c r="Q2414" s="81" t="n"/>
      <c r="R2414" s="81" t="n"/>
      <c r="S2414" s="81" t="n"/>
      <c r="T2414" s="81" t="n"/>
      <c r="U2414" s="81" t="n"/>
      <c r="V2414" s="81" t="n"/>
      <c r="W2414" s="43" t="n"/>
    </row>
    <row r="2415">
      <c r="A2415" s="43" t="inlineStr">
        <is>
          <t>P5</t>
        </is>
      </c>
      <c r="B2415" s="43" t="inlineStr">
        <is>
          <t>上弦杆拼接</t>
        </is>
      </c>
      <c r="C2415" s="43" t="inlineStr">
        <is>
          <t>节段11~节段12</t>
        </is>
      </c>
      <c r="D2415" s="43" t="inlineStr">
        <is>
          <t>Q355D</t>
        </is>
      </c>
      <c r="E2415" s="43" t="n">
        <v>1420</v>
      </c>
      <c r="F2415" s="43" t="n">
        <v>1100</v>
      </c>
      <c r="G2415" s="43" t="n">
        <v>28</v>
      </c>
      <c r="H2415" s="79">
        <f>(E2415/1000)*(F2415/1000)*(G2415/1000)*7850</f>
        <v/>
      </c>
      <c r="I2415" s="43" t="n">
        <v>1</v>
      </c>
      <c r="J2415" s="80">
        <f>H2415*I2415</f>
        <v/>
      </c>
      <c r="K2415" s="43" t="inlineStr">
        <is>
          <t>来源页186</t>
        </is>
      </c>
      <c r="L2415" s="43">
        <f>A2415</f>
        <v/>
      </c>
      <c r="M2415" s="81" t="n"/>
      <c r="N2415" s="81" t="n"/>
      <c r="O2415" s="81" t="n"/>
      <c r="P2415" s="81" t="n"/>
      <c r="Q2415" s="81" t="n"/>
      <c r="R2415" s="81" t="n"/>
      <c r="S2415" s="81" t="n"/>
      <c r="T2415" s="81" t="n"/>
      <c r="U2415" s="81" t="n"/>
      <c r="V2415" s="81" t="n"/>
      <c r="W2415" s="43" t="n"/>
    </row>
    <row r="2416">
      <c r="A2416" s="43" t="inlineStr">
        <is>
          <t>P6</t>
        </is>
      </c>
      <c r="B2416" s="43" t="inlineStr">
        <is>
          <t>上弦杆拼接</t>
        </is>
      </c>
      <c r="C2416" s="43" t="inlineStr">
        <is>
          <t>节段11~节段12</t>
        </is>
      </c>
      <c r="D2416" s="43" t="inlineStr">
        <is>
          <t>Q355D</t>
        </is>
      </c>
      <c r="E2416" s="43" t="n">
        <v>1420</v>
      </c>
      <c r="F2416" s="43" t="n">
        <v>400</v>
      </c>
      <c r="G2416" s="43" t="n">
        <v>28</v>
      </c>
      <c r="H2416" s="79">
        <f>(E2416/1000)*(F2416/1000)*(G2416/1000)*7850</f>
        <v/>
      </c>
      <c r="I2416" s="43" t="n">
        <v>2</v>
      </c>
      <c r="J2416" s="80">
        <f>H2416*I2416</f>
        <v/>
      </c>
      <c r="K2416" s="43" t="inlineStr">
        <is>
          <t>来源页186</t>
        </is>
      </c>
      <c r="L2416" s="43">
        <f>A2416</f>
        <v/>
      </c>
      <c r="M2416" s="81" t="n"/>
      <c r="N2416" s="81" t="n"/>
      <c r="O2416" s="81" t="n"/>
      <c r="P2416" s="81" t="n"/>
      <c r="Q2416" s="81" t="n"/>
      <c r="R2416" s="81" t="n"/>
      <c r="S2416" s="81" t="n"/>
      <c r="T2416" s="81" t="n"/>
      <c r="U2416" s="81" t="n"/>
      <c r="V2416" s="81" t="n"/>
      <c r="W2416" s="43" t="n"/>
    </row>
    <row r="2417">
      <c r="A2417" s="43" t="inlineStr">
        <is>
          <t>P7</t>
        </is>
      </c>
      <c r="B2417" s="43" t="inlineStr">
        <is>
          <t>上弦杆拼接</t>
        </is>
      </c>
      <c r="C2417" s="43" t="inlineStr">
        <is>
          <t>节段11~节段12</t>
        </is>
      </c>
      <c r="D2417" s="43" t="inlineStr">
        <is>
          <t>Q355D</t>
        </is>
      </c>
      <c r="E2417" s="43" t="n">
        <v>920</v>
      </c>
      <c r="F2417" s="43" t="n">
        <v>200</v>
      </c>
      <c r="G2417" s="43" t="n">
        <v>20</v>
      </c>
      <c r="H2417" s="79">
        <f>(E2417/1000)*(F2417/1000)*(G2417/1000)*7850</f>
        <v/>
      </c>
      <c r="I2417" s="43" t="n">
        <v>10</v>
      </c>
      <c r="J2417" s="80">
        <f>H2417*I2417</f>
        <v/>
      </c>
      <c r="K2417" s="43" t="inlineStr">
        <is>
          <t>来源页186</t>
        </is>
      </c>
      <c r="L2417" s="43">
        <f>A2417</f>
        <v/>
      </c>
      <c r="M2417" s="81" t="n"/>
      <c r="N2417" s="81" t="n"/>
      <c r="O2417" s="81" t="n"/>
      <c r="P2417" s="81" t="n"/>
      <c r="Q2417" s="81" t="n"/>
      <c r="R2417" s="81" t="n"/>
      <c r="S2417" s="81" t="n"/>
      <c r="T2417" s="81" t="n"/>
      <c r="U2417" s="81" t="n"/>
      <c r="V2417" s="81" t="n"/>
      <c r="W2417" s="43" t="n"/>
    </row>
    <row r="2418">
      <c r="A2418" s="43" t="inlineStr">
        <is>
          <t>P8</t>
        </is>
      </c>
      <c r="B2418" s="43" t="inlineStr">
        <is>
          <t>上弦杆拼接</t>
        </is>
      </c>
      <c r="C2418" s="43" t="inlineStr">
        <is>
          <t>节段11~节段12</t>
        </is>
      </c>
      <c r="D2418" s="43" t="inlineStr">
        <is>
          <t>Q355D</t>
        </is>
      </c>
      <c r="E2418" s="43" t="n">
        <v>600</v>
      </c>
      <c r="F2418" s="43" t="n">
        <v>1800</v>
      </c>
      <c r="G2418" s="43" t="n">
        <v>12</v>
      </c>
      <c r="H2418" s="79">
        <f>(E2418/1000)*(F2418/1000)*(G2418/1000)*7850</f>
        <v/>
      </c>
      <c r="I2418" s="43" t="n">
        <v>2</v>
      </c>
      <c r="J2418" s="80">
        <f>H2418*I2418</f>
        <v/>
      </c>
      <c r="K2418" s="43" t="inlineStr">
        <is>
          <t>来源页186</t>
        </is>
      </c>
      <c r="L2418" s="43">
        <f>A2418</f>
        <v/>
      </c>
      <c r="M2418" s="81" t="n"/>
      <c r="N2418" s="81" t="n"/>
      <c r="O2418" s="81" t="n"/>
      <c r="P2418" s="81" t="n"/>
      <c r="Q2418" s="81" t="n"/>
      <c r="R2418" s="81" t="n"/>
      <c r="S2418" s="81" t="n"/>
      <c r="T2418" s="81" t="n"/>
      <c r="U2418" s="81" t="n"/>
      <c r="V2418" s="81" t="n"/>
      <c r="W2418" s="43" t="n"/>
    </row>
    <row r="2419">
      <c r="A2419" s="43" t="inlineStr">
        <is>
          <t>P9</t>
        </is>
      </c>
      <c r="B2419" s="43" t="inlineStr">
        <is>
          <t>上弦杆拼接</t>
        </is>
      </c>
      <c r="C2419" s="43" t="inlineStr">
        <is>
          <t>节段11~节段12</t>
        </is>
      </c>
      <c r="D2419" s="43" t="inlineStr">
        <is>
          <t>Q355D</t>
        </is>
      </c>
      <c r="E2419" s="43" t="n">
        <v>700</v>
      </c>
      <c r="F2419" s="43" t="n">
        <v>1100</v>
      </c>
      <c r="G2419" s="43" t="n">
        <v>4</v>
      </c>
      <c r="H2419" s="79">
        <f>(E2419/1000)*(F2419/1000)*(G2419/1000)*7850</f>
        <v/>
      </c>
      <c r="I2419" s="43" t="n">
        <v>1</v>
      </c>
      <c r="J2419" s="80">
        <f>H2419*I2419</f>
        <v/>
      </c>
      <c r="K2419" s="43" t="inlineStr">
        <is>
          <t>来源页186</t>
        </is>
      </c>
      <c r="L2419" s="43">
        <f>A2419</f>
        <v/>
      </c>
      <c r="M2419" s="81" t="n"/>
      <c r="N2419" s="81" t="n"/>
      <c r="O2419" s="81" t="n"/>
      <c r="P2419" s="81" t="n"/>
      <c r="Q2419" s="81" t="n"/>
      <c r="R2419" s="81" t="n"/>
      <c r="S2419" s="81" t="n"/>
      <c r="T2419" s="81" t="n"/>
      <c r="U2419" s="81" t="n"/>
      <c r="V2419" s="81" t="n"/>
      <c r="W2419" s="43" t="n"/>
    </row>
    <row r="2420">
      <c r="A2420" s="43" t="inlineStr">
        <is>
          <t>M30高强螺栓</t>
        </is>
      </c>
      <c r="B2420" s="43" t="inlineStr">
        <is>
          <t>上弦杆拼接</t>
        </is>
      </c>
      <c r="C2420" s="43" t="inlineStr">
        <is>
          <t>节段11~节段12</t>
        </is>
      </c>
      <c r="D2420" s="43" t="inlineStr">
        <is>
          <t>10.9S</t>
        </is>
      </c>
      <c r="E2420" s="43" t="n"/>
      <c r="F2420" s="43" t="n"/>
      <c r="G2420" s="43" t="n"/>
      <c r="H2420" s="79">
        <f>(E2420/1000)*(F2420/1000)*(G2420/1000)*7850</f>
        <v/>
      </c>
      <c r="I2420" s="43" t="n">
        <v>380</v>
      </c>
      <c r="J2420" s="80">
        <f>H2420*I2420</f>
        <v/>
      </c>
      <c r="K2420" s="43" t="inlineStr">
        <is>
          <t>来源页186</t>
        </is>
      </c>
      <c r="L2420" s="43">
        <f>A2420</f>
        <v/>
      </c>
      <c r="M2420" s="81" t="n"/>
      <c r="N2420" s="81" t="n"/>
      <c r="O2420" s="81" t="n"/>
      <c r="P2420" s="81" t="n"/>
      <c r="Q2420" s="81" t="n"/>
      <c r="R2420" s="81" t="n"/>
      <c r="S2420" s="81" t="n"/>
      <c r="T2420" s="81" t="n"/>
      <c r="U2420" s="81" t="n"/>
      <c r="V2420" s="81" t="n"/>
      <c r="W2420" s="43" t="n"/>
    </row>
    <row r="2421">
      <c r="A2421" s="43" t="inlineStr">
        <is>
          <t>K1</t>
        </is>
      </c>
      <c r="B2421" s="43" t="inlineStr">
        <is>
          <t>下弦杆拼接</t>
        </is>
      </c>
      <c r="C2421" s="43" t="inlineStr">
        <is>
          <t>节段11~节段12</t>
        </is>
      </c>
      <c r="D2421" s="43" t="inlineStr">
        <is>
          <t>Q355D</t>
        </is>
      </c>
      <c r="E2421" s="43" t="n">
        <v>1020</v>
      </c>
      <c r="F2421" s="43" t="n">
        <v>1300</v>
      </c>
      <c r="G2421" s="43" t="n">
        <v>24</v>
      </c>
      <c r="H2421" s="79">
        <f>(E2421/1000)*(F2421/1000)*(G2421/1000)*7850</f>
        <v/>
      </c>
      <c r="I2421" s="43" t="n">
        <v>2</v>
      </c>
      <c r="J2421" s="80">
        <f>H2421*I2421</f>
        <v/>
      </c>
      <c r="K2421" s="43" t="inlineStr">
        <is>
          <t>来源页186</t>
        </is>
      </c>
      <c r="L2421" s="43">
        <f>A2421</f>
        <v/>
      </c>
      <c r="M2421" s="81" t="n"/>
      <c r="N2421" s="81" t="n"/>
      <c r="O2421" s="81" t="n"/>
      <c r="P2421" s="81" t="n"/>
      <c r="Q2421" s="81" t="n"/>
      <c r="R2421" s="81" t="n"/>
      <c r="S2421" s="81" t="n"/>
      <c r="T2421" s="81" t="n"/>
      <c r="U2421" s="81" t="n"/>
      <c r="V2421" s="81" t="n"/>
      <c r="W2421" s="43" t="n"/>
    </row>
    <row r="2422">
      <c r="A2422" s="43" t="inlineStr">
        <is>
          <t>K2</t>
        </is>
      </c>
      <c r="B2422" s="43" t="inlineStr">
        <is>
          <t>下弦杆拼接</t>
        </is>
      </c>
      <c r="C2422" s="43" t="inlineStr">
        <is>
          <t>节段11~节段12</t>
        </is>
      </c>
      <c r="D2422" s="43" t="inlineStr">
        <is>
          <t>Q355D</t>
        </is>
      </c>
      <c r="E2422" s="43" t="n">
        <v>1020</v>
      </c>
      <c r="F2422" s="43" t="n">
        <v>600</v>
      </c>
      <c r="G2422" s="43" t="n">
        <v>24</v>
      </c>
      <c r="H2422" s="79">
        <f>(E2422/1000)*(F2422/1000)*(G2422/1000)*7850</f>
        <v/>
      </c>
      <c r="I2422" s="43" t="n">
        <v>4</v>
      </c>
      <c r="J2422" s="80">
        <f>H2422*I2422</f>
        <v/>
      </c>
      <c r="K2422" s="43" t="inlineStr">
        <is>
          <t>来源页186</t>
        </is>
      </c>
      <c r="L2422" s="43">
        <f>A2422</f>
        <v/>
      </c>
      <c r="M2422" s="81" t="n"/>
      <c r="N2422" s="81" t="n"/>
      <c r="O2422" s="81" t="n"/>
      <c r="P2422" s="81" t="n"/>
      <c r="Q2422" s="81" t="n"/>
      <c r="R2422" s="81" t="n"/>
      <c r="S2422" s="81" t="n"/>
      <c r="T2422" s="81" t="n"/>
      <c r="U2422" s="81" t="n"/>
      <c r="V2422" s="81" t="n"/>
      <c r="W2422" s="43" t="n"/>
    </row>
    <row r="2423">
      <c r="A2423" s="43" t="inlineStr">
        <is>
          <t>K3</t>
        </is>
      </c>
      <c r="B2423" s="43" t="inlineStr">
        <is>
          <t>下弦杆拼接</t>
        </is>
      </c>
      <c r="C2423" s="43" t="inlineStr">
        <is>
          <t>节段11~节段12</t>
        </is>
      </c>
      <c r="D2423" s="43" t="inlineStr">
        <is>
          <t>Q355D</t>
        </is>
      </c>
      <c r="E2423" s="43" t="n">
        <v>1320</v>
      </c>
      <c r="F2423" s="43" t="n">
        <v>1100</v>
      </c>
      <c r="G2423" s="43" t="n">
        <v>36</v>
      </c>
      <c r="H2423" s="79">
        <f>(E2423/1000)*(F2423/1000)*(G2423/1000)*7850</f>
        <v/>
      </c>
      <c r="I2423" s="43" t="n">
        <v>1</v>
      </c>
      <c r="J2423" s="80">
        <f>H2423*I2423</f>
        <v/>
      </c>
      <c r="K2423" s="43" t="inlineStr">
        <is>
          <t>来源页186</t>
        </is>
      </c>
      <c r="L2423" s="43">
        <f>A2423</f>
        <v/>
      </c>
      <c r="M2423" s="81" t="n"/>
      <c r="N2423" s="81" t="n"/>
      <c r="O2423" s="81" t="n"/>
      <c r="P2423" s="81" t="n"/>
      <c r="Q2423" s="81" t="n"/>
      <c r="R2423" s="81" t="n"/>
      <c r="S2423" s="81" t="n"/>
      <c r="T2423" s="81" t="n"/>
      <c r="U2423" s="81" t="n"/>
      <c r="V2423" s="81" t="n"/>
      <c r="W2423" s="43" t="n"/>
    </row>
    <row r="2424">
      <c r="A2424" s="43" t="inlineStr">
        <is>
          <t>K4</t>
        </is>
      </c>
      <c r="B2424" s="43" t="inlineStr">
        <is>
          <t>下弦杆拼接</t>
        </is>
      </c>
      <c r="C2424" s="43" t="inlineStr">
        <is>
          <t>节段11~节段12</t>
        </is>
      </c>
      <c r="D2424" s="43" t="inlineStr">
        <is>
          <t>Q355D</t>
        </is>
      </c>
      <c r="E2424" s="43" t="n">
        <v>1320</v>
      </c>
      <c r="F2424" s="43" t="n">
        <v>400</v>
      </c>
      <c r="G2424" s="43" t="n">
        <v>36</v>
      </c>
      <c r="H2424" s="79">
        <f>(E2424/1000)*(F2424/1000)*(G2424/1000)*7850</f>
        <v/>
      </c>
      <c r="I2424" s="43" t="n">
        <v>2</v>
      </c>
      <c r="J2424" s="80">
        <f>H2424*I2424</f>
        <v/>
      </c>
      <c r="K2424" s="43" t="inlineStr">
        <is>
          <t>来源页186</t>
        </is>
      </c>
      <c r="L2424" s="43">
        <f>A2424</f>
        <v/>
      </c>
      <c r="M2424" s="81" t="n"/>
      <c r="N2424" s="81" t="n"/>
      <c r="O2424" s="81" t="n"/>
      <c r="P2424" s="81" t="n"/>
      <c r="Q2424" s="81" t="n"/>
      <c r="R2424" s="81" t="n"/>
      <c r="S2424" s="81" t="n"/>
      <c r="T2424" s="81" t="n"/>
      <c r="U2424" s="81" t="n"/>
      <c r="V2424" s="81" t="n"/>
      <c r="W2424" s="43" t="n"/>
    </row>
    <row r="2425">
      <c r="A2425" s="43" t="inlineStr">
        <is>
          <t>K6</t>
        </is>
      </c>
      <c r="B2425" s="43" t="inlineStr">
        <is>
          <t>下弦杆拼接</t>
        </is>
      </c>
      <c r="C2425" s="43" t="inlineStr">
        <is>
          <t>节段11~节段12</t>
        </is>
      </c>
      <c r="D2425" s="43" t="inlineStr">
        <is>
          <t>Q355D</t>
        </is>
      </c>
      <c r="E2425" s="43" t="n">
        <v>500</v>
      </c>
      <c r="F2425" s="43" t="n">
        <v>1700</v>
      </c>
      <c r="G2425" s="43" t="n">
        <v>8</v>
      </c>
      <c r="H2425" s="79">
        <f>(E2425/1000)*(F2425/1000)*(G2425/1000)*7850</f>
        <v/>
      </c>
      <c r="I2425" s="43" t="n">
        <v>2</v>
      </c>
      <c r="J2425" s="80">
        <f>H2425*I2425</f>
        <v/>
      </c>
      <c r="K2425" s="43" t="inlineStr">
        <is>
          <t>来源页186</t>
        </is>
      </c>
      <c r="L2425" s="43">
        <f>A2425</f>
        <v/>
      </c>
      <c r="M2425" s="81" t="n"/>
      <c r="N2425" s="81" t="n"/>
      <c r="O2425" s="81" t="n"/>
      <c r="P2425" s="81" t="n"/>
      <c r="Q2425" s="81" t="n"/>
      <c r="R2425" s="81" t="n"/>
      <c r="S2425" s="81" t="n"/>
      <c r="T2425" s="81" t="n"/>
      <c r="U2425" s="81" t="n"/>
      <c r="V2425" s="81" t="n"/>
      <c r="W2425" s="43" t="n"/>
    </row>
    <row r="2426">
      <c r="A2426" s="43" t="inlineStr">
        <is>
          <t>K7</t>
        </is>
      </c>
      <c r="B2426" s="43" t="inlineStr">
        <is>
          <t>下弦杆拼接</t>
        </is>
      </c>
      <c r="C2426" s="43" t="inlineStr">
        <is>
          <t>节段11~节段12</t>
        </is>
      </c>
      <c r="D2426" s="43" t="inlineStr">
        <is>
          <t>Q355D</t>
        </is>
      </c>
      <c r="E2426" s="43" t="n">
        <v>650</v>
      </c>
      <c r="F2426" s="43" t="n">
        <v>1100</v>
      </c>
      <c r="G2426" s="43" t="n">
        <v>4</v>
      </c>
      <c r="H2426" s="79">
        <f>(E2426/1000)*(F2426/1000)*(G2426/1000)*7850</f>
        <v/>
      </c>
      <c r="I2426" s="43" t="n">
        <v>1</v>
      </c>
      <c r="J2426" s="80">
        <f>H2426*I2426</f>
        <v/>
      </c>
      <c r="K2426" s="43" t="inlineStr">
        <is>
          <t>来源页186</t>
        </is>
      </c>
      <c r="L2426" s="43">
        <f>A2426</f>
        <v/>
      </c>
      <c r="M2426" s="81" t="n"/>
      <c r="N2426" s="81" t="n"/>
      <c r="O2426" s="81" t="n"/>
      <c r="P2426" s="81" t="n"/>
      <c r="Q2426" s="81" t="n"/>
      <c r="R2426" s="81" t="n"/>
      <c r="S2426" s="81" t="n"/>
      <c r="T2426" s="81" t="n"/>
      <c r="U2426" s="81" t="n"/>
      <c r="V2426" s="81" t="n"/>
      <c r="W2426" s="43" t="n"/>
    </row>
    <row r="2427">
      <c r="A2427" s="43" t="inlineStr">
        <is>
          <t>M30高强螺栓</t>
        </is>
      </c>
      <c r="B2427" s="43" t="inlineStr">
        <is>
          <t>下弦杆拼接</t>
        </is>
      </c>
      <c r="C2427" s="43" t="inlineStr">
        <is>
          <t>节段11~节段12</t>
        </is>
      </c>
      <c r="D2427" s="43" t="inlineStr">
        <is>
          <t>10.9S</t>
        </is>
      </c>
      <c r="E2427" s="43" t="n"/>
      <c r="F2427" s="43" t="n"/>
      <c r="G2427" s="43" t="n"/>
      <c r="H2427" s="79">
        <f>(E2427/1000)*(F2427/1000)*(G2427/1000)*7850</f>
        <v/>
      </c>
      <c r="I2427" s="43" t="n">
        <v>344</v>
      </c>
      <c r="J2427" s="80">
        <f>H2427*I2427</f>
        <v/>
      </c>
      <c r="K2427" s="43" t="inlineStr">
        <is>
          <t>来源页186</t>
        </is>
      </c>
      <c r="L2427" s="43">
        <f>A2427</f>
        <v/>
      </c>
      <c r="M2427" s="81" t="n"/>
      <c r="N2427" s="81" t="n"/>
      <c r="O2427" s="81" t="n"/>
      <c r="P2427" s="81" t="n"/>
      <c r="Q2427" s="81" t="n"/>
      <c r="R2427" s="81" t="n"/>
      <c r="S2427" s="81" t="n"/>
      <c r="T2427" s="81" t="n"/>
      <c r="U2427" s="81" t="n"/>
      <c r="V2427" s="81" t="n"/>
      <c r="W2427" s="43" t="n"/>
    </row>
    <row r="2428">
      <c r="A2428" s="43" t="inlineStr">
        <is>
          <t>L1</t>
        </is>
      </c>
      <c r="B2428" s="43" t="inlineStr">
        <is>
          <t>腹杆拼接</t>
        </is>
      </c>
      <c r="C2428" s="43" t="inlineStr">
        <is>
          <t>节段11~节段12</t>
        </is>
      </c>
      <c r="D2428" s="43" t="inlineStr">
        <is>
          <t>Q355D</t>
        </is>
      </c>
      <c r="E2428" s="43" t="n">
        <v>1320</v>
      </c>
      <c r="F2428" s="43" t="n">
        <v>900</v>
      </c>
      <c r="G2428" s="43" t="n">
        <v>28</v>
      </c>
      <c r="H2428" s="79">
        <f>(E2428/1000)*(F2428/1000)*(G2428/1000)*7850</f>
        <v/>
      </c>
      <c r="I2428" s="43" t="n">
        <v>2</v>
      </c>
      <c r="J2428" s="80">
        <f>H2428*I2428</f>
        <v/>
      </c>
      <c r="K2428" s="43" t="inlineStr">
        <is>
          <t>来源页186</t>
        </is>
      </c>
      <c r="L2428" s="43">
        <f>A2428</f>
        <v/>
      </c>
      <c r="M2428" s="81" t="n"/>
      <c r="N2428" s="81" t="n"/>
      <c r="O2428" s="81" t="n"/>
      <c r="P2428" s="81" t="n"/>
      <c r="Q2428" s="81" t="n"/>
      <c r="R2428" s="81" t="n"/>
      <c r="S2428" s="81" t="n"/>
      <c r="T2428" s="81" t="n"/>
      <c r="U2428" s="81" t="n"/>
      <c r="V2428" s="81" t="n"/>
      <c r="W2428" s="43" t="n"/>
    </row>
    <row r="2429">
      <c r="A2429" s="43" t="inlineStr">
        <is>
          <t>L2</t>
        </is>
      </c>
      <c r="B2429" s="43" t="inlineStr">
        <is>
          <t>腹杆拼接</t>
        </is>
      </c>
      <c r="C2429" s="43" t="inlineStr">
        <is>
          <t>节段11~节段12</t>
        </is>
      </c>
      <c r="D2429" s="43" t="inlineStr">
        <is>
          <t>Q355D</t>
        </is>
      </c>
      <c r="E2429" s="43" t="n">
        <v>1320</v>
      </c>
      <c r="F2429" s="43" t="n">
        <v>400</v>
      </c>
      <c r="G2429" s="43" t="n">
        <v>28</v>
      </c>
      <c r="H2429" s="79">
        <f>(E2429/1000)*(F2429/1000)*(G2429/1000)*7850</f>
        <v/>
      </c>
      <c r="I2429" s="43" t="n">
        <v>4</v>
      </c>
      <c r="J2429" s="80">
        <f>H2429*I2429</f>
        <v/>
      </c>
      <c r="K2429" s="43" t="inlineStr">
        <is>
          <t>来源页186</t>
        </is>
      </c>
      <c r="L2429" s="43">
        <f>A2429</f>
        <v/>
      </c>
      <c r="M2429" s="81" t="n"/>
      <c r="N2429" s="81" t="n"/>
      <c r="O2429" s="81" t="n"/>
      <c r="P2429" s="81" t="n"/>
      <c r="Q2429" s="81" t="n"/>
      <c r="R2429" s="81" t="n"/>
      <c r="S2429" s="81" t="n"/>
      <c r="T2429" s="81" t="n"/>
      <c r="U2429" s="81" t="n"/>
      <c r="V2429" s="81" t="n"/>
      <c r="W2429" s="43" t="n"/>
    </row>
    <row r="2430">
      <c r="A2430" s="43" t="inlineStr">
        <is>
          <t>L3</t>
        </is>
      </c>
      <c r="B2430" s="43" t="inlineStr">
        <is>
          <t>腹杆拼接</t>
        </is>
      </c>
      <c r="C2430" s="43" t="inlineStr">
        <is>
          <t>节段11~节段12</t>
        </is>
      </c>
      <c r="D2430" s="43" t="inlineStr">
        <is>
          <t>Q355D</t>
        </is>
      </c>
      <c r="E2430" s="43" t="n">
        <v>1320</v>
      </c>
      <c r="F2430" s="43" t="n">
        <v>500</v>
      </c>
      <c r="G2430" s="43" t="n">
        <v>28</v>
      </c>
      <c r="H2430" s="79">
        <f>(E2430/1000)*(F2430/1000)*(G2430/1000)*7850</f>
        <v/>
      </c>
      <c r="I2430" s="43" t="n">
        <v>4</v>
      </c>
      <c r="J2430" s="80">
        <f>H2430*I2430</f>
        <v/>
      </c>
      <c r="K2430" s="43" t="inlineStr">
        <is>
          <t>来源页186</t>
        </is>
      </c>
      <c r="L2430" s="43">
        <f>A2430</f>
        <v/>
      </c>
      <c r="M2430" s="81" t="n"/>
      <c r="N2430" s="81" t="n"/>
      <c r="O2430" s="81" t="n"/>
      <c r="P2430" s="81" t="n"/>
      <c r="Q2430" s="81" t="n"/>
      <c r="R2430" s="81" t="n"/>
      <c r="S2430" s="81" t="n"/>
      <c r="T2430" s="81" t="n"/>
      <c r="U2430" s="81" t="n"/>
      <c r="V2430" s="81" t="n"/>
      <c r="W2430" s="43" t="n"/>
    </row>
    <row r="2431">
      <c r="A2431" s="43" t="inlineStr">
        <is>
          <t>L4</t>
        </is>
      </c>
      <c r="B2431" s="43" t="inlineStr">
        <is>
          <t>腹杆拼接</t>
        </is>
      </c>
      <c r="C2431" s="43" t="inlineStr">
        <is>
          <t>节段11~节段12</t>
        </is>
      </c>
      <c r="D2431" s="43" t="inlineStr">
        <is>
          <t>Q355D</t>
        </is>
      </c>
      <c r="E2431" s="43" t="n">
        <v>820</v>
      </c>
      <c r="F2431" s="43" t="n">
        <v>200</v>
      </c>
      <c r="G2431" s="43" t="n">
        <v>20</v>
      </c>
      <c r="H2431" s="79">
        <f>(E2431/1000)*(F2431/1000)*(G2431/1000)*7850</f>
        <v/>
      </c>
      <c r="I2431" s="43" t="n">
        <v>4</v>
      </c>
      <c r="J2431" s="80">
        <f>H2431*I2431</f>
        <v/>
      </c>
      <c r="K2431" s="43" t="inlineStr">
        <is>
          <t>来源页186</t>
        </is>
      </c>
      <c r="L2431" s="43">
        <f>A2431</f>
        <v/>
      </c>
      <c r="M2431" s="81" t="n"/>
      <c r="N2431" s="81" t="n"/>
      <c r="O2431" s="81" t="n"/>
      <c r="P2431" s="81" t="n"/>
      <c r="Q2431" s="81" t="n"/>
      <c r="R2431" s="81" t="n"/>
      <c r="S2431" s="81" t="n"/>
      <c r="T2431" s="81" t="n"/>
      <c r="U2431" s="81" t="n"/>
      <c r="V2431" s="81" t="n"/>
      <c r="W2431" s="43" t="n"/>
    </row>
    <row r="2432">
      <c r="A2432" s="43" t="inlineStr">
        <is>
          <t>M30高强螺栓</t>
        </is>
      </c>
      <c r="B2432" s="43" t="inlineStr">
        <is>
          <t>腹杆拼接</t>
        </is>
      </c>
      <c r="C2432" s="43" t="inlineStr">
        <is>
          <t>节段11~节段12</t>
        </is>
      </c>
      <c r="D2432" s="43" t="inlineStr">
        <is>
          <t>10.9S</t>
        </is>
      </c>
      <c r="E2432" s="43" t="n"/>
      <c r="F2432" s="43" t="n"/>
      <c r="G2432" s="43" t="n"/>
      <c r="H2432" s="79">
        <f>(E2432/1000)*(F2432/1000)*(G2432/1000)*7850</f>
        <v/>
      </c>
      <c r="I2432" s="43" t="n">
        <v>507</v>
      </c>
      <c r="J2432" s="80">
        <f>H2432*I2432</f>
        <v/>
      </c>
      <c r="K2432" s="43" t="inlineStr">
        <is>
          <t>来源页186</t>
        </is>
      </c>
      <c r="L2432" s="43">
        <f>A2432</f>
        <v/>
      </c>
      <c r="M2432" s="81" t="n"/>
      <c r="N2432" s="81" t="n"/>
      <c r="O2432" s="81" t="n"/>
      <c r="P2432" s="81" t="n"/>
      <c r="Q2432" s="81" t="n"/>
      <c r="R2432" s="81" t="n"/>
      <c r="S2432" s="81" t="n"/>
      <c r="T2432" s="81" t="n"/>
      <c r="U2432" s="81" t="n"/>
      <c r="V2432" s="81" t="n"/>
      <c r="W2432" s="43" t="n"/>
    </row>
    <row r="2433">
      <c r="A2433" s="43" t="inlineStr"/>
      <c r="B2433" s="43" t="inlineStr"/>
      <c r="C2433" s="43" t="inlineStr">
        <is>
          <t>节段12</t>
        </is>
      </c>
      <c r="D2433" s="43" t="inlineStr">
        <is>
          <t>Q355D</t>
        </is>
      </c>
      <c r="E2433" s="43" t="n"/>
      <c r="F2433" s="43" t="n"/>
      <c r="G2433" s="43" t="n">
        <v>44</v>
      </c>
      <c r="H2433" s="79">
        <f>(E2433/1000)*(F2433/1000)*(G2433/1000)*7850</f>
        <v/>
      </c>
      <c r="I2433" s="43" t="n">
        <v>2</v>
      </c>
      <c r="J2433" s="80">
        <f>H2433*I2433</f>
        <v/>
      </c>
      <c r="K2433" s="43" t="inlineStr">
        <is>
          <t>来源页187</t>
        </is>
      </c>
      <c r="L2433" s="43">
        <f>A2433</f>
        <v/>
      </c>
      <c r="M2433" s="81" t="n"/>
      <c r="N2433" s="81" t="n"/>
      <c r="O2433" s="81" t="n"/>
      <c r="P2433" s="81" t="n"/>
      <c r="Q2433" s="81" t="n"/>
      <c r="R2433" s="81" t="n"/>
      <c r="S2433" s="81" t="n"/>
      <c r="T2433" s="81" t="n"/>
      <c r="U2433" s="81" t="n"/>
      <c r="V2433" s="81" t="n"/>
      <c r="W2433" s="43" t="n"/>
    </row>
    <row r="2434">
      <c r="A2434" s="43" t="inlineStr"/>
      <c r="B2434" s="43" t="inlineStr"/>
      <c r="C2434" s="43" t="inlineStr">
        <is>
          <t>节段12</t>
        </is>
      </c>
      <c r="D2434" s="43" t="inlineStr">
        <is>
          <t>Q355D</t>
        </is>
      </c>
      <c r="E2434" s="43" t="n"/>
      <c r="F2434" s="43" t="n"/>
      <c r="G2434" s="43" t="n">
        <v>40</v>
      </c>
      <c r="H2434" s="79">
        <f>(E2434/1000)*(F2434/1000)*(G2434/1000)*7850</f>
        <v/>
      </c>
      <c r="I2434" s="43" t="n">
        <v>2</v>
      </c>
      <c r="J2434" s="80">
        <f>H2434*I2434</f>
        <v/>
      </c>
      <c r="K2434" s="43" t="inlineStr">
        <is>
          <t>来源页187</t>
        </is>
      </c>
      <c r="L2434" s="43">
        <f>A2434</f>
        <v/>
      </c>
      <c r="M2434" s="81" t="n"/>
      <c r="N2434" s="81" t="n"/>
      <c r="O2434" s="81" t="n"/>
      <c r="P2434" s="81" t="n"/>
      <c r="Q2434" s="81" t="n"/>
      <c r="R2434" s="81" t="n"/>
      <c r="S2434" s="81" t="n"/>
      <c r="T2434" s="81" t="n"/>
      <c r="U2434" s="81" t="n"/>
      <c r="V2434" s="81" t="n"/>
      <c r="W2434" s="43" t="n"/>
    </row>
    <row r="2435">
      <c r="A2435" s="43" t="inlineStr"/>
      <c r="B2435" s="43" t="inlineStr"/>
      <c r="C2435" s="43" t="inlineStr">
        <is>
          <t>节段12</t>
        </is>
      </c>
      <c r="D2435" s="43" t="inlineStr">
        <is>
          <t>Q355D</t>
        </is>
      </c>
      <c r="E2435" s="43" t="n"/>
      <c r="F2435" s="43" t="n"/>
      <c r="G2435" s="43" t="n">
        <v>36</v>
      </c>
      <c r="H2435" s="79">
        <f>(E2435/1000)*(F2435/1000)*(G2435/1000)*7850</f>
        <v/>
      </c>
      <c r="I2435" s="43" t="n">
        <v>2</v>
      </c>
      <c r="J2435" s="80">
        <f>H2435*I2435</f>
        <v/>
      </c>
      <c r="K2435" s="43" t="inlineStr">
        <is>
          <t>来源页187</t>
        </is>
      </c>
      <c r="L2435" s="43">
        <f>A2435</f>
        <v/>
      </c>
      <c r="M2435" s="81" t="n"/>
      <c r="N2435" s="81" t="n"/>
      <c r="O2435" s="81" t="n"/>
      <c r="P2435" s="81" t="n"/>
      <c r="Q2435" s="81" t="n"/>
      <c r="R2435" s="81" t="n"/>
      <c r="S2435" s="81" t="n"/>
      <c r="T2435" s="81" t="n"/>
      <c r="U2435" s="81" t="n"/>
      <c r="V2435" s="81" t="n"/>
      <c r="W2435" s="43" t="n"/>
    </row>
    <row r="2436">
      <c r="A2436" s="43" t="inlineStr"/>
      <c r="B2436" s="43" t="inlineStr"/>
      <c r="C2436" s="43" t="inlineStr">
        <is>
          <t>节段12</t>
        </is>
      </c>
      <c r="D2436" s="43" t="inlineStr">
        <is>
          <t>Q355D</t>
        </is>
      </c>
      <c r="E2436" s="43" t="n"/>
      <c r="F2436" s="43" t="n"/>
      <c r="G2436" s="43" t="n">
        <v>32</v>
      </c>
      <c r="H2436" s="79">
        <f>(E2436/1000)*(F2436/1000)*(G2436/1000)*7850</f>
        <v/>
      </c>
      <c r="I2436" s="43" t="n">
        <v>2</v>
      </c>
      <c r="J2436" s="80">
        <f>H2436*I2436</f>
        <v/>
      </c>
      <c r="K2436" s="43" t="inlineStr">
        <is>
          <t>来源页187</t>
        </is>
      </c>
      <c r="L2436" s="43">
        <f>A2436</f>
        <v/>
      </c>
      <c r="M2436" s="81" t="n"/>
      <c r="N2436" s="81" t="n"/>
      <c r="O2436" s="81" t="n"/>
      <c r="P2436" s="81" t="n"/>
      <c r="Q2436" s="81" t="n"/>
      <c r="R2436" s="81" t="n"/>
      <c r="S2436" s="81" t="n"/>
      <c r="T2436" s="81" t="n"/>
      <c r="U2436" s="81" t="n"/>
      <c r="V2436" s="81" t="n"/>
      <c r="W2436" s="43" t="n"/>
    </row>
    <row r="2437">
      <c r="A2437" s="43" t="inlineStr"/>
      <c r="B2437" s="43" t="inlineStr"/>
      <c r="C2437" s="43" t="inlineStr">
        <is>
          <t>节段12</t>
        </is>
      </c>
      <c r="D2437" s="43" t="inlineStr">
        <is>
          <t>Q355D</t>
        </is>
      </c>
      <c r="E2437" s="43" t="n"/>
      <c r="F2437" s="43" t="n"/>
      <c r="G2437" s="43" t="n">
        <v>28</v>
      </c>
      <c r="H2437" s="79">
        <f>(E2437/1000)*(F2437/1000)*(G2437/1000)*7850</f>
        <v/>
      </c>
      <c r="I2437" s="43" t="n">
        <v>2</v>
      </c>
      <c r="J2437" s="80">
        <f>H2437*I2437</f>
        <v/>
      </c>
      <c r="K2437" s="43" t="inlineStr">
        <is>
          <t>来源页187</t>
        </is>
      </c>
      <c r="L2437" s="43">
        <f>A2437</f>
        <v/>
      </c>
      <c r="M2437" s="81" t="n"/>
      <c r="N2437" s="81" t="n"/>
      <c r="O2437" s="81" t="n"/>
      <c r="P2437" s="81" t="n"/>
      <c r="Q2437" s="81" t="n"/>
      <c r="R2437" s="81" t="n"/>
      <c r="S2437" s="81" t="n"/>
      <c r="T2437" s="81" t="n"/>
      <c r="U2437" s="81" t="n"/>
      <c r="V2437" s="81" t="n"/>
      <c r="W2437" s="43" t="n"/>
    </row>
    <row r="2438">
      <c r="A2438" s="43" t="inlineStr"/>
      <c r="B2438" s="43" t="inlineStr"/>
      <c r="C2438" s="43" t="inlineStr">
        <is>
          <t>节段12</t>
        </is>
      </c>
      <c r="D2438" s="43" t="inlineStr">
        <is>
          <t>Q355D</t>
        </is>
      </c>
      <c r="E2438" s="43" t="n"/>
      <c r="F2438" s="43" t="n"/>
      <c r="G2438" s="43" t="n">
        <v>24</v>
      </c>
      <c r="H2438" s="79">
        <f>(E2438/1000)*(F2438/1000)*(G2438/1000)*7850</f>
        <v/>
      </c>
      <c r="I2438" s="43" t="n">
        <v>2</v>
      </c>
      <c r="J2438" s="80">
        <f>H2438*I2438</f>
        <v/>
      </c>
      <c r="K2438" s="43" t="inlineStr">
        <is>
          <t>来源页187</t>
        </is>
      </c>
      <c r="L2438" s="43">
        <f>A2438</f>
        <v/>
      </c>
      <c r="M2438" s="81" t="n"/>
      <c r="N2438" s="81" t="n"/>
      <c r="O2438" s="81" t="n"/>
      <c r="P2438" s="81" t="n"/>
      <c r="Q2438" s="81" t="n"/>
      <c r="R2438" s="81" t="n"/>
      <c r="S2438" s="81" t="n"/>
      <c r="T2438" s="81" t="n"/>
      <c r="U2438" s="81" t="n"/>
      <c r="V2438" s="81" t="n"/>
      <c r="W2438" s="43" t="n"/>
    </row>
    <row r="2439">
      <c r="A2439" s="43" t="inlineStr"/>
      <c r="B2439" s="43" t="inlineStr"/>
      <c r="C2439" s="43" t="inlineStr">
        <is>
          <t>节段12</t>
        </is>
      </c>
      <c r="D2439" s="43" t="inlineStr">
        <is>
          <t>Q355D</t>
        </is>
      </c>
      <c r="E2439" s="43" t="n"/>
      <c r="F2439" s="43" t="n"/>
      <c r="G2439" s="43" t="n">
        <v>20</v>
      </c>
      <c r="H2439" s="79">
        <f>(E2439/1000)*(F2439/1000)*(G2439/1000)*7850</f>
        <v/>
      </c>
      <c r="I2439" s="43" t="n">
        <v>2</v>
      </c>
      <c r="J2439" s="80">
        <f>H2439*I2439</f>
        <v/>
      </c>
      <c r="K2439" s="43" t="inlineStr">
        <is>
          <t>来源页187</t>
        </is>
      </c>
      <c r="L2439" s="43">
        <f>A2439</f>
        <v/>
      </c>
      <c r="M2439" s="81" t="n"/>
      <c r="N2439" s="81" t="n"/>
      <c r="O2439" s="81" t="n"/>
      <c r="P2439" s="81" t="n"/>
      <c r="Q2439" s="81" t="n"/>
      <c r="R2439" s="81" t="n"/>
      <c r="S2439" s="81" t="n"/>
      <c r="T2439" s="81" t="n"/>
      <c r="U2439" s="81" t="n"/>
      <c r="V2439" s="81" t="n"/>
      <c r="W2439" s="43" t="n"/>
    </row>
    <row r="2440">
      <c r="A2440" s="43" t="inlineStr"/>
      <c r="B2440" s="43" t="inlineStr"/>
      <c r="C2440" s="43" t="inlineStr">
        <is>
          <t>节段12</t>
        </is>
      </c>
      <c r="D2440" s="43" t="inlineStr">
        <is>
          <t>Q355D</t>
        </is>
      </c>
      <c r="E2440" s="43" t="n"/>
      <c r="F2440" s="43" t="n"/>
      <c r="G2440" s="43" t="n">
        <v>16</v>
      </c>
      <c r="H2440" s="79">
        <f>(E2440/1000)*(F2440/1000)*(G2440/1000)*7850</f>
        <v/>
      </c>
      <c r="I2440" s="43" t="n">
        <v>2</v>
      </c>
      <c r="J2440" s="80">
        <f>H2440*I2440</f>
        <v/>
      </c>
      <c r="K2440" s="43" t="inlineStr">
        <is>
          <t>来源页187</t>
        </is>
      </c>
      <c r="L2440" s="43">
        <f>A2440</f>
        <v/>
      </c>
      <c r="M2440" s="81" t="n"/>
      <c r="N2440" s="81" t="n"/>
      <c r="O2440" s="81" t="n"/>
      <c r="P2440" s="81" t="n"/>
      <c r="Q2440" s="81" t="n"/>
      <c r="R2440" s="81" t="n"/>
      <c r="S2440" s="81" t="n"/>
      <c r="T2440" s="81" t="n"/>
      <c r="U2440" s="81" t="n"/>
      <c r="V2440" s="81" t="n"/>
      <c r="W2440" s="43" t="n"/>
    </row>
    <row r="2441">
      <c r="A2441" s="43" t="inlineStr"/>
      <c r="B2441" s="43" t="inlineStr"/>
      <c r="C2441" s="43" t="inlineStr">
        <is>
          <t>节段12</t>
        </is>
      </c>
      <c r="D2441" s="43" t="inlineStr">
        <is>
          <t>Q355D</t>
        </is>
      </c>
      <c r="E2441" s="43" t="n"/>
      <c r="F2441" s="43" t="n"/>
      <c r="G2441" s="43" t="n">
        <v>14</v>
      </c>
      <c r="H2441" s="79">
        <f>(E2441/1000)*(F2441/1000)*(G2441/1000)*7850</f>
        <v/>
      </c>
      <c r="I2441" s="43" t="n">
        <v>2</v>
      </c>
      <c r="J2441" s="80">
        <f>H2441*I2441</f>
        <v/>
      </c>
      <c r="K2441" s="43" t="inlineStr">
        <is>
          <t>来源页187</t>
        </is>
      </c>
      <c r="L2441" s="43">
        <f>A2441</f>
        <v/>
      </c>
      <c r="M2441" s="81" t="n"/>
      <c r="N2441" s="81" t="n"/>
      <c r="O2441" s="81" t="n"/>
      <c r="P2441" s="81" t="n"/>
      <c r="Q2441" s="81" t="n"/>
      <c r="R2441" s="81" t="n"/>
      <c r="S2441" s="81" t="n"/>
      <c r="T2441" s="81" t="n"/>
      <c r="U2441" s="81" t="n"/>
      <c r="V2441" s="81" t="n"/>
      <c r="W2441" s="43" t="n"/>
    </row>
    <row r="2442">
      <c r="A2442" s="43" t="inlineStr"/>
      <c r="B2442" s="43" t="inlineStr"/>
      <c r="C2442" s="43" t="inlineStr">
        <is>
          <t>节段12</t>
        </is>
      </c>
      <c r="D2442" s="43" t="inlineStr">
        <is>
          <t>Q355D</t>
        </is>
      </c>
      <c r="E2442" s="43" t="n"/>
      <c r="F2442" s="43" t="n"/>
      <c r="G2442" s="43" t="n">
        <v>4</v>
      </c>
      <c r="H2442" s="79">
        <f>(E2442/1000)*(F2442/1000)*(G2442/1000)*7850</f>
        <v/>
      </c>
      <c r="I2442" s="43" t="n">
        <v>2</v>
      </c>
      <c r="J2442" s="80">
        <f>H2442*I2442</f>
        <v/>
      </c>
      <c r="K2442" s="43" t="inlineStr">
        <is>
          <t>来源页187</t>
        </is>
      </c>
      <c r="L2442" s="43">
        <f>A2442</f>
        <v/>
      </c>
      <c r="M2442" s="81" t="n"/>
      <c r="N2442" s="81" t="n"/>
      <c r="O2442" s="81" t="n"/>
      <c r="P2442" s="81" t="n"/>
      <c r="Q2442" s="81" t="n"/>
      <c r="R2442" s="81" t="n"/>
      <c r="S2442" s="81" t="n"/>
      <c r="T2442" s="81" t="n"/>
      <c r="U2442" s="81" t="n"/>
      <c r="V2442" s="81" t="n"/>
      <c r="W2442" s="43" t="n"/>
    </row>
    <row r="2443">
      <c r="A2443" s="43" t="inlineStr"/>
      <c r="B2443" s="43" t="inlineStr"/>
      <c r="C2443" s="43" t="inlineStr">
        <is>
          <t>节段12</t>
        </is>
      </c>
      <c r="D2443" s="43" t="inlineStr">
        <is>
          <t>Q355D</t>
        </is>
      </c>
      <c r="E2443" s="43" t="n"/>
      <c r="F2443" s="43" t="n"/>
      <c r="G2443" s="43" t="n"/>
      <c r="H2443" s="79">
        <f>(E2443/1000)*(F2443/1000)*(G2443/1000)*7850</f>
        <v/>
      </c>
      <c r="I2443" s="43" t="n">
        <v>2</v>
      </c>
      <c r="J2443" s="80">
        <f>H2443*I2443</f>
        <v/>
      </c>
      <c r="K2443" s="43" t="inlineStr">
        <is>
          <t>来源页187</t>
        </is>
      </c>
      <c r="L2443" s="43">
        <f>A2443</f>
        <v/>
      </c>
      <c r="M2443" s="81" t="n"/>
      <c r="N2443" s="81" t="n"/>
      <c r="O2443" s="81" t="n"/>
      <c r="P2443" s="81" t="n"/>
      <c r="Q2443" s="81" t="n"/>
      <c r="R2443" s="81" t="n"/>
      <c r="S2443" s="81" t="n"/>
      <c r="T2443" s="81" t="n"/>
      <c r="U2443" s="81" t="n"/>
      <c r="V2443" s="81" t="n"/>
      <c r="W2443" s="43" t="n"/>
    </row>
    <row r="2444">
      <c r="A2444" s="43" t="inlineStr"/>
      <c r="B2444" s="43" t="inlineStr"/>
      <c r="C2444" s="43" t="inlineStr">
        <is>
          <t>节段12</t>
        </is>
      </c>
      <c r="D2444" s="43" t="inlineStr">
        <is>
          <t>Q355D</t>
        </is>
      </c>
      <c r="E2444" s="43" t="n"/>
      <c r="F2444" s="43" t="n"/>
      <c r="G2444" s="43" t="n"/>
      <c r="H2444" s="79">
        <f>(E2444/1000)*(F2444/1000)*(G2444/1000)*7850</f>
        <v/>
      </c>
      <c r="I2444" s="43" t="n">
        <v>2</v>
      </c>
      <c r="J2444" s="80">
        <f>H2444*I2444</f>
        <v/>
      </c>
      <c r="K2444" s="43" t="inlineStr">
        <is>
          <t>来源页187</t>
        </is>
      </c>
      <c r="L2444" s="43">
        <f>A2444</f>
        <v/>
      </c>
      <c r="M2444" s="81" t="n"/>
      <c r="N2444" s="81" t="n"/>
      <c r="O2444" s="81" t="n"/>
      <c r="P2444" s="81" t="n"/>
      <c r="Q2444" s="81" t="n"/>
      <c r="R2444" s="81" t="n"/>
      <c r="S2444" s="81" t="n"/>
      <c r="T2444" s="81" t="n"/>
      <c r="U2444" s="81" t="n"/>
      <c r="V2444" s="81" t="n"/>
      <c r="W2444" s="43" t="n"/>
    </row>
    <row r="2445">
      <c r="A2445" s="43" t="inlineStr"/>
      <c r="B2445" s="43" t="inlineStr"/>
      <c r="C2445" s="43" t="inlineStr">
        <is>
          <t>节段12</t>
        </is>
      </c>
      <c r="D2445" s="43" t="inlineStr">
        <is>
          <t>Q355D</t>
        </is>
      </c>
      <c r="E2445" s="43" t="n"/>
      <c r="F2445" s="43" t="n"/>
      <c r="G2445" s="43" t="n"/>
      <c r="H2445" s="79">
        <f>(E2445/1000)*(F2445/1000)*(G2445/1000)*7850</f>
        <v/>
      </c>
      <c r="I2445" s="43" t="n">
        <v>2</v>
      </c>
      <c r="J2445" s="80">
        <f>H2445*I2445</f>
        <v/>
      </c>
      <c r="K2445" s="43" t="inlineStr">
        <is>
          <t>来源页187</t>
        </is>
      </c>
      <c r="L2445" s="43">
        <f>A2445</f>
        <v/>
      </c>
      <c r="M2445" s="81" t="n"/>
      <c r="N2445" s="81" t="n"/>
      <c r="O2445" s="81" t="n"/>
      <c r="P2445" s="81" t="n"/>
      <c r="Q2445" s="81" t="n"/>
      <c r="R2445" s="81" t="n"/>
      <c r="S2445" s="81" t="n"/>
      <c r="T2445" s="81" t="n"/>
      <c r="U2445" s="81" t="n"/>
      <c r="V2445" s="81" t="n"/>
      <c r="W2445" s="43" t="n"/>
    </row>
    <row r="2446">
      <c r="A2446" s="43" t="inlineStr"/>
      <c r="B2446" s="43" t="inlineStr"/>
      <c r="C2446" s="43" t="inlineStr">
        <is>
          <t>节段12</t>
        </is>
      </c>
      <c r="D2446" s="43" t="inlineStr">
        <is>
          <t>Q355D</t>
        </is>
      </c>
      <c r="E2446" s="43" t="n"/>
      <c r="F2446" s="43" t="n"/>
      <c r="G2446" s="43" t="n"/>
      <c r="H2446" s="79">
        <f>(E2446/1000)*(F2446/1000)*(G2446/1000)*7850</f>
        <v/>
      </c>
      <c r="I2446" s="43" t="n">
        <v>2</v>
      </c>
      <c r="J2446" s="80">
        <f>H2446*I2446</f>
        <v/>
      </c>
      <c r="K2446" s="43" t="inlineStr">
        <is>
          <t>来源页187</t>
        </is>
      </c>
      <c r="L2446" s="43">
        <f>A2446</f>
        <v/>
      </c>
      <c r="M2446" s="81" t="n"/>
      <c r="N2446" s="81" t="n"/>
      <c r="O2446" s="81" t="n"/>
      <c r="P2446" s="81" t="n"/>
      <c r="Q2446" s="81" t="n"/>
      <c r="R2446" s="81" t="n"/>
      <c r="S2446" s="81" t="n"/>
      <c r="T2446" s="81" t="n"/>
      <c r="U2446" s="81" t="n"/>
      <c r="V2446" s="81" t="n"/>
      <c r="W2446" s="43" t="n"/>
    </row>
    <row r="2447">
      <c r="A2447" s="43" t="inlineStr">
        <is>
          <t>N11a</t>
        </is>
      </c>
      <c r="B2447" s="43" t="inlineStr"/>
      <c r="C2447" s="43" t="inlineStr">
        <is>
          <t>节段12</t>
        </is>
      </c>
      <c r="D2447" s="43" t="inlineStr">
        <is>
          <t>Q355D</t>
        </is>
      </c>
      <c r="E2447" s="43" t="n"/>
      <c r="F2447" s="43" t="n"/>
      <c r="G2447" s="43" t="n">
        <v>20</v>
      </c>
      <c r="H2447" s="79">
        <f>(E2447/1000)*(F2447/1000)*(G2447/1000)*7850</f>
        <v/>
      </c>
      <c r="I2447" s="43" t="n">
        <v>1</v>
      </c>
      <c r="J2447" s="80">
        <f>H2447*I2447</f>
        <v/>
      </c>
      <c r="K2447" s="43" t="inlineStr">
        <is>
          <t>来源页187</t>
        </is>
      </c>
      <c r="L2447" s="43">
        <f>A2447</f>
        <v/>
      </c>
      <c r="M2447" s="81" t="n"/>
      <c r="N2447" s="81" t="n"/>
      <c r="O2447" s="81" t="n"/>
      <c r="P2447" s="81" t="n"/>
      <c r="Q2447" s="81" t="n"/>
      <c r="R2447" s="81" t="n"/>
      <c r="S2447" s="81" t="n"/>
      <c r="T2447" s="81" t="n"/>
      <c r="U2447" s="81" t="n"/>
      <c r="V2447" s="81" t="n"/>
      <c r="W2447" s="43" t="n"/>
    </row>
    <row r="2448">
      <c r="A2448" s="43" t="inlineStr">
        <is>
          <t>N11b</t>
        </is>
      </c>
      <c r="B2448" s="43" t="inlineStr"/>
      <c r="C2448" s="43" t="inlineStr">
        <is>
          <t>节段12</t>
        </is>
      </c>
      <c r="D2448" s="43" t="inlineStr">
        <is>
          <t>Q355D</t>
        </is>
      </c>
      <c r="E2448" s="43" t="n"/>
      <c r="F2448" s="43" t="n"/>
      <c r="G2448" s="43" t="n">
        <v>20</v>
      </c>
      <c r="H2448" s="79">
        <f>(E2448/1000)*(F2448/1000)*(G2448/1000)*7850</f>
        <v/>
      </c>
      <c r="I2448" s="43" t="n">
        <v>1</v>
      </c>
      <c r="J2448" s="80">
        <f>H2448*I2448</f>
        <v/>
      </c>
      <c r="K2448" s="43" t="inlineStr">
        <is>
          <t>来源页187</t>
        </is>
      </c>
      <c r="L2448" s="43">
        <f>A2448</f>
        <v/>
      </c>
      <c r="M2448" s="81" t="n"/>
      <c r="N2448" s="81" t="n"/>
      <c r="O2448" s="81" t="n"/>
      <c r="P2448" s="81" t="n"/>
      <c r="Q2448" s="81" t="n"/>
      <c r="R2448" s="81" t="n"/>
      <c r="S2448" s="81" t="n"/>
      <c r="T2448" s="81" t="n"/>
      <c r="U2448" s="81" t="n"/>
      <c r="V2448" s="81" t="n"/>
      <c r="W2448" s="43" t="n"/>
    </row>
    <row r="2449">
      <c r="A2449" s="43" t="inlineStr">
        <is>
          <t>N12a</t>
        </is>
      </c>
      <c r="B2449" s="43" t="inlineStr"/>
      <c r="C2449" s="43" t="inlineStr">
        <is>
          <t>节段12</t>
        </is>
      </c>
      <c r="D2449" s="43" t="inlineStr">
        <is>
          <t>Q355D</t>
        </is>
      </c>
      <c r="E2449" s="43" t="n">
        <v>7900</v>
      </c>
      <c r="F2449" s="43" t="n">
        <v>1200</v>
      </c>
      <c r="G2449" s="43" t="n">
        <v>20</v>
      </c>
      <c r="H2449" s="79">
        <f>(E2449/1000)*(F2449/1000)*(G2449/1000)*7850</f>
        <v/>
      </c>
      <c r="I2449" s="43" t="n">
        <v>1</v>
      </c>
      <c r="J2449" s="80">
        <f>H2449*I2449</f>
        <v/>
      </c>
      <c r="K2449" s="43" t="inlineStr">
        <is>
          <t>来源页187</t>
        </is>
      </c>
      <c r="L2449" s="43">
        <f>A2449</f>
        <v/>
      </c>
      <c r="M2449" s="81" t="n"/>
      <c r="N2449" s="81" t="n"/>
      <c r="O2449" s="81" t="n"/>
      <c r="P2449" s="81" t="n"/>
      <c r="Q2449" s="81" t="n"/>
      <c r="R2449" s="81" t="n"/>
      <c r="S2449" s="81" t="n"/>
      <c r="T2449" s="81" t="n"/>
      <c r="U2449" s="81" t="n"/>
      <c r="V2449" s="81" t="n"/>
      <c r="W2449" s="43" t="n"/>
    </row>
    <row r="2450">
      <c r="A2450" s="43" t="inlineStr">
        <is>
          <t>N12b</t>
        </is>
      </c>
      <c r="B2450" s="43" t="inlineStr"/>
      <c r="C2450" s="43" t="inlineStr">
        <is>
          <t>节段12</t>
        </is>
      </c>
      <c r="D2450" s="43" t="inlineStr">
        <is>
          <t>Q355D</t>
        </is>
      </c>
      <c r="E2450" s="43" t="n">
        <v>7100</v>
      </c>
      <c r="F2450" s="43" t="n">
        <v>1200</v>
      </c>
      <c r="G2450" s="43" t="n">
        <v>20</v>
      </c>
      <c r="H2450" s="79">
        <f>(E2450/1000)*(F2450/1000)*(G2450/1000)*7850</f>
        <v/>
      </c>
      <c r="I2450" s="43" t="n">
        <v>1</v>
      </c>
      <c r="J2450" s="80">
        <f>H2450*I2450</f>
        <v/>
      </c>
      <c r="K2450" s="43" t="inlineStr">
        <is>
          <t>来源页187</t>
        </is>
      </c>
      <c r="L2450" s="43">
        <f>A2450</f>
        <v/>
      </c>
      <c r="M2450" s="81" t="n"/>
      <c r="N2450" s="81" t="n"/>
      <c r="O2450" s="81" t="n"/>
      <c r="P2450" s="81" t="n"/>
      <c r="Q2450" s="81" t="n"/>
      <c r="R2450" s="81" t="n"/>
      <c r="S2450" s="81" t="n"/>
      <c r="T2450" s="81" t="n"/>
      <c r="U2450" s="81" t="n"/>
      <c r="V2450" s="81" t="n"/>
      <c r="W2450" s="43" t="n"/>
    </row>
    <row r="2451">
      <c r="A2451" s="43" t="inlineStr">
        <is>
          <t>N13</t>
        </is>
      </c>
      <c r="B2451" s="43" t="inlineStr"/>
      <c r="C2451" s="43" t="inlineStr">
        <is>
          <t>节段12</t>
        </is>
      </c>
      <c r="D2451" s="43" t="inlineStr">
        <is>
          <t>Q355D</t>
        </is>
      </c>
      <c r="E2451" s="43" t="n"/>
      <c r="F2451" s="43" t="n"/>
      <c r="G2451" s="43" t="n">
        <v>40</v>
      </c>
      <c r="H2451" s="79">
        <f>(E2451/1000)*(F2451/1000)*(G2451/1000)*7850</f>
        <v/>
      </c>
      <c r="I2451" s="43" t="n">
        <v>2</v>
      </c>
      <c r="J2451" s="80">
        <f>H2451*I2451</f>
        <v/>
      </c>
      <c r="K2451" s="43" t="inlineStr">
        <is>
          <t>来源页187</t>
        </is>
      </c>
      <c r="L2451" s="43">
        <f>A2451</f>
        <v/>
      </c>
      <c r="M2451" s="81" t="n"/>
      <c r="N2451" s="81" t="n"/>
      <c r="O2451" s="81" t="n"/>
      <c r="P2451" s="81" t="n"/>
      <c r="Q2451" s="81" t="n"/>
      <c r="R2451" s="81" t="n"/>
      <c r="S2451" s="81" t="n"/>
      <c r="T2451" s="81" t="n"/>
      <c r="U2451" s="81" t="n"/>
      <c r="V2451" s="81" t="n"/>
      <c r="W2451" s="43" t="n"/>
    </row>
    <row r="2452">
      <c r="A2452" s="43" t="inlineStr">
        <is>
          <t>N14</t>
        </is>
      </c>
      <c r="B2452" s="43" t="inlineStr"/>
      <c r="C2452" s="43" t="inlineStr">
        <is>
          <t>节段12</t>
        </is>
      </c>
      <c r="D2452" s="43" t="inlineStr">
        <is>
          <t>Q355D</t>
        </is>
      </c>
      <c r="E2452" s="43" t="n">
        <v>7300</v>
      </c>
      <c r="F2452" s="43" t="n">
        <v>1648</v>
      </c>
      <c r="G2452" s="43" t="n">
        <v>28</v>
      </c>
      <c r="H2452" s="79">
        <f>(E2452/1000)*(F2452/1000)*(G2452/1000)*7850</f>
        <v/>
      </c>
      <c r="I2452" s="43" t="n">
        <v>2</v>
      </c>
      <c r="J2452" s="80">
        <f>H2452*I2452</f>
        <v/>
      </c>
      <c r="K2452" s="43" t="inlineStr">
        <is>
          <t>来源页187</t>
        </is>
      </c>
      <c r="L2452" s="43">
        <f>A2452</f>
        <v/>
      </c>
      <c r="M2452" s="81" t="n"/>
      <c r="N2452" s="81" t="n"/>
      <c r="O2452" s="81" t="n"/>
      <c r="P2452" s="81" t="n"/>
      <c r="Q2452" s="81" t="n"/>
      <c r="R2452" s="81" t="n"/>
      <c r="S2452" s="81" t="n"/>
      <c r="T2452" s="81" t="n"/>
      <c r="U2452" s="81" t="n"/>
      <c r="V2452" s="81" t="n"/>
      <c r="W2452" s="43" t="n"/>
    </row>
    <row r="2453">
      <c r="A2453" s="43" t="inlineStr">
        <is>
          <t>N15</t>
        </is>
      </c>
      <c r="B2453" s="43" t="inlineStr"/>
      <c r="C2453" s="43" t="inlineStr">
        <is>
          <t>节段12</t>
        </is>
      </c>
      <c r="D2453" s="43" t="inlineStr">
        <is>
          <t>Q355D</t>
        </is>
      </c>
      <c r="E2453" s="43" t="n">
        <v>1580</v>
      </c>
      <c r="F2453" s="43" t="n">
        <v>1200</v>
      </c>
      <c r="G2453" s="43" t="n">
        <v>16</v>
      </c>
      <c r="H2453" s="79">
        <f>(E2453/1000)*(F2453/1000)*(G2453/1000)*7850</f>
        <v/>
      </c>
      <c r="I2453" s="43" t="n">
        <v>3</v>
      </c>
      <c r="J2453" s="80">
        <f>H2453*I2453</f>
        <v/>
      </c>
      <c r="K2453" s="43" t="inlineStr">
        <is>
          <t>来源页187</t>
        </is>
      </c>
      <c r="L2453" s="43">
        <f>A2453</f>
        <v/>
      </c>
      <c r="M2453" s="81" t="n"/>
      <c r="N2453" s="81" t="n"/>
      <c r="O2453" s="81" t="n"/>
      <c r="P2453" s="81" t="n"/>
      <c r="Q2453" s="81" t="n"/>
      <c r="R2453" s="81" t="n"/>
      <c r="S2453" s="81" t="n"/>
      <c r="T2453" s="81" t="n"/>
      <c r="U2453" s="81" t="n"/>
      <c r="V2453" s="81" t="n"/>
      <c r="W2453" s="43" t="n"/>
    </row>
    <row r="2454">
      <c r="A2454" s="43" t="inlineStr">
        <is>
          <t>N15a</t>
        </is>
      </c>
      <c r="B2454" s="43" t="inlineStr"/>
      <c r="C2454" s="43" t="inlineStr">
        <is>
          <t>节段12</t>
        </is>
      </c>
      <c r="D2454" s="43" t="inlineStr">
        <is>
          <t>Q355D</t>
        </is>
      </c>
      <c r="E2454" s="43" t="n">
        <v>1580</v>
      </c>
      <c r="F2454" s="43" t="n">
        <v>1200</v>
      </c>
      <c r="G2454" s="43" t="n">
        <v>16</v>
      </c>
      <c r="H2454" s="79">
        <f>(E2454/1000)*(F2454/1000)*(G2454/1000)*7850</f>
        <v/>
      </c>
      <c r="I2454" s="43" t="n">
        <v>2</v>
      </c>
      <c r="J2454" s="80">
        <f>H2454*I2454</f>
        <v/>
      </c>
      <c r="K2454" s="43" t="inlineStr">
        <is>
          <t>来源页187</t>
        </is>
      </c>
      <c r="L2454" s="43">
        <f>A2454</f>
        <v/>
      </c>
      <c r="M2454" s="81" t="n"/>
      <c r="N2454" s="81" t="n"/>
      <c r="O2454" s="81" t="n"/>
      <c r="P2454" s="81" t="n"/>
      <c r="Q2454" s="81" t="n"/>
      <c r="R2454" s="81" t="n"/>
      <c r="S2454" s="81" t="n"/>
      <c r="T2454" s="81" t="n"/>
      <c r="U2454" s="81" t="n"/>
      <c r="V2454" s="81" t="n"/>
      <c r="W2454" s="43" t="n"/>
    </row>
    <row r="2455">
      <c r="A2455" s="43" t="inlineStr">
        <is>
          <t>N15‘</t>
        </is>
      </c>
      <c r="B2455" s="43" t="inlineStr"/>
      <c r="C2455" s="43" t="inlineStr">
        <is>
          <t>节段12</t>
        </is>
      </c>
      <c r="D2455" s="43" t="inlineStr">
        <is>
          <t>Q355D</t>
        </is>
      </c>
      <c r="E2455" s="43" t="n">
        <v>1657</v>
      </c>
      <c r="F2455" s="43" t="n">
        <v>200</v>
      </c>
      <c r="G2455" s="43" t="n">
        <v>16</v>
      </c>
      <c r="H2455" s="79">
        <f>(E2455/1000)*(F2455/1000)*(G2455/1000)*7850</f>
        <v/>
      </c>
      <c r="I2455" s="43" t="n">
        <v>3</v>
      </c>
      <c r="J2455" s="80">
        <f>H2455*I2455</f>
        <v/>
      </c>
      <c r="K2455" s="43" t="inlineStr">
        <is>
          <t>来源页187</t>
        </is>
      </c>
      <c r="L2455" s="43">
        <f>A2455</f>
        <v/>
      </c>
      <c r="M2455" s="81" t="n"/>
      <c r="N2455" s="81" t="n"/>
      <c r="O2455" s="81" t="n"/>
      <c r="P2455" s="81" t="n"/>
      <c r="Q2455" s="81" t="n"/>
      <c r="R2455" s="81" t="n"/>
      <c r="S2455" s="81" t="n"/>
      <c r="T2455" s="81" t="n"/>
      <c r="U2455" s="81" t="n"/>
      <c r="V2455" s="81" t="n"/>
      <c r="W2455" s="43" t="n"/>
    </row>
    <row r="2456">
      <c r="A2456" s="43" t="inlineStr">
        <is>
          <t>N15b</t>
        </is>
      </c>
      <c r="B2456" s="43" t="inlineStr"/>
      <c r="C2456" s="43" t="inlineStr">
        <is>
          <t>节段12</t>
        </is>
      </c>
      <c r="D2456" s="43" t="inlineStr">
        <is>
          <t>Q355D</t>
        </is>
      </c>
      <c r="E2456" s="43" t="n">
        <v>1782</v>
      </c>
      <c r="F2456" s="43" t="n">
        <v>40</v>
      </c>
      <c r="G2456" s="43" t="n">
        <v>4</v>
      </c>
      <c r="H2456" s="79">
        <f>(E2456/1000)*(F2456/1000)*(G2456/1000)*7850</f>
        <v/>
      </c>
      <c r="I2456" s="43" t="n">
        <v>4</v>
      </c>
      <c r="J2456" s="80">
        <f>H2456*I2456</f>
        <v/>
      </c>
      <c r="K2456" s="43" t="inlineStr">
        <is>
          <t>来源页187</t>
        </is>
      </c>
      <c r="L2456" s="43">
        <f>A2456</f>
        <v/>
      </c>
      <c r="M2456" s="81" t="n"/>
      <c r="N2456" s="81" t="n"/>
      <c r="O2456" s="81" t="n"/>
      <c r="P2456" s="81" t="n"/>
      <c r="Q2456" s="81" t="n"/>
      <c r="R2456" s="81" t="n"/>
      <c r="S2456" s="81" t="n"/>
      <c r="T2456" s="81" t="n"/>
      <c r="U2456" s="81" t="n"/>
      <c r="V2456" s="81" t="n"/>
      <c r="W2456" s="43" t="n"/>
    </row>
    <row r="2457">
      <c r="A2457" s="43" t="inlineStr">
        <is>
          <t>N15c</t>
        </is>
      </c>
      <c r="B2457" s="43" t="inlineStr"/>
      <c r="C2457" s="43" t="inlineStr">
        <is>
          <t>节段12</t>
        </is>
      </c>
      <c r="D2457" s="43" t="inlineStr">
        <is>
          <t>Q355D</t>
        </is>
      </c>
      <c r="E2457" s="43" t="n">
        <v>600</v>
      </c>
      <c r="F2457" s="43" t="n">
        <v>400</v>
      </c>
      <c r="G2457" s="43" t="n">
        <v>16</v>
      </c>
      <c r="H2457" s="79">
        <f>(E2457/1000)*(F2457/1000)*(G2457/1000)*7850</f>
        <v/>
      </c>
      <c r="I2457" s="43" t="n">
        <v>4</v>
      </c>
      <c r="J2457" s="80">
        <f>H2457*I2457</f>
        <v/>
      </c>
      <c r="K2457" s="43" t="inlineStr">
        <is>
          <t>来源页187</t>
        </is>
      </c>
      <c r="L2457" s="43">
        <f>A2457</f>
        <v/>
      </c>
      <c r="M2457" s="81" t="n"/>
      <c r="N2457" s="81" t="n"/>
      <c r="O2457" s="81" t="n"/>
      <c r="P2457" s="81" t="n"/>
      <c r="Q2457" s="81" t="n"/>
      <c r="R2457" s="81" t="n"/>
      <c r="S2457" s="81" t="n"/>
      <c r="T2457" s="81" t="n"/>
      <c r="U2457" s="81" t="n"/>
      <c r="V2457" s="81" t="n"/>
      <c r="W2457" s="43" t="n"/>
    </row>
    <row r="2458">
      <c r="A2458" s="43" t="inlineStr">
        <is>
          <t>N16a</t>
        </is>
      </c>
      <c r="B2458" s="43" t="inlineStr"/>
      <c r="C2458" s="43" t="inlineStr">
        <is>
          <t>节段12</t>
        </is>
      </c>
      <c r="D2458" s="43" t="inlineStr">
        <is>
          <t>Q355D</t>
        </is>
      </c>
      <c r="E2458" s="43" t="n">
        <v>7900</v>
      </c>
      <c r="F2458" s="43" t="n">
        <v>240</v>
      </c>
      <c r="G2458" s="43" t="n">
        <v>20</v>
      </c>
      <c r="H2458" s="79">
        <f>(E2458/1000)*(F2458/1000)*(G2458/1000)*7850</f>
        <v/>
      </c>
      <c r="I2458" s="43" t="n">
        <v>6</v>
      </c>
      <c r="J2458" s="80">
        <f>H2458*I2458</f>
        <v/>
      </c>
      <c r="K2458" s="43" t="inlineStr">
        <is>
          <t>来源页187</t>
        </is>
      </c>
      <c r="L2458" s="43">
        <f>A2458</f>
        <v/>
      </c>
      <c r="M2458" s="81" t="n"/>
      <c r="N2458" s="81" t="n"/>
      <c r="O2458" s="81" t="n"/>
      <c r="P2458" s="81" t="n"/>
      <c r="Q2458" s="81" t="n"/>
      <c r="R2458" s="81" t="n"/>
      <c r="S2458" s="81" t="n"/>
      <c r="T2458" s="81" t="n"/>
      <c r="U2458" s="81" t="n"/>
      <c r="V2458" s="81" t="n"/>
      <c r="W2458" s="43" t="n"/>
    </row>
    <row r="2459">
      <c r="A2459" s="43" t="inlineStr">
        <is>
          <t>N21a</t>
        </is>
      </c>
      <c r="B2459" s="43" t="inlineStr"/>
      <c r="C2459" s="43" t="inlineStr">
        <is>
          <t>节段12</t>
        </is>
      </c>
      <c r="D2459" s="43" t="inlineStr">
        <is>
          <t>Q355D</t>
        </is>
      </c>
      <c r="E2459" s="43" t="n">
        <v>7901</v>
      </c>
      <c r="F2459" s="43" t="n">
        <v>1850</v>
      </c>
      <c r="G2459" s="43" t="n">
        <v>24</v>
      </c>
      <c r="H2459" s="79">
        <f>(E2459/1000)*(F2459/1000)*(G2459/1000)*7850</f>
        <v/>
      </c>
      <c r="I2459" s="43" t="n">
        <v>1</v>
      </c>
      <c r="J2459" s="80">
        <f>H2459*I2459</f>
        <v/>
      </c>
      <c r="K2459" s="43" t="inlineStr">
        <is>
          <t>来源页187</t>
        </is>
      </c>
      <c r="L2459" s="43">
        <f>A2459</f>
        <v/>
      </c>
      <c r="M2459" s="81" t="n"/>
      <c r="N2459" s="81" t="n"/>
      <c r="O2459" s="81" t="n"/>
      <c r="P2459" s="81" t="n"/>
      <c r="Q2459" s="81" t="n"/>
      <c r="R2459" s="81" t="n"/>
      <c r="S2459" s="81" t="n"/>
      <c r="T2459" s="81" t="n"/>
      <c r="U2459" s="81" t="n"/>
      <c r="V2459" s="81" t="n"/>
      <c r="W2459" s="43" t="n"/>
    </row>
    <row r="2460">
      <c r="A2460" s="43" t="inlineStr">
        <is>
          <t>N21b</t>
        </is>
      </c>
      <c r="B2460" s="43" t="inlineStr"/>
      <c r="C2460" s="43" t="inlineStr">
        <is>
          <t>节段12</t>
        </is>
      </c>
      <c r="D2460" s="43" t="inlineStr">
        <is>
          <t>Q355D</t>
        </is>
      </c>
      <c r="E2460" s="43" t="n">
        <v>7101</v>
      </c>
      <c r="F2460" s="43" t="n">
        <v>1850</v>
      </c>
      <c r="G2460" s="43" t="n">
        <v>24</v>
      </c>
      <c r="H2460" s="79">
        <f>(E2460/1000)*(F2460/1000)*(G2460/1000)*7850</f>
        <v/>
      </c>
      <c r="I2460" s="43" t="n">
        <v>1</v>
      </c>
      <c r="J2460" s="80">
        <f>H2460*I2460</f>
        <v/>
      </c>
      <c r="K2460" s="43" t="inlineStr">
        <is>
          <t>来源页187</t>
        </is>
      </c>
      <c r="L2460" s="43">
        <f>A2460</f>
        <v/>
      </c>
      <c r="M2460" s="81" t="n"/>
      <c r="N2460" s="81" t="n"/>
      <c r="O2460" s="81" t="n"/>
      <c r="P2460" s="81" t="n"/>
      <c r="Q2460" s="81" t="n"/>
      <c r="R2460" s="81" t="n"/>
      <c r="S2460" s="81" t="n"/>
      <c r="T2460" s="81" t="n"/>
      <c r="U2460" s="81" t="n"/>
      <c r="V2460" s="81" t="n"/>
      <c r="W2460" s="43" t="n"/>
    </row>
    <row r="2461">
      <c r="A2461" s="43" t="inlineStr">
        <is>
          <t>N22a</t>
        </is>
      </c>
      <c r="B2461" s="43" t="inlineStr"/>
      <c r="C2461" s="43" t="inlineStr">
        <is>
          <t>节段12</t>
        </is>
      </c>
      <c r="D2461" s="43" t="inlineStr">
        <is>
          <t>Q355D</t>
        </is>
      </c>
      <c r="E2461" s="43" t="n"/>
      <c r="F2461" s="43" t="n"/>
      <c r="G2461" s="43" t="n">
        <v>24</v>
      </c>
      <c r="H2461" s="79">
        <f>(E2461/1000)*(F2461/1000)*(G2461/1000)*7850</f>
        <v/>
      </c>
      <c r="I2461" s="43" t="n">
        <v>1</v>
      </c>
      <c r="J2461" s="80">
        <f>H2461*I2461</f>
        <v/>
      </c>
      <c r="K2461" s="43" t="inlineStr">
        <is>
          <t>来源页187</t>
        </is>
      </c>
      <c r="L2461" s="43">
        <f>A2461</f>
        <v/>
      </c>
      <c r="M2461" s="81" t="n"/>
      <c r="N2461" s="81" t="n"/>
      <c r="O2461" s="81" t="n"/>
      <c r="P2461" s="81" t="n"/>
      <c r="Q2461" s="81" t="n"/>
      <c r="R2461" s="81" t="n"/>
      <c r="S2461" s="81" t="n"/>
      <c r="T2461" s="81" t="n"/>
      <c r="U2461" s="81" t="n"/>
      <c r="V2461" s="81" t="n"/>
      <c r="W2461" s="43" t="n"/>
    </row>
    <row r="2462">
      <c r="A2462" s="43" t="inlineStr">
        <is>
          <t>N22b</t>
        </is>
      </c>
      <c r="B2462" s="43" t="inlineStr"/>
      <c r="C2462" s="43" t="inlineStr">
        <is>
          <t>节段12</t>
        </is>
      </c>
      <c r="D2462" s="43" t="inlineStr">
        <is>
          <t>Q355D</t>
        </is>
      </c>
      <c r="E2462" s="43" t="n"/>
      <c r="F2462" s="43" t="n"/>
      <c r="G2462" s="43" t="n">
        <v>24</v>
      </c>
      <c r="H2462" s="79">
        <f>(E2462/1000)*(F2462/1000)*(G2462/1000)*7850</f>
        <v/>
      </c>
      <c r="I2462" s="43" t="n">
        <v>1</v>
      </c>
      <c r="J2462" s="80">
        <f>H2462*I2462</f>
        <v/>
      </c>
      <c r="K2462" s="43" t="inlineStr">
        <is>
          <t>来源页187</t>
        </is>
      </c>
      <c r="L2462" s="43">
        <f>A2462</f>
        <v/>
      </c>
      <c r="M2462" s="81" t="n"/>
      <c r="N2462" s="81" t="n"/>
      <c r="O2462" s="81" t="n"/>
      <c r="P2462" s="81" t="n"/>
      <c r="Q2462" s="81" t="n"/>
      <c r="R2462" s="81" t="n"/>
      <c r="S2462" s="81" t="n"/>
      <c r="T2462" s="81" t="n"/>
      <c r="U2462" s="81" t="n"/>
      <c r="V2462" s="81" t="n"/>
      <c r="W2462" s="43" t="n"/>
    </row>
    <row r="2463">
      <c r="A2463" s="43" t="inlineStr">
        <is>
          <t>N23</t>
        </is>
      </c>
      <c r="B2463" s="43" t="inlineStr"/>
      <c r="C2463" s="43" t="inlineStr">
        <is>
          <t>节段12</t>
        </is>
      </c>
      <c r="D2463" s="43" t="inlineStr">
        <is>
          <t>Q355D</t>
        </is>
      </c>
      <c r="E2463" s="43" t="n"/>
      <c r="F2463" s="43" t="n"/>
      <c r="G2463" s="43" t="n">
        <v>44</v>
      </c>
      <c r="H2463" s="79">
        <f>(E2463/1000)*(F2463/1000)*(G2463/1000)*7850</f>
        <v/>
      </c>
      <c r="I2463" s="43" t="n">
        <v>2</v>
      </c>
      <c r="J2463" s="80">
        <f>H2463*I2463</f>
        <v/>
      </c>
      <c r="K2463" s="43" t="inlineStr">
        <is>
          <t>Z35钢；来源页187</t>
        </is>
      </c>
      <c r="L2463" s="43">
        <f>A2463</f>
        <v/>
      </c>
      <c r="M2463" s="81" t="n"/>
      <c r="N2463" s="81" t="n"/>
      <c r="O2463" s="81" t="n"/>
      <c r="P2463" s="81" t="n"/>
      <c r="Q2463" s="81" t="n"/>
      <c r="R2463" s="81" t="n"/>
      <c r="S2463" s="81" t="n"/>
      <c r="T2463" s="81" t="n"/>
      <c r="U2463" s="81" t="n"/>
      <c r="V2463" s="81" t="n"/>
      <c r="W2463" s="43" t="n"/>
    </row>
    <row r="2464">
      <c r="A2464" s="43" t="inlineStr">
        <is>
          <t>N24</t>
        </is>
      </c>
      <c r="B2464" s="43" t="inlineStr"/>
      <c r="C2464" s="43" t="inlineStr">
        <is>
          <t>节段12</t>
        </is>
      </c>
      <c r="D2464" s="43" t="inlineStr">
        <is>
          <t>Q355D</t>
        </is>
      </c>
      <c r="E2464" s="43" t="n">
        <v>7301</v>
      </c>
      <c r="F2464" s="43" t="n">
        <v>1474</v>
      </c>
      <c r="G2464" s="43" t="n">
        <v>32</v>
      </c>
      <c r="H2464" s="79">
        <f>(E2464/1000)*(F2464/1000)*(G2464/1000)*7850</f>
        <v/>
      </c>
      <c r="I2464" s="43" t="n">
        <v>2</v>
      </c>
      <c r="J2464" s="80">
        <f>H2464*I2464</f>
        <v/>
      </c>
      <c r="K2464" s="43" t="inlineStr">
        <is>
          <t>来源页187</t>
        </is>
      </c>
      <c r="L2464" s="43">
        <f>A2464</f>
        <v/>
      </c>
      <c r="M2464" s="81" t="n"/>
      <c r="N2464" s="81" t="n"/>
      <c r="O2464" s="81" t="n"/>
      <c r="P2464" s="81" t="n"/>
      <c r="Q2464" s="81" t="n"/>
      <c r="R2464" s="81" t="n"/>
      <c r="S2464" s="81" t="n"/>
      <c r="T2464" s="81" t="n"/>
      <c r="U2464" s="81" t="n"/>
      <c r="V2464" s="81" t="n"/>
      <c r="W2464" s="43" t="n"/>
    </row>
    <row r="2465">
      <c r="A2465" s="43" t="inlineStr">
        <is>
          <t>N25</t>
        </is>
      </c>
      <c r="B2465" s="43" t="inlineStr"/>
      <c r="C2465" s="43" t="inlineStr">
        <is>
          <t>节段12</t>
        </is>
      </c>
      <c r="D2465" s="43" t="inlineStr">
        <is>
          <t>Q355D</t>
        </is>
      </c>
      <c r="E2465" s="43" t="n">
        <v>1450</v>
      </c>
      <c r="F2465" s="43" t="n">
        <v>1200</v>
      </c>
      <c r="G2465" s="43" t="n">
        <v>16</v>
      </c>
      <c r="H2465" s="79">
        <f>(E2465/1000)*(F2465/1000)*(G2465/1000)*7850</f>
        <v/>
      </c>
      <c r="I2465" s="43" t="n">
        <v>3</v>
      </c>
      <c r="J2465" s="80">
        <f>H2465*I2465</f>
        <v/>
      </c>
      <c r="K2465" s="43" t="inlineStr">
        <is>
          <t>来源页187</t>
        </is>
      </c>
      <c r="L2465" s="43">
        <f>A2465</f>
        <v/>
      </c>
      <c r="M2465" s="81" t="n"/>
      <c r="N2465" s="81" t="n"/>
      <c r="O2465" s="81" t="n"/>
      <c r="P2465" s="81" t="n"/>
      <c r="Q2465" s="81" t="n"/>
      <c r="R2465" s="81" t="n"/>
      <c r="S2465" s="81" t="n"/>
      <c r="T2465" s="81" t="n"/>
      <c r="U2465" s="81" t="n"/>
      <c r="V2465" s="81" t="n"/>
      <c r="W2465" s="43" t="n"/>
    </row>
    <row r="2466">
      <c r="A2466" s="43" t="inlineStr">
        <is>
          <t>N25a</t>
        </is>
      </c>
      <c r="B2466" s="43" t="inlineStr"/>
      <c r="C2466" s="43" t="inlineStr">
        <is>
          <t>节段12</t>
        </is>
      </c>
      <c r="D2466" s="43" t="inlineStr">
        <is>
          <t>Q355D</t>
        </is>
      </c>
      <c r="E2466" s="43" t="n">
        <v>1450</v>
      </c>
      <c r="F2466" s="43" t="n">
        <v>1200</v>
      </c>
      <c r="G2466" s="43" t="n">
        <v>16</v>
      </c>
      <c r="H2466" s="79">
        <f>(E2466/1000)*(F2466/1000)*(G2466/1000)*7850</f>
        <v/>
      </c>
      <c r="I2466" s="43" t="n">
        <v>2</v>
      </c>
      <c r="J2466" s="80">
        <f>H2466*I2466</f>
        <v/>
      </c>
      <c r="K2466" s="43" t="inlineStr">
        <is>
          <t>来源页187</t>
        </is>
      </c>
      <c r="L2466" s="43">
        <f>A2466</f>
        <v/>
      </c>
      <c r="M2466" s="81" t="n"/>
      <c r="N2466" s="81" t="n"/>
      <c r="O2466" s="81" t="n"/>
      <c r="P2466" s="81" t="n"/>
      <c r="Q2466" s="81" t="n"/>
      <c r="R2466" s="81" t="n"/>
      <c r="S2466" s="81" t="n"/>
      <c r="T2466" s="81" t="n"/>
      <c r="U2466" s="81" t="n"/>
      <c r="V2466" s="81" t="n"/>
      <c r="W2466" s="43" t="n"/>
    </row>
    <row r="2467">
      <c r="A2467" s="43" t="inlineStr">
        <is>
          <t>N25'</t>
        </is>
      </c>
      <c r="B2467" s="43" t="inlineStr"/>
      <c r="C2467" s="43" t="inlineStr">
        <is>
          <t>节段12</t>
        </is>
      </c>
      <c r="D2467" s="43" t="inlineStr">
        <is>
          <t>Q355D</t>
        </is>
      </c>
      <c r="E2467" s="43" t="n">
        <v>1657</v>
      </c>
      <c r="F2467" s="43" t="n">
        <v>200</v>
      </c>
      <c r="G2467" s="43" t="n">
        <v>16</v>
      </c>
      <c r="H2467" s="79">
        <f>(E2467/1000)*(F2467/1000)*(G2467/1000)*7850</f>
        <v/>
      </c>
      <c r="I2467" s="43" t="n">
        <v>3</v>
      </c>
      <c r="J2467" s="80">
        <f>H2467*I2467</f>
        <v/>
      </c>
      <c r="K2467" s="43" t="inlineStr">
        <is>
          <t>来源页187</t>
        </is>
      </c>
      <c r="L2467" s="43">
        <f>A2467</f>
        <v/>
      </c>
      <c r="M2467" s="81" t="n"/>
      <c r="N2467" s="81" t="n"/>
      <c r="O2467" s="81" t="n"/>
      <c r="P2467" s="81" t="n"/>
      <c r="Q2467" s="81" t="n"/>
      <c r="R2467" s="81" t="n"/>
      <c r="S2467" s="81" t="n"/>
      <c r="T2467" s="81" t="n"/>
      <c r="U2467" s="81" t="n"/>
      <c r="V2467" s="81" t="n"/>
      <c r="W2467" s="43" t="n"/>
    </row>
    <row r="2468">
      <c r="A2468" s="43" t="inlineStr">
        <is>
          <t>N26a</t>
        </is>
      </c>
      <c r="B2468" s="43" t="inlineStr"/>
      <c r="C2468" s="43" t="inlineStr">
        <is>
          <t>节段12</t>
        </is>
      </c>
      <c r="D2468" s="43" t="inlineStr">
        <is>
          <t>Q355D</t>
        </is>
      </c>
      <c r="E2468" s="43" t="n">
        <v>7901</v>
      </c>
      <c r="F2468" s="43" t="n">
        <v>240</v>
      </c>
      <c r="G2468" s="43" t="n">
        <v>20</v>
      </c>
      <c r="H2468" s="79">
        <f>(E2468/1000)*(F2468/1000)*(G2468/1000)*7850</f>
        <v/>
      </c>
      <c r="I2468" s="43" t="n">
        <v>4</v>
      </c>
      <c r="J2468" s="80">
        <f>H2468*I2468</f>
        <v/>
      </c>
      <c r="K2468" s="43" t="inlineStr">
        <is>
          <t>来源页187</t>
        </is>
      </c>
      <c r="L2468" s="43">
        <f>A2468</f>
        <v/>
      </c>
      <c r="M2468" s="81" t="n"/>
      <c r="N2468" s="81" t="n"/>
      <c r="O2468" s="81" t="n"/>
      <c r="P2468" s="81" t="n"/>
      <c r="Q2468" s="81" t="n"/>
      <c r="R2468" s="81" t="n"/>
      <c r="S2468" s="81" t="n"/>
      <c r="T2468" s="81" t="n"/>
      <c r="U2468" s="81" t="n"/>
      <c r="V2468" s="81" t="n"/>
      <c r="W2468" s="43" t="n"/>
    </row>
    <row r="2469">
      <c r="A2469" s="43" t="inlineStr">
        <is>
          <t>N26b</t>
        </is>
      </c>
      <c r="B2469" s="43" t="inlineStr"/>
      <c r="C2469" s="43" t="inlineStr">
        <is>
          <t>节段12</t>
        </is>
      </c>
      <c r="D2469" s="43" t="inlineStr">
        <is>
          <t>Q355D</t>
        </is>
      </c>
      <c r="E2469" s="43" t="n">
        <v>7101</v>
      </c>
      <c r="F2469" s="43" t="n">
        <v>240</v>
      </c>
      <c r="G2469" s="43" t="n">
        <v>20</v>
      </c>
      <c r="H2469" s="79">
        <f>(E2469/1000)*(F2469/1000)*(G2469/1000)*7850</f>
        <v/>
      </c>
      <c r="I2469" s="43" t="n">
        <v>4</v>
      </c>
      <c r="J2469" s="80">
        <f>H2469*I2469</f>
        <v/>
      </c>
      <c r="K2469" s="43" t="inlineStr">
        <is>
          <t>来源页187</t>
        </is>
      </c>
      <c r="L2469" s="43">
        <f>A2469</f>
        <v/>
      </c>
      <c r="M2469" s="81" t="n"/>
      <c r="N2469" s="81" t="n"/>
      <c r="O2469" s="81" t="n"/>
      <c r="P2469" s="81" t="n"/>
      <c r="Q2469" s="81" t="n"/>
      <c r="R2469" s="81" t="n"/>
      <c r="S2469" s="81" t="n"/>
      <c r="T2469" s="81" t="n"/>
      <c r="U2469" s="81" t="n"/>
      <c r="V2469" s="81" t="n"/>
      <c r="W2469" s="43" t="n"/>
    </row>
    <row r="2470">
      <c r="A2470" s="43" t="inlineStr">
        <is>
          <t>N26c</t>
        </is>
      </c>
      <c r="B2470" s="43" t="inlineStr"/>
      <c r="C2470" s="43" t="inlineStr">
        <is>
          <t>节段12</t>
        </is>
      </c>
      <c r="D2470" s="43" t="inlineStr">
        <is>
          <t>Q355D</t>
        </is>
      </c>
      <c r="E2470" s="43" t="n">
        <v>15002</v>
      </c>
      <c r="F2470" s="43" t="n">
        <v>170</v>
      </c>
      <c r="G2470" s="43" t="n">
        <v>14</v>
      </c>
      <c r="H2470" s="79">
        <f>(E2470/1000)*(F2470/1000)*(G2470/1000)*7850</f>
        <v/>
      </c>
      <c r="I2470" s="43" t="n">
        <v>1</v>
      </c>
      <c r="J2470" s="80">
        <f>H2470*I2470</f>
        <v/>
      </c>
      <c r="K2470" s="43" t="inlineStr">
        <is>
          <t>来源页187</t>
        </is>
      </c>
      <c r="L2470" s="43">
        <f>A2470</f>
        <v/>
      </c>
      <c r="M2470" s="81" t="n"/>
      <c r="N2470" s="81" t="n"/>
      <c r="O2470" s="81" t="n"/>
      <c r="P2470" s="81" t="n"/>
      <c r="Q2470" s="81" t="n"/>
      <c r="R2470" s="81" t="n"/>
      <c r="S2470" s="81" t="n"/>
      <c r="T2470" s="81" t="n"/>
      <c r="U2470" s="81" t="n"/>
      <c r="V2470" s="81" t="n"/>
      <c r="W2470" s="43" t="n"/>
    </row>
    <row r="2471">
      <c r="A2471" s="43" t="inlineStr">
        <is>
          <t>N31</t>
        </is>
      </c>
      <c r="B2471" s="43" t="inlineStr"/>
      <c r="C2471" s="43" t="inlineStr">
        <is>
          <t>节段12</t>
        </is>
      </c>
      <c r="D2471" s="43" t="inlineStr">
        <is>
          <t>Q355D</t>
        </is>
      </c>
      <c r="E2471" s="43" t="n">
        <v>7548</v>
      </c>
      <c r="F2471" s="43" t="n">
        <v>900</v>
      </c>
      <c r="G2471" s="43" t="n">
        <v>36</v>
      </c>
      <c r="H2471" s="79">
        <f>(E2471/1000)*(F2471/1000)*(G2471/1000)*7850</f>
        <v/>
      </c>
      <c r="I2471" s="43" t="n">
        <v>2</v>
      </c>
      <c r="J2471" s="80">
        <f>H2471*I2471</f>
        <v/>
      </c>
      <c r="K2471" s="43" t="inlineStr">
        <is>
          <t>来源页187</t>
        </is>
      </c>
      <c r="L2471" s="43">
        <f>A2471</f>
        <v/>
      </c>
      <c r="M2471" s="81" t="n"/>
      <c r="N2471" s="81" t="n"/>
      <c r="O2471" s="81" t="n"/>
      <c r="P2471" s="81" t="n"/>
      <c r="Q2471" s="81" t="n"/>
      <c r="R2471" s="81" t="n"/>
      <c r="S2471" s="81" t="n"/>
      <c r="T2471" s="81" t="n"/>
      <c r="U2471" s="81" t="n"/>
      <c r="V2471" s="81" t="n"/>
      <c r="W2471" s="43" t="n"/>
    </row>
    <row r="2472">
      <c r="A2472" s="43" t="inlineStr">
        <is>
          <t>N32</t>
        </is>
      </c>
      <c r="B2472" s="43" t="inlineStr"/>
      <c r="C2472" s="43" t="inlineStr">
        <is>
          <t>节段12</t>
        </is>
      </c>
      <c r="D2472" s="43" t="inlineStr">
        <is>
          <t>Q355D</t>
        </is>
      </c>
      <c r="E2472" s="43" t="n">
        <v>12448</v>
      </c>
      <c r="F2472" s="43" t="n">
        <v>1200</v>
      </c>
      <c r="G2472" s="43" t="n">
        <v>32</v>
      </c>
      <c r="H2472" s="79">
        <f>(E2472/1000)*(F2472/1000)*(G2472/1000)*7850</f>
        <v/>
      </c>
      <c r="I2472" s="43" t="n">
        <v>1</v>
      </c>
      <c r="J2472" s="80">
        <f>H2472*I2472</f>
        <v/>
      </c>
      <c r="K2472" s="43" t="inlineStr">
        <is>
          <t>来源页187</t>
        </is>
      </c>
      <c r="L2472" s="43">
        <f>A2472</f>
        <v/>
      </c>
      <c r="M2472" s="81" t="n"/>
      <c r="N2472" s="81" t="n"/>
      <c r="O2472" s="81" t="n"/>
      <c r="P2472" s="81" t="n"/>
      <c r="Q2472" s="81" t="n"/>
      <c r="R2472" s="81" t="n"/>
      <c r="S2472" s="81" t="n"/>
      <c r="T2472" s="81" t="n"/>
      <c r="U2472" s="81" t="n"/>
      <c r="V2472" s="81" t="n"/>
      <c r="W2472" s="43" t="n"/>
    </row>
    <row r="2473">
      <c r="A2473" s="43" t="inlineStr">
        <is>
          <t>N33</t>
        </is>
      </c>
      <c r="B2473" s="43" t="inlineStr"/>
      <c r="C2473" s="43" t="inlineStr">
        <is>
          <t>节段12</t>
        </is>
      </c>
      <c r="D2473" s="43" t="inlineStr">
        <is>
          <t>Q355D</t>
        </is>
      </c>
      <c r="E2473" s="43" t="n">
        <v>11048</v>
      </c>
      <c r="F2473" s="43" t="n">
        <v>240</v>
      </c>
      <c r="G2473" s="43" t="n">
        <v>24</v>
      </c>
      <c r="H2473" s="79">
        <f>(E2473/1000)*(F2473/1000)*(G2473/1000)*7850</f>
        <v/>
      </c>
      <c r="I2473" s="43" t="n">
        <v>2</v>
      </c>
      <c r="J2473" s="80">
        <f>H2473*I2473</f>
        <v/>
      </c>
      <c r="K2473" s="43" t="inlineStr">
        <is>
          <t>来源页187</t>
        </is>
      </c>
      <c r="L2473" s="43">
        <f>A2473</f>
        <v/>
      </c>
      <c r="M2473" s="81" t="n"/>
      <c r="N2473" s="81" t="n"/>
      <c r="O2473" s="81" t="n"/>
      <c r="P2473" s="81" t="n"/>
      <c r="Q2473" s="81" t="n"/>
      <c r="R2473" s="81" t="n"/>
      <c r="S2473" s="81" t="n"/>
      <c r="T2473" s="81" t="n"/>
      <c r="U2473" s="81" t="n"/>
      <c r="V2473" s="81" t="n"/>
      <c r="W2473" s="43" t="n"/>
    </row>
    <row r="2474">
      <c r="A2474" s="43" t="inlineStr">
        <is>
          <t>N41</t>
        </is>
      </c>
      <c r="B2474" s="43" t="inlineStr"/>
      <c r="C2474" s="43" t="inlineStr">
        <is>
          <t>节段12</t>
        </is>
      </c>
      <c r="D2474" s="43" t="inlineStr">
        <is>
          <t>Q355D</t>
        </is>
      </c>
      <c r="E2474" s="43" t="n">
        <v>3714</v>
      </c>
      <c r="F2474" s="43" t="n">
        <v>900</v>
      </c>
      <c r="G2474" s="43" t="n">
        <v>36</v>
      </c>
      <c r="H2474" s="79">
        <f>(E2474/1000)*(F2474/1000)*(G2474/1000)*7850</f>
        <v/>
      </c>
      <c r="I2474" s="43" t="n">
        <v>2</v>
      </c>
      <c r="J2474" s="80">
        <f>H2474*I2474</f>
        <v/>
      </c>
      <c r="K2474" s="43" t="inlineStr">
        <is>
          <t>来源页187</t>
        </is>
      </c>
      <c r="L2474" s="43">
        <f>A2474</f>
        <v/>
      </c>
      <c r="M2474" s="81" t="n"/>
      <c r="N2474" s="81" t="n"/>
      <c r="O2474" s="81" t="n"/>
      <c r="P2474" s="81" t="n"/>
      <c r="Q2474" s="81" t="n"/>
      <c r="R2474" s="81" t="n"/>
      <c r="S2474" s="81" t="n"/>
      <c r="T2474" s="81" t="n"/>
      <c r="U2474" s="81" t="n"/>
      <c r="V2474" s="81" t="n"/>
      <c r="W2474" s="43" t="n"/>
    </row>
    <row r="2475">
      <c r="A2475" s="43" t="inlineStr">
        <is>
          <t>N42</t>
        </is>
      </c>
      <c r="B2475" s="43" t="inlineStr"/>
      <c r="C2475" s="43" t="inlineStr">
        <is>
          <t>节段12</t>
        </is>
      </c>
      <c r="D2475" s="43" t="inlineStr">
        <is>
          <t>Q355D</t>
        </is>
      </c>
      <c r="E2475" s="43" t="n">
        <v>6014</v>
      </c>
      <c r="F2475" s="43" t="n">
        <v>1200</v>
      </c>
      <c r="G2475" s="43" t="n">
        <v>32</v>
      </c>
      <c r="H2475" s="79">
        <f>(E2475/1000)*(F2475/1000)*(G2475/1000)*7850</f>
        <v/>
      </c>
      <c r="I2475" s="43" t="n">
        <v>1</v>
      </c>
      <c r="J2475" s="80">
        <f>H2475*I2475</f>
        <v/>
      </c>
      <c r="K2475" s="43" t="inlineStr">
        <is>
          <t>来源页187</t>
        </is>
      </c>
      <c r="L2475" s="43">
        <f>A2475</f>
        <v/>
      </c>
      <c r="M2475" s="81" t="n"/>
      <c r="N2475" s="81" t="n"/>
      <c r="O2475" s="81" t="n"/>
      <c r="P2475" s="81" t="n"/>
      <c r="Q2475" s="81" t="n"/>
      <c r="R2475" s="81" t="n"/>
      <c r="S2475" s="81" t="n"/>
      <c r="T2475" s="81" t="n"/>
      <c r="U2475" s="81" t="n"/>
      <c r="V2475" s="81" t="n"/>
      <c r="W2475" s="43" t="n"/>
    </row>
    <row r="2476">
      <c r="A2476" s="43" t="inlineStr">
        <is>
          <t>N43</t>
        </is>
      </c>
      <c r="B2476" s="43" t="inlineStr"/>
      <c r="C2476" s="43" t="inlineStr">
        <is>
          <t>节段12</t>
        </is>
      </c>
      <c r="D2476" s="43" t="inlineStr">
        <is>
          <t>Q355D</t>
        </is>
      </c>
      <c r="E2476" s="43" t="n">
        <v>5314</v>
      </c>
      <c r="F2476" s="43" t="n">
        <v>240</v>
      </c>
      <c r="G2476" s="43" t="n">
        <v>24</v>
      </c>
      <c r="H2476" s="79">
        <f>(E2476/1000)*(F2476/1000)*(G2476/1000)*7850</f>
        <v/>
      </c>
      <c r="I2476" s="43" t="n">
        <v>2</v>
      </c>
      <c r="J2476" s="80">
        <f>H2476*I2476</f>
        <v/>
      </c>
      <c r="K2476" s="43" t="inlineStr">
        <is>
          <t>来源页187</t>
        </is>
      </c>
      <c r="L2476" s="43">
        <f>A2476</f>
        <v/>
      </c>
      <c r="M2476" s="81" t="n"/>
      <c r="N2476" s="81" t="n"/>
      <c r="O2476" s="81" t="n"/>
      <c r="P2476" s="81" t="n"/>
      <c r="Q2476" s="81" t="n"/>
      <c r="R2476" s="81" t="n"/>
      <c r="S2476" s="81" t="n"/>
      <c r="T2476" s="81" t="n"/>
      <c r="U2476" s="81" t="n"/>
      <c r="V2476" s="81" t="n"/>
      <c r="W2476" s="43" t="n"/>
    </row>
    <row r="2477">
      <c r="A2477" s="43" t="inlineStr">
        <is>
          <t>N51</t>
        </is>
      </c>
      <c r="B2477" s="43" t="inlineStr"/>
      <c r="C2477" s="43" t="inlineStr">
        <is>
          <t>节段12</t>
        </is>
      </c>
      <c r="D2477" s="43" t="inlineStr">
        <is>
          <t>Q355D</t>
        </is>
      </c>
      <c r="E2477" s="43" t="n">
        <v>3752</v>
      </c>
      <c r="F2477" s="43" t="n">
        <v>900</v>
      </c>
      <c r="G2477" s="43" t="n">
        <v>36</v>
      </c>
      <c r="H2477" s="79">
        <f>(E2477/1000)*(F2477/1000)*(G2477/1000)*7850</f>
        <v/>
      </c>
      <c r="I2477" s="43" t="n">
        <v>2</v>
      </c>
      <c r="J2477" s="80">
        <f>H2477*I2477</f>
        <v/>
      </c>
      <c r="K2477" s="43" t="inlineStr">
        <is>
          <t>来源页187</t>
        </is>
      </c>
      <c r="L2477" s="43">
        <f>A2477</f>
        <v/>
      </c>
      <c r="M2477" s="81" t="n"/>
      <c r="N2477" s="81" t="n"/>
      <c r="O2477" s="81" t="n"/>
      <c r="P2477" s="81" t="n"/>
      <c r="Q2477" s="81" t="n"/>
      <c r="R2477" s="81" t="n"/>
      <c r="S2477" s="81" t="n"/>
      <c r="T2477" s="81" t="n"/>
      <c r="U2477" s="81" t="n"/>
      <c r="V2477" s="81" t="n"/>
      <c r="W2477" s="43" t="n"/>
    </row>
    <row r="2478">
      <c r="A2478" s="43" t="inlineStr">
        <is>
          <t>N52</t>
        </is>
      </c>
      <c r="B2478" s="43" t="inlineStr"/>
      <c r="C2478" s="43" t="inlineStr">
        <is>
          <t>节段12</t>
        </is>
      </c>
      <c r="D2478" s="43" t="inlineStr">
        <is>
          <t>Q355D</t>
        </is>
      </c>
      <c r="E2478" s="43" t="n">
        <v>6352</v>
      </c>
      <c r="F2478" s="43" t="n">
        <v>1200</v>
      </c>
      <c r="G2478" s="43" t="n">
        <v>32</v>
      </c>
      <c r="H2478" s="79">
        <f>(E2478/1000)*(F2478/1000)*(G2478/1000)*7850</f>
        <v/>
      </c>
      <c r="I2478" s="43" t="n">
        <v>1</v>
      </c>
      <c r="J2478" s="80">
        <f>H2478*I2478</f>
        <v/>
      </c>
      <c r="K2478" s="43" t="inlineStr">
        <is>
          <t>来源页187</t>
        </is>
      </c>
      <c r="L2478" s="43">
        <f>A2478</f>
        <v/>
      </c>
      <c r="M2478" s="81" t="n"/>
      <c r="N2478" s="81" t="n"/>
      <c r="O2478" s="81" t="n"/>
      <c r="P2478" s="81" t="n"/>
      <c r="Q2478" s="81" t="n"/>
      <c r="R2478" s="81" t="n"/>
      <c r="S2478" s="81" t="n"/>
      <c r="T2478" s="81" t="n"/>
      <c r="U2478" s="81" t="n"/>
      <c r="V2478" s="81" t="n"/>
      <c r="W2478" s="43" t="n"/>
    </row>
    <row r="2479">
      <c r="A2479" s="43" t="inlineStr">
        <is>
          <t>N53</t>
        </is>
      </c>
      <c r="B2479" s="43" t="inlineStr"/>
      <c r="C2479" s="43" t="inlineStr">
        <is>
          <t>节段12</t>
        </is>
      </c>
      <c r="D2479" s="43" t="inlineStr">
        <is>
          <t>Q355D</t>
        </is>
      </c>
      <c r="E2479" s="43" t="n">
        <v>5652</v>
      </c>
      <c r="F2479" s="43" t="n">
        <v>240</v>
      </c>
      <c r="G2479" s="43" t="n">
        <v>24</v>
      </c>
      <c r="H2479" s="79">
        <f>(E2479/1000)*(F2479/1000)*(G2479/1000)*7850</f>
        <v/>
      </c>
      <c r="I2479" s="43" t="n">
        <v>2</v>
      </c>
      <c r="J2479" s="80">
        <f>H2479*I2479</f>
        <v/>
      </c>
      <c r="K2479" s="43" t="inlineStr">
        <is>
          <t>来源页187</t>
        </is>
      </c>
      <c r="L2479" s="43">
        <f>A2479</f>
        <v/>
      </c>
      <c r="M2479" s="81" t="n"/>
      <c r="N2479" s="81" t="n"/>
      <c r="O2479" s="81" t="n"/>
      <c r="P2479" s="81" t="n"/>
      <c r="Q2479" s="81" t="n"/>
      <c r="R2479" s="81" t="n"/>
      <c r="S2479" s="81" t="n"/>
      <c r="T2479" s="81" t="n"/>
      <c r="U2479" s="81" t="n"/>
      <c r="V2479" s="81" t="n"/>
      <c r="W2479" s="43" t="n"/>
    </row>
    <row r="2480">
      <c r="A2480" s="43" t="inlineStr">
        <is>
          <t>N54</t>
        </is>
      </c>
      <c r="B2480" s="43" t="inlineStr"/>
      <c r="C2480" s="43" t="inlineStr">
        <is>
          <t>节段12</t>
        </is>
      </c>
      <c r="D2480" s="43" t="inlineStr">
        <is>
          <t>Q355D</t>
        </is>
      </c>
      <c r="E2480" s="43" t="n">
        <v>1103</v>
      </c>
      <c r="F2480" s="43" t="n">
        <v>1200</v>
      </c>
      <c r="G2480" s="43" t="n">
        <v>20</v>
      </c>
      <c r="H2480" s="79">
        <f>(E2480/1000)*(F2480/1000)*(G2480/1000)*7850</f>
        <v/>
      </c>
      <c r="I2480" s="43" t="n">
        <v>1</v>
      </c>
      <c r="J2480" s="80">
        <f>H2480*I2480</f>
        <v/>
      </c>
      <c r="K2480" s="43" t="inlineStr">
        <is>
          <t>来源页187</t>
        </is>
      </c>
      <c r="L2480" s="43">
        <f>A2480</f>
        <v/>
      </c>
      <c r="M2480" s="81" t="n"/>
      <c r="N2480" s="81" t="n"/>
      <c r="O2480" s="81" t="n"/>
      <c r="P2480" s="81" t="n"/>
      <c r="Q2480" s="81" t="n"/>
      <c r="R2480" s="81" t="n"/>
      <c r="S2480" s="81" t="n"/>
      <c r="T2480" s="81" t="n"/>
      <c r="U2480" s="81" t="n"/>
      <c r="V2480" s="81" t="n"/>
      <c r="W2480" s="43" t="n"/>
    </row>
    <row r="2481">
      <c r="A2481" s="43" t="inlineStr">
        <is>
          <t>N55</t>
        </is>
      </c>
      <c r="B2481" s="43" t="inlineStr"/>
      <c r="C2481" s="43" t="inlineStr">
        <is>
          <t>节段12</t>
        </is>
      </c>
      <c r="D2481" s="43" t="inlineStr">
        <is>
          <t>Q355D</t>
        </is>
      </c>
      <c r="E2481" s="43" t="n">
        <v>1071</v>
      </c>
      <c r="F2481" s="43" t="n">
        <v>1200</v>
      </c>
      <c r="G2481" s="43" t="n">
        <v>20</v>
      </c>
      <c r="H2481" s="79">
        <f>(E2481/1000)*(F2481/1000)*(G2481/1000)*7850</f>
        <v/>
      </c>
      <c r="I2481" s="43" t="n">
        <v>1</v>
      </c>
      <c r="J2481" s="80">
        <f>H2481*I2481</f>
        <v/>
      </c>
      <c r="K2481" s="43" t="inlineStr">
        <is>
          <t>来源页187</t>
        </is>
      </c>
      <c r="L2481" s="43">
        <f>A2481</f>
        <v/>
      </c>
      <c r="M2481" s="81" t="n"/>
      <c r="N2481" s="81" t="n"/>
      <c r="O2481" s="81" t="n"/>
      <c r="P2481" s="81" t="n"/>
      <c r="Q2481" s="81" t="n"/>
      <c r="R2481" s="81" t="n"/>
      <c r="S2481" s="81" t="n"/>
      <c r="T2481" s="81" t="n"/>
      <c r="U2481" s="81" t="n"/>
      <c r="V2481" s="81" t="n"/>
      <c r="W2481" s="43" t="n"/>
    </row>
    <row r="2482">
      <c r="A2482" s="43" t="inlineStr">
        <is>
          <t>N61</t>
        </is>
      </c>
      <c r="B2482" s="43" t="inlineStr"/>
      <c r="C2482" s="43" t="inlineStr">
        <is>
          <t>节段12</t>
        </is>
      </c>
      <c r="D2482" s="43" t="inlineStr">
        <is>
          <t>Q355D</t>
        </is>
      </c>
      <c r="E2482" s="43" t="n">
        <v>1580</v>
      </c>
      <c r="F2482" s="43" t="n">
        <v>610</v>
      </c>
      <c r="G2482" s="43" t="n">
        <v>14</v>
      </c>
      <c r="H2482" s="79">
        <f>(E2482/1000)*(F2482/1000)*(G2482/1000)*7850</f>
        <v/>
      </c>
      <c r="I2482" s="43" t="n">
        <v>3</v>
      </c>
      <c r="J2482" s="80">
        <f>H2482*I2482</f>
        <v/>
      </c>
      <c r="K2482" s="43" t="inlineStr">
        <is>
          <t>来源页187</t>
        </is>
      </c>
      <c r="L2482" s="43">
        <f>A2482</f>
        <v/>
      </c>
      <c r="M2482" s="81" t="n"/>
      <c r="N2482" s="81" t="n"/>
      <c r="O2482" s="81" t="n"/>
      <c r="P2482" s="81" t="n"/>
      <c r="Q2482" s="81" t="n"/>
      <c r="R2482" s="81" t="n"/>
      <c r="S2482" s="81" t="n"/>
      <c r="T2482" s="81" t="n"/>
      <c r="U2482" s="81" t="n"/>
      <c r="V2482" s="81" t="n"/>
      <c r="W2482" s="43" t="n"/>
    </row>
    <row r="2483">
      <c r="A2483" s="43" t="inlineStr">
        <is>
          <t>N61a</t>
        </is>
      </c>
      <c r="B2483" s="43" t="inlineStr"/>
      <c r="C2483" s="43" t="inlineStr">
        <is>
          <t>节段12</t>
        </is>
      </c>
      <c r="D2483" s="43" t="inlineStr">
        <is>
          <t>Q355D</t>
        </is>
      </c>
      <c r="E2483" s="43" t="n">
        <v>1580</v>
      </c>
      <c r="F2483" s="43" t="n">
        <v>622</v>
      </c>
      <c r="G2483" s="43" t="n">
        <v>14</v>
      </c>
      <c r="H2483" s="79">
        <f>(E2483/1000)*(F2483/1000)*(G2483/1000)*7850</f>
        <v/>
      </c>
      <c r="I2483" s="43" t="n">
        <v>2</v>
      </c>
      <c r="J2483" s="80">
        <f>H2483*I2483</f>
        <v/>
      </c>
      <c r="K2483" s="43" t="inlineStr">
        <is>
          <t>来源页187</t>
        </is>
      </c>
      <c r="L2483" s="43">
        <f>A2483</f>
        <v/>
      </c>
      <c r="M2483" s="81" t="n"/>
      <c r="N2483" s="81" t="n"/>
      <c r="O2483" s="81" t="n"/>
      <c r="P2483" s="81" t="n"/>
      <c r="Q2483" s="81" t="n"/>
      <c r="R2483" s="81" t="n"/>
      <c r="S2483" s="81" t="n"/>
      <c r="T2483" s="81" t="n"/>
      <c r="U2483" s="81" t="n"/>
      <c r="V2483" s="81" t="n"/>
      <c r="W2483" s="43" t="n"/>
    </row>
    <row r="2484">
      <c r="A2484" s="43" t="inlineStr">
        <is>
          <t>N62</t>
        </is>
      </c>
      <c r="B2484" s="43" t="inlineStr"/>
      <c r="C2484" s="43" t="inlineStr">
        <is>
          <t>节段12</t>
        </is>
      </c>
      <c r="D2484" s="43" t="inlineStr">
        <is>
          <t>Q355D</t>
        </is>
      </c>
      <c r="E2484" s="43" t="n"/>
      <c r="F2484" s="43" t="n"/>
      <c r="G2484" s="43" t="n">
        <v>24</v>
      </c>
      <c r="H2484" s="79">
        <f>(E2484/1000)*(F2484/1000)*(G2484/1000)*7850</f>
        <v/>
      </c>
      <c r="I2484" s="43" t="n">
        <v>3</v>
      </c>
      <c r="J2484" s="80">
        <f>H2484*I2484</f>
        <v/>
      </c>
      <c r="K2484" s="43" t="inlineStr">
        <is>
          <t>来源页187</t>
        </is>
      </c>
      <c r="L2484" s="43">
        <f>A2484</f>
        <v/>
      </c>
      <c r="M2484" s="81" t="n"/>
      <c r="N2484" s="81" t="n"/>
      <c r="O2484" s="81" t="n"/>
      <c r="P2484" s="81" t="n"/>
      <c r="Q2484" s="81" t="n"/>
      <c r="R2484" s="81" t="n"/>
      <c r="S2484" s="81" t="n"/>
      <c r="T2484" s="81" t="n"/>
      <c r="U2484" s="81" t="n"/>
      <c r="V2484" s="81" t="n"/>
      <c r="W2484" s="43" t="n"/>
    </row>
    <row r="2485">
      <c r="A2485" s="43" t="inlineStr">
        <is>
          <t>N62a</t>
        </is>
      </c>
      <c r="B2485" s="43" t="inlineStr"/>
      <c r="C2485" s="43" t="inlineStr">
        <is>
          <t>节段12</t>
        </is>
      </c>
      <c r="D2485" s="43" t="inlineStr">
        <is>
          <t>Q355D</t>
        </is>
      </c>
      <c r="E2485" s="43" t="n"/>
      <c r="F2485" s="43" t="n"/>
      <c r="G2485" s="43" t="n">
        <v>24</v>
      </c>
      <c r="H2485" s="79">
        <f>(E2485/1000)*(F2485/1000)*(G2485/1000)*7850</f>
        <v/>
      </c>
      <c r="I2485" s="43" t="n">
        <v>2</v>
      </c>
      <c r="J2485" s="80">
        <f>H2485*I2485</f>
        <v/>
      </c>
      <c r="K2485" s="43" t="inlineStr">
        <is>
          <t>来源页187</t>
        </is>
      </c>
      <c r="L2485" s="43">
        <f>A2485</f>
        <v/>
      </c>
      <c r="M2485" s="81" t="n"/>
      <c r="N2485" s="81" t="n"/>
      <c r="O2485" s="81" t="n"/>
      <c r="P2485" s="81" t="n"/>
      <c r="Q2485" s="81" t="n"/>
      <c r="R2485" s="81" t="n"/>
      <c r="S2485" s="81" t="n"/>
      <c r="T2485" s="81" t="n"/>
      <c r="U2485" s="81" t="n"/>
      <c r="V2485" s="81" t="n"/>
      <c r="W2485" s="43" t="n"/>
    </row>
    <row r="2486">
      <c r="A2486" s="43" t="inlineStr">
        <is>
          <t>N63</t>
        </is>
      </c>
      <c r="B2486" s="43" t="inlineStr"/>
      <c r="C2486" s="43" t="inlineStr">
        <is>
          <t>节段12</t>
        </is>
      </c>
      <c r="D2486" s="43" t="inlineStr">
        <is>
          <t>Q355D</t>
        </is>
      </c>
      <c r="E2486" s="43" t="n">
        <v>1450</v>
      </c>
      <c r="F2486" s="43" t="n">
        <v>606</v>
      </c>
      <c r="G2486" s="43" t="n">
        <v>14</v>
      </c>
      <c r="H2486" s="79">
        <f>(E2486/1000)*(F2486/1000)*(G2486/1000)*7850</f>
        <v/>
      </c>
      <c r="I2486" s="43" t="n">
        <v>3</v>
      </c>
      <c r="J2486" s="80">
        <f>H2486*I2486</f>
        <v/>
      </c>
      <c r="K2486" s="43" t="inlineStr">
        <is>
          <t>来源页187</t>
        </is>
      </c>
      <c r="L2486" s="43">
        <f>A2486</f>
        <v/>
      </c>
      <c r="M2486" s="81" t="n"/>
      <c r="N2486" s="81" t="n"/>
      <c r="O2486" s="81" t="n"/>
      <c r="P2486" s="81" t="n"/>
      <c r="Q2486" s="81" t="n"/>
      <c r="R2486" s="81" t="n"/>
      <c r="S2486" s="81" t="n"/>
      <c r="T2486" s="81" t="n"/>
      <c r="U2486" s="81" t="n"/>
      <c r="V2486" s="81" t="n"/>
      <c r="W2486" s="43" t="n"/>
    </row>
    <row r="2487">
      <c r="A2487" s="43" t="inlineStr">
        <is>
          <t>N63a</t>
        </is>
      </c>
      <c r="B2487" s="43" t="inlineStr"/>
      <c r="C2487" s="43" t="inlineStr">
        <is>
          <t>节段12</t>
        </is>
      </c>
      <c r="D2487" s="43" t="inlineStr">
        <is>
          <t>Q355D</t>
        </is>
      </c>
      <c r="E2487" s="43" t="n">
        <v>1450</v>
      </c>
      <c r="F2487" s="43" t="n">
        <v>618</v>
      </c>
      <c r="G2487" s="43" t="n">
        <v>14</v>
      </c>
      <c r="H2487" s="79">
        <f>(E2487/1000)*(F2487/1000)*(G2487/1000)*7850</f>
        <v/>
      </c>
      <c r="I2487" s="43" t="n">
        <v>2</v>
      </c>
      <c r="J2487" s="80">
        <f>H2487*I2487</f>
        <v/>
      </c>
      <c r="K2487" s="43" t="inlineStr">
        <is>
          <t>来源页187</t>
        </is>
      </c>
      <c r="L2487" s="43">
        <f>A2487</f>
        <v/>
      </c>
      <c r="M2487" s="81" t="n"/>
      <c r="N2487" s="81" t="n"/>
      <c r="O2487" s="81" t="n"/>
      <c r="P2487" s="81" t="n"/>
      <c r="Q2487" s="81" t="n"/>
      <c r="R2487" s="81" t="n"/>
      <c r="S2487" s="81" t="n"/>
      <c r="T2487" s="81" t="n"/>
      <c r="U2487" s="81" t="n"/>
      <c r="V2487" s="81" t="n"/>
      <c r="W2487" s="43" t="n"/>
    </row>
    <row r="2488">
      <c r="A2488" s="43" t="inlineStr">
        <is>
          <t>P1</t>
        </is>
      </c>
      <c r="B2488" s="43" t="inlineStr">
        <is>
          <t>上弦杆拼接</t>
        </is>
      </c>
      <c r="C2488" s="43" t="inlineStr">
        <is>
          <t>节段12~节段13</t>
        </is>
      </c>
      <c r="D2488" s="43" t="inlineStr">
        <is>
          <t>Q355D</t>
        </is>
      </c>
      <c r="E2488" s="43" t="n">
        <v>1020</v>
      </c>
      <c r="F2488" s="43" t="n">
        <v>1400</v>
      </c>
      <c r="G2488" s="43" t="n">
        <v>24</v>
      </c>
      <c r="H2488" s="79">
        <f>(E2488/1000)*(F2488/1000)*(G2488/1000)*7850</f>
        <v/>
      </c>
      <c r="I2488" s="43" t="n">
        <v>2</v>
      </c>
      <c r="J2488" s="80">
        <f>H2488*I2488</f>
        <v/>
      </c>
      <c r="K2488" s="43" t="inlineStr">
        <is>
          <t>来源页190</t>
        </is>
      </c>
      <c r="L2488" s="43">
        <f>A2488</f>
        <v/>
      </c>
      <c r="M2488" s="81" t="n"/>
      <c r="N2488" s="81" t="n"/>
      <c r="O2488" s="81" t="n"/>
      <c r="P2488" s="81" t="n"/>
      <c r="Q2488" s="81" t="n"/>
      <c r="R2488" s="81" t="n"/>
      <c r="S2488" s="81" t="n"/>
      <c r="T2488" s="81" t="n"/>
      <c r="U2488" s="81" t="n"/>
      <c r="V2488" s="81" t="n"/>
      <c r="W2488" s="43" t="n"/>
    </row>
    <row r="2489">
      <c r="A2489" s="43" t="inlineStr">
        <is>
          <t>P2</t>
        </is>
      </c>
      <c r="B2489" s="43" t="inlineStr">
        <is>
          <t>上弦杆拼接</t>
        </is>
      </c>
      <c r="C2489" s="43" t="inlineStr">
        <is>
          <t>节段12~节段13</t>
        </is>
      </c>
      <c r="D2489" s="43" t="inlineStr">
        <is>
          <t>Q355D</t>
        </is>
      </c>
      <c r="E2489" s="43" t="n">
        <v>1020</v>
      </c>
      <c r="F2489" s="43" t="n">
        <v>300</v>
      </c>
      <c r="G2489" s="43" t="n">
        <v>24</v>
      </c>
      <c r="H2489" s="79">
        <f>(E2489/1000)*(F2489/1000)*(G2489/1000)*7850</f>
        <v/>
      </c>
      <c r="I2489" s="43" t="n">
        <v>2</v>
      </c>
      <c r="J2489" s="80">
        <f>H2489*I2489</f>
        <v/>
      </c>
      <c r="K2489" s="43" t="inlineStr">
        <is>
          <t>来源页190</t>
        </is>
      </c>
      <c r="L2489" s="43">
        <f>A2489</f>
        <v/>
      </c>
      <c r="M2489" s="81" t="n"/>
      <c r="N2489" s="81" t="n"/>
      <c r="O2489" s="81" t="n"/>
      <c r="P2489" s="81" t="n"/>
      <c r="Q2489" s="81" t="n"/>
      <c r="R2489" s="81" t="n"/>
      <c r="S2489" s="81" t="n"/>
      <c r="T2489" s="81" t="n"/>
      <c r="U2489" s="81" t="n"/>
      <c r="V2489" s="81" t="n"/>
      <c r="W2489" s="43" t="n"/>
    </row>
    <row r="2490">
      <c r="A2490" s="43" t="inlineStr">
        <is>
          <t>P3</t>
        </is>
      </c>
      <c r="B2490" s="43" t="inlineStr">
        <is>
          <t>上弦杆拼接</t>
        </is>
      </c>
      <c r="C2490" s="43" t="inlineStr">
        <is>
          <t>节段12~节段13</t>
        </is>
      </c>
      <c r="D2490" s="43" t="inlineStr">
        <is>
          <t>Q355D</t>
        </is>
      </c>
      <c r="E2490" s="43" t="n">
        <v>1020</v>
      </c>
      <c r="F2490" s="43" t="n">
        <v>500</v>
      </c>
      <c r="G2490" s="43" t="n">
        <v>24</v>
      </c>
      <c r="H2490" s="79">
        <f>(E2490/1000)*(F2490/1000)*(G2490/1000)*7850</f>
        <v/>
      </c>
      <c r="I2490" s="43" t="n">
        <v>2</v>
      </c>
      <c r="J2490" s="80">
        <f>H2490*I2490</f>
        <v/>
      </c>
      <c r="K2490" s="43" t="inlineStr">
        <is>
          <t>来源页190</t>
        </is>
      </c>
      <c r="L2490" s="43">
        <f>A2490</f>
        <v/>
      </c>
      <c r="M2490" s="81" t="n"/>
      <c r="N2490" s="81" t="n"/>
      <c r="O2490" s="81" t="n"/>
      <c r="P2490" s="81" t="n"/>
      <c r="Q2490" s="81" t="n"/>
      <c r="R2490" s="81" t="n"/>
      <c r="S2490" s="81" t="n"/>
      <c r="T2490" s="81" t="n"/>
      <c r="U2490" s="81" t="n"/>
      <c r="V2490" s="81" t="n"/>
      <c r="W2490" s="43" t="n"/>
    </row>
    <row r="2491">
      <c r="A2491" s="43" t="inlineStr">
        <is>
          <t>P4</t>
        </is>
      </c>
      <c r="B2491" s="43" t="inlineStr">
        <is>
          <t>上弦杆拼接</t>
        </is>
      </c>
      <c r="C2491" s="43" t="inlineStr">
        <is>
          <t>节段12~节段13</t>
        </is>
      </c>
      <c r="D2491" s="43" t="inlineStr">
        <is>
          <t>Q355D</t>
        </is>
      </c>
      <c r="E2491" s="43" t="n">
        <v>1020</v>
      </c>
      <c r="F2491" s="43" t="n">
        <v>400</v>
      </c>
      <c r="G2491" s="43" t="n">
        <v>24</v>
      </c>
      <c r="H2491" s="79">
        <f>(E2491/1000)*(F2491/1000)*(G2491/1000)*7850</f>
        <v/>
      </c>
      <c r="I2491" s="43" t="n">
        <v>2</v>
      </c>
      <c r="J2491" s="80">
        <f>H2491*I2491</f>
        <v/>
      </c>
      <c r="K2491" s="43" t="inlineStr">
        <is>
          <t>来源页190</t>
        </is>
      </c>
      <c r="L2491" s="43">
        <f>A2491</f>
        <v/>
      </c>
      <c r="M2491" s="81" t="n"/>
      <c r="N2491" s="81" t="n"/>
      <c r="O2491" s="81" t="n"/>
      <c r="P2491" s="81" t="n"/>
      <c r="Q2491" s="81" t="n"/>
      <c r="R2491" s="81" t="n"/>
      <c r="S2491" s="81" t="n"/>
      <c r="T2491" s="81" t="n"/>
      <c r="U2491" s="81" t="n"/>
      <c r="V2491" s="81" t="n"/>
      <c r="W2491" s="43" t="n"/>
    </row>
    <row r="2492">
      <c r="A2492" s="43" t="inlineStr">
        <is>
          <t>P5</t>
        </is>
      </c>
      <c r="B2492" s="43" t="inlineStr">
        <is>
          <t>上弦杆拼接</t>
        </is>
      </c>
      <c r="C2492" s="43" t="inlineStr">
        <is>
          <t>节段12~节段13</t>
        </is>
      </c>
      <c r="D2492" s="43" t="inlineStr">
        <is>
          <t>Q355D</t>
        </is>
      </c>
      <c r="E2492" s="43" t="n">
        <v>1420</v>
      </c>
      <c r="F2492" s="43" t="n">
        <v>1100</v>
      </c>
      <c r="G2492" s="43" t="n">
        <v>28</v>
      </c>
      <c r="H2492" s="79">
        <f>(E2492/1000)*(F2492/1000)*(G2492/1000)*7850</f>
        <v/>
      </c>
      <c r="I2492" s="43" t="n">
        <v>1</v>
      </c>
      <c r="J2492" s="80">
        <f>H2492*I2492</f>
        <v/>
      </c>
      <c r="K2492" s="43" t="inlineStr">
        <is>
          <t>来源页190</t>
        </is>
      </c>
      <c r="L2492" s="43">
        <f>A2492</f>
        <v/>
      </c>
      <c r="M2492" s="81" t="n"/>
      <c r="N2492" s="81" t="n"/>
      <c r="O2492" s="81" t="n"/>
      <c r="P2492" s="81" t="n"/>
      <c r="Q2492" s="81" t="n"/>
      <c r="R2492" s="81" t="n"/>
      <c r="S2492" s="81" t="n"/>
      <c r="T2492" s="81" t="n"/>
      <c r="U2492" s="81" t="n"/>
      <c r="V2492" s="81" t="n"/>
      <c r="W2492" s="43" t="n"/>
    </row>
    <row r="2493">
      <c r="A2493" s="43" t="inlineStr">
        <is>
          <t>P6</t>
        </is>
      </c>
      <c r="B2493" s="43" t="inlineStr">
        <is>
          <t>上弦杆拼接</t>
        </is>
      </c>
      <c r="C2493" s="43" t="inlineStr">
        <is>
          <t>节段12~节段13</t>
        </is>
      </c>
      <c r="D2493" s="43" t="inlineStr">
        <is>
          <t>Q355D</t>
        </is>
      </c>
      <c r="E2493" s="43" t="n">
        <v>1420</v>
      </c>
      <c r="F2493" s="43" t="n">
        <v>400</v>
      </c>
      <c r="G2493" s="43" t="n">
        <v>28</v>
      </c>
      <c r="H2493" s="79">
        <f>(E2493/1000)*(F2493/1000)*(G2493/1000)*7850</f>
        <v/>
      </c>
      <c r="I2493" s="43" t="n">
        <v>2</v>
      </c>
      <c r="J2493" s="80">
        <f>H2493*I2493</f>
        <v/>
      </c>
      <c r="K2493" s="43" t="inlineStr">
        <is>
          <t>来源页190</t>
        </is>
      </c>
      <c r="L2493" s="43">
        <f>A2493</f>
        <v/>
      </c>
      <c r="M2493" s="81" t="n"/>
      <c r="N2493" s="81" t="n"/>
      <c r="O2493" s="81" t="n"/>
      <c r="P2493" s="81" t="n"/>
      <c r="Q2493" s="81" t="n"/>
      <c r="R2493" s="81" t="n"/>
      <c r="S2493" s="81" t="n"/>
      <c r="T2493" s="81" t="n"/>
      <c r="U2493" s="81" t="n"/>
      <c r="V2493" s="81" t="n"/>
      <c r="W2493" s="43" t="n"/>
    </row>
    <row r="2494">
      <c r="A2494" s="43" t="inlineStr">
        <is>
          <t>P7</t>
        </is>
      </c>
      <c r="B2494" s="43" t="inlineStr">
        <is>
          <t>上弦杆拼接</t>
        </is>
      </c>
      <c r="C2494" s="43" t="inlineStr">
        <is>
          <t>节段12~节段13</t>
        </is>
      </c>
      <c r="D2494" s="43" t="inlineStr">
        <is>
          <t>Q355D</t>
        </is>
      </c>
      <c r="E2494" s="43" t="n">
        <v>920</v>
      </c>
      <c r="F2494" s="43" t="n">
        <v>200</v>
      </c>
      <c r="G2494" s="43" t="n">
        <v>20</v>
      </c>
      <c r="H2494" s="79">
        <f>(E2494/1000)*(F2494/1000)*(G2494/1000)*7850</f>
        <v/>
      </c>
      <c r="I2494" s="43" t="n">
        <v>10</v>
      </c>
      <c r="J2494" s="80">
        <f>H2494*I2494</f>
        <v/>
      </c>
      <c r="K2494" s="43" t="inlineStr">
        <is>
          <t>来源页190</t>
        </is>
      </c>
      <c r="L2494" s="43">
        <f>A2494</f>
        <v/>
      </c>
      <c r="M2494" s="81" t="n"/>
      <c r="N2494" s="81" t="n"/>
      <c r="O2494" s="81" t="n"/>
      <c r="P2494" s="81" t="n"/>
      <c r="Q2494" s="81" t="n"/>
      <c r="R2494" s="81" t="n"/>
      <c r="S2494" s="81" t="n"/>
      <c r="T2494" s="81" t="n"/>
      <c r="U2494" s="81" t="n"/>
      <c r="V2494" s="81" t="n"/>
      <c r="W2494" s="43" t="n"/>
    </row>
    <row r="2495">
      <c r="A2495" s="43" t="inlineStr">
        <is>
          <t>P8</t>
        </is>
      </c>
      <c r="B2495" s="43" t="inlineStr">
        <is>
          <t>上弦杆拼接</t>
        </is>
      </c>
      <c r="C2495" s="43" t="inlineStr">
        <is>
          <t>节段12~节段13</t>
        </is>
      </c>
      <c r="D2495" s="43" t="inlineStr">
        <is>
          <t>Q355D</t>
        </is>
      </c>
      <c r="E2495" s="43" t="n">
        <v>600</v>
      </c>
      <c r="F2495" s="43" t="n">
        <v>1800</v>
      </c>
      <c r="G2495" s="43" t="n">
        <v>12</v>
      </c>
      <c r="H2495" s="79">
        <f>(E2495/1000)*(F2495/1000)*(G2495/1000)*7850</f>
        <v/>
      </c>
      <c r="I2495" s="43" t="n">
        <v>2</v>
      </c>
      <c r="J2495" s="80">
        <f>H2495*I2495</f>
        <v/>
      </c>
      <c r="K2495" s="43" t="inlineStr">
        <is>
          <t>填板；来源页190</t>
        </is>
      </c>
      <c r="L2495" s="43">
        <f>A2495</f>
        <v/>
      </c>
      <c r="M2495" s="81" t="n"/>
      <c r="N2495" s="81" t="n"/>
      <c r="O2495" s="81" t="n"/>
      <c r="P2495" s="81" t="n"/>
      <c r="Q2495" s="81" t="n"/>
      <c r="R2495" s="81" t="n"/>
      <c r="S2495" s="81" t="n"/>
      <c r="T2495" s="81" t="n"/>
      <c r="U2495" s="81" t="n"/>
      <c r="V2495" s="81" t="n"/>
      <c r="W2495" s="43" t="n"/>
    </row>
    <row r="2496">
      <c r="A2496" s="43" t="inlineStr">
        <is>
          <t>P9</t>
        </is>
      </c>
      <c r="B2496" s="43" t="inlineStr">
        <is>
          <t>上弦杆拼接</t>
        </is>
      </c>
      <c r="C2496" s="43" t="inlineStr">
        <is>
          <t>节段12~节段13</t>
        </is>
      </c>
      <c r="D2496" s="43" t="inlineStr">
        <is>
          <t>Q355D</t>
        </is>
      </c>
      <c r="E2496" s="43" t="n">
        <v>700</v>
      </c>
      <c r="F2496" s="43" t="n">
        <v>1100</v>
      </c>
      <c r="G2496" s="43" t="n">
        <v>4</v>
      </c>
      <c r="H2496" s="79">
        <f>(E2496/1000)*(F2496/1000)*(G2496/1000)*7850</f>
        <v/>
      </c>
      <c r="I2496" s="43" t="n">
        <v>1</v>
      </c>
      <c r="J2496" s="80">
        <f>H2496*I2496</f>
        <v/>
      </c>
      <c r="K2496" s="43" t="inlineStr">
        <is>
          <t>填板；来源页190</t>
        </is>
      </c>
      <c r="L2496" s="43">
        <f>A2496</f>
        <v/>
      </c>
      <c r="M2496" s="81" t="n"/>
      <c r="N2496" s="81" t="n"/>
      <c r="O2496" s="81" t="n"/>
      <c r="P2496" s="81" t="n"/>
      <c r="Q2496" s="81" t="n"/>
      <c r="R2496" s="81" t="n"/>
      <c r="S2496" s="81" t="n"/>
      <c r="T2496" s="81" t="n"/>
      <c r="U2496" s="81" t="n"/>
      <c r="V2496" s="81" t="n"/>
      <c r="W2496" s="43" t="n"/>
    </row>
    <row r="2497">
      <c r="A2497" s="43" t="inlineStr">
        <is>
          <t>M30高强螺栓</t>
        </is>
      </c>
      <c r="B2497" s="43" t="inlineStr">
        <is>
          <t>上弦杆拼接</t>
        </is>
      </c>
      <c r="C2497" s="43" t="inlineStr">
        <is>
          <t>节段12~节段13</t>
        </is>
      </c>
      <c r="D2497" s="43" t="inlineStr">
        <is>
          <t>10.9S</t>
        </is>
      </c>
      <c r="E2497" s="43" t="n"/>
      <c r="F2497" s="43" t="n"/>
      <c r="G2497" s="43" t="n"/>
      <c r="H2497" s="79">
        <f>(E2497/1000)*(F2497/1000)*(G2497/1000)*7850</f>
        <v/>
      </c>
      <c r="I2497" s="43" t="n">
        <v>380</v>
      </c>
      <c r="J2497" s="80">
        <f>H2497*I2497</f>
        <v/>
      </c>
      <c r="K2497" s="43" t="inlineStr">
        <is>
          <t>来源页190</t>
        </is>
      </c>
      <c r="L2497" s="43">
        <f>A2497</f>
        <v/>
      </c>
      <c r="M2497" s="81" t="n"/>
      <c r="N2497" s="81" t="n"/>
      <c r="O2497" s="81" t="n"/>
      <c r="P2497" s="81" t="n"/>
      <c r="Q2497" s="81" t="n"/>
      <c r="R2497" s="81" t="n"/>
      <c r="S2497" s="81" t="n"/>
      <c r="T2497" s="81" t="n"/>
      <c r="U2497" s="81" t="n"/>
      <c r="V2497" s="81" t="n"/>
      <c r="W2497" s="43" t="n"/>
    </row>
    <row r="2498">
      <c r="A2498" s="43" t="inlineStr">
        <is>
          <t>K1</t>
        </is>
      </c>
      <c r="B2498" s="43" t="inlineStr">
        <is>
          <t>下弦杆拼接</t>
        </is>
      </c>
      <c r="C2498" s="43" t="inlineStr">
        <is>
          <t>节段12~节段13</t>
        </is>
      </c>
      <c r="D2498" s="43" t="inlineStr">
        <is>
          <t>Q355D</t>
        </is>
      </c>
      <c r="E2498" s="43" t="n">
        <v>1020</v>
      </c>
      <c r="F2498" s="43" t="n">
        <v>1300</v>
      </c>
      <c r="G2498" s="43" t="n">
        <v>24</v>
      </c>
      <c r="H2498" s="79">
        <f>(E2498/1000)*(F2498/1000)*(G2498/1000)*7850</f>
        <v/>
      </c>
      <c r="I2498" s="43" t="n">
        <v>2</v>
      </c>
      <c r="J2498" s="80">
        <f>H2498*I2498</f>
        <v/>
      </c>
      <c r="K2498" s="43" t="inlineStr">
        <is>
          <t>来源页190</t>
        </is>
      </c>
      <c r="L2498" s="43">
        <f>A2498</f>
        <v/>
      </c>
      <c r="M2498" s="81" t="n"/>
      <c r="N2498" s="81" t="n"/>
      <c r="O2498" s="81" t="n"/>
      <c r="P2498" s="81" t="n"/>
      <c r="Q2498" s="81" t="n"/>
      <c r="R2498" s="81" t="n"/>
      <c r="S2498" s="81" t="n"/>
      <c r="T2498" s="81" t="n"/>
      <c r="U2498" s="81" t="n"/>
      <c r="V2498" s="81" t="n"/>
      <c r="W2498" s="43" t="n"/>
    </row>
    <row r="2499">
      <c r="A2499" s="43" t="inlineStr">
        <is>
          <t>K2</t>
        </is>
      </c>
      <c r="B2499" s="43" t="inlineStr">
        <is>
          <t>下弦杆拼接</t>
        </is>
      </c>
      <c r="C2499" s="43" t="inlineStr">
        <is>
          <t>节段12~节段13</t>
        </is>
      </c>
      <c r="D2499" s="43" t="inlineStr">
        <is>
          <t>Q355D</t>
        </is>
      </c>
      <c r="E2499" s="43" t="n">
        <v>1020</v>
      </c>
      <c r="F2499" s="43" t="n">
        <v>600</v>
      </c>
      <c r="G2499" s="43" t="n">
        <v>24</v>
      </c>
      <c r="H2499" s="79">
        <f>(E2499/1000)*(F2499/1000)*(G2499/1000)*7850</f>
        <v/>
      </c>
      <c r="I2499" s="43" t="n">
        <v>4</v>
      </c>
      <c r="J2499" s="80">
        <f>H2499*I2499</f>
        <v/>
      </c>
      <c r="K2499" s="43" t="inlineStr">
        <is>
          <t>来源页190</t>
        </is>
      </c>
      <c r="L2499" s="43">
        <f>A2499</f>
        <v/>
      </c>
      <c r="M2499" s="81" t="n"/>
      <c r="N2499" s="81" t="n"/>
      <c r="O2499" s="81" t="n"/>
      <c r="P2499" s="81" t="n"/>
      <c r="Q2499" s="81" t="n"/>
      <c r="R2499" s="81" t="n"/>
      <c r="S2499" s="81" t="n"/>
      <c r="T2499" s="81" t="n"/>
      <c r="U2499" s="81" t="n"/>
      <c r="V2499" s="81" t="n"/>
      <c r="W2499" s="43" t="n"/>
    </row>
    <row r="2500">
      <c r="A2500" s="43" t="inlineStr">
        <is>
          <t>K3</t>
        </is>
      </c>
      <c r="B2500" s="43" t="inlineStr">
        <is>
          <t>下弦杆拼接</t>
        </is>
      </c>
      <c r="C2500" s="43" t="inlineStr">
        <is>
          <t>节段12~节段13</t>
        </is>
      </c>
      <c r="D2500" s="43" t="inlineStr">
        <is>
          <t>Q355D</t>
        </is>
      </c>
      <c r="E2500" s="43" t="n">
        <v>1320</v>
      </c>
      <c r="F2500" s="43" t="n">
        <v>1100</v>
      </c>
      <c r="G2500" s="43" t="n">
        <v>36</v>
      </c>
      <c r="H2500" s="79">
        <f>(E2500/1000)*(F2500/1000)*(G2500/1000)*7850</f>
        <v/>
      </c>
      <c r="I2500" s="43" t="n">
        <v>1</v>
      </c>
      <c r="J2500" s="80">
        <f>H2500*I2500</f>
        <v/>
      </c>
      <c r="K2500" s="43" t="inlineStr">
        <is>
          <t>来源页190</t>
        </is>
      </c>
      <c r="L2500" s="43">
        <f>A2500</f>
        <v/>
      </c>
      <c r="M2500" s="81" t="n"/>
      <c r="N2500" s="81" t="n"/>
      <c r="O2500" s="81" t="n"/>
      <c r="P2500" s="81" t="n"/>
      <c r="Q2500" s="81" t="n"/>
      <c r="R2500" s="81" t="n"/>
      <c r="S2500" s="81" t="n"/>
      <c r="T2500" s="81" t="n"/>
      <c r="U2500" s="81" t="n"/>
      <c r="V2500" s="81" t="n"/>
      <c r="W2500" s="43" t="n"/>
    </row>
    <row r="2501">
      <c r="A2501" s="43" t="inlineStr">
        <is>
          <t>K4</t>
        </is>
      </c>
      <c r="B2501" s="43" t="inlineStr">
        <is>
          <t>下弦杆拼接</t>
        </is>
      </c>
      <c r="C2501" s="43" t="inlineStr">
        <is>
          <t>节段12~节段13</t>
        </is>
      </c>
      <c r="D2501" s="43" t="inlineStr">
        <is>
          <t>Q355D</t>
        </is>
      </c>
      <c r="E2501" s="43" t="n">
        <v>1320</v>
      </c>
      <c r="F2501" s="43" t="n">
        <v>400</v>
      </c>
      <c r="G2501" s="43" t="n">
        <v>36</v>
      </c>
      <c r="H2501" s="79">
        <f>(E2501/1000)*(F2501/1000)*(G2501/1000)*7850</f>
        <v/>
      </c>
      <c r="I2501" s="43" t="n">
        <v>2</v>
      </c>
      <c r="J2501" s="80">
        <f>H2501*I2501</f>
        <v/>
      </c>
      <c r="K2501" s="43" t="inlineStr">
        <is>
          <t>来源页190</t>
        </is>
      </c>
      <c r="L2501" s="43">
        <f>A2501</f>
        <v/>
      </c>
      <c r="M2501" s="81" t="n"/>
      <c r="N2501" s="81" t="n"/>
      <c r="O2501" s="81" t="n"/>
      <c r="P2501" s="81" t="n"/>
      <c r="Q2501" s="81" t="n"/>
      <c r="R2501" s="81" t="n"/>
      <c r="S2501" s="81" t="n"/>
      <c r="T2501" s="81" t="n"/>
      <c r="U2501" s="81" t="n"/>
      <c r="V2501" s="81" t="n"/>
      <c r="W2501" s="43" t="n"/>
    </row>
    <row r="2502">
      <c r="A2502" s="43" t="inlineStr">
        <is>
          <t>K6</t>
        </is>
      </c>
      <c r="B2502" s="43" t="inlineStr">
        <is>
          <t>下弦杆拼接</t>
        </is>
      </c>
      <c r="C2502" s="43" t="inlineStr">
        <is>
          <t>节段12~节段13</t>
        </is>
      </c>
      <c r="D2502" s="43" t="inlineStr">
        <is>
          <t>Q355D</t>
        </is>
      </c>
      <c r="E2502" s="43" t="n">
        <v>500</v>
      </c>
      <c r="F2502" s="43" t="n">
        <v>1700</v>
      </c>
      <c r="G2502" s="43" t="n">
        <v>8</v>
      </c>
      <c r="H2502" s="79">
        <f>(E2502/1000)*(F2502/1000)*(G2502/1000)*7850</f>
        <v/>
      </c>
      <c r="I2502" s="43" t="n">
        <v>2</v>
      </c>
      <c r="J2502" s="80">
        <f>H2502*I2502</f>
        <v/>
      </c>
      <c r="K2502" s="43" t="inlineStr">
        <is>
          <t>填板；来源页190</t>
        </is>
      </c>
      <c r="L2502" s="43">
        <f>A2502</f>
        <v/>
      </c>
      <c r="M2502" s="81" t="n"/>
      <c r="N2502" s="81" t="n"/>
      <c r="O2502" s="81" t="n"/>
      <c r="P2502" s="81" t="n"/>
      <c r="Q2502" s="81" t="n"/>
      <c r="R2502" s="81" t="n"/>
      <c r="S2502" s="81" t="n"/>
      <c r="T2502" s="81" t="n"/>
      <c r="U2502" s="81" t="n"/>
      <c r="V2502" s="81" t="n"/>
      <c r="W2502" s="43" t="n"/>
    </row>
    <row r="2503">
      <c r="A2503" s="43" t="inlineStr">
        <is>
          <t>K7</t>
        </is>
      </c>
      <c r="B2503" s="43" t="inlineStr">
        <is>
          <t>下弦杆拼接</t>
        </is>
      </c>
      <c r="C2503" s="43" t="inlineStr">
        <is>
          <t>节段12~节段13</t>
        </is>
      </c>
      <c r="D2503" s="43" t="inlineStr">
        <is>
          <t>Q355D</t>
        </is>
      </c>
      <c r="E2503" s="43" t="n">
        <v>650</v>
      </c>
      <c r="F2503" s="43" t="n">
        <v>1100</v>
      </c>
      <c r="G2503" s="43" t="n">
        <v>4</v>
      </c>
      <c r="H2503" s="79">
        <f>(E2503/1000)*(F2503/1000)*(G2503/1000)*7850</f>
        <v/>
      </c>
      <c r="I2503" s="43" t="n">
        <v>1</v>
      </c>
      <c r="J2503" s="80">
        <f>H2503*I2503</f>
        <v/>
      </c>
      <c r="K2503" s="43" t="inlineStr">
        <is>
          <t>填板；来源页190</t>
        </is>
      </c>
      <c r="L2503" s="43">
        <f>A2503</f>
        <v/>
      </c>
      <c r="M2503" s="81" t="n"/>
      <c r="N2503" s="81" t="n"/>
      <c r="O2503" s="81" t="n"/>
      <c r="P2503" s="81" t="n"/>
      <c r="Q2503" s="81" t="n"/>
      <c r="R2503" s="81" t="n"/>
      <c r="S2503" s="81" t="n"/>
      <c r="T2503" s="81" t="n"/>
      <c r="U2503" s="81" t="n"/>
      <c r="V2503" s="81" t="n"/>
      <c r="W2503" s="43" t="n"/>
    </row>
    <row r="2504">
      <c r="A2504" s="43" t="inlineStr">
        <is>
          <t>M30高强螺栓</t>
        </is>
      </c>
      <c r="B2504" s="43" t="inlineStr">
        <is>
          <t>下弦杆拼接</t>
        </is>
      </c>
      <c r="C2504" s="43" t="inlineStr">
        <is>
          <t>节段12~节段13</t>
        </is>
      </c>
      <c r="D2504" s="43" t="inlineStr">
        <is>
          <t>10.9S</t>
        </is>
      </c>
      <c r="E2504" s="43" t="n"/>
      <c r="F2504" s="43" t="n"/>
      <c r="G2504" s="43" t="n"/>
      <c r="H2504" s="79">
        <f>(E2504/1000)*(F2504/1000)*(G2504/1000)*7850</f>
        <v/>
      </c>
      <c r="I2504" s="43" t="n">
        <v>344</v>
      </c>
      <c r="J2504" s="80">
        <f>H2504*I2504</f>
        <v/>
      </c>
      <c r="K2504" s="43" t="inlineStr">
        <is>
          <t>来源页190</t>
        </is>
      </c>
      <c r="L2504" s="43">
        <f>A2504</f>
        <v/>
      </c>
      <c r="M2504" s="81" t="n"/>
      <c r="N2504" s="81" t="n"/>
      <c r="O2504" s="81" t="n"/>
      <c r="P2504" s="81" t="n"/>
      <c r="Q2504" s="81" t="n"/>
      <c r="R2504" s="81" t="n"/>
      <c r="S2504" s="81" t="n"/>
      <c r="T2504" s="81" t="n"/>
      <c r="U2504" s="81" t="n"/>
      <c r="V2504" s="81" t="n"/>
      <c r="W2504" s="43" t="n"/>
    </row>
    <row r="2505">
      <c r="A2505" s="43" t="inlineStr">
        <is>
          <t>L1</t>
        </is>
      </c>
      <c r="B2505" s="43" t="inlineStr">
        <is>
          <t>腹杆拼接</t>
        </is>
      </c>
      <c r="C2505" s="43" t="inlineStr">
        <is>
          <t>节段12~节段13</t>
        </is>
      </c>
      <c r="D2505" s="43" t="inlineStr">
        <is>
          <t>Q355D</t>
        </is>
      </c>
      <c r="E2505" s="43" t="n">
        <v>1320</v>
      </c>
      <c r="F2505" s="43" t="n">
        <v>900</v>
      </c>
      <c r="G2505" s="43" t="n">
        <v>28</v>
      </c>
      <c r="H2505" s="79">
        <f>(E2505/1000)*(F2505/1000)*(G2505/1000)*7850</f>
        <v/>
      </c>
      <c r="I2505" s="43" t="n">
        <v>2</v>
      </c>
      <c r="J2505" s="80">
        <f>H2505*I2505</f>
        <v/>
      </c>
      <c r="K2505" s="43" t="inlineStr">
        <is>
          <t>来源页190</t>
        </is>
      </c>
      <c r="L2505" s="43">
        <f>A2505</f>
        <v/>
      </c>
      <c r="M2505" s="81" t="n"/>
      <c r="N2505" s="81" t="n"/>
      <c r="O2505" s="81" t="n"/>
      <c r="P2505" s="81" t="n"/>
      <c r="Q2505" s="81" t="n"/>
      <c r="R2505" s="81" t="n"/>
      <c r="S2505" s="81" t="n"/>
      <c r="T2505" s="81" t="n"/>
      <c r="U2505" s="81" t="n"/>
      <c r="V2505" s="81" t="n"/>
      <c r="W2505" s="43" t="n"/>
    </row>
    <row r="2506">
      <c r="A2506" s="43" t="inlineStr">
        <is>
          <t>L2</t>
        </is>
      </c>
      <c r="B2506" s="43" t="inlineStr">
        <is>
          <t>腹杆拼接</t>
        </is>
      </c>
      <c r="C2506" s="43" t="inlineStr">
        <is>
          <t>节段12~节段13</t>
        </is>
      </c>
      <c r="D2506" s="43" t="inlineStr">
        <is>
          <t>Q355D</t>
        </is>
      </c>
      <c r="E2506" s="43" t="n">
        <v>1320</v>
      </c>
      <c r="F2506" s="43" t="n">
        <v>400</v>
      </c>
      <c r="G2506" s="43" t="n">
        <v>28</v>
      </c>
      <c r="H2506" s="79">
        <f>(E2506/1000)*(F2506/1000)*(G2506/1000)*7850</f>
        <v/>
      </c>
      <c r="I2506" s="43" t="n">
        <v>4</v>
      </c>
      <c r="J2506" s="80">
        <f>H2506*I2506</f>
        <v/>
      </c>
      <c r="K2506" s="43" t="inlineStr">
        <is>
          <t>来源页190</t>
        </is>
      </c>
      <c r="L2506" s="43">
        <f>A2506</f>
        <v/>
      </c>
      <c r="M2506" s="81" t="n"/>
      <c r="N2506" s="81" t="n"/>
      <c r="O2506" s="81" t="n"/>
      <c r="P2506" s="81" t="n"/>
      <c r="Q2506" s="81" t="n"/>
      <c r="R2506" s="81" t="n"/>
      <c r="S2506" s="81" t="n"/>
      <c r="T2506" s="81" t="n"/>
      <c r="U2506" s="81" t="n"/>
      <c r="V2506" s="81" t="n"/>
      <c r="W2506" s="43" t="n"/>
    </row>
    <row r="2507">
      <c r="A2507" s="43" t="inlineStr">
        <is>
          <t>L3</t>
        </is>
      </c>
      <c r="B2507" s="43" t="inlineStr">
        <is>
          <t>腹杆拼接</t>
        </is>
      </c>
      <c r="C2507" s="43" t="inlineStr">
        <is>
          <t>节段12~节段13</t>
        </is>
      </c>
      <c r="D2507" s="43" t="inlineStr">
        <is>
          <t>Q355D</t>
        </is>
      </c>
      <c r="E2507" s="43" t="n">
        <v>1320</v>
      </c>
      <c r="F2507" s="43" t="n">
        <v>500</v>
      </c>
      <c r="G2507" s="43" t="n">
        <v>28</v>
      </c>
      <c r="H2507" s="79">
        <f>(E2507/1000)*(F2507/1000)*(G2507/1000)*7850</f>
        <v/>
      </c>
      <c r="I2507" s="43" t="n">
        <v>4</v>
      </c>
      <c r="J2507" s="80">
        <f>H2507*I2507</f>
        <v/>
      </c>
      <c r="K2507" s="43" t="inlineStr">
        <is>
          <t>来源页190</t>
        </is>
      </c>
      <c r="L2507" s="43">
        <f>A2507</f>
        <v/>
      </c>
      <c r="M2507" s="81" t="n"/>
      <c r="N2507" s="81" t="n"/>
      <c r="O2507" s="81" t="n"/>
      <c r="P2507" s="81" t="n"/>
      <c r="Q2507" s="81" t="n"/>
      <c r="R2507" s="81" t="n"/>
      <c r="S2507" s="81" t="n"/>
      <c r="T2507" s="81" t="n"/>
      <c r="U2507" s="81" t="n"/>
      <c r="V2507" s="81" t="n"/>
      <c r="W2507" s="43" t="n"/>
    </row>
    <row r="2508">
      <c r="A2508" s="43" t="inlineStr">
        <is>
          <t>L4</t>
        </is>
      </c>
      <c r="B2508" s="43" t="inlineStr">
        <is>
          <t>腹杆拼接</t>
        </is>
      </c>
      <c r="C2508" s="43" t="inlineStr">
        <is>
          <t>节段12~节段13</t>
        </is>
      </c>
      <c r="D2508" s="43" t="inlineStr">
        <is>
          <t>Q355D</t>
        </is>
      </c>
      <c r="E2508" s="43" t="n">
        <v>820</v>
      </c>
      <c r="F2508" s="43" t="n">
        <v>200</v>
      </c>
      <c r="G2508" s="43" t="n">
        <v>20</v>
      </c>
      <c r="H2508" s="79">
        <f>(E2508/1000)*(F2508/1000)*(G2508/1000)*7850</f>
        <v/>
      </c>
      <c r="I2508" s="43" t="n">
        <v>4</v>
      </c>
      <c r="J2508" s="80">
        <f>H2508*I2508</f>
        <v/>
      </c>
      <c r="K2508" s="43" t="inlineStr">
        <is>
          <t>来源页190</t>
        </is>
      </c>
      <c r="L2508" s="43">
        <f>A2508</f>
        <v/>
      </c>
      <c r="M2508" s="81" t="n"/>
      <c r="N2508" s="81" t="n"/>
      <c r="O2508" s="81" t="n"/>
      <c r="P2508" s="81" t="n"/>
      <c r="Q2508" s="81" t="n"/>
      <c r="R2508" s="81" t="n"/>
      <c r="S2508" s="81" t="n"/>
      <c r="T2508" s="81" t="n"/>
      <c r="U2508" s="81" t="n"/>
      <c r="V2508" s="81" t="n"/>
      <c r="W2508" s="43" t="n"/>
    </row>
    <row r="2509">
      <c r="A2509" s="43" t="inlineStr">
        <is>
          <t>M30高强螺栓</t>
        </is>
      </c>
      <c r="B2509" s="43" t="inlineStr">
        <is>
          <t>腹杆拼接</t>
        </is>
      </c>
      <c r="C2509" s="43" t="inlineStr">
        <is>
          <t>节段12~节段13</t>
        </is>
      </c>
      <c r="D2509" s="43" t="inlineStr">
        <is>
          <t>10.9S</t>
        </is>
      </c>
      <c r="E2509" s="43" t="n"/>
      <c r="F2509" s="43" t="n"/>
      <c r="G2509" s="43" t="n"/>
      <c r="H2509" s="79">
        <f>(E2509/1000)*(F2509/1000)*(G2509/1000)*7850</f>
        <v/>
      </c>
      <c r="I2509" s="43" t="n">
        <v>507</v>
      </c>
      <c r="J2509" s="80">
        <f>H2509*I2509</f>
        <v/>
      </c>
      <c r="K2509" s="43" t="inlineStr">
        <is>
          <t>来源页190</t>
        </is>
      </c>
      <c r="L2509" s="43">
        <f>A2509</f>
        <v/>
      </c>
      <c r="M2509" s="81" t="n"/>
      <c r="N2509" s="81" t="n"/>
      <c r="O2509" s="81" t="n"/>
      <c r="P2509" s="81" t="n"/>
      <c r="Q2509" s="81" t="n"/>
      <c r="R2509" s="81" t="n"/>
      <c r="S2509" s="81" t="n"/>
      <c r="T2509" s="81" t="n"/>
      <c r="U2509" s="81" t="n"/>
      <c r="V2509" s="81" t="n"/>
      <c r="W2509" s="43" t="n"/>
    </row>
    <row r="2510">
      <c r="A2510" s="43" t="inlineStr"/>
      <c r="B2510" s="43" t="inlineStr"/>
      <c r="C2510" s="43" t="inlineStr">
        <is>
          <t>节段12~节段13</t>
        </is>
      </c>
      <c r="D2510" s="43" t="inlineStr">
        <is>
          <t>Q355D</t>
        </is>
      </c>
      <c r="E2510" s="43" t="n"/>
      <c r="F2510" s="43" t="n"/>
      <c r="G2510" s="43" t="n">
        <v>36</v>
      </c>
      <c r="H2510" s="79">
        <f>(E2510/1000)*(F2510/1000)*(G2510/1000)*7850</f>
        <v/>
      </c>
      <c r="I2510" s="43" t="n">
        <v>2</v>
      </c>
      <c r="J2510" s="80">
        <f>H2510*I2510</f>
        <v/>
      </c>
      <c r="K2510" s="43" t="inlineStr">
        <is>
          <t>来源页191</t>
        </is>
      </c>
      <c r="L2510" s="43">
        <f>A2510</f>
        <v/>
      </c>
      <c r="M2510" s="81" t="n"/>
      <c r="N2510" s="81" t="n"/>
      <c r="O2510" s="81" t="n"/>
      <c r="P2510" s="81" t="n"/>
      <c r="Q2510" s="81" t="n"/>
      <c r="R2510" s="81" t="n"/>
      <c r="S2510" s="81" t="n"/>
      <c r="T2510" s="81" t="n"/>
      <c r="U2510" s="81" t="n"/>
      <c r="V2510" s="81" t="n"/>
      <c r="W2510" s="43" t="n"/>
    </row>
    <row r="2511">
      <c r="A2511" s="43" t="inlineStr"/>
      <c r="B2511" s="43" t="inlineStr"/>
      <c r="C2511" s="43" t="inlineStr">
        <is>
          <t>节段12~节段13</t>
        </is>
      </c>
      <c r="D2511" s="43" t="inlineStr">
        <is>
          <t>Q355D</t>
        </is>
      </c>
      <c r="E2511" s="43" t="n"/>
      <c r="F2511" s="43" t="n"/>
      <c r="G2511" s="43" t="n">
        <v>28</v>
      </c>
      <c r="H2511" s="79">
        <f>(E2511/1000)*(F2511/1000)*(G2511/1000)*7850</f>
        <v/>
      </c>
      <c r="I2511" s="43" t="n">
        <v>2</v>
      </c>
      <c r="J2511" s="80">
        <f>H2511*I2511</f>
        <v/>
      </c>
      <c r="K2511" s="43" t="inlineStr">
        <is>
          <t>来源页191</t>
        </is>
      </c>
      <c r="L2511" s="43">
        <f>A2511</f>
        <v/>
      </c>
      <c r="M2511" s="81" t="n"/>
      <c r="N2511" s="81" t="n"/>
      <c r="O2511" s="81" t="n"/>
      <c r="P2511" s="81" t="n"/>
      <c r="Q2511" s="81" t="n"/>
      <c r="R2511" s="81" t="n"/>
      <c r="S2511" s="81" t="n"/>
      <c r="T2511" s="81" t="n"/>
      <c r="U2511" s="81" t="n"/>
      <c r="V2511" s="81" t="n"/>
      <c r="W2511" s="43" t="n"/>
    </row>
    <row r="2512">
      <c r="A2512" s="43" t="inlineStr"/>
      <c r="B2512" s="43" t="inlineStr"/>
      <c r="C2512" s="43" t="inlineStr">
        <is>
          <t>节段12~节段13</t>
        </is>
      </c>
      <c r="D2512" s="43" t="inlineStr">
        <is>
          <t>Q355D</t>
        </is>
      </c>
      <c r="E2512" s="43" t="n"/>
      <c r="F2512" s="43" t="n"/>
      <c r="G2512" s="43" t="n">
        <v>24</v>
      </c>
      <c r="H2512" s="79">
        <f>(E2512/1000)*(F2512/1000)*(G2512/1000)*7850</f>
        <v/>
      </c>
      <c r="I2512" s="43" t="n">
        <v>2</v>
      </c>
      <c r="J2512" s="80">
        <f>H2512*I2512</f>
        <v/>
      </c>
      <c r="K2512" s="43" t="inlineStr">
        <is>
          <t>来源页191</t>
        </is>
      </c>
      <c r="L2512" s="43">
        <f>A2512</f>
        <v/>
      </c>
      <c r="M2512" s="81" t="n"/>
      <c r="N2512" s="81" t="n"/>
      <c r="O2512" s="81" t="n"/>
      <c r="P2512" s="81" t="n"/>
      <c r="Q2512" s="81" t="n"/>
      <c r="R2512" s="81" t="n"/>
      <c r="S2512" s="81" t="n"/>
      <c r="T2512" s="81" t="n"/>
      <c r="U2512" s="81" t="n"/>
      <c r="V2512" s="81" t="n"/>
      <c r="W2512" s="43" t="n"/>
    </row>
    <row r="2513">
      <c r="A2513" s="43" t="inlineStr"/>
      <c r="B2513" s="43" t="inlineStr"/>
      <c r="C2513" s="43" t="inlineStr">
        <is>
          <t>节段12~节段13</t>
        </is>
      </c>
      <c r="D2513" s="43" t="inlineStr">
        <is>
          <t>Q355D</t>
        </is>
      </c>
      <c r="E2513" s="43" t="n"/>
      <c r="F2513" s="43" t="n"/>
      <c r="G2513" s="43" t="n">
        <v>20</v>
      </c>
      <c r="H2513" s="79">
        <f>(E2513/1000)*(F2513/1000)*(G2513/1000)*7850</f>
        <v/>
      </c>
      <c r="I2513" s="43" t="n">
        <v>2</v>
      </c>
      <c r="J2513" s="80">
        <f>H2513*I2513</f>
        <v/>
      </c>
      <c r="K2513" s="43" t="inlineStr">
        <is>
          <t>来源页191</t>
        </is>
      </c>
      <c r="L2513" s="43">
        <f>A2513</f>
        <v/>
      </c>
      <c r="M2513" s="81" t="n"/>
      <c r="N2513" s="81" t="n"/>
      <c r="O2513" s="81" t="n"/>
      <c r="P2513" s="81" t="n"/>
      <c r="Q2513" s="81" t="n"/>
      <c r="R2513" s="81" t="n"/>
      <c r="S2513" s="81" t="n"/>
      <c r="T2513" s="81" t="n"/>
      <c r="U2513" s="81" t="n"/>
      <c r="V2513" s="81" t="n"/>
      <c r="W2513" s="43" t="n"/>
    </row>
    <row r="2514">
      <c r="A2514" s="43" t="inlineStr"/>
      <c r="B2514" s="43" t="inlineStr"/>
      <c r="C2514" s="43" t="inlineStr">
        <is>
          <t>节段12~节段13</t>
        </is>
      </c>
      <c r="D2514" s="43" t="inlineStr">
        <is>
          <t>Q355D</t>
        </is>
      </c>
      <c r="E2514" s="43" t="n"/>
      <c r="F2514" s="43" t="n"/>
      <c r="G2514" s="43" t="n">
        <v>12</v>
      </c>
      <c r="H2514" s="79">
        <f>(E2514/1000)*(F2514/1000)*(G2514/1000)*7850</f>
        <v/>
      </c>
      <c r="I2514" s="43" t="n">
        <v>2</v>
      </c>
      <c r="J2514" s="80">
        <f>H2514*I2514</f>
        <v/>
      </c>
      <c r="K2514" s="43" t="inlineStr">
        <is>
          <t>来源页191</t>
        </is>
      </c>
      <c r="L2514" s="43">
        <f>A2514</f>
        <v/>
      </c>
      <c r="M2514" s="81" t="n"/>
      <c r="N2514" s="81" t="n"/>
      <c r="O2514" s="81" t="n"/>
      <c r="P2514" s="81" t="n"/>
      <c r="Q2514" s="81" t="n"/>
      <c r="R2514" s="81" t="n"/>
      <c r="S2514" s="81" t="n"/>
      <c r="T2514" s="81" t="n"/>
      <c r="U2514" s="81" t="n"/>
      <c r="V2514" s="81" t="n"/>
      <c r="W2514" s="43" t="n"/>
    </row>
    <row r="2515">
      <c r="A2515" s="43" t="inlineStr"/>
      <c r="B2515" s="43" t="inlineStr"/>
      <c r="C2515" s="43" t="inlineStr">
        <is>
          <t>节段12~节段13</t>
        </is>
      </c>
      <c r="D2515" s="43" t="inlineStr">
        <is>
          <t>Q355D</t>
        </is>
      </c>
      <c r="E2515" s="43" t="n"/>
      <c r="F2515" s="43" t="n"/>
      <c r="G2515" s="43" t="n">
        <v>8</v>
      </c>
      <c r="H2515" s="79">
        <f>(E2515/1000)*(F2515/1000)*(G2515/1000)*7850</f>
        <v/>
      </c>
      <c r="I2515" s="43" t="n">
        <v>2</v>
      </c>
      <c r="J2515" s="80">
        <f>H2515*I2515</f>
        <v/>
      </c>
      <c r="K2515" s="43" t="inlineStr">
        <is>
          <t>来源页191</t>
        </is>
      </c>
      <c r="L2515" s="43">
        <f>A2515</f>
        <v/>
      </c>
      <c r="M2515" s="81" t="n"/>
      <c r="N2515" s="81" t="n"/>
      <c r="O2515" s="81" t="n"/>
      <c r="P2515" s="81" t="n"/>
      <c r="Q2515" s="81" t="n"/>
      <c r="R2515" s="81" t="n"/>
      <c r="S2515" s="81" t="n"/>
      <c r="T2515" s="81" t="n"/>
      <c r="U2515" s="81" t="n"/>
      <c r="V2515" s="81" t="n"/>
      <c r="W2515" s="43" t="n"/>
    </row>
    <row r="2516">
      <c r="A2516" s="43" t="inlineStr"/>
      <c r="B2516" s="43" t="inlineStr"/>
      <c r="C2516" s="43" t="inlineStr">
        <is>
          <t>节段12~节段13</t>
        </is>
      </c>
      <c r="D2516" s="43" t="inlineStr">
        <is>
          <t>Q355D</t>
        </is>
      </c>
      <c r="E2516" s="43" t="n"/>
      <c r="F2516" s="43" t="n"/>
      <c r="G2516" s="43" t="n">
        <v>4</v>
      </c>
      <c r="H2516" s="79">
        <f>(E2516/1000)*(F2516/1000)*(G2516/1000)*7850</f>
        <v/>
      </c>
      <c r="I2516" s="43" t="n">
        <v>2</v>
      </c>
      <c r="J2516" s="80">
        <f>H2516*I2516</f>
        <v/>
      </c>
      <c r="K2516" s="43" t="inlineStr">
        <is>
          <t>来源页191</t>
        </is>
      </c>
      <c r="L2516" s="43">
        <f>A2516</f>
        <v/>
      </c>
      <c r="M2516" s="81" t="n"/>
      <c r="N2516" s="81" t="n"/>
      <c r="O2516" s="81" t="n"/>
      <c r="P2516" s="81" t="n"/>
      <c r="Q2516" s="81" t="n"/>
      <c r="R2516" s="81" t="n"/>
      <c r="S2516" s="81" t="n"/>
      <c r="T2516" s="81" t="n"/>
      <c r="U2516" s="81" t="n"/>
      <c r="V2516" s="81" t="n"/>
      <c r="W2516" s="43" t="n"/>
    </row>
    <row r="2517">
      <c r="A2517" s="43" t="inlineStr"/>
      <c r="B2517" s="43" t="inlineStr"/>
      <c r="C2517" s="43" t="inlineStr">
        <is>
          <t>节段12~节段13</t>
        </is>
      </c>
      <c r="D2517" s="43" t="inlineStr">
        <is>
          <t>10.9S高强螺栓</t>
        </is>
      </c>
      <c r="E2517" s="43" t="n"/>
      <c r="F2517" s="43" t="n"/>
      <c r="G2517" s="43" t="n"/>
      <c r="H2517" s="79">
        <f>(E2517/1000)*(F2517/1000)*(G2517/1000)*7850</f>
        <v/>
      </c>
      <c r="I2517" s="43" t="n">
        <v>2</v>
      </c>
      <c r="J2517" s="80">
        <f>H2517*I2517</f>
        <v/>
      </c>
      <c r="K2517" s="43" t="inlineStr">
        <is>
          <t>来源页191</t>
        </is>
      </c>
      <c r="L2517" s="43">
        <f>A2517</f>
        <v/>
      </c>
      <c r="M2517" s="81" t="n"/>
      <c r="N2517" s="81" t="n"/>
      <c r="O2517" s="81" t="n"/>
      <c r="P2517" s="81" t="n"/>
      <c r="Q2517" s="81" t="n"/>
      <c r="R2517" s="81" t="n"/>
      <c r="S2517" s="81" t="n"/>
      <c r="T2517" s="81" t="n"/>
      <c r="U2517" s="81" t="n"/>
      <c r="V2517" s="81" t="n"/>
      <c r="W2517" s="43" t="n"/>
    </row>
    <row r="2518">
      <c r="A2518" s="43" t="inlineStr"/>
      <c r="B2518" s="43" t="inlineStr"/>
      <c r="C2518" s="43" t="inlineStr">
        <is>
          <t>节段12~节段13</t>
        </is>
      </c>
      <c r="D2518" s="43" t="inlineStr">
        <is>
          <t>10.9S高强螺栓</t>
        </is>
      </c>
      <c r="E2518" s="43" t="n"/>
      <c r="F2518" s="43" t="n"/>
      <c r="G2518" s="43" t="n"/>
      <c r="H2518" s="79">
        <f>(E2518/1000)*(F2518/1000)*(G2518/1000)*7850</f>
        <v/>
      </c>
      <c r="I2518" s="43" t="n">
        <v>2</v>
      </c>
      <c r="J2518" s="80">
        <f>H2518*I2518</f>
        <v/>
      </c>
      <c r="K2518" s="43" t="inlineStr">
        <is>
          <t>来源页191</t>
        </is>
      </c>
      <c r="L2518" s="43">
        <f>A2518</f>
        <v/>
      </c>
      <c r="M2518" s="81" t="n"/>
      <c r="N2518" s="81" t="n"/>
      <c r="O2518" s="81" t="n"/>
      <c r="P2518" s="81" t="n"/>
      <c r="Q2518" s="81" t="n"/>
      <c r="R2518" s="81" t="n"/>
      <c r="S2518" s="81" t="n"/>
      <c r="T2518" s="81" t="n"/>
      <c r="U2518" s="81" t="n"/>
      <c r="V2518" s="81" t="n"/>
      <c r="W2518" s="43" t="n"/>
    </row>
    <row r="2519">
      <c r="A2519" s="43" t="inlineStr">
        <is>
          <t>N11a</t>
        </is>
      </c>
      <c r="B2519" s="43" t="inlineStr"/>
      <c r="C2519" s="43" t="inlineStr">
        <is>
          <t>节段13</t>
        </is>
      </c>
      <c r="D2519" s="43" t="inlineStr">
        <is>
          <t>Q355D</t>
        </is>
      </c>
      <c r="E2519" s="43" t="n"/>
      <c r="F2519" s="43" t="n"/>
      <c r="G2519" s="43" t="n">
        <v>20</v>
      </c>
      <c r="H2519" s="79">
        <f>(E2519/1000)*(F2519/1000)*(G2519/1000)*7850</f>
        <v/>
      </c>
      <c r="I2519" s="43" t="n">
        <v>1</v>
      </c>
      <c r="J2519" s="80">
        <f>H2519*I2519</f>
        <v/>
      </c>
      <c r="K2519" s="43" t="inlineStr">
        <is>
          <t>来源页191</t>
        </is>
      </c>
      <c r="L2519" s="43">
        <f>A2519</f>
        <v/>
      </c>
      <c r="M2519" s="81" t="n"/>
      <c r="N2519" s="81" t="n"/>
      <c r="O2519" s="81" t="n"/>
      <c r="P2519" s="81" t="n"/>
      <c r="Q2519" s="81" t="n"/>
      <c r="R2519" s="81" t="n"/>
      <c r="S2519" s="81" t="n"/>
      <c r="T2519" s="81" t="n"/>
      <c r="U2519" s="81" t="n"/>
      <c r="V2519" s="81" t="n"/>
      <c r="W2519" s="43" t="n"/>
    </row>
    <row r="2520">
      <c r="A2520" s="43" t="inlineStr">
        <is>
          <t>N11b</t>
        </is>
      </c>
      <c r="B2520" s="43" t="inlineStr"/>
      <c r="C2520" s="43" t="inlineStr">
        <is>
          <t>节段13</t>
        </is>
      </c>
      <c r="D2520" s="43" t="inlineStr">
        <is>
          <t>Q355D</t>
        </is>
      </c>
      <c r="E2520" s="43" t="n"/>
      <c r="F2520" s="43" t="n"/>
      <c r="G2520" s="43" t="n">
        <v>20</v>
      </c>
      <c r="H2520" s="79">
        <f>(E2520/1000)*(F2520/1000)*(G2520/1000)*7850</f>
        <v/>
      </c>
      <c r="I2520" s="43" t="n">
        <v>1</v>
      </c>
      <c r="J2520" s="80">
        <f>H2520*I2520</f>
        <v/>
      </c>
      <c r="K2520" s="43" t="inlineStr">
        <is>
          <t>来源页191</t>
        </is>
      </c>
      <c r="L2520" s="43">
        <f>A2520</f>
        <v/>
      </c>
      <c r="M2520" s="81" t="n"/>
      <c r="N2520" s="81" t="n"/>
      <c r="O2520" s="81" t="n"/>
      <c r="P2520" s="81" t="n"/>
      <c r="Q2520" s="81" t="n"/>
      <c r="R2520" s="81" t="n"/>
      <c r="S2520" s="81" t="n"/>
      <c r="T2520" s="81" t="n"/>
      <c r="U2520" s="81" t="n"/>
      <c r="V2520" s="81" t="n"/>
      <c r="W2520" s="43" t="n"/>
    </row>
    <row r="2521">
      <c r="A2521" s="43" t="inlineStr">
        <is>
          <t>N12α</t>
        </is>
      </c>
      <c r="B2521" s="43" t="inlineStr"/>
      <c r="C2521" s="43" t="inlineStr">
        <is>
          <t>节段13</t>
        </is>
      </c>
      <c r="D2521" s="43" t="inlineStr">
        <is>
          <t>Q355D</t>
        </is>
      </c>
      <c r="E2521" s="43" t="n">
        <v>7900</v>
      </c>
      <c r="F2521" s="43" t="n">
        <v>1200</v>
      </c>
      <c r="G2521" s="43" t="n">
        <v>20</v>
      </c>
      <c r="H2521" s="79">
        <f>(E2521/1000)*(F2521/1000)*(G2521/1000)*7850</f>
        <v/>
      </c>
      <c r="I2521" s="43" t="n">
        <v>1</v>
      </c>
      <c r="J2521" s="80">
        <f>H2521*I2521</f>
        <v/>
      </c>
      <c r="K2521" s="43" t="inlineStr">
        <is>
          <t>来源页191</t>
        </is>
      </c>
      <c r="L2521" s="43">
        <f>A2521</f>
        <v/>
      </c>
      <c r="M2521" s="81" t="n"/>
      <c r="N2521" s="81" t="n"/>
      <c r="O2521" s="81" t="n"/>
      <c r="P2521" s="81" t="n"/>
      <c r="Q2521" s="81" t="n"/>
      <c r="R2521" s="81" t="n"/>
      <c r="S2521" s="81" t="n"/>
      <c r="T2521" s="81" t="n"/>
      <c r="U2521" s="81" t="n"/>
      <c r="V2521" s="81" t="n"/>
      <c r="W2521" s="43" t="n"/>
    </row>
    <row r="2522">
      <c r="A2522" s="43" t="inlineStr">
        <is>
          <t>N12b</t>
        </is>
      </c>
      <c r="B2522" s="43" t="inlineStr"/>
      <c r="C2522" s="43" t="inlineStr">
        <is>
          <t>节段13</t>
        </is>
      </c>
      <c r="D2522" s="43" t="inlineStr">
        <is>
          <t>Q355D</t>
        </is>
      </c>
      <c r="E2522" s="43" t="n">
        <v>7100</v>
      </c>
      <c r="F2522" s="43" t="n">
        <v>1200</v>
      </c>
      <c r="G2522" s="43" t="n">
        <v>20</v>
      </c>
      <c r="H2522" s="79">
        <f>(E2522/1000)*(F2522/1000)*(G2522/1000)*7850</f>
        <v/>
      </c>
      <c r="I2522" s="43" t="n">
        <v>1</v>
      </c>
      <c r="J2522" s="80">
        <f>H2522*I2522</f>
        <v/>
      </c>
      <c r="K2522" s="43" t="inlineStr">
        <is>
          <t>来源页191</t>
        </is>
      </c>
      <c r="L2522" s="43">
        <f>A2522</f>
        <v/>
      </c>
      <c r="M2522" s="81" t="n"/>
      <c r="N2522" s="81" t="n"/>
      <c r="O2522" s="81" t="n"/>
      <c r="P2522" s="81" t="n"/>
      <c r="Q2522" s="81" t="n"/>
      <c r="R2522" s="81" t="n"/>
      <c r="S2522" s="81" t="n"/>
      <c r="T2522" s="81" t="n"/>
      <c r="U2522" s="81" t="n"/>
      <c r="V2522" s="81" t="n"/>
      <c r="W2522" s="43" t="n"/>
    </row>
    <row r="2523">
      <c r="A2523" s="43" t="inlineStr">
        <is>
          <t>N13</t>
        </is>
      </c>
      <c r="B2523" s="43" t="inlineStr"/>
      <c r="C2523" s="43" t="inlineStr">
        <is>
          <t>节段13</t>
        </is>
      </c>
      <c r="D2523" s="43" t="inlineStr">
        <is>
          <t>Q355D</t>
        </is>
      </c>
      <c r="E2523" s="43" t="n"/>
      <c r="F2523" s="43" t="n"/>
      <c r="G2523" s="43" t="n">
        <v>40</v>
      </c>
      <c r="H2523" s="79">
        <f>(E2523/1000)*(F2523/1000)*(G2523/1000)*7850</f>
        <v/>
      </c>
      <c r="I2523" s="43" t="n">
        <v>2</v>
      </c>
      <c r="J2523" s="80">
        <f>H2523*I2523</f>
        <v/>
      </c>
      <c r="K2523" s="43" t="inlineStr">
        <is>
          <t>来源页191</t>
        </is>
      </c>
      <c r="L2523" s="43">
        <f>A2523</f>
        <v/>
      </c>
      <c r="M2523" s="81" t="n"/>
      <c r="N2523" s="81" t="n"/>
      <c r="O2523" s="81" t="n"/>
      <c r="P2523" s="81" t="n"/>
      <c r="Q2523" s="81" t="n"/>
      <c r="R2523" s="81" t="n"/>
      <c r="S2523" s="81" t="n"/>
      <c r="T2523" s="81" t="n"/>
      <c r="U2523" s="81" t="n"/>
      <c r="V2523" s="81" t="n"/>
      <c r="W2523" s="43" t="n"/>
    </row>
    <row r="2524">
      <c r="A2524" s="43" t="inlineStr">
        <is>
          <t>N14</t>
        </is>
      </c>
      <c r="B2524" s="43" t="inlineStr"/>
      <c r="C2524" s="43" t="inlineStr">
        <is>
          <t>节段13</t>
        </is>
      </c>
      <c r="D2524" s="43" t="inlineStr">
        <is>
          <t>Q355D</t>
        </is>
      </c>
      <c r="E2524" s="43" t="n">
        <v>7300</v>
      </c>
      <c r="F2524" s="43" t="n">
        <v>1648</v>
      </c>
      <c r="G2524" s="43" t="n">
        <v>28</v>
      </c>
      <c r="H2524" s="79">
        <f>(E2524/1000)*(F2524/1000)*(G2524/1000)*7850</f>
        <v/>
      </c>
      <c r="I2524" s="43" t="n">
        <v>2</v>
      </c>
      <c r="J2524" s="80">
        <f>H2524*I2524</f>
        <v/>
      </c>
      <c r="K2524" s="43" t="inlineStr">
        <is>
          <t>来源页191</t>
        </is>
      </c>
      <c r="L2524" s="43">
        <f>A2524</f>
        <v/>
      </c>
      <c r="M2524" s="81" t="n"/>
      <c r="N2524" s="81" t="n"/>
      <c r="O2524" s="81" t="n"/>
      <c r="P2524" s="81" t="n"/>
      <c r="Q2524" s="81" t="n"/>
      <c r="R2524" s="81" t="n"/>
      <c r="S2524" s="81" t="n"/>
      <c r="T2524" s="81" t="n"/>
      <c r="U2524" s="81" t="n"/>
      <c r="V2524" s="81" t="n"/>
      <c r="W2524" s="43" t="n"/>
    </row>
    <row r="2525">
      <c r="A2525" s="43" t="inlineStr">
        <is>
          <t>N15</t>
        </is>
      </c>
      <c r="B2525" s="43" t="inlineStr"/>
      <c r="C2525" s="43" t="inlineStr">
        <is>
          <t>节段13</t>
        </is>
      </c>
      <c r="D2525" s="43" t="inlineStr">
        <is>
          <t>Q355D</t>
        </is>
      </c>
      <c r="E2525" s="43" t="n">
        <v>1580</v>
      </c>
      <c r="F2525" s="43" t="n">
        <v>1200</v>
      </c>
      <c r="G2525" s="43" t="n">
        <v>16</v>
      </c>
      <c r="H2525" s="79">
        <f>(E2525/1000)*(F2525/1000)*(G2525/1000)*7850</f>
        <v/>
      </c>
      <c r="I2525" s="43" t="n">
        <v>3</v>
      </c>
      <c r="J2525" s="80">
        <f>H2525*I2525</f>
        <v/>
      </c>
      <c r="K2525" s="43" t="inlineStr">
        <is>
          <t>来源页191</t>
        </is>
      </c>
      <c r="L2525" s="43">
        <f>A2525</f>
        <v/>
      </c>
      <c r="M2525" s="81" t="n"/>
      <c r="N2525" s="81" t="n"/>
      <c r="O2525" s="81" t="n"/>
      <c r="P2525" s="81" t="n"/>
      <c r="Q2525" s="81" t="n"/>
      <c r="R2525" s="81" t="n"/>
      <c r="S2525" s="81" t="n"/>
      <c r="T2525" s="81" t="n"/>
      <c r="U2525" s="81" t="n"/>
      <c r="V2525" s="81" t="n"/>
      <c r="W2525" s="43" t="n"/>
    </row>
    <row r="2526">
      <c r="A2526" s="43" t="inlineStr">
        <is>
          <t>N15a</t>
        </is>
      </c>
      <c r="B2526" s="43" t="inlineStr"/>
      <c r="C2526" s="43" t="inlineStr">
        <is>
          <t>节段13</t>
        </is>
      </c>
      <c r="D2526" s="43" t="inlineStr">
        <is>
          <t>Q355D</t>
        </is>
      </c>
      <c r="E2526" s="43" t="n">
        <v>1580</v>
      </c>
      <c r="F2526" s="43" t="n">
        <v>1200</v>
      </c>
      <c r="G2526" s="43" t="n">
        <v>16</v>
      </c>
      <c r="H2526" s="79">
        <f>(E2526/1000)*(F2526/1000)*(G2526/1000)*7850</f>
        <v/>
      </c>
      <c r="I2526" s="43" t="n">
        <v>2</v>
      </c>
      <c r="J2526" s="80">
        <f>H2526*I2526</f>
        <v/>
      </c>
      <c r="K2526" s="43" t="inlineStr">
        <is>
          <t>来源页191</t>
        </is>
      </c>
      <c r="L2526" s="43">
        <f>A2526</f>
        <v/>
      </c>
      <c r="M2526" s="81" t="n"/>
      <c r="N2526" s="81" t="n"/>
      <c r="O2526" s="81" t="n"/>
      <c r="P2526" s="81" t="n"/>
      <c r="Q2526" s="81" t="n"/>
      <c r="R2526" s="81" t="n"/>
      <c r="S2526" s="81" t="n"/>
      <c r="T2526" s="81" t="n"/>
      <c r="U2526" s="81" t="n"/>
      <c r="V2526" s="81" t="n"/>
      <c r="W2526" s="43" t="n"/>
    </row>
    <row r="2527">
      <c r="A2527" s="43" t="inlineStr">
        <is>
          <t>N15‘</t>
        </is>
      </c>
      <c r="B2527" s="43" t="inlineStr"/>
      <c r="C2527" s="43" t="inlineStr">
        <is>
          <t>节段13</t>
        </is>
      </c>
      <c r="D2527" s="43" t="inlineStr">
        <is>
          <t>Q355D</t>
        </is>
      </c>
      <c r="E2527" s="43" t="n">
        <v>1657</v>
      </c>
      <c r="F2527" s="43" t="n">
        <v>200</v>
      </c>
      <c r="G2527" s="43" t="n">
        <v>16</v>
      </c>
      <c r="H2527" s="79">
        <f>(E2527/1000)*(F2527/1000)*(G2527/1000)*7850</f>
        <v/>
      </c>
      <c r="I2527" s="43" t="n">
        <v>3</v>
      </c>
      <c r="J2527" s="80">
        <f>H2527*I2527</f>
        <v/>
      </c>
      <c r="K2527" s="43" t="inlineStr">
        <is>
          <t>来源页191</t>
        </is>
      </c>
      <c r="L2527" s="43">
        <f>A2527</f>
        <v/>
      </c>
      <c r="M2527" s="81" t="n"/>
      <c r="N2527" s="81" t="n"/>
      <c r="O2527" s="81" t="n"/>
      <c r="P2527" s="81" t="n"/>
      <c r="Q2527" s="81" t="n"/>
      <c r="R2527" s="81" t="n"/>
      <c r="S2527" s="81" t="n"/>
      <c r="T2527" s="81" t="n"/>
      <c r="U2527" s="81" t="n"/>
      <c r="V2527" s="81" t="n"/>
      <c r="W2527" s="43" t="n"/>
    </row>
    <row r="2528">
      <c r="A2528" s="43" t="inlineStr">
        <is>
          <t>N15b</t>
        </is>
      </c>
      <c r="B2528" s="43" t="inlineStr"/>
      <c r="C2528" s="43" t="inlineStr">
        <is>
          <t>节段13</t>
        </is>
      </c>
      <c r="D2528" s="43" t="inlineStr">
        <is>
          <t>Q355D</t>
        </is>
      </c>
      <c r="E2528" s="43" t="n">
        <v>1782</v>
      </c>
      <c r="F2528" s="43" t="n">
        <v>40</v>
      </c>
      <c r="G2528" s="43" t="n">
        <v>4</v>
      </c>
      <c r="H2528" s="79">
        <f>(E2528/1000)*(F2528/1000)*(G2528/1000)*7850</f>
        <v/>
      </c>
      <c r="I2528" s="43" t="n">
        <v>4</v>
      </c>
      <c r="J2528" s="80">
        <f>H2528*I2528</f>
        <v/>
      </c>
      <c r="K2528" s="43" t="inlineStr">
        <is>
          <t>来源页191</t>
        </is>
      </c>
      <c r="L2528" s="43">
        <f>A2528</f>
        <v/>
      </c>
      <c r="M2528" s="81" t="n"/>
      <c r="N2528" s="81" t="n"/>
      <c r="O2528" s="81" t="n"/>
      <c r="P2528" s="81" t="n"/>
      <c r="Q2528" s="81" t="n"/>
      <c r="R2528" s="81" t="n"/>
      <c r="S2528" s="81" t="n"/>
      <c r="T2528" s="81" t="n"/>
      <c r="U2528" s="81" t="n"/>
      <c r="V2528" s="81" t="n"/>
      <c r="W2528" s="43" t="n"/>
    </row>
    <row r="2529">
      <c r="A2529" s="43" t="inlineStr">
        <is>
          <t>N15c</t>
        </is>
      </c>
      <c r="B2529" s="43" t="inlineStr"/>
      <c r="C2529" s="43" t="inlineStr">
        <is>
          <t>节段13</t>
        </is>
      </c>
      <c r="D2529" s="43" t="inlineStr">
        <is>
          <t>Q355D</t>
        </is>
      </c>
      <c r="E2529" s="43" t="n">
        <v>600</v>
      </c>
      <c r="F2529" s="43" t="n">
        <v>400</v>
      </c>
      <c r="G2529" s="43" t="n">
        <v>16</v>
      </c>
      <c r="H2529" s="79">
        <f>(E2529/1000)*(F2529/1000)*(G2529/1000)*7850</f>
        <v/>
      </c>
      <c r="I2529" s="43" t="n">
        <v>4</v>
      </c>
      <c r="J2529" s="80">
        <f>H2529*I2529</f>
        <v/>
      </c>
      <c r="K2529" s="43" t="inlineStr">
        <is>
          <t>来源页191</t>
        </is>
      </c>
      <c r="L2529" s="43">
        <f>A2529</f>
        <v/>
      </c>
      <c r="M2529" s="81" t="n"/>
      <c r="N2529" s="81" t="n"/>
      <c r="O2529" s="81" t="n"/>
      <c r="P2529" s="81" t="n"/>
      <c r="Q2529" s="81" t="n"/>
      <c r="R2529" s="81" t="n"/>
      <c r="S2529" s="81" t="n"/>
      <c r="T2529" s="81" t="n"/>
      <c r="U2529" s="81" t="n"/>
      <c r="V2529" s="81" t="n"/>
      <c r="W2529" s="43" t="n"/>
    </row>
    <row r="2530">
      <c r="A2530" s="43" t="inlineStr">
        <is>
          <t>N16a</t>
        </is>
      </c>
      <c r="B2530" s="43" t="inlineStr"/>
      <c r="C2530" s="43" t="inlineStr">
        <is>
          <t>节段13</t>
        </is>
      </c>
      <c r="D2530" s="43" t="inlineStr">
        <is>
          <t>Q355D</t>
        </is>
      </c>
      <c r="E2530" s="43" t="n">
        <v>7900</v>
      </c>
      <c r="F2530" s="43" t="n">
        <v>240</v>
      </c>
      <c r="G2530" s="43" t="n">
        <v>20</v>
      </c>
      <c r="H2530" s="79">
        <f>(E2530/1000)*(F2530/1000)*(G2530/1000)*7850</f>
        <v/>
      </c>
      <c r="I2530" s="43" t="n">
        <v>6</v>
      </c>
      <c r="J2530" s="80">
        <f>H2530*I2530</f>
        <v/>
      </c>
      <c r="K2530" s="43" t="inlineStr">
        <is>
          <t>来源页191</t>
        </is>
      </c>
      <c r="L2530" s="43">
        <f>A2530</f>
        <v/>
      </c>
      <c r="M2530" s="81" t="n"/>
      <c r="N2530" s="81" t="n"/>
      <c r="O2530" s="81" t="n"/>
      <c r="P2530" s="81" t="n"/>
      <c r="Q2530" s="81" t="n"/>
      <c r="R2530" s="81" t="n"/>
      <c r="S2530" s="81" t="n"/>
      <c r="T2530" s="81" t="n"/>
      <c r="U2530" s="81" t="n"/>
      <c r="V2530" s="81" t="n"/>
      <c r="W2530" s="43" t="n"/>
    </row>
    <row r="2531">
      <c r="A2531" s="43" t="inlineStr">
        <is>
          <t>N21α</t>
        </is>
      </c>
      <c r="B2531" s="43" t="inlineStr"/>
      <c r="C2531" s="43" t="inlineStr">
        <is>
          <t>节段13</t>
        </is>
      </c>
      <c r="D2531" s="43" t="inlineStr">
        <is>
          <t>Q355D</t>
        </is>
      </c>
      <c r="E2531" s="43" t="n">
        <v>7901</v>
      </c>
      <c r="F2531" s="43" t="n">
        <v>1850</v>
      </c>
      <c r="G2531" s="43" t="n">
        <v>24</v>
      </c>
      <c r="H2531" s="79">
        <f>(E2531/1000)*(F2531/1000)*(G2531/1000)*7850</f>
        <v/>
      </c>
      <c r="I2531" s="43" t="n">
        <v>1</v>
      </c>
      <c r="J2531" s="80">
        <f>H2531*I2531</f>
        <v/>
      </c>
      <c r="K2531" s="43" t="inlineStr">
        <is>
          <t>来源页191</t>
        </is>
      </c>
      <c r="L2531" s="43">
        <f>A2531</f>
        <v/>
      </c>
      <c r="M2531" s="81" t="n"/>
      <c r="N2531" s="81" t="n"/>
      <c r="O2531" s="81" t="n"/>
      <c r="P2531" s="81" t="n"/>
      <c r="Q2531" s="81" t="n"/>
      <c r="R2531" s="81" t="n"/>
      <c r="S2531" s="81" t="n"/>
      <c r="T2531" s="81" t="n"/>
      <c r="U2531" s="81" t="n"/>
      <c r="V2531" s="81" t="n"/>
      <c r="W2531" s="43" t="n"/>
    </row>
    <row r="2532">
      <c r="A2532" s="43" t="inlineStr">
        <is>
          <t>N21b</t>
        </is>
      </c>
      <c r="B2532" s="43" t="inlineStr"/>
      <c r="C2532" s="43" t="inlineStr">
        <is>
          <t>节段13</t>
        </is>
      </c>
      <c r="D2532" s="43" t="inlineStr">
        <is>
          <t>Q355D</t>
        </is>
      </c>
      <c r="E2532" s="43" t="n">
        <v>7101</v>
      </c>
      <c r="F2532" s="43" t="n">
        <v>1850</v>
      </c>
      <c r="G2532" s="43" t="n">
        <v>24</v>
      </c>
      <c r="H2532" s="79">
        <f>(E2532/1000)*(F2532/1000)*(G2532/1000)*7850</f>
        <v/>
      </c>
      <c r="I2532" s="43" t="n">
        <v>1</v>
      </c>
      <c r="J2532" s="80">
        <f>H2532*I2532</f>
        <v/>
      </c>
      <c r="K2532" s="43" t="inlineStr">
        <is>
          <t>来源页191</t>
        </is>
      </c>
      <c r="L2532" s="43">
        <f>A2532</f>
        <v/>
      </c>
      <c r="M2532" s="81" t="n"/>
      <c r="N2532" s="81" t="n"/>
      <c r="O2532" s="81" t="n"/>
      <c r="P2532" s="81" t="n"/>
      <c r="Q2532" s="81" t="n"/>
      <c r="R2532" s="81" t="n"/>
      <c r="S2532" s="81" t="n"/>
      <c r="T2532" s="81" t="n"/>
      <c r="U2532" s="81" t="n"/>
      <c r="V2532" s="81" t="n"/>
      <c r="W2532" s="43" t="n"/>
    </row>
    <row r="2533">
      <c r="A2533" s="43" t="inlineStr">
        <is>
          <t>N22a</t>
        </is>
      </c>
      <c r="B2533" s="43" t="inlineStr"/>
      <c r="C2533" s="43" t="inlineStr">
        <is>
          <t>节段13</t>
        </is>
      </c>
      <c r="D2533" s="43" t="inlineStr">
        <is>
          <t>Q355D</t>
        </is>
      </c>
      <c r="E2533" s="43" t="n"/>
      <c r="F2533" s="43" t="n"/>
      <c r="G2533" s="43" t="n">
        <v>24</v>
      </c>
      <c r="H2533" s="79">
        <f>(E2533/1000)*(F2533/1000)*(G2533/1000)*7850</f>
        <v/>
      </c>
      <c r="I2533" s="43" t="n">
        <v>1</v>
      </c>
      <c r="J2533" s="80">
        <f>H2533*I2533</f>
        <v/>
      </c>
      <c r="K2533" s="43" t="inlineStr">
        <is>
          <t>来源页191</t>
        </is>
      </c>
      <c r="L2533" s="43">
        <f>A2533</f>
        <v/>
      </c>
      <c r="M2533" s="81" t="n"/>
      <c r="N2533" s="81" t="n"/>
      <c r="O2533" s="81" t="n"/>
      <c r="P2533" s="81" t="n"/>
      <c r="Q2533" s="81" t="n"/>
      <c r="R2533" s="81" t="n"/>
      <c r="S2533" s="81" t="n"/>
      <c r="T2533" s="81" t="n"/>
      <c r="U2533" s="81" t="n"/>
      <c r="V2533" s="81" t="n"/>
      <c r="W2533" s="43" t="n"/>
    </row>
    <row r="2534">
      <c r="A2534" s="43" t="inlineStr">
        <is>
          <t>N22b</t>
        </is>
      </c>
      <c r="B2534" s="43" t="inlineStr"/>
      <c r="C2534" s="43" t="inlineStr">
        <is>
          <t>节段13</t>
        </is>
      </c>
      <c r="D2534" s="43" t="inlineStr">
        <is>
          <t>Q355D</t>
        </is>
      </c>
      <c r="E2534" s="43" t="n"/>
      <c r="F2534" s="43" t="n"/>
      <c r="G2534" s="43" t="n">
        <v>24</v>
      </c>
      <c r="H2534" s="79">
        <f>(E2534/1000)*(F2534/1000)*(G2534/1000)*7850</f>
        <v/>
      </c>
      <c r="I2534" s="43" t="n">
        <v>1</v>
      </c>
      <c r="J2534" s="80">
        <f>H2534*I2534</f>
        <v/>
      </c>
      <c r="K2534" s="43" t="inlineStr">
        <is>
          <t>来源页191</t>
        </is>
      </c>
      <c r="L2534" s="43">
        <f>A2534</f>
        <v/>
      </c>
      <c r="M2534" s="81" t="n"/>
      <c r="N2534" s="81" t="n"/>
      <c r="O2534" s="81" t="n"/>
      <c r="P2534" s="81" t="n"/>
      <c r="Q2534" s="81" t="n"/>
      <c r="R2534" s="81" t="n"/>
      <c r="S2534" s="81" t="n"/>
      <c r="T2534" s="81" t="n"/>
      <c r="U2534" s="81" t="n"/>
      <c r="V2534" s="81" t="n"/>
      <c r="W2534" s="43" t="n"/>
    </row>
    <row r="2535">
      <c r="A2535" s="43" t="inlineStr">
        <is>
          <t>N23</t>
        </is>
      </c>
      <c r="B2535" s="43" t="inlineStr"/>
      <c r="C2535" s="43" t="inlineStr">
        <is>
          <t>节段13</t>
        </is>
      </c>
      <c r="D2535" s="43" t="inlineStr">
        <is>
          <t>Q355D</t>
        </is>
      </c>
      <c r="E2535" s="43" t="n"/>
      <c r="F2535" s="43" t="n"/>
      <c r="G2535" s="43" t="n">
        <v>44</v>
      </c>
      <c r="H2535" s="79">
        <f>(E2535/1000)*(F2535/1000)*(G2535/1000)*7850</f>
        <v/>
      </c>
      <c r="I2535" s="43" t="n">
        <v>2</v>
      </c>
      <c r="J2535" s="80">
        <f>H2535*I2535</f>
        <v/>
      </c>
      <c r="K2535" s="43" t="inlineStr">
        <is>
          <t>Z35钢；来源页191</t>
        </is>
      </c>
      <c r="L2535" s="43">
        <f>A2535</f>
        <v/>
      </c>
      <c r="M2535" s="81" t="n"/>
      <c r="N2535" s="81" t="n"/>
      <c r="O2535" s="81" t="n"/>
      <c r="P2535" s="81" t="n"/>
      <c r="Q2535" s="81" t="n"/>
      <c r="R2535" s="81" t="n"/>
      <c r="S2535" s="81" t="n"/>
      <c r="T2535" s="81" t="n"/>
      <c r="U2535" s="81" t="n"/>
      <c r="V2535" s="81" t="n"/>
      <c r="W2535" s="43" t="n"/>
    </row>
    <row r="2536">
      <c r="A2536" s="43" t="inlineStr">
        <is>
          <t>N24</t>
        </is>
      </c>
      <c r="B2536" s="43" t="inlineStr"/>
      <c r="C2536" s="43" t="inlineStr">
        <is>
          <t>节段13</t>
        </is>
      </c>
      <c r="D2536" s="43" t="inlineStr">
        <is>
          <t>Q355D</t>
        </is>
      </c>
      <c r="E2536" s="43" t="n">
        <v>7301</v>
      </c>
      <c r="F2536" s="43" t="n">
        <v>1474</v>
      </c>
      <c r="G2536" s="43" t="n">
        <v>32</v>
      </c>
      <c r="H2536" s="79">
        <f>(E2536/1000)*(F2536/1000)*(G2536/1000)*7850</f>
        <v/>
      </c>
      <c r="I2536" s="43" t="n">
        <v>2</v>
      </c>
      <c r="J2536" s="80">
        <f>H2536*I2536</f>
        <v/>
      </c>
      <c r="K2536" s="43" t="inlineStr">
        <is>
          <t>来源页191</t>
        </is>
      </c>
      <c r="L2536" s="43">
        <f>A2536</f>
        <v/>
      </c>
      <c r="M2536" s="81" t="n"/>
      <c r="N2536" s="81" t="n"/>
      <c r="O2536" s="81" t="n"/>
      <c r="P2536" s="81" t="n"/>
      <c r="Q2536" s="81" t="n"/>
      <c r="R2536" s="81" t="n"/>
      <c r="S2536" s="81" t="n"/>
      <c r="T2536" s="81" t="n"/>
      <c r="U2536" s="81" t="n"/>
      <c r="V2536" s="81" t="n"/>
      <c r="W2536" s="43" t="n"/>
    </row>
    <row r="2537">
      <c r="A2537" s="43" t="inlineStr">
        <is>
          <t>N25</t>
        </is>
      </c>
      <c r="B2537" s="43" t="inlineStr"/>
      <c r="C2537" s="43" t="inlineStr">
        <is>
          <t>节段13</t>
        </is>
      </c>
      <c r="D2537" s="43" t="inlineStr">
        <is>
          <t>Q355D</t>
        </is>
      </c>
      <c r="E2537" s="43" t="n">
        <v>1450</v>
      </c>
      <c r="F2537" s="43" t="n">
        <v>1200</v>
      </c>
      <c r="G2537" s="43" t="n">
        <v>16</v>
      </c>
      <c r="H2537" s="79">
        <f>(E2537/1000)*(F2537/1000)*(G2537/1000)*7850</f>
        <v/>
      </c>
      <c r="I2537" s="43" t="n">
        <v>3</v>
      </c>
      <c r="J2537" s="80">
        <f>H2537*I2537</f>
        <v/>
      </c>
      <c r="K2537" s="43" t="inlineStr">
        <is>
          <t>来源页191</t>
        </is>
      </c>
      <c r="L2537" s="43">
        <f>A2537</f>
        <v/>
      </c>
      <c r="M2537" s="81" t="n"/>
      <c r="N2537" s="81" t="n"/>
      <c r="O2537" s="81" t="n"/>
      <c r="P2537" s="81" t="n"/>
      <c r="Q2537" s="81" t="n"/>
      <c r="R2537" s="81" t="n"/>
      <c r="S2537" s="81" t="n"/>
      <c r="T2537" s="81" t="n"/>
      <c r="U2537" s="81" t="n"/>
      <c r="V2537" s="81" t="n"/>
      <c r="W2537" s="43" t="n"/>
    </row>
    <row r="2538">
      <c r="A2538" s="43" t="inlineStr">
        <is>
          <t>N25a</t>
        </is>
      </c>
      <c r="B2538" s="43" t="inlineStr"/>
      <c r="C2538" s="43" t="inlineStr">
        <is>
          <t>节段13</t>
        </is>
      </c>
      <c r="D2538" s="43" t="inlineStr">
        <is>
          <t>Q355D</t>
        </is>
      </c>
      <c r="E2538" s="43" t="n">
        <v>1450</v>
      </c>
      <c r="F2538" s="43" t="n">
        <v>1200</v>
      </c>
      <c r="G2538" s="43" t="n">
        <v>16</v>
      </c>
      <c r="H2538" s="79">
        <f>(E2538/1000)*(F2538/1000)*(G2538/1000)*7850</f>
        <v/>
      </c>
      <c r="I2538" s="43" t="n">
        <v>2</v>
      </c>
      <c r="J2538" s="80">
        <f>H2538*I2538</f>
        <v/>
      </c>
      <c r="K2538" s="43" t="inlineStr">
        <is>
          <t>来源页191</t>
        </is>
      </c>
      <c r="L2538" s="43">
        <f>A2538</f>
        <v/>
      </c>
      <c r="M2538" s="81" t="n"/>
      <c r="N2538" s="81" t="n"/>
      <c r="O2538" s="81" t="n"/>
      <c r="P2538" s="81" t="n"/>
      <c r="Q2538" s="81" t="n"/>
      <c r="R2538" s="81" t="n"/>
      <c r="S2538" s="81" t="n"/>
      <c r="T2538" s="81" t="n"/>
      <c r="U2538" s="81" t="n"/>
      <c r="V2538" s="81" t="n"/>
      <c r="W2538" s="43" t="n"/>
    </row>
    <row r="2539">
      <c r="A2539" s="43" t="inlineStr">
        <is>
          <t>N25'</t>
        </is>
      </c>
      <c r="B2539" s="43" t="inlineStr"/>
      <c r="C2539" s="43" t="inlineStr">
        <is>
          <t>节段13</t>
        </is>
      </c>
      <c r="D2539" s="43" t="inlineStr">
        <is>
          <t>Q355D</t>
        </is>
      </c>
      <c r="E2539" s="43" t="n">
        <v>1657</v>
      </c>
      <c r="F2539" s="43" t="n">
        <v>200</v>
      </c>
      <c r="G2539" s="43" t="n">
        <v>16</v>
      </c>
      <c r="H2539" s="79">
        <f>(E2539/1000)*(F2539/1000)*(G2539/1000)*7850</f>
        <v/>
      </c>
      <c r="I2539" s="43" t="n">
        <v>3</v>
      </c>
      <c r="J2539" s="80">
        <f>H2539*I2539</f>
        <v/>
      </c>
      <c r="K2539" s="43" t="inlineStr">
        <is>
          <t>来源页191</t>
        </is>
      </c>
      <c r="L2539" s="43">
        <f>A2539</f>
        <v/>
      </c>
      <c r="M2539" s="81" t="n"/>
      <c r="N2539" s="81" t="n"/>
      <c r="O2539" s="81" t="n"/>
      <c r="P2539" s="81" t="n"/>
      <c r="Q2539" s="81" t="n"/>
      <c r="R2539" s="81" t="n"/>
      <c r="S2539" s="81" t="n"/>
      <c r="T2539" s="81" t="n"/>
      <c r="U2539" s="81" t="n"/>
      <c r="V2539" s="81" t="n"/>
      <c r="W2539" s="43" t="n"/>
    </row>
    <row r="2540">
      <c r="A2540" s="43" t="inlineStr">
        <is>
          <t>N26a</t>
        </is>
      </c>
      <c r="B2540" s="43" t="inlineStr"/>
      <c r="C2540" s="43" t="inlineStr">
        <is>
          <t>节段13</t>
        </is>
      </c>
      <c r="D2540" s="43" t="inlineStr">
        <is>
          <t>Q355D</t>
        </is>
      </c>
      <c r="E2540" s="43" t="n">
        <v>7901</v>
      </c>
      <c r="F2540" s="43" t="n">
        <v>240</v>
      </c>
      <c r="G2540" s="43" t="n">
        <v>20</v>
      </c>
      <c r="H2540" s="79">
        <f>(E2540/1000)*(F2540/1000)*(G2540/1000)*7850</f>
        <v/>
      </c>
      <c r="I2540" s="43" t="n">
        <v>4</v>
      </c>
      <c r="J2540" s="80">
        <f>H2540*I2540</f>
        <v/>
      </c>
      <c r="K2540" s="43" t="inlineStr">
        <is>
          <t>来源页191</t>
        </is>
      </c>
      <c r="L2540" s="43">
        <f>A2540</f>
        <v/>
      </c>
      <c r="M2540" s="81" t="n"/>
      <c r="N2540" s="81" t="n"/>
      <c r="O2540" s="81" t="n"/>
      <c r="P2540" s="81" t="n"/>
      <c r="Q2540" s="81" t="n"/>
      <c r="R2540" s="81" t="n"/>
      <c r="S2540" s="81" t="n"/>
      <c r="T2540" s="81" t="n"/>
      <c r="U2540" s="81" t="n"/>
      <c r="V2540" s="81" t="n"/>
      <c r="W2540" s="43" t="n"/>
    </row>
    <row r="2541">
      <c r="A2541" s="43" t="inlineStr">
        <is>
          <t>N26b</t>
        </is>
      </c>
      <c r="B2541" s="43" t="inlineStr"/>
      <c r="C2541" s="43" t="inlineStr">
        <is>
          <t>节段13</t>
        </is>
      </c>
      <c r="D2541" s="43" t="inlineStr">
        <is>
          <t>Q355D</t>
        </is>
      </c>
      <c r="E2541" s="43" t="n">
        <v>7101</v>
      </c>
      <c r="F2541" s="43" t="n">
        <v>240</v>
      </c>
      <c r="G2541" s="43" t="n">
        <v>20</v>
      </c>
      <c r="H2541" s="79">
        <f>(E2541/1000)*(F2541/1000)*(G2541/1000)*7850</f>
        <v/>
      </c>
      <c r="I2541" s="43" t="n">
        <v>4</v>
      </c>
      <c r="J2541" s="80">
        <f>H2541*I2541</f>
        <v/>
      </c>
      <c r="K2541" s="43" t="inlineStr">
        <is>
          <t>来源页191</t>
        </is>
      </c>
      <c r="L2541" s="43">
        <f>A2541</f>
        <v/>
      </c>
      <c r="M2541" s="81" t="n"/>
      <c r="N2541" s="81" t="n"/>
      <c r="O2541" s="81" t="n"/>
      <c r="P2541" s="81" t="n"/>
      <c r="Q2541" s="81" t="n"/>
      <c r="R2541" s="81" t="n"/>
      <c r="S2541" s="81" t="n"/>
      <c r="T2541" s="81" t="n"/>
      <c r="U2541" s="81" t="n"/>
      <c r="V2541" s="81" t="n"/>
      <c r="W2541" s="43" t="n"/>
    </row>
    <row r="2542">
      <c r="A2542" s="43" t="inlineStr">
        <is>
          <t>N26c</t>
        </is>
      </c>
      <c r="B2542" s="43" t="inlineStr"/>
      <c r="C2542" s="43" t="inlineStr">
        <is>
          <t>节段13</t>
        </is>
      </c>
      <c r="D2542" s="43" t="inlineStr">
        <is>
          <t>Q355D</t>
        </is>
      </c>
      <c r="E2542" s="43" t="n">
        <v>15002</v>
      </c>
      <c r="F2542" s="43" t="n">
        <v>170</v>
      </c>
      <c r="G2542" s="43" t="n">
        <v>14</v>
      </c>
      <c r="H2542" s="79">
        <f>(E2542/1000)*(F2542/1000)*(G2542/1000)*7850</f>
        <v/>
      </c>
      <c r="I2542" s="43" t="n">
        <v>1</v>
      </c>
      <c r="J2542" s="80">
        <f>H2542*I2542</f>
        <v/>
      </c>
      <c r="K2542" s="43" t="inlineStr">
        <is>
          <t>来源页191</t>
        </is>
      </c>
      <c r="L2542" s="43">
        <f>A2542</f>
        <v/>
      </c>
      <c r="M2542" s="81" t="n"/>
      <c r="N2542" s="81" t="n"/>
      <c r="O2542" s="81" t="n"/>
      <c r="P2542" s="81" t="n"/>
      <c r="Q2542" s="81" t="n"/>
      <c r="R2542" s="81" t="n"/>
      <c r="S2542" s="81" t="n"/>
      <c r="T2542" s="81" t="n"/>
      <c r="U2542" s="81" t="n"/>
      <c r="V2542" s="81" t="n"/>
      <c r="W2542" s="43" t="n"/>
    </row>
    <row r="2543">
      <c r="A2543" s="43" t="inlineStr">
        <is>
          <t>N31</t>
        </is>
      </c>
      <c r="B2543" s="43" t="inlineStr"/>
      <c r="C2543" s="43" t="inlineStr">
        <is>
          <t>节段13</t>
        </is>
      </c>
      <c r="D2543" s="43" t="inlineStr">
        <is>
          <t>Q355D</t>
        </is>
      </c>
      <c r="E2543" s="43" t="n">
        <v>7458</v>
      </c>
      <c r="F2543" s="43" t="n">
        <v>900</v>
      </c>
      <c r="G2543" s="43" t="n">
        <v>36</v>
      </c>
      <c r="H2543" s="79">
        <f>(E2543/1000)*(F2543/1000)*(G2543/1000)*7850</f>
        <v/>
      </c>
      <c r="I2543" s="43" t="n">
        <v>2</v>
      </c>
      <c r="J2543" s="80">
        <f>H2543*I2543</f>
        <v/>
      </c>
      <c r="K2543" s="43" t="inlineStr">
        <is>
          <t>来源页191</t>
        </is>
      </c>
      <c r="L2543" s="43">
        <f>A2543</f>
        <v/>
      </c>
      <c r="M2543" s="81" t="n"/>
      <c r="N2543" s="81" t="n"/>
      <c r="O2543" s="81" t="n"/>
      <c r="P2543" s="81" t="n"/>
      <c r="Q2543" s="81" t="n"/>
      <c r="R2543" s="81" t="n"/>
      <c r="S2543" s="81" t="n"/>
      <c r="T2543" s="81" t="n"/>
      <c r="U2543" s="81" t="n"/>
      <c r="V2543" s="81" t="n"/>
      <c r="W2543" s="43" t="n"/>
    </row>
    <row r="2544">
      <c r="A2544" s="43" t="inlineStr">
        <is>
          <t>N32</t>
        </is>
      </c>
      <c r="B2544" s="43" t="inlineStr"/>
      <c r="C2544" s="43" t="inlineStr">
        <is>
          <t>节段13</t>
        </is>
      </c>
      <c r="D2544" s="43" t="inlineStr">
        <is>
          <t>Q355D</t>
        </is>
      </c>
      <c r="E2544" s="43" t="n">
        <v>12358</v>
      </c>
      <c r="F2544" s="43" t="n">
        <v>1200</v>
      </c>
      <c r="G2544" s="43" t="n">
        <v>32</v>
      </c>
      <c r="H2544" s="79">
        <f>(E2544/1000)*(F2544/1000)*(G2544/1000)*7850</f>
        <v/>
      </c>
      <c r="I2544" s="43" t="n">
        <v>1</v>
      </c>
      <c r="J2544" s="80">
        <f>H2544*I2544</f>
        <v/>
      </c>
      <c r="K2544" s="43" t="inlineStr">
        <is>
          <t>来源页191</t>
        </is>
      </c>
      <c r="L2544" s="43">
        <f>A2544</f>
        <v/>
      </c>
      <c r="M2544" s="81" t="n"/>
      <c r="N2544" s="81" t="n"/>
      <c r="O2544" s="81" t="n"/>
      <c r="P2544" s="81" t="n"/>
      <c r="Q2544" s="81" t="n"/>
      <c r="R2544" s="81" t="n"/>
      <c r="S2544" s="81" t="n"/>
      <c r="T2544" s="81" t="n"/>
      <c r="U2544" s="81" t="n"/>
      <c r="V2544" s="81" t="n"/>
      <c r="W2544" s="43" t="n"/>
    </row>
    <row r="2545">
      <c r="A2545" s="43" t="inlineStr">
        <is>
          <t>N33</t>
        </is>
      </c>
      <c r="B2545" s="43" t="inlineStr"/>
      <c r="C2545" s="43" t="inlineStr">
        <is>
          <t>节段13</t>
        </is>
      </c>
      <c r="D2545" s="43" t="inlineStr">
        <is>
          <t>Q355D</t>
        </is>
      </c>
      <c r="E2545" s="43" t="n">
        <v>10958</v>
      </c>
      <c r="F2545" s="43" t="n">
        <v>240</v>
      </c>
      <c r="G2545" s="43" t="n">
        <v>24</v>
      </c>
      <c r="H2545" s="79">
        <f>(E2545/1000)*(F2545/1000)*(G2545/1000)*7850</f>
        <v/>
      </c>
      <c r="I2545" s="43" t="n">
        <v>2</v>
      </c>
      <c r="J2545" s="80">
        <f>H2545*I2545</f>
        <v/>
      </c>
      <c r="K2545" s="43" t="inlineStr">
        <is>
          <t>来源页191</t>
        </is>
      </c>
      <c r="L2545" s="43">
        <f>A2545</f>
        <v/>
      </c>
      <c r="M2545" s="81" t="n"/>
      <c r="N2545" s="81" t="n"/>
      <c r="O2545" s="81" t="n"/>
      <c r="P2545" s="81" t="n"/>
      <c r="Q2545" s="81" t="n"/>
      <c r="R2545" s="81" t="n"/>
      <c r="S2545" s="81" t="n"/>
      <c r="T2545" s="81" t="n"/>
      <c r="U2545" s="81" t="n"/>
      <c r="V2545" s="81" t="n"/>
      <c r="W2545" s="43" t="n"/>
    </row>
    <row r="2546">
      <c r="A2546" s="43" t="inlineStr">
        <is>
          <t>N41</t>
        </is>
      </c>
      <c r="B2546" s="43" t="inlineStr"/>
      <c r="C2546" s="43" t="inlineStr">
        <is>
          <t>节段13</t>
        </is>
      </c>
      <c r="D2546" s="43" t="inlineStr">
        <is>
          <t>Q355D</t>
        </is>
      </c>
      <c r="E2546" s="43" t="n">
        <v>5482</v>
      </c>
      <c r="F2546" s="43" t="n">
        <v>1200</v>
      </c>
      <c r="G2546" s="43" t="n">
        <v>36</v>
      </c>
      <c r="H2546" s="79">
        <f>(E2546/1000)*(F2546/1000)*(G2546/1000)*7850</f>
        <v/>
      </c>
      <c r="I2546" s="43" t="n">
        <v>1</v>
      </c>
      <c r="J2546" s="80">
        <f>H2546*I2546</f>
        <v/>
      </c>
      <c r="K2546" s="43" t="inlineStr">
        <is>
          <t>来源页191</t>
        </is>
      </c>
      <c r="L2546" s="43">
        <f>A2546</f>
        <v/>
      </c>
      <c r="M2546" s="81" t="n"/>
      <c r="N2546" s="81" t="n"/>
      <c r="O2546" s="81" t="n"/>
      <c r="P2546" s="81" t="n"/>
      <c r="Q2546" s="81" t="n"/>
      <c r="R2546" s="81" t="n"/>
      <c r="S2546" s="81" t="n"/>
      <c r="T2546" s="81" t="n"/>
      <c r="U2546" s="81" t="n"/>
      <c r="V2546" s="81" t="n"/>
      <c r="W2546" s="43" t="n"/>
    </row>
    <row r="2547">
      <c r="A2547" s="43" t="inlineStr">
        <is>
          <t>N41a</t>
        </is>
      </c>
      <c r="B2547" s="43" t="inlineStr"/>
      <c r="C2547" s="43" t="inlineStr">
        <is>
          <t>节段13</t>
        </is>
      </c>
      <c r="D2547" s="43" t="inlineStr">
        <is>
          <t>Q355D</t>
        </is>
      </c>
      <c r="E2547" s="43" t="n">
        <v>5782</v>
      </c>
      <c r="F2547" s="43" t="n">
        <v>1200</v>
      </c>
      <c r="G2547" s="43" t="n">
        <v>36</v>
      </c>
      <c r="H2547" s="79">
        <f>(E2547/1000)*(F2547/1000)*(G2547/1000)*7850</f>
        <v/>
      </c>
      <c r="I2547" s="43" t="n">
        <v>1</v>
      </c>
      <c r="J2547" s="80">
        <f>H2547*I2547</f>
        <v/>
      </c>
      <c r="K2547" s="43" t="inlineStr">
        <is>
          <t>来源页191</t>
        </is>
      </c>
      <c r="L2547" s="43">
        <f>A2547</f>
        <v/>
      </c>
      <c r="M2547" s="81" t="n"/>
      <c r="N2547" s="81" t="n"/>
      <c r="O2547" s="81" t="n"/>
      <c r="P2547" s="81" t="n"/>
      <c r="Q2547" s="81" t="n"/>
      <c r="R2547" s="81" t="n"/>
      <c r="S2547" s="81" t="n"/>
      <c r="T2547" s="81" t="n"/>
      <c r="U2547" s="81" t="n"/>
      <c r="V2547" s="81" t="n"/>
      <c r="W2547" s="43" t="n"/>
    </row>
    <row r="2548">
      <c r="A2548" s="43" t="inlineStr">
        <is>
          <t>N42</t>
        </is>
      </c>
      <c r="B2548" s="43" t="inlineStr"/>
      <c r="C2548" s="43" t="inlineStr">
        <is>
          <t>节段13</t>
        </is>
      </c>
      <c r="D2548" s="43" t="inlineStr">
        <is>
          <t>Q355D</t>
        </is>
      </c>
      <c r="E2548" s="43" t="n">
        <v>3682</v>
      </c>
      <c r="F2548" s="43" t="n">
        <v>1360</v>
      </c>
      <c r="G2548" s="43" t="n">
        <v>36</v>
      </c>
      <c r="H2548" s="79">
        <f>(E2548/1000)*(F2548/1000)*(G2548/1000)*7850</f>
        <v/>
      </c>
      <c r="I2548" s="43" t="n">
        <v>2</v>
      </c>
      <c r="J2548" s="80">
        <f>H2548*I2548</f>
        <v/>
      </c>
      <c r="K2548" s="43" t="inlineStr">
        <is>
          <t>来源页191</t>
        </is>
      </c>
      <c r="L2548" s="43">
        <f>A2548</f>
        <v/>
      </c>
      <c r="M2548" s="81" t="n"/>
      <c r="N2548" s="81" t="n"/>
      <c r="O2548" s="81" t="n"/>
      <c r="P2548" s="81" t="n"/>
      <c r="Q2548" s="81" t="n"/>
      <c r="R2548" s="81" t="n"/>
      <c r="S2548" s="81" t="n"/>
      <c r="T2548" s="81" t="n"/>
      <c r="U2548" s="81" t="n"/>
      <c r="V2548" s="81" t="n"/>
      <c r="W2548" s="43" t="n"/>
    </row>
    <row r="2549">
      <c r="A2549" s="43" t="inlineStr">
        <is>
          <t>N43</t>
        </is>
      </c>
      <c r="B2549" s="43" t="inlineStr"/>
      <c r="C2549" s="43" t="inlineStr">
        <is>
          <t>节段13</t>
        </is>
      </c>
      <c r="D2549" s="43" t="inlineStr">
        <is>
          <t>Q355D</t>
        </is>
      </c>
      <c r="E2549" s="43" t="n">
        <v>3682</v>
      </c>
      <c r="F2549" s="43" t="n">
        <v>320</v>
      </c>
      <c r="G2549" s="43" t="n">
        <v>32</v>
      </c>
      <c r="H2549" s="79">
        <f>(E2549/1000)*(F2549/1000)*(G2549/1000)*7850</f>
        <v/>
      </c>
      <c r="I2549" s="43" t="n">
        <v>2</v>
      </c>
      <c r="J2549" s="80">
        <f>H2549*I2549</f>
        <v/>
      </c>
      <c r="K2549" s="43" t="inlineStr">
        <is>
          <t>来源页191</t>
        </is>
      </c>
      <c r="L2549" s="43">
        <f>A2549</f>
        <v/>
      </c>
      <c r="M2549" s="81" t="n"/>
      <c r="N2549" s="81" t="n"/>
      <c r="O2549" s="81" t="n"/>
      <c r="P2549" s="81" t="n"/>
      <c r="Q2549" s="81" t="n"/>
      <c r="R2549" s="81" t="n"/>
      <c r="S2549" s="81" t="n"/>
      <c r="T2549" s="81" t="n"/>
      <c r="U2549" s="81" t="n"/>
      <c r="V2549" s="81" t="n"/>
      <c r="W2549" s="43" t="n"/>
    </row>
    <row r="2550">
      <c r="A2550" s="43" t="inlineStr">
        <is>
          <t>N43a</t>
        </is>
      </c>
      <c r="B2550" s="43" t="inlineStr"/>
      <c r="C2550" s="43" t="inlineStr">
        <is>
          <t>节段13</t>
        </is>
      </c>
      <c r="D2550" s="43" t="inlineStr">
        <is>
          <t>Q355D</t>
        </is>
      </c>
      <c r="E2550" s="43" t="n">
        <v>4782</v>
      </c>
      <c r="F2550" s="43" t="n">
        <v>320</v>
      </c>
      <c r="G2550" s="43" t="n">
        <v>32</v>
      </c>
      <c r="H2550" s="79">
        <f>(E2550/1000)*(F2550/1000)*(G2550/1000)*7850</f>
        <v/>
      </c>
      <c r="I2550" s="43" t="n">
        <v>1</v>
      </c>
      <c r="J2550" s="80">
        <f>H2550*I2550</f>
        <v/>
      </c>
      <c r="K2550" s="43" t="inlineStr">
        <is>
          <t>来源页191</t>
        </is>
      </c>
      <c r="L2550" s="43">
        <f>A2550</f>
        <v/>
      </c>
      <c r="M2550" s="81" t="n"/>
      <c r="N2550" s="81" t="n"/>
      <c r="O2550" s="81" t="n"/>
      <c r="P2550" s="81" t="n"/>
      <c r="Q2550" s="81" t="n"/>
      <c r="R2550" s="81" t="n"/>
      <c r="S2550" s="81" t="n"/>
      <c r="T2550" s="81" t="n"/>
      <c r="U2550" s="81" t="n"/>
      <c r="V2550" s="81" t="n"/>
      <c r="W2550" s="43" t="n"/>
    </row>
    <row r="2551">
      <c r="A2551" s="43" t="inlineStr">
        <is>
          <t>N43b</t>
        </is>
      </c>
      <c r="B2551" s="43" t="inlineStr"/>
      <c r="C2551" s="43" t="inlineStr">
        <is>
          <t>节段13</t>
        </is>
      </c>
      <c r="D2551" s="43" t="inlineStr">
        <is>
          <t>Q355D</t>
        </is>
      </c>
      <c r="E2551" s="43" t="n">
        <v>5082</v>
      </c>
      <c r="F2551" s="43" t="n">
        <v>320</v>
      </c>
      <c r="G2551" s="43" t="n">
        <v>32</v>
      </c>
      <c r="H2551" s="79">
        <f>(E2551/1000)*(F2551/1000)*(G2551/1000)*7850</f>
        <v/>
      </c>
      <c r="I2551" s="43" t="n">
        <v>1</v>
      </c>
      <c r="J2551" s="80">
        <f>H2551*I2551</f>
        <v/>
      </c>
      <c r="K2551" s="43" t="inlineStr">
        <is>
          <t>来源页191</t>
        </is>
      </c>
      <c r="L2551" s="43">
        <f>A2551</f>
        <v/>
      </c>
      <c r="M2551" s="81" t="n"/>
      <c r="N2551" s="81" t="n"/>
      <c r="O2551" s="81" t="n"/>
      <c r="P2551" s="81" t="n"/>
      <c r="Q2551" s="81" t="n"/>
      <c r="R2551" s="81" t="n"/>
      <c r="S2551" s="81" t="n"/>
      <c r="T2551" s="81" t="n"/>
      <c r="U2551" s="81" t="n"/>
      <c r="V2551" s="81" t="n"/>
      <c r="W2551" s="43" t="n"/>
    </row>
    <row r="2552">
      <c r="A2552" s="43" t="inlineStr">
        <is>
          <t>N44</t>
        </is>
      </c>
      <c r="B2552" s="43" t="inlineStr"/>
      <c r="C2552" s="43" t="inlineStr">
        <is>
          <t>节段13</t>
        </is>
      </c>
      <c r="D2552" s="43" t="inlineStr">
        <is>
          <t>Q355D</t>
        </is>
      </c>
      <c r="E2552" s="43" t="n">
        <v>1200</v>
      </c>
      <c r="F2552" s="43" t="n">
        <v>1200</v>
      </c>
      <c r="G2552" s="43" t="n">
        <v>16</v>
      </c>
      <c r="H2552" s="79">
        <f>(E2552/1000)*(F2552/1000)*(G2552/1000)*7850</f>
        <v/>
      </c>
      <c r="I2552" s="43" t="n">
        <v>3</v>
      </c>
      <c r="J2552" s="80">
        <f>H2552*I2552</f>
        <v/>
      </c>
      <c r="K2552" s="43" t="inlineStr">
        <is>
          <t>来源页191</t>
        </is>
      </c>
      <c r="L2552" s="43">
        <f>A2552</f>
        <v/>
      </c>
      <c r="M2552" s="81" t="n"/>
      <c r="N2552" s="81" t="n"/>
      <c r="O2552" s="81" t="n"/>
      <c r="P2552" s="81" t="n"/>
      <c r="Q2552" s="81" t="n"/>
      <c r="R2552" s="81" t="n"/>
      <c r="S2552" s="81" t="n"/>
      <c r="T2552" s="81" t="n"/>
      <c r="U2552" s="81" t="n"/>
      <c r="V2552" s="81" t="n"/>
      <c r="W2552" s="43" t="n"/>
    </row>
    <row r="2553">
      <c r="A2553" s="43" t="inlineStr">
        <is>
          <t>N51</t>
        </is>
      </c>
      <c r="B2553" s="43" t="inlineStr"/>
      <c r="C2553" s="43" t="inlineStr">
        <is>
          <t>节段13</t>
        </is>
      </c>
      <c r="D2553" s="43" t="inlineStr">
        <is>
          <t>Q355D</t>
        </is>
      </c>
      <c r="E2553" s="43" t="n">
        <v>3714</v>
      </c>
      <c r="F2553" s="43" t="n">
        <v>900</v>
      </c>
      <c r="G2553" s="43" t="n">
        <v>36</v>
      </c>
      <c r="H2553" s="79">
        <f>(E2553/1000)*(F2553/1000)*(G2553/1000)*7850</f>
        <v/>
      </c>
      <c r="I2553" s="43" t="n">
        <v>2</v>
      </c>
      <c r="J2553" s="80">
        <f>H2553*I2553</f>
        <v/>
      </c>
      <c r="K2553" s="43" t="inlineStr">
        <is>
          <t>来源页191</t>
        </is>
      </c>
      <c r="L2553" s="43">
        <f>A2553</f>
        <v/>
      </c>
      <c r="M2553" s="81" t="n"/>
      <c r="N2553" s="81" t="n"/>
      <c r="O2553" s="81" t="n"/>
      <c r="P2553" s="81" t="n"/>
      <c r="Q2553" s="81" t="n"/>
      <c r="R2553" s="81" t="n"/>
      <c r="S2553" s="81" t="n"/>
      <c r="T2553" s="81" t="n"/>
      <c r="U2553" s="81" t="n"/>
      <c r="V2553" s="81" t="n"/>
      <c r="W2553" s="43" t="n"/>
    </row>
    <row r="2554">
      <c r="A2554" s="43" t="inlineStr">
        <is>
          <t>N52</t>
        </is>
      </c>
      <c r="B2554" s="43" t="inlineStr"/>
      <c r="C2554" s="43" t="inlineStr">
        <is>
          <t>节段13</t>
        </is>
      </c>
      <c r="D2554" s="43" t="inlineStr">
        <is>
          <t>Q355D</t>
        </is>
      </c>
      <c r="E2554" s="43" t="n">
        <v>6314</v>
      </c>
      <c r="F2554" s="43" t="n">
        <v>1200</v>
      </c>
      <c r="G2554" s="43" t="n">
        <v>32</v>
      </c>
      <c r="H2554" s="79">
        <f>(E2554/1000)*(F2554/1000)*(G2554/1000)*7850</f>
        <v/>
      </c>
      <c r="I2554" s="43" t="n">
        <v>1</v>
      </c>
      <c r="J2554" s="80">
        <f>H2554*I2554</f>
        <v/>
      </c>
      <c r="K2554" s="43" t="inlineStr">
        <is>
          <t>来源页191</t>
        </is>
      </c>
      <c r="L2554" s="43">
        <f>A2554</f>
        <v/>
      </c>
      <c r="M2554" s="81" t="n"/>
      <c r="N2554" s="81" t="n"/>
      <c r="O2554" s="81" t="n"/>
      <c r="P2554" s="81" t="n"/>
      <c r="Q2554" s="81" t="n"/>
      <c r="R2554" s="81" t="n"/>
      <c r="S2554" s="81" t="n"/>
      <c r="T2554" s="81" t="n"/>
      <c r="U2554" s="81" t="n"/>
      <c r="V2554" s="81" t="n"/>
      <c r="W2554" s="43" t="n"/>
    </row>
    <row r="2555">
      <c r="A2555" s="43" t="inlineStr">
        <is>
          <t>N53</t>
        </is>
      </c>
      <c r="B2555" s="43" t="inlineStr"/>
      <c r="C2555" s="43" t="inlineStr">
        <is>
          <t>节段13</t>
        </is>
      </c>
      <c r="D2555" s="43" t="inlineStr">
        <is>
          <t>Q355D</t>
        </is>
      </c>
      <c r="E2555" s="43" t="n">
        <v>4914</v>
      </c>
      <c r="F2555" s="43" t="n">
        <v>240</v>
      </c>
      <c r="G2555" s="43" t="n">
        <v>24</v>
      </c>
      <c r="H2555" s="79">
        <f>(E2555/1000)*(F2555/1000)*(G2555/1000)*7850</f>
        <v/>
      </c>
      <c r="I2555" s="43" t="n">
        <v>2</v>
      </c>
      <c r="J2555" s="80">
        <f>H2555*I2555</f>
        <v/>
      </c>
      <c r="K2555" s="43" t="inlineStr">
        <is>
          <t>来源页191</t>
        </is>
      </c>
      <c r="L2555" s="43">
        <f>A2555</f>
        <v/>
      </c>
      <c r="M2555" s="81" t="n"/>
      <c r="N2555" s="81" t="n"/>
      <c r="O2555" s="81" t="n"/>
      <c r="P2555" s="81" t="n"/>
      <c r="Q2555" s="81" t="n"/>
      <c r="R2555" s="81" t="n"/>
      <c r="S2555" s="81" t="n"/>
      <c r="T2555" s="81" t="n"/>
      <c r="U2555" s="81" t="n"/>
      <c r="V2555" s="81" t="n"/>
      <c r="W2555" s="43" t="n"/>
    </row>
    <row r="2556">
      <c r="A2556" s="43" t="inlineStr">
        <is>
          <t>N54</t>
        </is>
      </c>
      <c r="B2556" s="43" t="inlineStr"/>
      <c r="C2556" s="43" t="inlineStr">
        <is>
          <t>节段13</t>
        </is>
      </c>
      <c r="D2556" s="43" t="inlineStr">
        <is>
          <t>Q355D</t>
        </is>
      </c>
      <c r="E2556" s="43" t="n">
        <v>2300</v>
      </c>
      <c r="F2556" s="43" t="n">
        <v>320</v>
      </c>
      <c r="G2556" s="43" t="n">
        <v>32</v>
      </c>
      <c r="H2556" s="79">
        <f>(E2556/1000)*(F2556/1000)*(G2556/1000)*7850</f>
        <v/>
      </c>
      <c r="I2556" s="43" t="n">
        <v>2</v>
      </c>
      <c r="J2556" s="80">
        <f>H2556*I2556</f>
        <v/>
      </c>
      <c r="K2556" s="43" t="inlineStr">
        <is>
          <t>来源页191</t>
        </is>
      </c>
      <c r="L2556" s="43">
        <f>A2556</f>
        <v/>
      </c>
      <c r="M2556" s="81" t="n"/>
      <c r="N2556" s="81" t="n"/>
      <c r="O2556" s="81" t="n"/>
      <c r="P2556" s="81" t="n"/>
      <c r="Q2556" s="81" t="n"/>
      <c r="R2556" s="81" t="n"/>
      <c r="S2556" s="81" t="n"/>
      <c r="T2556" s="81" t="n"/>
      <c r="U2556" s="81" t="n"/>
      <c r="V2556" s="81" t="n"/>
      <c r="W2556" s="43" t="n"/>
    </row>
    <row r="2557">
      <c r="A2557" s="43" t="inlineStr">
        <is>
          <t>N55</t>
        </is>
      </c>
      <c r="B2557" s="43" t="inlineStr"/>
      <c r="C2557" s="43" t="inlineStr">
        <is>
          <t>节段13</t>
        </is>
      </c>
      <c r="D2557" s="43" t="inlineStr">
        <is>
          <t>Q355D</t>
        </is>
      </c>
      <c r="E2557" s="43" t="n">
        <v>1056</v>
      </c>
      <c r="F2557" s="43" t="n">
        <v>1200</v>
      </c>
      <c r="G2557" s="43" t="n">
        <v>20</v>
      </c>
      <c r="H2557" s="79">
        <f>(E2557/1000)*(F2557/1000)*(G2557/1000)*7850</f>
        <v/>
      </c>
      <c r="I2557" s="43" t="n">
        <v>1</v>
      </c>
      <c r="J2557" s="80">
        <f>H2557*I2557</f>
        <v/>
      </c>
      <c r="K2557" s="43" t="inlineStr">
        <is>
          <t>来源页191</t>
        </is>
      </c>
      <c r="L2557" s="43">
        <f>A2557</f>
        <v/>
      </c>
      <c r="M2557" s="81" t="n"/>
      <c r="N2557" s="81" t="n"/>
      <c r="O2557" s="81" t="n"/>
      <c r="P2557" s="81" t="n"/>
      <c r="Q2557" s="81" t="n"/>
      <c r="R2557" s="81" t="n"/>
      <c r="S2557" s="81" t="n"/>
      <c r="T2557" s="81" t="n"/>
      <c r="U2557" s="81" t="n"/>
      <c r="V2557" s="81" t="n"/>
      <c r="W2557" s="43" t="n"/>
    </row>
    <row r="2558">
      <c r="A2558" s="43" t="inlineStr">
        <is>
          <t>N61</t>
        </is>
      </c>
      <c r="B2558" s="43" t="inlineStr"/>
      <c r="C2558" s="43" t="inlineStr">
        <is>
          <t>节段13</t>
        </is>
      </c>
      <c r="D2558" s="43" t="inlineStr">
        <is>
          <t>Q355D</t>
        </is>
      </c>
      <c r="E2558" s="43" t="n">
        <v>1580</v>
      </c>
      <c r="F2558" s="43" t="n">
        <v>610</v>
      </c>
      <c r="G2558" s="43" t="n">
        <v>14</v>
      </c>
      <c r="H2558" s="79">
        <f>(E2558/1000)*(F2558/1000)*(G2558/1000)*7850</f>
        <v/>
      </c>
      <c r="I2558" s="43" t="n">
        <v>3</v>
      </c>
      <c r="J2558" s="80">
        <f>H2558*I2558</f>
        <v/>
      </c>
      <c r="K2558" s="43" t="inlineStr">
        <is>
          <t>来源页191</t>
        </is>
      </c>
      <c r="L2558" s="43">
        <f>A2558</f>
        <v/>
      </c>
      <c r="M2558" s="81" t="n"/>
      <c r="N2558" s="81" t="n"/>
      <c r="O2558" s="81" t="n"/>
      <c r="P2558" s="81" t="n"/>
      <c r="Q2558" s="81" t="n"/>
      <c r="R2558" s="81" t="n"/>
      <c r="S2558" s="81" t="n"/>
      <c r="T2558" s="81" t="n"/>
      <c r="U2558" s="81" t="n"/>
      <c r="V2558" s="81" t="n"/>
      <c r="W2558" s="43" t="n"/>
    </row>
    <row r="2559">
      <c r="A2559" s="43" t="inlineStr">
        <is>
          <t>N61a</t>
        </is>
      </c>
      <c r="B2559" s="43" t="inlineStr"/>
      <c r="C2559" s="43" t="inlineStr">
        <is>
          <t>节段13</t>
        </is>
      </c>
      <c r="D2559" s="43" t="inlineStr">
        <is>
          <t>Q355D</t>
        </is>
      </c>
      <c r="E2559" s="43" t="n">
        <v>1580</v>
      </c>
      <c r="F2559" s="43" t="n">
        <v>622</v>
      </c>
      <c r="G2559" s="43" t="n">
        <v>14</v>
      </c>
      <c r="H2559" s="79">
        <f>(E2559/1000)*(F2559/1000)*(G2559/1000)*7850</f>
        <v/>
      </c>
      <c r="I2559" s="43" t="n">
        <v>2</v>
      </c>
      <c r="J2559" s="80">
        <f>H2559*I2559</f>
        <v/>
      </c>
      <c r="K2559" s="43" t="inlineStr">
        <is>
          <t>来源页191</t>
        </is>
      </c>
      <c r="L2559" s="43">
        <f>A2559</f>
        <v/>
      </c>
      <c r="M2559" s="81" t="n"/>
      <c r="N2559" s="81" t="n"/>
      <c r="O2559" s="81" t="n"/>
      <c r="P2559" s="81" t="n"/>
      <c r="Q2559" s="81" t="n"/>
      <c r="R2559" s="81" t="n"/>
      <c r="S2559" s="81" t="n"/>
      <c r="T2559" s="81" t="n"/>
      <c r="U2559" s="81" t="n"/>
      <c r="V2559" s="81" t="n"/>
      <c r="W2559" s="43" t="n"/>
    </row>
    <row r="2560">
      <c r="A2560" s="43" t="inlineStr">
        <is>
          <t>N62</t>
        </is>
      </c>
      <c r="B2560" s="43" t="inlineStr"/>
      <c r="C2560" s="43" t="inlineStr">
        <is>
          <t>节段13</t>
        </is>
      </c>
      <c r="D2560" s="43" t="inlineStr">
        <is>
          <t>Q355D</t>
        </is>
      </c>
      <c r="E2560" s="43" t="n"/>
      <c r="F2560" s="43" t="n"/>
      <c r="G2560" s="43" t="n">
        <v>24</v>
      </c>
      <c r="H2560" s="79">
        <f>(E2560/1000)*(F2560/1000)*(G2560/1000)*7850</f>
        <v/>
      </c>
      <c r="I2560" s="43" t="n">
        <v>3</v>
      </c>
      <c r="J2560" s="80">
        <f>H2560*I2560</f>
        <v/>
      </c>
      <c r="K2560" s="43" t="inlineStr">
        <is>
          <t>来源页191</t>
        </is>
      </c>
      <c r="L2560" s="43">
        <f>A2560</f>
        <v/>
      </c>
      <c r="M2560" s="81" t="n"/>
      <c r="N2560" s="81" t="n"/>
      <c r="O2560" s="81" t="n"/>
      <c r="P2560" s="81" t="n"/>
      <c r="Q2560" s="81" t="n"/>
      <c r="R2560" s="81" t="n"/>
      <c r="S2560" s="81" t="n"/>
      <c r="T2560" s="81" t="n"/>
      <c r="U2560" s="81" t="n"/>
      <c r="V2560" s="81" t="n"/>
      <c r="W2560" s="43" t="n"/>
    </row>
    <row r="2561">
      <c r="A2561" s="43" t="inlineStr">
        <is>
          <t>N62a</t>
        </is>
      </c>
      <c r="B2561" s="43" t="inlineStr"/>
      <c r="C2561" s="43" t="inlineStr">
        <is>
          <t>节段13</t>
        </is>
      </c>
      <c r="D2561" s="43" t="inlineStr">
        <is>
          <t>Q355D</t>
        </is>
      </c>
      <c r="E2561" s="43" t="n"/>
      <c r="F2561" s="43" t="n"/>
      <c r="G2561" s="43" t="n">
        <v>24</v>
      </c>
      <c r="H2561" s="79">
        <f>(E2561/1000)*(F2561/1000)*(G2561/1000)*7850</f>
        <v/>
      </c>
      <c r="I2561" s="43" t="n">
        <v>2</v>
      </c>
      <c r="J2561" s="80">
        <f>H2561*I2561</f>
        <v/>
      </c>
      <c r="K2561" s="43" t="inlineStr">
        <is>
          <t>来源页191</t>
        </is>
      </c>
      <c r="L2561" s="43">
        <f>A2561</f>
        <v/>
      </c>
      <c r="M2561" s="81" t="n"/>
      <c r="N2561" s="81" t="n"/>
      <c r="O2561" s="81" t="n"/>
      <c r="P2561" s="81" t="n"/>
      <c r="Q2561" s="81" t="n"/>
      <c r="R2561" s="81" t="n"/>
      <c r="S2561" s="81" t="n"/>
      <c r="T2561" s="81" t="n"/>
      <c r="U2561" s="81" t="n"/>
      <c r="V2561" s="81" t="n"/>
      <c r="W2561" s="43" t="n"/>
    </row>
    <row r="2562">
      <c r="A2562" s="43" t="inlineStr">
        <is>
          <t>N63</t>
        </is>
      </c>
      <c r="B2562" s="43" t="inlineStr"/>
      <c r="C2562" s="43" t="inlineStr">
        <is>
          <t>节段13</t>
        </is>
      </c>
      <c r="D2562" s="43" t="inlineStr">
        <is>
          <t>Q355D</t>
        </is>
      </c>
      <c r="E2562" s="43" t="n">
        <v>1450</v>
      </c>
      <c r="F2562" s="43" t="n">
        <v>606</v>
      </c>
      <c r="G2562" s="43" t="n">
        <v>14</v>
      </c>
      <c r="H2562" s="79">
        <f>(E2562/1000)*(F2562/1000)*(G2562/1000)*7850</f>
        <v/>
      </c>
      <c r="I2562" s="43" t="n">
        <v>3</v>
      </c>
      <c r="J2562" s="80">
        <f>H2562*I2562</f>
        <v/>
      </c>
      <c r="K2562" s="43" t="inlineStr">
        <is>
          <t>来源页191</t>
        </is>
      </c>
      <c r="L2562" s="43">
        <f>A2562</f>
        <v/>
      </c>
      <c r="M2562" s="81" t="n"/>
      <c r="N2562" s="81" t="n"/>
      <c r="O2562" s="81" t="n"/>
      <c r="P2562" s="81" t="n"/>
      <c r="Q2562" s="81" t="n"/>
      <c r="R2562" s="81" t="n"/>
      <c r="S2562" s="81" t="n"/>
      <c r="T2562" s="81" t="n"/>
      <c r="U2562" s="81" t="n"/>
      <c r="V2562" s="81" t="n"/>
      <c r="W2562" s="43" t="n"/>
    </row>
    <row r="2563">
      <c r="A2563" s="43" t="inlineStr">
        <is>
          <t>N63a</t>
        </is>
      </c>
      <c r="B2563" s="43" t="inlineStr"/>
      <c r="C2563" s="43" t="inlineStr">
        <is>
          <t>节段13</t>
        </is>
      </c>
      <c r="D2563" s="43" t="inlineStr">
        <is>
          <t>Q355D</t>
        </is>
      </c>
      <c r="E2563" s="43" t="n">
        <v>1450</v>
      </c>
      <c r="F2563" s="43" t="n">
        <v>618</v>
      </c>
      <c r="G2563" s="43" t="n">
        <v>14</v>
      </c>
      <c r="H2563" s="79">
        <f>(E2563/1000)*(F2563/1000)*(G2563/1000)*7850</f>
        <v/>
      </c>
      <c r="I2563" s="43" t="n">
        <v>2</v>
      </c>
      <c r="J2563" s="80">
        <f>H2563*I2563</f>
        <v/>
      </c>
      <c r="K2563" s="43" t="inlineStr">
        <is>
          <t>来源页191</t>
        </is>
      </c>
      <c r="L2563" s="43">
        <f>A2563</f>
        <v/>
      </c>
      <c r="M2563" s="81" t="n"/>
      <c r="N2563" s="81" t="n"/>
      <c r="O2563" s="81" t="n"/>
      <c r="P2563" s="81" t="n"/>
      <c r="Q2563" s="81" t="n"/>
      <c r="R2563" s="81" t="n"/>
      <c r="S2563" s="81" t="n"/>
      <c r="T2563" s="81" t="n"/>
      <c r="U2563" s="81" t="n"/>
      <c r="V2563" s="81" t="n"/>
      <c r="W2563" s="43" t="n"/>
    </row>
    <row r="2564">
      <c r="A2564" s="43" t="inlineStr">
        <is>
          <t>P1</t>
        </is>
      </c>
      <c r="B2564" s="43" t="inlineStr">
        <is>
          <t>上弦杆拼接</t>
        </is>
      </c>
      <c r="C2564" s="43" t="inlineStr"/>
      <c r="D2564" s="43" t="inlineStr">
        <is>
          <t>Q355D</t>
        </is>
      </c>
      <c r="E2564" s="43" t="n">
        <v>1020</v>
      </c>
      <c r="F2564" s="43" t="n">
        <v>1400</v>
      </c>
      <c r="G2564" s="43" t="n">
        <v>24</v>
      </c>
      <c r="H2564" s="79">
        <f>(E2564/1000)*(F2564/1000)*(G2564/1000)*7850</f>
        <v/>
      </c>
      <c r="I2564" s="43" t="n">
        <v>2</v>
      </c>
      <c r="J2564" s="80">
        <f>H2564*I2564</f>
        <v/>
      </c>
      <c r="K2564" s="43" t="inlineStr">
        <is>
          <t>来源页194</t>
        </is>
      </c>
      <c r="L2564" s="43">
        <f>A2564</f>
        <v/>
      </c>
      <c r="M2564" s="81" t="n"/>
      <c r="N2564" s="81" t="n"/>
      <c r="O2564" s="81" t="n"/>
      <c r="P2564" s="81" t="n"/>
      <c r="Q2564" s="81" t="n"/>
      <c r="R2564" s="81" t="n"/>
      <c r="S2564" s="81" t="n"/>
      <c r="T2564" s="81" t="n"/>
      <c r="U2564" s="81" t="n"/>
      <c r="V2564" s="81" t="n"/>
      <c r="W2564" s="43" t="n"/>
    </row>
    <row r="2565">
      <c r="A2565" s="43" t="inlineStr">
        <is>
          <t>P2</t>
        </is>
      </c>
      <c r="B2565" s="43" t="inlineStr">
        <is>
          <t>上弦杆拼接</t>
        </is>
      </c>
      <c r="C2565" s="43" t="inlineStr"/>
      <c r="D2565" s="43" t="inlineStr">
        <is>
          <t>Q355D</t>
        </is>
      </c>
      <c r="E2565" s="43" t="n">
        <v>1020</v>
      </c>
      <c r="F2565" s="43" t="n">
        <v>300</v>
      </c>
      <c r="G2565" s="43" t="n">
        <v>24</v>
      </c>
      <c r="H2565" s="79">
        <f>(E2565/1000)*(F2565/1000)*(G2565/1000)*7850</f>
        <v/>
      </c>
      <c r="I2565" s="43" t="n">
        <v>2</v>
      </c>
      <c r="J2565" s="80">
        <f>H2565*I2565</f>
        <v/>
      </c>
      <c r="K2565" s="43" t="inlineStr">
        <is>
          <t>来源页194</t>
        </is>
      </c>
      <c r="L2565" s="43">
        <f>A2565</f>
        <v/>
      </c>
      <c r="M2565" s="81" t="n"/>
      <c r="N2565" s="81" t="n"/>
      <c r="O2565" s="81" t="n"/>
      <c r="P2565" s="81" t="n"/>
      <c r="Q2565" s="81" t="n"/>
      <c r="R2565" s="81" t="n"/>
      <c r="S2565" s="81" t="n"/>
      <c r="T2565" s="81" t="n"/>
      <c r="U2565" s="81" t="n"/>
      <c r="V2565" s="81" t="n"/>
      <c r="W2565" s="43" t="n"/>
    </row>
    <row r="2566">
      <c r="A2566" s="43" t="inlineStr">
        <is>
          <t>P3</t>
        </is>
      </c>
      <c r="B2566" s="43" t="inlineStr">
        <is>
          <t>上弦杆拼接</t>
        </is>
      </c>
      <c r="C2566" s="43" t="inlineStr"/>
      <c r="D2566" s="43" t="inlineStr">
        <is>
          <t>Q355D</t>
        </is>
      </c>
      <c r="E2566" s="43" t="n">
        <v>1020</v>
      </c>
      <c r="F2566" s="43" t="n">
        <v>500</v>
      </c>
      <c r="G2566" s="43" t="n">
        <v>24</v>
      </c>
      <c r="H2566" s="79">
        <f>(E2566/1000)*(F2566/1000)*(G2566/1000)*7850</f>
        <v/>
      </c>
      <c r="I2566" s="43" t="n">
        <v>2</v>
      </c>
      <c r="J2566" s="80">
        <f>H2566*I2566</f>
        <v/>
      </c>
      <c r="K2566" s="43" t="inlineStr">
        <is>
          <t>来源页194</t>
        </is>
      </c>
      <c r="L2566" s="43">
        <f>A2566</f>
        <v/>
      </c>
      <c r="M2566" s="81" t="n"/>
      <c r="N2566" s="81" t="n"/>
      <c r="O2566" s="81" t="n"/>
      <c r="P2566" s="81" t="n"/>
      <c r="Q2566" s="81" t="n"/>
      <c r="R2566" s="81" t="n"/>
      <c r="S2566" s="81" t="n"/>
      <c r="T2566" s="81" t="n"/>
      <c r="U2566" s="81" t="n"/>
      <c r="V2566" s="81" t="n"/>
      <c r="W2566" s="43" t="n"/>
    </row>
    <row r="2567">
      <c r="A2567" s="43" t="inlineStr">
        <is>
          <t>P4</t>
        </is>
      </c>
      <c r="B2567" s="43" t="inlineStr">
        <is>
          <t>上弦杆拼接</t>
        </is>
      </c>
      <c r="C2567" s="43" t="inlineStr"/>
      <c r="D2567" s="43" t="inlineStr">
        <is>
          <t>Q355D</t>
        </is>
      </c>
      <c r="E2567" s="43" t="n">
        <v>1020</v>
      </c>
      <c r="F2567" s="43" t="n">
        <v>400</v>
      </c>
      <c r="G2567" s="43" t="n">
        <v>24</v>
      </c>
      <c r="H2567" s="79">
        <f>(E2567/1000)*(F2567/1000)*(G2567/1000)*7850</f>
        <v/>
      </c>
      <c r="I2567" s="43" t="n">
        <v>2</v>
      </c>
      <c r="J2567" s="80">
        <f>H2567*I2567</f>
        <v/>
      </c>
      <c r="K2567" s="43" t="inlineStr">
        <is>
          <t>来源页194</t>
        </is>
      </c>
      <c r="L2567" s="43">
        <f>A2567</f>
        <v/>
      </c>
      <c r="M2567" s="81" t="n"/>
      <c r="N2567" s="81" t="n"/>
      <c r="O2567" s="81" t="n"/>
      <c r="P2567" s="81" t="n"/>
      <c r="Q2567" s="81" t="n"/>
      <c r="R2567" s="81" t="n"/>
      <c r="S2567" s="81" t="n"/>
      <c r="T2567" s="81" t="n"/>
      <c r="U2567" s="81" t="n"/>
      <c r="V2567" s="81" t="n"/>
      <c r="W2567" s="43" t="n"/>
    </row>
    <row r="2568">
      <c r="A2568" s="43" t="inlineStr">
        <is>
          <t>P5</t>
        </is>
      </c>
      <c r="B2568" s="43" t="inlineStr">
        <is>
          <t>上弦杆拼接</t>
        </is>
      </c>
      <c r="C2568" s="43" t="inlineStr"/>
      <c r="D2568" s="43" t="inlineStr">
        <is>
          <t>Q355D</t>
        </is>
      </c>
      <c r="E2568" s="43" t="n">
        <v>1420</v>
      </c>
      <c r="F2568" s="43" t="n">
        <v>1100</v>
      </c>
      <c r="G2568" s="43" t="n">
        <v>28</v>
      </c>
      <c r="H2568" s="79">
        <f>(E2568/1000)*(F2568/1000)*(G2568/1000)*7850</f>
        <v/>
      </c>
      <c r="I2568" s="43" t="n">
        <v>1</v>
      </c>
      <c r="J2568" s="80">
        <f>H2568*I2568</f>
        <v/>
      </c>
      <c r="K2568" s="43" t="inlineStr">
        <is>
          <t>来源页194</t>
        </is>
      </c>
      <c r="L2568" s="43">
        <f>A2568</f>
        <v/>
      </c>
      <c r="M2568" s="81" t="n"/>
      <c r="N2568" s="81" t="n"/>
      <c r="O2568" s="81" t="n"/>
      <c r="P2568" s="81" t="n"/>
      <c r="Q2568" s="81" t="n"/>
      <c r="R2568" s="81" t="n"/>
      <c r="S2568" s="81" t="n"/>
      <c r="T2568" s="81" t="n"/>
      <c r="U2568" s="81" t="n"/>
      <c r="V2568" s="81" t="n"/>
      <c r="W2568" s="43" t="n"/>
    </row>
    <row r="2569">
      <c r="A2569" s="43" t="inlineStr">
        <is>
          <t>P6</t>
        </is>
      </c>
      <c r="B2569" s="43" t="inlineStr">
        <is>
          <t>上弦杆拼接</t>
        </is>
      </c>
      <c r="C2569" s="43" t="inlineStr"/>
      <c r="D2569" s="43" t="inlineStr">
        <is>
          <t>Q355D</t>
        </is>
      </c>
      <c r="E2569" s="43" t="n">
        <v>1420</v>
      </c>
      <c r="F2569" s="43" t="n">
        <v>400</v>
      </c>
      <c r="G2569" s="43" t="n">
        <v>28</v>
      </c>
      <c r="H2569" s="79">
        <f>(E2569/1000)*(F2569/1000)*(G2569/1000)*7850</f>
        <v/>
      </c>
      <c r="I2569" s="43" t="n">
        <v>2</v>
      </c>
      <c r="J2569" s="80">
        <f>H2569*I2569</f>
        <v/>
      </c>
      <c r="K2569" s="43" t="inlineStr">
        <is>
          <t>来源页194</t>
        </is>
      </c>
      <c r="L2569" s="43">
        <f>A2569</f>
        <v/>
      </c>
      <c r="M2569" s="81" t="n"/>
      <c r="N2569" s="81" t="n"/>
      <c r="O2569" s="81" t="n"/>
      <c r="P2569" s="81" t="n"/>
      <c r="Q2569" s="81" t="n"/>
      <c r="R2569" s="81" t="n"/>
      <c r="S2569" s="81" t="n"/>
      <c r="T2569" s="81" t="n"/>
      <c r="U2569" s="81" t="n"/>
      <c r="V2569" s="81" t="n"/>
      <c r="W2569" s="43" t="n"/>
    </row>
    <row r="2570">
      <c r="A2570" s="43" t="inlineStr">
        <is>
          <t>P7</t>
        </is>
      </c>
      <c r="B2570" s="43" t="inlineStr">
        <is>
          <t>上弦杆拼接</t>
        </is>
      </c>
      <c r="C2570" s="43" t="inlineStr"/>
      <c r="D2570" s="43" t="inlineStr">
        <is>
          <t>Q355D</t>
        </is>
      </c>
      <c r="E2570" s="43" t="n">
        <v>920</v>
      </c>
      <c r="F2570" s="43" t="n">
        <v>200</v>
      </c>
      <c r="G2570" s="43" t="n">
        <v>20</v>
      </c>
      <c r="H2570" s="79">
        <f>(E2570/1000)*(F2570/1000)*(G2570/1000)*7850</f>
        <v/>
      </c>
      <c r="I2570" s="43" t="n">
        <v>10</v>
      </c>
      <c r="J2570" s="80">
        <f>H2570*I2570</f>
        <v/>
      </c>
      <c r="K2570" s="43" t="inlineStr">
        <is>
          <t>来源页194</t>
        </is>
      </c>
      <c r="L2570" s="43">
        <f>A2570</f>
        <v/>
      </c>
      <c r="M2570" s="81" t="n"/>
      <c r="N2570" s="81" t="n"/>
      <c r="O2570" s="81" t="n"/>
      <c r="P2570" s="81" t="n"/>
      <c r="Q2570" s="81" t="n"/>
      <c r="R2570" s="81" t="n"/>
      <c r="S2570" s="81" t="n"/>
      <c r="T2570" s="81" t="n"/>
      <c r="U2570" s="81" t="n"/>
      <c r="V2570" s="81" t="n"/>
      <c r="W2570" s="43" t="n"/>
    </row>
    <row r="2571">
      <c r="A2571" s="43" t="inlineStr">
        <is>
          <t>P8</t>
        </is>
      </c>
      <c r="B2571" s="43" t="inlineStr">
        <is>
          <t>上弦杆拼接</t>
        </is>
      </c>
      <c r="C2571" s="43" t="inlineStr"/>
      <c r="D2571" s="43" t="inlineStr">
        <is>
          <t>Q355D</t>
        </is>
      </c>
      <c r="E2571" s="43" t="n">
        <v>600</v>
      </c>
      <c r="F2571" s="43" t="n">
        <v>1800</v>
      </c>
      <c r="G2571" s="43" t="n">
        <v>12</v>
      </c>
      <c r="H2571" s="79">
        <f>(E2571/1000)*(F2571/1000)*(G2571/1000)*7850</f>
        <v/>
      </c>
      <c r="I2571" s="43" t="n">
        <v>2</v>
      </c>
      <c r="J2571" s="80">
        <f>H2571*I2571</f>
        <v/>
      </c>
      <c r="K2571" s="43" t="inlineStr">
        <is>
          <t>填板；来源页194</t>
        </is>
      </c>
      <c r="L2571" s="43">
        <f>A2571</f>
        <v/>
      </c>
      <c r="M2571" s="81" t="n"/>
      <c r="N2571" s="81" t="n"/>
      <c r="O2571" s="81" t="n"/>
      <c r="P2571" s="81" t="n"/>
      <c r="Q2571" s="81" t="n"/>
      <c r="R2571" s="81" t="n"/>
      <c r="S2571" s="81" t="n"/>
      <c r="T2571" s="81" t="n"/>
      <c r="U2571" s="81" t="n"/>
      <c r="V2571" s="81" t="n"/>
      <c r="W2571" s="43" t="n"/>
    </row>
    <row r="2572">
      <c r="A2572" s="43" t="inlineStr">
        <is>
          <t>P9</t>
        </is>
      </c>
      <c r="B2572" s="43" t="inlineStr">
        <is>
          <t>上弦杆拼接</t>
        </is>
      </c>
      <c r="C2572" s="43" t="inlineStr"/>
      <c r="D2572" s="43" t="inlineStr">
        <is>
          <t>Q355D</t>
        </is>
      </c>
      <c r="E2572" s="43" t="n">
        <v>700</v>
      </c>
      <c r="F2572" s="43" t="n">
        <v>1100</v>
      </c>
      <c r="G2572" s="43" t="n">
        <v>4</v>
      </c>
      <c r="H2572" s="79">
        <f>(E2572/1000)*(F2572/1000)*(G2572/1000)*7850</f>
        <v/>
      </c>
      <c r="I2572" s="43" t="n">
        <v>1</v>
      </c>
      <c r="J2572" s="80">
        <f>H2572*I2572</f>
        <v/>
      </c>
      <c r="K2572" s="43" t="inlineStr">
        <is>
          <t>填板；来源页194</t>
        </is>
      </c>
      <c r="L2572" s="43">
        <f>A2572</f>
        <v/>
      </c>
      <c r="M2572" s="81" t="n"/>
      <c r="N2572" s="81" t="n"/>
      <c r="O2572" s="81" t="n"/>
      <c r="P2572" s="81" t="n"/>
      <c r="Q2572" s="81" t="n"/>
      <c r="R2572" s="81" t="n"/>
      <c r="S2572" s="81" t="n"/>
      <c r="T2572" s="81" t="n"/>
      <c r="U2572" s="81" t="n"/>
      <c r="V2572" s="81" t="n"/>
      <c r="W2572" s="43" t="n"/>
    </row>
    <row r="2573">
      <c r="A2573" s="43" t="inlineStr">
        <is>
          <t>M30高强螺栓</t>
        </is>
      </c>
      <c r="B2573" s="43" t="inlineStr">
        <is>
          <t>上弦杆拼接</t>
        </is>
      </c>
      <c r="C2573" s="43" t="inlineStr"/>
      <c r="D2573" s="43" t="inlineStr">
        <is>
          <t>10.9S</t>
        </is>
      </c>
      <c r="E2573" s="43" t="n"/>
      <c r="F2573" s="43" t="n"/>
      <c r="G2573" s="43" t="n"/>
      <c r="H2573" s="79">
        <f>(E2573/1000)*(F2573/1000)*(G2573/1000)*7850</f>
        <v/>
      </c>
      <c r="I2573" s="43" t="n">
        <v>380</v>
      </c>
      <c r="J2573" s="80">
        <f>H2573*I2573</f>
        <v/>
      </c>
      <c r="K2573" s="43" t="inlineStr">
        <is>
          <t>来源页194</t>
        </is>
      </c>
      <c r="L2573" s="43">
        <f>A2573</f>
        <v/>
      </c>
      <c r="M2573" s="81" t="n"/>
      <c r="N2573" s="81" t="n"/>
      <c r="O2573" s="81" t="n"/>
      <c r="P2573" s="81" t="n"/>
      <c r="Q2573" s="81" t="n"/>
      <c r="R2573" s="81" t="n"/>
      <c r="S2573" s="81" t="n"/>
      <c r="T2573" s="81" t="n"/>
      <c r="U2573" s="81" t="n"/>
      <c r="V2573" s="81" t="n"/>
      <c r="W2573" s="43" t="n"/>
    </row>
    <row r="2574">
      <c r="A2574" s="43" t="inlineStr">
        <is>
          <t>K1</t>
        </is>
      </c>
      <c r="B2574" s="43" t="inlineStr">
        <is>
          <t>下弦杆拼接</t>
        </is>
      </c>
      <c r="C2574" s="43" t="inlineStr"/>
      <c r="D2574" s="43" t="inlineStr">
        <is>
          <t>Q355D</t>
        </is>
      </c>
      <c r="E2574" s="43" t="n">
        <v>1020</v>
      </c>
      <c r="F2574" s="43" t="n">
        <v>1300</v>
      </c>
      <c r="G2574" s="43" t="n">
        <v>24</v>
      </c>
      <c r="H2574" s="79">
        <f>(E2574/1000)*(F2574/1000)*(G2574/1000)*7850</f>
        <v/>
      </c>
      <c r="I2574" s="43" t="n">
        <v>2</v>
      </c>
      <c r="J2574" s="80">
        <f>H2574*I2574</f>
        <v/>
      </c>
      <c r="K2574" s="43" t="inlineStr">
        <is>
          <t>来源页194</t>
        </is>
      </c>
      <c r="L2574" s="43">
        <f>A2574</f>
        <v/>
      </c>
      <c r="M2574" s="81" t="n"/>
      <c r="N2574" s="81" t="n"/>
      <c r="O2574" s="81" t="n"/>
      <c r="P2574" s="81" t="n"/>
      <c r="Q2574" s="81" t="n"/>
      <c r="R2574" s="81" t="n"/>
      <c r="S2574" s="81" t="n"/>
      <c r="T2574" s="81" t="n"/>
      <c r="U2574" s="81" t="n"/>
      <c r="V2574" s="81" t="n"/>
      <c r="W2574" s="43" t="n"/>
    </row>
    <row r="2575">
      <c r="A2575" s="43" t="inlineStr">
        <is>
          <t>K2</t>
        </is>
      </c>
      <c r="B2575" s="43" t="inlineStr">
        <is>
          <t>下弦杆拼接</t>
        </is>
      </c>
      <c r="C2575" s="43" t="inlineStr"/>
      <c r="D2575" s="43" t="inlineStr">
        <is>
          <t>Q355D</t>
        </is>
      </c>
      <c r="E2575" s="43" t="n">
        <v>1020</v>
      </c>
      <c r="F2575" s="43" t="n">
        <v>600</v>
      </c>
      <c r="G2575" s="43" t="n">
        <v>24</v>
      </c>
      <c r="H2575" s="79">
        <f>(E2575/1000)*(F2575/1000)*(G2575/1000)*7850</f>
        <v/>
      </c>
      <c r="I2575" s="43" t="n">
        <v>4</v>
      </c>
      <c r="J2575" s="80">
        <f>H2575*I2575</f>
        <v/>
      </c>
      <c r="K2575" s="43" t="inlineStr">
        <is>
          <t>来源页194</t>
        </is>
      </c>
      <c r="L2575" s="43">
        <f>A2575</f>
        <v/>
      </c>
      <c r="M2575" s="81" t="n"/>
      <c r="N2575" s="81" t="n"/>
      <c r="O2575" s="81" t="n"/>
      <c r="P2575" s="81" t="n"/>
      <c r="Q2575" s="81" t="n"/>
      <c r="R2575" s="81" t="n"/>
      <c r="S2575" s="81" t="n"/>
      <c r="T2575" s="81" t="n"/>
      <c r="U2575" s="81" t="n"/>
      <c r="V2575" s="81" t="n"/>
      <c r="W2575" s="43" t="n"/>
    </row>
    <row r="2576">
      <c r="A2576" s="43" t="inlineStr">
        <is>
          <t>K3</t>
        </is>
      </c>
      <c r="B2576" s="43" t="inlineStr">
        <is>
          <t>下弦杆拼接</t>
        </is>
      </c>
      <c r="C2576" s="43" t="inlineStr"/>
      <c r="D2576" s="43" t="inlineStr">
        <is>
          <t>Q355D</t>
        </is>
      </c>
      <c r="E2576" s="43" t="n">
        <v>1320</v>
      </c>
      <c r="F2576" s="43" t="n">
        <v>1100</v>
      </c>
      <c r="G2576" s="43" t="n">
        <v>36</v>
      </c>
      <c r="H2576" s="79">
        <f>(E2576/1000)*(F2576/1000)*(G2576/1000)*7850</f>
        <v/>
      </c>
      <c r="I2576" s="43" t="n">
        <v>1</v>
      </c>
      <c r="J2576" s="80">
        <f>H2576*I2576</f>
        <v/>
      </c>
      <c r="K2576" s="43" t="inlineStr">
        <is>
          <t>来源页194</t>
        </is>
      </c>
      <c r="L2576" s="43">
        <f>A2576</f>
        <v/>
      </c>
      <c r="M2576" s="81" t="n"/>
      <c r="N2576" s="81" t="n"/>
      <c r="O2576" s="81" t="n"/>
      <c r="P2576" s="81" t="n"/>
      <c r="Q2576" s="81" t="n"/>
      <c r="R2576" s="81" t="n"/>
      <c r="S2576" s="81" t="n"/>
      <c r="T2576" s="81" t="n"/>
      <c r="U2576" s="81" t="n"/>
      <c r="V2576" s="81" t="n"/>
      <c r="W2576" s="43" t="n"/>
    </row>
    <row r="2577">
      <c r="A2577" s="43" t="inlineStr">
        <is>
          <t>K4</t>
        </is>
      </c>
      <c r="B2577" s="43" t="inlineStr">
        <is>
          <t>下弦杆拼接</t>
        </is>
      </c>
      <c r="C2577" s="43" t="inlineStr"/>
      <c r="D2577" s="43" t="inlineStr">
        <is>
          <t>Q355D</t>
        </is>
      </c>
      <c r="E2577" s="43" t="n">
        <v>1320</v>
      </c>
      <c r="F2577" s="43" t="n">
        <v>400</v>
      </c>
      <c r="G2577" s="43" t="n">
        <v>36</v>
      </c>
      <c r="H2577" s="79">
        <f>(E2577/1000)*(F2577/1000)*(G2577/1000)*7850</f>
        <v/>
      </c>
      <c r="I2577" s="43" t="n">
        <v>2</v>
      </c>
      <c r="J2577" s="80">
        <f>H2577*I2577</f>
        <v/>
      </c>
      <c r="K2577" s="43" t="inlineStr">
        <is>
          <t>来源页194</t>
        </is>
      </c>
      <c r="L2577" s="43">
        <f>A2577</f>
        <v/>
      </c>
      <c r="M2577" s="81" t="n"/>
      <c r="N2577" s="81" t="n"/>
      <c r="O2577" s="81" t="n"/>
      <c r="P2577" s="81" t="n"/>
      <c r="Q2577" s="81" t="n"/>
      <c r="R2577" s="81" t="n"/>
      <c r="S2577" s="81" t="n"/>
      <c r="T2577" s="81" t="n"/>
      <c r="U2577" s="81" t="n"/>
      <c r="V2577" s="81" t="n"/>
      <c r="W2577" s="43" t="n"/>
    </row>
    <row r="2578">
      <c r="A2578" s="43" t="inlineStr">
        <is>
          <t>K6</t>
        </is>
      </c>
      <c r="B2578" s="43" t="inlineStr">
        <is>
          <t>下弦杆拼接</t>
        </is>
      </c>
      <c r="C2578" s="43" t="inlineStr"/>
      <c r="D2578" s="43" t="inlineStr">
        <is>
          <t>Q355D</t>
        </is>
      </c>
      <c r="E2578" s="43" t="n">
        <v>500</v>
      </c>
      <c r="F2578" s="43" t="n">
        <v>1700</v>
      </c>
      <c r="G2578" s="43" t="n">
        <v>8</v>
      </c>
      <c r="H2578" s="79">
        <f>(E2578/1000)*(F2578/1000)*(G2578/1000)*7850</f>
        <v/>
      </c>
      <c r="I2578" s="43" t="n">
        <v>2</v>
      </c>
      <c r="J2578" s="80">
        <f>H2578*I2578</f>
        <v/>
      </c>
      <c r="K2578" s="43" t="inlineStr">
        <is>
          <t>填板；来源页194</t>
        </is>
      </c>
      <c r="L2578" s="43">
        <f>A2578</f>
        <v/>
      </c>
      <c r="M2578" s="81" t="n"/>
      <c r="N2578" s="81" t="n"/>
      <c r="O2578" s="81" t="n"/>
      <c r="P2578" s="81" t="n"/>
      <c r="Q2578" s="81" t="n"/>
      <c r="R2578" s="81" t="n"/>
      <c r="S2578" s="81" t="n"/>
      <c r="T2578" s="81" t="n"/>
      <c r="U2578" s="81" t="n"/>
      <c r="V2578" s="81" t="n"/>
      <c r="W2578" s="43" t="n"/>
    </row>
    <row r="2579">
      <c r="A2579" s="43" t="inlineStr">
        <is>
          <t>K7</t>
        </is>
      </c>
      <c r="B2579" s="43" t="inlineStr">
        <is>
          <t>下弦杆拼接</t>
        </is>
      </c>
      <c r="C2579" s="43" t="inlineStr"/>
      <c r="D2579" s="43" t="inlineStr">
        <is>
          <t>Q355D</t>
        </is>
      </c>
      <c r="E2579" s="43" t="n">
        <v>650</v>
      </c>
      <c r="F2579" s="43" t="n">
        <v>1100</v>
      </c>
      <c r="G2579" s="43" t="n">
        <v>4</v>
      </c>
      <c r="H2579" s="79">
        <f>(E2579/1000)*(F2579/1000)*(G2579/1000)*7850</f>
        <v/>
      </c>
      <c r="I2579" s="43" t="n">
        <v>1</v>
      </c>
      <c r="J2579" s="80">
        <f>H2579*I2579</f>
        <v/>
      </c>
      <c r="K2579" s="43" t="inlineStr">
        <is>
          <t>填板；来源页194</t>
        </is>
      </c>
      <c r="L2579" s="43">
        <f>A2579</f>
        <v/>
      </c>
      <c r="M2579" s="81" t="n"/>
      <c r="N2579" s="81" t="n"/>
      <c r="O2579" s="81" t="n"/>
      <c r="P2579" s="81" t="n"/>
      <c r="Q2579" s="81" t="n"/>
      <c r="R2579" s="81" t="n"/>
      <c r="S2579" s="81" t="n"/>
      <c r="T2579" s="81" t="n"/>
      <c r="U2579" s="81" t="n"/>
      <c r="V2579" s="81" t="n"/>
      <c r="W2579" s="43" t="n"/>
    </row>
    <row r="2580">
      <c r="A2580" s="43" t="inlineStr">
        <is>
          <t>M30高强螺栓</t>
        </is>
      </c>
      <c r="B2580" s="43" t="inlineStr">
        <is>
          <t>下弦杆拼接</t>
        </is>
      </c>
      <c r="C2580" s="43" t="inlineStr"/>
      <c r="D2580" s="43" t="inlineStr">
        <is>
          <t>10.9S</t>
        </is>
      </c>
      <c r="E2580" s="43" t="n"/>
      <c r="F2580" s="43" t="n"/>
      <c r="G2580" s="43" t="n"/>
      <c r="H2580" s="79">
        <f>(E2580/1000)*(F2580/1000)*(G2580/1000)*7850</f>
        <v/>
      </c>
      <c r="I2580" s="43" t="n">
        <v>344</v>
      </c>
      <c r="J2580" s="80">
        <f>H2580*I2580</f>
        <v/>
      </c>
      <c r="K2580" s="43" t="inlineStr">
        <is>
          <t>来源页194</t>
        </is>
      </c>
      <c r="L2580" s="43">
        <f>A2580</f>
        <v/>
      </c>
      <c r="M2580" s="81" t="n"/>
      <c r="N2580" s="81" t="n"/>
      <c r="O2580" s="81" t="n"/>
      <c r="P2580" s="81" t="n"/>
      <c r="Q2580" s="81" t="n"/>
      <c r="R2580" s="81" t="n"/>
      <c r="S2580" s="81" t="n"/>
      <c r="T2580" s="81" t="n"/>
      <c r="U2580" s="81" t="n"/>
      <c r="V2580" s="81" t="n"/>
      <c r="W2580" s="43" t="n"/>
    </row>
    <row r="2581">
      <c r="A2581" s="43" t="inlineStr">
        <is>
          <t>L1</t>
        </is>
      </c>
      <c r="B2581" s="43" t="inlineStr">
        <is>
          <t>腹杆拼接</t>
        </is>
      </c>
      <c r="C2581" s="43" t="inlineStr"/>
      <c r="D2581" s="43" t="inlineStr">
        <is>
          <t>Q355D</t>
        </is>
      </c>
      <c r="E2581" s="43" t="n">
        <v>1520</v>
      </c>
      <c r="F2581" s="43" t="n">
        <v>1100</v>
      </c>
      <c r="G2581" s="43" t="n">
        <v>24</v>
      </c>
      <c r="H2581" s="79">
        <f>(E2581/1000)*(F2581/1000)*(G2581/1000)*7850</f>
        <v/>
      </c>
      <c r="I2581" s="43" t="n">
        <v>2</v>
      </c>
      <c r="J2581" s="80">
        <f>H2581*I2581</f>
        <v/>
      </c>
      <c r="K2581" s="43" t="inlineStr">
        <is>
          <t>来源页194</t>
        </is>
      </c>
      <c r="L2581" s="43">
        <f>A2581</f>
        <v/>
      </c>
      <c r="M2581" s="81" t="n"/>
      <c r="N2581" s="81" t="n"/>
      <c r="O2581" s="81" t="n"/>
      <c r="P2581" s="81" t="n"/>
      <c r="Q2581" s="81" t="n"/>
      <c r="R2581" s="81" t="n"/>
      <c r="S2581" s="81" t="n"/>
      <c r="T2581" s="81" t="n"/>
      <c r="U2581" s="81" t="n"/>
      <c r="V2581" s="81" t="n"/>
      <c r="W2581" s="43" t="n"/>
    </row>
    <row r="2582">
      <c r="A2582" s="43" t="inlineStr">
        <is>
          <t>L2</t>
        </is>
      </c>
      <c r="B2582" s="43" t="inlineStr">
        <is>
          <t>腹杆拼接</t>
        </is>
      </c>
      <c r="C2582" s="43" t="inlineStr"/>
      <c r="D2582" s="43" t="inlineStr">
        <is>
          <t>Q355D</t>
        </is>
      </c>
      <c r="E2582" s="43" t="n">
        <v>1520</v>
      </c>
      <c r="F2582" s="43" t="n">
        <v>500</v>
      </c>
      <c r="G2582" s="43" t="n">
        <v>24</v>
      </c>
      <c r="H2582" s="79">
        <f>(E2582/1000)*(F2582/1000)*(G2582/1000)*7850</f>
        <v/>
      </c>
      <c r="I2582" s="43" t="n">
        <v>4</v>
      </c>
      <c r="J2582" s="80">
        <f>H2582*I2582</f>
        <v/>
      </c>
      <c r="K2582" s="43" t="inlineStr">
        <is>
          <t>来源页194</t>
        </is>
      </c>
      <c r="L2582" s="43">
        <f>A2582</f>
        <v/>
      </c>
      <c r="M2582" s="81" t="n"/>
      <c r="N2582" s="81" t="n"/>
      <c r="O2582" s="81" t="n"/>
      <c r="P2582" s="81" t="n"/>
      <c r="Q2582" s="81" t="n"/>
      <c r="R2582" s="81" t="n"/>
      <c r="S2582" s="81" t="n"/>
      <c r="T2582" s="81" t="n"/>
      <c r="U2582" s="81" t="n"/>
      <c r="V2582" s="81" t="n"/>
      <c r="W2582" s="43" t="n"/>
    </row>
    <row r="2583">
      <c r="A2583" s="43" t="inlineStr">
        <is>
          <t>L3</t>
        </is>
      </c>
      <c r="B2583" s="43" t="inlineStr">
        <is>
          <t>腹杆拼接</t>
        </is>
      </c>
      <c r="C2583" s="43" t="inlineStr"/>
      <c r="D2583" s="43" t="inlineStr">
        <is>
          <t>Q355D</t>
        </is>
      </c>
      <c r="E2583" s="43" t="n">
        <v>1320</v>
      </c>
      <c r="F2583" s="43" t="n">
        <v>1100</v>
      </c>
      <c r="G2583" s="43" t="n">
        <v>28</v>
      </c>
      <c r="H2583" s="79">
        <f>(E2583/1000)*(F2583/1000)*(G2583/1000)*7850</f>
        <v/>
      </c>
      <c r="I2583" s="43" t="n">
        <v>1</v>
      </c>
      <c r="J2583" s="80">
        <f>H2583*I2583</f>
        <v/>
      </c>
      <c r="K2583" s="43" t="inlineStr">
        <is>
          <t>来源页194</t>
        </is>
      </c>
      <c r="L2583" s="43">
        <f>A2583</f>
        <v/>
      </c>
      <c r="M2583" s="81" t="n"/>
      <c r="N2583" s="81" t="n"/>
      <c r="O2583" s="81" t="n"/>
      <c r="P2583" s="81" t="n"/>
      <c r="Q2583" s="81" t="n"/>
      <c r="R2583" s="81" t="n"/>
      <c r="S2583" s="81" t="n"/>
      <c r="T2583" s="81" t="n"/>
      <c r="U2583" s="81" t="n"/>
      <c r="V2583" s="81" t="n"/>
      <c r="W2583" s="43" t="n"/>
    </row>
    <row r="2584">
      <c r="A2584" s="43" t="inlineStr">
        <is>
          <t>L4</t>
        </is>
      </c>
      <c r="B2584" s="43" t="inlineStr">
        <is>
          <t>腹杆拼接</t>
        </is>
      </c>
      <c r="C2584" s="43" t="inlineStr"/>
      <c r="D2584" s="43" t="inlineStr">
        <is>
          <t>Q355D</t>
        </is>
      </c>
      <c r="E2584" s="43" t="n">
        <v>1320</v>
      </c>
      <c r="F2584" s="43" t="n">
        <v>500</v>
      </c>
      <c r="G2584" s="43" t="n">
        <v>28</v>
      </c>
      <c r="H2584" s="79">
        <f>(E2584/1000)*(F2584/1000)*(G2584/1000)*7850</f>
        <v/>
      </c>
      <c r="I2584" s="43" t="n">
        <v>2</v>
      </c>
      <c r="J2584" s="80">
        <f>H2584*I2584</f>
        <v/>
      </c>
      <c r="K2584" s="43" t="inlineStr">
        <is>
          <t>来源页194</t>
        </is>
      </c>
      <c r="L2584" s="43">
        <f>A2584</f>
        <v/>
      </c>
      <c r="M2584" s="81" t="n"/>
      <c r="N2584" s="81" t="n"/>
      <c r="O2584" s="81" t="n"/>
      <c r="P2584" s="81" t="n"/>
      <c r="Q2584" s="81" t="n"/>
      <c r="R2584" s="81" t="n"/>
      <c r="S2584" s="81" t="n"/>
      <c r="T2584" s="81" t="n"/>
      <c r="U2584" s="81" t="n"/>
      <c r="V2584" s="81" t="n"/>
      <c r="W2584" s="43" t="n"/>
    </row>
    <row r="2585">
      <c r="A2585" s="43" t="inlineStr">
        <is>
          <t>L5</t>
        </is>
      </c>
      <c r="B2585" s="43" t="inlineStr">
        <is>
          <t>腹杆拼接</t>
        </is>
      </c>
      <c r="C2585" s="43" t="inlineStr"/>
      <c r="D2585" s="43" t="inlineStr">
        <is>
          <t>Q355D</t>
        </is>
      </c>
      <c r="E2585" s="43" t="n">
        <v>1520</v>
      </c>
      <c r="F2585" s="43" t="n">
        <v>1100</v>
      </c>
      <c r="G2585" s="43" t="n">
        <v>44</v>
      </c>
      <c r="H2585" s="79">
        <f>(E2585/1000)*(F2585/1000)*(G2585/1000)*7850</f>
        <v/>
      </c>
      <c r="I2585" s="43" t="n">
        <v>1</v>
      </c>
      <c r="J2585" s="80">
        <f>H2585*I2585</f>
        <v/>
      </c>
      <c r="K2585" s="43" t="inlineStr">
        <is>
          <t>来源页194</t>
        </is>
      </c>
      <c r="L2585" s="43">
        <f>A2585</f>
        <v/>
      </c>
      <c r="M2585" s="81" t="n"/>
      <c r="N2585" s="81" t="n"/>
      <c r="O2585" s="81" t="n"/>
      <c r="P2585" s="81" t="n"/>
      <c r="Q2585" s="81" t="n"/>
      <c r="R2585" s="81" t="n"/>
      <c r="S2585" s="81" t="n"/>
      <c r="T2585" s="81" t="n"/>
      <c r="U2585" s="81" t="n"/>
      <c r="V2585" s="81" t="n"/>
      <c r="W2585" s="43" t="n"/>
    </row>
    <row r="2586">
      <c r="A2586" s="43" t="inlineStr">
        <is>
          <t>L6</t>
        </is>
      </c>
      <c r="B2586" s="43" t="inlineStr">
        <is>
          <t>腹杆拼接</t>
        </is>
      </c>
      <c r="C2586" s="43" t="inlineStr"/>
      <c r="D2586" s="43" t="inlineStr">
        <is>
          <t>Q355D</t>
        </is>
      </c>
      <c r="E2586" s="43" t="n">
        <v>1520</v>
      </c>
      <c r="F2586" s="43" t="n">
        <v>240</v>
      </c>
      <c r="G2586" s="43" t="n">
        <v>44</v>
      </c>
      <c r="H2586" s="79">
        <f>(E2586/1000)*(F2586/1000)*(G2586/1000)*7850</f>
        <v/>
      </c>
      <c r="I2586" s="43" t="n">
        <v>2</v>
      </c>
      <c r="J2586" s="80">
        <f>H2586*I2586</f>
        <v/>
      </c>
      <c r="K2586" s="43" t="inlineStr">
        <is>
          <t>来源页194</t>
        </is>
      </c>
      <c r="L2586" s="43">
        <f>A2586</f>
        <v/>
      </c>
      <c r="M2586" s="81" t="n"/>
      <c r="N2586" s="81" t="n"/>
      <c r="O2586" s="81" t="n"/>
      <c r="P2586" s="81" t="n"/>
      <c r="Q2586" s="81" t="n"/>
      <c r="R2586" s="81" t="n"/>
      <c r="S2586" s="81" t="n"/>
      <c r="T2586" s="81" t="n"/>
      <c r="U2586" s="81" t="n"/>
      <c r="V2586" s="81" t="n"/>
      <c r="W2586" s="43" t="n"/>
    </row>
    <row r="2587">
      <c r="A2587" s="43" t="inlineStr">
        <is>
          <t>L7</t>
        </is>
      </c>
      <c r="B2587" s="43" t="inlineStr">
        <is>
          <t>腹杆拼接</t>
        </is>
      </c>
      <c r="C2587" s="43" t="inlineStr"/>
      <c r="D2587" s="43" t="inlineStr">
        <is>
          <t>Q355D</t>
        </is>
      </c>
      <c r="E2587" s="43" t="n">
        <v>1220</v>
      </c>
      <c r="F2587" s="43" t="n">
        <v>240</v>
      </c>
      <c r="G2587" s="43" t="n">
        <v>24</v>
      </c>
      <c r="H2587" s="79">
        <f>(E2587/1000)*(F2587/1000)*(G2587/1000)*7850</f>
        <v/>
      </c>
      <c r="I2587" s="43" t="n">
        <v>4</v>
      </c>
      <c r="J2587" s="80">
        <f>H2587*I2587</f>
        <v/>
      </c>
      <c r="K2587" s="43" t="inlineStr">
        <is>
          <t>来源页194</t>
        </is>
      </c>
      <c r="L2587" s="43">
        <f>A2587</f>
        <v/>
      </c>
      <c r="M2587" s="81" t="n"/>
      <c r="N2587" s="81" t="n"/>
      <c r="O2587" s="81" t="n"/>
      <c r="P2587" s="81" t="n"/>
      <c r="Q2587" s="81" t="n"/>
      <c r="R2587" s="81" t="n"/>
      <c r="S2587" s="81" t="n"/>
      <c r="T2587" s="81" t="n"/>
      <c r="U2587" s="81" t="n"/>
      <c r="V2587" s="81" t="n"/>
      <c r="W2587" s="43" t="n"/>
    </row>
    <row r="2588">
      <c r="A2588" s="43" t="inlineStr">
        <is>
          <t>L8</t>
        </is>
      </c>
      <c r="B2588" s="43" t="inlineStr">
        <is>
          <t>腹杆拼接</t>
        </is>
      </c>
      <c r="C2588" s="43" t="inlineStr"/>
      <c r="D2588" s="43" t="inlineStr">
        <is>
          <t>Q355D</t>
        </is>
      </c>
      <c r="E2588" s="43" t="n">
        <v>1320</v>
      </c>
      <c r="F2588" s="43" t="n">
        <v>240</v>
      </c>
      <c r="G2588" s="43" t="n">
        <v>24</v>
      </c>
      <c r="H2588" s="79">
        <f>(E2588/1000)*(F2588/1000)*(G2588/1000)*7850</f>
        <v/>
      </c>
      <c r="I2588" s="43" t="n">
        <v>2</v>
      </c>
      <c r="J2588" s="80">
        <f>H2588*I2588</f>
        <v/>
      </c>
      <c r="K2588" s="43" t="inlineStr">
        <is>
          <t>来源页194</t>
        </is>
      </c>
      <c r="L2588" s="43">
        <f>A2588</f>
        <v/>
      </c>
      <c r="M2588" s="81" t="n"/>
      <c r="N2588" s="81" t="n"/>
      <c r="O2588" s="81" t="n"/>
      <c r="P2588" s="81" t="n"/>
      <c r="Q2588" s="81" t="n"/>
      <c r="R2588" s="81" t="n"/>
      <c r="S2588" s="81" t="n"/>
      <c r="T2588" s="81" t="n"/>
      <c r="U2588" s="81" t="n"/>
      <c r="V2588" s="81" t="n"/>
      <c r="W2588" s="43" t="n"/>
    </row>
    <row r="2589">
      <c r="A2589" s="43" t="inlineStr">
        <is>
          <t>N11a</t>
        </is>
      </c>
      <c r="B2589" s="43" t="inlineStr"/>
      <c r="C2589" s="43" t="inlineStr">
        <is>
          <t>节段14</t>
        </is>
      </c>
      <c r="D2589" s="43" t="inlineStr">
        <is>
          <t>Q355D</t>
        </is>
      </c>
      <c r="E2589" s="43" t="n"/>
      <c r="F2589" s="43" t="n"/>
      <c r="G2589" s="43" t="n">
        <v>20</v>
      </c>
      <c r="H2589" s="79">
        <f>(E2589/1000)*(F2589/1000)*(G2589/1000)*7850</f>
        <v/>
      </c>
      <c r="I2589" s="43" t="n">
        <v>1</v>
      </c>
      <c r="J2589" s="80">
        <f>H2589*I2589</f>
        <v/>
      </c>
      <c r="K2589" s="43" t="inlineStr">
        <is>
          <t>来源页195</t>
        </is>
      </c>
      <c r="L2589" s="43">
        <f>A2589</f>
        <v/>
      </c>
      <c r="M2589" s="81" t="n"/>
      <c r="N2589" s="81" t="n"/>
      <c r="O2589" s="81" t="n"/>
      <c r="P2589" s="81" t="n"/>
      <c r="Q2589" s="81" t="n"/>
      <c r="R2589" s="81" t="n"/>
      <c r="S2589" s="81" t="n"/>
      <c r="T2589" s="81" t="n"/>
      <c r="U2589" s="81" t="n"/>
      <c r="V2589" s="81" t="n"/>
      <c r="W2589" s="43" t="n"/>
    </row>
    <row r="2590">
      <c r="A2590" s="43" t="inlineStr">
        <is>
          <t>N11b</t>
        </is>
      </c>
      <c r="B2590" s="43" t="inlineStr"/>
      <c r="C2590" s="43" t="inlineStr">
        <is>
          <t>节段14</t>
        </is>
      </c>
      <c r="D2590" s="43" t="inlineStr">
        <is>
          <t>Q355D</t>
        </is>
      </c>
      <c r="E2590" s="43" t="n"/>
      <c r="F2590" s="43" t="n"/>
      <c r="G2590" s="43" t="n">
        <v>20</v>
      </c>
      <c r="H2590" s="79">
        <f>(E2590/1000)*(F2590/1000)*(G2590/1000)*7850</f>
        <v/>
      </c>
      <c r="I2590" s="43" t="n">
        <v>1</v>
      </c>
      <c r="J2590" s="80">
        <f>H2590*I2590</f>
        <v/>
      </c>
      <c r="K2590" s="43" t="inlineStr">
        <is>
          <t>来源页195</t>
        </is>
      </c>
      <c r="L2590" s="43">
        <f>A2590</f>
        <v/>
      </c>
      <c r="M2590" s="81" t="n"/>
      <c r="N2590" s="81" t="n"/>
      <c r="O2590" s="81" t="n"/>
      <c r="P2590" s="81" t="n"/>
      <c r="Q2590" s="81" t="n"/>
      <c r="R2590" s="81" t="n"/>
      <c r="S2590" s="81" t="n"/>
      <c r="T2590" s="81" t="n"/>
      <c r="U2590" s="81" t="n"/>
      <c r="V2590" s="81" t="n"/>
      <c r="W2590" s="43" t="n"/>
    </row>
    <row r="2591">
      <c r="A2591" s="43" t="inlineStr">
        <is>
          <t>N12α</t>
        </is>
      </c>
      <c r="B2591" s="43" t="inlineStr"/>
      <c r="C2591" s="43" t="inlineStr">
        <is>
          <t>节段14</t>
        </is>
      </c>
      <c r="D2591" s="43" t="inlineStr">
        <is>
          <t>Q355D</t>
        </is>
      </c>
      <c r="E2591" s="43" t="n">
        <v>7900</v>
      </c>
      <c r="F2591" s="43" t="n">
        <v>1200</v>
      </c>
      <c r="G2591" s="43" t="n">
        <v>20</v>
      </c>
      <c r="H2591" s="79">
        <f>(E2591/1000)*(F2591/1000)*(G2591/1000)*7850</f>
        <v/>
      </c>
      <c r="I2591" s="43" t="n">
        <v>1</v>
      </c>
      <c r="J2591" s="80">
        <f>H2591*I2591</f>
        <v/>
      </c>
      <c r="K2591" s="43" t="inlineStr">
        <is>
          <t>来源页195</t>
        </is>
      </c>
      <c r="L2591" s="43">
        <f>A2591</f>
        <v/>
      </c>
      <c r="M2591" s="81" t="n"/>
      <c r="N2591" s="81" t="n"/>
      <c r="O2591" s="81" t="n"/>
      <c r="P2591" s="81" t="n"/>
      <c r="Q2591" s="81" t="n"/>
      <c r="R2591" s="81" t="n"/>
      <c r="S2591" s="81" t="n"/>
      <c r="T2591" s="81" t="n"/>
      <c r="U2591" s="81" t="n"/>
      <c r="V2591" s="81" t="n"/>
      <c r="W2591" s="43" t="n"/>
    </row>
    <row r="2592">
      <c r="A2592" s="43" t="inlineStr">
        <is>
          <t>N12b</t>
        </is>
      </c>
      <c r="B2592" s="43" t="inlineStr"/>
      <c r="C2592" s="43" t="inlineStr">
        <is>
          <t>节段14</t>
        </is>
      </c>
      <c r="D2592" s="43" t="inlineStr">
        <is>
          <t>Q355D</t>
        </is>
      </c>
      <c r="E2592" s="43" t="n">
        <v>7100</v>
      </c>
      <c r="F2592" s="43" t="n">
        <v>1200</v>
      </c>
      <c r="G2592" s="43" t="n">
        <v>20</v>
      </c>
      <c r="H2592" s="79">
        <f>(E2592/1000)*(F2592/1000)*(G2592/1000)*7850</f>
        <v/>
      </c>
      <c r="I2592" s="43" t="n">
        <v>1</v>
      </c>
      <c r="J2592" s="80">
        <f>H2592*I2592</f>
        <v/>
      </c>
      <c r="K2592" s="43" t="inlineStr">
        <is>
          <t>来源页195</t>
        </is>
      </c>
      <c r="L2592" s="43">
        <f>A2592</f>
        <v/>
      </c>
      <c r="M2592" s="81" t="n"/>
      <c r="N2592" s="81" t="n"/>
      <c r="O2592" s="81" t="n"/>
      <c r="P2592" s="81" t="n"/>
      <c r="Q2592" s="81" t="n"/>
      <c r="R2592" s="81" t="n"/>
      <c r="S2592" s="81" t="n"/>
      <c r="T2592" s="81" t="n"/>
      <c r="U2592" s="81" t="n"/>
      <c r="V2592" s="81" t="n"/>
      <c r="W2592" s="43" t="n"/>
    </row>
    <row r="2593">
      <c r="A2593" s="43" t="inlineStr">
        <is>
          <t>N13</t>
        </is>
      </c>
      <c r="B2593" s="43" t="inlineStr"/>
      <c r="C2593" s="43" t="inlineStr">
        <is>
          <t>节段14</t>
        </is>
      </c>
      <c r="D2593" s="43" t="inlineStr">
        <is>
          <t>Q355D</t>
        </is>
      </c>
      <c r="E2593" s="43" t="n"/>
      <c r="F2593" s="43" t="n"/>
      <c r="G2593" s="43" t="n">
        <v>48</v>
      </c>
      <c r="H2593" s="79">
        <f>(E2593/1000)*(F2593/1000)*(G2593/1000)*7850</f>
        <v/>
      </c>
      <c r="I2593" s="43" t="n">
        <v>2</v>
      </c>
      <c r="J2593" s="80">
        <f>H2593*I2593</f>
        <v/>
      </c>
      <c r="K2593" s="43" t="inlineStr">
        <is>
          <t>来源页195</t>
        </is>
      </c>
      <c r="L2593" s="43">
        <f>A2593</f>
        <v/>
      </c>
      <c r="M2593" s="81" t="n"/>
      <c r="N2593" s="81" t="n"/>
      <c r="O2593" s="81" t="n"/>
      <c r="P2593" s="81" t="n"/>
      <c r="Q2593" s="81" t="n"/>
      <c r="R2593" s="81" t="n"/>
      <c r="S2593" s="81" t="n"/>
      <c r="T2593" s="81" t="n"/>
      <c r="U2593" s="81" t="n"/>
      <c r="V2593" s="81" t="n"/>
      <c r="W2593" s="43" t="n"/>
    </row>
    <row r="2594">
      <c r="A2594" s="43" t="inlineStr">
        <is>
          <t>N14</t>
        </is>
      </c>
      <c r="B2594" s="43" t="inlineStr"/>
      <c r="C2594" s="43" t="inlineStr">
        <is>
          <t>节段14</t>
        </is>
      </c>
      <c r="D2594" s="43" t="inlineStr">
        <is>
          <t>Q355D</t>
        </is>
      </c>
      <c r="E2594" s="43" t="n">
        <v>7300</v>
      </c>
      <c r="F2594" s="43" t="n">
        <v>1648</v>
      </c>
      <c r="G2594" s="43" t="n">
        <v>28</v>
      </c>
      <c r="H2594" s="79">
        <f>(E2594/1000)*(F2594/1000)*(G2594/1000)*7850</f>
        <v/>
      </c>
      <c r="I2594" s="43" t="n">
        <v>2</v>
      </c>
      <c r="J2594" s="80">
        <f>H2594*I2594</f>
        <v/>
      </c>
      <c r="K2594" s="43" t="inlineStr">
        <is>
          <t>来源页195</t>
        </is>
      </c>
      <c r="L2594" s="43">
        <f>A2594</f>
        <v/>
      </c>
      <c r="M2594" s="81" t="n"/>
      <c r="N2594" s="81" t="n"/>
      <c r="O2594" s="81" t="n"/>
      <c r="P2594" s="81" t="n"/>
      <c r="Q2594" s="81" t="n"/>
      <c r="R2594" s="81" t="n"/>
      <c r="S2594" s="81" t="n"/>
      <c r="T2594" s="81" t="n"/>
      <c r="U2594" s="81" t="n"/>
      <c r="V2594" s="81" t="n"/>
      <c r="W2594" s="43" t="n"/>
    </row>
    <row r="2595">
      <c r="A2595" s="43" t="inlineStr">
        <is>
          <t>N15</t>
        </is>
      </c>
      <c r="B2595" s="43" t="inlineStr"/>
      <c r="C2595" s="43" t="inlineStr">
        <is>
          <t>节段14</t>
        </is>
      </c>
      <c r="D2595" s="43" t="inlineStr">
        <is>
          <t>Q355D</t>
        </is>
      </c>
      <c r="E2595" s="43" t="n">
        <v>1580</v>
      </c>
      <c r="F2595" s="43" t="n">
        <v>1200</v>
      </c>
      <c r="G2595" s="43" t="n">
        <v>16</v>
      </c>
      <c r="H2595" s="79">
        <f>(E2595/1000)*(F2595/1000)*(G2595/1000)*7850</f>
        <v/>
      </c>
      <c r="I2595" s="43" t="n">
        <v>3</v>
      </c>
      <c r="J2595" s="80">
        <f>H2595*I2595</f>
        <v/>
      </c>
      <c r="K2595" s="43" t="inlineStr">
        <is>
          <t>来源页195</t>
        </is>
      </c>
      <c r="L2595" s="43">
        <f>A2595</f>
        <v/>
      </c>
      <c r="M2595" s="81" t="n"/>
      <c r="N2595" s="81" t="n"/>
      <c r="O2595" s="81" t="n"/>
      <c r="P2595" s="81" t="n"/>
      <c r="Q2595" s="81" t="n"/>
      <c r="R2595" s="81" t="n"/>
      <c r="S2595" s="81" t="n"/>
      <c r="T2595" s="81" t="n"/>
      <c r="U2595" s="81" t="n"/>
      <c r="V2595" s="81" t="n"/>
      <c r="W2595" s="43" t="n"/>
    </row>
    <row r="2596">
      <c r="A2596" s="43" t="inlineStr">
        <is>
          <t>N15a</t>
        </is>
      </c>
      <c r="B2596" s="43" t="inlineStr"/>
      <c r="C2596" s="43" t="inlineStr">
        <is>
          <t>节段14</t>
        </is>
      </c>
      <c r="D2596" s="43" t="inlineStr">
        <is>
          <t>Q355D</t>
        </is>
      </c>
      <c r="E2596" s="43" t="n">
        <v>1580</v>
      </c>
      <c r="F2596" s="43" t="n">
        <v>1200</v>
      </c>
      <c r="G2596" s="43" t="n">
        <v>16</v>
      </c>
      <c r="H2596" s="79">
        <f>(E2596/1000)*(F2596/1000)*(G2596/1000)*7850</f>
        <v/>
      </c>
      <c r="I2596" s="43" t="n">
        <v>2</v>
      </c>
      <c r="J2596" s="80">
        <f>H2596*I2596</f>
        <v/>
      </c>
      <c r="K2596" s="43" t="inlineStr">
        <is>
          <t>来源页195</t>
        </is>
      </c>
      <c r="L2596" s="43">
        <f>A2596</f>
        <v/>
      </c>
      <c r="M2596" s="81" t="n"/>
      <c r="N2596" s="81" t="n"/>
      <c r="O2596" s="81" t="n"/>
      <c r="P2596" s="81" t="n"/>
      <c r="Q2596" s="81" t="n"/>
      <c r="R2596" s="81" t="n"/>
      <c r="S2596" s="81" t="n"/>
      <c r="T2596" s="81" t="n"/>
      <c r="U2596" s="81" t="n"/>
      <c r="V2596" s="81" t="n"/>
      <c r="W2596" s="43" t="n"/>
    </row>
    <row r="2597">
      <c r="A2597" s="43" t="inlineStr">
        <is>
          <t>N15‘</t>
        </is>
      </c>
      <c r="B2597" s="43" t="inlineStr"/>
      <c r="C2597" s="43" t="inlineStr">
        <is>
          <t>节段14</t>
        </is>
      </c>
      <c r="D2597" s="43" t="inlineStr">
        <is>
          <t>Q355D</t>
        </is>
      </c>
      <c r="E2597" s="43" t="n">
        <v>1657</v>
      </c>
      <c r="F2597" s="43" t="n">
        <v>200</v>
      </c>
      <c r="G2597" s="43" t="n">
        <v>16</v>
      </c>
      <c r="H2597" s="79">
        <f>(E2597/1000)*(F2597/1000)*(G2597/1000)*7850</f>
        <v/>
      </c>
      <c r="I2597" s="43" t="n">
        <v>3</v>
      </c>
      <c r="J2597" s="80">
        <f>H2597*I2597</f>
        <v/>
      </c>
      <c r="K2597" s="43" t="inlineStr">
        <is>
          <t>来源页195</t>
        </is>
      </c>
      <c r="L2597" s="43">
        <f>A2597</f>
        <v/>
      </c>
      <c r="M2597" s="81" t="n"/>
      <c r="N2597" s="81" t="n"/>
      <c r="O2597" s="81" t="n"/>
      <c r="P2597" s="81" t="n"/>
      <c r="Q2597" s="81" t="n"/>
      <c r="R2597" s="81" t="n"/>
      <c r="S2597" s="81" t="n"/>
      <c r="T2597" s="81" t="n"/>
      <c r="U2597" s="81" t="n"/>
      <c r="V2597" s="81" t="n"/>
      <c r="W2597" s="43" t="n"/>
    </row>
    <row r="2598">
      <c r="A2598" s="43" t="inlineStr">
        <is>
          <t>N15b</t>
        </is>
      </c>
      <c r="B2598" s="43" t="inlineStr"/>
      <c r="C2598" s="43" t="inlineStr">
        <is>
          <t>节段14</t>
        </is>
      </c>
      <c r="D2598" s="43" t="inlineStr">
        <is>
          <t>Q355D</t>
        </is>
      </c>
      <c r="E2598" s="43" t="n">
        <v>1782</v>
      </c>
      <c r="F2598" s="43" t="n">
        <v>40</v>
      </c>
      <c r="G2598" s="43" t="n">
        <v>4</v>
      </c>
      <c r="H2598" s="79">
        <f>(E2598/1000)*(F2598/1000)*(G2598/1000)*7850</f>
        <v/>
      </c>
      <c r="I2598" s="43" t="n">
        <v>4</v>
      </c>
      <c r="J2598" s="80">
        <f>H2598*I2598</f>
        <v/>
      </c>
      <c r="K2598" s="43" t="inlineStr">
        <is>
          <t>来源页195</t>
        </is>
      </c>
      <c r="L2598" s="43">
        <f>A2598</f>
        <v/>
      </c>
      <c r="M2598" s="81" t="n"/>
      <c r="N2598" s="81" t="n"/>
      <c r="O2598" s="81" t="n"/>
      <c r="P2598" s="81" t="n"/>
      <c r="Q2598" s="81" t="n"/>
      <c r="R2598" s="81" t="n"/>
      <c r="S2598" s="81" t="n"/>
      <c r="T2598" s="81" t="n"/>
      <c r="U2598" s="81" t="n"/>
      <c r="V2598" s="81" t="n"/>
      <c r="W2598" s="43" t="n"/>
    </row>
    <row r="2599">
      <c r="A2599" s="43" t="inlineStr">
        <is>
          <t>N15c</t>
        </is>
      </c>
      <c r="B2599" s="43" t="inlineStr"/>
      <c r="C2599" s="43" t="inlineStr">
        <is>
          <t>节段14</t>
        </is>
      </c>
      <c r="D2599" s="43" t="inlineStr">
        <is>
          <t>Q355D</t>
        </is>
      </c>
      <c r="E2599" s="43" t="n">
        <v>600</v>
      </c>
      <c r="F2599" s="43" t="n">
        <v>400</v>
      </c>
      <c r="G2599" s="43" t="n">
        <v>16</v>
      </c>
      <c r="H2599" s="79">
        <f>(E2599/1000)*(F2599/1000)*(G2599/1000)*7850</f>
        <v/>
      </c>
      <c r="I2599" s="43" t="n">
        <v>4</v>
      </c>
      <c r="J2599" s="80">
        <f>H2599*I2599</f>
        <v/>
      </c>
      <c r="K2599" s="43" t="inlineStr">
        <is>
          <t>来源页195</t>
        </is>
      </c>
      <c r="L2599" s="43">
        <f>A2599</f>
        <v/>
      </c>
      <c r="M2599" s="81" t="n"/>
      <c r="N2599" s="81" t="n"/>
      <c r="O2599" s="81" t="n"/>
      <c r="P2599" s="81" t="n"/>
      <c r="Q2599" s="81" t="n"/>
      <c r="R2599" s="81" t="n"/>
      <c r="S2599" s="81" t="n"/>
      <c r="T2599" s="81" t="n"/>
      <c r="U2599" s="81" t="n"/>
      <c r="V2599" s="81" t="n"/>
      <c r="W2599" s="43" t="n"/>
    </row>
    <row r="2600">
      <c r="A2600" s="43" t="inlineStr">
        <is>
          <t>N16a</t>
        </is>
      </c>
      <c r="B2600" s="43" t="inlineStr"/>
      <c r="C2600" s="43" t="inlineStr">
        <is>
          <t>节段14</t>
        </is>
      </c>
      <c r="D2600" s="43" t="inlineStr">
        <is>
          <t>Q355D</t>
        </is>
      </c>
      <c r="E2600" s="43" t="n">
        <v>7900</v>
      </c>
      <c r="F2600" s="43" t="n">
        <v>240</v>
      </c>
      <c r="G2600" s="43" t="n">
        <v>20</v>
      </c>
      <c r="H2600" s="79">
        <f>(E2600/1000)*(F2600/1000)*(G2600/1000)*7850</f>
        <v/>
      </c>
      <c r="I2600" s="43" t="n">
        <v>6</v>
      </c>
      <c r="J2600" s="80">
        <f>H2600*I2600</f>
        <v/>
      </c>
      <c r="K2600" s="43" t="inlineStr">
        <is>
          <t>来源页195</t>
        </is>
      </c>
      <c r="L2600" s="43">
        <f>A2600</f>
        <v/>
      </c>
      <c r="M2600" s="81" t="n"/>
      <c r="N2600" s="81" t="n"/>
      <c r="O2600" s="81" t="n"/>
      <c r="P2600" s="81" t="n"/>
      <c r="Q2600" s="81" t="n"/>
      <c r="R2600" s="81" t="n"/>
      <c r="S2600" s="81" t="n"/>
      <c r="T2600" s="81" t="n"/>
      <c r="U2600" s="81" t="n"/>
      <c r="V2600" s="81" t="n"/>
      <c r="W2600" s="43" t="n"/>
    </row>
    <row r="2601">
      <c r="A2601" s="43" t="inlineStr">
        <is>
          <t>N21α</t>
        </is>
      </c>
      <c r="B2601" s="43" t="inlineStr"/>
      <c r="C2601" s="43" t="inlineStr">
        <is>
          <t>节段14</t>
        </is>
      </c>
      <c r="D2601" s="43" t="inlineStr">
        <is>
          <t>Q355D</t>
        </is>
      </c>
      <c r="E2601" s="43" t="n">
        <v>7901</v>
      </c>
      <c r="F2601" s="43" t="n">
        <v>1850</v>
      </c>
      <c r="G2601" s="43" t="n">
        <v>24</v>
      </c>
      <c r="H2601" s="79">
        <f>(E2601/1000)*(F2601/1000)*(G2601/1000)*7850</f>
        <v/>
      </c>
      <c r="I2601" s="43" t="n">
        <v>1</v>
      </c>
      <c r="J2601" s="80">
        <f>H2601*I2601</f>
        <v/>
      </c>
      <c r="K2601" s="43" t="inlineStr">
        <is>
          <t>来源页195</t>
        </is>
      </c>
      <c r="L2601" s="43">
        <f>A2601</f>
        <v/>
      </c>
      <c r="M2601" s="81" t="n"/>
      <c r="N2601" s="81" t="n"/>
      <c r="O2601" s="81" t="n"/>
      <c r="P2601" s="81" t="n"/>
      <c r="Q2601" s="81" t="n"/>
      <c r="R2601" s="81" t="n"/>
      <c r="S2601" s="81" t="n"/>
      <c r="T2601" s="81" t="n"/>
      <c r="U2601" s="81" t="n"/>
      <c r="V2601" s="81" t="n"/>
      <c r="W2601" s="43" t="n"/>
    </row>
    <row r="2602">
      <c r="A2602" s="43" t="inlineStr">
        <is>
          <t>N21b</t>
        </is>
      </c>
      <c r="B2602" s="43" t="inlineStr"/>
      <c r="C2602" s="43" t="inlineStr">
        <is>
          <t>节段14</t>
        </is>
      </c>
      <c r="D2602" s="43" t="inlineStr">
        <is>
          <t>Q355D</t>
        </is>
      </c>
      <c r="E2602" s="43" t="n">
        <v>7101</v>
      </c>
      <c r="F2602" s="43" t="n">
        <v>1850</v>
      </c>
      <c r="G2602" s="43" t="n">
        <v>24</v>
      </c>
      <c r="H2602" s="79">
        <f>(E2602/1000)*(F2602/1000)*(G2602/1000)*7850</f>
        <v/>
      </c>
      <c r="I2602" s="43" t="n">
        <v>1</v>
      </c>
      <c r="J2602" s="80">
        <f>H2602*I2602</f>
        <v/>
      </c>
      <c r="K2602" s="43" t="inlineStr">
        <is>
          <t>来源页195</t>
        </is>
      </c>
      <c r="L2602" s="43">
        <f>A2602</f>
        <v/>
      </c>
      <c r="M2602" s="81" t="n"/>
      <c r="N2602" s="81" t="n"/>
      <c r="O2602" s="81" t="n"/>
      <c r="P2602" s="81" t="n"/>
      <c r="Q2602" s="81" t="n"/>
      <c r="R2602" s="81" t="n"/>
      <c r="S2602" s="81" t="n"/>
      <c r="T2602" s="81" t="n"/>
      <c r="U2602" s="81" t="n"/>
      <c r="V2602" s="81" t="n"/>
      <c r="W2602" s="43" t="n"/>
    </row>
    <row r="2603">
      <c r="A2603" s="43" t="inlineStr">
        <is>
          <t>N22a</t>
        </is>
      </c>
      <c r="B2603" s="43" t="inlineStr"/>
      <c r="C2603" s="43" t="inlineStr">
        <is>
          <t>节段14</t>
        </is>
      </c>
      <c r="D2603" s="43" t="inlineStr">
        <is>
          <t>Q355D</t>
        </is>
      </c>
      <c r="E2603" s="43" t="n"/>
      <c r="F2603" s="43" t="n"/>
      <c r="G2603" s="43" t="n">
        <v>24</v>
      </c>
      <c r="H2603" s="79">
        <f>(E2603/1000)*(F2603/1000)*(G2603/1000)*7850</f>
        <v/>
      </c>
      <c r="I2603" s="43" t="n">
        <v>1</v>
      </c>
      <c r="J2603" s="80">
        <f>H2603*I2603</f>
        <v/>
      </c>
      <c r="K2603" s="43" t="inlineStr">
        <is>
          <t>来源页195</t>
        </is>
      </c>
      <c r="L2603" s="43">
        <f>A2603</f>
        <v/>
      </c>
      <c r="M2603" s="81" t="n"/>
      <c r="N2603" s="81" t="n"/>
      <c r="O2603" s="81" t="n"/>
      <c r="P2603" s="81" t="n"/>
      <c r="Q2603" s="81" t="n"/>
      <c r="R2603" s="81" t="n"/>
      <c r="S2603" s="81" t="n"/>
      <c r="T2603" s="81" t="n"/>
      <c r="U2603" s="81" t="n"/>
      <c r="V2603" s="81" t="n"/>
      <c r="W2603" s="43" t="n"/>
    </row>
    <row r="2604">
      <c r="A2604" s="43" t="inlineStr">
        <is>
          <t>N22b</t>
        </is>
      </c>
      <c r="B2604" s="43" t="inlineStr"/>
      <c r="C2604" s="43" t="inlineStr">
        <is>
          <t>节段14</t>
        </is>
      </c>
      <c r="D2604" s="43" t="inlineStr">
        <is>
          <t>Q355D</t>
        </is>
      </c>
      <c r="E2604" s="43" t="n"/>
      <c r="F2604" s="43" t="n"/>
      <c r="G2604" s="43" t="n">
        <v>24</v>
      </c>
      <c r="H2604" s="79">
        <f>(E2604/1000)*(F2604/1000)*(G2604/1000)*7850</f>
        <v/>
      </c>
      <c r="I2604" s="43" t="n">
        <v>1</v>
      </c>
      <c r="J2604" s="80">
        <f>H2604*I2604</f>
        <v/>
      </c>
      <c r="K2604" s="43" t="inlineStr">
        <is>
          <t>来源页195</t>
        </is>
      </c>
      <c r="L2604" s="43">
        <f>A2604</f>
        <v/>
      </c>
      <c r="M2604" s="81" t="n"/>
      <c r="N2604" s="81" t="n"/>
      <c r="O2604" s="81" t="n"/>
      <c r="P2604" s="81" t="n"/>
      <c r="Q2604" s="81" t="n"/>
      <c r="R2604" s="81" t="n"/>
      <c r="S2604" s="81" t="n"/>
      <c r="T2604" s="81" t="n"/>
      <c r="U2604" s="81" t="n"/>
      <c r="V2604" s="81" t="n"/>
      <c r="W2604" s="43" t="n"/>
    </row>
    <row r="2605">
      <c r="A2605" s="43" t="inlineStr">
        <is>
          <t>N23</t>
        </is>
      </c>
      <c r="B2605" s="43" t="inlineStr"/>
      <c r="C2605" s="43" t="inlineStr">
        <is>
          <t>节段14</t>
        </is>
      </c>
      <c r="D2605" s="43" t="inlineStr">
        <is>
          <t>Q355D</t>
        </is>
      </c>
      <c r="E2605" s="43" t="n"/>
      <c r="F2605" s="43" t="n"/>
      <c r="G2605" s="43" t="n">
        <v>44</v>
      </c>
      <c r="H2605" s="79">
        <f>(E2605/1000)*(F2605/1000)*(G2605/1000)*7850</f>
        <v/>
      </c>
      <c r="I2605" s="43" t="n">
        <v>2</v>
      </c>
      <c r="J2605" s="80">
        <f>H2605*I2605</f>
        <v/>
      </c>
      <c r="K2605" s="43" t="inlineStr">
        <is>
          <t>Z35钢；来源页195</t>
        </is>
      </c>
      <c r="L2605" s="43">
        <f>A2605</f>
        <v/>
      </c>
      <c r="M2605" s="81" t="n"/>
      <c r="N2605" s="81" t="n"/>
      <c r="O2605" s="81" t="n"/>
      <c r="P2605" s="81" t="n"/>
      <c r="Q2605" s="81" t="n"/>
      <c r="R2605" s="81" t="n"/>
      <c r="S2605" s="81" t="n"/>
      <c r="T2605" s="81" t="n"/>
      <c r="U2605" s="81" t="n"/>
      <c r="V2605" s="81" t="n"/>
      <c r="W2605" s="43" t="n"/>
    </row>
    <row r="2606">
      <c r="A2606" s="43" t="inlineStr">
        <is>
          <t>N24</t>
        </is>
      </c>
      <c r="B2606" s="43" t="inlineStr"/>
      <c r="C2606" s="43" t="inlineStr">
        <is>
          <t>节段14</t>
        </is>
      </c>
      <c r="D2606" s="43" t="inlineStr">
        <is>
          <t>Q355D</t>
        </is>
      </c>
      <c r="E2606" s="43" t="n">
        <v>7301</v>
      </c>
      <c r="F2606" s="43" t="n">
        <v>1474</v>
      </c>
      <c r="G2606" s="43" t="n">
        <v>32</v>
      </c>
      <c r="H2606" s="79">
        <f>(E2606/1000)*(F2606/1000)*(G2606/1000)*7850</f>
        <v/>
      </c>
      <c r="I2606" s="43" t="n">
        <v>2</v>
      </c>
      <c r="J2606" s="80">
        <f>H2606*I2606</f>
        <v/>
      </c>
      <c r="K2606" s="43" t="inlineStr">
        <is>
          <t>来源页195</t>
        </is>
      </c>
      <c r="L2606" s="43">
        <f>A2606</f>
        <v/>
      </c>
      <c r="M2606" s="81" t="n"/>
      <c r="N2606" s="81" t="n"/>
      <c r="O2606" s="81" t="n"/>
      <c r="P2606" s="81" t="n"/>
      <c r="Q2606" s="81" t="n"/>
      <c r="R2606" s="81" t="n"/>
      <c r="S2606" s="81" t="n"/>
      <c r="T2606" s="81" t="n"/>
      <c r="U2606" s="81" t="n"/>
      <c r="V2606" s="81" t="n"/>
      <c r="W2606" s="43" t="n"/>
    </row>
    <row r="2607">
      <c r="A2607" s="43" t="inlineStr">
        <is>
          <t>N25</t>
        </is>
      </c>
      <c r="B2607" s="43" t="inlineStr"/>
      <c r="C2607" s="43" t="inlineStr">
        <is>
          <t>节段14</t>
        </is>
      </c>
      <c r="D2607" s="43" t="inlineStr">
        <is>
          <t>Q355D</t>
        </is>
      </c>
      <c r="E2607" s="43" t="n">
        <v>1450</v>
      </c>
      <c r="F2607" s="43" t="n">
        <v>1200</v>
      </c>
      <c r="G2607" s="43" t="n">
        <v>16</v>
      </c>
      <c r="H2607" s="79">
        <f>(E2607/1000)*(F2607/1000)*(G2607/1000)*7850</f>
        <v/>
      </c>
      <c r="I2607" s="43" t="n">
        <v>3</v>
      </c>
      <c r="J2607" s="80">
        <f>H2607*I2607</f>
        <v/>
      </c>
      <c r="K2607" s="43" t="inlineStr">
        <is>
          <t>来源页195</t>
        </is>
      </c>
      <c r="L2607" s="43">
        <f>A2607</f>
        <v/>
      </c>
      <c r="M2607" s="81" t="n"/>
      <c r="N2607" s="81" t="n"/>
      <c r="O2607" s="81" t="n"/>
      <c r="P2607" s="81" t="n"/>
      <c r="Q2607" s="81" t="n"/>
      <c r="R2607" s="81" t="n"/>
      <c r="S2607" s="81" t="n"/>
      <c r="T2607" s="81" t="n"/>
      <c r="U2607" s="81" t="n"/>
      <c r="V2607" s="81" t="n"/>
      <c r="W2607" s="43" t="n"/>
    </row>
    <row r="2608">
      <c r="A2608" s="43" t="inlineStr">
        <is>
          <t>N25a</t>
        </is>
      </c>
      <c r="B2608" s="43" t="inlineStr"/>
      <c r="C2608" s="43" t="inlineStr">
        <is>
          <t>节段14</t>
        </is>
      </c>
      <c r="D2608" s="43" t="inlineStr">
        <is>
          <t>Q355D</t>
        </is>
      </c>
      <c r="E2608" s="43" t="n">
        <v>1450</v>
      </c>
      <c r="F2608" s="43" t="n">
        <v>1200</v>
      </c>
      <c r="G2608" s="43" t="n">
        <v>16</v>
      </c>
      <c r="H2608" s="79">
        <f>(E2608/1000)*(F2608/1000)*(G2608/1000)*7850</f>
        <v/>
      </c>
      <c r="I2608" s="43" t="n">
        <v>2</v>
      </c>
      <c r="J2608" s="80">
        <f>H2608*I2608</f>
        <v/>
      </c>
      <c r="K2608" s="43" t="inlineStr">
        <is>
          <t>来源页195</t>
        </is>
      </c>
      <c r="L2608" s="43">
        <f>A2608</f>
        <v/>
      </c>
      <c r="M2608" s="81" t="n"/>
      <c r="N2608" s="81" t="n"/>
      <c r="O2608" s="81" t="n"/>
      <c r="P2608" s="81" t="n"/>
      <c r="Q2608" s="81" t="n"/>
      <c r="R2608" s="81" t="n"/>
      <c r="S2608" s="81" t="n"/>
      <c r="T2608" s="81" t="n"/>
      <c r="U2608" s="81" t="n"/>
      <c r="V2608" s="81" t="n"/>
      <c r="W2608" s="43" t="n"/>
    </row>
    <row r="2609">
      <c r="A2609" s="43" t="inlineStr">
        <is>
          <t>N25'</t>
        </is>
      </c>
      <c r="B2609" s="43" t="inlineStr"/>
      <c r="C2609" s="43" t="inlineStr">
        <is>
          <t>节段14</t>
        </is>
      </c>
      <c r="D2609" s="43" t="inlineStr">
        <is>
          <t>Q355D</t>
        </is>
      </c>
      <c r="E2609" s="43" t="n">
        <v>1657</v>
      </c>
      <c r="F2609" s="43" t="n">
        <v>200</v>
      </c>
      <c r="G2609" s="43" t="n">
        <v>16</v>
      </c>
      <c r="H2609" s="79">
        <f>(E2609/1000)*(F2609/1000)*(G2609/1000)*7850</f>
        <v/>
      </c>
      <c r="I2609" s="43" t="n">
        <v>3</v>
      </c>
      <c r="J2609" s="80">
        <f>H2609*I2609</f>
        <v/>
      </c>
      <c r="K2609" s="43" t="inlineStr">
        <is>
          <t>来源页195</t>
        </is>
      </c>
      <c r="L2609" s="43">
        <f>A2609</f>
        <v/>
      </c>
      <c r="M2609" s="81" t="n"/>
      <c r="N2609" s="81" t="n"/>
      <c r="O2609" s="81" t="n"/>
      <c r="P2609" s="81" t="n"/>
      <c r="Q2609" s="81" t="n"/>
      <c r="R2609" s="81" t="n"/>
      <c r="S2609" s="81" t="n"/>
      <c r="T2609" s="81" t="n"/>
      <c r="U2609" s="81" t="n"/>
      <c r="V2609" s="81" t="n"/>
      <c r="W2609" s="43" t="n"/>
    </row>
    <row r="2610">
      <c r="A2610" s="43" t="inlineStr">
        <is>
          <t>N26a</t>
        </is>
      </c>
      <c r="B2610" s="43" t="inlineStr"/>
      <c r="C2610" s="43" t="inlineStr">
        <is>
          <t>节段14</t>
        </is>
      </c>
      <c r="D2610" s="43" t="inlineStr">
        <is>
          <t>Q355D</t>
        </is>
      </c>
      <c r="E2610" s="43" t="n">
        <v>7901</v>
      </c>
      <c r="F2610" s="43" t="n">
        <v>240</v>
      </c>
      <c r="G2610" s="43" t="n">
        <v>20</v>
      </c>
      <c r="H2610" s="79">
        <f>(E2610/1000)*(F2610/1000)*(G2610/1000)*7850</f>
        <v/>
      </c>
      <c r="I2610" s="43" t="n">
        <v>4</v>
      </c>
      <c r="J2610" s="80">
        <f>H2610*I2610</f>
        <v/>
      </c>
      <c r="K2610" s="43" t="inlineStr">
        <is>
          <t>来源页195</t>
        </is>
      </c>
      <c r="L2610" s="43">
        <f>A2610</f>
        <v/>
      </c>
      <c r="M2610" s="81" t="n"/>
      <c r="N2610" s="81" t="n"/>
      <c r="O2610" s="81" t="n"/>
      <c r="P2610" s="81" t="n"/>
      <c r="Q2610" s="81" t="n"/>
      <c r="R2610" s="81" t="n"/>
      <c r="S2610" s="81" t="n"/>
      <c r="T2610" s="81" t="n"/>
      <c r="U2610" s="81" t="n"/>
      <c r="V2610" s="81" t="n"/>
      <c r="W2610" s="43" t="n"/>
    </row>
    <row r="2611">
      <c r="A2611" s="43" t="inlineStr">
        <is>
          <t>N26b</t>
        </is>
      </c>
      <c r="B2611" s="43" t="inlineStr"/>
      <c r="C2611" s="43" t="inlineStr">
        <is>
          <t>节段14</t>
        </is>
      </c>
      <c r="D2611" s="43" t="inlineStr">
        <is>
          <t>Q355D</t>
        </is>
      </c>
      <c r="E2611" s="43" t="n">
        <v>7101</v>
      </c>
      <c r="F2611" s="43" t="n">
        <v>240</v>
      </c>
      <c r="G2611" s="43" t="n">
        <v>20</v>
      </c>
      <c r="H2611" s="79">
        <f>(E2611/1000)*(F2611/1000)*(G2611/1000)*7850</f>
        <v/>
      </c>
      <c r="I2611" s="43" t="n">
        <v>4</v>
      </c>
      <c r="J2611" s="80">
        <f>H2611*I2611</f>
        <v/>
      </c>
      <c r="K2611" s="43" t="inlineStr">
        <is>
          <t>来源页195</t>
        </is>
      </c>
      <c r="L2611" s="43">
        <f>A2611</f>
        <v/>
      </c>
      <c r="M2611" s="81" t="n"/>
      <c r="N2611" s="81" t="n"/>
      <c r="O2611" s="81" t="n"/>
      <c r="P2611" s="81" t="n"/>
      <c r="Q2611" s="81" t="n"/>
      <c r="R2611" s="81" t="n"/>
      <c r="S2611" s="81" t="n"/>
      <c r="T2611" s="81" t="n"/>
      <c r="U2611" s="81" t="n"/>
      <c r="V2611" s="81" t="n"/>
      <c r="W2611" s="43" t="n"/>
    </row>
    <row r="2612">
      <c r="A2612" s="43" t="inlineStr">
        <is>
          <t>N26c</t>
        </is>
      </c>
      <c r="B2612" s="43" t="inlineStr"/>
      <c r="C2612" s="43" t="inlineStr">
        <is>
          <t>节段14</t>
        </is>
      </c>
      <c r="D2612" s="43" t="inlineStr">
        <is>
          <t>Q355D</t>
        </is>
      </c>
      <c r="E2612" s="43" t="n">
        <v>15002</v>
      </c>
      <c r="F2612" s="43" t="n">
        <v>170</v>
      </c>
      <c r="G2612" s="43" t="n">
        <v>14</v>
      </c>
      <c r="H2612" s="79">
        <f>(E2612/1000)*(F2612/1000)*(G2612/1000)*7850</f>
        <v/>
      </c>
      <c r="I2612" s="43" t="n">
        <v>1</v>
      </c>
      <c r="J2612" s="80">
        <f>H2612*I2612</f>
        <v/>
      </c>
      <c r="K2612" s="43" t="inlineStr">
        <is>
          <t>来源页195</t>
        </is>
      </c>
      <c r="L2612" s="43">
        <f>A2612</f>
        <v/>
      </c>
      <c r="M2612" s="81" t="n"/>
      <c r="N2612" s="81" t="n"/>
      <c r="O2612" s="81" t="n"/>
      <c r="P2612" s="81" t="n"/>
      <c r="Q2612" s="81" t="n"/>
      <c r="R2612" s="81" t="n"/>
      <c r="S2612" s="81" t="n"/>
      <c r="T2612" s="81" t="n"/>
      <c r="U2612" s="81" t="n"/>
      <c r="V2612" s="81" t="n"/>
      <c r="W2612" s="43" t="n"/>
    </row>
    <row r="2613">
      <c r="A2613" s="43" t="inlineStr">
        <is>
          <t>N31</t>
        </is>
      </c>
      <c r="B2613" s="43" t="inlineStr"/>
      <c r="C2613" s="43" t="inlineStr">
        <is>
          <t>节段14</t>
        </is>
      </c>
      <c r="D2613" s="43" t="inlineStr">
        <is>
          <t>Q355D</t>
        </is>
      </c>
      <c r="E2613" s="43" t="n">
        <v>11383</v>
      </c>
      <c r="F2613" s="43" t="n">
        <v>1200</v>
      </c>
      <c r="G2613" s="43" t="n">
        <v>36</v>
      </c>
      <c r="H2613" s="79">
        <f>(E2613/1000)*(F2613/1000)*(G2613/1000)*7850</f>
        <v/>
      </c>
      <c r="I2613" s="43" t="n">
        <v>1</v>
      </c>
      <c r="J2613" s="80">
        <f>H2613*I2613</f>
        <v/>
      </c>
      <c r="K2613" s="43" t="inlineStr">
        <is>
          <t>来源页195</t>
        </is>
      </c>
      <c r="L2613" s="43">
        <f>A2613</f>
        <v/>
      </c>
      <c r="M2613" s="81" t="n"/>
      <c r="N2613" s="81" t="n"/>
      <c r="O2613" s="81" t="n"/>
      <c r="P2613" s="81" t="n"/>
      <c r="Q2613" s="81" t="n"/>
      <c r="R2613" s="81" t="n"/>
      <c r="S2613" s="81" t="n"/>
      <c r="T2613" s="81" t="n"/>
      <c r="U2613" s="81" t="n"/>
      <c r="V2613" s="81" t="n"/>
      <c r="W2613" s="43" t="n"/>
    </row>
    <row r="2614">
      <c r="A2614" s="43" t="inlineStr">
        <is>
          <t>N31a</t>
        </is>
      </c>
      <c r="B2614" s="43" t="inlineStr"/>
      <c r="C2614" s="43" t="inlineStr">
        <is>
          <t>节段14</t>
        </is>
      </c>
      <c r="D2614" s="43" t="inlineStr">
        <is>
          <t>Q355D</t>
        </is>
      </c>
      <c r="E2614" s="43" t="n">
        <v>11683</v>
      </c>
      <c r="F2614" s="43" t="n">
        <v>1200</v>
      </c>
      <c r="G2614" s="43" t="n">
        <v>36</v>
      </c>
      <c r="H2614" s="79">
        <f>(E2614/1000)*(F2614/1000)*(G2614/1000)*7850</f>
        <v/>
      </c>
      <c r="I2614" s="43" t="n">
        <v>1</v>
      </c>
      <c r="J2614" s="80">
        <f>H2614*I2614</f>
        <v/>
      </c>
      <c r="K2614" s="43" t="inlineStr">
        <is>
          <t>来源页195</t>
        </is>
      </c>
      <c r="L2614" s="43">
        <f>A2614</f>
        <v/>
      </c>
      <c r="M2614" s="81" t="n"/>
      <c r="N2614" s="81" t="n"/>
      <c r="O2614" s="81" t="n"/>
      <c r="P2614" s="81" t="n"/>
      <c r="Q2614" s="81" t="n"/>
      <c r="R2614" s="81" t="n"/>
      <c r="S2614" s="81" t="n"/>
      <c r="T2614" s="81" t="n"/>
      <c r="U2614" s="81" t="n"/>
      <c r="V2614" s="81" t="n"/>
      <c r="W2614" s="43" t="n"/>
    </row>
    <row r="2615">
      <c r="A2615" s="43" t="inlineStr">
        <is>
          <t>N32</t>
        </is>
      </c>
      <c r="B2615" s="43" t="inlineStr"/>
      <c r="C2615" s="43" t="inlineStr">
        <is>
          <t>节段14</t>
        </is>
      </c>
      <c r="D2615" s="43" t="inlineStr">
        <is>
          <t>Q355D</t>
        </is>
      </c>
      <c r="E2615" s="43" t="n">
        <v>7383</v>
      </c>
      <c r="F2615" s="43" t="n">
        <v>1360</v>
      </c>
      <c r="G2615" s="43" t="n">
        <v>36</v>
      </c>
      <c r="H2615" s="79">
        <f>(E2615/1000)*(F2615/1000)*(G2615/1000)*7850</f>
        <v/>
      </c>
      <c r="I2615" s="43" t="n">
        <v>2</v>
      </c>
      <c r="J2615" s="80">
        <f>H2615*I2615</f>
        <v/>
      </c>
      <c r="K2615" s="43" t="inlineStr">
        <is>
          <t>来源页195</t>
        </is>
      </c>
      <c r="L2615" s="43">
        <f>A2615</f>
        <v/>
      </c>
      <c r="M2615" s="81" t="n"/>
      <c r="N2615" s="81" t="n"/>
      <c r="O2615" s="81" t="n"/>
      <c r="P2615" s="81" t="n"/>
      <c r="Q2615" s="81" t="n"/>
      <c r="R2615" s="81" t="n"/>
      <c r="S2615" s="81" t="n"/>
      <c r="T2615" s="81" t="n"/>
      <c r="U2615" s="81" t="n"/>
      <c r="V2615" s="81" t="n"/>
      <c r="W2615" s="43" t="n"/>
    </row>
    <row r="2616">
      <c r="A2616" s="43" t="inlineStr">
        <is>
          <t>N33</t>
        </is>
      </c>
      <c r="B2616" s="43" t="inlineStr"/>
      <c r="C2616" s="43" t="inlineStr">
        <is>
          <t>节段14</t>
        </is>
      </c>
      <c r="D2616" s="43" t="inlineStr">
        <is>
          <t>Q355D</t>
        </is>
      </c>
      <c r="E2616" s="43" t="n">
        <v>7383</v>
      </c>
      <c r="F2616" s="43" t="n">
        <v>320</v>
      </c>
      <c r="G2616" s="43" t="n">
        <v>32</v>
      </c>
      <c r="H2616" s="79">
        <f>(E2616/1000)*(F2616/1000)*(G2616/1000)*7850</f>
        <v/>
      </c>
      <c r="I2616" s="43" t="n">
        <v>2</v>
      </c>
      <c r="J2616" s="80">
        <f>H2616*I2616</f>
        <v/>
      </c>
      <c r="K2616" s="43" t="inlineStr">
        <is>
          <t>来源页195</t>
        </is>
      </c>
      <c r="L2616" s="43">
        <f>A2616</f>
        <v/>
      </c>
      <c r="M2616" s="81" t="n"/>
      <c r="N2616" s="81" t="n"/>
      <c r="O2616" s="81" t="n"/>
      <c r="P2616" s="81" t="n"/>
      <c r="Q2616" s="81" t="n"/>
      <c r="R2616" s="81" t="n"/>
      <c r="S2616" s="81" t="n"/>
      <c r="T2616" s="81" t="n"/>
      <c r="U2616" s="81" t="n"/>
      <c r="V2616" s="81" t="n"/>
      <c r="W2616" s="43" t="n"/>
    </row>
    <row r="2617">
      <c r="A2617" s="43" t="inlineStr">
        <is>
          <t>N33a</t>
        </is>
      </c>
      <c r="B2617" s="43" t="inlineStr"/>
      <c r="C2617" s="43" t="inlineStr">
        <is>
          <t>节段14</t>
        </is>
      </c>
      <c r="D2617" s="43" t="inlineStr">
        <is>
          <t>Q355D</t>
        </is>
      </c>
      <c r="E2617" s="43" t="n">
        <v>9983</v>
      </c>
      <c r="F2617" s="43" t="n">
        <v>320</v>
      </c>
      <c r="G2617" s="43" t="n">
        <v>32</v>
      </c>
      <c r="H2617" s="79">
        <f>(E2617/1000)*(F2617/1000)*(G2617/1000)*7850</f>
        <v/>
      </c>
      <c r="I2617" s="43" t="n">
        <v>1</v>
      </c>
      <c r="J2617" s="80">
        <f>H2617*I2617</f>
        <v/>
      </c>
      <c r="K2617" s="43" t="inlineStr">
        <is>
          <t>来源页195</t>
        </is>
      </c>
      <c r="L2617" s="43">
        <f>A2617</f>
        <v/>
      </c>
      <c r="M2617" s="81" t="n"/>
      <c r="N2617" s="81" t="n"/>
      <c r="O2617" s="81" t="n"/>
      <c r="P2617" s="81" t="n"/>
      <c r="Q2617" s="81" t="n"/>
      <c r="R2617" s="81" t="n"/>
      <c r="S2617" s="81" t="n"/>
      <c r="T2617" s="81" t="n"/>
      <c r="U2617" s="81" t="n"/>
      <c r="V2617" s="81" t="n"/>
      <c r="W2617" s="43" t="n"/>
    </row>
    <row r="2618">
      <c r="A2618" s="43" t="inlineStr">
        <is>
          <t>N33b</t>
        </is>
      </c>
      <c r="B2618" s="43" t="inlineStr"/>
      <c r="C2618" s="43" t="inlineStr">
        <is>
          <t>节段14</t>
        </is>
      </c>
      <c r="D2618" s="43" t="inlineStr">
        <is>
          <t>Q355D</t>
        </is>
      </c>
      <c r="E2618" s="43" t="n">
        <v>10283</v>
      </c>
      <c r="F2618" s="43" t="n">
        <v>320</v>
      </c>
      <c r="G2618" s="43" t="n">
        <v>32</v>
      </c>
      <c r="H2618" s="79">
        <f>(E2618/1000)*(F2618/1000)*(G2618/1000)*7850</f>
        <v/>
      </c>
      <c r="I2618" s="43" t="n">
        <v>1</v>
      </c>
      <c r="J2618" s="80">
        <f>H2618*I2618</f>
        <v/>
      </c>
      <c r="K2618" s="43" t="inlineStr">
        <is>
          <t>来源页195</t>
        </is>
      </c>
      <c r="L2618" s="43">
        <f>A2618</f>
        <v/>
      </c>
      <c r="M2618" s="81" t="n"/>
      <c r="N2618" s="81" t="n"/>
      <c r="O2618" s="81" t="n"/>
      <c r="P2618" s="81" t="n"/>
      <c r="Q2618" s="81" t="n"/>
      <c r="R2618" s="81" t="n"/>
      <c r="S2618" s="81" t="n"/>
      <c r="T2618" s="81" t="n"/>
      <c r="U2618" s="81" t="n"/>
      <c r="V2618" s="81" t="n"/>
      <c r="W2618" s="43" t="n"/>
    </row>
    <row r="2619">
      <c r="A2619" s="43" t="inlineStr">
        <is>
          <t>N34</t>
        </is>
      </c>
      <c r="B2619" s="43" t="inlineStr"/>
      <c r="C2619" s="43" t="inlineStr">
        <is>
          <t>节段14</t>
        </is>
      </c>
      <c r="D2619" s="43" t="inlineStr">
        <is>
          <t>Q355D</t>
        </is>
      </c>
      <c r="E2619" s="43" t="n">
        <v>1200</v>
      </c>
      <c r="F2619" s="43" t="n">
        <v>1200</v>
      </c>
      <c r="G2619" s="43" t="n">
        <v>16</v>
      </c>
      <c r="H2619" s="79">
        <f>(E2619/1000)*(F2619/1000)*(G2619/1000)*7850</f>
        <v/>
      </c>
      <c r="I2619" s="43" t="n">
        <v>3</v>
      </c>
      <c r="J2619" s="80">
        <f>H2619*I2619</f>
        <v/>
      </c>
      <c r="K2619" s="43" t="inlineStr">
        <is>
          <t>来源页195</t>
        </is>
      </c>
      <c r="L2619" s="43">
        <f>A2619</f>
        <v/>
      </c>
      <c r="M2619" s="81" t="n"/>
      <c r="N2619" s="81" t="n"/>
      <c r="O2619" s="81" t="n"/>
      <c r="P2619" s="81" t="n"/>
      <c r="Q2619" s="81" t="n"/>
      <c r="R2619" s="81" t="n"/>
      <c r="S2619" s="81" t="n"/>
      <c r="T2619" s="81" t="n"/>
      <c r="U2619" s="81" t="n"/>
      <c r="V2619" s="81" t="n"/>
      <c r="W2619" s="43" t="n"/>
    </row>
    <row r="2620">
      <c r="A2620" s="43" t="inlineStr">
        <is>
          <t>N41</t>
        </is>
      </c>
      <c r="B2620" s="43" t="inlineStr"/>
      <c r="C2620" s="43" t="inlineStr">
        <is>
          <t>节段14</t>
        </is>
      </c>
      <c r="D2620" s="43" t="inlineStr">
        <is>
          <t>Q355D</t>
        </is>
      </c>
      <c r="E2620" s="43" t="n">
        <v>5458</v>
      </c>
      <c r="F2620" s="43" t="n">
        <v>1200</v>
      </c>
      <c r="G2620" s="43" t="n">
        <v>36</v>
      </c>
      <c r="H2620" s="79">
        <f>(E2620/1000)*(F2620/1000)*(G2620/1000)*7850</f>
        <v/>
      </c>
      <c r="I2620" s="43" t="n">
        <v>1</v>
      </c>
      <c r="J2620" s="80">
        <f>H2620*I2620</f>
        <v/>
      </c>
      <c r="K2620" s="43" t="inlineStr">
        <is>
          <t>来源页195</t>
        </is>
      </c>
      <c r="L2620" s="43">
        <f>A2620</f>
        <v/>
      </c>
      <c r="M2620" s="81" t="n"/>
      <c r="N2620" s="81" t="n"/>
      <c r="O2620" s="81" t="n"/>
      <c r="P2620" s="81" t="n"/>
      <c r="Q2620" s="81" t="n"/>
      <c r="R2620" s="81" t="n"/>
      <c r="S2620" s="81" t="n"/>
      <c r="T2620" s="81" t="n"/>
      <c r="U2620" s="81" t="n"/>
      <c r="V2620" s="81" t="n"/>
      <c r="W2620" s="43" t="n"/>
    </row>
    <row r="2621">
      <c r="A2621" s="43" t="inlineStr">
        <is>
          <t>N41a</t>
        </is>
      </c>
      <c r="B2621" s="43" t="inlineStr"/>
      <c r="C2621" s="43" t="inlineStr">
        <is>
          <t>节段14</t>
        </is>
      </c>
      <c r="D2621" s="43" t="inlineStr">
        <is>
          <t>Q355D</t>
        </is>
      </c>
      <c r="E2621" s="43" t="n">
        <v>5758</v>
      </c>
      <c r="F2621" s="43" t="n">
        <v>1200</v>
      </c>
      <c r="G2621" s="43" t="n">
        <v>36</v>
      </c>
      <c r="H2621" s="79">
        <f>(E2621/1000)*(F2621/1000)*(G2621/1000)*7850</f>
        <v/>
      </c>
      <c r="I2621" s="43" t="n">
        <v>1</v>
      </c>
      <c r="J2621" s="80">
        <f>H2621*I2621</f>
        <v/>
      </c>
      <c r="K2621" s="43" t="inlineStr">
        <is>
          <t>来源页195</t>
        </is>
      </c>
      <c r="L2621" s="43">
        <f>A2621</f>
        <v/>
      </c>
      <c r="M2621" s="81" t="n"/>
      <c r="N2621" s="81" t="n"/>
      <c r="O2621" s="81" t="n"/>
      <c r="P2621" s="81" t="n"/>
      <c r="Q2621" s="81" t="n"/>
      <c r="R2621" s="81" t="n"/>
      <c r="S2621" s="81" t="n"/>
      <c r="T2621" s="81" t="n"/>
      <c r="U2621" s="81" t="n"/>
      <c r="V2621" s="81" t="n"/>
      <c r="W2621" s="43" t="n"/>
    </row>
    <row r="2622">
      <c r="A2622" s="43" t="inlineStr">
        <is>
          <t>N42</t>
        </is>
      </c>
      <c r="B2622" s="43" t="inlineStr"/>
      <c r="C2622" s="43" t="inlineStr">
        <is>
          <t>节段14</t>
        </is>
      </c>
      <c r="D2622" s="43" t="inlineStr">
        <is>
          <t>Q355D</t>
        </is>
      </c>
      <c r="E2622" s="43" t="n">
        <v>3658</v>
      </c>
      <c r="F2622" s="43" t="n">
        <v>1360</v>
      </c>
      <c r="G2622" s="43" t="n">
        <v>36</v>
      </c>
      <c r="H2622" s="79">
        <f>(E2622/1000)*(F2622/1000)*(G2622/1000)*7850</f>
        <v/>
      </c>
      <c r="I2622" s="43" t="n">
        <v>2</v>
      </c>
      <c r="J2622" s="80">
        <f>H2622*I2622</f>
        <v/>
      </c>
      <c r="K2622" s="43" t="inlineStr">
        <is>
          <t>来源页195</t>
        </is>
      </c>
      <c r="L2622" s="43">
        <f>A2622</f>
        <v/>
      </c>
      <c r="M2622" s="81" t="n"/>
      <c r="N2622" s="81" t="n"/>
      <c r="O2622" s="81" t="n"/>
      <c r="P2622" s="81" t="n"/>
      <c r="Q2622" s="81" t="n"/>
      <c r="R2622" s="81" t="n"/>
      <c r="S2622" s="81" t="n"/>
      <c r="T2622" s="81" t="n"/>
      <c r="U2622" s="81" t="n"/>
      <c r="V2622" s="81" t="n"/>
      <c r="W2622" s="43" t="n"/>
    </row>
    <row r="2623">
      <c r="A2623" s="43" t="inlineStr">
        <is>
          <t>N43</t>
        </is>
      </c>
      <c r="B2623" s="43" t="inlineStr"/>
      <c r="C2623" s="43" t="inlineStr">
        <is>
          <t>节段14</t>
        </is>
      </c>
      <c r="D2623" s="43" t="inlineStr">
        <is>
          <t>Q355D</t>
        </is>
      </c>
      <c r="E2623" s="43" t="n">
        <v>3658</v>
      </c>
      <c r="F2623" s="43" t="n">
        <v>320</v>
      </c>
      <c r="G2623" s="43" t="n">
        <v>32</v>
      </c>
      <c r="H2623" s="79">
        <f>(E2623/1000)*(F2623/1000)*(G2623/1000)*7850</f>
        <v/>
      </c>
      <c r="I2623" s="43" t="n">
        <v>2</v>
      </c>
      <c r="J2623" s="80">
        <f>H2623*I2623</f>
        <v/>
      </c>
      <c r="K2623" s="43" t="inlineStr">
        <is>
          <t>来源页195</t>
        </is>
      </c>
      <c r="L2623" s="43">
        <f>A2623</f>
        <v/>
      </c>
      <c r="M2623" s="81" t="n"/>
      <c r="N2623" s="81" t="n"/>
      <c r="O2623" s="81" t="n"/>
      <c r="P2623" s="81" t="n"/>
      <c r="Q2623" s="81" t="n"/>
      <c r="R2623" s="81" t="n"/>
      <c r="S2623" s="81" t="n"/>
      <c r="T2623" s="81" t="n"/>
      <c r="U2623" s="81" t="n"/>
      <c r="V2623" s="81" t="n"/>
      <c r="W2623" s="43" t="n"/>
    </row>
    <row r="2624">
      <c r="A2624" s="43" t="inlineStr">
        <is>
          <t>N43a</t>
        </is>
      </c>
      <c r="B2624" s="43" t="inlineStr"/>
      <c r="C2624" s="43" t="inlineStr">
        <is>
          <t>节段14</t>
        </is>
      </c>
      <c r="D2624" s="43" t="inlineStr">
        <is>
          <t>Q355D</t>
        </is>
      </c>
      <c r="E2624" s="43" t="n">
        <v>4758</v>
      </c>
      <c r="F2624" s="43" t="n">
        <v>320</v>
      </c>
      <c r="G2624" s="43" t="n">
        <v>32</v>
      </c>
      <c r="H2624" s="79">
        <f>(E2624/1000)*(F2624/1000)*(G2624/1000)*7850</f>
        <v/>
      </c>
      <c r="I2624" s="43" t="n">
        <v>1</v>
      </c>
      <c r="J2624" s="80">
        <f>H2624*I2624</f>
        <v/>
      </c>
      <c r="K2624" s="43" t="inlineStr">
        <is>
          <t>来源页195</t>
        </is>
      </c>
      <c r="L2624" s="43">
        <f>A2624</f>
        <v/>
      </c>
      <c r="M2624" s="81" t="n"/>
      <c r="N2624" s="81" t="n"/>
      <c r="O2624" s="81" t="n"/>
      <c r="P2624" s="81" t="n"/>
      <c r="Q2624" s="81" t="n"/>
      <c r="R2624" s="81" t="n"/>
      <c r="S2624" s="81" t="n"/>
      <c r="T2624" s="81" t="n"/>
      <c r="U2624" s="81" t="n"/>
      <c r="V2624" s="81" t="n"/>
      <c r="W2624" s="43" t="n"/>
    </row>
    <row r="2625">
      <c r="A2625" s="43" t="inlineStr">
        <is>
          <t>N43b</t>
        </is>
      </c>
      <c r="B2625" s="43" t="inlineStr"/>
      <c r="C2625" s="43" t="inlineStr">
        <is>
          <t>节段14</t>
        </is>
      </c>
      <c r="D2625" s="43" t="inlineStr">
        <is>
          <t>Q355D</t>
        </is>
      </c>
      <c r="E2625" s="43" t="n">
        <v>5058</v>
      </c>
      <c r="F2625" s="43" t="n">
        <v>320</v>
      </c>
      <c r="G2625" s="43" t="n">
        <v>32</v>
      </c>
      <c r="H2625" s="79">
        <f>(E2625/1000)*(F2625/1000)*(G2625/1000)*7850</f>
        <v/>
      </c>
      <c r="I2625" s="43" t="n">
        <v>1</v>
      </c>
      <c r="J2625" s="80">
        <f>H2625*I2625</f>
        <v/>
      </c>
      <c r="K2625" s="43" t="inlineStr">
        <is>
          <t>来源页195</t>
        </is>
      </c>
      <c r="L2625" s="43">
        <f>A2625</f>
        <v/>
      </c>
      <c r="M2625" s="81" t="n"/>
      <c r="N2625" s="81" t="n"/>
      <c r="O2625" s="81" t="n"/>
      <c r="P2625" s="81" t="n"/>
      <c r="Q2625" s="81" t="n"/>
      <c r="R2625" s="81" t="n"/>
      <c r="S2625" s="81" t="n"/>
      <c r="T2625" s="81" t="n"/>
      <c r="U2625" s="81" t="n"/>
      <c r="V2625" s="81" t="n"/>
      <c r="W2625" s="43" t="n"/>
    </row>
    <row r="2626">
      <c r="A2626" s="43" t="inlineStr">
        <is>
          <t>N44</t>
        </is>
      </c>
      <c r="B2626" s="43" t="inlineStr"/>
      <c r="C2626" s="43" t="inlineStr">
        <is>
          <t>节段14</t>
        </is>
      </c>
      <c r="D2626" s="43" t="inlineStr">
        <is>
          <t>Q355D</t>
        </is>
      </c>
      <c r="E2626" s="43" t="n">
        <v>1200</v>
      </c>
      <c r="F2626" s="43" t="n">
        <v>1200</v>
      </c>
      <c r="G2626" s="43" t="n">
        <v>16</v>
      </c>
      <c r="H2626" s="79">
        <f>(E2626/1000)*(F2626/1000)*(G2626/1000)*7850</f>
        <v/>
      </c>
      <c r="I2626" s="43" t="n">
        <v>2</v>
      </c>
      <c r="J2626" s="80">
        <f>H2626*I2626</f>
        <v/>
      </c>
      <c r="K2626" s="43" t="inlineStr">
        <is>
          <t>来源页195</t>
        </is>
      </c>
      <c r="L2626" s="43">
        <f>A2626</f>
        <v/>
      </c>
      <c r="M2626" s="81" t="n"/>
      <c r="N2626" s="81" t="n"/>
      <c r="O2626" s="81" t="n"/>
      <c r="P2626" s="81" t="n"/>
      <c r="Q2626" s="81" t="n"/>
      <c r="R2626" s="81" t="n"/>
      <c r="S2626" s="81" t="n"/>
      <c r="T2626" s="81" t="n"/>
      <c r="U2626" s="81" t="n"/>
      <c r="V2626" s="81" t="n"/>
      <c r="W2626" s="43" t="n"/>
    </row>
    <row r="2627">
      <c r="A2627" s="43" t="inlineStr">
        <is>
          <t>N51</t>
        </is>
      </c>
      <c r="B2627" s="43" t="inlineStr"/>
      <c r="C2627" s="43" t="inlineStr">
        <is>
          <t>节段14</t>
        </is>
      </c>
      <c r="D2627" s="43" t="inlineStr">
        <is>
          <t>Q355D</t>
        </is>
      </c>
      <c r="E2627" s="43" t="n">
        <v>5883</v>
      </c>
      <c r="F2627" s="43" t="n">
        <v>1200</v>
      </c>
      <c r="G2627" s="43" t="n">
        <v>36</v>
      </c>
      <c r="H2627" s="79">
        <f>(E2627/1000)*(F2627/1000)*(G2627/1000)*7850</f>
        <v/>
      </c>
      <c r="I2627" s="43" t="n">
        <v>1</v>
      </c>
      <c r="J2627" s="80">
        <f>H2627*I2627</f>
        <v/>
      </c>
      <c r="K2627" s="43" t="inlineStr">
        <is>
          <t>来源页195</t>
        </is>
      </c>
      <c r="L2627" s="43">
        <f>A2627</f>
        <v/>
      </c>
      <c r="M2627" s="81" t="n"/>
      <c r="N2627" s="81" t="n"/>
      <c r="O2627" s="81" t="n"/>
      <c r="P2627" s="81" t="n"/>
      <c r="Q2627" s="81" t="n"/>
      <c r="R2627" s="81" t="n"/>
      <c r="S2627" s="81" t="n"/>
      <c r="T2627" s="81" t="n"/>
      <c r="U2627" s="81" t="n"/>
      <c r="V2627" s="81" t="n"/>
      <c r="W2627" s="43" t="n"/>
    </row>
    <row r="2628">
      <c r="A2628" s="43" t="inlineStr">
        <is>
          <t>N51a</t>
        </is>
      </c>
      <c r="B2628" s="43" t="inlineStr"/>
      <c r="C2628" s="43" t="inlineStr">
        <is>
          <t>节段14</t>
        </is>
      </c>
      <c r="D2628" s="43" t="inlineStr">
        <is>
          <t>Q355D</t>
        </is>
      </c>
      <c r="E2628" s="43" t="n">
        <v>5883</v>
      </c>
      <c r="F2628" s="43" t="n">
        <v>1200</v>
      </c>
      <c r="G2628" s="43" t="n">
        <v>36</v>
      </c>
      <c r="H2628" s="79">
        <f>(E2628/1000)*(F2628/1000)*(G2628/1000)*7850</f>
        <v/>
      </c>
      <c r="I2628" s="43" t="n">
        <v>1</v>
      </c>
      <c r="J2628" s="80">
        <f>H2628*I2628</f>
        <v/>
      </c>
      <c r="K2628" s="43" t="inlineStr">
        <is>
          <t>来源页195</t>
        </is>
      </c>
      <c r="L2628" s="43">
        <f>A2628</f>
        <v/>
      </c>
      <c r="M2628" s="81" t="n"/>
      <c r="N2628" s="81" t="n"/>
      <c r="O2628" s="81" t="n"/>
      <c r="P2628" s="81" t="n"/>
      <c r="Q2628" s="81" t="n"/>
      <c r="R2628" s="81" t="n"/>
      <c r="S2628" s="81" t="n"/>
      <c r="T2628" s="81" t="n"/>
      <c r="U2628" s="81" t="n"/>
      <c r="V2628" s="81" t="n"/>
      <c r="W2628" s="43" t="n"/>
    </row>
    <row r="2629">
      <c r="A2629" s="43" t="inlineStr">
        <is>
          <t>N52</t>
        </is>
      </c>
      <c r="B2629" s="43" t="inlineStr"/>
      <c r="C2629" s="43" t="inlineStr">
        <is>
          <t>节段14</t>
        </is>
      </c>
      <c r="D2629" s="43" t="inlineStr">
        <is>
          <t>Q355D</t>
        </is>
      </c>
      <c r="E2629" s="43" t="n">
        <v>3683</v>
      </c>
      <c r="F2629" s="43" t="n">
        <v>1360</v>
      </c>
      <c r="G2629" s="43" t="n">
        <v>36</v>
      </c>
      <c r="H2629" s="79">
        <f>(E2629/1000)*(F2629/1000)*(G2629/1000)*7850</f>
        <v/>
      </c>
      <c r="I2629" s="43" t="n">
        <v>2</v>
      </c>
      <c r="J2629" s="80">
        <f>H2629*I2629</f>
        <v/>
      </c>
      <c r="K2629" s="43" t="inlineStr">
        <is>
          <t>来源页195</t>
        </is>
      </c>
      <c r="L2629" s="43">
        <f>A2629</f>
        <v/>
      </c>
      <c r="M2629" s="81" t="n"/>
      <c r="N2629" s="81" t="n"/>
      <c r="O2629" s="81" t="n"/>
      <c r="P2629" s="81" t="n"/>
      <c r="Q2629" s="81" t="n"/>
      <c r="R2629" s="81" t="n"/>
      <c r="S2629" s="81" t="n"/>
      <c r="T2629" s="81" t="n"/>
      <c r="U2629" s="81" t="n"/>
      <c r="V2629" s="81" t="n"/>
      <c r="W2629" s="43" t="n"/>
    </row>
    <row r="2630">
      <c r="A2630" s="43" t="inlineStr">
        <is>
          <t>N53</t>
        </is>
      </c>
      <c r="B2630" s="43" t="inlineStr"/>
      <c r="C2630" s="43" t="inlineStr">
        <is>
          <t>节段14</t>
        </is>
      </c>
      <c r="D2630" s="43" t="inlineStr">
        <is>
          <t>Q355D</t>
        </is>
      </c>
      <c r="E2630" s="43" t="n">
        <v>3683</v>
      </c>
      <c r="F2630" s="43" t="n">
        <v>320</v>
      </c>
      <c r="G2630" s="43" t="n">
        <v>32</v>
      </c>
      <c r="H2630" s="79">
        <f>(E2630/1000)*(F2630/1000)*(G2630/1000)*7850</f>
        <v/>
      </c>
      <c r="I2630" s="43" t="n">
        <v>2</v>
      </c>
      <c r="J2630" s="80">
        <f>H2630*I2630</f>
        <v/>
      </c>
      <c r="K2630" s="43" t="inlineStr">
        <is>
          <t>来源页195</t>
        </is>
      </c>
      <c r="L2630" s="43">
        <f>A2630</f>
        <v/>
      </c>
      <c r="M2630" s="81" t="n"/>
      <c r="N2630" s="81" t="n"/>
      <c r="O2630" s="81" t="n"/>
      <c r="P2630" s="81" t="n"/>
      <c r="Q2630" s="81" t="n"/>
      <c r="R2630" s="81" t="n"/>
      <c r="S2630" s="81" t="n"/>
      <c r="T2630" s="81" t="n"/>
      <c r="U2630" s="81" t="n"/>
      <c r="V2630" s="81" t="n"/>
      <c r="W2630" s="43" t="n"/>
    </row>
    <row r="2631">
      <c r="A2631" s="43" t="inlineStr">
        <is>
          <t>N53a</t>
        </is>
      </c>
      <c r="B2631" s="43" t="inlineStr"/>
      <c r="C2631" s="43" t="inlineStr">
        <is>
          <t>节段14</t>
        </is>
      </c>
      <c r="D2631" s="43" t="inlineStr">
        <is>
          <t>Q355D</t>
        </is>
      </c>
      <c r="E2631" s="43" t="n">
        <v>5183</v>
      </c>
      <c r="F2631" s="43" t="n">
        <v>320</v>
      </c>
      <c r="G2631" s="43" t="n">
        <v>32</v>
      </c>
      <c r="H2631" s="79">
        <f>(E2631/1000)*(F2631/1000)*(G2631/1000)*7850</f>
        <v/>
      </c>
      <c r="I2631" s="43" t="n">
        <v>1</v>
      </c>
      <c r="J2631" s="80">
        <f>H2631*I2631</f>
        <v/>
      </c>
      <c r="K2631" s="43" t="inlineStr">
        <is>
          <t>来源页195</t>
        </is>
      </c>
      <c r="L2631" s="43">
        <f>A2631</f>
        <v/>
      </c>
      <c r="M2631" s="81" t="n"/>
      <c r="N2631" s="81" t="n"/>
      <c r="O2631" s="81" t="n"/>
      <c r="P2631" s="81" t="n"/>
      <c r="Q2631" s="81" t="n"/>
      <c r="R2631" s="81" t="n"/>
      <c r="S2631" s="81" t="n"/>
      <c r="T2631" s="81" t="n"/>
      <c r="U2631" s="81" t="n"/>
      <c r="V2631" s="81" t="n"/>
      <c r="W2631" s="43" t="n"/>
    </row>
    <row r="2632">
      <c r="A2632" s="43" t="inlineStr">
        <is>
          <t>N53b</t>
        </is>
      </c>
      <c r="B2632" s="43" t="inlineStr"/>
      <c r="C2632" s="43" t="inlineStr">
        <is>
          <t>节段14</t>
        </is>
      </c>
      <c r="D2632" s="43" t="inlineStr">
        <is>
          <t>Q355D</t>
        </is>
      </c>
      <c r="E2632" s="43" t="n">
        <v>5183</v>
      </c>
      <c r="F2632" s="43" t="n">
        <v>320</v>
      </c>
      <c r="G2632" s="43" t="n">
        <v>32</v>
      </c>
      <c r="H2632" s="79">
        <f>(E2632/1000)*(F2632/1000)*(G2632/1000)*7850</f>
        <v/>
      </c>
      <c r="I2632" s="43" t="n">
        <v>1</v>
      </c>
      <c r="J2632" s="80">
        <f>H2632*I2632</f>
        <v/>
      </c>
      <c r="K2632" s="43" t="inlineStr">
        <is>
          <t>来源页195</t>
        </is>
      </c>
      <c r="L2632" s="43">
        <f>A2632</f>
        <v/>
      </c>
      <c r="M2632" s="81" t="n"/>
      <c r="N2632" s="81" t="n"/>
      <c r="O2632" s="81" t="n"/>
      <c r="P2632" s="81" t="n"/>
      <c r="Q2632" s="81" t="n"/>
      <c r="R2632" s="81" t="n"/>
      <c r="S2632" s="81" t="n"/>
      <c r="T2632" s="81" t="n"/>
      <c r="U2632" s="81" t="n"/>
      <c r="V2632" s="81" t="n"/>
      <c r="W2632" s="43" t="n"/>
    </row>
    <row r="2633">
      <c r="A2633" s="43" t="inlineStr">
        <is>
          <t>N54</t>
        </is>
      </c>
      <c r="B2633" s="43" t="inlineStr"/>
      <c r="C2633" s="43" t="inlineStr">
        <is>
          <t>节段14</t>
        </is>
      </c>
      <c r="D2633" s="43" t="inlineStr">
        <is>
          <t>Q355D</t>
        </is>
      </c>
      <c r="E2633" s="43" t="n">
        <v>1200</v>
      </c>
      <c r="F2633" s="43" t="n">
        <v>1200</v>
      </c>
      <c r="G2633" s="43" t="n">
        <v>16</v>
      </c>
      <c r="H2633" s="79">
        <f>(E2633/1000)*(F2633/1000)*(G2633/1000)*7850</f>
        <v/>
      </c>
      <c r="I2633" s="43" t="n">
        <v>2</v>
      </c>
      <c r="J2633" s="80">
        <f>H2633*I2633</f>
        <v/>
      </c>
      <c r="K2633" s="43" t="inlineStr">
        <is>
          <t>来源页195</t>
        </is>
      </c>
      <c r="L2633" s="43">
        <f>A2633</f>
        <v/>
      </c>
      <c r="M2633" s="81" t="n"/>
      <c r="N2633" s="81" t="n"/>
      <c r="O2633" s="81" t="n"/>
      <c r="P2633" s="81" t="n"/>
      <c r="Q2633" s="81" t="n"/>
      <c r="R2633" s="81" t="n"/>
      <c r="S2633" s="81" t="n"/>
      <c r="T2633" s="81" t="n"/>
      <c r="U2633" s="81" t="n"/>
      <c r="V2633" s="81" t="n"/>
      <c r="W2633" s="43" t="n"/>
    </row>
    <row r="2634">
      <c r="A2634" s="43" t="inlineStr">
        <is>
          <t>N55</t>
        </is>
      </c>
      <c r="B2634" s="43" t="inlineStr"/>
      <c r="C2634" s="43" t="inlineStr">
        <is>
          <t>节段14</t>
        </is>
      </c>
      <c r="D2634" s="43" t="inlineStr">
        <is>
          <t>Q355D</t>
        </is>
      </c>
      <c r="E2634" s="43" t="n">
        <v>2300</v>
      </c>
      <c r="F2634" s="43" t="n">
        <v>320</v>
      </c>
      <c r="G2634" s="43" t="n">
        <v>32</v>
      </c>
      <c r="H2634" s="79">
        <f>(E2634/1000)*(F2634/1000)*(G2634/1000)*7850</f>
        <v/>
      </c>
      <c r="I2634" s="43" t="n">
        <v>4</v>
      </c>
      <c r="J2634" s="80">
        <f>H2634*I2634</f>
        <v/>
      </c>
      <c r="K2634" s="43" t="inlineStr">
        <is>
          <t>来源页195</t>
        </is>
      </c>
      <c r="L2634" s="43">
        <f>A2634</f>
        <v/>
      </c>
      <c r="M2634" s="81" t="n"/>
      <c r="N2634" s="81" t="n"/>
      <c r="O2634" s="81" t="n"/>
      <c r="P2634" s="81" t="n"/>
      <c r="Q2634" s="81" t="n"/>
      <c r="R2634" s="81" t="n"/>
      <c r="S2634" s="81" t="n"/>
      <c r="T2634" s="81" t="n"/>
      <c r="U2634" s="81" t="n"/>
      <c r="V2634" s="81" t="n"/>
      <c r="W2634" s="43" t="n"/>
    </row>
    <row r="2635">
      <c r="A2635" s="43" t="inlineStr">
        <is>
          <t>N56</t>
        </is>
      </c>
      <c r="B2635" s="43" t="inlineStr"/>
      <c r="C2635" s="43" t="inlineStr">
        <is>
          <t>节段14</t>
        </is>
      </c>
      <c r="D2635" s="43" t="inlineStr">
        <is>
          <t>Q355D</t>
        </is>
      </c>
      <c r="E2635" s="43" t="n">
        <v>2600</v>
      </c>
      <c r="F2635" s="43" t="n">
        <v>320</v>
      </c>
      <c r="G2635" s="43" t="n">
        <v>32</v>
      </c>
      <c r="H2635" s="79">
        <f>(E2635/1000)*(F2635/1000)*(G2635/1000)*7850</f>
        <v/>
      </c>
      <c r="I2635" s="43" t="n">
        <v>4</v>
      </c>
      <c r="J2635" s="80">
        <f>H2635*I2635</f>
        <v/>
      </c>
      <c r="K2635" s="43" t="inlineStr">
        <is>
          <t>来源页195</t>
        </is>
      </c>
      <c r="L2635" s="43">
        <f>A2635</f>
        <v/>
      </c>
      <c r="M2635" s="81" t="n"/>
      <c r="N2635" s="81" t="n"/>
      <c r="O2635" s="81" t="n"/>
      <c r="P2635" s="81" t="n"/>
      <c r="Q2635" s="81" t="n"/>
      <c r="R2635" s="81" t="n"/>
      <c r="S2635" s="81" t="n"/>
      <c r="T2635" s="81" t="n"/>
      <c r="U2635" s="81" t="n"/>
      <c r="V2635" s="81" t="n"/>
      <c r="W2635" s="43" t="n"/>
    </row>
    <row r="2636">
      <c r="A2636" s="43" t="inlineStr">
        <is>
          <t>N61</t>
        </is>
      </c>
      <c r="B2636" s="43" t="inlineStr"/>
      <c r="C2636" s="43" t="inlineStr">
        <is>
          <t>节段14</t>
        </is>
      </c>
      <c r="D2636" s="43" t="inlineStr">
        <is>
          <t>Q355D</t>
        </is>
      </c>
      <c r="E2636" s="43" t="n">
        <v>1580</v>
      </c>
      <c r="F2636" s="43" t="n">
        <v>602</v>
      </c>
      <c r="G2636" s="43" t="n">
        <v>14</v>
      </c>
      <c r="H2636" s="79">
        <f>(E2636/1000)*(F2636/1000)*(G2636/1000)*7850</f>
        <v/>
      </c>
      <c r="I2636" s="43" t="n">
        <v>3</v>
      </c>
      <c r="J2636" s="80">
        <f>H2636*I2636</f>
        <v/>
      </c>
      <c r="K2636" s="43" t="inlineStr">
        <is>
          <t>来源页195</t>
        </is>
      </c>
      <c r="L2636" s="43">
        <f>A2636</f>
        <v/>
      </c>
      <c r="M2636" s="81" t="n"/>
      <c r="N2636" s="81" t="n"/>
      <c r="O2636" s="81" t="n"/>
      <c r="P2636" s="81" t="n"/>
      <c r="Q2636" s="81" t="n"/>
      <c r="R2636" s="81" t="n"/>
      <c r="S2636" s="81" t="n"/>
      <c r="T2636" s="81" t="n"/>
      <c r="U2636" s="81" t="n"/>
      <c r="V2636" s="81" t="n"/>
      <c r="W2636" s="43" t="n"/>
    </row>
    <row r="2637">
      <c r="A2637" s="43" t="inlineStr">
        <is>
          <t>N61a</t>
        </is>
      </c>
      <c r="B2637" s="43" t="inlineStr"/>
      <c r="C2637" s="43" t="inlineStr">
        <is>
          <t>节段14</t>
        </is>
      </c>
      <c r="D2637" s="43" t="inlineStr">
        <is>
          <t>Q355D</t>
        </is>
      </c>
      <c r="E2637" s="43" t="n">
        <v>1580</v>
      </c>
      <c r="F2637" s="43" t="n">
        <v>622</v>
      </c>
      <c r="G2637" s="43" t="n">
        <v>14</v>
      </c>
      <c r="H2637" s="79">
        <f>(E2637/1000)*(F2637/1000)*(G2637/1000)*7850</f>
        <v/>
      </c>
      <c r="I2637" s="43" t="n">
        <v>2</v>
      </c>
      <c r="J2637" s="80">
        <f>H2637*I2637</f>
        <v/>
      </c>
      <c r="K2637" s="43" t="inlineStr">
        <is>
          <t>来源页195</t>
        </is>
      </c>
      <c r="L2637" s="43">
        <f>A2637</f>
        <v/>
      </c>
      <c r="M2637" s="81" t="n"/>
      <c r="N2637" s="81" t="n"/>
      <c r="O2637" s="81" t="n"/>
      <c r="P2637" s="81" t="n"/>
      <c r="Q2637" s="81" t="n"/>
      <c r="R2637" s="81" t="n"/>
      <c r="S2637" s="81" t="n"/>
      <c r="T2637" s="81" t="n"/>
      <c r="U2637" s="81" t="n"/>
      <c r="V2637" s="81" t="n"/>
      <c r="W2637" s="43" t="n"/>
    </row>
    <row r="2638">
      <c r="A2638" s="43" t="inlineStr">
        <is>
          <t>N62</t>
        </is>
      </c>
      <c r="B2638" s="43" t="inlineStr"/>
      <c r="C2638" s="43" t="inlineStr">
        <is>
          <t>节段14</t>
        </is>
      </c>
      <c r="D2638" s="43" t="inlineStr">
        <is>
          <t>Q355D</t>
        </is>
      </c>
      <c r="E2638" s="43" t="n"/>
      <c r="F2638" s="43" t="n"/>
      <c r="G2638" s="43" t="n">
        <v>24</v>
      </c>
      <c r="H2638" s="79">
        <f>(E2638/1000)*(F2638/1000)*(G2638/1000)*7850</f>
        <v/>
      </c>
      <c r="I2638" s="43" t="n">
        <v>3</v>
      </c>
      <c r="J2638" s="80">
        <f>H2638*I2638</f>
        <v/>
      </c>
      <c r="K2638" s="43" t="inlineStr">
        <is>
          <t>来源页195</t>
        </is>
      </c>
      <c r="L2638" s="43">
        <f>A2638</f>
        <v/>
      </c>
      <c r="M2638" s="81" t="n"/>
      <c r="N2638" s="81" t="n"/>
      <c r="O2638" s="81" t="n"/>
      <c r="P2638" s="81" t="n"/>
      <c r="Q2638" s="81" t="n"/>
      <c r="R2638" s="81" t="n"/>
      <c r="S2638" s="81" t="n"/>
      <c r="T2638" s="81" t="n"/>
      <c r="U2638" s="81" t="n"/>
      <c r="V2638" s="81" t="n"/>
      <c r="W2638" s="43" t="n"/>
    </row>
    <row r="2639">
      <c r="A2639" s="43" t="inlineStr">
        <is>
          <t>N62a</t>
        </is>
      </c>
      <c r="B2639" s="43" t="inlineStr"/>
      <c r="C2639" s="43" t="inlineStr">
        <is>
          <t>节段14</t>
        </is>
      </c>
      <c r="D2639" s="43" t="inlineStr">
        <is>
          <t>Q355D</t>
        </is>
      </c>
      <c r="E2639" s="43" t="n"/>
      <c r="F2639" s="43" t="n"/>
      <c r="G2639" s="43" t="n">
        <v>24</v>
      </c>
      <c r="H2639" s="79">
        <f>(E2639/1000)*(F2639/1000)*(G2639/1000)*7850</f>
        <v/>
      </c>
      <c r="I2639" s="43" t="n">
        <v>2</v>
      </c>
      <c r="J2639" s="80">
        <f>H2639*I2639</f>
        <v/>
      </c>
      <c r="K2639" s="43" t="inlineStr">
        <is>
          <t>来源页195</t>
        </is>
      </c>
      <c r="L2639" s="43">
        <f>A2639</f>
        <v/>
      </c>
      <c r="M2639" s="81" t="n"/>
      <c r="N2639" s="81" t="n"/>
      <c r="O2639" s="81" t="n"/>
      <c r="P2639" s="81" t="n"/>
      <c r="Q2639" s="81" t="n"/>
      <c r="R2639" s="81" t="n"/>
      <c r="S2639" s="81" t="n"/>
      <c r="T2639" s="81" t="n"/>
      <c r="U2639" s="81" t="n"/>
      <c r="V2639" s="81" t="n"/>
      <c r="W2639" s="43" t="n"/>
    </row>
    <row r="2640">
      <c r="A2640" s="43" t="inlineStr">
        <is>
          <t>N63</t>
        </is>
      </c>
      <c r="B2640" s="43" t="inlineStr"/>
      <c r="C2640" s="43" t="inlineStr">
        <is>
          <t>节段14</t>
        </is>
      </c>
      <c r="D2640" s="43" t="inlineStr">
        <is>
          <t>Q355D</t>
        </is>
      </c>
      <c r="E2640" s="43" t="n">
        <v>1450</v>
      </c>
      <c r="F2640" s="43" t="n">
        <v>606</v>
      </c>
      <c r="G2640" s="43" t="n">
        <v>14</v>
      </c>
      <c r="H2640" s="79">
        <f>(E2640/1000)*(F2640/1000)*(G2640/1000)*7850</f>
        <v/>
      </c>
      <c r="I2640" s="43" t="n">
        <v>3</v>
      </c>
      <c r="J2640" s="80">
        <f>H2640*I2640</f>
        <v/>
      </c>
      <c r="K2640" s="43" t="inlineStr">
        <is>
          <t>来源页195</t>
        </is>
      </c>
      <c r="L2640" s="43">
        <f>A2640</f>
        <v/>
      </c>
      <c r="M2640" s="81" t="n"/>
      <c r="N2640" s="81" t="n"/>
      <c r="O2640" s="81" t="n"/>
      <c r="P2640" s="81" t="n"/>
      <c r="Q2640" s="81" t="n"/>
      <c r="R2640" s="81" t="n"/>
      <c r="S2640" s="81" t="n"/>
      <c r="T2640" s="81" t="n"/>
      <c r="U2640" s="81" t="n"/>
      <c r="V2640" s="81" t="n"/>
      <c r="W2640" s="43" t="n"/>
    </row>
    <row r="2641">
      <c r="A2641" s="43" t="inlineStr">
        <is>
          <t>N63a</t>
        </is>
      </c>
      <c r="B2641" s="43" t="inlineStr"/>
      <c r="C2641" s="43" t="inlineStr">
        <is>
          <t>节段14</t>
        </is>
      </c>
      <c r="D2641" s="43" t="inlineStr">
        <is>
          <t>Q355D</t>
        </is>
      </c>
      <c r="E2641" s="43" t="n">
        <v>1450</v>
      </c>
      <c r="F2641" s="43" t="n">
        <v>618</v>
      </c>
      <c r="G2641" s="43" t="n">
        <v>14</v>
      </c>
      <c r="H2641" s="79">
        <f>(E2641/1000)*(F2641/1000)*(G2641/1000)*7850</f>
        <v/>
      </c>
      <c r="I2641" s="43" t="n">
        <v>2</v>
      </c>
      <c r="J2641" s="80">
        <f>H2641*I2641</f>
        <v/>
      </c>
      <c r="K2641" s="43" t="inlineStr">
        <is>
          <t>来源页195</t>
        </is>
      </c>
      <c r="L2641" s="43">
        <f>A2641</f>
        <v/>
      </c>
      <c r="M2641" s="81" t="n"/>
      <c r="N2641" s="81" t="n"/>
      <c r="O2641" s="81" t="n"/>
      <c r="P2641" s="81" t="n"/>
      <c r="Q2641" s="81" t="n"/>
      <c r="R2641" s="81" t="n"/>
      <c r="S2641" s="81" t="n"/>
      <c r="T2641" s="81" t="n"/>
      <c r="U2641" s="81" t="n"/>
      <c r="V2641" s="81" t="n"/>
      <c r="W2641" s="43" t="n"/>
    </row>
    <row r="2642">
      <c r="A2642" s="43" t="inlineStr">
        <is>
          <t>P1</t>
        </is>
      </c>
      <c r="B2642" s="43" t="inlineStr">
        <is>
          <t>上弦杆拼接</t>
        </is>
      </c>
      <c r="C2642" s="43" t="inlineStr">
        <is>
          <t>节段14~节段15</t>
        </is>
      </c>
      <c r="D2642" s="43" t="inlineStr">
        <is>
          <t>Q355D</t>
        </is>
      </c>
      <c r="E2642" s="43" t="n">
        <v>1220</v>
      </c>
      <c r="F2642" s="43" t="n">
        <v>1400</v>
      </c>
      <c r="G2642" s="43" t="n">
        <v>28</v>
      </c>
      <c r="H2642" s="79">
        <f>(E2642/1000)*(F2642/1000)*(G2642/1000)*7850</f>
        <v/>
      </c>
      <c r="I2642" s="43" t="n">
        <v>2</v>
      </c>
      <c r="J2642" s="80">
        <f>H2642*I2642</f>
        <v/>
      </c>
      <c r="K2642" s="43" t="inlineStr">
        <is>
          <t>来源页198</t>
        </is>
      </c>
      <c r="L2642" s="43">
        <f>A2642</f>
        <v/>
      </c>
      <c r="M2642" s="81" t="n"/>
      <c r="N2642" s="81" t="n"/>
      <c r="O2642" s="81" t="n"/>
      <c r="P2642" s="81" t="n"/>
      <c r="Q2642" s="81" t="n"/>
      <c r="R2642" s="81" t="n"/>
      <c r="S2642" s="81" t="n"/>
      <c r="T2642" s="81" t="n"/>
      <c r="U2642" s="81" t="n"/>
      <c r="V2642" s="81" t="n"/>
      <c r="W2642" s="43" t="n"/>
    </row>
    <row r="2643">
      <c r="A2643" s="43" t="inlineStr">
        <is>
          <t>P2</t>
        </is>
      </c>
      <c r="B2643" s="43" t="inlineStr">
        <is>
          <t>上弦杆拼接</t>
        </is>
      </c>
      <c r="C2643" s="43" t="inlineStr">
        <is>
          <t>节段14~节段15</t>
        </is>
      </c>
      <c r="D2643" s="43" t="inlineStr">
        <is>
          <t>Q355D</t>
        </is>
      </c>
      <c r="E2643" s="43" t="n">
        <v>1220</v>
      </c>
      <c r="F2643" s="43" t="n">
        <v>300</v>
      </c>
      <c r="G2643" s="43" t="n">
        <v>28</v>
      </c>
      <c r="H2643" s="79">
        <f>(E2643/1000)*(F2643/1000)*(G2643/1000)*7850</f>
        <v/>
      </c>
      <c r="I2643" s="43" t="n">
        <v>2</v>
      </c>
      <c r="J2643" s="80">
        <f>H2643*I2643</f>
        <v/>
      </c>
      <c r="K2643" s="43" t="inlineStr">
        <is>
          <t>来源页198</t>
        </is>
      </c>
      <c r="L2643" s="43">
        <f>A2643</f>
        <v/>
      </c>
      <c r="M2643" s="81" t="n"/>
      <c r="N2643" s="81" t="n"/>
      <c r="O2643" s="81" t="n"/>
      <c r="P2643" s="81" t="n"/>
      <c r="Q2643" s="81" t="n"/>
      <c r="R2643" s="81" t="n"/>
      <c r="S2643" s="81" t="n"/>
      <c r="T2643" s="81" t="n"/>
      <c r="U2643" s="81" t="n"/>
      <c r="V2643" s="81" t="n"/>
      <c r="W2643" s="43" t="n"/>
    </row>
    <row r="2644">
      <c r="A2644" s="43" t="inlineStr">
        <is>
          <t>P3</t>
        </is>
      </c>
      <c r="B2644" s="43" t="inlineStr">
        <is>
          <t>上弦杆拼接</t>
        </is>
      </c>
      <c r="C2644" s="43" t="inlineStr">
        <is>
          <t>节段14~节段15</t>
        </is>
      </c>
      <c r="D2644" s="43" t="inlineStr">
        <is>
          <t>Q355D</t>
        </is>
      </c>
      <c r="E2644" s="43" t="n">
        <v>1220</v>
      </c>
      <c r="F2644" s="43" t="n">
        <v>500</v>
      </c>
      <c r="G2644" s="43" t="n">
        <v>28</v>
      </c>
      <c r="H2644" s="79">
        <f>(E2644/1000)*(F2644/1000)*(G2644/1000)*7850</f>
        <v/>
      </c>
      <c r="I2644" s="43" t="n">
        <v>2</v>
      </c>
      <c r="J2644" s="80">
        <f>H2644*I2644</f>
        <v/>
      </c>
      <c r="K2644" s="43" t="inlineStr">
        <is>
          <t>来源页198</t>
        </is>
      </c>
      <c r="L2644" s="43">
        <f>A2644</f>
        <v/>
      </c>
      <c r="M2644" s="81" t="n"/>
      <c r="N2644" s="81" t="n"/>
      <c r="O2644" s="81" t="n"/>
      <c r="P2644" s="81" t="n"/>
      <c r="Q2644" s="81" t="n"/>
      <c r="R2644" s="81" t="n"/>
      <c r="S2644" s="81" t="n"/>
      <c r="T2644" s="81" t="n"/>
      <c r="U2644" s="81" t="n"/>
      <c r="V2644" s="81" t="n"/>
      <c r="W2644" s="43" t="n"/>
    </row>
    <row r="2645">
      <c r="A2645" s="43" t="inlineStr">
        <is>
          <t>P4</t>
        </is>
      </c>
      <c r="B2645" s="43" t="inlineStr">
        <is>
          <t>上弦杆拼接</t>
        </is>
      </c>
      <c r="C2645" s="43" t="inlineStr">
        <is>
          <t>节段14~节段15</t>
        </is>
      </c>
      <c r="D2645" s="43" t="inlineStr">
        <is>
          <t>Q355D</t>
        </is>
      </c>
      <c r="E2645" s="43" t="n">
        <v>1220</v>
      </c>
      <c r="F2645" s="43" t="n">
        <v>400</v>
      </c>
      <c r="G2645" s="43" t="n">
        <v>28</v>
      </c>
      <c r="H2645" s="79">
        <f>(E2645/1000)*(F2645/1000)*(G2645/1000)*7850</f>
        <v/>
      </c>
      <c r="I2645" s="43" t="n">
        <v>2</v>
      </c>
      <c r="J2645" s="80">
        <f>H2645*I2645</f>
        <v/>
      </c>
      <c r="K2645" s="43" t="inlineStr">
        <is>
          <t>来源页198</t>
        </is>
      </c>
      <c r="L2645" s="43">
        <f>A2645</f>
        <v/>
      </c>
      <c r="M2645" s="81" t="n"/>
      <c r="N2645" s="81" t="n"/>
      <c r="O2645" s="81" t="n"/>
      <c r="P2645" s="81" t="n"/>
      <c r="Q2645" s="81" t="n"/>
      <c r="R2645" s="81" t="n"/>
      <c r="S2645" s="81" t="n"/>
      <c r="T2645" s="81" t="n"/>
      <c r="U2645" s="81" t="n"/>
      <c r="V2645" s="81" t="n"/>
      <c r="W2645" s="43" t="n"/>
    </row>
    <row r="2646">
      <c r="A2646" s="43" t="inlineStr">
        <is>
          <t>P5</t>
        </is>
      </c>
      <c r="B2646" s="43" t="inlineStr">
        <is>
          <t>上弦杆拼接</t>
        </is>
      </c>
      <c r="C2646" s="43" t="inlineStr">
        <is>
          <t>节段14~节段15</t>
        </is>
      </c>
      <c r="D2646" s="43" t="inlineStr">
        <is>
          <t>Q355D</t>
        </is>
      </c>
      <c r="E2646" s="43" t="n">
        <v>1420</v>
      </c>
      <c r="F2646" s="43" t="n">
        <v>1100</v>
      </c>
      <c r="G2646" s="43" t="n">
        <v>32</v>
      </c>
      <c r="H2646" s="79">
        <f>(E2646/1000)*(F2646/1000)*(G2646/1000)*7850</f>
        <v/>
      </c>
      <c r="I2646" s="43" t="n">
        <v>1</v>
      </c>
      <c r="J2646" s="80">
        <f>H2646*I2646</f>
        <v/>
      </c>
      <c r="K2646" s="43" t="inlineStr">
        <is>
          <t>来源页198</t>
        </is>
      </c>
      <c r="L2646" s="43">
        <f>A2646</f>
        <v/>
      </c>
      <c r="M2646" s="81" t="n"/>
      <c r="N2646" s="81" t="n"/>
      <c r="O2646" s="81" t="n"/>
      <c r="P2646" s="81" t="n"/>
      <c r="Q2646" s="81" t="n"/>
      <c r="R2646" s="81" t="n"/>
      <c r="S2646" s="81" t="n"/>
      <c r="T2646" s="81" t="n"/>
      <c r="U2646" s="81" t="n"/>
      <c r="V2646" s="81" t="n"/>
      <c r="W2646" s="43" t="n"/>
    </row>
    <row r="2647">
      <c r="A2647" s="43" t="inlineStr">
        <is>
          <t>P6</t>
        </is>
      </c>
      <c r="B2647" s="43" t="inlineStr">
        <is>
          <t>上弦杆拼接</t>
        </is>
      </c>
      <c r="C2647" s="43" t="inlineStr">
        <is>
          <t>节段14~节段15</t>
        </is>
      </c>
      <c r="D2647" s="43" t="inlineStr">
        <is>
          <t>Q355D</t>
        </is>
      </c>
      <c r="E2647" s="43" t="n">
        <v>1420</v>
      </c>
      <c r="F2647" s="43" t="n">
        <v>400</v>
      </c>
      <c r="G2647" s="43" t="n">
        <v>32</v>
      </c>
      <c r="H2647" s="79">
        <f>(E2647/1000)*(F2647/1000)*(G2647/1000)*7850</f>
        <v/>
      </c>
      <c r="I2647" s="43" t="n">
        <v>2</v>
      </c>
      <c r="J2647" s="80">
        <f>H2647*I2647</f>
        <v/>
      </c>
      <c r="K2647" s="43" t="inlineStr">
        <is>
          <t>来源页198</t>
        </is>
      </c>
      <c r="L2647" s="43">
        <f>A2647</f>
        <v/>
      </c>
      <c r="M2647" s="81" t="n"/>
      <c r="N2647" s="81" t="n"/>
      <c r="O2647" s="81" t="n"/>
      <c r="P2647" s="81" t="n"/>
      <c r="Q2647" s="81" t="n"/>
      <c r="R2647" s="81" t="n"/>
      <c r="S2647" s="81" t="n"/>
      <c r="T2647" s="81" t="n"/>
      <c r="U2647" s="81" t="n"/>
      <c r="V2647" s="81" t="n"/>
      <c r="W2647" s="43" t="n"/>
    </row>
    <row r="2648">
      <c r="A2648" s="43" t="inlineStr">
        <is>
          <t>P7</t>
        </is>
      </c>
      <c r="B2648" s="43" t="inlineStr">
        <is>
          <t>上弦杆拼接</t>
        </is>
      </c>
      <c r="C2648" s="43" t="inlineStr">
        <is>
          <t>节段14~节段15</t>
        </is>
      </c>
      <c r="D2648" s="43" t="inlineStr">
        <is>
          <t>Q355D</t>
        </is>
      </c>
      <c r="E2648" s="43" t="n">
        <v>920</v>
      </c>
      <c r="F2648" s="43" t="n">
        <v>200</v>
      </c>
      <c r="G2648" s="43" t="n">
        <v>20</v>
      </c>
      <c r="H2648" s="79">
        <f>(E2648/1000)*(F2648/1000)*(G2648/1000)*7850</f>
        <v/>
      </c>
      <c r="I2648" s="43" t="n">
        <v>10</v>
      </c>
      <c r="J2648" s="80">
        <f>H2648*I2648</f>
        <v/>
      </c>
      <c r="K2648" s="43" t="inlineStr">
        <is>
          <t>来源页198</t>
        </is>
      </c>
      <c r="L2648" s="43">
        <f>A2648</f>
        <v/>
      </c>
      <c r="M2648" s="81" t="n"/>
      <c r="N2648" s="81" t="n"/>
      <c r="O2648" s="81" t="n"/>
      <c r="P2648" s="81" t="n"/>
      <c r="Q2648" s="81" t="n"/>
      <c r="R2648" s="81" t="n"/>
      <c r="S2648" s="81" t="n"/>
      <c r="T2648" s="81" t="n"/>
      <c r="U2648" s="81" t="n"/>
      <c r="V2648" s="81" t="n"/>
      <c r="W2648" s="43" t="n"/>
    </row>
    <row r="2649">
      <c r="A2649" s="43" t="inlineStr">
        <is>
          <t>P8</t>
        </is>
      </c>
      <c r="B2649" s="43" t="inlineStr">
        <is>
          <t>上弦杆拼接</t>
        </is>
      </c>
      <c r="C2649" s="43" t="inlineStr">
        <is>
          <t>节段14~节段15</t>
        </is>
      </c>
      <c r="D2649" s="43" t="inlineStr">
        <is>
          <t>Q355D</t>
        </is>
      </c>
      <c r="E2649" s="43" t="n">
        <v>600</v>
      </c>
      <c r="F2649" s="43" t="n">
        <v>1800</v>
      </c>
      <c r="G2649" s="43" t="n">
        <v>16</v>
      </c>
      <c r="H2649" s="79">
        <f>(E2649/1000)*(F2649/1000)*(G2649/1000)*7850</f>
        <v/>
      </c>
      <c r="I2649" s="43" t="n">
        <v>2</v>
      </c>
      <c r="J2649" s="80">
        <f>H2649*I2649</f>
        <v/>
      </c>
      <c r="K2649" s="43" t="inlineStr">
        <is>
          <t>填板；来源页198</t>
        </is>
      </c>
      <c r="L2649" s="43">
        <f>A2649</f>
        <v/>
      </c>
      <c r="M2649" s="81" t="n"/>
      <c r="N2649" s="81" t="n"/>
      <c r="O2649" s="81" t="n"/>
      <c r="P2649" s="81" t="n"/>
      <c r="Q2649" s="81" t="n"/>
      <c r="R2649" s="81" t="n"/>
      <c r="S2649" s="81" t="n"/>
      <c r="T2649" s="81" t="n"/>
      <c r="U2649" s="81" t="n"/>
      <c r="V2649" s="81" t="n"/>
      <c r="W2649" s="43" t="n"/>
    </row>
    <row r="2650">
      <c r="A2650" s="43" t="inlineStr">
        <is>
          <t>P9</t>
        </is>
      </c>
      <c r="B2650" s="43" t="inlineStr">
        <is>
          <t>上弦杆拼接</t>
        </is>
      </c>
      <c r="C2650" s="43" t="inlineStr">
        <is>
          <t>节段14~节段15</t>
        </is>
      </c>
      <c r="D2650" s="43" t="inlineStr">
        <is>
          <t>Q355D</t>
        </is>
      </c>
      <c r="E2650" s="43" t="n">
        <v>700</v>
      </c>
      <c r="F2650" s="43" t="n">
        <v>1100</v>
      </c>
      <c r="G2650" s="43" t="n">
        <v>16</v>
      </c>
      <c r="H2650" s="79">
        <f>(E2650/1000)*(F2650/1000)*(G2650/1000)*7850</f>
        <v/>
      </c>
      <c r="I2650" s="43" t="n">
        <v>1</v>
      </c>
      <c r="J2650" s="80">
        <f>H2650*I2650</f>
        <v/>
      </c>
      <c r="K2650" s="43" t="inlineStr">
        <is>
          <t>填板；来源页198</t>
        </is>
      </c>
      <c r="L2650" s="43">
        <f>A2650</f>
        <v/>
      </c>
      <c r="M2650" s="81" t="n"/>
      <c r="N2650" s="81" t="n"/>
      <c r="O2650" s="81" t="n"/>
      <c r="P2650" s="81" t="n"/>
      <c r="Q2650" s="81" t="n"/>
      <c r="R2650" s="81" t="n"/>
      <c r="S2650" s="81" t="n"/>
      <c r="T2650" s="81" t="n"/>
      <c r="U2650" s="81" t="n"/>
      <c r="V2650" s="81" t="n"/>
      <c r="W2650" s="43" t="n"/>
    </row>
    <row r="2651">
      <c r="A2651" s="43" t="inlineStr">
        <is>
          <t>M30高强螺栓</t>
        </is>
      </c>
      <c r="B2651" s="43" t="inlineStr">
        <is>
          <t>上弦杆拼接</t>
        </is>
      </c>
      <c r="C2651" s="43" t="inlineStr">
        <is>
          <t>节段14~节段15</t>
        </is>
      </c>
      <c r="D2651" s="43" t="inlineStr">
        <is>
          <t>10.9S</t>
        </is>
      </c>
      <c r="E2651" s="43" t="n"/>
      <c r="F2651" s="43" t="n"/>
      <c r="G2651" s="43" t="n"/>
      <c r="H2651" s="79">
        <f>(E2651/1000)*(F2651/1000)*(G2651/1000)*7850</f>
        <v/>
      </c>
      <c r="I2651" s="43" t="n">
        <v>428</v>
      </c>
      <c r="J2651" s="80">
        <f>H2651*I2651</f>
        <v/>
      </c>
      <c r="K2651" s="43" t="inlineStr">
        <is>
          <t>来源页198</t>
        </is>
      </c>
      <c r="L2651" s="43">
        <f>A2651</f>
        <v/>
      </c>
      <c r="M2651" s="81" t="n"/>
      <c r="N2651" s="81" t="n"/>
      <c r="O2651" s="81" t="n"/>
      <c r="P2651" s="81" t="n"/>
      <c r="Q2651" s="81" t="n"/>
      <c r="R2651" s="81" t="n"/>
      <c r="S2651" s="81" t="n"/>
      <c r="T2651" s="81" t="n"/>
      <c r="U2651" s="81" t="n"/>
      <c r="V2651" s="81" t="n"/>
      <c r="W2651" s="43" t="n"/>
    </row>
    <row r="2652">
      <c r="A2652" s="43" t="inlineStr">
        <is>
          <t>K1</t>
        </is>
      </c>
      <c r="B2652" s="43" t="inlineStr">
        <is>
          <t>下弦杆拼接</t>
        </is>
      </c>
      <c r="C2652" s="43" t="inlineStr">
        <is>
          <t>节段14~节段15</t>
        </is>
      </c>
      <c r="D2652" s="43" t="inlineStr">
        <is>
          <t>Q355D</t>
        </is>
      </c>
      <c r="E2652" s="43" t="n">
        <v>1020</v>
      </c>
      <c r="F2652" s="43" t="n">
        <v>1300</v>
      </c>
      <c r="G2652" s="43" t="n">
        <v>24</v>
      </c>
      <c r="H2652" s="79">
        <f>(E2652/1000)*(F2652/1000)*(G2652/1000)*7850</f>
        <v/>
      </c>
      <c r="I2652" s="43" t="n">
        <v>2</v>
      </c>
      <c r="J2652" s="80">
        <f>H2652*I2652</f>
        <v/>
      </c>
      <c r="K2652" s="43" t="inlineStr">
        <is>
          <t>来源页198</t>
        </is>
      </c>
      <c r="L2652" s="43">
        <f>A2652</f>
        <v/>
      </c>
      <c r="M2652" s="81" t="n"/>
      <c r="N2652" s="81" t="n"/>
      <c r="O2652" s="81" t="n"/>
      <c r="P2652" s="81" t="n"/>
      <c r="Q2652" s="81" t="n"/>
      <c r="R2652" s="81" t="n"/>
      <c r="S2652" s="81" t="n"/>
      <c r="T2652" s="81" t="n"/>
      <c r="U2652" s="81" t="n"/>
      <c r="V2652" s="81" t="n"/>
      <c r="W2652" s="43" t="n"/>
    </row>
    <row r="2653">
      <c r="A2653" s="43" t="inlineStr">
        <is>
          <t>K2</t>
        </is>
      </c>
      <c r="B2653" s="43" t="inlineStr">
        <is>
          <t>下弦杆拼接</t>
        </is>
      </c>
      <c r="C2653" s="43" t="inlineStr">
        <is>
          <t>节段14~节段15</t>
        </is>
      </c>
      <c r="D2653" s="43" t="inlineStr">
        <is>
          <t>Q355D</t>
        </is>
      </c>
      <c r="E2653" s="43" t="n">
        <v>1020</v>
      </c>
      <c r="F2653" s="43" t="n">
        <v>600</v>
      </c>
      <c r="G2653" s="43" t="n">
        <v>24</v>
      </c>
      <c r="H2653" s="79">
        <f>(E2653/1000)*(F2653/1000)*(G2653/1000)*7850</f>
        <v/>
      </c>
      <c r="I2653" s="43" t="n">
        <v>4</v>
      </c>
      <c r="J2653" s="80">
        <f>H2653*I2653</f>
        <v/>
      </c>
      <c r="K2653" s="43" t="inlineStr">
        <is>
          <t>来源页198</t>
        </is>
      </c>
      <c r="L2653" s="43">
        <f>A2653</f>
        <v/>
      </c>
      <c r="M2653" s="81" t="n"/>
      <c r="N2653" s="81" t="n"/>
      <c r="O2653" s="81" t="n"/>
      <c r="P2653" s="81" t="n"/>
      <c r="Q2653" s="81" t="n"/>
      <c r="R2653" s="81" t="n"/>
      <c r="S2653" s="81" t="n"/>
      <c r="T2653" s="81" t="n"/>
      <c r="U2653" s="81" t="n"/>
      <c r="V2653" s="81" t="n"/>
      <c r="W2653" s="43" t="n"/>
    </row>
    <row r="2654">
      <c r="A2654" s="43" t="inlineStr">
        <is>
          <t>K3</t>
        </is>
      </c>
      <c r="B2654" s="43" t="inlineStr">
        <is>
          <t>下弦杆拼接</t>
        </is>
      </c>
      <c r="C2654" s="43" t="inlineStr">
        <is>
          <t>节段14~节段15</t>
        </is>
      </c>
      <c r="D2654" s="43" t="inlineStr">
        <is>
          <t>Q355D</t>
        </is>
      </c>
      <c r="E2654" s="43" t="n">
        <v>1320</v>
      </c>
      <c r="F2654" s="43" t="n">
        <v>1100</v>
      </c>
      <c r="G2654" s="43" t="n">
        <v>36</v>
      </c>
      <c r="H2654" s="79">
        <f>(E2654/1000)*(F2654/1000)*(G2654/1000)*7850</f>
        <v/>
      </c>
      <c r="I2654" s="43" t="n">
        <v>1</v>
      </c>
      <c r="J2654" s="80">
        <f>H2654*I2654</f>
        <v/>
      </c>
      <c r="K2654" s="43" t="inlineStr">
        <is>
          <t>来源页198</t>
        </is>
      </c>
      <c r="L2654" s="43">
        <f>A2654</f>
        <v/>
      </c>
      <c r="M2654" s="81" t="n"/>
      <c r="N2654" s="81" t="n"/>
      <c r="O2654" s="81" t="n"/>
      <c r="P2654" s="81" t="n"/>
      <c r="Q2654" s="81" t="n"/>
      <c r="R2654" s="81" t="n"/>
      <c r="S2654" s="81" t="n"/>
      <c r="T2654" s="81" t="n"/>
      <c r="U2654" s="81" t="n"/>
      <c r="V2654" s="81" t="n"/>
      <c r="W2654" s="43" t="n"/>
    </row>
    <row r="2655">
      <c r="A2655" s="43" t="inlineStr">
        <is>
          <t>K4</t>
        </is>
      </c>
      <c r="B2655" s="43" t="inlineStr">
        <is>
          <t>下弦杆拼接</t>
        </is>
      </c>
      <c r="C2655" s="43" t="inlineStr">
        <is>
          <t>节段14~节段15</t>
        </is>
      </c>
      <c r="D2655" s="43" t="inlineStr">
        <is>
          <t>Q355D</t>
        </is>
      </c>
      <c r="E2655" s="43" t="n">
        <v>1320</v>
      </c>
      <c r="F2655" s="43" t="n">
        <v>400</v>
      </c>
      <c r="G2655" s="43" t="n">
        <v>36</v>
      </c>
      <c r="H2655" s="79">
        <f>(E2655/1000)*(F2655/1000)*(G2655/1000)*7850</f>
        <v/>
      </c>
      <c r="I2655" s="43" t="n">
        <v>2</v>
      </c>
      <c r="J2655" s="80">
        <f>H2655*I2655</f>
        <v/>
      </c>
      <c r="K2655" s="43" t="inlineStr">
        <is>
          <t>来源页198</t>
        </is>
      </c>
      <c r="L2655" s="43">
        <f>A2655</f>
        <v/>
      </c>
      <c r="M2655" s="81" t="n"/>
      <c r="N2655" s="81" t="n"/>
      <c r="O2655" s="81" t="n"/>
      <c r="P2655" s="81" t="n"/>
      <c r="Q2655" s="81" t="n"/>
      <c r="R2655" s="81" t="n"/>
      <c r="S2655" s="81" t="n"/>
      <c r="T2655" s="81" t="n"/>
      <c r="U2655" s="81" t="n"/>
      <c r="V2655" s="81" t="n"/>
      <c r="W2655" s="43" t="n"/>
    </row>
    <row r="2656">
      <c r="A2656" s="43" t="inlineStr">
        <is>
          <t>K6</t>
        </is>
      </c>
      <c r="B2656" s="43" t="inlineStr">
        <is>
          <t>下弦杆拼接</t>
        </is>
      </c>
      <c r="C2656" s="43" t="inlineStr">
        <is>
          <t>节段14~节段15</t>
        </is>
      </c>
      <c r="D2656" s="43" t="inlineStr">
        <is>
          <t>Q355D</t>
        </is>
      </c>
      <c r="E2656" s="43" t="n">
        <v>500</v>
      </c>
      <c r="F2656" s="43" t="n">
        <v>1700</v>
      </c>
      <c r="G2656" s="43" t="n">
        <v>8</v>
      </c>
      <c r="H2656" s="79">
        <f>(E2656/1000)*(F2656/1000)*(G2656/1000)*7850</f>
        <v/>
      </c>
      <c r="I2656" s="43" t="n">
        <v>2</v>
      </c>
      <c r="J2656" s="80">
        <f>H2656*I2656</f>
        <v/>
      </c>
      <c r="K2656" s="43" t="inlineStr">
        <is>
          <t>填板；来源页198</t>
        </is>
      </c>
      <c r="L2656" s="43">
        <f>A2656</f>
        <v/>
      </c>
      <c r="M2656" s="81" t="n"/>
      <c r="N2656" s="81" t="n"/>
      <c r="O2656" s="81" t="n"/>
      <c r="P2656" s="81" t="n"/>
      <c r="Q2656" s="81" t="n"/>
      <c r="R2656" s="81" t="n"/>
      <c r="S2656" s="81" t="n"/>
      <c r="T2656" s="81" t="n"/>
      <c r="U2656" s="81" t="n"/>
      <c r="V2656" s="81" t="n"/>
      <c r="W2656" s="43" t="n"/>
    </row>
    <row r="2657">
      <c r="A2657" s="43" t="inlineStr">
        <is>
          <t>K7</t>
        </is>
      </c>
      <c r="B2657" s="43" t="inlineStr">
        <is>
          <t>下弦杆拼接</t>
        </is>
      </c>
      <c r="C2657" s="43" t="inlineStr">
        <is>
          <t>节段14~节段15</t>
        </is>
      </c>
      <c r="D2657" s="43" t="inlineStr">
        <is>
          <t>Q355D</t>
        </is>
      </c>
      <c r="E2657" s="43" t="n">
        <v>650</v>
      </c>
      <c r="F2657" s="43" t="n">
        <v>1100</v>
      </c>
      <c r="G2657" s="43" t="n">
        <v>4</v>
      </c>
      <c r="H2657" s="79">
        <f>(E2657/1000)*(F2657/1000)*(G2657/1000)*7850</f>
        <v/>
      </c>
      <c r="I2657" s="43" t="n">
        <v>1</v>
      </c>
      <c r="J2657" s="80">
        <f>H2657*I2657</f>
        <v/>
      </c>
      <c r="K2657" s="43" t="inlineStr">
        <is>
          <t>填板；来源页198</t>
        </is>
      </c>
      <c r="L2657" s="43">
        <f>A2657</f>
        <v/>
      </c>
      <c r="M2657" s="81" t="n"/>
      <c r="N2657" s="81" t="n"/>
      <c r="O2657" s="81" t="n"/>
      <c r="P2657" s="81" t="n"/>
      <c r="Q2657" s="81" t="n"/>
      <c r="R2657" s="81" t="n"/>
      <c r="S2657" s="81" t="n"/>
      <c r="T2657" s="81" t="n"/>
      <c r="U2657" s="81" t="n"/>
      <c r="V2657" s="81" t="n"/>
      <c r="W2657" s="43" t="n"/>
    </row>
    <row r="2658">
      <c r="A2658" s="43" t="inlineStr">
        <is>
          <t>M30高强螺栓</t>
        </is>
      </c>
      <c r="B2658" s="43" t="inlineStr">
        <is>
          <t>下弦杆拼接</t>
        </is>
      </c>
      <c r="C2658" s="43" t="inlineStr">
        <is>
          <t>节段14~节段15</t>
        </is>
      </c>
      <c r="D2658" s="43" t="inlineStr">
        <is>
          <t>10.9S</t>
        </is>
      </c>
      <c r="E2658" s="43" t="n"/>
      <c r="F2658" s="43" t="n"/>
      <c r="G2658" s="43" t="n"/>
      <c r="H2658" s="79">
        <f>(E2658/1000)*(F2658/1000)*(G2658/1000)*7850</f>
        <v/>
      </c>
      <c r="I2658" s="43" t="n">
        <v>344</v>
      </c>
      <c r="J2658" s="80">
        <f>H2658*I2658</f>
        <v/>
      </c>
      <c r="K2658" s="43" t="inlineStr">
        <is>
          <t>来源页198</t>
        </is>
      </c>
      <c r="L2658" s="43">
        <f>A2658</f>
        <v/>
      </c>
      <c r="M2658" s="81" t="n"/>
      <c r="N2658" s="81" t="n"/>
      <c r="O2658" s="81" t="n"/>
      <c r="P2658" s="81" t="n"/>
      <c r="Q2658" s="81" t="n"/>
      <c r="R2658" s="81" t="n"/>
      <c r="S2658" s="81" t="n"/>
      <c r="T2658" s="81" t="n"/>
      <c r="U2658" s="81" t="n"/>
      <c r="V2658" s="81" t="n"/>
      <c r="W2658" s="43" t="n"/>
    </row>
    <row r="2659">
      <c r="A2659" s="43" t="inlineStr">
        <is>
          <t>L1</t>
        </is>
      </c>
      <c r="B2659" s="43" t="inlineStr">
        <is>
          <t>腹杆拼接</t>
        </is>
      </c>
      <c r="C2659" s="43" t="inlineStr">
        <is>
          <t>节段14~节段15</t>
        </is>
      </c>
      <c r="D2659" s="43" t="inlineStr">
        <is>
          <t>Q355D</t>
        </is>
      </c>
      <c r="E2659" s="43" t="n">
        <v>1520</v>
      </c>
      <c r="F2659" s="43" t="n">
        <v>1100</v>
      </c>
      <c r="G2659" s="43" t="n">
        <v>24</v>
      </c>
      <c r="H2659" s="79">
        <f>(E2659/1000)*(F2659/1000)*(G2659/1000)*7850</f>
        <v/>
      </c>
      <c r="I2659" s="43" t="n">
        <v>2</v>
      </c>
      <c r="J2659" s="80">
        <f>H2659*I2659</f>
        <v/>
      </c>
      <c r="K2659" s="43" t="inlineStr">
        <is>
          <t>来源页198</t>
        </is>
      </c>
      <c r="L2659" s="43">
        <f>A2659</f>
        <v/>
      </c>
      <c r="M2659" s="81" t="n"/>
      <c r="N2659" s="81" t="n"/>
      <c r="O2659" s="81" t="n"/>
      <c r="P2659" s="81" t="n"/>
      <c r="Q2659" s="81" t="n"/>
      <c r="R2659" s="81" t="n"/>
      <c r="S2659" s="81" t="n"/>
      <c r="T2659" s="81" t="n"/>
      <c r="U2659" s="81" t="n"/>
      <c r="V2659" s="81" t="n"/>
      <c r="W2659" s="43" t="n"/>
    </row>
    <row r="2660">
      <c r="A2660" s="43" t="inlineStr">
        <is>
          <t>L2</t>
        </is>
      </c>
      <c r="B2660" s="43" t="inlineStr">
        <is>
          <t>腹杆拼接</t>
        </is>
      </c>
      <c r="C2660" s="43" t="inlineStr">
        <is>
          <t>节段14~节段15</t>
        </is>
      </c>
      <c r="D2660" s="43" t="inlineStr">
        <is>
          <t>Q355D</t>
        </is>
      </c>
      <c r="E2660" s="43" t="n">
        <v>1520</v>
      </c>
      <c r="F2660" s="43" t="n">
        <v>500</v>
      </c>
      <c r="G2660" s="43" t="n">
        <v>24</v>
      </c>
      <c r="H2660" s="79">
        <f>(E2660/1000)*(F2660/1000)*(G2660/1000)*7850</f>
        <v/>
      </c>
      <c r="I2660" s="43" t="n">
        <v>4</v>
      </c>
      <c r="J2660" s="80">
        <f>H2660*I2660</f>
        <v/>
      </c>
      <c r="K2660" s="43" t="inlineStr">
        <is>
          <t>来源页198</t>
        </is>
      </c>
      <c r="L2660" s="43">
        <f>A2660</f>
        <v/>
      </c>
      <c r="M2660" s="81" t="n"/>
      <c r="N2660" s="81" t="n"/>
      <c r="O2660" s="81" t="n"/>
      <c r="P2660" s="81" t="n"/>
      <c r="Q2660" s="81" t="n"/>
      <c r="R2660" s="81" t="n"/>
      <c r="S2660" s="81" t="n"/>
      <c r="T2660" s="81" t="n"/>
      <c r="U2660" s="81" t="n"/>
      <c r="V2660" s="81" t="n"/>
      <c r="W2660" s="43" t="n"/>
    </row>
    <row r="2661">
      <c r="A2661" s="43" t="inlineStr">
        <is>
          <t>L3</t>
        </is>
      </c>
      <c r="B2661" s="43" t="inlineStr">
        <is>
          <t>腹杆拼接</t>
        </is>
      </c>
      <c r="C2661" s="43" t="inlineStr">
        <is>
          <t>节段14~节段15</t>
        </is>
      </c>
      <c r="D2661" s="43" t="inlineStr">
        <is>
          <t>Q355D</t>
        </is>
      </c>
      <c r="E2661" s="43" t="n">
        <v>1320</v>
      </c>
      <c r="F2661" s="43" t="n">
        <v>1100</v>
      </c>
      <c r="G2661" s="43" t="n">
        <v>28</v>
      </c>
      <c r="H2661" s="79">
        <f>(E2661/1000)*(F2661/1000)*(G2661/1000)*7850</f>
        <v/>
      </c>
      <c r="I2661" s="43" t="n">
        <v>1</v>
      </c>
      <c r="J2661" s="80">
        <f>H2661*I2661</f>
        <v/>
      </c>
      <c r="K2661" s="43" t="inlineStr">
        <is>
          <t>来源页198</t>
        </is>
      </c>
      <c r="L2661" s="43">
        <f>A2661</f>
        <v/>
      </c>
      <c r="M2661" s="81" t="n"/>
      <c r="N2661" s="81" t="n"/>
      <c r="O2661" s="81" t="n"/>
      <c r="P2661" s="81" t="n"/>
      <c r="Q2661" s="81" t="n"/>
      <c r="R2661" s="81" t="n"/>
      <c r="S2661" s="81" t="n"/>
      <c r="T2661" s="81" t="n"/>
      <c r="U2661" s="81" t="n"/>
      <c r="V2661" s="81" t="n"/>
      <c r="W2661" s="43" t="n"/>
    </row>
    <row r="2662">
      <c r="A2662" s="43" t="inlineStr">
        <is>
          <t>L4</t>
        </is>
      </c>
      <c r="B2662" s="43" t="inlineStr">
        <is>
          <t>腹杆拼接</t>
        </is>
      </c>
      <c r="C2662" s="43" t="inlineStr">
        <is>
          <t>节段14~节段15</t>
        </is>
      </c>
      <c r="D2662" s="43" t="inlineStr">
        <is>
          <t>Q355D</t>
        </is>
      </c>
      <c r="E2662" s="43" t="n">
        <v>1320</v>
      </c>
      <c r="F2662" s="43" t="n">
        <v>500</v>
      </c>
      <c r="G2662" s="43" t="n">
        <v>28</v>
      </c>
      <c r="H2662" s="79">
        <f>(E2662/1000)*(F2662/1000)*(G2662/1000)*7850</f>
        <v/>
      </c>
      <c r="I2662" s="43" t="n">
        <v>2</v>
      </c>
      <c r="J2662" s="80">
        <f>H2662*I2662</f>
        <v/>
      </c>
      <c r="K2662" s="43" t="inlineStr">
        <is>
          <t>来源页198</t>
        </is>
      </c>
      <c r="L2662" s="43">
        <f>A2662</f>
        <v/>
      </c>
      <c r="M2662" s="81" t="n"/>
      <c r="N2662" s="81" t="n"/>
      <c r="O2662" s="81" t="n"/>
      <c r="P2662" s="81" t="n"/>
      <c r="Q2662" s="81" t="n"/>
      <c r="R2662" s="81" t="n"/>
      <c r="S2662" s="81" t="n"/>
      <c r="T2662" s="81" t="n"/>
      <c r="U2662" s="81" t="n"/>
      <c r="V2662" s="81" t="n"/>
      <c r="W2662" s="43" t="n"/>
    </row>
    <row r="2663">
      <c r="A2663" s="43" t="inlineStr">
        <is>
          <t>L5</t>
        </is>
      </c>
      <c r="B2663" s="43" t="inlineStr">
        <is>
          <t>腹杆拼接</t>
        </is>
      </c>
      <c r="C2663" s="43" t="inlineStr">
        <is>
          <t>节段14~节段15</t>
        </is>
      </c>
      <c r="D2663" s="43" t="inlineStr">
        <is>
          <t>Q355D</t>
        </is>
      </c>
      <c r="E2663" s="43" t="n">
        <v>1520</v>
      </c>
      <c r="F2663" s="43" t="n">
        <v>1100</v>
      </c>
      <c r="G2663" s="43" t="n">
        <v>44</v>
      </c>
      <c r="H2663" s="79">
        <f>(E2663/1000)*(F2663/1000)*(G2663/1000)*7850</f>
        <v/>
      </c>
      <c r="I2663" s="43" t="n">
        <v>1</v>
      </c>
      <c r="J2663" s="80">
        <f>H2663*I2663</f>
        <v/>
      </c>
      <c r="K2663" s="43" t="inlineStr">
        <is>
          <t>来源页198</t>
        </is>
      </c>
      <c r="L2663" s="43">
        <f>A2663</f>
        <v/>
      </c>
      <c r="M2663" s="81" t="n"/>
      <c r="N2663" s="81" t="n"/>
      <c r="O2663" s="81" t="n"/>
      <c r="P2663" s="81" t="n"/>
      <c r="Q2663" s="81" t="n"/>
      <c r="R2663" s="81" t="n"/>
      <c r="S2663" s="81" t="n"/>
      <c r="T2663" s="81" t="n"/>
      <c r="U2663" s="81" t="n"/>
      <c r="V2663" s="81" t="n"/>
      <c r="W2663" s="43" t="n"/>
    </row>
    <row r="2664">
      <c r="A2664" s="43" t="inlineStr">
        <is>
          <t>L6</t>
        </is>
      </c>
      <c r="B2664" s="43" t="inlineStr">
        <is>
          <t>腹杆拼接</t>
        </is>
      </c>
      <c r="C2664" s="43" t="inlineStr">
        <is>
          <t>节段14~节段15</t>
        </is>
      </c>
      <c r="D2664" s="43" t="inlineStr">
        <is>
          <t>Q355D</t>
        </is>
      </c>
      <c r="E2664" s="43" t="n">
        <v>1520</v>
      </c>
      <c r="F2664" s="43" t="n">
        <v>240</v>
      </c>
      <c r="G2664" s="43" t="n">
        <v>44</v>
      </c>
      <c r="H2664" s="79">
        <f>(E2664/1000)*(F2664/1000)*(G2664/1000)*7850</f>
        <v/>
      </c>
      <c r="I2664" s="43" t="n">
        <v>2</v>
      </c>
      <c r="J2664" s="80">
        <f>H2664*I2664</f>
        <v/>
      </c>
      <c r="K2664" s="43" t="inlineStr">
        <is>
          <t>来源页198</t>
        </is>
      </c>
      <c r="L2664" s="43">
        <f>A2664</f>
        <v/>
      </c>
      <c r="M2664" s="81" t="n"/>
      <c r="N2664" s="81" t="n"/>
      <c r="O2664" s="81" t="n"/>
      <c r="P2664" s="81" t="n"/>
      <c r="Q2664" s="81" t="n"/>
      <c r="R2664" s="81" t="n"/>
      <c r="S2664" s="81" t="n"/>
      <c r="T2664" s="81" t="n"/>
      <c r="U2664" s="81" t="n"/>
      <c r="V2664" s="81" t="n"/>
      <c r="W2664" s="43" t="n"/>
    </row>
    <row r="2665">
      <c r="A2665" s="43" t="inlineStr">
        <is>
          <t>L7</t>
        </is>
      </c>
      <c r="B2665" s="43" t="inlineStr">
        <is>
          <t>腹杆拼接</t>
        </is>
      </c>
      <c r="C2665" s="43" t="inlineStr">
        <is>
          <t>节段14~节段15</t>
        </is>
      </c>
      <c r="D2665" s="43" t="inlineStr">
        <is>
          <t>Q355D</t>
        </is>
      </c>
      <c r="E2665" s="43" t="n">
        <v>1220</v>
      </c>
      <c r="F2665" s="43" t="n">
        <v>240</v>
      </c>
      <c r="G2665" s="43" t="n">
        <v>24</v>
      </c>
      <c r="H2665" s="79">
        <f>(E2665/1000)*(F2665/1000)*(G2665/1000)*7850</f>
        <v/>
      </c>
      <c r="I2665" s="43" t="n">
        <v>4</v>
      </c>
      <c r="J2665" s="80">
        <f>H2665*I2665</f>
        <v/>
      </c>
      <c r="K2665" s="43" t="inlineStr">
        <is>
          <t>来源页198</t>
        </is>
      </c>
      <c r="L2665" s="43">
        <f>A2665</f>
        <v/>
      </c>
      <c r="M2665" s="81" t="n"/>
      <c r="N2665" s="81" t="n"/>
      <c r="O2665" s="81" t="n"/>
      <c r="P2665" s="81" t="n"/>
      <c r="Q2665" s="81" t="n"/>
      <c r="R2665" s="81" t="n"/>
      <c r="S2665" s="81" t="n"/>
      <c r="T2665" s="81" t="n"/>
      <c r="U2665" s="81" t="n"/>
      <c r="V2665" s="81" t="n"/>
      <c r="W2665" s="43" t="n"/>
    </row>
    <row r="2666">
      <c r="A2666" s="43" t="inlineStr">
        <is>
          <t>L8</t>
        </is>
      </c>
      <c r="B2666" s="43" t="inlineStr">
        <is>
          <t>腹杆拼接</t>
        </is>
      </c>
      <c r="C2666" s="43" t="inlineStr">
        <is>
          <t>节段14~节段15</t>
        </is>
      </c>
      <c r="D2666" s="43" t="inlineStr">
        <is>
          <t>Q355D</t>
        </is>
      </c>
      <c r="E2666" s="43" t="n">
        <v>1320</v>
      </c>
      <c r="F2666" s="43" t="n">
        <v>240</v>
      </c>
      <c r="G2666" s="43" t="n">
        <v>24</v>
      </c>
      <c r="H2666" s="79">
        <f>(E2666/1000)*(F2666/1000)*(G2666/1000)*7850</f>
        <v/>
      </c>
      <c r="I2666" s="43" t="n">
        <v>2</v>
      </c>
      <c r="J2666" s="80">
        <f>H2666*I2666</f>
        <v/>
      </c>
      <c r="K2666" s="43" t="inlineStr">
        <is>
          <t>来源页198</t>
        </is>
      </c>
      <c r="L2666" s="43">
        <f>A2666</f>
        <v/>
      </c>
      <c r="M2666" s="81" t="n"/>
      <c r="N2666" s="81" t="n"/>
      <c r="O2666" s="81" t="n"/>
      <c r="P2666" s="81" t="n"/>
      <c r="Q2666" s="81" t="n"/>
      <c r="R2666" s="81" t="n"/>
      <c r="S2666" s="81" t="n"/>
      <c r="T2666" s="81" t="n"/>
      <c r="U2666" s="81" t="n"/>
      <c r="V2666" s="81" t="n"/>
      <c r="W2666" s="43" t="n"/>
    </row>
    <row r="2667">
      <c r="A2667" s="43" t="inlineStr"/>
      <c r="B2667" s="43" t="inlineStr"/>
      <c r="C2667" s="43" t="inlineStr">
        <is>
          <t>节段14~节段15</t>
        </is>
      </c>
      <c r="D2667" s="43" t="inlineStr">
        <is>
          <t>Q355D</t>
        </is>
      </c>
      <c r="E2667" s="43" t="n"/>
      <c r="F2667" s="43" t="n"/>
      <c r="G2667" s="43" t="n">
        <v>44</v>
      </c>
      <c r="H2667" s="79">
        <f>(E2667/1000)*(F2667/1000)*(G2667/1000)*7850</f>
        <v/>
      </c>
      <c r="I2667" s="43" t="n">
        <v>2</v>
      </c>
      <c r="J2667" s="80">
        <f>H2667*I2667</f>
        <v/>
      </c>
      <c r="K2667" s="43" t="inlineStr">
        <is>
          <t>来源页199</t>
        </is>
      </c>
      <c r="L2667" s="43">
        <f>A2667</f>
        <v/>
      </c>
      <c r="M2667" s="81" t="n"/>
      <c r="N2667" s="81" t="n"/>
      <c r="O2667" s="81" t="n"/>
      <c r="P2667" s="81" t="n"/>
      <c r="Q2667" s="81" t="n"/>
      <c r="R2667" s="81" t="n"/>
      <c r="S2667" s="81" t="n"/>
      <c r="T2667" s="81" t="n"/>
      <c r="U2667" s="81" t="n"/>
      <c r="V2667" s="81" t="n"/>
      <c r="W2667" s="43" t="n"/>
    </row>
    <row r="2668">
      <c r="A2668" s="43" t="inlineStr"/>
      <c r="B2668" s="43" t="inlineStr"/>
      <c r="C2668" s="43" t="inlineStr">
        <is>
          <t>节段14~节段15</t>
        </is>
      </c>
      <c r="D2668" s="43" t="inlineStr">
        <is>
          <t>Q355D</t>
        </is>
      </c>
      <c r="E2668" s="43" t="n"/>
      <c r="F2668" s="43" t="n"/>
      <c r="G2668" s="43" t="n">
        <v>36</v>
      </c>
      <c r="H2668" s="79">
        <f>(E2668/1000)*(F2668/1000)*(G2668/1000)*7850</f>
        <v/>
      </c>
      <c r="I2668" s="43" t="n">
        <v>2</v>
      </c>
      <c r="J2668" s="80">
        <f>H2668*I2668</f>
        <v/>
      </c>
      <c r="K2668" s="43" t="inlineStr">
        <is>
          <t>来源页199</t>
        </is>
      </c>
      <c r="L2668" s="43">
        <f>A2668</f>
        <v/>
      </c>
      <c r="M2668" s="81" t="n"/>
      <c r="N2668" s="81" t="n"/>
      <c r="O2668" s="81" t="n"/>
      <c r="P2668" s="81" t="n"/>
      <c r="Q2668" s="81" t="n"/>
      <c r="R2668" s="81" t="n"/>
      <c r="S2668" s="81" t="n"/>
      <c r="T2668" s="81" t="n"/>
      <c r="U2668" s="81" t="n"/>
      <c r="V2668" s="81" t="n"/>
      <c r="W2668" s="43" t="n"/>
    </row>
    <row r="2669">
      <c r="A2669" s="43" t="inlineStr"/>
      <c r="B2669" s="43" t="inlineStr"/>
      <c r="C2669" s="43" t="inlineStr">
        <is>
          <t>节段14~节段15</t>
        </is>
      </c>
      <c r="D2669" s="43" t="inlineStr">
        <is>
          <t>Q355D</t>
        </is>
      </c>
      <c r="E2669" s="43" t="n"/>
      <c r="F2669" s="43" t="n"/>
      <c r="G2669" s="43" t="n">
        <v>32</v>
      </c>
      <c r="H2669" s="79">
        <f>(E2669/1000)*(F2669/1000)*(G2669/1000)*7850</f>
        <v/>
      </c>
      <c r="I2669" s="43" t="n">
        <v>2</v>
      </c>
      <c r="J2669" s="80">
        <f>H2669*I2669</f>
        <v/>
      </c>
      <c r="K2669" s="43" t="inlineStr">
        <is>
          <t>来源页199</t>
        </is>
      </c>
      <c r="L2669" s="43">
        <f>A2669</f>
        <v/>
      </c>
      <c r="M2669" s="81" t="n"/>
      <c r="N2669" s="81" t="n"/>
      <c r="O2669" s="81" t="n"/>
      <c r="P2669" s="81" t="n"/>
      <c r="Q2669" s="81" t="n"/>
      <c r="R2669" s="81" t="n"/>
      <c r="S2669" s="81" t="n"/>
      <c r="T2669" s="81" t="n"/>
      <c r="U2669" s="81" t="n"/>
      <c r="V2669" s="81" t="n"/>
      <c r="W2669" s="43" t="n"/>
    </row>
    <row r="2670">
      <c r="A2670" s="43" t="inlineStr"/>
      <c r="B2670" s="43" t="inlineStr"/>
      <c r="C2670" s="43" t="inlineStr">
        <is>
          <t>节段14~节段15</t>
        </is>
      </c>
      <c r="D2670" s="43" t="inlineStr">
        <is>
          <t>Q355D</t>
        </is>
      </c>
      <c r="E2670" s="43" t="n"/>
      <c r="F2670" s="43" t="n"/>
      <c r="G2670" s="43" t="n">
        <v>28</v>
      </c>
      <c r="H2670" s="79">
        <f>(E2670/1000)*(F2670/1000)*(G2670/1000)*7850</f>
        <v/>
      </c>
      <c r="I2670" s="43" t="n">
        <v>2</v>
      </c>
      <c r="J2670" s="80">
        <f>H2670*I2670</f>
        <v/>
      </c>
      <c r="K2670" s="43" t="inlineStr">
        <is>
          <t>来源页199</t>
        </is>
      </c>
      <c r="L2670" s="43">
        <f>A2670</f>
        <v/>
      </c>
      <c r="M2670" s="81" t="n"/>
      <c r="N2670" s="81" t="n"/>
      <c r="O2670" s="81" t="n"/>
      <c r="P2670" s="81" t="n"/>
      <c r="Q2670" s="81" t="n"/>
      <c r="R2670" s="81" t="n"/>
      <c r="S2670" s="81" t="n"/>
      <c r="T2670" s="81" t="n"/>
      <c r="U2670" s="81" t="n"/>
      <c r="V2670" s="81" t="n"/>
      <c r="W2670" s="43" t="n"/>
    </row>
    <row r="2671">
      <c r="A2671" s="43" t="inlineStr"/>
      <c r="B2671" s="43" t="inlineStr"/>
      <c r="C2671" s="43" t="inlineStr">
        <is>
          <t>节段14~节段15</t>
        </is>
      </c>
      <c r="D2671" s="43" t="inlineStr">
        <is>
          <t>Q355D</t>
        </is>
      </c>
      <c r="E2671" s="43" t="n"/>
      <c r="F2671" s="43" t="n"/>
      <c r="G2671" s="43" t="n">
        <v>24</v>
      </c>
      <c r="H2671" s="79">
        <f>(E2671/1000)*(F2671/1000)*(G2671/1000)*7850</f>
        <v/>
      </c>
      <c r="I2671" s="43" t="n">
        <v>2</v>
      </c>
      <c r="J2671" s="80">
        <f>H2671*I2671</f>
        <v/>
      </c>
      <c r="K2671" s="43" t="inlineStr">
        <is>
          <t>来源页199</t>
        </is>
      </c>
      <c r="L2671" s="43">
        <f>A2671</f>
        <v/>
      </c>
      <c r="M2671" s="81" t="n"/>
      <c r="N2671" s="81" t="n"/>
      <c r="O2671" s="81" t="n"/>
      <c r="P2671" s="81" t="n"/>
      <c r="Q2671" s="81" t="n"/>
      <c r="R2671" s="81" t="n"/>
      <c r="S2671" s="81" t="n"/>
      <c r="T2671" s="81" t="n"/>
      <c r="U2671" s="81" t="n"/>
      <c r="V2671" s="81" t="n"/>
      <c r="W2671" s="43" t="n"/>
    </row>
    <row r="2672">
      <c r="A2672" s="43" t="inlineStr"/>
      <c r="B2672" s="43" t="inlineStr"/>
      <c r="C2672" s="43" t="inlineStr">
        <is>
          <t>节段14~节段15</t>
        </is>
      </c>
      <c r="D2672" s="43" t="inlineStr">
        <is>
          <t>Q355D</t>
        </is>
      </c>
      <c r="E2672" s="43" t="n"/>
      <c r="F2672" s="43" t="n"/>
      <c r="G2672" s="43" t="n">
        <v>20</v>
      </c>
      <c r="H2672" s="79">
        <f>(E2672/1000)*(F2672/1000)*(G2672/1000)*7850</f>
        <v/>
      </c>
      <c r="I2672" s="43" t="n">
        <v>2</v>
      </c>
      <c r="J2672" s="80">
        <f>H2672*I2672</f>
        <v/>
      </c>
      <c r="K2672" s="43" t="inlineStr">
        <is>
          <t>来源页199</t>
        </is>
      </c>
      <c r="L2672" s="43">
        <f>A2672</f>
        <v/>
      </c>
      <c r="M2672" s="81" t="n"/>
      <c r="N2672" s="81" t="n"/>
      <c r="O2672" s="81" t="n"/>
      <c r="P2672" s="81" t="n"/>
      <c r="Q2672" s="81" t="n"/>
      <c r="R2672" s="81" t="n"/>
      <c r="S2672" s="81" t="n"/>
      <c r="T2672" s="81" t="n"/>
      <c r="U2672" s="81" t="n"/>
      <c r="V2672" s="81" t="n"/>
      <c r="W2672" s="43" t="n"/>
    </row>
    <row r="2673">
      <c r="A2673" s="43" t="inlineStr"/>
      <c r="B2673" s="43" t="inlineStr"/>
      <c r="C2673" s="43" t="inlineStr">
        <is>
          <t>节段14~节段15</t>
        </is>
      </c>
      <c r="D2673" s="43" t="inlineStr">
        <is>
          <t>Q355D</t>
        </is>
      </c>
      <c r="E2673" s="43" t="n"/>
      <c r="F2673" s="43" t="n"/>
      <c r="G2673" s="43" t="n">
        <v>16</v>
      </c>
      <c r="H2673" s="79">
        <f>(E2673/1000)*(F2673/1000)*(G2673/1000)*7850</f>
        <v/>
      </c>
      <c r="I2673" s="43" t="n">
        <v>2</v>
      </c>
      <c r="J2673" s="80">
        <f>H2673*I2673</f>
        <v/>
      </c>
      <c r="K2673" s="43" t="inlineStr">
        <is>
          <t>来源页199</t>
        </is>
      </c>
      <c r="L2673" s="43">
        <f>A2673</f>
        <v/>
      </c>
      <c r="M2673" s="81" t="n"/>
      <c r="N2673" s="81" t="n"/>
      <c r="O2673" s="81" t="n"/>
      <c r="P2673" s="81" t="n"/>
      <c r="Q2673" s="81" t="n"/>
      <c r="R2673" s="81" t="n"/>
      <c r="S2673" s="81" t="n"/>
      <c r="T2673" s="81" t="n"/>
      <c r="U2673" s="81" t="n"/>
      <c r="V2673" s="81" t="n"/>
      <c r="W2673" s="43" t="n"/>
    </row>
    <row r="2674">
      <c r="A2674" s="43" t="inlineStr"/>
      <c r="B2674" s="43" t="inlineStr"/>
      <c r="C2674" s="43" t="inlineStr">
        <is>
          <t>节段14~节段15</t>
        </is>
      </c>
      <c r="D2674" s="43" t="inlineStr">
        <is>
          <t>Q355D</t>
        </is>
      </c>
      <c r="E2674" s="43" t="n"/>
      <c r="F2674" s="43" t="n"/>
      <c r="G2674" s="43" t="n">
        <v>8</v>
      </c>
      <c r="H2674" s="79">
        <f>(E2674/1000)*(F2674/1000)*(G2674/1000)*7850</f>
        <v/>
      </c>
      <c r="I2674" s="43" t="n">
        <v>2</v>
      </c>
      <c r="J2674" s="80">
        <f>H2674*I2674</f>
        <v/>
      </c>
      <c r="K2674" s="43" t="inlineStr">
        <is>
          <t>来源页199</t>
        </is>
      </c>
      <c r="L2674" s="43">
        <f>A2674</f>
        <v/>
      </c>
      <c r="M2674" s="81" t="n"/>
      <c r="N2674" s="81" t="n"/>
      <c r="O2674" s="81" t="n"/>
      <c r="P2674" s="81" t="n"/>
      <c r="Q2674" s="81" t="n"/>
      <c r="R2674" s="81" t="n"/>
      <c r="S2674" s="81" t="n"/>
      <c r="T2674" s="81" t="n"/>
      <c r="U2674" s="81" t="n"/>
      <c r="V2674" s="81" t="n"/>
      <c r="W2674" s="43" t="n"/>
    </row>
    <row r="2675">
      <c r="A2675" s="43" t="inlineStr"/>
      <c r="B2675" s="43" t="inlineStr"/>
      <c r="C2675" s="43" t="inlineStr">
        <is>
          <t>节段14~节段15</t>
        </is>
      </c>
      <c r="D2675" s="43" t="inlineStr">
        <is>
          <t>Q355D</t>
        </is>
      </c>
      <c r="E2675" s="43" t="n"/>
      <c r="F2675" s="43" t="n"/>
      <c r="G2675" s="43" t="n">
        <v>4</v>
      </c>
      <c r="H2675" s="79">
        <f>(E2675/1000)*(F2675/1000)*(G2675/1000)*7850</f>
        <v/>
      </c>
      <c r="I2675" s="43" t="n">
        <v>2</v>
      </c>
      <c r="J2675" s="80">
        <f>H2675*I2675</f>
        <v/>
      </c>
      <c r="K2675" s="43" t="inlineStr">
        <is>
          <t>来源页199</t>
        </is>
      </c>
      <c r="L2675" s="43">
        <f>A2675</f>
        <v/>
      </c>
      <c r="M2675" s="81" t="n"/>
      <c r="N2675" s="81" t="n"/>
      <c r="O2675" s="81" t="n"/>
      <c r="P2675" s="81" t="n"/>
      <c r="Q2675" s="81" t="n"/>
      <c r="R2675" s="81" t="n"/>
      <c r="S2675" s="81" t="n"/>
      <c r="T2675" s="81" t="n"/>
      <c r="U2675" s="81" t="n"/>
      <c r="V2675" s="81" t="n"/>
      <c r="W2675" s="43" t="n"/>
    </row>
    <row r="2676">
      <c r="A2676" s="43" t="inlineStr"/>
      <c r="B2676" s="43" t="inlineStr"/>
      <c r="C2676" s="43" t="inlineStr">
        <is>
          <t>节段14~节段15</t>
        </is>
      </c>
      <c r="D2676" s="43" t="inlineStr">
        <is>
          <t>10.9S高强螺栓</t>
        </is>
      </c>
      <c r="E2676" s="43" t="n"/>
      <c r="F2676" s="43" t="n"/>
      <c r="G2676" s="43" t="n"/>
      <c r="H2676" s="79">
        <f>(E2676/1000)*(F2676/1000)*(G2676/1000)*7850</f>
        <v/>
      </c>
      <c r="I2676" s="43" t="n">
        <v>2</v>
      </c>
      <c r="J2676" s="80">
        <f>H2676*I2676</f>
        <v/>
      </c>
      <c r="K2676" s="43" t="inlineStr">
        <is>
          <t>来源页199</t>
        </is>
      </c>
      <c r="L2676" s="43">
        <f>A2676</f>
        <v/>
      </c>
      <c r="M2676" s="81" t="n"/>
      <c r="N2676" s="81" t="n"/>
      <c r="O2676" s="81" t="n"/>
      <c r="P2676" s="81" t="n"/>
      <c r="Q2676" s="81" t="n"/>
      <c r="R2676" s="81" t="n"/>
      <c r="S2676" s="81" t="n"/>
      <c r="T2676" s="81" t="n"/>
      <c r="U2676" s="81" t="n"/>
      <c r="V2676" s="81" t="n"/>
      <c r="W2676" s="43" t="n"/>
    </row>
    <row r="2677">
      <c r="A2677" s="43" t="inlineStr">
        <is>
          <t>N11a</t>
        </is>
      </c>
      <c r="B2677" s="43" t="inlineStr"/>
      <c r="C2677" s="43" t="inlineStr">
        <is>
          <t>节段15</t>
        </is>
      </c>
      <c r="D2677" s="43" t="inlineStr">
        <is>
          <t>Q420D</t>
        </is>
      </c>
      <c r="E2677" s="43" t="n"/>
      <c r="F2677" s="43" t="n"/>
      <c r="G2677" s="43" t="n">
        <v>40</v>
      </c>
      <c r="H2677" s="79">
        <f>(E2677/1000)*(F2677/1000)*(G2677/1000)*7850</f>
        <v/>
      </c>
      <c r="I2677" s="43" t="n">
        <v>1</v>
      </c>
      <c r="J2677" s="80">
        <f>H2677*I2677</f>
        <v/>
      </c>
      <c r="K2677" s="43" t="inlineStr">
        <is>
          <t>来源页199</t>
        </is>
      </c>
      <c r="L2677" s="43">
        <f>A2677</f>
        <v/>
      </c>
      <c r="M2677" s="81" t="n"/>
      <c r="N2677" s="81" t="n"/>
      <c r="O2677" s="81" t="n"/>
      <c r="P2677" s="81" t="n"/>
      <c r="Q2677" s="81" t="n"/>
      <c r="R2677" s="81" t="n"/>
      <c r="S2677" s="81" t="n"/>
      <c r="T2677" s="81" t="n"/>
      <c r="U2677" s="81" t="n"/>
      <c r="V2677" s="81" t="n"/>
      <c r="W2677" s="43" t="n"/>
    </row>
    <row r="2678">
      <c r="A2678" s="43" t="inlineStr">
        <is>
          <t>N11b</t>
        </is>
      </c>
      <c r="B2678" s="43" t="inlineStr"/>
      <c r="C2678" s="43" t="inlineStr">
        <is>
          <t>节段15</t>
        </is>
      </c>
      <c r="D2678" s="43" t="inlineStr">
        <is>
          <t>Q355D</t>
        </is>
      </c>
      <c r="E2678" s="43" t="n"/>
      <c r="F2678" s="43" t="n"/>
      <c r="G2678" s="43" t="n">
        <v>24</v>
      </c>
      <c r="H2678" s="79">
        <f>(E2678/1000)*(F2678/1000)*(G2678/1000)*7850</f>
        <v/>
      </c>
      <c r="I2678" s="43" t="n">
        <v>1</v>
      </c>
      <c r="J2678" s="80">
        <f>H2678*I2678</f>
        <v/>
      </c>
      <c r="K2678" s="43" t="inlineStr">
        <is>
          <t>来源页199</t>
        </is>
      </c>
      <c r="L2678" s="43">
        <f>A2678</f>
        <v/>
      </c>
      <c r="M2678" s="81" t="n"/>
      <c r="N2678" s="81" t="n"/>
      <c r="O2678" s="81" t="n"/>
      <c r="P2678" s="81" t="n"/>
      <c r="Q2678" s="81" t="n"/>
      <c r="R2678" s="81" t="n"/>
      <c r="S2678" s="81" t="n"/>
      <c r="T2678" s="81" t="n"/>
      <c r="U2678" s="81" t="n"/>
      <c r="V2678" s="81" t="n"/>
      <c r="W2678" s="43" t="n"/>
    </row>
    <row r="2679">
      <c r="A2679" s="43" t="inlineStr">
        <is>
          <t>N12α</t>
        </is>
      </c>
      <c r="B2679" s="43" t="inlineStr"/>
      <c r="C2679" s="43" t="inlineStr">
        <is>
          <t>节段15</t>
        </is>
      </c>
      <c r="D2679" s="43" t="inlineStr">
        <is>
          <t>Q420D</t>
        </is>
      </c>
      <c r="E2679" s="43" t="n">
        <v>7900</v>
      </c>
      <c r="F2679" s="43" t="n">
        <v>1200</v>
      </c>
      <c r="G2679" s="43" t="n">
        <v>40</v>
      </c>
      <c r="H2679" s="79">
        <f>(E2679/1000)*(F2679/1000)*(G2679/1000)*7850</f>
        <v/>
      </c>
      <c r="I2679" s="43" t="n">
        <v>1</v>
      </c>
      <c r="J2679" s="80">
        <f>H2679*I2679</f>
        <v/>
      </c>
      <c r="K2679" s="43" t="inlineStr">
        <is>
          <t>来源页199</t>
        </is>
      </c>
      <c r="L2679" s="43">
        <f>A2679</f>
        <v/>
      </c>
      <c r="M2679" s="81" t="n"/>
      <c r="N2679" s="81" t="n"/>
      <c r="O2679" s="81" t="n"/>
      <c r="P2679" s="81" t="n"/>
      <c r="Q2679" s="81" t="n"/>
      <c r="R2679" s="81" t="n"/>
      <c r="S2679" s="81" t="n"/>
      <c r="T2679" s="81" t="n"/>
      <c r="U2679" s="81" t="n"/>
      <c r="V2679" s="81" t="n"/>
      <c r="W2679" s="43" t="n"/>
    </row>
    <row r="2680">
      <c r="A2680" s="43" t="inlineStr">
        <is>
          <t>N12b</t>
        </is>
      </c>
      <c r="B2680" s="43" t="inlineStr"/>
      <c r="C2680" s="43" t="inlineStr">
        <is>
          <t>节段15</t>
        </is>
      </c>
      <c r="D2680" s="43" t="inlineStr">
        <is>
          <t>Q355D</t>
        </is>
      </c>
      <c r="E2680" s="43" t="n">
        <v>7100</v>
      </c>
      <c r="F2680" s="43" t="n">
        <v>1200</v>
      </c>
      <c r="G2680" s="43" t="n">
        <v>24</v>
      </c>
      <c r="H2680" s="79">
        <f>(E2680/1000)*(F2680/1000)*(G2680/1000)*7850</f>
        <v/>
      </c>
      <c r="I2680" s="43" t="n">
        <v>1</v>
      </c>
      <c r="J2680" s="80">
        <f>H2680*I2680</f>
        <v/>
      </c>
      <c r="K2680" s="43" t="inlineStr">
        <is>
          <t>来源页199</t>
        </is>
      </c>
      <c r="L2680" s="43">
        <f>A2680</f>
        <v/>
      </c>
      <c r="M2680" s="81" t="n"/>
      <c r="N2680" s="81" t="n"/>
      <c r="O2680" s="81" t="n"/>
      <c r="P2680" s="81" t="n"/>
      <c r="Q2680" s="81" t="n"/>
      <c r="R2680" s="81" t="n"/>
      <c r="S2680" s="81" t="n"/>
      <c r="T2680" s="81" t="n"/>
      <c r="U2680" s="81" t="n"/>
      <c r="V2680" s="81" t="n"/>
      <c r="W2680" s="43" t="n"/>
    </row>
    <row r="2681">
      <c r="A2681" s="43" t="inlineStr">
        <is>
          <t>N13</t>
        </is>
      </c>
      <c r="B2681" s="43" t="inlineStr"/>
      <c r="C2681" s="43" t="inlineStr">
        <is>
          <t>节段15</t>
        </is>
      </c>
      <c r="D2681" s="43" t="inlineStr">
        <is>
          <t>Q420D</t>
        </is>
      </c>
      <c r="E2681" s="43" t="n"/>
      <c r="F2681" s="43" t="n"/>
      <c r="G2681" s="43" t="n">
        <v>48</v>
      </c>
      <c r="H2681" s="79">
        <f>(E2681/1000)*(F2681/1000)*(G2681/1000)*7850</f>
        <v/>
      </c>
      <c r="I2681" s="43" t="n">
        <v>2</v>
      </c>
      <c r="J2681" s="80">
        <f>H2681*I2681</f>
        <v/>
      </c>
      <c r="K2681" s="43" t="inlineStr">
        <is>
          <t>来源页199</t>
        </is>
      </c>
      <c r="L2681" s="43">
        <f>A2681</f>
        <v/>
      </c>
      <c r="M2681" s="81" t="n"/>
      <c r="N2681" s="81" t="n"/>
      <c r="O2681" s="81" t="n"/>
      <c r="P2681" s="81" t="n"/>
      <c r="Q2681" s="81" t="n"/>
      <c r="R2681" s="81" t="n"/>
      <c r="S2681" s="81" t="n"/>
      <c r="T2681" s="81" t="n"/>
      <c r="U2681" s="81" t="n"/>
      <c r="V2681" s="81" t="n"/>
      <c r="W2681" s="43" t="n"/>
    </row>
    <row r="2682">
      <c r="A2682" s="43" t="inlineStr">
        <is>
          <t>N14</t>
        </is>
      </c>
      <c r="B2682" s="43" t="inlineStr"/>
      <c r="C2682" s="43" t="inlineStr">
        <is>
          <t>节段15</t>
        </is>
      </c>
      <c r="D2682" s="43" t="inlineStr">
        <is>
          <t>Q355D</t>
        </is>
      </c>
      <c r="E2682" s="43" t="n">
        <v>7300</v>
      </c>
      <c r="F2682" s="43" t="n">
        <v>1644</v>
      </c>
      <c r="G2682" s="43" t="n">
        <v>32</v>
      </c>
      <c r="H2682" s="79">
        <f>(E2682/1000)*(F2682/1000)*(G2682/1000)*7850</f>
        <v/>
      </c>
      <c r="I2682" s="43" t="n">
        <v>2</v>
      </c>
      <c r="J2682" s="80">
        <f>H2682*I2682</f>
        <v/>
      </c>
      <c r="K2682" s="43" t="inlineStr">
        <is>
          <t>来源页199</t>
        </is>
      </c>
      <c r="L2682" s="43">
        <f>A2682</f>
        <v/>
      </c>
      <c r="M2682" s="81" t="n"/>
      <c r="N2682" s="81" t="n"/>
      <c r="O2682" s="81" t="n"/>
      <c r="P2682" s="81" t="n"/>
      <c r="Q2682" s="81" t="n"/>
      <c r="R2682" s="81" t="n"/>
      <c r="S2682" s="81" t="n"/>
      <c r="T2682" s="81" t="n"/>
      <c r="U2682" s="81" t="n"/>
      <c r="V2682" s="81" t="n"/>
      <c r="W2682" s="43" t="n"/>
    </row>
    <row r="2683">
      <c r="A2683" s="43" t="inlineStr">
        <is>
          <t>N15</t>
        </is>
      </c>
      <c r="B2683" s="43" t="inlineStr"/>
      <c r="C2683" s="43" t="inlineStr">
        <is>
          <t>节段15</t>
        </is>
      </c>
      <c r="D2683" s="43" t="inlineStr">
        <is>
          <t>Q355D</t>
        </is>
      </c>
      <c r="E2683" s="43" t="n">
        <v>1560</v>
      </c>
      <c r="F2683" s="43" t="n">
        <v>1200</v>
      </c>
      <c r="G2683" s="43" t="n">
        <v>16</v>
      </c>
      <c r="H2683" s="79">
        <f>(E2683/1000)*(F2683/1000)*(G2683/1000)*7850</f>
        <v/>
      </c>
      <c r="I2683" s="43" t="n">
        <v>3</v>
      </c>
      <c r="J2683" s="80">
        <f>H2683*I2683</f>
        <v/>
      </c>
      <c r="K2683" s="43" t="inlineStr">
        <is>
          <t>来源页199</t>
        </is>
      </c>
      <c r="L2683" s="43">
        <f>A2683</f>
        <v/>
      </c>
      <c r="M2683" s="81" t="n"/>
      <c r="N2683" s="81" t="n"/>
      <c r="O2683" s="81" t="n"/>
      <c r="P2683" s="81" t="n"/>
      <c r="Q2683" s="81" t="n"/>
      <c r="R2683" s="81" t="n"/>
      <c r="S2683" s="81" t="n"/>
      <c r="T2683" s="81" t="n"/>
      <c r="U2683" s="81" t="n"/>
      <c r="V2683" s="81" t="n"/>
      <c r="W2683" s="43" t="n"/>
    </row>
    <row r="2684">
      <c r="A2684" s="43" t="inlineStr">
        <is>
          <t>N15a</t>
        </is>
      </c>
      <c r="B2684" s="43" t="inlineStr"/>
      <c r="C2684" s="43" t="inlineStr">
        <is>
          <t>节段15</t>
        </is>
      </c>
      <c r="D2684" s="43" t="inlineStr">
        <is>
          <t>Q355D</t>
        </is>
      </c>
      <c r="E2684" s="43" t="n">
        <v>1576</v>
      </c>
      <c r="F2684" s="43" t="n">
        <v>1200</v>
      </c>
      <c r="G2684" s="43" t="n">
        <v>16</v>
      </c>
      <c r="H2684" s="79">
        <f>(E2684/1000)*(F2684/1000)*(G2684/1000)*7850</f>
        <v/>
      </c>
      <c r="I2684" s="43" t="n">
        <v>2</v>
      </c>
      <c r="J2684" s="80">
        <f>H2684*I2684</f>
        <v/>
      </c>
      <c r="K2684" s="43" t="inlineStr">
        <is>
          <t>来源页199</t>
        </is>
      </c>
      <c r="L2684" s="43">
        <f>A2684</f>
        <v/>
      </c>
      <c r="M2684" s="81" t="n"/>
      <c r="N2684" s="81" t="n"/>
      <c r="O2684" s="81" t="n"/>
      <c r="P2684" s="81" t="n"/>
      <c r="Q2684" s="81" t="n"/>
      <c r="R2684" s="81" t="n"/>
      <c r="S2684" s="81" t="n"/>
      <c r="T2684" s="81" t="n"/>
      <c r="U2684" s="81" t="n"/>
      <c r="V2684" s="81" t="n"/>
      <c r="W2684" s="43" t="n"/>
    </row>
    <row r="2685">
      <c r="A2685" s="43" t="inlineStr">
        <is>
          <t>N15‘</t>
        </is>
      </c>
      <c r="B2685" s="43" t="inlineStr"/>
      <c r="C2685" s="43" t="inlineStr">
        <is>
          <t>节段15</t>
        </is>
      </c>
      <c r="D2685" s="43" t="inlineStr">
        <is>
          <t>Q355D</t>
        </is>
      </c>
      <c r="E2685" s="43" t="n">
        <v>1657</v>
      </c>
      <c r="F2685" s="43" t="n">
        <v>200</v>
      </c>
      <c r="G2685" s="43" t="n">
        <v>16</v>
      </c>
      <c r="H2685" s="79">
        <f>(E2685/1000)*(F2685/1000)*(G2685/1000)*7850</f>
        <v/>
      </c>
      <c r="I2685" s="43" t="n">
        <v>3</v>
      </c>
      <c r="J2685" s="80">
        <f>H2685*I2685</f>
        <v/>
      </c>
      <c r="K2685" s="43" t="inlineStr">
        <is>
          <t>来源页199</t>
        </is>
      </c>
      <c r="L2685" s="43">
        <f>A2685</f>
        <v/>
      </c>
      <c r="M2685" s="81" t="n"/>
      <c r="N2685" s="81" t="n"/>
      <c r="O2685" s="81" t="n"/>
      <c r="P2685" s="81" t="n"/>
      <c r="Q2685" s="81" t="n"/>
      <c r="R2685" s="81" t="n"/>
      <c r="S2685" s="81" t="n"/>
      <c r="T2685" s="81" t="n"/>
      <c r="U2685" s="81" t="n"/>
      <c r="V2685" s="81" t="n"/>
      <c r="W2685" s="43" t="n"/>
    </row>
    <row r="2686">
      <c r="A2686" s="43" t="inlineStr">
        <is>
          <t>N15b</t>
        </is>
      </c>
      <c r="B2686" s="43" t="inlineStr"/>
      <c r="C2686" s="43" t="inlineStr">
        <is>
          <t>节段15</t>
        </is>
      </c>
      <c r="D2686" s="43" t="inlineStr">
        <is>
          <t>Q355D</t>
        </is>
      </c>
      <c r="E2686" s="43" t="n">
        <v>1782</v>
      </c>
      <c r="F2686" s="43" t="n">
        <v>40</v>
      </c>
      <c r="G2686" s="43" t="n">
        <v>4</v>
      </c>
      <c r="H2686" s="79">
        <f>(E2686/1000)*(F2686/1000)*(G2686/1000)*7850</f>
        <v/>
      </c>
      <c r="I2686" s="43" t="n">
        <v>4</v>
      </c>
      <c r="J2686" s="80">
        <f>H2686*I2686</f>
        <v/>
      </c>
      <c r="K2686" s="43" t="inlineStr">
        <is>
          <t>来源页199</t>
        </is>
      </c>
      <c r="L2686" s="43">
        <f>A2686</f>
        <v/>
      </c>
      <c r="M2686" s="81" t="n"/>
      <c r="N2686" s="81" t="n"/>
      <c r="O2686" s="81" t="n"/>
      <c r="P2686" s="81" t="n"/>
      <c r="Q2686" s="81" t="n"/>
      <c r="R2686" s="81" t="n"/>
      <c r="S2686" s="81" t="n"/>
      <c r="T2686" s="81" t="n"/>
      <c r="U2686" s="81" t="n"/>
      <c r="V2686" s="81" t="n"/>
      <c r="W2686" s="43" t="n"/>
    </row>
    <row r="2687">
      <c r="A2687" s="43" t="inlineStr">
        <is>
          <t>N15c</t>
        </is>
      </c>
      <c r="B2687" s="43" t="inlineStr"/>
      <c r="C2687" s="43" t="inlineStr">
        <is>
          <t>节段15</t>
        </is>
      </c>
      <c r="D2687" s="43" t="inlineStr">
        <is>
          <t>Q355D</t>
        </is>
      </c>
      <c r="E2687" s="43" t="n">
        <v>600</v>
      </c>
      <c r="F2687" s="43" t="n">
        <v>400</v>
      </c>
      <c r="G2687" s="43" t="n">
        <v>16</v>
      </c>
      <c r="H2687" s="79">
        <f>(E2687/1000)*(F2687/1000)*(G2687/1000)*7850</f>
        <v/>
      </c>
      <c r="I2687" s="43" t="n">
        <v>4</v>
      </c>
      <c r="J2687" s="80">
        <f>H2687*I2687</f>
        <v/>
      </c>
      <c r="K2687" s="43" t="inlineStr">
        <is>
          <t>来源页199</t>
        </is>
      </c>
      <c r="L2687" s="43">
        <f>A2687</f>
        <v/>
      </c>
      <c r="M2687" s="81" t="n"/>
      <c r="N2687" s="81" t="n"/>
      <c r="O2687" s="81" t="n"/>
      <c r="P2687" s="81" t="n"/>
      <c r="Q2687" s="81" t="n"/>
      <c r="R2687" s="81" t="n"/>
      <c r="S2687" s="81" t="n"/>
      <c r="T2687" s="81" t="n"/>
      <c r="U2687" s="81" t="n"/>
      <c r="V2687" s="81" t="n"/>
      <c r="W2687" s="43" t="n"/>
    </row>
    <row r="2688">
      <c r="A2688" s="43" t="inlineStr">
        <is>
          <t>N16a</t>
        </is>
      </c>
      <c r="B2688" s="43" t="inlineStr"/>
      <c r="C2688" s="43" t="inlineStr">
        <is>
          <t>节段15</t>
        </is>
      </c>
      <c r="D2688" s="43" t="inlineStr">
        <is>
          <t>Q420D</t>
        </is>
      </c>
      <c r="E2688" s="43" t="n">
        <v>7900</v>
      </c>
      <c r="F2688" s="43" t="n">
        <v>320</v>
      </c>
      <c r="G2688" s="43" t="n">
        <v>32</v>
      </c>
      <c r="H2688" s="79">
        <f>(E2688/1000)*(F2688/1000)*(G2688/1000)*7850</f>
        <v/>
      </c>
      <c r="I2688" s="43" t="n">
        <v>6</v>
      </c>
      <c r="J2688" s="80">
        <f>H2688*I2688</f>
        <v/>
      </c>
      <c r="K2688" s="43" t="inlineStr">
        <is>
          <t>来源页199</t>
        </is>
      </c>
      <c r="L2688" s="43">
        <f>A2688</f>
        <v/>
      </c>
      <c r="M2688" s="81" t="n"/>
      <c r="N2688" s="81" t="n"/>
      <c r="O2688" s="81" t="n"/>
      <c r="P2688" s="81" t="n"/>
      <c r="Q2688" s="81" t="n"/>
      <c r="R2688" s="81" t="n"/>
      <c r="S2688" s="81" t="n"/>
      <c r="T2688" s="81" t="n"/>
      <c r="U2688" s="81" t="n"/>
      <c r="V2688" s="81" t="n"/>
      <c r="W2688" s="43" t="n"/>
    </row>
    <row r="2689">
      <c r="A2689" s="43" t="inlineStr">
        <is>
          <t>N21α</t>
        </is>
      </c>
      <c r="B2689" s="43" t="inlineStr"/>
      <c r="C2689" s="43" t="inlineStr">
        <is>
          <t>节段15</t>
        </is>
      </c>
      <c r="D2689" s="43" t="inlineStr">
        <is>
          <t>Q355D</t>
        </is>
      </c>
      <c r="E2689" s="43" t="n">
        <v>7900</v>
      </c>
      <c r="F2689" s="43" t="n">
        <v>1850</v>
      </c>
      <c r="G2689" s="43" t="n">
        <v>24</v>
      </c>
      <c r="H2689" s="79">
        <f>(E2689/1000)*(F2689/1000)*(G2689/1000)*7850</f>
        <v/>
      </c>
      <c r="I2689" s="43" t="n">
        <v>1</v>
      </c>
      <c r="J2689" s="80">
        <f>H2689*I2689</f>
        <v/>
      </c>
      <c r="K2689" s="43" t="inlineStr">
        <is>
          <t>来源页199</t>
        </is>
      </c>
      <c r="L2689" s="43">
        <f>A2689</f>
        <v/>
      </c>
      <c r="M2689" s="81" t="n"/>
      <c r="N2689" s="81" t="n"/>
      <c r="O2689" s="81" t="n"/>
      <c r="P2689" s="81" t="n"/>
      <c r="Q2689" s="81" t="n"/>
      <c r="R2689" s="81" t="n"/>
      <c r="S2689" s="81" t="n"/>
      <c r="T2689" s="81" t="n"/>
      <c r="U2689" s="81" t="n"/>
      <c r="V2689" s="81" t="n"/>
      <c r="W2689" s="43" t="n"/>
    </row>
    <row r="2690">
      <c r="A2690" s="43" t="inlineStr">
        <is>
          <t>N21b</t>
        </is>
      </c>
      <c r="B2690" s="43" t="inlineStr"/>
      <c r="C2690" s="43" t="inlineStr">
        <is>
          <t>节段15</t>
        </is>
      </c>
      <c r="D2690" s="43" t="inlineStr">
        <is>
          <t>Q355D</t>
        </is>
      </c>
      <c r="E2690" s="43" t="n">
        <v>7100</v>
      </c>
      <c r="F2690" s="43" t="n">
        <v>1850</v>
      </c>
      <c r="G2690" s="43" t="n">
        <v>24</v>
      </c>
      <c r="H2690" s="79">
        <f>(E2690/1000)*(F2690/1000)*(G2690/1000)*7850</f>
        <v/>
      </c>
      <c r="I2690" s="43" t="n">
        <v>1</v>
      </c>
      <c r="J2690" s="80">
        <f>H2690*I2690</f>
        <v/>
      </c>
      <c r="K2690" s="43" t="inlineStr">
        <is>
          <t>来源页199</t>
        </is>
      </c>
      <c r="L2690" s="43">
        <f>A2690</f>
        <v/>
      </c>
      <c r="M2690" s="81" t="n"/>
      <c r="N2690" s="81" t="n"/>
      <c r="O2690" s="81" t="n"/>
      <c r="P2690" s="81" t="n"/>
      <c r="Q2690" s="81" t="n"/>
      <c r="R2690" s="81" t="n"/>
      <c r="S2690" s="81" t="n"/>
      <c r="T2690" s="81" t="n"/>
      <c r="U2690" s="81" t="n"/>
      <c r="V2690" s="81" t="n"/>
      <c r="W2690" s="43" t="n"/>
    </row>
    <row r="2691">
      <c r="A2691" s="43" t="inlineStr">
        <is>
          <t>N22a</t>
        </is>
      </c>
      <c r="B2691" s="43" t="inlineStr"/>
      <c r="C2691" s="43" t="inlineStr">
        <is>
          <t>节段15</t>
        </is>
      </c>
      <c r="D2691" s="43" t="inlineStr">
        <is>
          <t>Q355D</t>
        </is>
      </c>
      <c r="E2691" s="43" t="n"/>
      <c r="F2691" s="43" t="n"/>
      <c r="G2691" s="43" t="n">
        <v>24</v>
      </c>
      <c r="H2691" s="79">
        <f>(E2691/1000)*(F2691/1000)*(G2691/1000)*7850</f>
        <v/>
      </c>
      <c r="I2691" s="43" t="n">
        <v>1</v>
      </c>
      <c r="J2691" s="80">
        <f>H2691*I2691</f>
        <v/>
      </c>
      <c r="K2691" s="43" t="inlineStr">
        <is>
          <t>来源页199</t>
        </is>
      </c>
      <c r="L2691" s="43">
        <f>A2691</f>
        <v/>
      </c>
      <c r="M2691" s="81" t="n"/>
      <c r="N2691" s="81" t="n"/>
      <c r="O2691" s="81" t="n"/>
      <c r="P2691" s="81" t="n"/>
      <c r="Q2691" s="81" t="n"/>
      <c r="R2691" s="81" t="n"/>
      <c r="S2691" s="81" t="n"/>
      <c r="T2691" s="81" t="n"/>
      <c r="U2691" s="81" t="n"/>
      <c r="V2691" s="81" t="n"/>
      <c r="W2691" s="43" t="n"/>
    </row>
    <row r="2692">
      <c r="A2692" s="43" t="inlineStr">
        <is>
          <t>N22b</t>
        </is>
      </c>
      <c r="B2692" s="43" t="inlineStr"/>
      <c r="C2692" s="43" t="inlineStr">
        <is>
          <t>节段15</t>
        </is>
      </c>
      <c r="D2692" s="43" t="inlineStr">
        <is>
          <t>Q355D</t>
        </is>
      </c>
      <c r="E2692" s="43" t="n"/>
      <c r="F2692" s="43" t="n"/>
      <c r="G2692" s="43" t="n">
        <v>24</v>
      </c>
      <c r="H2692" s="79">
        <f>(E2692/1000)*(F2692/1000)*(G2692/1000)*7850</f>
        <v/>
      </c>
      <c r="I2692" s="43" t="n">
        <v>1</v>
      </c>
      <c r="J2692" s="80">
        <f>H2692*I2692</f>
        <v/>
      </c>
      <c r="K2692" s="43" t="inlineStr">
        <is>
          <t>来源页199</t>
        </is>
      </c>
      <c r="L2692" s="43">
        <f>A2692</f>
        <v/>
      </c>
      <c r="M2692" s="81" t="n"/>
      <c r="N2692" s="81" t="n"/>
      <c r="O2692" s="81" t="n"/>
      <c r="P2692" s="81" t="n"/>
      <c r="Q2692" s="81" t="n"/>
      <c r="R2692" s="81" t="n"/>
      <c r="S2692" s="81" t="n"/>
      <c r="T2692" s="81" t="n"/>
      <c r="U2692" s="81" t="n"/>
      <c r="V2692" s="81" t="n"/>
      <c r="W2692" s="43" t="n"/>
    </row>
    <row r="2693">
      <c r="A2693" s="43" t="inlineStr">
        <is>
          <t>N23</t>
        </is>
      </c>
      <c r="B2693" s="43" t="inlineStr"/>
      <c r="C2693" s="43" t="inlineStr">
        <is>
          <t>节段15</t>
        </is>
      </c>
      <c r="D2693" s="43" t="inlineStr">
        <is>
          <t>Q355D</t>
        </is>
      </c>
      <c r="E2693" s="43" t="n"/>
      <c r="F2693" s="43" t="n"/>
      <c r="G2693" s="43" t="n">
        <v>44</v>
      </c>
      <c r="H2693" s="79">
        <f>(E2693/1000)*(F2693/1000)*(G2693/1000)*7850</f>
        <v/>
      </c>
      <c r="I2693" s="43" t="n">
        <v>2</v>
      </c>
      <c r="J2693" s="80">
        <f>H2693*I2693</f>
        <v/>
      </c>
      <c r="K2693" s="43" t="inlineStr">
        <is>
          <t>Z35钢；来源页199</t>
        </is>
      </c>
      <c r="L2693" s="43">
        <f>A2693</f>
        <v/>
      </c>
      <c r="M2693" s="81" t="n"/>
      <c r="N2693" s="81" t="n"/>
      <c r="O2693" s="81" t="n"/>
      <c r="P2693" s="81" t="n"/>
      <c r="Q2693" s="81" t="n"/>
      <c r="R2693" s="81" t="n"/>
      <c r="S2693" s="81" t="n"/>
      <c r="T2693" s="81" t="n"/>
      <c r="U2693" s="81" t="n"/>
      <c r="V2693" s="81" t="n"/>
      <c r="W2693" s="43" t="n"/>
    </row>
    <row r="2694">
      <c r="A2694" s="43" t="inlineStr">
        <is>
          <t>N24</t>
        </is>
      </c>
      <c r="B2694" s="43" t="inlineStr"/>
      <c r="C2694" s="43" t="inlineStr">
        <is>
          <t>节段15</t>
        </is>
      </c>
      <c r="D2694" s="43" t="inlineStr">
        <is>
          <t>Q355D</t>
        </is>
      </c>
      <c r="E2694" s="43" t="n">
        <v>7300</v>
      </c>
      <c r="F2694" s="43" t="n">
        <v>1474</v>
      </c>
      <c r="G2694" s="43" t="n">
        <v>32</v>
      </c>
      <c r="H2694" s="79">
        <f>(E2694/1000)*(F2694/1000)*(G2694/1000)*7850</f>
        <v/>
      </c>
      <c r="I2694" s="43" t="n">
        <v>2</v>
      </c>
      <c r="J2694" s="80">
        <f>H2694*I2694</f>
        <v/>
      </c>
      <c r="K2694" s="43" t="inlineStr">
        <is>
          <t>来源页199</t>
        </is>
      </c>
      <c r="L2694" s="43">
        <f>A2694</f>
        <v/>
      </c>
      <c r="M2694" s="81" t="n"/>
      <c r="N2694" s="81" t="n"/>
      <c r="O2694" s="81" t="n"/>
      <c r="P2694" s="81" t="n"/>
      <c r="Q2694" s="81" t="n"/>
      <c r="R2694" s="81" t="n"/>
      <c r="S2694" s="81" t="n"/>
      <c r="T2694" s="81" t="n"/>
      <c r="U2694" s="81" t="n"/>
      <c r="V2694" s="81" t="n"/>
      <c r="W2694" s="43" t="n"/>
    </row>
    <row r="2695">
      <c r="A2695" s="43" t="inlineStr">
        <is>
          <t>N25</t>
        </is>
      </c>
      <c r="B2695" s="43" t="inlineStr"/>
      <c r="C2695" s="43" t="inlineStr">
        <is>
          <t>节段15</t>
        </is>
      </c>
      <c r="D2695" s="43" t="inlineStr">
        <is>
          <t>Q355D</t>
        </is>
      </c>
      <c r="E2695" s="43" t="n">
        <v>1450</v>
      </c>
      <c r="F2695" s="43" t="n">
        <v>1200</v>
      </c>
      <c r="G2695" s="43" t="n">
        <v>16</v>
      </c>
      <c r="H2695" s="79">
        <f>(E2695/1000)*(F2695/1000)*(G2695/1000)*7850</f>
        <v/>
      </c>
      <c r="I2695" s="43" t="n">
        <v>3</v>
      </c>
      <c r="J2695" s="80">
        <f>H2695*I2695</f>
        <v/>
      </c>
      <c r="K2695" s="43" t="inlineStr">
        <is>
          <t>来源页199</t>
        </is>
      </c>
      <c r="L2695" s="43">
        <f>A2695</f>
        <v/>
      </c>
      <c r="M2695" s="81" t="n"/>
      <c r="N2695" s="81" t="n"/>
      <c r="O2695" s="81" t="n"/>
      <c r="P2695" s="81" t="n"/>
      <c r="Q2695" s="81" t="n"/>
      <c r="R2695" s="81" t="n"/>
      <c r="S2695" s="81" t="n"/>
      <c r="T2695" s="81" t="n"/>
      <c r="U2695" s="81" t="n"/>
      <c r="V2695" s="81" t="n"/>
      <c r="W2695" s="43" t="n"/>
    </row>
    <row r="2696">
      <c r="A2696" s="43" t="inlineStr">
        <is>
          <t>N25a</t>
        </is>
      </c>
      <c r="B2696" s="43" t="inlineStr"/>
      <c r="C2696" s="43" t="inlineStr">
        <is>
          <t>节段15</t>
        </is>
      </c>
      <c r="D2696" s="43" t="inlineStr">
        <is>
          <t>Q355D</t>
        </is>
      </c>
      <c r="E2696" s="43" t="n">
        <v>1450</v>
      </c>
      <c r="F2696" s="43" t="n">
        <v>1200</v>
      </c>
      <c r="G2696" s="43" t="n">
        <v>16</v>
      </c>
      <c r="H2696" s="79">
        <f>(E2696/1000)*(F2696/1000)*(G2696/1000)*7850</f>
        <v/>
      </c>
      <c r="I2696" s="43" t="n">
        <v>2</v>
      </c>
      <c r="J2696" s="80">
        <f>H2696*I2696</f>
        <v/>
      </c>
      <c r="K2696" s="43" t="inlineStr">
        <is>
          <t>来源页199</t>
        </is>
      </c>
      <c r="L2696" s="43">
        <f>A2696</f>
        <v/>
      </c>
      <c r="M2696" s="81" t="n"/>
      <c r="N2696" s="81" t="n"/>
      <c r="O2696" s="81" t="n"/>
      <c r="P2696" s="81" t="n"/>
      <c r="Q2696" s="81" t="n"/>
      <c r="R2696" s="81" t="n"/>
      <c r="S2696" s="81" t="n"/>
      <c r="T2696" s="81" t="n"/>
      <c r="U2696" s="81" t="n"/>
      <c r="V2696" s="81" t="n"/>
      <c r="W2696" s="43" t="n"/>
    </row>
    <row r="2697">
      <c r="A2697" s="43" t="inlineStr">
        <is>
          <t>N25'</t>
        </is>
      </c>
      <c r="B2697" s="43" t="inlineStr"/>
      <c r="C2697" s="43" t="inlineStr">
        <is>
          <t>节段15</t>
        </is>
      </c>
      <c r="D2697" s="43" t="inlineStr">
        <is>
          <t>Q355D</t>
        </is>
      </c>
      <c r="E2697" s="43" t="n">
        <v>1657</v>
      </c>
      <c r="F2697" s="43" t="n">
        <v>200</v>
      </c>
      <c r="G2697" s="43" t="n">
        <v>16</v>
      </c>
      <c r="H2697" s="79">
        <f>(E2697/1000)*(F2697/1000)*(G2697/1000)*7850</f>
        <v/>
      </c>
      <c r="I2697" s="43" t="n">
        <v>5</v>
      </c>
      <c r="J2697" s="80">
        <f>H2697*I2697</f>
        <v/>
      </c>
      <c r="K2697" s="43" t="inlineStr">
        <is>
          <t>来源页199</t>
        </is>
      </c>
      <c r="L2697" s="43">
        <f>A2697</f>
        <v/>
      </c>
      <c r="M2697" s="81" t="n"/>
      <c r="N2697" s="81" t="n"/>
      <c r="O2697" s="81" t="n"/>
      <c r="P2697" s="81" t="n"/>
      <c r="Q2697" s="81" t="n"/>
      <c r="R2697" s="81" t="n"/>
      <c r="S2697" s="81" t="n"/>
      <c r="T2697" s="81" t="n"/>
      <c r="U2697" s="81" t="n"/>
      <c r="V2697" s="81" t="n"/>
      <c r="W2697" s="43" t="n"/>
    </row>
    <row r="2698">
      <c r="A2698" s="43" t="inlineStr">
        <is>
          <t>N26a</t>
        </is>
      </c>
      <c r="B2698" s="43" t="inlineStr"/>
      <c r="C2698" s="43" t="inlineStr">
        <is>
          <t>节段15</t>
        </is>
      </c>
      <c r="D2698" s="43" t="inlineStr">
        <is>
          <t>Q355D</t>
        </is>
      </c>
      <c r="E2698" s="43" t="n">
        <v>7900</v>
      </c>
      <c r="F2698" s="43" t="n">
        <v>240</v>
      </c>
      <c r="G2698" s="43" t="n">
        <v>20</v>
      </c>
      <c r="H2698" s="79">
        <f>(E2698/1000)*(F2698/1000)*(G2698/1000)*7850</f>
        <v/>
      </c>
      <c r="I2698" s="43" t="n">
        <v>4</v>
      </c>
      <c r="J2698" s="80">
        <f>H2698*I2698</f>
        <v/>
      </c>
      <c r="K2698" s="43" t="inlineStr">
        <is>
          <t>来源页199</t>
        </is>
      </c>
      <c r="L2698" s="43">
        <f>A2698</f>
        <v/>
      </c>
      <c r="M2698" s="81" t="n"/>
      <c r="N2698" s="81" t="n"/>
      <c r="O2698" s="81" t="n"/>
      <c r="P2698" s="81" t="n"/>
      <c r="Q2698" s="81" t="n"/>
      <c r="R2698" s="81" t="n"/>
      <c r="S2698" s="81" t="n"/>
      <c r="T2698" s="81" t="n"/>
      <c r="U2698" s="81" t="n"/>
      <c r="V2698" s="81" t="n"/>
      <c r="W2698" s="43" t="n"/>
    </row>
    <row r="2699">
      <c r="A2699" s="43" t="inlineStr">
        <is>
          <t>N26b</t>
        </is>
      </c>
      <c r="B2699" s="43" t="inlineStr"/>
      <c r="C2699" s="43" t="inlineStr">
        <is>
          <t>节段15</t>
        </is>
      </c>
      <c r="D2699" s="43" t="inlineStr">
        <is>
          <t>Q355D</t>
        </is>
      </c>
      <c r="E2699" s="43" t="n">
        <v>7100</v>
      </c>
      <c r="F2699" s="43" t="n">
        <v>320</v>
      </c>
      <c r="G2699" s="43" t="n">
        <v>32</v>
      </c>
      <c r="H2699" s="79">
        <f>(E2699/1000)*(F2699/1000)*(G2699/1000)*7850</f>
        <v/>
      </c>
      <c r="I2699" s="43" t="n">
        <v>4</v>
      </c>
      <c r="J2699" s="80">
        <f>H2699*I2699</f>
        <v/>
      </c>
      <c r="K2699" s="43" t="inlineStr">
        <is>
          <t>来源页199</t>
        </is>
      </c>
      <c r="L2699" s="43">
        <f>A2699</f>
        <v/>
      </c>
      <c r="M2699" s="81" t="n"/>
      <c r="N2699" s="81" t="n"/>
      <c r="O2699" s="81" t="n"/>
      <c r="P2699" s="81" t="n"/>
      <c r="Q2699" s="81" t="n"/>
      <c r="R2699" s="81" t="n"/>
      <c r="S2699" s="81" t="n"/>
      <c r="T2699" s="81" t="n"/>
      <c r="U2699" s="81" t="n"/>
      <c r="V2699" s="81" t="n"/>
      <c r="W2699" s="43" t="n"/>
    </row>
    <row r="2700">
      <c r="A2700" s="43" t="inlineStr">
        <is>
          <t>N26c</t>
        </is>
      </c>
      <c r="B2700" s="43" t="inlineStr"/>
      <c r="C2700" s="43" t="inlineStr">
        <is>
          <t>节段15</t>
        </is>
      </c>
      <c r="D2700" s="43" t="inlineStr">
        <is>
          <t>Q355D</t>
        </is>
      </c>
      <c r="E2700" s="43" t="n">
        <v>15000</v>
      </c>
      <c r="F2700" s="43" t="n">
        <v>170</v>
      </c>
      <c r="G2700" s="43" t="n">
        <v>14</v>
      </c>
      <c r="H2700" s="79">
        <f>(E2700/1000)*(F2700/1000)*(G2700/1000)*7850</f>
        <v/>
      </c>
      <c r="I2700" s="43" t="n">
        <v>1</v>
      </c>
      <c r="J2700" s="80">
        <f>H2700*I2700</f>
        <v/>
      </c>
      <c r="K2700" s="43" t="inlineStr">
        <is>
          <t>来源页199</t>
        </is>
      </c>
      <c r="L2700" s="43">
        <f>A2700</f>
        <v/>
      </c>
      <c r="M2700" s="81" t="n"/>
      <c r="N2700" s="81" t="n"/>
      <c r="O2700" s="81" t="n"/>
      <c r="P2700" s="81" t="n"/>
      <c r="Q2700" s="81" t="n"/>
      <c r="R2700" s="81" t="n"/>
      <c r="S2700" s="81" t="n"/>
      <c r="T2700" s="81" t="n"/>
      <c r="U2700" s="81" t="n"/>
      <c r="V2700" s="81" t="n"/>
      <c r="W2700" s="43" t="n"/>
    </row>
    <row r="2701">
      <c r="A2701" s="43" t="inlineStr">
        <is>
          <t>N31</t>
        </is>
      </c>
      <c r="B2701" s="43" t="inlineStr"/>
      <c r="C2701" s="43" t="inlineStr">
        <is>
          <t>节段15</t>
        </is>
      </c>
      <c r="D2701" s="43" t="inlineStr">
        <is>
          <t>Q355D</t>
        </is>
      </c>
      <c r="E2701" s="43" t="n">
        <v>11322</v>
      </c>
      <c r="F2701" s="43" t="n">
        <v>1200</v>
      </c>
      <c r="G2701" s="43" t="n">
        <v>36</v>
      </c>
      <c r="H2701" s="79">
        <f>(E2701/1000)*(F2701/1000)*(G2701/1000)*7850</f>
        <v/>
      </c>
      <c r="I2701" s="43" t="n">
        <v>1</v>
      </c>
      <c r="J2701" s="80">
        <f>H2701*I2701</f>
        <v/>
      </c>
      <c r="K2701" s="43" t="inlineStr">
        <is>
          <t>来源页199</t>
        </is>
      </c>
      <c r="L2701" s="43">
        <f>A2701</f>
        <v/>
      </c>
      <c r="M2701" s="81" t="n"/>
      <c r="N2701" s="81" t="n"/>
      <c r="O2701" s="81" t="n"/>
      <c r="P2701" s="81" t="n"/>
      <c r="Q2701" s="81" t="n"/>
      <c r="R2701" s="81" t="n"/>
      <c r="S2701" s="81" t="n"/>
      <c r="T2701" s="81" t="n"/>
      <c r="U2701" s="81" t="n"/>
      <c r="V2701" s="81" t="n"/>
      <c r="W2701" s="43" t="n"/>
    </row>
    <row r="2702">
      <c r="A2702" s="43" t="inlineStr">
        <is>
          <t>N31a</t>
        </is>
      </c>
      <c r="B2702" s="43" t="inlineStr"/>
      <c r="C2702" s="43" t="inlineStr">
        <is>
          <t>节段15</t>
        </is>
      </c>
      <c r="D2702" s="43" t="inlineStr">
        <is>
          <t>Q355D</t>
        </is>
      </c>
      <c r="E2702" s="43" t="n">
        <v>11622</v>
      </c>
      <c r="F2702" s="43" t="n">
        <v>1200</v>
      </c>
      <c r="G2702" s="43" t="n">
        <v>36</v>
      </c>
      <c r="H2702" s="79">
        <f>(E2702/1000)*(F2702/1000)*(G2702/1000)*7850</f>
        <v/>
      </c>
      <c r="I2702" s="43" t="n">
        <v>1</v>
      </c>
      <c r="J2702" s="80">
        <f>H2702*I2702</f>
        <v/>
      </c>
      <c r="K2702" s="43" t="inlineStr">
        <is>
          <t>来源页199</t>
        </is>
      </c>
      <c r="L2702" s="43">
        <f>A2702</f>
        <v/>
      </c>
      <c r="M2702" s="81" t="n"/>
      <c r="N2702" s="81" t="n"/>
      <c r="O2702" s="81" t="n"/>
      <c r="P2702" s="81" t="n"/>
      <c r="Q2702" s="81" t="n"/>
      <c r="R2702" s="81" t="n"/>
      <c r="S2702" s="81" t="n"/>
      <c r="T2702" s="81" t="n"/>
      <c r="U2702" s="81" t="n"/>
      <c r="V2702" s="81" t="n"/>
      <c r="W2702" s="43" t="n"/>
    </row>
    <row r="2703">
      <c r="A2703" s="43" t="inlineStr">
        <is>
          <t>N32</t>
        </is>
      </c>
      <c r="B2703" s="43" t="inlineStr"/>
      <c r="C2703" s="43" t="inlineStr">
        <is>
          <t>节段15</t>
        </is>
      </c>
      <c r="D2703" s="43" t="inlineStr">
        <is>
          <t>Q355D</t>
        </is>
      </c>
      <c r="E2703" s="43" t="n">
        <v>7322</v>
      </c>
      <c r="F2703" s="43" t="n">
        <v>1360</v>
      </c>
      <c r="G2703" s="43" t="n">
        <v>36</v>
      </c>
      <c r="H2703" s="79">
        <f>(E2703/1000)*(F2703/1000)*(G2703/1000)*7850</f>
        <v/>
      </c>
      <c r="I2703" s="43" t="n">
        <v>2</v>
      </c>
      <c r="J2703" s="80">
        <f>H2703*I2703</f>
        <v/>
      </c>
      <c r="K2703" s="43" t="inlineStr">
        <is>
          <t>来源页199</t>
        </is>
      </c>
      <c r="L2703" s="43">
        <f>A2703</f>
        <v/>
      </c>
      <c r="M2703" s="81" t="n"/>
      <c r="N2703" s="81" t="n"/>
      <c r="O2703" s="81" t="n"/>
      <c r="P2703" s="81" t="n"/>
      <c r="Q2703" s="81" t="n"/>
      <c r="R2703" s="81" t="n"/>
      <c r="S2703" s="81" t="n"/>
      <c r="T2703" s="81" t="n"/>
      <c r="U2703" s="81" t="n"/>
      <c r="V2703" s="81" t="n"/>
      <c r="W2703" s="43" t="n"/>
    </row>
    <row r="2704">
      <c r="A2704" s="43" t="inlineStr">
        <is>
          <t>N33</t>
        </is>
      </c>
      <c r="B2704" s="43" t="inlineStr"/>
      <c r="C2704" s="43" t="inlineStr">
        <is>
          <t>节段15</t>
        </is>
      </c>
      <c r="D2704" s="43" t="inlineStr">
        <is>
          <t>Q355D</t>
        </is>
      </c>
      <c r="E2704" s="43" t="n">
        <v>7322</v>
      </c>
      <c r="F2704" s="43" t="n">
        <v>320</v>
      </c>
      <c r="G2704" s="43" t="n">
        <v>32</v>
      </c>
      <c r="H2704" s="79">
        <f>(E2704/1000)*(F2704/1000)*(G2704/1000)*7850</f>
        <v/>
      </c>
      <c r="I2704" s="43" t="n">
        <v>2</v>
      </c>
      <c r="J2704" s="80">
        <f>H2704*I2704</f>
        <v/>
      </c>
      <c r="K2704" s="43" t="inlineStr">
        <is>
          <t>来源页199</t>
        </is>
      </c>
      <c r="L2704" s="43">
        <f>A2704</f>
        <v/>
      </c>
      <c r="M2704" s="81" t="n"/>
      <c r="N2704" s="81" t="n"/>
      <c r="O2704" s="81" t="n"/>
      <c r="P2704" s="81" t="n"/>
      <c r="Q2704" s="81" t="n"/>
      <c r="R2704" s="81" t="n"/>
      <c r="S2704" s="81" t="n"/>
      <c r="T2704" s="81" t="n"/>
      <c r="U2704" s="81" t="n"/>
      <c r="V2704" s="81" t="n"/>
      <c r="W2704" s="43" t="n"/>
    </row>
    <row r="2705">
      <c r="A2705" s="43" t="inlineStr">
        <is>
          <t>N33a</t>
        </is>
      </c>
      <c r="B2705" s="43" t="inlineStr"/>
      <c r="C2705" s="43" t="inlineStr">
        <is>
          <t>节段15</t>
        </is>
      </c>
      <c r="D2705" s="43" t="inlineStr">
        <is>
          <t>Q355D</t>
        </is>
      </c>
      <c r="E2705" s="43" t="n">
        <v>9922</v>
      </c>
      <c r="F2705" s="43" t="n">
        <v>320</v>
      </c>
      <c r="G2705" s="43" t="n">
        <v>32</v>
      </c>
      <c r="H2705" s="79">
        <f>(E2705/1000)*(F2705/1000)*(G2705/1000)*7850</f>
        <v/>
      </c>
      <c r="I2705" s="43" t="n">
        <v>1</v>
      </c>
      <c r="J2705" s="80">
        <f>H2705*I2705</f>
        <v/>
      </c>
      <c r="K2705" s="43" t="inlineStr">
        <is>
          <t>来源页199</t>
        </is>
      </c>
      <c r="L2705" s="43">
        <f>A2705</f>
        <v/>
      </c>
      <c r="M2705" s="81" t="n"/>
      <c r="N2705" s="81" t="n"/>
      <c r="O2705" s="81" t="n"/>
      <c r="P2705" s="81" t="n"/>
      <c r="Q2705" s="81" t="n"/>
      <c r="R2705" s="81" t="n"/>
      <c r="S2705" s="81" t="n"/>
      <c r="T2705" s="81" t="n"/>
      <c r="U2705" s="81" t="n"/>
      <c r="V2705" s="81" t="n"/>
      <c r="W2705" s="43" t="n"/>
    </row>
    <row r="2706">
      <c r="A2706" s="43" t="inlineStr">
        <is>
          <t>N33b</t>
        </is>
      </c>
      <c r="B2706" s="43" t="inlineStr"/>
      <c r="C2706" s="43" t="inlineStr">
        <is>
          <t>节段15</t>
        </is>
      </c>
      <c r="D2706" s="43" t="inlineStr">
        <is>
          <t>Q355D</t>
        </is>
      </c>
      <c r="E2706" s="43" t="n">
        <v>10222</v>
      </c>
      <c r="F2706" s="43" t="n">
        <v>320</v>
      </c>
      <c r="G2706" s="43" t="n">
        <v>32</v>
      </c>
      <c r="H2706" s="79">
        <f>(E2706/1000)*(F2706/1000)*(G2706/1000)*7850</f>
        <v/>
      </c>
      <c r="I2706" s="43" t="n">
        <v>1</v>
      </c>
      <c r="J2706" s="80">
        <f>H2706*I2706</f>
        <v/>
      </c>
      <c r="K2706" s="43" t="inlineStr">
        <is>
          <t>来源页199</t>
        </is>
      </c>
      <c r="L2706" s="43">
        <f>A2706</f>
        <v/>
      </c>
      <c r="M2706" s="81" t="n"/>
      <c r="N2706" s="81" t="n"/>
      <c r="O2706" s="81" t="n"/>
      <c r="P2706" s="81" t="n"/>
      <c r="Q2706" s="81" t="n"/>
      <c r="R2706" s="81" t="n"/>
      <c r="S2706" s="81" t="n"/>
      <c r="T2706" s="81" t="n"/>
      <c r="U2706" s="81" t="n"/>
      <c r="V2706" s="81" t="n"/>
      <c r="W2706" s="43" t="n"/>
    </row>
    <row r="2707">
      <c r="A2707" s="43" t="inlineStr">
        <is>
          <t>N34</t>
        </is>
      </c>
      <c r="B2707" s="43" t="inlineStr"/>
      <c r="C2707" s="43" t="inlineStr">
        <is>
          <t>节段15</t>
        </is>
      </c>
      <c r="D2707" s="43" t="inlineStr">
        <is>
          <t>Q355D</t>
        </is>
      </c>
      <c r="E2707" s="43" t="n">
        <v>1200</v>
      </c>
      <c r="F2707" s="43" t="n">
        <v>1200</v>
      </c>
      <c r="G2707" s="43" t="n">
        <v>16</v>
      </c>
      <c r="H2707" s="79">
        <f>(E2707/1000)*(F2707/1000)*(G2707/1000)*7850</f>
        <v/>
      </c>
      <c r="I2707" s="43" t="n">
        <v>3</v>
      </c>
      <c r="J2707" s="80">
        <f>H2707*I2707</f>
        <v/>
      </c>
      <c r="K2707" s="43" t="inlineStr">
        <is>
          <t>来源页199</t>
        </is>
      </c>
      <c r="L2707" s="43">
        <f>A2707</f>
        <v/>
      </c>
      <c r="M2707" s="81" t="n"/>
      <c r="N2707" s="81" t="n"/>
      <c r="O2707" s="81" t="n"/>
      <c r="P2707" s="81" t="n"/>
      <c r="Q2707" s="81" t="n"/>
      <c r="R2707" s="81" t="n"/>
      <c r="S2707" s="81" t="n"/>
      <c r="T2707" s="81" t="n"/>
      <c r="U2707" s="81" t="n"/>
      <c r="V2707" s="81" t="n"/>
      <c r="W2707" s="43" t="n"/>
    </row>
    <row r="2708">
      <c r="A2708" s="43" t="inlineStr">
        <is>
          <t>N41</t>
        </is>
      </c>
      <c r="B2708" s="43" t="inlineStr"/>
      <c r="C2708" s="43" t="inlineStr">
        <is>
          <t>节段15</t>
        </is>
      </c>
      <c r="D2708" s="43" t="inlineStr">
        <is>
          <t>Q355D</t>
        </is>
      </c>
      <c r="E2708" s="43" t="n">
        <v>5440</v>
      </c>
      <c r="F2708" s="43" t="n">
        <v>1200</v>
      </c>
      <c r="G2708" s="43" t="n">
        <v>40</v>
      </c>
      <c r="H2708" s="79">
        <f>(E2708/1000)*(F2708/1000)*(G2708/1000)*7850</f>
        <v/>
      </c>
      <c r="I2708" s="43" t="n">
        <v>1</v>
      </c>
      <c r="J2708" s="80">
        <f>H2708*I2708</f>
        <v/>
      </c>
      <c r="K2708" s="43" t="inlineStr">
        <is>
          <t>来源页199</t>
        </is>
      </c>
      <c r="L2708" s="43">
        <f>A2708</f>
        <v/>
      </c>
      <c r="M2708" s="81" t="n"/>
      <c r="N2708" s="81" t="n"/>
      <c r="O2708" s="81" t="n"/>
      <c r="P2708" s="81" t="n"/>
      <c r="Q2708" s="81" t="n"/>
      <c r="R2708" s="81" t="n"/>
      <c r="S2708" s="81" t="n"/>
      <c r="T2708" s="81" t="n"/>
      <c r="U2708" s="81" t="n"/>
      <c r="V2708" s="81" t="n"/>
      <c r="W2708" s="43" t="n"/>
    </row>
    <row r="2709">
      <c r="A2709" s="43" t="inlineStr">
        <is>
          <t>N41a</t>
        </is>
      </c>
      <c r="B2709" s="43" t="inlineStr"/>
      <c r="C2709" s="43" t="inlineStr">
        <is>
          <t>节段15</t>
        </is>
      </c>
      <c r="D2709" s="43" t="inlineStr">
        <is>
          <t>Q355D</t>
        </is>
      </c>
      <c r="E2709" s="43" t="n">
        <v>5740</v>
      </c>
      <c r="F2709" s="43" t="n">
        <v>1200</v>
      </c>
      <c r="G2709" s="43" t="n">
        <v>40</v>
      </c>
      <c r="H2709" s="79">
        <f>(E2709/1000)*(F2709/1000)*(G2709/1000)*7850</f>
        <v/>
      </c>
      <c r="I2709" s="43" t="n">
        <v>1</v>
      </c>
      <c r="J2709" s="80">
        <f>H2709*I2709</f>
        <v/>
      </c>
      <c r="K2709" s="43" t="inlineStr">
        <is>
          <t>来源页199</t>
        </is>
      </c>
      <c r="L2709" s="43">
        <f>A2709</f>
        <v/>
      </c>
      <c r="M2709" s="81" t="n"/>
      <c r="N2709" s="81" t="n"/>
      <c r="O2709" s="81" t="n"/>
      <c r="P2709" s="81" t="n"/>
      <c r="Q2709" s="81" t="n"/>
      <c r="R2709" s="81" t="n"/>
      <c r="S2709" s="81" t="n"/>
      <c r="T2709" s="81" t="n"/>
      <c r="U2709" s="81" t="n"/>
      <c r="V2709" s="81" t="n"/>
      <c r="W2709" s="43" t="n"/>
    </row>
    <row r="2710">
      <c r="A2710" s="43" t="inlineStr">
        <is>
          <t>N42</t>
        </is>
      </c>
      <c r="B2710" s="43" t="inlineStr"/>
      <c r="C2710" s="43" t="inlineStr">
        <is>
          <t>节段15</t>
        </is>
      </c>
      <c r="D2710" s="43" t="inlineStr">
        <is>
          <t>Q355D</t>
        </is>
      </c>
      <c r="E2710" s="43" t="n">
        <v>3640</v>
      </c>
      <c r="F2710" s="43" t="n">
        <v>1760</v>
      </c>
      <c r="G2710" s="43" t="n">
        <v>40</v>
      </c>
      <c r="H2710" s="79">
        <f>(E2710/1000)*(F2710/1000)*(G2710/1000)*7850</f>
        <v/>
      </c>
      <c r="I2710" s="43" t="n">
        <v>2</v>
      </c>
      <c r="J2710" s="80">
        <f>H2710*I2710</f>
        <v/>
      </c>
      <c r="K2710" s="43" t="inlineStr">
        <is>
          <t>来源页199</t>
        </is>
      </c>
      <c r="L2710" s="43">
        <f>A2710</f>
        <v/>
      </c>
      <c r="M2710" s="81" t="n"/>
      <c r="N2710" s="81" t="n"/>
      <c r="O2710" s="81" t="n"/>
      <c r="P2710" s="81" t="n"/>
      <c r="Q2710" s="81" t="n"/>
      <c r="R2710" s="81" t="n"/>
      <c r="S2710" s="81" t="n"/>
      <c r="T2710" s="81" t="n"/>
      <c r="U2710" s="81" t="n"/>
      <c r="V2710" s="81" t="n"/>
      <c r="W2710" s="43" t="n"/>
    </row>
    <row r="2711">
      <c r="A2711" s="43" t="inlineStr">
        <is>
          <t>N43</t>
        </is>
      </c>
      <c r="B2711" s="43" t="inlineStr"/>
      <c r="C2711" s="43" t="inlineStr">
        <is>
          <t>节段15</t>
        </is>
      </c>
      <c r="D2711" s="43" t="inlineStr">
        <is>
          <t>Q355D</t>
        </is>
      </c>
      <c r="E2711" s="43" t="n">
        <v>3640</v>
      </c>
      <c r="F2711" s="43" t="n">
        <v>320</v>
      </c>
      <c r="G2711" s="43" t="n">
        <v>32</v>
      </c>
      <c r="H2711" s="79">
        <f>(E2711/1000)*(F2711/1000)*(G2711/1000)*7850</f>
        <v/>
      </c>
      <c r="I2711" s="43" t="n">
        <v>4</v>
      </c>
      <c r="J2711" s="80">
        <f>H2711*I2711</f>
        <v/>
      </c>
      <c r="K2711" s="43" t="inlineStr">
        <is>
          <t>来源页199</t>
        </is>
      </c>
      <c r="L2711" s="43">
        <f>A2711</f>
        <v/>
      </c>
      <c r="M2711" s="81" t="n"/>
      <c r="N2711" s="81" t="n"/>
      <c r="O2711" s="81" t="n"/>
      <c r="P2711" s="81" t="n"/>
      <c r="Q2711" s="81" t="n"/>
      <c r="R2711" s="81" t="n"/>
      <c r="S2711" s="81" t="n"/>
      <c r="T2711" s="81" t="n"/>
      <c r="U2711" s="81" t="n"/>
      <c r="V2711" s="81" t="n"/>
      <c r="W2711" s="43" t="n"/>
    </row>
    <row r="2712">
      <c r="A2712" s="43" t="inlineStr">
        <is>
          <t>N43a</t>
        </is>
      </c>
      <c r="B2712" s="43" t="inlineStr"/>
      <c r="C2712" s="43" t="inlineStr">
        <is>
          <t>节段15</t>
        </is>
      </c>
      <c r="D2712" s="43" t="inlineStr">
        <is>
          <t>Q355D</t>
        </is>
      </c>
      <c r="E2712" s="43" t="n">
        <v>4740</v>
      </c>
      <c r="F2712" s="43" t="n">
        <v>320</v>
      </c>
      <c r="G2712" s="43" t="n">
        <v>32</v>
      </c>
      <c r="H2712" s="79">
        <f>(E2712/1000)*(F2712/1000)*(G2712/1000)*7850</f>
        <v/>
      </c>
      <c r="I2712" s="43" t="n">
        <v>1</v>
      </c>
      <c r="J2712" s="80">
        <f>H2712*I2712</f>
        <v/>
      </c>
      <c r="K2712" s="43" t="inlineStr">
        <is>
          <t>来源页199</t>
        </is>
      </c>
      <c r="L2712" s="43">
        <f>A2712</f>
        <v/>
      </c>
      <c r="M2712" s="81" t="n"/>
      <c r="N2712" s="81" t="n"/>
      <c r="O2712" s="81" t="n"/>
      <c r="P2712" s="81" t="n"/>
      <c r="Q2712" s="81" t="n"/>
      <c r="R2712" s="81" t="n"/>
      <c r="S2712" s="81" t="n"/>
      <c r="T2712" s="81" t="n"/>
      <c r="U2712" s="81" t="n"/>
      <c r="V2712" s="81" t="n"/>
      <c r="W2712" s="43" t="n"/>
    </row>
    <row r="2713">
      <c r="A2713" s="43" t="inlineStr">
        <is>
          <t>N43b</t>
        </is>
      </c>
      <c r="B2713" s="43" t="inlineStr"/>
      <c r="C2713" s="43" t="inlineStr">
        <is>
          <t>节段15</t>
        </is>
      </c>
      <c r="D2713" s="43" t="inlineStr">
        <is>
          <t>Q355D</t>
        </is>
      </c>
      <c r="E2713" s="43" t="n">
        <v>5040</v>
      </c>
      <c r="F2713" s="43" t="n">
        <v>320</v>
      </c>
      <c r="G2713" s="43" t="n">
        <v>32</v>
      </c>
      <c r="H2713" s="79">
        <f>(E2713/1000)*(F2713/1000)*(G2713/1000)*7850</f>
        <v/>
      </c>
      <c r="I2713" s="43" t="n">
        <v>1</v>
      </c>
      <c r="J2713" s="80">
        <f>H2713*I2713</f>
        <v/>
      </c>
      <c r="K2713" s="43" t="inlineStr">
        <is>
          <t>来源页199</t>
        </is>
      </c>
      <c r="L2713" s="43">
        <f>A2713</f>
        <v/>
      </c>
      <c r="M2713" s="81" t="n"/>
      <c r="N2713" s="81" t="n"/>
      <c r="O2713" s="81" t="n"/>
      <c r="P2713" s="81" t="n"/>
      <c r="Q2713" s="81" t="n"/>
      <c r="R2713" s="81" t="n"/>
      <c r="S2713" s="81" t="n"/>
      <c r="T2713" s="81" t="n"/>
      <c r="U2713" s="81" t="n"/>
      <c r="V2713" s="81" t="n"/>
      <c r="W2713" s="43" t="n"/>
    </row>
    <row r="2714">
      <c r="A2714" s="43" t="inlineStr">
        <is>
          <t>N44</t>
        </is>
      </c>
      <c r="B2714" s="43" t="inlineStr"/>
      <c r="C2714" s="43" t="inlineStr">
        <is>
          <t>节段15</t>
        </is>
      </c>
      <c r="D2714" s="43" t="inlineStr">
        <is>
          <t>Q355D</t>
        </is>
      </c>
      <c r="E2714" s="43" t="n">
        <v>1200</v>
      </c>
      <c r="F2714" s="43" t="n">
        <v>1600</v>
      </c>
      <c r="G2714" s="43" t="n">
        <v>16</v>
      </c>
      <c r="H2714" s="79">
        <f>(E2714/1000)*(F2714/1000)*(G2714/1000)*7850</f>
        <v/>
      </c>
      <c r="I2714" s="43" t="n">
        <v>2</v>
      </c>
      <c r="J2714" s="80">
        <f>H2714*I2714</f>
        <v/>
      </c>
      <c r="K2714" s="43" t="inlineStr">
        <is>
          <t>来源页199</t>
        </is>
      </c>
      <c r="L2714" s="43">
        <f>A2714</f>
        <v/>
      </c>
      <c r="M2714" s="81" t="n"/>
      <c r="N2714" s="81" t="n"/>
      <c r="O2714" s="81" t="n"/>
      <c r="P2714" s="81" t="n"/>
      <c r="Q2714" s="81" t="n"/>
      <c r="R2714" s="81" t="n"/>
      <c r="S2714" s="81" t="n"/>
      <c r="T2714" s="81" t="n"/>
      <c r="U2714" s="81" t="n"/>
      <c r="V2714" s="81" t="n"/>
      <c r="W2714" s="43" t="n"/>
    </row>
    <row r="2715">
      <c r="A2715" s="43" t="inlineStr">
        <is>
          <t>N51</t>
        </is>
      </c>
      <c r="B2715" s="43" t="inlineStr"/>
      <c r="C2715" s="43" t="inlineStr">
        <is>
          <t>节段15</t>
        </is>
      </c>
      <c r="D2715" s="43" t="inlineStr">
        <is>
          <t>Q420D</t>
        </is>
      </c>
      <c r="E2715" s="43" t="n">
        <v>5858</v>
      </c>
      <c r="F2715" s="43" t="n">
        <v>1200</v>
      </c>
      <c r="G2715" s="43" t="n">
        <v>40</v>
      </c>
      <c r="H2715" s="79">
        <f>(E2715/1000)*(F2715/1000)*(G2715/1000)*7850</f>
        <v/>
      </c>
      <c r="I2715" s="43" t="n">
        <v>1</v>
      </c>
      <c r="J2715" s="80">
        <f>H2715*I2715</f>
        <v/>
      </c>
      <c r="K2715" s="43" t="inlineStr">
        <is>
          <t>来源页199</t>
        </is>
      </c>
      <c r="L2715" s="43">
        <f>A2715</f>
        <v/>
      </c>
      <c r="M2715" s="81" t="n"/>
      <c r="N2715" s="81" t="n"/>
      <c r="O2715" s="81" t="n"/>
      <c r="P2715" s="81" t="n"/>
      <c r="Q2715" s="81" t="n"/>
      <c r="R2715" s="81" t="n"/>
      <c r="S2715" s="81" t="n"/>
      <c r="T2715" s="81" t="n"/>
      <c r="U2715" s="81" t="n"/>
      <c r="V2715" s="81" t="n"/>
      <c r="W2715" s="43" t="n"/>
    </row>
    <row r="2716">
      <c r="A2716" s="43" t="inlineStr">
        <is>
          <t>N51a</t>
        </is>
      </c>
      <c r="B2716" s="43" t="inlineStr"/>
      <c r="C2716" s="43" t="inlineStr">
        <is>
          <t>节段15</t>
        </is>
      </c>
      <c r="D2716" s="43" t="inlineStr">
        <is>
          <t>Q420D</t>
        </is>
      </c>
      <c r="E2716" s="43" t="n">
        <v>5858</v>
      </c>
      <c r="F2716" s="43" t="n">
        <v>1200</v>
      </c>
      <c r="G2716" s="43" t="n">
        <v>40</v>
      </c>
      <c r="H2716" s="79">
        <f>(E2716/1000)*(F2716/1000)*(G2716/1000)*7850</f>
        <v/>
      </c>
      <c r="I2716" s="43" t="n">
        <v>1</v>
      </c>
      <c r="J2716" s="80">
        <f>H2716*I2716</f>
        <v/>
      </c>
      <c r="K2716" s="43" t="inlineStr">
        <is>
          <t>来源页199</t>
        </is>
      </c>
      <c r="L2716" s="43">
        <f>A2716</f>
        <v/>
      </c>
      <c r="M2716" s="81" t="n"/>
      <c r="N2716" s="81" t="n"/>
      <c r="O2716" s="81" t="n"/>
      <c r="P2716" s="81" t="n"/>
      <c r="Q2716" s="81" t="n"/>
      <c r="R2716" s="81" t="n"/>
      <c r="S2716" s="81" t="n"/>
      <c r="T2716" s="81" t="n"/>
      <c r="U2716" s="81" t="n"/>
      <c r="V2716" s="81" t="n"/>
      <c r="W2716" s="43" t="n"/>
    </row>
    <row r="2717">
      <c r="A2717" s="43" t="inlineStr">
        <is>
          <t>N52</t>
        </is>
      </c>
      <c r="B2717" s="43" t="inlineStr"/>
      <c r="C2717" s="43" t="inlineStr">
        <is>
          <t>节段15</t>
        </is>
      </c>
      <c r="D2717" s="43" t="inlineStr">
        <is>
          <t>Q420D</t>
        </is>
      </c>
      <c r="E2717" s="43" t="n">
        <v>3658</v>
      </c>
      <c r="F2717" s="43" t="n">
        <v>1360</v>
      </c>
      <c r="G2717" s="43" t="n">
        <v>40</v>
      </c>
      <c r="H2717" s="79">
        <f>(E2717/1000)*(F2717/1000)*(G2717/1000)*7850</f>
        <v/>
      </c>
      <c r="I2717" s="43" t="n">
        <v>2</v>
      </c>
      <c r="J2717" s="80">
        <f>H2717*I2717</f>
        <v/>
      </c>
      <c r="K2717" s="43" t="inlineStr">
        <is>
          <t>来源页199</t>
        </is>
      </c>
      <c r="L2717" s="43">
        <f>A2717</f>
        <v/>
      </c>
      <c r="M2717" s="81" t="n"/>
      <c r="N2717" s="81" t="n"/>
      <c r="O2717" s="81" t="n"/>
      <c r="P2717" s="81" t="n"/>
      <c r="Q2717" s="81" t="n"/>
      <c r="R2717" s="81" t="n"/>
      <c r="S2717" s="81" t="n"/>
      <c r="T2717" s="81" t="n"/>
      <c r="U2717" s="81" t="n"/>
      <c r="V2717" s="81" t="n"/>
      <c r="W2717" s="43" t="n"/>
    </row>
    <row r="2718">
      <c r="A2718" s="43" t="inlineStr">
        <is>
          <t>N53</t>
        </is>
      </c>
      <c r="B2718" s="43" t="inlineStr"/>
      <c r="C2718" s="43" t="inlineStr">
        <is>
          <t>节段15</t>
        </is>
      </c>
      <c r="D2718" s="43" t="inlineStr">
        <is>
          <t>Q420D</t>
        </is>
      </c>
      <c r="E2718" s="43" t="n">
        <v>3658</v>
      </c>
      <c r="F2718" s="43" t="n">
        <v>320</v>
      </c>
      <c r="G2718" s="43" t="n">
        <v>32</v>
      </c>
      <c r="H2718" s="79">
        <f>(E2718/1000)*(F2718/1000)*(G2718/1000)*7850</f>
        <v/>
      </c>
      <c r="I2718" s="43" t="n">
        <v>2</v>
      </c>
      <c r="J2718" s="80">
        <f>H2718*I2718</f>
        <v/>
      </c>
      <c r="K2718" s="43" t="inlineStr">
        <is>
          <t>来源页199</t>
        </is>
      </c>
      <c r="L2718" s="43">
        <f>A2718</f>
        <v/>
      </c>
      <c r="M2718" s="81" t="n"/>
      <c r="N2718" s="81" t="n"/>
      <c r="O2718" s="81" t="n"/>
      <c r="P2718" s="81" t="n"/>
      <c r="Q2718" s="81" t="n"/>
      <c r="R2718" s="81" t="n"/>
      <c r="S2718" s="81" t="n"/>
      <c r="T2718" s="81" t="n"/>
      <c r="U2718" s="81" t="n"/>
      <c r="V2718" s="81" t="n"/>
      <c r="W2718" s="43" t="n"/>
    </row>
    <row r="2719">
      <c r="A2719" s="43" t="inlineStr">
        <is>
          <t>N53a</t>
        </is>
      </c>
      <c r="B2719" s="43" t="inlineStr"/>
      <c r="C2719" s="43" t="inlineStr">
        <is>
          <t>节段15</t>
        </is>
      </c>
      <c r="D2719" s="43" t="inlineStr">
        <is>
          <t>Q420D</t>
        </is>
      </c>
      <c r="E2719" s="43" t="n">
        <v>5158</v>
      </c>
      <c r="F2719" s="43" t="n">
        <v>320</v>
      </c>
      <c r="G2719" s="43" t="n">
        <v>32</v>
      </c>
      <c r="H2719" s="79">
        <f>(E2719/1000)*(F2719/1000)*(G2719/1000)*7850</f>
        <v/>
      </c>
      <c r="I2719" s="43" t="n">
        <v>1</v>
      </c>
      <c r="J2719" s="80">
        <f>H2719*I2719</f>
        <v/>
      </c>
      <c r="K2719" s="43" t="inlineStr">
        <is>
          <t>来源页199</t>
        </is>
      </c>
      <c r="L2719" s="43">
        <f>A2719</f>
        <v/>
      </c>
      <c r="M2719" s="81" t="n"/>
      <c r="N2719" s="81" t="n"/>
      <c r="O2719" s="81" t="n"/>
      <c r="P2719" s="81" t="n"/>
      <c r="Q2719" s="81" t="n"/>
      <c r="R2719" s="81" t="n"/>
      <c r="S2719" s="81" t="n"/>
      <c r="T2719" s="81" t="n"/>
      <c r="U2719" s="81" t="n"/>
      <c r="V2719" s="81" t="n"/>
      <c r="W2719" s="43" t="n"/>
    </row>
    <row r="2720">
      <c r="A2720" s="43" t="inlineStr">
        <is>
          <t>N53b</t>
        </is>
      </c>
      <c r="B2720" s="43" t="inlineStr"/>
      <c r="C2720" s="43" t="inlineStr">
        <is>
          <t>节段15</t>
        </is>
      </c>
      <c r="D2720" s="43" t="inlineStr">
        <is>
          <t>Q420D</t>
        </is>
      </c>
      <c r="E2720" s="43" t="n">
        <v>5158</v>
      </c>
      <c r="F2720" s="43" t="n">
        <v>320</v>
      </c>
      <c r="G2720" s="43" t="n">
        <v>32</v>
      </c>
      <c r="H2720" s="79">
        <f>(E2720/1000)*(F2720/1000)*(G2720/1000)*7850</f>
        <v/>
      </c>
      <c r="I2720" s="43" t="n">
        <v>1</v>
      </c>
      <c r="J2720" s="80">
        <f>H2720*I2720</f>
        <v/>
      </c>
      <c r="K2720" s="43" t="inlineStr">
        <is>
          <t>来源页199</t>
        </is>
      </c>
      <c r="L2720" s="43">
        <f>A2720</f>
        <v/>
      </c>
      <c r="M2720" s="81" t="n"/>
      <c r="N2720" s="81" t="n"/>
      <c r="O2720" s="81" t="n"/>
      <c r="P2720" s="81" t="n"/>
      <c r="Q2720" s="81" t="n"/>
      <c r="R2720" s="81" t="n"/>
      <c r="S2720" s="81" t="n"/>
      <c r="T2720" s="81" t="n"/>
      <c r="U2720" s="81" t="n"/>
      <c r="V2720" s="81" t="n"/>
      <c r="W2720" s="43" t="n"/>
    </row>
    <row r="2721">
      <c r="A2721" s="43" t="inlineStr">
        <is>
          <t>N54</t>
        </is>
      </c>
      <c r="B2721" s="43" t="inlineStr"/>
      <c r="C2721" s="43" t="inlineStr">
        <is>
          <t>节段15</t>
        </is>
      </c>
      <c r="D2721" s="43" t="inlineStr">
        <is>
          <t>Q420D</t>
        </is>
      </c>
      <c r="E2721" s="43" t="n">
        <v>1200</v>
      </c>
      <c r="F2721" s="43" t="n">
        <v>1200</v>
      </c>
      <c r="G2721" s="43" t="n">
        <v>16</v>
      </c>
      <c r="H2721" s="79">
        <f>(E2721/1000)*(F2721/1000)*(G2721/1000)*7850</f>
        <v/>
      </c>
      <c r="I2721" s="43" t="n">
        <v>2</v>
      </c>
      <c r="J2721" s="80">
        <f>H2721*I2721</f>
        <v/>
      </c>
      <c r="K2721" s="43" t="inlineStr">
        <is>
          <t>来源页199</t>
        </is>
      </c>
      <c r="L2721" s="43">
        <f>A2721</f>
        <v/>
      </c>
      <c r="M2721" s="81" t="n"/>
      <c r="N2721" s="81" t="n"/>
      <c r="O2721" s="81" t="n"/>
      <c r="P2721" s="81" t="n"/>
      <c r="Q2721" s="81" t="n"/>
      <c r="R2721" s="81" t="n"/>
      <c r="S2721" s="81" t="n"/>
      <c r="T2721" s="81" t="n"/>
      <c r="U2721" s="81" t="n"/>
      <c r="V2721" s="81" t="n"/>
      <c r="W2721" s="43" t="n"/>
    </row>
    <row r="2722">
      <c r="A2722" s="43" t="inlineStr">
        <is>
          <t>N55</t>
        </is>
      </c>
      <c r="B2722" s="43" t="inlineStr"/>
      <c r="C2722" s="43" t="inlineStr">
        <is>
          <t>节段15</t>
        </is>
      </c>
      <c r="D2722" s="43" t="inlineStr">
        <is>
          <t>Q420D</t>
        </is>
      </c>
      <c r="E2722" s="43" t="n">
        <v>2100</v>
      </c>
      <c r="F2722" s="43" t="n">
        <v>320</v>
      </c>
      <c r="G2722" s="43" t="n">
        <v>32</v>
      </c>
      <c r="H2722" s="79">
        <f>(E2722/1000)*(F2722/1000)*(G2722/1000)*7850</f>
        <v/>
      </c>
      <c r="I2722" s="43" t="n">
        <v>4</v>
      </c>
      <c r="J2722" s="80">
        <f>H2722*I2722</f>
        <v/>
      </c>
      <c r="K2722" s="43" t="inlineStr">
        <is>
          <t>来源页199</t>
        </is>
      </c>
      <c r="L2722" s="43">
        <f>A2722</f>
        <v/>
      </c>
      <c r="M2722" s="81" t="n"/>
      <c r="N2722" s="81" t="n"/>
      <c r="O2722" s="81" t="n"/>
      <c r="P2722" s="81" t="n"/>
      <c r="Q2722" s="81" t="n"/>
      <c r="R2722" s="81" t="n"/>
      <c r="S2722" s="81" t="n"/>
      <c r="T2722" s="81" t="n"/>
      <c r="U2722" s="81" t="n"/>
      <c r="V2722" s="81" t="n"/>
      <c r="W2722" s="43" t="n"/>
    </row>
    <row r="2723">
      <c r="A2723" s="43" t="inlineStr">
        <is>
          <t>N56</t>
        </is>
      </c>
      <c r="B2723" s="43" t="inlineStr"/>
      <c r="C2723" s="43" t="inlineStr">
        <is>
          <t>节段15</t>
        </is>
      </c>
      <c r="D2723" s="43" t="inlineStr">
        <is>
          <t>Q420D</t>
        </is>
      </c>
      <c r="E2723" s="43" t="n">
        <v>2600</v>
      </c>
      <c r="F2723" s="43" t="n">
        <v>320</v>
      </c>
      <c r="G2723" s="43" t="n">
        <v>32</v>
      </c>
      <c r="H2723" s="79">
        <f>(E2723/1000)*(F2723/1000)*(G2723/1000)*7850</f>
        <v/>
      </c>
      <c r="I2723" s="43" t="n">
        <v>4</v>
      </c>
      <c r="J2723" s="80">
        <f>H2723*I2723</f>
        <v/>
      </c>
      <c r="K2723" s="43" t="inlineStr">
        <is>
          <t>来源页199</t>
        </is>
      </c>
      <c r="L2723" s="43">
        <f>A2723</f>
        <v/>
      </c>
      <c r="M2723" s="81" t="n"/>
      <c r="N2723" s="81" t="n"/>
      <c r="O2723" s="81" t="n"/>
      <c r="P2723" s="81" t="n"/>
      <c r="Q2723" s="81" t="n"/>
      <c r="R2723" s="81" t="n"/>
      <c r="S2723" s="81" t="n"/>
      <c r="T2723" s="81" t="n"/>
      <c r="U2723" s="81" t="n"/>
      <c r="V2723" s="81" t="n"/>
      <c r="W2723" s="43" t="n"/>
    </row>
    <row r="2724">
      <c r="A2724" s="43" t="inlineStr">
        <is>
          <t>N61</t>
        </is>
      </c>
      <c r="B2724" s="43" t="inlineStr"/>
      <c r="C2724" s="43" t="inlineStr">
        <is>
          <t>节段15</t>
        </is>
      </c>
      <c r="D2724" s="43" t="inlineStr">
        <is>
          <t>Q355D</t>
        </is>
      </c>
      <c r="E2724" s="43" t="n">
        <v>1560</v>
      </c>
      <c r="F2724" s="43" t="n">
        <v>602</v>
      </c>
      <c r="G2724" s="43" t="n">
        <v>14</v>
      </c>
      <c r="H2724" s="79">
        <f>(E2724/1000)*(F2724/1000)*(G2724/1000)*7850</f>
        <v/>
      </c>
      <c r="I2724" s="43" t="n">
        <v>3</v>
      </c>
      <c r="J2724" s="80">
        <f>H2724*I2724</f>
        <v/>
      </c>
      <c r="K2724" s="43" t="inlineStr">
        <is>
          <t>来源页199</t>
        </is>
      </c>
      <c r="L2724" s="43">
        <f>A2724</f>
        <v/>
      </c>
      <c r="M2724" s="81" t="n"/>
      <c r="N2724" s="81" t="n"/>
      <c r="O2724" s="81" t="n"/>
      <c r="P2724" s="81" t="n"/>
      <c r="Q2724" s="81" t="n"/>
      <c r="R2724" s="81" t="n"/>
      <c r="S2724" s="81" t="n"/>
      <c r="T2724" s="81" t="n"/>
      <c r="U2724" s="81" t="n"/>
      <c r="V2724" s="81" t="n"/>
      <c r="W2724" s="43" t="n"/>
    </row>
    <row r="2725">
      <c r="A2725" s="43" t="inlineStr">
        <is>
          <t>N61a</t>
        </is>
      </c>
      <c r="B2725" s="43" t="inlineStr"/>
      <c r="C2725" s="43" t="inlineStr">
        <is>
          <t>节段15</t>
        </is>
      </c>
      <c r="D2725" s="43" t="inlineStr">
        <is>
          <t>Q355D</t>
        </is>
      </c>
      <c r="E2725" s="43" t="n">
        <v>1576</v>
      </c>
      <c r="F2725" s="43" t="n">
        <v>618</v>
      </c>
      <c r="G2725" s="43" t="n">
        <v>14</v>
      </c>
      <c r="H2725" s="79">
        <f>(E2725/1000)*(F2725/1000)*(G2725/1000)*7850</f>
        <v/>
      </c>
      <c r="I2725" s="43" t="n">
        <v>2</v>
      </c>
      <c r="J2725" s="80">
        <f>H2725*I2725</f>
        <v/>
      </c>
      <c r="K2725" s="43" t="inlineStr">
        <is>
          <t>来源页199</t>
        </is>
      </c>
      <c r="L2725" s="43">
        <f>A2725</f>
        <v/>
      </c>
      <c r="M2725" s="81" t="n"/>
      <c r="N2725" s="81" t="n"/>
      <c r="O2725" s="81" t="n"/>
      <c r="P2725" s="81" t="n"/>
      <c r="Q2725" s="81" t="n"/>
      <c r="R2725" s="81" t="n"/>
      <c r="S2725" s="81" t="n"/>
      <c r="T2725" s="81" t="n"/>
      <c r="U2725" s="81" t="n"/>
      <c r="V2725" s="81" t="n"/>
      <c r="W2725" s="43" t="n"/>
    </row>
    <row r="2726">
      <c r="A2726" s="43" t="inlineStr">
        <is>
          <t>N62</t>
        </is>
      </c>
      <c r="B2726" s="43" t="inlineStr"/>
      <c r="C2726" s="43" t="inlineStr">
        <is>
          <t>节段15</t>
        </is>
      </c>
      <c r="D2726" s="43" t="inlineStr">
        <is>
          <t>Q355D</t>
        </is>
      </c>
      <c r="E2726" s="43" t="n"/>
      <c r="F2726" s="43" t="n"/>
      <c r="G2726" s="43" t="n">
        <v>24</v>
      </c>
      <c r="H2726" s="79">
        <f>(E2726/1000)*(F2726/1000)*(G2726/1000)*7850</f>
        <v/>
      </c>
      <c r="I2726" s="43" t="n">
        <v>3</v>
      </c>
      <c r="J2726" s="80">
        <f>H2726*I2726</f>
        <v/>
      </c>
      <c r="K2726" s="43" t="inlineStr">
        <is>
          <t>来源页199</t>
        </is>
      </c>
      <c r="L2726" s="43">
        <f>A2726</f>
        <v/>
      </c>
      <c r="M2726" s="81" t="n"/>
      <c r="N2726" s="81" t="n"/>
      <c r="O2726" s="81" t="n"/>
      <c r="P2726" s="81" t="n"/>
      <c r="Q2726" s="81" t="n"/>
      <c r="R2726" s="81" t="n"/>
      <c r="S2726" s="81" t="n"/>
      <c r="T2726" s="81" t="n"/>
      <c r="U2726" s="81" t="n"/>
      <c r="V2726" s="81" t="n"/>
      <c r="W2726" s="43" t="n"/>
    </row>
    <row r="2727">
      <c r="A2727" s="43" t="inlineStr">
        <is>
          <t>N62a</t>
        </is>
      </c>
      <c r="B2727" s="43" t="inlineStr"/>
      <c r="C2727" s="43" t="inlineStr">
        <is>
          <t>节段15</t>
        </is>
      </c>
      <c r="D2727" s="43" t="inlineStr">
        <is>
          <t>Q355D</t>
        </is>
      </c>
      <c r="E2727" s="43" t="n"/>
      <c r="F2727" s="43" t="n"/>
      <c r="G2727" s="43" t="n">
        <v>24</v>
      </c>
      <c r="H2727" s="79">
        <f>(E2727/1000)*(F2727/1000)*(G2727/1000)*7850</f>
        <v/>
      </c>
      <c r="I2727" s="43" t="n">
        <v>2</v>
      </c>
      <c r="J2727" s="80">
        <f>H2727*I2727</f>
        <v/>
      </c>
      <c r="K2727" s="43" t="inlineStr">
        <is>
          <t>来源页199</t>
        </is>
      </c>
      <c r="L2727" s="43">
        <f>A2727</f>
        <v/>
      </c>
      <c r="M2727" s="81" t="n"/>
      <c r="N2727" s="81" t="n"/>
      <c r="O2727" s="81" t="n"/>
      <c r="P2727" s="81" t="n"/>
      <c r="Q2727" s="81" t="n"/>
      <c r="R2727" s="81" t="n"/>
      <c r="S2727" s="81" t="n"/>
      <c r="T2727" s="81" t="n"/>
      <c r="U2727" s="81" t="n"/>
      <c r="V2727" s="81" t="n"/>
      <c r="W2727" s="43" t="n"/>
    </row>
    <row r="2728">
      <c r="A2728" s="43" t="inlineStr">
        <is>
          <t>N63</t>
        </is>
      </c>
      <c r="B2728" s="43" t="inlineStr"/>
      <c r="C2728" s="43" t="inlineStr">
        <is>
          <t>节段15</t>
        </is>
      </c>
      <c r="D2728" s="43" t="inlineStr">
        <is>
          <t>Q355D</t>
        </is>
      </c>
      <c r="E2728" s="43" t="n">
        <v>1450</v>
      </c>
      <c r="F2728" s="43" t="n">
        <v>606</v>
      </c>
      <c r="G2728" s="43" t="n">
        <v>14</v>
      </c>
      <c r="H2728" s="79">
        <f>(E2728/1000)*(F2728/1000)*(G2728/1000)*7850</f>
        <v/>
      </c>
      <c r="I2728" s="43" t="n">
        <v>3</v>
      </c>
      <c r="J2728" s="80">
        <f>H2728*I2728</f>
        <v/>
      </c>
      <c r="K2728" s="43" t="inlineStr">
        <is>
          <t>来源页199</t>
        </is>
      </c>
      <c r="L2728" s="43">
        <f>A2728</f>
        <v/>
      </c>
      <c r="M2728" s="81" t="n"/>
      <c r="N2728" s="81" t="n"/>
      <c r="O2728" s="81" t="n"/>
      <c r="P2728" s="81" t="n"/>
      <c r="Q2728" s="81" t="n"/>
      <c r="R2728" s="81" t="n"/>
      <c r="S2728" s="81" t="n"/>
      <c r="T2728" s="81" t="n"/>
      <c r="U2728" s="81" t="n"/>
      <c r="V2728" s="81" t="n"/>
      <c r="W2728" s="43" t="n"/>
    </row>
    <row r="2729">
      <c r="A2729" s="43" t="inlineStr">
        <is>
          <t>N63a</t>
        </is>
      </c>
      <c r="B2729" s="43" t="inlineStr"/>
      <c r="C2729" s="43" t="inlineStr">
        <is>
          <t>节段15</t>
        </is>
      </c>
      <c r="D2729" s="43" t="inlineStr">
        <is>
          <t>Q355D</t>
        </is>
      </c>
      <c r="E2729" s="43" t="n">
        <v>1450</v>
      </c>
      <c r="F2729" s="43" t="n">
        <v>618</v>
      </c>
      <c r="G2729" s="43" t="n">
        <v>14</v>
      </c>
      <c r="H2729" s="79">
        <f>(E2729/1000)*(F2729/1000)*(G2729/1000)*7850</f>
        <v/>
      </c>
      <c r="I2729" s="43" t="n">
        <v>2</v>
      </c>
      <c r="J2729" s="80">
        <f>H2729*I2729</f>
        <v/>
      </c>
      <c r="K2729" s="43" t="inlineStr">
        <is>
          <t>来源页199</t>
        </is>
      </c>
      <c r="L2729" s="43">
        <f>A2729</f>
        <v/>
      </c>
      <c r="M2729" s="81" t="n"/>
      <c r="N2729" s="81" t="n"/>
      <c r="O2729" s="81" t="n"/>
      <c r="P2729" s="81" t="n"/>
      <c r="Q2729" s="81" t="n"/>
      <c r="R2729" s="81" t="n"/>
      <c r="S2729" s="81" t="n"/>
      <c r="T2729" s="81" t="n"/>
      <c r="U2729" s="81" t="n"/>
      <c r="V2729" s="81" t="n"/>
      <c r="W2729" s="43" t="n"/>
    </row>
    <row r="2730">
      <c r="A2730" s="43" t="inlineStr">
        <is>
          <t>P1</t>
        </is>
      </c>
      <c r="B2730" s="43" t="inlineStr">
        <is>
          <t>上弦杆拼接</t>
        </is>
      </c>
      <c r="C2730" s="43" t="inlineStr">
        <is>
          <t>节段15~节段16</t>
        </is>
      </c>
      <c r="D2730" s="43" t="inlineStr">
        <is>
          <t>Q420D</t>
        </is>
      </c>
      <c r="E2730" s="43" t="n">
        <v>1820</v>
      </c>
      <c r="F2730" s="43" t="n">
        <v>1400</v>
      </c>
      <c r="G2730" s="43" t="n">
        <v>40</v>
      </c>
      <c r="H2730" s="79">
        <f>(E2730/1000)*(F2730/1000)*(G2730/1000)*7850</f>
        <v/>
      </c>
      <c r="I2730" s="43" t="n">
        <v>2</v>
      </c>
      <c r="J2730" s="80">
        <f>H2730*I2730</f>
        <v/>
      </c>
      <c r="K2730" s="43" t="inlineStr">
        <is>
          <t>来源页202</t>
        </is>
      </c>
      <c r="L2730" s="43">
        <f>A2730</f>
        <v/>
      </c>
      <c r="M2730" s="81" t="n"/>
      <c r="N2730" s="81" t="n"/>
      <c r="O2730" s="81" t="n"/>
      <c r="P2730" s="81" t="n"/>
      <c r="Q2730" s="81" t="n"/>
      <c r="R2730" s="81" t="n"/>
      <c r="S2730" s="81" t="n"/>
      <c r="T2730" s="81" t="n"/>
      <c r="U2730" s="81" t="n"/>
      <c r="V2730" s="81" t="n"/>
      <c r="W2730" s="43" t="n"/>
    </row>
    <row r="2731">
      <c r="A2731" s="43" t="inlineStr">
        <is>
          <t>P2</t>
        </is>
      </c>
      <c r="B2731" s="43" t="inlineStr">
        <is>
          <t>上弦杆拼接</t>
        </is>
      </c>
      <c r="C2731" s="43" t="inlineStr">
        <is>
          <t>节段15~节段16</t>
        </is>
      </c>
      <c r="D2731" s="43" t="inlineStr">
        <is>
          <t>Q420D</t>
        </is>
      </c>
      <c r="E2731" s="43" t="n">
        <v>1820</v>
      </c>
      <c r="F2731" s="43" t="n">
        <v>300</v>
      </c>
      <c r="G2731" s="43" t="n">
        <v>40</v>
      </c>
      <c r="H2731" s="79">
        <f>(E2731/1000)*(F2731/1000)*(G2731/1000)*7850</f>
        <v/>
      </c>
      <c r="I2731" s="43" t="n">
        <v>2</v>
      </c>
      <c r="J2731" s="80">
        <f>H2731*I2731</f>
        <v/>
      </c>
      <c r="K2731" s="43" t="inlineStr">
        <is>
          <t>来源页202</t>
        </is>
      </c>
      <c r="L2731" s="43">
        <f>A2731</f>
        <v/>
      </c>
      <c r="M2731" s="81" t="n"/>
      <c r="N2731" s="81" t="n"/>
      <c r="O2731" s="81" t="n"/>
      <c r="P2731" s="81" t="n"/>
      <c r="Q2731" s="81" t="n"/>
      <c r="R2731" s="81" t="n"/>
      <c r="S2731" s="81" t="n"/>
      <c r="T2731" s="81" t="n"/>
      <c r="U2731" s="81" t="n"/>
      <c r="V2731" s="81" t="n"/>
      <c r="W2731" s="43" t="n"/>
    </row>
    <row r="2732">
      <c r="A2732" s="43" t="inlineStr">
        <is>
          <t>P3</t>
        </is>
      </c>
      <c r="B2732" s="43" t="inlineStr">
        <is>
          <t>上弦杆拼接</t>
        </is>
      </c>
      <c r="C2732" s="43" t="inlineStr">
        <is>
          <t>节段15~节段16</t>
        </is>
      </c>
      <c r="D2732" s="43" t="inlineStr">
        <is>
          <t>Q420D</t>
        </is>
      </c>
      <c r="E2732" s="43" t="n">
        <v>1820</v>
      </c>
      <c r="F2732" s="43" t="n">
        <v>500</v>
      </c>
      <c r="G2732" s="43" t="n">
        <v>40</v>
      </c>
      <c r="H2732" s="79">
        <f>(E2732/1000)*(F2732/1000)*(G2732/1000)*7850</f>
        <v/>
      </c>
      <c r="I2732" s="43" t="n">
        <v>2</v>
      </c>
      <c r="J2732" s="80">
        <f>H2732*I2732</f>
        <v/>
      </c>
      <c r="K2732" s="43" t="inlineStr">
        <is>
          <t>来源页202</t>
        </is>
      </c>
      <c r="L2732" s="43">
        <f>A2732</f>
        <v/>
      </c>
      <c r="M2732" s="81" t="n"/>
      <c r="N2732" s="81" t="n"/>
      <c r="O2732" s="81" t="n"/>
      <c r="P2732" s="81" t="n"/>
      <c r="Q2732" s="81" t="n"/>
      <c r="R2732" s="81" t="n"/>
      <c r="S2732" s="81" t="n"/>
      <c r="T2732" s="81" t="n"/>
      <c r="U2732" s="81" t="n"/>
      <c r="V2732" s="81" t="n"/>
      <c r="W2732" s="43" t="n"/>
    </row>
    <row r="2733">
      <c r="A2733" s="43" t="inlineStr">
        <is>
          <t>P4</t>
        </is>
      </c>
      <c r="B2733" s="43" t="inlineStr">
        <is>
          <t>上弦杆拼接</t>
        </is>
      </c>
      <c r="C2733" s="43" t="inlineStr">
        <is>
          <t>节段15~节段16</t>
        </is>
      </c>
      <c r="D2733" s="43" t="inlineStr">
        <is>
          <t>Q420D</t>
        </is>
      </c>
      <c r="E2733" s="43" t="n">
        <v>1820</v>
      </c>
      <c r="F2733" s="43" t="n">
        <v>400</v>
      </c>
      <c r="G2733" s="43" t="n">
        <v>40</v>
      </c>
      <c r="H2733" s="79">
        <f>(E2733/1000)*(F2733/1000)*(G2733/1000)*7850</f>
        <v/>
      </c>
      <c r="I2733" s="43" t="n">
        <v>2</v>
      </c>
      <c r="J2733" s="80">
        <f>H2733*I2733</f>
        <v/>
      </c>
      <c r="K2733" s="43" t="inlineStr">
        <is>
          <t>来源页202</t>
        </is>
      </c>
      <c r="L2733" s="43">
        <f>A2733</f>
        <v/>
      </c>
      <c r="M2733" s="81" t="n"/>
      <c r="N2733" s="81" t="n"/>
      <c r="O2733" s="81" t="n"/>
      <c r="P2733" s="81" t="n"/>
      <c r="Q2733" s="81" t="n"/>
      <c r="R2733" s="81" t="n"/>
      <c r="S2733" s="81" t="n"/>
      <c r="T2733" s="81" t="n"/>
      <c r="U2733" s="81" t="n"/>
      <c r="V2733" s="81" t="n"/>
      <c r="W2733" s="43" t="n"/>
    </row>
    <row r="2734">
      <c r="A2734" s="43" t="inlineStr">
        <is>
          <t>P5</t>
        </is>
      </c>
      <c r="B2734" s="43" t="inlineStr">
        <is>
          <t>上弦杆拼接</t>
        </is>
      </c>
      <c r="C2734" s="43" t="inlineStr">
        <is>
          <t>节段15~节段16</t>
        </is>
      </c>
      <c r="D2734" s="43" t="inlineStr">
        <is>
          <t>Q420D</t>
        </is>
      </c>
      <c r="E2734" s="43" t="n">
        <v>1720</v>
      </c>
      <c r="F2734" s="43" t="n">
        <v>1100</v>
      </c>
      <c r="G2734" s="43" t="n">
        <v>44</v>
      </c>
      <c r="H2734" s="79">
        <f>(E2734/1000)*(F2734/1000)*(G2734/1000)*7850</f>
        <v/>
      </c>
      <c r="I2734" s="43" t="n">
        <v>1</v>
      </c>
      <c r="J2734" s="80">
        <f>H2734*I2734</f>
        <v/>
      </c>
      <c r="K2734" s="43" t="inlineStr">
        <is>
          <t>来源页202</t>
        </is>
      </c>
      <c r="L2734" s="43">
        <f>A2734</f>
        <v/>
      </c>
      <c r="M2734" s="81" t="n"/>
      <c r="N2734" s="81" t="n"/>
      <c r="O2734" s="81" t="n"/>
      <c r="P2734" s="81" t="n"/>
      <c r="Q2734" s="81" t="n"/>
      <c r="R2734" s="81" t="n"/>
      <c r="S2734" s="81" t="n"/>
      <c r="T2734" s="81" t="n"/>
      <c r="U2734" s="81" t="n"/>
      <c r="V2734" s="81" t="n"/>
      <c r="W2734" s="43" t="n"/>
    </row>
    <row r="2735">
      <c r="A2735" s="43" t="inlineStr">
        <is>
          <t>P6</t>
        </is>
      </c>
      <c r="B2735" s="43" t="inlineStr">
        <is>
          <t>上弦杆拼接</t>
        </is>
      </c>
      <c r="C2735" s="43" t="inlineStr">
        <is>
          <t>节段15~节段16</t>
        </is>
      </c>
      <c r="D2735" s="43" t="inlineStr">
        <is>
          <t>Q420D</t>
        </is>
      </c>
      <c r="E2735" s="43" t="n">
        <v>1720</v>
      </c>
      <c r="F2735" s="43" t="n">
        <v>400</v>
      </c>
      <c r="G2735" s="43" t="n">
        <v>44</v>
      </c>
      <c r="H2735" s="79">
        <f>(E2735/1000)*(F2735/1000)*(G2735/1000)*7850</f>
        <v/>
      </c>
      <c r="I2735" s="43" t="n">
        <v>2</v>
      </c>
      <c r="J2735" s="80">
        <f>H2735*I2735</f>
        <v/>
      </c>
      <c r="K2735" s="43" t="inlineStr">
        <is>
          <t>来源页202</t>
        </is>
      </c>
      <c r="L2735" s="43">
        <f>A2735</f>
        <v/>
      </c>
      <c r="M2735" s="81" t="n"/>
      <c r="N2735" s="81" t="n"/>
      <c r="O2735" s="81" t="n"/>
      <c r="P2735" s="81" t="n"/>
      <c r="Q2735" s="81" t="n"/>
      <c r="R2735" s="81" t="n"/>
      <c r="S2735" s="81" t="n"/>
      <c r="T2735" s="81" t="n"/>
      <c r="U2735" s="81" t="n"/>
      <c r="V2735" s="81" t="n"/>
      <c r="W2735" s="43" t="n"/>
    </row>
    <row r="2736">
      <c r="A2736" s="43" t="inlineStr">
        <is>
          <t>P7</t>
        </is>
      </c>
      <c r="B2736" s="43" t="inlineStr">
        <is>
          <t>上弦杆拼接</t>
        </is>
      </c>
      <c r="C2736" s="43" t="inlineStr">
        <is>
          <t>节段15~节段16</t>
        </is>
      </c>
      <c r="D2736" s="43" t="inlineStr">
        <is>
          <t>Q420D</t>
        </is>
      </c>
      <c r="E2736" s="43" t="n">
        <v>1320</v>
      </c>
      <c r="F2736" s="43" t="n">
        <v>240</v>
      </c>
      <c r="G2736" s="43" t="n">
        <v>24</v>
      </c>
      <c r="H2736" s="79">
        <f>(E2736/1000)*(F2736/1000)*(G2736/1000)*7850</f>
        <v/>
      </c>
      <c r="I2736" s="43" t="n">
        <v>10</v>
      </c>
      <c r="J2736" s="80">
        <f>H2736*I2736</f>
        <v/>
      </c>
      <c r="K2736" s="43" t="inlineStr">
        <is>
          <t>来源页202</t>
        </is>
      </c>
      <c r="L2736" s="43">
        <f>A2736</f>
        <v/>
      </c>
      <c r="M2736" s="81" t="n"/>
      <c r="N2736" s="81" t="n"/>
      <c r="O2736" s="81" t="n"/>
      <c r="P2736" s="81" t="n"/>
      <c r="Q2736" s="81" t="n"/>
      <c r="R2736" s="81" t="n"/>
      <c r="S2736" s="81" t="n"/>
      <c r="T2736" s="81" t="n"/>
      <c r="U2736" s="81" t="n"/>
      <c r="V2736" s="81" t="n"/>
      <c r="W2736" s="43" t="n"/>
    </row>
    <row r="2737">
      <c r="A2737" s="43" t="inlineStr">
        <is>
          <t>M30高强螺栓</t>
        </is>
      </c>
      <c r="B2737" s="43" t="inlineStr">
        <is>
          <t>上弦杆拼接</t>
        </is>
      </c>
      <c r="C2737" s="43" t="inlineStr">
        <is>
          <t>节段15~节段16</t>
        </is>
      </c>
      <c r="D2737" s="43" t="inlineStr">
        <is>
          <t>10.9S</t>
        </is>
      </c>
      <c r="E2737" s="43" t="n"/>
      <c r="F2737" s="43" t="n"/>
      <c r="G2737" s="43" t="n"/>
      <c r="H2737" s="79">
        <f>(E2737/1000)*(F2737/1000)*(G2737/1000)*7850</f>
        <v/>
      </c>
      <c r="I2737" s="43" t="n">
        <v>652</v>
      </c>
      <c r="J2737" s="80">
        <f>H2737*I2737</f>
        <v/>
      </c>
      <c r="K2737" s="43" t="inlineStr">
        <is>
          <t>来源页202</t>
        </is>
      </c>
      <c r="L2737" s="43">
        <f>A2737</f>
        <v/>
      </c>
      <c r="M2737" s="81" t="n"/>
      <c r="N2737" s="81" t="n"/>
      <c r="O2737" s="81" t="n"/>
      <c r="P2737" s="81" t="n"/>
      <c r="Q2737" s="81" t="n"/>
      <c r="R2737" s="81" t="n"/>
      <c r="S2737" s="81" t="n"/>
      <c r="T2737" s="81" t="n"/>
      <c r="U2737" s="81" t="n"/>
      <c r="V2737" s="81" t="n"/>
      <c r="W2737" s="43" t="n"/>
    </row>
    <row r="2738">
      <c r="A2738" s="43" t="inlineStr">
        <is>
          <t>K1</t>
        </is>
      </c>
      <c r="B2738" s="43" t="inlineStr">
        <is>
          <t>下弦杆拼接</t>
        </is>
      </c>
      <c r="C2738" s="43" t="inlineStr">
        <is>
          <t>节段15~节段16</t>
        </is>
      </c>
      <c r="D2738" s="43" t="inlineStr">
        <is>
          <t>Q355D</t>
        </is>
      </c>
      <c r="E2738" s="43" t="n">
        <v>1020</v>
      </c>
      <c r="F2738" s="43" t="n">
        <v>1300</v>
      </c>
      <c r="G2738" s="43" t="n">
        <v>24</v>
      </c>
      <c r="H2738" s="79">
        <f>(E2738/1000)*(F2738/1000)*(G2738/1000)*7850</f>
        <v/>
      </c>
      <c r="I2738" s="43" t="n">
        <v>2</v>
      </c>
      <c r="J2738" s="80">
        <f>H2738*I2738</f>
        <v/>
      </c>
      <c r="K2738" s="43" t="inlineStr">
        <is>
          <t>来源页202</t>
        </is>
      </c>
      <c r="L2738" s="43">
        <f>A2738</f>
        <v/>
      </c>
      <c r="M2738" s="81" t="n"/>
      <c r="N2738" s="81" t="n"/>
      <c r="O2738" s="81" t="n"/>
      <c r="P2738" s="81" t="n"/>
      <c r="Q2738" s="81" t="n"/>
      <c r="R2738" s="81" t="n"/>
      <c r="S2738" s="81" t="n"/>
      <c r="T2738" s="81" t="n"/>
      <c r="U2738" s="81" t="n"/>
      <c r="V2738" s="81" t="n"/>
      <c r="W2738" s="43" t="n"/>
    </row>
    <row r="2739">
      <c r="A2739" s="43" t="inlineStr">
        <is>
          <t>K2</t>
        </is>
      </c>
      <c r="B2739" s="43" t="inlineStr">
        <is>
          <t>下弦杆拼接</t>
        </is>
      </c>
      <c r="C2739" s="43" t="inlineStr">
        <is>
          <t>节段15~节段16</t>
        </is>
      </c>
      <c r="D2739" s="43" t="inlineStr">
        <is>
          <t>Q355D</t>
        </is>
      </c>
      <c r="E2739" s="43" t="n">
        <v>1020</v>
      </c>
      <c r="F2739" s="43" t="n">
        <v>600</v>
      </c>
      <c r="G2739" s="43" t="n">
        <v>24</v>
      </c>
      <c r="H2739" s="79">
        <f>(E2739/1000)*(F2739/1000)*(G2739/1000)*7850</f>
        <v/>
      </c>
      <c r="I2739" s="43" t="n">
        <v>4</v>
      </c>
      <c r="J2739" s="80">
        <f>H2739*I2739</f>
        <v/>
      </c>
      <c r="K2739" s="43" t="inlineStr">
        <is>
          <t>来源页202</t>
        </is>
      </c>
      <c r="L2739" s="43">
        <f>A2739</f>
        <v/>
      </c>
      <c r="M2739" s="81" t="n"/>
      <c r="N2739" s="81" t="n"/>
      <c r="O2739" s="81" t="n"/>
      <c r="P2739" s="81" t="n"/>
      <c r="Q2739" s="81" t="n"/>
      <c r="R2739" s="81" t="n"/>
      <c r="S2739" s="81" t="n"/>
      <c r="T2739" s="81" t="n"/>
      <c r="U2739" s="81" t="n"/>
      <c r="V2739" s="81" t="n"/>
      <c r="W2739" s="43" t="n"/>
    </row>
    <row r="2740">
      <c r="A2740" s="43" t="inlineStr">
        <is>
          <t>K3</t>
        </is>
      </c>
      <c r="B2740" s="43" t="inlineStr">
        <is>
          <t>下弦杆拼接</t>
        </is>
      </c>
      <c r="C2740" s="43" t="inlineStr">
        <is>
          <t>节段15~节段16</t>
        </is>
      </c>
      <c r="D2740" s="43" t="inlineStr">
        <is>
          <t>Q355D</t>
        </is>
      </c>
      <c r="E2740" s="43" t="n">
        <v>1320</v>
      </c>
      <c r="F2740" s="43" t="n">
        <v>1100</v>
      </c>
      <c r="G2740" s="43" t="n">
        <v>36</v>
      </c>
      <c r="H2740" s="79">
        <f>(E2740/1000)*(F2740/1000)*(G2740/1000)*7850</f>
        <v/>
      </c>
      <c r="I2740" s="43" t="n">
        <v>1</v>
      </c>
      <c r="J2740" s="80">
        <f>H2740*I2740</f>
        <v/>
      </c>
      <c r="K2740" s="43" t="inlineStr">
        <is>
          <t>来源页202</t>
        </is>
      </c>
      <c r="L2740" s="43">
        <f>A2740</f>
        <v/>
      </c>
      <c r="M2740" s="81" t="n"/>
      <c r="N2740" s="81" t="n"/>
      <c r="O2740" s="81" t="n"/>
      <c r="P2740" s="81" t="n"/>
      <c r="Q2740" s="81" t="n"/>
      <c r="R2740" s="81" t="n"/>
      <c r="S2740" s="81" t="n"/>
      <c r="T2740" s="81" t="n"/>
      <c r="U2740" s="81" t="n"/>
      <c r="V2740" s="81" t="n"/>
      <c r="W2740" s="43" t="n"/>
    </row>
    <row r="2741">
      <c r="A2741" s="43" t="inlineStr">
        <is>
          <t>K4</t>
        </is>
      </c>
      <c r="B2741" s="43" t="inlineStr">
        <is>
          <t>下弦杆拼接</t>
        </is>
      </c>
      <c r="C2741" s="43" t="inlineStr">
        <is>
          <t>节段15~节段16</t>
        </is>
      </c>
      <c r="D2741" s="43" t="inlineStr">
        <is>
          <t>Q355D</t>
        </is>
      </c>
      <c r="E2741" s="43" t="n">
        <v>1320</v>
      </c>
      <c r="F2741" s="43" t="n">
        <v>400</v>
      </c>
      <c r="G2741" s="43" t="n">
        <v>36</v>
      </c>
      <c r="H2741" s="79">
        <f>(E2741/1000)*(F2741/1000)*(G2741/1000)*7850</f>
        <v/>
      </c>
      <c r="I2741" s="43" t="n">
        <v>2</v>
      </c>
      <c r="J2741" s="80">
        <f>H2741*I2741</f>
        <v/>
      </c>
      <c r="K2741" s="43" t="inlineStr">
        <is>
          <t>来源页202</t>
        </is>
      </c>
      <c r="L2741" s="43">
        <f>A2741</f>
        <v/>
      </c>
      <c r="M2741" s="81" t="n"/>
      <c r="N2741" s="81" t="n"/>
      <c r="O2741" s="81" t="n"/>
      <c r="P2741" s="81" t="n"/>
      <c r="Q2741" s="81" t="n"/>
      <c r="R2741" s="81" t="n"/>
      <c r="S2741" s="81" t="n"/>
      <c r="T2741" s="81" t="n"/>
      <c r="U2741" s="81" t="n"/>
      <c r="V2741" s="81" t="n"/>
      <c r="W2741" s="43" t="n"/>
    </row>
    <row r="2742">
      <c r="A2742" s="43" t="inlineStr">
        <is>
          <t>K6</t>
        </is>
      </c>
      <c r="B2742" s="43" t="inlineStr">
        <is>
          <t>下弦杆拼接</t>
        </is>
      </c>
      <c r="C2742" s="43" t="inlineStr">
        <is>
          <t>节段15~节段16</t>
        </is>
      </c>
      <c r="D2742" s="43" t="inlineStr">
        <is>
          <t>Q355D</t>
        </is>
      </c>
      <c r="E2742" s="43" t="n">
        <v>500</v>
      </c>
      <c r="F2742" s="43" t="n">
        <v>1700</v>
      </c>
      <c r="G2742" s="43" t="n">
        <v>8</v>
      </c>
      <c r="H2742" s="79">
        <f>(E2742/1000)*(F2742/1000)*(G2742/1000)*7850</f>
        <v/>
      </c>
      <c r="I2742" s="43" t="n">
        <v>2</v>
      </c>
      <c r="J2742" s="80">
        <f>H2742*I2742</f>
        <v/>
      </c>
      <c r="K2742" s="43" t="inlineStr">
        <is>
          <t>填板；来源页202</t>
        </is>
      </c>
      <c r="L2742" s="43">
        <f>A2742</f>
        <v/>
      </c>
      <c r="M2742" s="81" t="n"/>
      <c r="N2742" s="81" t="n"/>
      <c r="O2742" s="81" t="n"/>
      <c r="P2742" s="81" t="n"/>
      <c r="Q2742" s="81" t="n"/>
      <c r="R2742" s="81" t="n"/>
      <c r="S2742" s="81" t="n"/>
      <c r="T2742" s="81" t="n"/>
      <c r="U2742" s="81" t="n"/>
      <c r="V2742" s="81" t="n"/>
      <c r="W2742" s="43" t="n"/>
    </row>
    <row r="2743">
      <c r="A2743" s="43" t="inlineStr">
        <is>
          <t>K7</t>
        </is>
      </c>
      <c r="B2743" s="43" t="inlineStr">
        <is>
          <t>下弦杆拼接</t>
        </is>
      </c>
      <c r="C2743" s="43" t="inlineStr">
        <is>
          <t>节段15~节段16</t>
        </is>
      </c>
      <c r="D2743" s="43" t="inlineStr">
        <is>
          <t>Q355D</t>
        </is>
      </c>
      <c r="E2743" s="43" t="n">
        <v>650</v>
      </c>
      <c r="F2743" s="43" t="n">
        <v>1100</v>
      </c>
      <c r="G2743" s="43" t="n">
        <v>4</v>
      </c>
      <c r="H2743" s="79">
        <f>(E2743/1000)*(F2743/1000)*(G2743/1000)*7850</f>
        <v/>
      </c>
      <c r="I2743" s="43" t="n">
        <v>1</v>
      </c>
      <c r="J2743" s="80">
        <f>H2743*I2743</f>
        <v/>
      </c>
      <c r="K2743" s="43" t="inlineStr">
        <is>
          <t>填板；来源页202</t>
        </is>
      </c>
      <c r="L2743" s="43">
        <f>A2743</f>
        <v/>
      </c>
      <c r="M2743" s="81" t="n"/>
      <c r="N2743" s="81" t="n"/>
      <c r="O2743" s="81" t="n"/>
      <c r="P2743" s="81" t="n"/>
      <c r="Q2743" s="81" t="n"/>
      <c r="R2743" s="81" t="n"/>
      <c r="S2743" s="81" t="n"/>
      <c r="T2743" s="81" t="n"/>
      <c r="U2743" s="81" t="n"/>
      <c r="V2743" s="81" t="n"/>
      <c r="W2743" s="43" t="n"/>
    </row>
    <row r="2744">
      <c r="A2744" s="43" t="inlineStr">
        <is>
          <t>M30高强螺栓</t>
        </is>
      </c>
      <c r="B2744" s="43" t="inlineStr">
        <is>
          <t>下弦杆拼接</t>
        </is>
      </c>
      <c r="C2744" s="43" t="inlineStr">
        <is>
          <t>节段15~节段16</t>
        </is>
      </c>
      <c r="D2744" s="43" t="inlineStr">
        <is>
          <t>10.9S</t>
        </is>
      </c>
      <c r="E2744" s="43" t="n"/>
      <c r="F2744" s="43" t="n"/>
      <c r="G2744" s="43" t="n"/>
      <c r="H2744" s="79">
        <f>(E2744/1000)*(F2744/1000)*(G2744/1000)*7850</f>
        <v/>
      </c>
      <c r="I2744" s="43" t="n">
        <v>344</v>
      </c>
      <c r="J2744" s="80">
        <f>H2744*I2744</f>
        <v/>
      </c>
      <c r="K2744" s="43" t="inlineStr">
        <is>
          <t>来源页202</t>
        </is>
      </c>
      <c r="L2744" s="43">
        <f>A2744</f>
        <v/>
      </c>
      <c r="M2744" s="81" t="n"/>
      <c r="N2744" s="81" t="n"/>
      <c r="O2744" s="81" t="n"/>
      <c r="P2744" s="81" t="n"/>
      <c r="Q2744" s="81" t="n"/>
      <c r="R2744" s="81" t="n"/>
      <c r="S2744" s="81" t="n"/>
      <c r="T2744" s="81" t="n"/>
      <c r="U2744" s="81" t="n"/>
      <c r="V2744" s="81" t="n"/>
      <c r="W2744" s="43" t="n"/>
    </row>
    <row r="2745">
      <c r="A2745" s="43" t="inlineStr">
        <is>
          <t>L1</t>
        </is>
      </c>
      <c r="B2745" s="43" t="inlineStr">
        <is>
          <t>腹杆拼接</t>
        </is>
      </c>
      <c r="C2745" s="43" t="inlineStr">
        <is>
          <t>节段15~节段16</t>
        </is>
      </c>
      <c r="D2745" s="43" t="inlineStr">
        <is>
          <t>Q420D</t>
        </is>
      </c>
      <c r="E2745" s="43" t="n">
        <v>1520</v>
      </c>
      <c r="F2745" s="43" t="n">
        <v>1500</v>
      </c>
      <c r="G2745" s="43" t="n">
        <v>32</v>
      </c>
      <c r="H2745" s="79">
        <f>(E2745/1000)*(F2745/1000)*(G2745/1000)*7850</f>
        <v/>
      </c>
      <c r="I2745" s="43" t="n">
        <v>2</v>
      </c>
      <c r="J2745" s="80">
        <f>H2745*I2745</f>
        <v/>
      </c>
      <c r="K2745" s="43" t="inlineStr">
        <is>
          <t>来源页202</t>
        </is>
      </c>
      <c r="L2745" s="43">
        <f>A2745</f>
        <v/>
      </c>
      <c r="M2745" s="81" t="n"/>
      <c r="N2745" s="81" t="n"/>
      <c r="O2745" s="81" t="n"/>
      <c r="P2745" s="81" t="n"/>
      <c r="Q2745" s="81" t="n"/>
      <c r="R2745" s="81" t="n"/>
      <c r="S2745" s="81" t="n"/>
      <c r="T2745" s="81" t="n"/>
      <c r="U2745" s="81" t="n"/>
      <c r="V2745" s="81" t="n"/>
      <c r="W2745" s="43" t="n"/>
    </row>
    <row r="2746">
      <c r="A2746" s="43" t="inlineStr">
        <is>
          <t>L2</t>
        </is>
      </c>
      <c r="B2746" s="43" t="inlineStr">
        <is>
          <t>腹杆拼接</t>
        </is>
      </c>
      <c r="C2746" s="43" t="inlineStr">
        <is>
          <t>节段15~节段16</t>
        </is>
      </c>
      <c r="D2746" s="43" t="inlineStr">
        <is>
          <t>Q420D</t>
        </is>
      </c>
      <c r="E2746" s="43" t="n">
        <v>1520</v>
      </c>
      <c r="F2746" s="43" t="n">
        <v>400</v>
      </c>
      <c r="G2746" s="43" t="n">
        <v>32</v>
      </c>
      <c r="H2746" s="79">
        <f>(E2746/1000)*(F2746/1000)*(G2746/1000)*7850</f>
        <v/>
      </c>
      <c r="I2746" s="43" t="n">
        <v>4</v>
      </c>
      <c r="J2746" s="80">
        <f>H2746*I2746</f>
        <v/>
      </c>
      <c r="K2746" s="43" t="inlineStr">
        <is>
          <t>来源页202</t>
        </is>
      </c>
      <c r="L2746" s="43">
        <f>A2746</f>
        <v/>
      </c>
      <c r="M2746" s="81" t="n"/>
      <c r="N2746" s="81" t="n"/>
      <c r="O2746" s="81" t="n"/>
      <c r="P2746" s="81" t="n"/>
      <c r="Q2746" s="81" t="n"/>
      <c r="R2746" s="81" t="n"/>
      <c r="S2746" s="81" t="n"/>
      <c r="T2746" s="81" t="n"/>
      <c r="U2746" s="81" t="n"/>
      <c r="V2746" s="81" t="n"/>
      <c r="W2746" s="43" t="n"/>
    </row>
    <row r="2747">
      <c r="A2747" s="43" t="inlineStr">
        <is>
          <t>L3</t>
        </is>
      </c>
      <c r="B2747" s="43" t="inlineStr">
        <is>
          <t>腹杆拼接</t>
        </is>
      </c>
      <c r="C2747" s="43" t="inlineStr">
        <is>
          <t>节段15~节段16</t>
        </is>
      </c>
      <c r="D2747" s="43" t="inlineStr">
        <is>
          <t>Q420D</t>
        </is>
      </c>
      <c r="E2747" s="43" t="n">
        <v>1520</v>
      </c>
      <c r="F2747" s="43" t="n">
        <v>500</v>
      </c>
      <c r="G2747" s="43" t="n">
        <v>32</v>
      </c>
      <c r="H2747" s="79">
        <f>(E2747/1000)*(F2747/1000)*(G2747/1000)*7850</f>
        <v/>
      </c>
      <c r="I2747" s="43" t="n">
        <v>2</v>
      </c>
      <c r="J2747" s="80">
        <f>H2747*I2747</f>
        <v/>
      </c>
      <c r="K2747" s="43" t="inlineStr">
        <is>
          <t>来源页202</t>
        </is>
      </c>
      <c r="L2747" s="43">
        <f>A2747</f>
        <v/>
      </c>
      <c r="M2747" s="81" t="n"/>
      <c r="N2747" s="81" t="n"/>
      <c r="O2747" s="81" t="n"/>
      <c r="P2747" s="81" t="n"/>
      <c r="Q2747" s="81" t="n"/>
      <c r="R2747" s="81" t="n"/>
      <c r="S2747" s="81" t="n"/>
      <c r="T2747" s="81" t="n"/>
      <c r="U2747" s="81" t="n"/>
      <c r="V2747" s="81" t="n"/>
      <c r="W2747" s="43" t="n"/>
    </row>
    <row r="2748">
      <c r="A2748" s="43" t="inlineStr">
        <is>
          <t>L4</t>
        </is>
      </c>
      <c r="B2748" s="43" t="inlineStr">
        <is>
          <t>腹杆拼接</t>
        </is>
      </c>
      <c r="C2748" s="43" t="inlineStr">
        <is>
          <t>节段15~节段16</t>
        </is>
      </c>
      <c r="D2748" s="43" t="inlineStr">
        <is>
          <t>Q420D</t>
        </is>
      </c>
      <c r="E2748" s="43" t="n">
        <v>1520</v>
      </c>
      <c r="F2748" s="43" t="n">
        <v>1100</v>
      </c>
      <c r="G2748" s="43" t="n">
        <v>28</v>
      </c>
      <c r="H2748" s="79">
        <f>(E2748/1000)*(F2748/1000)*(G2748/1000)*7850</f>
        <v/>
      </c>
      <c r="I2748" s="43" t="n">
        <v>1</v>
      </c>
      <c r="J2748" s="80">
        <f>H2748*I2748</f>
        <v/>
      </c>
      <c r="K2748" s="43" t="inlineStr">
        <is>
          <t>来源页202</t>
        </is>
      </c>
      <c r="L2748" s="43">
        <f>A2748</f>
        <v/>
      </c>
      <c r="M2748" s="81" t="n"/>
      <c r="N2748" s="81" t="n"/>
      <c r="O2748" s="81" t="n"/>
      <c r="P2748" s="81" t="n"/>
      <c r="Q2748" s="81" t="n"/>
      <c r="R2748" s="81" t="n"/>
      <c r="S2748" s="81" t="n"/>
      <c r="T2748" s="81" t="n"/>
      <c r="U2748" s="81" t="n"/>
      <c r="V2748" s="81" t="n"/>
      <c r="W2748" s="43" t="n"/>
    </row>
    <row r="2749">
      <c r="A2749" s="43" t="inlineStr">
        <is>
          <t>L5</t>
        </is>
      </c>
      <c r="B2749" s="43" t="inlineStr">
        <is>
          <t>腹杆拼接</t>
        </is>
      </c>
      <c r="C2749" s="43" t="inlineStr">
        <is>
          <t>节段15~节段16</t>
        </is>
      </c>
      <c r="D2749" s="43" t="inlineStr">
        <is>
          <t>Q420D</t>
        </is>
      </c>
      <c r="E2749" s="43" t="n">
        <v>1520</v>
      </c>
      <c r="F2749" s="43" t="n">
        <v>500</v>
      </c>
      <c r="G2749" s="43" t="n">
        <v>28</v>
      </c>
      <c r="H2749" s="79">
        <f>(E2749/1000)*(F2749/1000)*(G2749/1000)*7850</f>
        <v/>
      </c>
      <c r="I2749" s="43" t="n">
        <v>2</v>
      </c>
      <c r="J2749" s="80">
        <f>H2749*I2749</f>
        <v/>
      </c>
      <c r="K2749" s="43" t="inlineStr">
        <is>
          <t>来源页202</t>
        </is>
      </c>
      <c r="L2749" s="43">
        <f>A2749</f>
        <v/>
      </c>
      <c r="M2749" s="81" t="n"/>
      <c r="N2749" s="81" t="n"/>
      <c r="O2749" s="81" t="n"/>
      <c r="P2749" s="81" t="n"/>
      <c r="Q2749" s="81" t="n"/>
      <c r="R2749" s="81" t="n"/>
      <c r="S2749" s="81" t="n"/>
      <c r="T2749" s="81" t="n"/>
      <c r="U2749" s="81" t="n"/>
      <c r="V2749" s="81" t="n"/>
      <c r="W2749" s="43" t="n"/>
    </row>
    <row r="2750">
      <c r="A2750" s="43" t="inlineStr">
        <is>
          <t>L6</t>
        </is>
      </c>
      <c r="B2750" s="43" t="inlineStr">
        <is>
          <t>腹杆拼接</t>
        </is>
      </c>
      <c r="C2750" s="43" t="inlineStr">
        <is>
          <t>节段15~节段16</t>
        </is>
      </c>
      <c r="D2750" s="43" t="inlineStr">
        <is>
          <t>Q420D</t>
        </is>
      </c>
      <c r="E2750" s="43" t="n">
        <v>1520</v>
      </c>
      <c r="F2750" s="43" t="n">
        <v>1100</v>
      </c>
      <c r="G2750" s="43" t="n">
        <v>40</v>
      </c>
      <c r="H2750" s="79">
        <f>(E2750/1000)*(F2750/1000)*(G2750/1000)*7850</f>
        <v/>
      </c>
      <c r="I2750" s="43" t="n">
        <v>1</v>
      </c>
      <c r="J2750" s="80">
        <f>H2750*I2750</f>
        <v/>
      </c>
      <c r="K2750" s="43" t="inlineStr">
        <is>
          <t>来源页202</t>
        </is>
      </c>
      <c r="L2750" s="43">
        <f>A2750</f>
        <v/>
      </c>
      <c r="M2750" s="81" t="n"/>
      <c r="N2750" s="81" t="n"/>
      <c r="O2750" s="81" t="n"/>
      <c r="P2750" s="81" t="n"/>
      <c r="Q2750" s="81" t="n"/>
      <c r="R2750" s="81" t="n"/>
      <c r="S2750" s="81" t="n"/>
      <c r="T2750" s="81" t="n"/>
      <c r="U2750" s="81" t="n"/>
      <c r="V2750" s="81" t="n"/>
      <c r="W2750" s="43" t="n"/>
    </row>
    <row r="2751">
      <c r="A2751" s="43" t="inlineStr">
        <is>
          <t>L7</t>
        </is>
      </c>
      <c r="B2751" s="43" t="inlineStr">
        <is>
          <t>腹杆拼接</t>
        </is>
      </c>
      <c r="C2751" s="43" t="inlineStr">
        <is>
          <t>节段15~节段16</t>
        </is>
      </c>
      <c r="D2751" s="43" t="inlineStr">
        <is>
          <t>Q420D</t>
        </is>
      </c>
      <c r="E2751" s="43" t="n">
        <v>1520</v>
      </c>
      <c r="F2751" s="43" t="n">
        <v>400</v>
      </c>
      <c r="G2751" s="43" t="n">
        <v>40</v>
      </c>
      <c r="H2751" s="79">
        <f>(E2751/1000)*(F2751/1000)*(G2751/1000)*7850</f>
        <v/>
      </c>
      <c r="I2751" s="43" t="n">
        <v>2</v>
      </c>
      <c r="J2751" s="80">
        <f>H2751*I2751</f>
        <v/>
      </c>
      <c r="K2751" s="43" t="inlineStr">
        <is>
          <t>来源页202</t>
        </is>
      </c>
      <c r="L2751" s="43">
        <f>A2751</f>
        <v/>
      </c>
      <c r="M2751" s="81" t="n"/>
      <c r="N2751" s="81" t="n"/>
      <c r="O2751" s="81" t="n"/>
      <c r="P2751" s="81" t="n"/>
      <c r="Q2751" s="81" t="n"/>
      <c r="R2751" s="81" t="n"/>
      <c r="S2751" s="81" t="n"/>
      <c r="T2751" s="81" t="n"/>
      <c r="U2751" s="81" t="n"/>
      <c r="V2751" s="81" t="n"/>
      <c r="W2751" s="43" t="n"/>
    </row>
    <row r="2752">
      <c r="A2752" s="43" t="inlineStr">
        <is>
          <t>L8</t>
        </is>
      </c>
      <c r="B2752" s="43" t="inlineStr">
        <is>
          <t>腹杆拼接</t>
        </is>
      </c>
      <c r="C2752" s="43" t="inlineStr">
        <is>
          <t>节段15~节段16</t>
        </is>
      </c>
      <c r="D2752" s="43" t="inlineStr">
        <is>
          <t>Q420D</t>
        </is>
      </c>
      <c r="E2752" s="43" t="n">
        <v>1320</v>
      </c>
      <c r="F2752" s="43" t="n">
        <v>240</v>
      </c>
      <c r="G2752" s="43" t="n">
        <v>24</v>
      </c>
      <c r="H2752" s="79">
        <f>(E2752/1000)*(F2752/1000)*(G2752/1000)*7850</f>
        <v/>
      </c>
      <c r="I2752" s="43" t="n">
        <v>10</v>
      </c>
      <c r="J2752" s="80">
        <f>H2752*I2752</f>
        <v/>
      </c>
      <c r="K2752" s="43" t="inlineStr">
        <is>
          <t>来源页202</t>
        </is>
      </c>
      <c r="L2752" s="43">
        <f>A2752</f>
        <v/>
      </c>
      <c r="M2752" s="81" t="n"/>
      <c r="N2752" s="81" t="n"/>
      <c r="O2752" s="81" t="n"/>
      <c r="P2752" s="81" t="n"/>
      <c r="Q2752" s="81" t="n"/>
      <c r="R2752" s="81" t="n"/>
      <c r="S2752" s="81" t="n"/>
      <c r="T2752" s="81" t="n"/>
      <c r="U2752" s="81" t="n"/>
      <c r="V2752" s="81" t="n"/>
      <c r="W2752" s="43" t="n"/>
    </row>
    <row r="2753">
      <c r="A2753" s="43" t="inlineStr"/>
      <c r="B2753" s="43" t="inlineStr"/>
      <c r="C2753" s="43" t="inlineStr">
        <is>
          <t>节段15~节段16</t>
        </is>
      </c>
      <c r="D2753" s="43" t="inlineStr">
        <is>
          <t>Q420D</t>
        </is>
      </c>
      <c r="E2753" s="43" t="n"/>
      <c r="F2753" s="43" t="n"/>
      <c r="G2753" s="43" t="n">
        <v>44</v>
      </c>
      <c r="H2753" s="79">
        <f>(E2753/1000)*(F2753/1000)*(G2753/1000)*7850</f>
        <v/>
      </c>
      <c r="I2753" s="43" t="n">
        <v>2</v>
      </c>
      <c r="J2753" s="80">
        <f>H2753*I2753</f>
        <v/>
      </c>
      <c r="K2753" s="43" t="inlineStr">
        <is>
          <t>来源页203</t>
        </is>
      </c>
      <c r="L2753" s="43">
        <f>A2753</f>
        <v/>
      </c>
      <c r="M2753" s="81" t="n"/>
      <c r="N2753" s="81" t="n"/>
      <c r="O2753" s="81" t="n"/>
      <c r="P2753" s="81" t="n"/>
      <c r="Q2753" s="81" t="n"/>
      <c r="R2753" s="81" t="n"/>
      <c r="S2753" s="81" t="n"/>
      <c r="T2753" s="81" t="n"/>
      <c r="U2753" s="81" t="n"/>
      <c r="V2753" s="81" t="n"/>
      <c r="W2753" s="43" t="n"/>
    </row>
    <row r="2754">
      <c r="A2754" s="43" t="inlineStr"/>
      <c r="B2754" s="43" t="inlineStr"/>
      <c r="C2754" s="43" t="inlineStr">
        <is>
          <t>节段15~节段16</t>
        </is>
      </c>
      <c r="D2754" s="43" t="inlineStr">
        <is>
          <t>Q420D</t>
        </is>
      </c>
      <c r="E2754" s="43" t="n"/>
      <c r="F2754" s="43" t="n"/>
      <c r="G2754" s="43" t="n">
        <v>40</v>
      </c>
      <c r="H2754" s="79">
        <f>(E2754/1000)*(F2754/1000)*(G2754/1000)*7850</f>
        <v/>
      </c>
      <c r="I2754" s="43" t="n">
        <v>2</v>
      </c>
      <c r="J2754" s="80">
        <f>H2754*I2754</f>
        <v/>
      </c>
      <c r="K2754" s="43" t="inlineStr">
        <is>
          <t>来源页203</t>
        </is>
      </c>
      <c r="L2754" s="43">
        <f>A2754</f>
        <v/>
      </c>
      <c r="M2754" s="81" t="n"/>
      <c r="N2754" s="81" t="n"/>
      <c r="O2754" s="81" t="n"/>
      <c r="P2754" s="81" t="n"/>
      <c r="Q2754" s="81" t="n"/>
      <c r="R2754" s="81" t="n"/>
      <c r="S2754" s="81" t="n"/>
      <c r="T2754" s="81" t="n"/>
      <c r="U2754" s="81" t="n"/>
      <c r="V2754" s="81" t="n"/>
      <c r="W2754" s="43" t="n"/>
    </row>
    <row r="2755">
      <c r="A2755" s="43" t="inlineStr"/>
      <c r="B2755" s="43" t="inlineStr"/>
      <c r="C2755" s="43" t="inlineStr">
        <is>
          <t>节段15~节段16</t>
        </is>
      </c>
      <c r="D2755" s="43" t="inlineStr">
        <is>
          <t>Q420D</t>
        </is>
      </c>
      <c r="E2755" s="43" t="n"/>
      <c r="F2755" s="43" t="n"/>
      <c r="G2755" s="43" t="n">
        <v>32</v>
      </c>
      <c r="H2755" s="79">
        <f>(E2755/1000)*(F2755/1000)*(G2755/1000)*7850</f>
        <v/>
      </c>
      <c r="I2755" s="43" t="n">
        <v>2</v>
      </c>
      <c r="J2755" s="80">
        <f>H2755*I2755</f>
        <v/>
      </c>
      <c r="K2755" s="43" t="inlineStr">
        <is>
          <t>来源页203</t>
        </is>
      </c>
      <c r="L2755" s="43">
        <f>A2755</f>
        <v/>
      </c>
      <c r="M2755" s="81" t="n"/>
      <c r="N2755" s="81" t="n"/>
      <c r="O2755" s="81" t="n"/>
      <c r="P2755" s="81" t="n"/>
      <c r="Q2755" s="81" t="n"/>
      <c r="R2755" s="81" t="n"/>
      <c r="S2755" s="81" t="n"/>
      <c r="T2755" s="81" t="n"/>
      <c r="U2755" s="81" t="n"/>
      <c r="V2755" s="81" t="n"/>
      <c r="W2755" s="43" t="n"/>
    </row>
    <row r="2756">
      <c r="A2756" s="43" t="inlineStr"/>
      <c r="B2756" s="43" t="inlineStr"/>
      <c r="C2756" s="43" t="inlineStr">
        <is>
          <t>节段15~节段16</t>
        </is>
      </c>
      <c r="D2756" s="43" t="inlineStr">
        <is>
          <t>Q420D</t>
        </is>
      </c>
      <c r="E2756" s="43" t="n"/>
      <c r="F2756" s="43" t="n"/>
      <c r="G2756" s="43" t="n">
        <v>28</v>
      </c>
      <c r="H2756" s="79">
        <f>(E2756/1000)*(F2756/1000)*(G2756/1000)*7850</f>
        <v/>
      </c>
      <c r="I2756" s="43" t="n">
        <v>2</v>
      </c>
      <c r="J2756" s="80">
        <f>H2756*I2756</f>
        <v/>
      </c>
      <c r="K2756" s="43" t="inlineStr">
        <is>
          <t>来源页203</t>
        </is>
      </c>
      <c r="L2756" s="43">
        <f>A2756</f>
        <v/>
      </c>
      <c r="M2756" s="81" t="n"/>
      <c r="N2756" s="81" t="n"/>
      <c r="O2756" s="81" t="n"/>
      <c r="P2756" s="81" t="n"/>
      <c r="Q2756" s="81" t="n"/>
      <c r="R2756" s="81" t="n"/>
      <c r="S2756" s="81" t="n"/>
      <c r="T2756" s="81" t="n"/>
      <c r="U2756" s="81" t="n"/>
      <c r="V2756" s="81" t="n"/>
      <c r="W2756" s="43" t="n"/>
    </row>
    <row r="2757">
      <c r="A2757" s="43" t="inlineStr"/>
      <c r="B2757" s="43" t="inlineStr"/>
      <c r="C2757" s="43" t="inlineStr">
        <is>
          <t>节段15~节段16</t>
        </is>
      </c>
      <c r="D2757" s="43" t="inlineStr">
        <is>
          <t>Q420D</t>
        </is>
      </c>
      <c r="E2757" s="43" t="n"/>
      <c r="F2757" s="43" t="n"/>
      <c r="G2757" s="43" t="n">
        <v>24</v>
      </c>
      <c r="H2757" s="79">
        <f>(E2757/1000)*(F2757/1000)*(G2757/1000)*7850</f>
        <v/>
      </c>
      <c r="I2757" s="43" t="n">
        <v>2</v>
      </c>
      <c r="J2757" s="80">
        <f>H2757*I2757</f>
        <v/>
      </c>
      <c r="K2757" s="43" t="inlineStr">
        <is>
          <t>来源页203</t>
        </is>
      </c>
      <c r="L2757" s="43">
        <f>A2757</f>
        <v/>
      </c>
      <c r="M2757" s="81" t="n"/>
      <c r="N2757" s="81" t="n"/>
      <c r="O2757" s="81" t="n"/>
      <c r="P2757" s="81" t="n"/>
      <c r="Q2757" s="81" t="n"/>
      <c r="R2757" s="81" t="n"/>
      <c r="S2757" s="81" t="n"/>
      <c r="T2757" s="81" t="n"/>
      <c r="U2757" s="81" t="n"/>
      <c r="V2757" s="81" t="n"/>
      <c r="W2757" s="43" t="n"/>
    </row>
    <row r="2758">
      <c r="A2758" s="43" t="inlineStr"/>
      <c r="B2758" s="43" t="inlineStr"/>
      <c r="C2758" s="43" t="inlineStr">
        <is>
          <t>节段15~节段16</t>
        </is>
      </c>
      <c r="D2758" s="43" t="inlineStr">
        <is>
          <t>Q355D</t>
        </is>
      </c>
      <c r="E2758" s="43" t="n"/>
      <c r="F2758" s="43" t="n"/>
      <c r="G2758" s="43" t="n">
        <v>36</v>
      </c>
      <c r="H2758" s="79">
        <f>(E2758/1000)*(F2758/1000)*(G2758/1000)*7850</f>
        <v/>
      </c>
      <c r="I2758" s="43" t="n">
        <v>2</v>
      </c>
      <c r="J2758" s="80">
        <f>H2758*I2758</f>
        <v/>
      </c>
      <c r="K2758" s="43" t="inlineStr">
        <is>
          <t>来源页203</t>
        </is>
      </c>
      <c r="L2758" s="43">
        <f>A2758</f>
        <v/>
      </c>
      <c r="M2758" s="81" t="n"/>
      <c r="N2758" s="81" t="n"/>
      <c r="O2758" s="81" t="n"/>
      <c r="P2758" s="81" t="n"/>
      <c r="Q2758" s="81" t="n"/>
      <c r="R2758" s="81" t="n"/>
      <c r="S2758" s="81" t="n"/>
      <c r="T2758" s="81" t="n"/>
      <c r="U2758" s="81" t="n"/>
      <c r="V2758" s="81" t="n"/>
      <c r="W2758" s="43" t="n"/>
    </row>
    <row r="2759">
      <c r="A2759" s="43" t="inlineStr"/>
      <c r="B2759" s="43" t="inlineStr"/>
      <c r="C2759" s="43" t="inlineStr">
        <is>
          <t>节段15~节段16</t>
        </is>
      </c>
      <c r="D2759" s="43" t="inlineStr">
        <is>
          <t>Q355D</t>
        </is>
      </c>
      <c r="E2759" s="43" t="n"/>
      <c r="F2759" s="43" t="n"/>
      <c r="G2759" s="43" t="n">
        <v>24</v>
      </c>
      <c r="H2759" s="79">
        <f>(E2759/1000)*(F2759/1000)*(G2759/1000)*7850</f>
        <v/>
      </c>
      <c r="I2759" s="43" t="n">
        <v>2</v>
      </c>
      <c r="J2759" s="80">
        <f>H2759*I2759</f>
        <v/>
      </c>
      <c r="K2759" s="43" t="inlineStr">
        <is>
          <t>来源页203</t>
        </is>
      </c>
      <c r="L2759" s="43">
        <f>A2759</f>
        <v/>
      </c>
      <c r="M2759" s="81" t="n"/>
      <c r="N2759" s="81" t="n"/>
      <c r="O2759" s="81" t="n"/>
      <c r="P2759" s="81" t="n"/>
      <c r="Q2759" s="81" t="n"/>
      <c r="R2759" s="81" t="n"/>
      <c r="S2759" s="81" t="n"/>
      <c r="T2759" s="81" t="n"/>
      <c r="U2759" s="81" t="n"/>
      <c r="V2759" s="81" t="n"/>
      <c r="W2759" s="43" t="n"/>
    </row>
    <row r="2760">
      <c r="A2760" s="43" t="inlineStr"/>
      <c r="B2760" s="43" t="inlineStr"/>
      <c r="C2760" s="43" t="inlineStr">
        <is>
          <t>节段15~节段16</t>
        </is>
      </c>
      <c r="D2760" s="43" t="inlineStr">
        <is>
          <t>Q355D</t>
        </is>
      </c>
      <c r="E2760" s="43" t="n"/>
      <c r="F2760" s="43" t="n"/>
      <c r="G2760" s="43" t="n">
        <v>20</v>
      </c>
      <c r="H2760" s="79">
        <f>(E2760/1000)*(F2760/1000)*(G2760/1000)*7850</f>
        <v/>
      </c>
      <c r="I2760" s="43" t="n">
        <v>2</v>
      </c>
      <c r="J2760" s="80">
        <f>H2760*I2760</f>
        <v/>
      </c>
      <c r="K2760" s="43" t="inlineStr">
        <is>
          <t>来源页203</t>
        </is>
      </c>
      <c r="L2760" s="43">
        <f>A2760</f>
        <v/>
      </c>
      <c r="M2760" s="81" t="n"/>
      <c r="N2760" s="81" t="n"/>
      <c r="O2760" s="81" t="n"/>
      <c r="P2760" s="81" t="n"/>
      <c r="Q2760" s="81" t="n"/>
      <c r="R2760" s="81" t="n"/>
      <c r="S2760" s="81" t="n"/>
      <c r="T2760" s="81" t="n"/>
      <c r="U2760" s="81" t="n"/>
      <c r="V2760" s="81" t="n"/>
      <c r="W2760" s="43" t="n"/>
    </row>
    <row r="2761">
      <c r="A2761" s="43" t="inlineStr"/>
      <c r="B2761" s="43" t="inlineStr"/>
      <c r="C2761" s="43" t="inlineStr">
        <is>
          <t>节段15~节段16</t>
        </is>
      </c>
      <c r="D2761" s="43" t="inlineStr">
        <is>
          <t>Q355D</t>
        </is>
      </c>
      <c r="E2761" s="43" t="n"/>
      <c r="F2761" s="43" t="n"/>
      <c r="G2761" s="43" t="n">
        <v>8</v>
      </c>
      <c r="H2761" s="79">
        <f>(E2761/1000)*(F2761/1000)*(G2761/1000)*7850</f>
        <v/>
      </c>
      <c r="I2761" s="43" t="n">
        <v>2</v>
      </c>
      <c r="J2761" s="80">
        <f>H2761*I2761</f>
        <v/>
      </c>
      <c r="K2761" s="43" t="inlineStr">
        <is>
          <t>来源页203</t>
        </is>
      </c>
      <c r="L2761" s="43">
        <f>A2761</f>
        <v/>
      </c>
      <c r="M2761" s="81" t="n"/>
      <c r="N2761" s="81" t="n"/>
      <c r="O2761" s="81" t="n"/>
      <c r="P2761" s="81" t="n"/>
      <c r="Q2761" s="81" t="n"/>
      <c r="R2761" s="81" t="n"/>
      <c r="S2761" s="81" t="n"/>
      <c r="T2761" s="81" t="n"/>
      <c r="U2761" s="81" t="n"/>
      <c r="V2761" s="81" t="n"/>
      <c r="W2761" s="43" t="n"/>
    </row>
    <row r="2762">
      <c r="A2762" s="43" t="inlineStr"/>
      <c r="B2762" s="43" t="inlineStr"/>
      <c r="C2762" s="43" t="inlineStr">
        <is>
          <t>节段15~节段16</t>
        </is>
      </c>
      <c r="D2762" s="43" t="inlineStr">
        <is>
          <t>Q355D</t>
        </is>
      </c>
      <c r="E2762" s="43" t="n"/>
      <c r="F2762" s="43" t="n"/>
      <c r="G2762" s="43" t="n">
        <v>4</v>
      </c>
      <c r="H2762" s="79">
        <f>(E2762/1000)*(F2762/1000)*(G2762/1000)*7850</f>
        <v/>
      </c>
      <c r="I2762" s="43" t="n">
        <v>2</v>
      </c>
      <c r="J2762" s="80">
        <f>H2762*I2762</f>
        <v/>
      </c>
      <c r="K2762" s="43" t="inlineStr">
        <is>
          <t>来源页203</t>
        </is>
      </c>
      <c r="L2762" s="43">
        <f>A2762</f>
        <v/>
      </c>
      <c r="M2762" s="81" t="n"/>
      <c r="N2762" s="81" t="n"/>
      <c r="O2762" s="81" t="n"/>
      <c r="P2762" s="81" t="n"/>
      <c r="Q2762" s="81" t="n"/>
      <c r="R2762" s="81" t="n"/>
      <c r="S2762" s="81" t="n"/>
      <c r="T2762" s="81" t="n"/>
      <c r="U2762" s="81" t="n"/>
      <c r="V2762" s="81" t="n"/>
      <c r="W2762" s="43" t="n"/>
    </row>
    <row r="2763">
      <c r="A2763" s="43" t="inlineStr"/>
      <c r="B2763" s="43" t="inlineStr"/>
      <c r="C2763" s="43" t="inlineStr">
        <is>
          <t>节段15~节段16</t>
        </is>
      </c>
      <c r="D2763" s="43" t="inlineStr">
        <is>
          <t>10.9S高强螺栓</t>
        </is>
      </c>
      <c r="E2763" s="43" t="n"/>
      <c r="F2763" s="43" t="n"/>
      <c r="G2763" s="43" t="n"/>
      <c r="H2763" s="79">
        <f>(E2763/1000)*(F2763/1000)*(G2763/1000)*7850</f>
        <v/>
      </c>
      <c r="I2763" s="43" t="n">
        <v>2</v>
      </c>
      <c r="J2763" s="80">
        <f>H2763*I2763</f>
        <v/>
      </c>
      <c r="K2763" s="43" t="inlineStr">
        <is>
          <t>来源页203</t>
        </is>
      </c>
      <c r="L2763" s="43">
        <f>A2763</f>
        <v/>
      </c>
      <c r="M2763" s="81" t="n"/>
      <c r="N2763" s="81" t="n"/>
      <c r="O2763" s="81" t="n"/>
      <c r="P2763" s="81" t="n"/>
      <c r="Q2763" s="81" t="n"/>
      <c r="R2763" s="81" t="n"/>
      <c r="S2763" s="81" t="n"/>
      <c r="T2763" s="81" t="n"/>
      <c r="U2763" s="81" t="n"/>
      <c r="V2763" s="81" t="n"/>
      <c r="W2763" s="43" t="n"/>
    </row>
    <row r="2764">
      <c r="A2764" s="43" t="inlineStr"/>
      <c r="B2764" s="43" t="inlineStr"/>
      <c r="C2764" s="43" t="inlineStr">
        <is>
          <t>节段15~节段16</t>
        </is>
      </c>
      <c r="D2764" s="43" t="inlineStr">
        <is>
          <t>10.9S高强螺栓</t>
        </is>
      </c>
      <c r="E2764" s="43" t="n"/>
      <c r="F2764" s="43" t="n"/>
      <c r="G2764" s="43" t="n"/>
      <c r="H2764" s="79">
        <f>(E2764/1000)*(F2764/1000)*(G2764/1000)*7850</f>
        <v/>
      </c>
      <c r="I2764" s="43" t="n">
        <v>2</v>
      </c>
      <c r="J2764" s="80">
        <f>H2764*I2764</f>
        <v/>
      </c>
      <c r="K2764" s="43" t="inlineStr">
        <is>
          <t>来源页203</t>
        </is>
      </c>
      <c r="L2764" s="43">
        <f>A2764</f>
        <v/>
      </c>
      <c r="M2764" s="81" t="n"/>
      <c r="N2764" s="81" t="n"/>
      <c r="O2764" s="81" t="n"/>
      <c r="P2764" s="81" t="n"/>
      <c r="Q2764" s="81" t="n"/>
      <c r="R2764" s="81" t="n"/>
      <c r="S2764" s="81" t="n"/>
      <c r="T2764" s="81" t="n"/>
      <c r="U2764" s="81" t="n"/>
      <c r="V2764" s="81" t="n"/>
      <c r="W2764" s="43" t="n"/>
    </row>
    <row r="2765">
      <c r="A2765" s="43" t="inlineStr"/>
      <c r="B2765" s="43" t="inlineStr"/>
      <c r="C2765" s="43" t="inlineStr">
        <is>
          <t>节段16</t>
        </is>
      </c>
      <c r="D2765" s="43" t="inlineStr">
        <is>
          <t>Q420D</t>
        </is>
      </c>
      <c r="E2765" s="43" t="n"/>
      <c r="F2765" s="43" t="n"/>
      <c r="G2765" s="43" t="n">
        <v>48</v>
      </c>
      <c r="H2765" s="79">
        <f>(E2765/1000)*(F2765/1000)*(G2765/1000)*7850</f>
        <v/>
      </c>
      <c r="I2765" s="43" t="n">
        <v>2</v>
      </c>
      <c r="J2765" s="80">
        <f>H2765*I2765</f>
        <v/>
      </c>
      <c r="K2765" s="43" t="inlineStr">
        <is>
          <t>来源页203</t>
        </is>
      </c>
      <c r="L2765" s="43">
        <f>A2765</f>
        <v/>
      </c>
      <c r="M2765" s="81" t="n"/>
      <c r="N2765" s="81" t="n"/>
      <c r="O2765" s="81" t="n"/>
      <c r="P2765" s="81" t="n"/>
      <c r="Q2765" s="81" t="n"/>
      <c r="R2765" s="81" t="n"/>
      <c r="S2765" s="81" t="n"/>
      <c r="T2765" s="81" t="n"/>
      <c r="U2765" s="81" t="n"/>
      <c r="V2765" s="81" t="n"/>
      <c r="W2765" s="43" t="n"/>
    </row>
    <row r="2766">
      <c r="A2766" s="43" t="inlineStr"/>
      <c r="B2766" s="43" t="inlineStr"/>
      <c r="C2766" s="43" t="inlineStr">
        <is>
          <t>节段16</t>
        </is>
      </c>
      <c r="D2766" s="43" t="inlineStr">
        <is>
          <t>Q420D</t>
        </is>
      </c>
      <c r="E2766" s="43" t="n"/>
      <c r="F2766" s="43" t="n"/>
      <c r="G2766" s="43" t="n">
        <v>44</v>
      </c>
      <c r="H2766" s="79">
        <f>(E2766/1000)*(F2766/1000)*(G2766/1000)*7850</f>
        <v/>
      </c>
      <c r="I2766" s="43" t="n">
        <v>2</v>
      </c>
      <c r="J2766" s="80">
        <f>H2766*I2766</f>
        <v/>
      </c>
      <c r="K2766" s="43" t="inlineStr">
        <is>
          <t>来源页203</t>
        </is>
      </c>
      <c r="L2766" s="43">
        <f>A2766</f>
        <v/>
      </c>
      <c r="M2766" s="81" t="n"/>
      <c r="N2766" s="81" t="n"/>
      <c r="O2766" s="81" t="n"/>
      <c r="P2766" s="81" t="n"/>
      <c r="Q2766" s="81" t="n"/>
      <c r="R2766" s="81" t="n"/>
      <c r="S2766" s="81" t="n"/>
      <c r="T2766" s="81" t="n"/>
      <c r="U2766" s="81" t="n"/>
      <c r="V2766" s="81" t="n"/>
      <c r="W2766" s="43" t="n"/>
    </row>
    <row r="2767">
      <c r="A2767" s="43" t="inlineStr"/>
      <c r="B2767" s="43" t="inlineStr"/>
      <c r="C2767" s="43" t="inlineStr">
        <is>
          <t>节段16</t>
        </is>
      </c>
      <c r="D2767" s="43" t="inlineStr">
        <is>
          <t>Q420D</t>
        </is>
      </c>
      <c r="E2767" s="43" t="n"/>
      <c r="F2767" s="43" t="n"/>
      <c r="G2767" s="43" t="n">
        <v>40</v>
      </c>
      <c r="H2767" s="79">
        <f>(E2767/1000)*(F2767/1000)*(G2767/1000)*7850</f>
        <v/>
      </c>
      <c r="I2767" s="43" t="n">
        <v>2</v>
      </c>
      <c r="J2767" s="80">
        <f>H2767*I2767</f>
        <v/>
      </c>
      <c r="K2767" s="43" t="inlineStr">
        <is>
          <t>来源页203</t>
        </is>
      </c>
      <c r="L2767" s="43">
        <f>A2767</f>
        <v/>
      </c>
      <c r="M2767" s="81" t="n"/>
      <c r="N2767" s="81" t="n"/>
      <c r="O2767" s="81" t="n"/>
      <c r="P2767" s="81" t="n"/>
      <c r="Q2767" s="81" t="n"/>
      <c r="R2767" s="81" t="n"/>
      <c r="S2767" s="81" t="n"/>
      <c r="T2767" s="81" t="n"/>
      <c r="U2767" s="81" t="n"/>
      <c r="V2767" s="81" t="n"/>
      <c r="W2767" s="43" t="n"/>
    </row>
    <row r="2768">
      <c r="A2768" s="43" t="inlineStr"/>
      <c r="B2768" s="43" t="inlineStr"/>
      <c r="C2768" s="43" t="inlineStr">
        <is>
          <t>节段16</t>
        </is>
      </c>
      <c r="D2768" s="43" t="inlineStr">
        <is>
          <t>Q420D</t>
        </is>
      </c>
      <c r="E2768" s="43" t="n"/>
      <c r="F2768" s="43" t="n"/>
      <c r="G2768" s="43" t="n">
        <v>32</v>
      </c>
      <c r="H2768" s="79">
        <f>(E2768/1000)*(F2768/1000)*(G2768/1000)*7850</f>
        <v/>
      </c>
      <c r="I2768" s="43" t="n">
        <v>2</v>
      </c>
      <c r="J2768" s="80">
        <f>H2768*I2768</f>
        <v/>
      </c>
      <c r="K2768" s="43" t="inlineStr">
        <is>
          <t>来源页203</t>
        </is>
      </c>
      <c r="L2768" s="43">
        <f>A2768</f>
        <v/>
      </c>
      <c r="M2768" s="81" t="n"/>
      <c r="N2768" s="81" t="n"/>
      <c r="O2768" s="81" t="n"/>
      <c r="P2768" s="81" t="n"/>
      <c r="Q2768" s="81" t="n"/>
      <c r="R2768" s="81" t="n"/>
      <c r="S2768" s="81" t="n"/>
      <c r="T2768" s="81" t="n"/>
      <c r="U2768" s="81" t="n"/>
      <c r="V2768" s="81" t="n"/>
      <c r="W2768" s="43" t="n"/>
    </row>
    <row r="2769">
      <c r="A2769" s="43" t="inlineStr"/>
      <c r="B2769" s="43" t="inlineStr"/>
      <c r="C2769" s="43" t="inlineStr">
        <is>
          <t>节段16</t>
        </is>
      </c>
      <c r="D2769" s="43" t="inlineStr">
        <is>
          <t>Q420D</t>
        </is>
      </c>
      <c r="E2769" s="43" t="n"/>
      <c r="F2769" s="43" t="n"/>
      <c r="G2769" s="43" t="n">
        <v>16</v>
      </c>
      <c r="H2769" s="79">
        <f>(E2769/1000)*(F2769/1000)*(G2769/1000)*7850</f>
        <v/>
      </c>
      <c r="I2769" s="43" t="n">
        <v>2</v>
      </c>
      <c r="J2769" s="80">
        <f>H2769*I2769</f>
        <v/>
      </c>
      <c r="K2769" s="43" t="inlineStr">
        <is>
          <t>来源页203</t>
        </is>
      </c>
      <c r="L2769" s="43">
        <f>A2769</f>
        <v/>
      </c>
      <c r="M2769" s="81" t="n"/>
      <c r="N2769" s="81" t="n"/>
      <c r="O2769" s="81" t="n"/>
      <c r="P2769" s="81" t="n"/>
      <c r="Q2769" s="81" t="n"/>
      <c r="R2769" s="81" t="n"/>
      <c r="S2769" s="81" t="n"/>
      <c r="T2769" s="81" t="n"/>
      <c r="U2769" s="81" t="n"/>
      <c r="V2769" s="81" t="n"/>
      <c r="W2769" s="43" t="n"/>
    </row>
    <row r="2770">
      <c r="A2770" s="43" t="inlineStr"/>
      <c r="B2770" s="43" t="inlineStr"/>
      <c r="C2770" s="43" t="inlineStr">
        <is>
          <t>节段16</t>
        </is>
      </c>
      <c r="D2770" s="43" t="inlineStr">
        <is>
          <t>Q420D</t>
        </is>
      </c>
      <c r="E2770" s="43" t="n"/>
      <c r="F2770" s="43" t="n"/>
      <c r="G2770" s="43" t="n">
        <v>14</v>
      </c>
      <c r="H2770" s="79">
        <f>(E2770/1000)*(F2770/1000)*(G2770/1000)*7850</f>
        <v/>
      </c>
      <c r="I2770" s="43" t="n">
        <v>2</v>
      </c>
      <c r="J2770" s="80">
        <f>H2770*I2770</f>
        <v/>
      </c>
      <c r="K2770" s="43" t="inlineStr">
        <is>
          <t>来源页203</t>
        </is>
      </c>
      <c r="L2770" s="43">
        <f>A2770</f>
        <v/>
      </c>
      <c r="M2770" s="81" t="n"/>
      <c r="N2770" s="81" t="n"/>
      <c r="O2770" s="81" t="n"/>
      <c r="P2770" s="81" t="n"/>
      <c r="Q2770" s="81" t="n"/>
      <c r="R2770" s="81" t="n"/>
      <c r="S2770" s="81" t="n"/>
      <c r="T2770" s="81" t="n"/>
      <c r="U2770" s="81" t="n"/>
      <c r="V2770" s="81" t="n"/>
      <c r="W2770" s="43" t="n"/>
    </row>
    <row r="2771">
      <c r="A2771" s="43" t="inlineStr"/>
      <c r="B2771" s="43" t="inlineStr"/>
      <c r="C2771" s="43" t="inlineStr">
        <is>
          <t>节段16</t>
        </is>
      </c>
      <c r="D2771" s="43" t="inlineStr">
        <is>
          <t>Q420D</t>
        </is>
      </c>
      <c r="E2771" s="43" t="n"/>
      <c r="F2771" s="43" t="n"/>
      <c r="G2771" s="43" t="n">
        <v>4</v>
      </c>
      <c r="H2771" s="79">
        <f>(E2771/1000)*(F2771/1000)*(G2771/1000)*7850</f>
        <v/>
      </c>
      <c r="I2771" s="43" t="n">
        <v>2</v>
      </c>
      <c r="J2771" s="80">
        <f>H2771*I2771</f>
        <v/>
      </c>
      <c r="K2771" s="43" t="inlineStr">
        <is>
          <t>来源页203</t>
        </is>
      </c>
      <c r="L2771" s="43">
        <f>A2771</f>
        <v/>
      </c>
      <c r="M2771" s="81" t="n"/>
      <c r="N2771" s="81" t="n"/>
      <c r="O2771" s="81" t="n"/>
      <c r="P2771" s="81" t="n"/>
      <c r="Q2771" s="81" t="n"/>
      <c r="R2771" s="81" t="n"/>
      <c r="S2771" s="81" t="n"/>
      <c r="T2771" s="81" t="n"/>
      <c r="U2771" s="81" t="n"/>
      <c r="V2771" s="81" t="n"/>
      <c r="W2771" s="43" t="n"/>
    </row>
    <row r="2772">
      <c r="A2772" s="43" t="inlineStr"/>
      <c r="B2772" s="43" t="inlineStr"/>
      <c r="C2772" s="43" t="inlineStr">
        <is>
          <t>节段16</t>
        </is>
      </c>
      <c r="D2772" s="43" t="inlineStr">
        <is>
          <t>Q420D</t>
        </is>
      </c>
      <c r="E2772" s="43" t="n"/>
      <c r="F2772" s="43" t="n"/>
      <c r="G2772" s="43" t="n">
        <v>24</v>
      </c>
      <c r="H2772" s="79">
        <f>(E2772/1000)*(F2772/1000)*(G2772/1000)*7850</f>
        <v/>
      </c>
      <c r="I2772" s="43" t="n">
        <v>2</v>
      </c>
      <c r="J2772" s="80">
        <f>H2772*I2772</f>
        <v/>
      </c>
      <c r="K2772" s="43" t="inlineStr">
        <is>
          <t>来源页203</t>
        </is>
      </c>
      <c r="L2772" s="43">
        <f>A2772</f>
        <v/>
      </c>
      <c r="M2772" s="81" t="n"/>
      <c r="N2772" s="81" t="n"/>
      <c r="O2772" s="81" t="n"/>
      <c r="P2772" s="81" t="n"/>
      <c r="Q2772" s="81" t="n"/>
      <c r="R2772" s="81" t="n"/>
      <c r="S2772" s="81" t="n"/>
      <c r="T2772" s="81" t="n"/>
      <c r="U2772" s="81" t="n"/>
      <c r="V2772" s="81" t="n"/>
      <c r="W2772" s="43" t="n"/>
    </row>
    <row r="2773">
      <c r="A2773" s="43" t="inlineStr"/>
      <c r="B2773" s="43" t="inlineStr"/>
      <c r="C2773" s="43" t="inlineStr">
        <is>
          <t>节段16</t>
        </is>
      </c>
      <c r="D2773" s="43" t="inlineStr">
        <is>
          <t>Q420D</t>
        </is>
      </c>
      <c r="E2773" s="43" t="n"/>
      <c r="F2773" s="43" t="n"/>
      <c r="G2773" s="43" t="n">
        <v>14</v>
      </c>
      <c r="H2773" s="79">
        <f>(E2773/1000)*(F2773/1000)*(G2773/1000)*7850</f>
        <v/>
      </c>
      <c r="I2773" s="43" t="n">
        <v>2</v>
      </c>
      <c r="J2773" s="80">
        <f>H2773*I2773</f>
        <v/>
      </c>
      <c r="K2773" s="43" t="inlineStr">
        <is>
          <t>来源页203</t>
        </is>
      </c>
      <c r="L2773" s="43">
        <f>A2773</f>
        <v/>
      </c>
      <c r="M2773" s="81" t="n"/>
      <c r="N2773" s="81" t="n"/>
      <c r="O2773" s="81" t="n"/>
      <c r="P2773" s="81" t="n"/>
      <c r="Q2773" s="81" t="n"/>
      <c r="R2773" s="81" t="n"/>
      <c r="S2773" s="81" t="n"/>
      <c r="T2773" s="81" t="n"/>
      <c r="U2773" s="81" t="n"/>
      <c r="V2773" s="81" t="n"/>
      <c r="W2773" s="43" t="n"/>
    </row>
    <row r="2774">
      <c r="A2774" s="43" t="inlineStr"/>
      <c r="B2774" s="43" t="inlineStr"/>
      <c r="C2774" s="43" t="inlineStr">
        <is>
          <t>节段16</t>
        </is>
      </c>
      <c r="D2774" s="43" t="inlineStr">
        <is>
          <t>Q420D</t>
        </is>
      </c>
      <c r="E2774" s="43" t="n"/>
      <c r="F2774" s="43" t="n"/>
      <c r="G2774" s="43" t="n"/>
      <c r="H2774" s="79">
        <f>(E2774/1000)*(F2774/1000)*(G2774/1000)*7850</f>
        <v/>
      </c>
      <c r="I2774" s="43" t="n">
        <v>2</v>
      </c>
      <c r="J2774" s="80">
        <f>H2774*I2774</f>
        <v/>
      </c>
      <c r="K2774" s="43" t="inlineStr">
        <is>
          <t>来源页203</t>
        </is>
      </c>
      <c r="L2774" s="43">
        <f>A2774</f>
        <v/>
      </c>
      <c r="M2774" s="81" t="n"/>
      <c r="N2774" s="81" t="n"/>
      <c r="O2774" s="81" t="n"/>
      <c r="P2774" s="81" t="n"/>
      <c r="Q2774" s="81" t="n"/>
      <c r="R2774" s="81" t="n"/>
      <c r="S2774" s="81" t="n"/>
      <c r="T2774" s="81" t="n"/>
      <c r="U2774" s="81" t="n"/>
      <c r="V2774" s="81" t="n"/>
      <c r="W2774" s="43" t="n"/>
    </row>
    <row r="2775">
      <c r="A2775" s="43" t="inlineStr"/>
      <c r="B2775" s="43" t="inlineStr"/>
      <c r="C2775" s="43" t="inlineStr">
        <is>
          <t>节段16</t>
        </is>
      </c>
      <c r="D2775" s="43" t="inlineStr">
        <is>
          <t>Q420D</t>
        </is>
      </c>
      <c r="E2775" s="43" t="n"/>
      <c r="F2775" s="43" t="n"/>
      <c r="G2775" s="43" t="n"/>
      <c r="H2775" s="79">
        <f>(E2775/1000)*(F2775/1000)*(G2775/1000)*7850</f>
        <v/>
      </c>
      <c r="I2775" s="43" t="n">
        <v>2</v>
      </c>
      <c r="J2775" s="80">
        <f>H2775*I2775</f>
        <v/>
      </c>
      <c r="K2775" s="43" t="inlineStr">
        <is>
          <t>来源页203</t>
        </is>
      </c>
      <c r="L2775" s="43">
        <f>A2775</f>
        <v/>
      </c>
      <c r="M2775" s="81" t="n"/>
      <c r="N2775" s="81" t="n"/>
      <c r="O2775" s="81" t="n"/>
      <c r="P2775" s="81" t="n"/>
      <c r="Q2775" s="81" t="n"/>
      <c r="R2775" s="81" t="n"/>
      <c r="S2775" s="81" t="n"/>
      <c r="T2775" s="81" t="n"/>
      <c r="U2775" s="81" t="n"/>
      <c r="V2775" s="81" t="n"/>
      <c r="W2775" s="43" t="n"/>
    </row>
    <row r="2776">
      <c r="A2776" s="43" t="inlineStr"/>
      <c r="B2776" s="43" t="inlineStr"/>
      <c r="C2776" s="43" t="inlineStr">
        <is>
          <t>节段16</t>
        </is>
      </c>
      <c r="D2776" s="43" t="inlineStr">
        <is>
          <t>Q420D</t>
        </is>
      </c>
      <c r="E2776" s="43" t="n"/>
      <c r="F2776" s="43" t="n"/>
      <c r="G2776" s="43" t="n"/>
      <c r="H2776" s="79">
        <f>(E2776/1000)*(F2776/1000)*(G2776/1000)*7850</f>
        <v/>
      </c>
      <c r="I2776" s="43" t="n">
        <v>2</v>
      </c>
      <c r="J2776" s="80">
        <f>H2776*I2776</f>
        <v/>
      </c>
      <c r="K2776" s="43" t="inlineStr">
        <is>
          <t>来源页203</t>
        </is>
      </c>
      <c r="L2776" s="43">
        <f>A2776</f>
        <v/>
      </c>
      <c r="M2776" s="81" t="n"/>
      <c r="N2776" s="81" t="n"/>
      <c r="O2776" s="81" t="n"/>
      <c r="P2776" s="81" t="n"/>
      <c r="Q2776" s="81" t="n"/>
      <c r="R2776" s="81" t="n"/>
      <c r="S2776" s="81" t="n"/>
      <c r="T2776" s="81" t="n"/>
      <c r="U2776" s="81" t="n"/>
      <c r="V2776" s="81" t="n"/>
      <c r="W2776" s="43" t="n"/>
    </row>
    <row r="2777">
      <c r="A2777" s="43" t="inlineStr">
        <is>
          <t>N11a</t>
        </is>
      </c>
      <c r="B2777" s="43" t="inlineStr"/>
      <c r="C2777" s="43" t="inlineStr">
        <is>
          <t>节段16</t>
        </is>
      </c>
      <c r="D2777" s="43" t="inlineStr">
        <is>
          <t>Q420D</t>
        </is>
      </c>
      <c r="E2777" s="43" t="n"/>
      <c r="F2777" s="43" t="n"/>
      <c r="G2777" s="43" t="n">
        <v>40</v>
      </c>
      <c r="H2777" s="79">
        <f>(E2777/1000)*(F2777/1000)*(G2777/1000)*7850</f>
        <v/>
      </c>
      <c r="I2777" s="43" t="n">
        <v>1</v>
      </c>
      <c r="J2777" s="80">
        <f>H2777*I2777</f>
        <v/>
      </c>
      <c r="K2777" s="43" t="inlineStr">
        <is>
          <t>来源页203</t>
        </is>
      </c>
      <c r="L2777" s="43">
        <f>A2777</f>
        <v/>
      </c>
      <c r="M2777" s="81" t="n"/>
      <c r="N2777" s="81" t="n"/>
      <c r="O2777" s="81" t="n"/>
      <c r="P2777" s="81" t="n"/>
      <c r="Q2777" s="81" t="n"/>
      <c r="R2777" s="81" t="n"/>
      <c r="S2777" s="81" t="n"/>
      <c r="T2777" s="81" t="n"/>
      <c r="U2777" s="81" t="n"/>
      <c r="V2777" s="81" t="n"/>
      <c r="W2777" s="43" t="n"/>
    </row>
    <row r="2778">
      <c r="A2778" s="43" t="inlineStr">
        <is>
          <t>N11b</t>
        </is>
      </c>
      <c r="B2778" s="43" t="inlineStr"/>
      <c r="C2778" s="43" t="inlineStr">
        <is>
          <t>节段16</t>
        </is>
      </c>
      <c r="D2778" s="43" t="inlineStr">
        <is>
          <t>Q420D</t>
        </is>
      </c>
      <c r="E2778" s="43" t="n"/>
      <c r="F2778" s="43" t="n"/>
      <c r="G2778" s="43" t="n">
        <v>40</v>
      </c>
      <c r="H2778" s="79">
        <f>(E2778/1000)*(F2778/1000)*(G2778/1000)*7850</f>
        <v/>
      </c>
      <c r="I2778" s="43" t="n">
        <v>1</v>
      </c>
      <c r="J2778" s="80">
        <f>H2778*I2778</f>
        <v/>
      </c>
      <c r="K2778" s="43" t="inlineStr">
        <is>
          <t>来源页203</t>
        </is>
      </c>
      <c r="L2778" s="43">
        <f>A2778</f>
        <v/>
      </c>
      <c r="M2778" s="81" t="n"/>
      <c r="N2778" s="81" t="n"/>
      <c r="O2778" s="81" t="n"/>
      <c r="P2778" s="81" t="n"/>
      <c r="Q2778" s="81" t="n"/>
      <c r="R2778" s="81" t="n"/>
      <c r="S2778" s="81" t="n"/>
      <c r="T2778" s="81" t="n"/>
      <c r="U2778" s="81" t="n"/>
      <c r="V2778" s="81" t="n"/>
      <c r="W2778" s="43" t="n"/>
    </row>
    <row r="2779">
      <c r="A2779" s="43" t="inlineStr">
        <is>
          <t>N12α</t>
        </is>
      </c>
      <c r="B2779" s="43" t="inlineStr"/>
      <c r="C2779" s="43" t="inlineStr">
        <is>
          <t>节段16</t>
        </is>
      </c>
      <c r="D2779" s="43" t="inlineStr">
        <is>
          <t>Q420D</t>
        </is>
      </c>
      <c r="E2779" s="43" t="n">
        <v>8050</v>
      </c>
      <c r="F2779" s="43" t="n">
        <v>1200</v>
      </c>
      <c r="G2779" s="43" t="n">
        <v>40</v>
      </c>
      <c r="H2779" s="79">
        <f>(E2779/1000)*(F2779/1000)*(G2779/1000)*7850</f>
        <v/>
      </c>
      <c r="I2779" s="43" t="n">
        <v>1</v>
      </c>
      <c r="J2779" s="80">
        <f>H2779*I2779</f>
        <v/>
      </c>
      <c r="K2779" s="43" t="inlineStr">
        <is>
          <t>来源页203</t>
        </is>
      </c>
      <c r="L2779" s="43">
        <f>A2779</f>
        <v/>
      </c>
      <c r="M2779" s="81" t="n"/>
      <c r="N2779" s="81" t="n"/>
      <c r="O2779" s="81" t="n"/>
      <c r="P2779" s="81" t="n"/>
      <c r="Q2779" s="81" t="n"/>
      <c r="R2779" s="81" t="n"/>
      <c r="S2779" s="81" t="n"/>
      <c r="T2779" s="81" t="n"/>
      <c r="U2779" s="81" t="n"/>
      <c r="V2779" s="81" t="n"/>
      <c r="W2779" s="43" t="n"/>
    </row>
    <row r="2780">
      <c r="A2780" s="43" t="inlineStr">
        <is>
          <t>N12b</t>
        </is>
      </c>
      <c r="B2780" s="43" t="inlineStr"/>
      <c r="C2780" s="43" t="inlineStr">
        <is>
          <t>节段16</t>
        </is>
      </c>
      <c r="D2780" s="43" t="inlineStr">
        <is>
          <t>Q420D</t>
        </is>
      </c>
      <c r="E2780" s="43" t="n">
        <v>6950</v>
      </c>
      <c r="F2780" s="43" t="n">
        <v>1200</v>
      </c>
      <c r="G2780" s="43" t="n">
        <v>40</v>
      </c>
      <c r="H2780" s="79">
        <f>(E2780/1000)*(F2780/1000)*(G2780/1000)*7850</f>
        <v/>
      </c>
      <c r="I2780" s="43" t="n">
        <v>1</v>
      </c>
      <c r="J2780" s="80">
        <f>H2780*I2780</f>
        <v/>
      </c>
      <c r="K2780" s="43" t="inlineStr">
        <is>
          <t>来源页203</t>
        </is>
      </c>
      <c r="L2780" s="43">
        <f>A2780</f>
        <v/>
      </c>
      <c r="M2780" s="81" t="n"/>
      <c r="N2780" s="81" t="n"/>
      <c r="O2780" s="81" t="n"/>
      <c r="P2780" s="81" t="n"/>
      <c r="Q2780" s="81" t="n"/>
      <c r="R2780" s="81" t="n"/>
      <c r="S2780" s="81" t="n"/>
      <c r="T2780" s="81" t="n"/>
      <c r="U2780" s="81" t="n"/>
      <c r="V2780" s="81" t="n"/>
      <c r="W2780" s="43" t="n"/>
    </row>
    <row r="2781">
      <c r="A2781" s="43" t="inlineStr">
        <is>
          <t>N13</t>
        </is>
      </c>
      <c r="B2781" s="43" t="inlineStr"/>
      <c r="C2781" s="43" t="inlineStr">
        <is>
          <t>节段16</t>
        </is>
      </c>
      <c r="D2781" s="43" t="inlineStr">
        <is>
          <t>Q420D</t>
        </is>
      </c>
      <c r="E2781" s="43" t="n"/>
      <c r="F2781" s="43" t="n"/>
      <c r="G2781" s="43" t="n">
        <v>44</v>
      </c>
      <c r="H2781" s="79">
        <f>(E2781/1000)*(F2781/1000)*(G2781/1000)*7850</f>
        <v/>
      </c>
      <c r="I2781" s="43" t="n">
        <v>2</v>
      </c>
      <c r="J2781" s="80">
        <f>H2781*I2781</f>
        <v/>
      </c>
      <c r="K2781" s="43" t="inlineStr">
        <is>
          <t>来源页203</t>
        </is>
      </c>
      <c r="L2781" s="43">
        <f>A2781</f>
        <v/>
      </c>
      <c r="M2781" s="81" t="n"/>
      <c r="N2781" s="81" t="n"/>
      <c r="O2781" s="81" t="n"/>
      <c r="P2781" s="81" t="n"/>
      <c r="Q2781" s="81" t="n"/>
      <c r="R2781" s="81" t="n"/>
      <c r="S2781" s="81" t="n"/>
      <c r="T2781" s="81" t="n"/>
      <c r="U2781" s="81" t="n"/>
      <c r="V2781" s="81" t="n"/>
      <c r="W2781" s="43" t="n"/>
    </row>
    <row r="2782">
      <c r="A2782" s="43" t="inlineStr">
        <is>
          <t>N14</t>
        </is>
      </c>
      <c r="B2782" s="43" t="inlineStr"/>
      <c r="C2782" s="43" t="inlineStr">
        <is>
          <t>节段16</t>
        </is>
      </c>
      <c r="D2782" s="43" t="inlineStr">
        <is>
          <t>Q420D</t>
        </is>
      </c>
      <c r="E2782" s="43" t="n">
        <v>7150</v>
      </c>
      <c r="F2782" s="43" t="n">
        <v>1628</v>
      </c>
      <c r="G2782" s="43" t="n">
        <v>48</v>
      </c>
      <c r="H2782" s="79">
        <f>(E2782/1000)*(F2782/1000)*(G2782/1000)*7850</f>
        <v/>
      </c>
      <c r="I2782" s="43" t="n">
        <v>2</v>
      </c>
      <c r="J2782" s="80">
        <f>H2782*I2782</f>
        <v/>
      </c>
      <c r="K2782" s="43" t="inlineStr">
        <is>
          <t>来源页203</t>
        </is>
      </c>
      <c r="L2782" s="43">
        <f>A2782</f>
        <v/>
      </c>
      <c r="M2782" s="81" t="n"/>
      <c r="N2782" s="81" t="n"/>
      <c r="O2782" s="81" t="n"/>
      <c r="P2782" s="81" t="n"/>
      <c r="Q2782" s="81" t="n"/>
      <c r="R2782" s="81" t="n"/>
      <c r="S2782" s="81" t="n"/>
      <c r="T2782" s="81" t="n"/>
      <c r="U2782" s="81" t="n"/>
      <c r="V2782" s="81" t="n"/>
      <c r="W2782" s="43" t="n"/>
    </row>
    <row r="2783">
      <c r="A2783" s="43" t="inlineStr">
        <is>
          <t>N15</t>
        </is>
      </c>
      <c r="B2783" s="43" t="inlineStr"/>
      <c r="C2783" s="43" t="inlineStr">
        <is>
          <t>节段16</t>
        </is>
      </c>
      <c r="D2783" s="43" t="inlineStr">
        <is>
          <t>Q420D</t>
        </is>
      </c>
      <c r="E2783" s="43" t="n">
        <v>1560</v>
      </c>
      <c r="F2783" s="43" t="n">
        <v>1200</v>
      </c>
      <c r="G2783" s="43" t="n">
        <v>16</v>
      </c>
      <c r="H2783" s="79">
        <f>(E2783/1000)*(F2783/1000)*(G2783/1000)*7850</f>
        <v/>
      </c>
      <c r="I2783" s="43" t="n">
        <v>3</v>
      </c>
      <c r="J2783" s="80">
        <f>H2783*I2783</f>
        <v/>
      </c>
      <c r="K2783" s="43" t="inlineStr">
        <is>
          <t>来源页203</t>
        </is>
      </c>
      <c r="L2783" s="43">
        <f>A2783</f>
        <v/>
      </c>
      <c r="M2783" s="81" t="n"/>
      <c r="N2783" s="81" t="n"/>
      <c r="O2783" s="81" t="n"/>
      <c r="P2783" s="81" t="n"/>
      <c r="Q2783" s="81" t="n"/>
      <c r="R2783" s="81" t="n"/>
      <c r="S2783" s="81" t="n"/>
      <c r="T2783" s="81" t="n"/>
      <c r="U2783" s="81" t="n"/>
      <c r="V2783" s="81" t="n"/>
      <c r="W2783" s="43" t="n"/>
    </row>
    <row r="2784">
      <c r="A2784" s="43" t="inlineStr">
        <is>
          <t>N15a</t>
        </is>
      </c>
      <c r="B2784" s="43" t="inlineStr"/>
      <c r="C2784" s="43" t="inlineStr">
        <is>
          <t>节段16</t>
        </is>
      </c>
      <c r="D2784" s="43" t="inlineStr">
        <is>
          <t>Q420D</t>
        </is>
      </c>
      <c r="E2784" s="43" t="n">
        <v>1560</v>
      </c>
      <c r="F2784" s="43" t="n">
        <v>1200</v>
      </c>
      <c r="G2784" s="43" t="n">
        <v>16</v>
      </c>
      <c r="H2784" s="79">
        <f>(E2784/1000)*(F2784/1000)*(G2784/1000)*7850</f>
        <v/>
      </c>
      <c r="I2784" s="43" t="n">
        <v>2</v>
      </c>
      <c r="J2784" s="80">
        <f>H2784*I2784</f>
        <v/>
      </c>
      <c r="K2784" s="43" t="inlineStr">
        <is>
          <t>来源页203</t>
        </is>
      </c>
      <c r="L2784" s="43">
        <f>A2784</f>
        <v/>
      </c>
      <c r="M2784" s="81" t="n"/>
      <c r="N2784" s="81" t="n"/>
      <c r="O2784" s="81" t="n"/>
      <c r="P2784" s="81" t="n"/>
      <c r="Q2784" s="81" t="n"/>
      <c r="R2784" s="81" t="n"/>
      <c r="S2784" s="81" t="n"/>
      <c r="T2784" s="81" t="n"/>
      <c r="U2784" s="81" t="n"/>
      <c r="V2784" s="81" t="n"/>
      <c r="W2784" s="43" t="n"/>
    </row>
    <row r="2785">
      <c r="A2785" s="43" t="inlineStr">
        <is>
          <t>N15‘</t>
        </is>
      </c>
      <c r="B2785" s="43" t="inlineStr"/>
      <c r="C2785" s="43" t="inlineStr">
        <is>
          <t>节段16</t>
        </is>
      </c>
      <c r="D2785" s="43" t="inlineStr">
        <is>
          <t>Q420D</t>
        </is>
      </c>
      <c r="E2785" s="43" t="n">
        <v>1657</v>
      </c>
      <c r="F2785" s="43" t="n">
        <v>200</v>
      </c>
      <c r="G2785" s="43" t="n">
        <v>16</v>
      </c>
      <c r="H2785" s="79">
        <f>(E2785/1000)*(F2785/1000)*(G2785/1000)*7850</f>
        <v/>
      </c>
      <c r="I2785" s="43" t="n">
        <v>3</v>
      </c>
      <c r="J2785" s="80">
        <f>H2785*I2785</f>
        <v/>
      </c>
      <c r="K2785" s="43" t="inlineStr">
        <is>
          <t>来源页203</t>
        </is>
      </c>
      <c r="L2785" s="43">
        <f>A2785</f>
        <v/>
      </c>
      <c r="M2785" s="81" t="n"/>
      <c r="N2785" s="81" t="n"/>
      <c r="O2785" s="81" t="n"/>
      <c r="P2785" s="81" t="n"/>
      <c r="Q2785" s="81" t="n"/>
      <c r="R2785" s="81" t="n"/>
      <c r="S2785" s="81" t="n"/>
      <c r="T2785" s="81" t="n"/>
      <c r="U2785" s="81" t="n"/>
      <c r="V2785" s="81" t="n"/>
      <c r="W2785" s="43" t="n"/>
    </row>
    <row r="2786">
      <c r="A2786" s="43" t="inlineStr">
        <is>
          <t>N15b</t>
        </is>
      </c>
      <c r="B2786" s="43" t="inlineStr"/>
      <c r="C2786" s="43" t="inlineStr">
        <is>
          <t>节段16</t>
        </is>
      </c>
      <c r="D2786" s="43" t="inlineStr">
        <is>
          <t>Q420D</t>
        </is>
      </c>
      <c r="E2786" s="43" t="n">
        <v>1782</v>
      </c>
      <c r="F2786" s="43" t="n">
        <v>40</v>
      </c>
      <c r="G2786" s="43" t="n">
        <v>4</v>
      </c>
      <c r="H2786" s="79">
        <f>(E2786/1000)*(F2786/1000)*(G2786/1000)*7850</f>
        <v/>
      </c>
      <c r="I2786" s="43" t="n">
        <v>4</v>
      </c>
      <c r="J2786" s="80">
        <f>H2786*I2786</f>
        <v/>
      </c>
      <c r="K2786" s="43" t="inlineStr">
        <is>
          <t>来源页203</t>
        </is>
      </c>
      <c r="L2786" s="43">
        <f>A2786</f>
        <v/>
      </c>
      <c r="M2786" s="81" t="n"/>
      <c r="N2786" s="81" t="n"/>
      <c r="O2786" s="81" t="n"/>
      <c r="P2786" s="81" t="n"/>
      <c r="Q2786" s="81" t="n"/>
      <c r="R2786" s="81" t="n"/>
      <c r="S2786" s="81" t="n"/>
      <c r="T2786" s="81" t="n"/>
      <c r="U2786" s="81" t="n"/>
      <c r="V2786" s="81" t="n"/>
      <c r="W2786" s="43" t="n"/>
    </row>
    <row r="2787">
      <c r="A2787" s="43" t="inlineStr">
        <is>
          <t>N15c</t>
        </is>
      </c>
      <c r="B2787" s="43" t="inlineStr"/>
      <c r="C2787" s="43" t="inlineStr">
        <is>
          <t>节段16</t>
        </is>
      </c>
      <c r="D2787" s="43" t="inlineStr">
        <is>
          <t>Q420D</t>
        </is>
      </c>
      <c r="E2787" s="43" t="n">
        <v>600</v>
      </c>
      <c r="F2787" s="43" t="n">
        <v>400</v>
      </c>
      <c r="G2787" s="43" t="n">
        <v>16</v>
      </c>
      <c r="H2787" s="79">
        <f>(E2787/1000)*(F2787/1000)*(G2787/1000)*7850</f>
        <v/>
      </c>
      <c r="I2787" s="43" t="n">
        <v>4</v>
      </c>
      <c r="J2787" s="80">
        <f>H2787*I2787</f>
        <v/>
      </c>
      <c r="K2787" s="43" t="inlineStr">
        <is>
          <t>来源页203</t>
        </is>
      </c>
      <c r="L2787" s="43">
        <f>A2787</f>
        <v/>
      </c>
      <c r="M2787" s="81" t="n"/>
      <c r="N2787" s="81" t="n"/>
      <c r="O2787" s="81" t="n"/>
      <c r="P2787" s="81" t="n"/>
      <c r="Q2787" s="81" t="n"/>
      <c r="R2787" s="81" t="n"/>
      <c r="S2787" s="81" t="n"/>
      <c r="T2787" s="81" t="n"/>
      <c r="U2787" s="81" t="n"/>
      <c r="V2787" s="81" t="n"/>
      <c r="W2787" s="43" t="n"/>
    </row>
    <row r="2788">
      <c r="A2788" s="43" t="inlineStr">
        <is>
          <t>N16a</t>
        </is>
      </c>
      <c r="B2788" s="43" t="inlineStr"/>
      <c r="C2788" s="43" t="inlineStr">
        <is>
          <t>节段16</t>
        </is>
      </c>
      <c r="D2788" s="43" t="inlineStr">
        <is>
          <t>Q420D</t>
        </is>
      </c>
      <c r="E2788" s="43" t="n">
        <v>8050</v>
      </c>
      <c r="F2788" s="43" t="n">
        <v>320</v>
      </c>
      <c r="G2788" s="43" t="n">
        <v>32</v>
      </c>
      <c r="H2788" s="79">
        <f>(E2788/1000)*(F2788/1000)*(G2788/1000)*7850</f>
        <v/>
      </c>
      <c r="I2788" s="43" t="n">
        <v>6</v>
      </c>
      <c r="J2788" s="80">
        <f>H2788*I2788</f>
        <v/>
      </c>
      <c r="K2788" s="43" t="inlineStr">
        <is>
          <t>来源页203</t>
        </is>
      </c>
      <c r="L2788" s="43">
        <f>A2788</f>
        <v/>
      </c>
      <c r="M2788" s="81" t="n"/>
      <c r="N2788" s="81" t="n"/>
      <c r="O2788" s="81" t="n"/>
      <c r="P2788" s="81" t="n"/>
      <c r="Q2788" s="81" t="n"/>
      <c r="R2788" s="81" t="n"/>
      <c r="S2788" s="81" t="n"/>
      <c r="T2788" s="81" t="n"/>
      <c r="U2788" s="81" t="n"/>
      <c r="V2788" s="81" t="n"/>
      <c r="W2788" s="43" t="n"/>
    </row>
    <row r="2789">
      <c r="A2789" s="43" t="inlineStr">
        <is>
          <t>N21α</t>
        </is>
      </c>
      <c r="B2789" s="43" t="inlineStr"/>
      <c r="C2789" s="43" t="inlineStr">
        <is>
          <t>节段16</t>
        </is>
      </c>
      <c r="D2789" s="43" t="inlineStr">
        <is>
          <t>Q420D</t>
        </is>
      </c>
      <c r="E2789" s="43" t="n">
        <v>8050</v>
      </c>
      <c r="F2789" s="43" t="n">
        <v>1850</v>
      </c>
      <c r="G2789" s="43" t="n">
        <v>32</v>
      </c>
      <c r="H2789" s="79">
        <f>(E2789/1000)*(F2789/1000)*(G2789/1000)*7850</f>
        <v/>
      </c>
      <c r="I2789" s="43" t="n">
        <v>1</v>
      </c>
      <c r="J2789" s="80">
        <f>H2789*I2789</f>
        <v/>
      </c>
      <c r="K2789" s="43" t="inlineStr">
        <is>
          <t>来源页203</t>
        </is>
      </c>
      <c r="L2789" s="43">
        <f>A2789</f>
        <v/>
      </c>
      <c r="M2789" s="81" t="n"/>
      <c r="N2789" s="81" t="n"/>
      <c r="O2789" s="81" t="n"/>
      <c r="P2789" s="81" t="n"/>
      <c r="Q2789" s="81" t="n"/>
      <c r="R2789" s="81" t="n"/>
      <c r="S2789" s="81" t="n"/>
      <c r="T2789" s="81" t="n"/>
      <c r="U2789" s="81" t="n"/>
      <c r="V2789" s="81" t="n"/>
      <c r="W2789" s="43" t="n"/>
    </row>
    <row r="2790">
      <c r="A2790" s="43" t="inlineStr">
        <is>
          <t>N21b</t>
        </is>
      </c>
      <c r="B2790" s="43" t="inlineStr"/>
      <c r="C2790" s="43" t="inlineStr">
        <is>
          <t>节段16</t>
        </is>
      </c>
      <c r="D2790" s="43" t="inlineStr">
        <is>
          <t>Q420D</t>
        </is>
      </c>
      <c r="E2790" s="43" t="n">
        <v>6950</v>
      </c>
      <c r="F2790" s="43" t="n">
        <v>1850</v>
      </c>
      <c r="G2790" s="43" t="n">
        <v>32</v>
      </c>
      <c r="H2790" s="79">
        <f>(E2790/1000)*(F2790/1000)*(G2790/1000)*7850</f>
        <v/>
      </c>
      <c r="I2790" s="43" t="n">
        <v>1</v>
      </c>
      <c r="J2790" s="80">
        <f>H2790*I2790</f>
        <v/>
      </c>
      <c r="K2790" s="43" t="inlineStr">
        <is>
          <t>来源页203</t>
        </is>
      </c>
      <c r="L2790" s="43">
        <f>A2790</f>
        <v/>
      </c>
      <c r="M2790" s="81" t="n"/>
      <c r="N2790" s="81" t="n"/>
      <c r="O2790" s="81" t="n"/>
      <c r="P2790" s="81" t="n"/>
      <c r="Q2790" s="81" t="n"/>
      <c r="R2790" s="81" t="n"/>
      <c r="S2790" s="81" t="n"/>
      <c r="T2790" s="81" t="n"/>
      <c r="U2790" s="81" t="n"/>
      <c r="V2790" s="81" t="n"/>
      <c r="W2790" s="43" t="n"/>
    </row>
    <row r="2791">
      <c r="A2791" s="43" t="inlineStr">
        <is>
          <t>N22a</t>
        </is>
      </c>
      <c r="B2791" s="43" t="inlineStr"/>
      <c r="C2791" s="43" t="inlineStr">
        <is>
          <t>节段16</t>
        </is>
      </c>
      <c r="D2791" s="43" t="inlineStr">
        <is>
          <t>Q420D</t>
        </is>
      </c>
      <c r="E2791" s="43" t="n"/>
      <c r="F2791" s="43" t="n"/>
      <c r="G2791" s="43" t="n">
        <v>32</v>
      </c>
      <c r="H2791" s="79">
        <f>(E2791/1000)*(F2791/1000)*(G2791/1000)*7850</f>
        <v/>
      </c>
      <c r="I2791" s="43" t="n">
        <v>1</v>
      </c>
      <c r="J2791" s="80">
        <f>H2791*I2791</f>
        <v/>
      </c>
      <c r="K2791" s="43" t="inlineStr">
        <is>
          <t>来源页203</t>
        </is>
      </c>
      <c r="L2791" s="43">
        <f>A2791</f>
        <v/>
      </c>
      <c r="M2791" s="81" t="n"/>
      <c r="N2791" s="81" t="n"/>
      <c r="O2791" s="81" t="n"/>
      <c r="P2791" s="81" t="n"/>
      <c r="Q2791" s="81" t="n"/>
      <c r="R2791" s="81" t="n"/>
      <c r="S2791" s="81" t="n"/>
      <c r="T2791" s="81" t="n"/>
      <c r="U2791" s="81" t="n"/>
      <c r="V2791" s="81" t="n"/>
      <c r="W2791" s="43" t="n"/>
    </row>
    <row r="2792">
      <c r="A2792" s="43" t="inlineStr">
        <is>
          <t>N22b</t>
        </is>
      </c>
      <c r="B2792" s="43" t="inlineStr"/>
      <c r="C2792" s="43" t="inlineStr">
        <is>
          <t>节段16</t>
        </is>
      </c>
      <c r="D2792" s="43" t="inlineStr">
        <is>
          <t>Q420D</t>
        </is>
      </c>
      <c r="E2792" s="43" t="n"/>
      <c r="F2792" s="43" t="n"/>
      <c r="G2792" s="43" t="n">
        <v>32</v>
      </c>
      <c r="H2792" s="79">
        <f>(E2792/1000)*(F2792/1000)*(G2792/1000)*7850</f>
        <v/>
      </c>
      <c r="I2792" s="43" t="n">
        <v>1</v>
      </c>
      <c r="J2792" s="80">
        <f>H2792*I2792</f>
        <v/>
      </c>
      <c r="K2792" s="43" t="inlineStr">
        <is>
          <t>来源页203</t>
        </is>
      </c>
      <c r="L2792" s="43">
        <f>A2792</f>
        <v/>
      </c>
      <c r="M2792" s="81" t="n"/>
      <c r="N2792" s="81" t="n"/>
      <c r="O2792" s="81" t="n"/>
      <c r="P2792" s="81" t="n"/>
      <c r="Q2792" s="81" t="n"/>
      <c r="R2792" s="81" t="n"/>
      <c r="S2792" s="81" t="n"/>
      <c r="T2792" s="81" t="n"/>
      <c r="U2792" s="81" t="n"/>
      <c r="V2792" s="81" t="n"/>
      <c r="W2792" s="43" t="n"/>
    </row>
    <row r="2793">
      <c r="A2793" s="43" t="inlineStr">
        <is>
          <t>N23</t>
        </is>
      </c>
      <c r="B2793" s="43" t="inlineStr"/>
      <c r="C2793" s="43" t="inlineStr">
        <is>
          <t>节段16</t>
        </is>
      </c>
      <c r="D2793" s="43" t="inlineStr">
        <is>
          <t>Q420D</t>
        </is>
      </c>
      <c r="E2793" s="43" t="n"/>
      <c r="F2793" s="43" t="n"/>
      <c r="G2793" s="43" t="n">
        <v>44</v>
      </c>
      <c r="H2793" s="79">
        <f>(E2793/1000)*(F2793/1000)*(G2793/1000)*7850</f>
        <v/>
      </c>
      <c r="I2793" s="43" t="n">
        <v>2</v>
      </c>
      <c r="J2793" s="80">
        <f>H2793*I2793</f>
        <v/>
      </c>
      <c r="K2793" s="43" t="inlineStr">
        <is>
          <t>Z35钢；来源页203</t>
        </is>
      </c>
      <c r="L2793" s="43">
        <f>A2793</f>
        <v/>
      </c>
      <c r="M2793" s="81" t="n"/>
      <c r="N2793" s="81" t="n"/>
      <c r="O2793" s="81" t="n"/>
      <c r="P2793" s="81" t="n"/>
      <c r="Q2793" s="81" t="n"/>
      <c r="R2793" s="81" t="n"/>
      <c r="S2793" s="81" t="n"/>
      <c r="T2793" s="81" t="n"/>
      <c r="U2793" s="81" t="n"/>
      <c r="V2793" s="81" t="n"/>
      <c r="W2793" s="43" t="n"/>
    </row>
    <row r="2794">
      <c r="A2794" s="43" t="inlineStr">
        <is>
          <t>N24</t>
        </is>
      </c>
      <c r="B2794" s="43" t="inlineStr"/>
      <c r="C2794" s="43" t="inlineStr">
        <is>
          <t>节段16</t>
        </is>
      </c>
      <c r="D2794" s="43" t="inlineStr">
        <is>
          <t>Q420D</t>
        </is>
      </c>
      <c r="E2794" s="43" t="n">
        <v>7150</v>
      </c>
      <c r="F2794" s="43" t="n">
        <v>1482</v>
      </c>
      <c r="G2794" s="43" t="n">
        <v>44</v>
      </c>
      <c r="H2794" s="79">
        <f>(E2794/1000)*(F2794/1000)*(G2794/1000)*7850</f>
        <v/>
      </c>
      <c r="I2794" s="43" t="n">
        <v>2</v>
      </c>
      <c r="J2794" s="80">
        <f>H2794*I2794</f>
        <v/>
      </c>
      <c r="K2794" s="43" t="inlineStr">
        <is>
          <t>来源页203</t>
        </is>
      </c>
      <c r="L2794" s="43">
        <f>A2794</f>
        <v/>
      </c>
      <c r="M2794" s="81" t="n"/>
      <c r="N2794" s="81" t="n"/>
      <c r="O2794" s="81" t="n"/>
      <c r="P2794" s="81" t="n"/>
      <c r="Q2794" s="81" t="n"/>
      <c r="R2794" s="81" t="n"/>
      <c r="S2794" s="81" t="n"/>
      <c r="T2794" s="81" t="n"/>
      <c r="U2794" s="81" t="n"/>
      <c r="V2794" s="81" t="n"/>
      <c r="W2794" s="43" t="n"/>
    </row>
    <row r="2795">
      <c r="A2795" s="43" t="inlineStr">
        <is>
          <t>N25</t>
        </is>
      </c>
      <c r="B2795" s="43" t="inlineStr"/>
      <c r="C2795" s="43" t="inlineStr">
        <is>
          <t>节段16</t>
        </is>
      </c>
      <c r="D2795" s="43" t="inlineStr">
        <is>
          <t>Q420D</t>
        </is>
      </c>
      <c r="E2795" s="43" t="n">
        <v>1450</v>
      </c>
      <c r="F2795" s="43" t="n">
        <v>1200</v>
      </c>
      <c r="G2795" s="43" t="n">
        <v>16</v>
      </c>
      <c r="H2795" s="79">
        <f>(E2795/1000)*(F2795/1000)*(G2795/1000)*7850</f>
        <v/>
      </c>
      <c r="I2795" s="43" t="n">
        <v>3</v>
      </c>
      <c r="J2795" s="80">
        <f>H2795*I2795</f>
        <v/>
      </c>
      <c r="K2795" s="43" t="inlineStr">
        <is>
          <t>来源页203</t>
        </is>
      </c>
      <c r="L2795" s="43">
        <f>A2795</f>
        <v/>
      </c>
      <c r="M2795" s="81" t="n"/>
      <c r="N2795" s="81" t="n"/>
      <c r="O2795" s="81" t="n"/>
      <c r="P2795" s="81" t="n"/>
      <c r="Q2795" s="81" t="n"/>
      <c r="R2795" s="81" t="n"/>
      <c r="S2795" s="81" t="n"/>
      <c r="T2795" s="81" t="n"/>
      <c r="U2795" s="81" t="n"/>
      <c r="V2795" s="81" t="n"/>
      <c r="W2795" s="43" t="n"/>
    </row>
    <row r="2796">
      <c r="A2796" s="43" t="inlineStr">
        <is>
          <t>N25a</t>
        </is>
      </c>
      <c r="B2796" s="43" t="inlineStr"/>
      <c r="C2796" s="43" t="inlineStr">
        <is>
          <t>节段16</t>
        </is>
      </c>
      <c r="D2796" s="43" t="inlineStr">
        <is>
          <t>Q420D</t>
        </is>
      </c>
      <c r="E2796" s="43" t="n">
        <v>1450</v>
      </c>
      <c r="F2796" s="43" t="n">
        <v>1200</v>
      </c>
      <c r="G2796" s="43" t="n">
        <v>16</v>
      </c>
      <c r="H2796" s="79">
        <f>(E2796/1000)*(F2796/1000)*(G2796/1000)*7850</f>
        <v/>
      </c>
      <c r="I2796" s="43" t="n">
        <v>2</v>
      </c>
      <c r="J2796" s="80">
        <f>H2796*I2796</f>
        <v/>
      </c>
      <c r="K2796" s="43" t="inlineStr">
        <is>
          <t>来源页203</t>
        </is>
      </c>
      <c r="L2796" s="43">
        <f>A2796</f>
        <v/>
      </c>
      <c r="M2796" s="81" t="n"/>
      <c r="N2796" s="81" t="n"/>
      <c r="O2796" s="81" t="n"/>
      <c r="P2796" s="81" t="n"/>
      <c r="Q2796" s="81" t="n"/>
      <c r="R2796" s="81" t="n"/>
      <c r="S2796" s="81" t="n"/>
      <c r="T2796" s="81" t="n"/>
      <c r="U2796" s="81" t="n"/>
      <c r="V2796" s="81" t="n"/>
      <c r="W2796" s="43" t="n"/>
    </row>
    <row r="2797">
      <c r="A2797" s="43" t="inlineStr">
        <is>
          <t>N25'</t>
        </is>
      </c>
      <c r="B2797" s="43" t="inlineStr"/>
      <c r="C2797" s="43" t="inlineStr">
        <is>
          <t>节段16</t>
        </is>
      </c>
      <c r="D2797" s="43" t="inlineStr">
        <is>
          <t>Q420D</t>
        </is>
      </c>
      <c r="E2797" s="43" t="n">
        <v>1657</v>
      </c>
      <c r="F2797" s="43" t="n">
        <v>200</v>
      </c>
      <c r="G2797" s="43" t="n">
        <v>16</v>
      </c>
      <c r="H2797" s="79">
        <f>(E2797/1000)*(F2797/1000)*(G2797/1000)*7850</f>
        <v/>
      </c>
      <c r="I2797" s="43" t="n">
        <v>5</v>
      </c>
      <c r="J2797" s="80">
        <f>H2797*I2797</f>
        <v/>
      </c>
      <c r="K2797" s="43" t="inlineStr">
        <is>
          <t>来源页203</t>
        </is>
      </c>
      <c r="L2797" s="43">
        <f>A2797</f>
        <v/>
      </c>
      <c r="M2797" s="81" t="n"/>
      <c r="N2797" s="81" t="n"/>
      <c r="O2797" s="81" t="n"/>
      <c r="P2797" s="81" t="n"/>
      <c r="Q2797" s="81" t="n"/>
      <c r="R2797" s="81" t="n"/>
      <c r="S2797" s="81" t="n"/>
      <c r="T2797" s="81" t="n"/>
      <c r="U2797" s="81" t="n"/>
      <c r="V2797" s="81" t="n"/>
      <c r="W2797" s="43" t="n"/>
    </row>
    <row r="2798">
      <c r="A2798" s="43" t="inlineStr">
        <is>
          <t>N26a</t>
        </is>
      </c>
      <c r="B2798" s="43" t="inlineStr"/>
      <c r="C2798" s="43" t="inlineStr">
        <is>
          <t>节段16</t>
        </is>
      </c>
      <c r="D2798" s="43" t="inlineStr">
        <is>
          <t>Q420D</t>
        </is>
      </c>
      <c r="E2798" s="43" t="n">
        <v>8050</v>
      </c>
      <c r="F2798" s="43" t="n">
        <v>320</v>
      </c>
      <c r="G2798" s="43" t="n">
        <v>32</v>
      </c>
      <c r="H2798" s="79">
        <f>(E2798/1000)*(F2798/1000)*(G2798/1000)*7850</f>
        <v/>
      </c>
      <c r="I2798" s="43" t="n">
        <v>4</v>
      </c>
      <c r="J2798" s="80">
        <f>H2798*I2798</f>
        <v/>
      </c>
      <c r="K2798" s="43" t="inlineStr">
        <is>
          <t>来源页203</t>
        </is>
      </c>
      <c r="L2798" s="43">
        <f>A2798</f>
        <v/>
      </c>
      <c r="M2798" s="81" t="n"/>
      <c r="N2798" s="81" t="n"/>
      <c r="O2798" s="81" t="n"/>
      <c r="P2798" s="81" t="n"/>
      <c r="Q2798" s="81" t="n"/>
      <c r="R2798" s="81" t="n"/>
      <c r="S2798" s="81" t="n"/>
      <c r="T2798" s="81" t="n"/>
      <c r="U2798" s="81" t="n"/>
      <c r="V2798" s="81" t="n"/>
      <c r="W2798" s="43" t="n"/>
    </row>
    <row r="2799">
      <c r="A2799" s="43" t="inlineStr">
        <is>
          <t>N26b</t>
        </is>
      </c>
      <c r="B2799" s="43" t="inlineStr"/>
      <c r="C2799" s="43" t="inlineStr">
        <is>
          <t>节段16</t>
        </is>
      </c>
      <c r="D2799" s="43" t="inlineStr">
        <is>
          <t>Q420D</t>
        </is>
      </c>
      <c r="E2799" s="43" t="n">
        <v>6950</v>
      </c>
      <c r="F2799" s="43" t="n">
        <v>320</v>
      </c>
      <c r="G2799" s="43" t="n">
        <v>32</v>
      </c>
      <c r="H2799" s="79">
        <f>(E2799/1000)*(F2799/1000)*(G2799/1000)*7850</f>
        <v/>
      </c>
      <c r="I2799" s="43" t="n">
        <v>4</v>
      </c>
      <c r="J2799" s="80">
        <f>H2799*I2799</f>
        <v/>
      </c>
      <c r="K2799" s="43" t="inlineStr">
        <is>
          <t>来源页203</t>
        </is>
      </c>
      <c r="L2799" s="43">
        <f>A2799</f>
        <v/>
      </c>
      <c r="M2799" s="81" t="n"/>
      <c r="N2799" s="81" t="n"/>
      <c r="O2799" s="81" t="n"/>
      <c r="P2799" s="81" t="n"/>
      <c r="Q2799" s="81" t="n"/>
      <c r="R2799" s="81" t="n"/>
      <c r="S2799" s="81" t="n"/>
      <c r="T2799" s="81" t="n"/>
      <c r="U2799" s="81" t="n"/>
      <c r="V2799" s="81" t="n"/>
      <c r="W2799" s="43" t="n"/>
    </row>
    <row r="2800">
      <c r="A2800" s="43" t="inlineStr">
        <is>
          <t>N26c</t>
        </is>
      </c>
      <c r="B2800" s="43" t="inlineStr"/>
      <c r="C2800" s="43" t="inlineStr">
        <is>
          <t>节段16</t>
        </is>
      </c>
      <c r="D2800" s="43" t="inlineStr">
        <is>
          <t>Q420D</t>
        </is>
      </c>
      <c r="E2800" s="43" t="n">
        <v>15000</v>
      </c>
      <c r="F2800" s="43" t="n">
        <v>170</v>
      </c>
      <c r="G2800" s="43" t="n">
        <v>14</v>
      </c>
      <c r="H2800" s="79">
        <f>(E2800/1000)*(F2800/1000)*(G2800/1000)*7850</f>
        <v/>
      </c>
      <c r="I2800" s="43" t="n">
        <v>1</v>
      </c>
      <c r="J2800" s="80">
        <f>H2800*I2800</f>
        <v/>
      </c>
      <c r="K2800" s="43" t="inlineStr">
        <is>
          <t>来源页203</t>
        </is>
      </c>
      <c r="L2800" s="43">
        <f>A2800</f>
        <v/>
      </c>
      <c r="M2800" s="81" t="n"/>
      <c r="N2800" s="81" t="n"/>
      <c r="O2800" s="81" t="n"/>
      <c r="P2800" s="81" t="n"/>
      <c r="Q2800" s="81" t="n"/>
      <c r="R2800" s="81" t="n"/>
      <c r="S2800" s="81" t="n"/>
      <c r="T2800" s="81" t="n"/>
      <c r="U2800" s="81" t="n"/>
      <c r="V2800" s="81" t="n"/>
      <c r="W2800" s="43" t="n"/>
    </row>
    <row r="2801">
      <c r="A2801" s="43" t="inlineStr">
        <is>
          <t>N31</t>
        </is>
      </c>
      <c r="B2801" s="43" t="inlineStr"/>
      <c r="C2801" s="43" t="inlineStr">
        <is>
          <t>节段16</t>
        </is>
      </c>
      <c r="D2801" s="43" t="inlineStr">
        <is>
          <t>Q420D</t>
        </is>
      </c>
      <c r="E2801" s="43" t="n">
        <v>10875</v>
      </c>
      <c r="F2801" s="43" t="n">
        <v>1200</v>
      </c>
      <c r="G2801" s="43" t="n">
        <v>40</v>
      </c>
      <c r="H2801" s="79">
        <f>(E2801/1000)*(F2801/1000)*(G2801/1000)*7850</f>
        <v/>
      </c>
      <c r="I2801" s="43" t="n">
        <v>1</v>
      </c>
      <c r="J2801" s="80">
        <f>H2801*I2801</f>
        <v/>
      </c>
      <c r="K2801" s="43" t="inlineStr">
        <is>
          <t>来源页203</t>
        </is>
      </c>
      <c r="L2801" s="43">
        <f>A2801</f>
        <v/>
      </c>
      <c r="M2801" s="81" t="n"/>
      <c r="N2801" s="81" t="n"/>
      <c r="O2801" s="81" t="n"/>
      <c r="P2801" s="81" t="n"/>
      <c r="Q2801" s="81" t="n"/>
      <c r="R2801" s="81" t="n"/>
      <c r="S2801" s="81" t="n"/>
      <c r="T2801" s="81" t="n"/>
      <c r="U2801" s="81" t="n"/>
      <c r="V2801" s="81" t="n"/>
      <c r="W2801" s="43" t="n"/>
    </row>
    <row r="2802">
      <c r="A2802" s="43" t="inlineStr">
        <is>
          <t>N31a</t>
        </is>
      </c>
      <c r="B2802" s="43" t="inlineStr"/>
      <c r="C2802" s="43" t="inlineStr">
        <is>
          <t>节段16</t>
        </is>
      </c>
      <c r="D2802" s="43" t="inlineStr">
        <is>
          <t>Q420D</t>
        </is>
      </c>
      <c r="E2802" s="43" t="n">
        <v>11375</v>
      </c>
      <c r="F2802" s="43" t="n">
        <v>1200</v>
      </c>
      <c r="G2802" s="43" t="n">
        <v>40</v>
      </c>
      <c r="H2802" s="79">
        <f>(E2802/1000)*(F2802/1000)*(G2802/1000)*7850</f>
        <v/>
      </c>
      <c r="I2802" s="43" t="n">
        <v>1</v>
      </c>
      <c r="J2802" s="80">
        <f>H2802*I2802</f>
        <v/>
      </c>
      <c r="K2802" s="43" t="inlineStr">
        <is>
          <t>来源页203</t>
        </is>
      </c>
      <c r="L2802" s="43">
        <f>A2802</f>
        <v/>
      </c>
      <c r="M2802" s="81" t="n"/>
      <c r="N2802" s="81" t="n"/>
      <c r="O2802" s="81" t="n"/>
      <c r="P2802" s="81" t="n"/>
      <c r="Q2802" s="81" t="n"/>
      <c r="R2802" s="81" t="n"/>
      <c r="S2802" s="81" t="n"/>
      <c r="T2802" s="81" t="n"/>
      <c r="U2802" s="81" t="n"/>
      <c r="V2802" s="81" t="n"/>
      <c r="W2802" s="43" t="n"/>
    </row>
    <row r="2803">
      <c r="A2803" s="43" t="inlineStr">
        <is>
          <t>N32</t>
        </is>
      </c>
      <c r="B2803" s="43" t="inlineStr"/>
      <c r="C2803" s="43" t="inlineStr">
        <is>
          <t>节段16</t>
        </is>
      </c>
      <c r="D2803" s="43" t="inlineStr">
        <is>
          <t>Q420D</t>
        </is>
      </c>
      <c r="E2803" s="43" t="n">
        <v>7275</v>
      </c>
      <c r="F2803" s="43" t="n">
        <v>1360</v>
      </c>
      <c r="G2803" s="43" t="n">
        <v>40</v>
      </c>
      <c r="H2803" s="79">
        <f>(E2803/1000)*(F2803/1000)*(G2803/1000)*7850</f>
        <v/>
      </c>
      <c r="I2803" s="43" t="n">
        <v>2</v>
      </c>
      <c r="J2803" s="80">
        <f>H2803*I2803</f>
        <v/>
      </c>
      <c r="K2803" s="43" t="inlineStr">
        <is>
          <t>来源页203</t>
        </is>
      </c>
      <c r="L2803" s="43">
        <f>A2803</f>
        <v/>
      </c>
      <c r="M2803" s="81" t="n"/>
      <c r="N2803" s="81" t="n"/>
      <c r="O2803" s="81" t="n"/>
      <c r="P2803" s="81" t="n"/>
      <c r="Q2803" s="81" t="n"/>
      <c r="R2803" s="81" t="n"/>
      <c r="S2803" s="81" t="n"/>
      <c r="T2803" s="81" t="n"/>
      <c r="U2803" s="81" t="n"/>
      <c r="V2803" s="81" t="n"/>
      <c r="W2803" s="43" t="n"/>
    </row>
    <row r="2804">
      <c r="A2804" s="43" t="inlineStr">
        <is>
          <t>N33</t>
        </is>
      </c>
      <c r="B2804" s="43" t="inlineStr"/>
      <c r="C2804" s="43" t="inlineStr">
        <is>
          <t>节段16</t>
        </is>
      </c>
      <c r="D2804" s="43" t="inlineStr">
        <is>
          <t>Q420D</t>
        </is>
      </c>
      <c r="E2804" s="43" t="n">
        <v>7275</v>
      </c>
      <c r="F2804" s="43" t="n">
        <v>320</v>
      </c>
      <c r="G2804" s="43" t="n">
        <v>32</v>
      </c>
      <c r="H2804" s="79">
        <f>(E2804/1000)*(F2804/1000)*(G2804/1000)*7850</f>
        <v/>
      </c>
      <c r="I2804" s="43" t="n">
        <v>4</v>
      </c>
      <c r="J2804" s="80">
        <f>H2804*I2804</f>
        <v/>
      </c>
      <c r="K2804" s="43" t="inlineStr">
        <is>
          <t>来源页203</t>
        </is>
      </c>
      <c r="L2804" s="43">
        <f>A2804</f>
        <v/>
      </c>
      <c r="M2804" s="81" t="n"/>
      <c r="N2804" s="81" t="n"/>
      <c r="O2804" s="81" t="n"/>
      <c r="P2804" s="81" t="n"/>
      <c r="Q2804" s="81" t="n"/>
      <c r="R2804" s="81" t="n"/>
      <c r="S2804" s="81" t="n"/>
      <c r="T2804" s="81" t="n"/>
      <c r="U2804" s="81" t="n"/>
      <c r="V2804" s="81" t="n"/>
      <c r="W2804" s="43" t="n"/>
    </row>
    <row r="2805">
      <c r="A2805" s="43" t="inlineStr">
        <is>
          <t>N33a</t>
        </is>
      </c>
      <c r="B2805" s="43" t="inlineStr"/>
      <c r="C2805" s="43" t="inlineStr">
        <is>
          <t>节段16</t>
        </is>
      </c>
      <c r="D2805" s="43" t="inlineStr">
        <is>
          <t>Q420D</t>
        </is>
      </c>
      <c r="E2805" s="43" t="n">
        <v>9475</v>
      </c>
      <c r="F2805" s="43" t="n">
        <v>320</v>
      </c>
      <c r="G2805" s="43" t="n">
        <v>32</v>
      </c>
      <c r="H2805" s="79">
        <f>(E2805/1000)*(F2805/1000)*(G2805/1000)*7850</f>
        <v/>
      </c>
      <c r="I2805" s="43" t="n">
        <v>1</v>
      </c>
      <c r="J2805" s="80">
        <f>H2805*I2805</f>
        <v/>
      </c>
      <c r="K2805" s="43" t="inlineStr">
        <is>
          <t>来源页203</t>
        </is>
      </c>
      <c r="L2805" s="43">
        <f>A2805</f>
        <v/>
      </c>
      <c r="M2805" s="81" t="n"/>
      <c r="N2805" s="81" t="n"/>
      <c r="O2805" s="81" t="n"/>
      <c r="P2805" s="81" t="n"/>
      <c r="Q2805" s="81" t="n"/>
      <c r="R2805" s="81" t="n"/>
      <c r="S2805" s="81" t="n"/>
      <c r="T2805" s="81" t="n"/>
      <c r="U2805" s="81" t="n"/>
      <c r="V2805" s="81" t="n"/>
      <c r="W2805" s="43" t="n"/>
    </row>
    <row r="2806">
      <c r="A2806" s="43" t="inlineStr">
        <is>
          <t>N33b</t>
        </is>
      </c>
      <c r="B2806" s="43" t="inlineStr"/>
      <c r="C2806" s="43" t="inlineStr">
        <is>
          <t>节段16</t>
        </is>
      </c>
      <c r="D2806" s="43" t="inlineStr">
        <is>
          <t>Q420D</t>
        </is>
      </c>
      <c r="E2806" s="43" t="n">
        <v>9975</v>
      </c>
      <c r="F2806" s="43" t="n">
        <v>320</v>
      </c>
      <c r="G2806" s="43" t="n">
        <v>32</v>
      </c>
      <c r="H2806" s="79">
        <f>(E2806/1000)*(F2806/1000)*(G2806/1000)*7850</f>
        <v/>
      </c>
      <c r="I2806" s="43" t="n">
        <v>1</v>
      </c>
      <c r="J2806" s="80">
        <f>H2806*I2806</f>
        <v/>
      </c>
      <c r="K2806" s="43" t="inlineStr">
        <is>
          <t>来源页203</t>
        </is>
      </c>
      <c r="L2806" s="43">
        <f>A2806</f>
        <v/>
      </c>
      <c r="M2806" s="81" t="n"/>
      <c r="N2806" s="81" t="n"/>
      <c r="O2806" s="81" t="n"/>
      <c r="P2806" s="81" t="n"/>
      <c r="Q2806" s="81" t="n"/>
      <c r="R2806" s="81" t="n"/>
      <c r="S2806" s="81" t="n"/>
      <c r="T2806" s="81" t="n"/>
      <c r="U2806" s="81" t="n"/>
      <c r="V2806" s="81" t="n"/>
      <c r="W2806" s="43" t="n"/>
    </row>
    <row r="2807">
      <c r="A2807" s="43" t="inlineStr">
        <is>
          <t>N34</t>
        </is>
      </c>
      <c r="B2807" s="43" t="inlineStr"/>
      <c r="C2807" s="43" t="inlineStr">
        <is>
          <t>节段16</t>
        </is>
      </c>
      <c r="D2807" s="43" t="inlineStr">
        <is>
          <t>Q420D</t>
        </is>
      </c>
      <c r="E2807" s="43" t="n">
        <v>1200</v>
      </c>
      <c r="F2807" s="43" t="n">
        <v>1200</v>
      </c>
      <c r="G2807" s="43" t="n">
        <v>16</v>
      </c>
      <c r="H2807" s="79">
        <f>(E2807/1000)*(F2807/1000)*(G2807/1000)*7850</f>
        <v/>
      </c>
      <c r="I2807" s="43" t="n">
        <v>3</v>
      </c>
      <c r="J2807" s="80">
        <f>H2807*I2807</f>
        <v/>
      </c>
      <c r="K2807" s="43" t="inlineStr">
        <is>
          <t>来源页203</t>
        </is>
      </c>
      <c r="L2807" s="43">
        <f>A2807</f>
        <v/>
      </c>
      <c r="M2807" s="81" t="n"/>
      <c r="N2807" s="81" t="n"/>
      <c r="O2807" s="81" t="n"/>
      <c r="P2807" s="81" t="n"/>
      <c r="Q2807" s="81" t="n"/>
      <c r="R2807" s="81" t="n"/>
      <c r="S2807" s="81" t="n"/>
      <c r="T2807" s="81" t="n"/>
      <c r="U2807" s="81" t="n"/>
      <c r="V2807" s="81" t="n"/>
      <c r="W2807" s="43" t="n"/>
    </row>
    <row r="2808">
      <c r="A2808" s="43" t="inlineStr">
        <is>
          <t>N41</t>
        </is>
      </c>
      <c r="B2808" s="43" t="inlineStr"/>
      <c r="C2808" s="43" t="inlineStr">
        <is>
          <t>节段16</t>
        </is>
      </c>
      <c r="D2808" s="43" t="inlineStr">
        <is>
          <t>Q420D</t>
        </is>
      </c>
      <c r="E2808" s="43" t="n">
        <v>5429</v>
      </c>
      <c r="F2808" s="43" t="n">
        <v>1200</v>
      </c>
      <c r="G2808" s="43" t="n">
        <v>40</v>
      </c>
      <c r="H2808" s="79">
        <f>(E2808/1000)*(F2808/1000)*(G2808/1000)*7850</f>
        <v/>
      </c>
      <c r="I2808" s="43" t="n">
        <v>1</v>
      </c>
      <c r="J2808" s="80">
        <f>H2808*I2808</f>
        <v/>
      </c>
      <c r="K2808" s="43" t="inlineStr">
        <is>
          <t>来源页203</t>
        </is>
      </c>
      <c r="L2808" s="43">
        <f>A2808</f>
        <v/>
      </c>
      <c r="M2808" s="81" t="n"/>
      <c r="N2808" s="81" t="n"/>
      <c r="O2808" s="81" t="n"/>
      <c r="P2808" s="81" t="n"/>
      <c r="Q2808" s="81" t="n"/>
      <c r="R2808" s="81" t="n"/>
      <c r="S2808" s="81" t="n"/>
      <c r="T2808" s="81" t="n"/>
      <c r="U2808" s="81" t="n"/>
      <c r="V2808" s="81" t="n"/>
      <c r="W2808" s="43" t="n"/>
    </row>
    <row r="2809">
      <c r="A2809" s="43" t="inlineStr">
        <is>
          <t>N41a</t>
        </is>
      </c>
      <c r="B2809" s="43" t="inlineStr"/>
      <c r="C2809" s="43" t="inlineStr">
        <is>
          <t>节段16</t>
        </is>
      </c>
      <c r="D2809" s="43" t="inlineStr">
        <is>
          <t>Q420D</t>
        </is>
      </c>
      <c r="E2809" s="43" t="n">
        <v>5629</v>
      </c>
      <c r="F2809" s="43" t="n">
        <v>1200</v>
      </c>
      <c r="G2809" s="43" t="n">
        <v>40</v>
      </c>
      <c r="H2809" s="79">
        <f>(E2809/1000)*(F2809/1000)*(G2809/1000)*7850</f>
        <v/>
      </c>
      <c r="I2809" s="43" t="n">
        <v>1</v>
      </c>
      <c r="J2809" s="80">
        <f>H2809*I2809</f>
        <v/>
      </c>
      <c r="K2809" s="43" t="inlineStr">
        <is>
          <t>来源页203</t>
        </is>
      </c>
      <c r="L2809" s="43">
        <f>A2809</f>
        <v/>
      </c>
      <c r="M2809" s="81" t="n"/>
      <c r="N2809" s="81" t="n"/>
      <c r="O2809" s="81" t="n"/>
      <c r="P2809" s="81" t="n"/>
      <c r="Q2809" s="81" t="n"/>
      <c r="R2809" s="81" t="n"/>
      <c r="S2809" s="81" t="n"/>
      <c r="T2809" s="81" t="n"/>
      <c r="U2809" s="81" t="n"/>
      <c r="V2809" s="81" t="n"/>
      <c r="W2809" s="43" t="n"/>
    </row>
    <row r="2810">
      <c r="A2810" s="43" t="inlineStr">
        <is>
          <t>N42</t>
        </is>
      </c>
      <c r="B2810" s="43" t="inlineStr"/>
      <c r="C2810" s="43" t="inlineStr">
        <is>
          <t>节段16</t>
        </is>
      </c>
      <c r="D2810" s="43" t="inlineStr">
        <is>
          <t>Q420D</t>
        </is>
      </c>
      <c r="E2810" s="43" t="n">
        <v>3629</v>
      </c>
      <c r="F2810" s="43" t="n">
        <v>1760</v>
      </c>
      <c r="G2810" s="43" t="n">
        <v>40</v>
      </c>
      <c r="H2810" s="79">
        <f>(E2810/1000)*(F2810/1000)*(G2810/1000)*7850</f>
        <v/>
      </c>
      <c r="I2810" s="43" t="n">
        <v>2</v>
      </c>
      <c r="J2810" s="80">
        <f>H2810*I2810</f>
        <v/>
      </c>
      <c r="K2810" s="43" t="inlineStr">
        <is>
          <t>来源页203</t>
        </is>
      </c>
      <c r="L2810" s="43">
        <f>A2810</f>
        <v/>
      </c>
      <c r="M2810" s="81" t="n"/>
      <c r="N2810" s="81" t="n"/>
      <c r="O2810" s="81" t="n"/>
      <c r="P2810" s="81" t="n"/>
      <c r="Q2810" s="81" t="n"/>
      <c r="R2810" s="81" t="n"/>
      <c r="S2810" s="81" t="n"/>
      <c r="T2810" s="81" t="n"/>
      <c r="U2810" s="81" t="n"/>
      <c r="V2810" s="81" t="n"/>
      <c r="W2810" s="43" t="n"/>
    </row>
    <row r="2811">
      <c r="A2811" s="43" t="inlineStr">
        <is>
          <t>N43</t>
        </is>
      </c>
      <c r="B2811" s="43" t="inlineStr"/>
      <c r="C2811" s="43" t="inlineStr">
        <is>
          <t>节段16</t>
        </is>
      </c>
      <c r="D2811" s="43" t="inlineStr">
        <is>
          <t>Q420D</t>
        </is>
      </c>
      <c r="E2811" s="43" t="n">
        <v>3629</v>
      </c>
      <c r="F2811" s="43" t="n">
        <v>320</v>
      </c>
      <c r="G2811" s="43" t="n">
        <v>32</v>
      </c>
      <c r="H2811" s="79">
        <f>(E2811/1000)*(F2811/1000)*(G2811/1000)*7850</f>
        <v/>
      </c>
      <c r="I2811" s="43" t="n">
        <v>4</v>
      </c>
      <c r="J2811" s="80">
        <f>H2811*I2811</f>
        <v/>
      </c>
      <c r="K2811" s="43" t="inlineStr">
        <is>
          <t>来源页203</t>
        </is>
      </c>
      <c r="L2811" s="43">
        <f>A2811</f>
        <v/>
      </c>
      <c r="M2811" s="81" t="n"/>
      <c r="N2811" s="81" t="n"/>
      <c r="O2811" s="81" t="n"/>
      <c r="P2811" s="81" t="n"/>
      <c r="Q2811" s="81" t="n"/>
      <c r="R2811" s="81" t="n"/>
      <c r="S2811" s="81" t="n"/>
      <c r="T2811" s="81" t="n"/>
      <c r="U2811" s="81" t="n"/>
      <c r="V2811" s="81" t="n"/>
      <c r="W2811" s="43" t="n"/>
    </row>
    <row r="2812">
      <c r="A2812" s="43" t="inlineStr">
        <is>
          <t>N43a</t>
        </is>
      </c>
      <c r="B2812" s="43" t="inlineStr"/>
      <c r="C2812" s="43" t="inlineStr">
        <is>
          <t>节段16</t>
        </is>
      </c>
      <c r="D2812" s="43" t="inlineStr">
        <is>
          <t>Q420D</t>
        </is>
      </c>
      <c r="E2812" s="43" t="n">
        <v>4729</v>
      </c>
      <c r="F2812" s="43" t="n">
        <v>320</v>
      </c>
      <c r="G2812" s="43" t="n">
        <v>32</v>
      </c>
      <c r="H2812" s="79">
        <f>(E2812/1000)*(F2812/1000)*(G2812/1000)*7850</f>
        <v/>
      </c>
      <c r="I2812" s="43" t="n">
        <v>1</v>
      </c>
      <c r="J2812" s="80">
        <f>H2812*I2812</f>
        <v/>
      </c>
      <c r="K2812" s="43" t="inlineStr">
        <is>
          <t>来源页203</t>
        </is>
      </c>
      <c r="L2812" s="43">
        <f>A2812</f>
        <v/>
      </c>
      <c r="M2812" s="81" t="n"/>
      <c r="N2812" s="81" t="n"/>
      <c r="O2812" s="81" t="n"/>
      <c r="P2812" s="81" t="n"/>
      <c r="Q2812" s="81" t="n"/>
      <c r="R2812" s="81" t="n"/>
      <c r="S2812" s="81" t="n"/>
      <c r="T2812" s="81" t="n"/>
      <c r="U2812" s="81" t="n"/>
      <c r="V2812" s="81" t="n"/>
      <c r="W2812" s="43" t="n"/>
    </row>
    <row r="2813">
      <c r="A2813" s="43" t="inlineStr">
        <is>
          <t>N43b</t>
        </is>
      </c>
      <c r="B2813" s="43" t="inlineStr"/>
      <c r="C2813" s="43" t="inlineStr">
        <is>
          <t>节段16</t>
        </is>
      </c>
      <c r="D2813" s="43" t="inlineStr">
        <is>
          <t>Q420D</t>
        </is>
      </c>
      <c r="E2813" s="43" t="n">
        <v>4929</v>
      </c>
      <c r="F2813" s="43" t="n">
        <v>320</v>
      </c>
      <c r="G2813" s="43" t="n">
        <v>32</v>
      </c>
      <c r="H2813" s="79">
        <f>(E2813/1000)*(F2813/1000)*(G2813/1000)*7850</f>
        <v/>
      </c>
      <c r="I2813" s="43" t="n">
        <v>1</v>
      </c>
      <c r="J2813" s="80">
        <f>H2813*I2813</f>
        <v/>
      </c>
      <c r="K2813" s="43" t="inlineStr">
        <is>
          <t>来源页203</t>
        </is>
      </c>
      <c r="L2813" s="43">
        <f>A2813</f>
        <v/>
      </c>
      <c r="M2813" s="81" t="n"/>
      <c r="N2813" s="81" t="n"/>
      <c r="O2813" s="81" t="n"/>
      <c r="P2813" s="81" t="n"/>
      <c r="Q2813" s="81" t="n"/>
      <c r="R2813" s="81" t="n"/>
      <c r="S2813" s="81" t="n"/>
      <c r="T2813" s="81" t="n"/>
      <c r="U2813" s="81" t="n"/>
      <c r="V2813" s="81" t="n"/>
      <c r="W2813" s="43" t="n"/>
    </row>
    <row r="2814">
      <c r="A2814" s="43" t="inlineStr">
        <is>
          <t>N44</t>
        </is>
      </c>
      <c r="B2814" s="43" t="inlineStr"/>
      <c r="C2814" s="43" t="inlineStr">
        <is>
          <t>节段16</t>
        </is>
      </c>
      <c r="D2814" s="43" t="inlineStr">
        <is>
          <t>Q420D</t>
        </is>
      </c>
      <c r="E2814" s="43" t="n">
        <v>1200</v>
      </c>
      <c r="F2814" s="43" t="n">
        <v>1600</v>
      </c>
      <c r="G2814" s="43" t="n">
        <v>16</v>
      </c>
      <c r="H2814" s="79">
        <f>(E2814/1000)*(F2814/1000)*(G2814/1000)*7850</f>
        <v/>
      </c>
      <c r="I2814" s="43" t="n">
        <v>3</v>
      </c>
      <c r="J2814" s="80">
        <f>H2814*I2814</f>
        <v/>
      </c>
      <c r="K2814" s="43" t="inlineStr">
        <is>
          <t>来源页203</t>
        </is>
      </c>
      <c r="L2814" s="43">
        <f>A2814</f>
        <v/>
      </c>
      <c r="M2814" s="81" t="n"/>
      <c r="N2814" s="81" t="n"/>
      <c r="O2814" s="81" t="n"/>
      <c r="P2814" s="81" t="n"/>
      <c r="Q2814" s="81" t="n"/>
      <c r="R2814" s="81" t="n"/>
      <c r="S2814" s="81" t="n"/>
      <c r="T2814" s="81" t="n"/>
      <c r="U2814" s="81" t="n"/>
      <c r="V2814" s="81" t="n"/>
      <c r="W2814" s="43" t="n"/>
    </row>
    <row r="2815">
      <c r="A2815" s="43" t="inlineStr">
        <is>
          <t>N51</t>
        </is>
      </c>
      <c r="B2815" s="43" t="inlineStr"/>
      <c r="C2815" s="43" t="inlineStr">
        <is>
          <t>节段16</t>
        </is>
      </c>
      <c r="D2815" s="43" t="inlineStr">
        <is>
          <t>Q420D</t>
        </is>
      </c>
      <c r="E2815" s="43" t="n">
        <v>5640</v>
      </c>
      <c r="F2815" s="43" t="n">
        <v>1200</v>
      </c>
      <c r="G2815" s="43" t="n">
        <v>48</v>
      </c>
      <c r="H2815" s="79">
        <f>(E2815/1000)*(F2815/1000)*(G2815/1000)*7850</f>
        <v/>
      </c>
      <c r="I2815" s="43" t="n">
        <v>1</v>
      </c>
      <c r="J2815" s="80">
        <f>H2815*I2815</f>
        <v/>
      </c>
      <c r="K2815" s="43" t="inlineStr">
        <is>
          <t>来源页203</t>
        </is>
      </c>
      <c r="L2815" s="43">
        <f>A2815</f>
        <v/>
      </c>
      <c r="M2815" s="81" t="n"/>
      <c r="N2815" s="81" t="n"/>
      <c r="O2815" s="81" t="n"/>
      <c r="P2815" s="81" t="n"/>
      <c r="Q2815" s="81" t="n"/>
      <c r="R2815" s="81" t="n"/>
      <c r="S2815" s="81" t="n"/>
      <c r="T2815" s="81" t="n"/>
      <c r="U2815" s="81" t="n"/>
      <c r="V2815" s="81" t="n"/>
      <c r="W2815" s="43" t="n"/>
    </row>
    <row r="2816">
      <c r="A2816" s="43" t="inlineStr">
        <is>
          <t>N51a</t>
        </is>
      </c>
      <c r="B2816" s="43" t="inlineStr"/>
      <c r="C2816" s="43" t="inlineStr">
        <is>
          <t>节段16</t>
        </is>
      </c>
      <c r="D2816" s="43" t="inlineStr">
        <is>
          <t>Q420D</t>
        </is>
      </c>
      <c r="E2816" s="43" t="n">
        <v>5740</v>
      </c>
      <c r="F2816" s="43" t="n">
        <v>1200</v>
      </c>
      <c r="G2816" s="43" t="n">
        <v>48</v>
      </c>
      <c r="H2816" s="79">
        <f>(E2816/1000)*(F2816/1000)*(G2816/1000)*7850</f>
        <v/>
      </c>
      <c r="I2816" s="43" t="n">
        <v>1</v>
      </c>
      <c r="J2816" s="80">
        <f>H2816*I2816</f>
        <v/>
      </c>
      <c r="K2816" s="43" t="inlineStr">
        <is>
          <t>来源页203</t>
        </is>
      </c>
      <c r="L2816" s="43">
        <f>A2816</f>
        <v/>
      </c>
      <c r="M2816" s="81" t="n"/>
      <c r="N2816" s="81" t="n"/>
      <c r="O2816" s="81" t="n"/>
      <c r="P2816" s="81" t="n"/>
      <c r="Q2816" s="81" t="n"/>
      <c r="R2816" s="81" t="n"/>
      <c r="S2816" s="81" t="n"/>
      <c r="T2816" s="81" t="n"/>
      <c r="U2816" s="81" t="n"/>
      <c r="V2816" s="81" t="n"/>
      <c r="W2816" s="43" t="n"/>
    </row>
    <row r="2817">
      <c r="A2817" s="43" t="inlineStr">
        <is>
          <t>N52</t>
        </is>
      </c>
      <c r="B2817" s="43" t="inlineStr"/>
      <c r="C2817" s="43" t="inlineStr">
        <is>
          <t>节段16</t>
        </is>
      </c>
      <c r="D2817" s="43" t="inlineStr">
        <is>
          <t>Q420D</t>
        </is>
      </c>
      <c r="E2817" s="43" t="n">
        <v>3640</v>
      </c>
      <c r="F2817" s="43" t="n">
        <v>1760</v>
      </c>
      <c r="G2817" s="43" t="n">
        <v>48</v>
      </c>
      <c r="H2817" s="79">
        <f>(E2817/1000)*(F2817/1000)*(G2817/1000)*7850</f>
        <v/>
      </c>
      <c r="I2817" s="43" t="n">
        <v>2</v>
      </c>
      <c r="J2817" s="80">
        <f>H2817*I2817</f>
        <v/>
      </c>
      <c r="K2817" s="43" t="inlineStr">
        <is>
          <t>来源页203</t>
        </is>
      </c>
      <c r="L2817" s="43">
        <f>A2817</f>
        <v/>
      </c>
      <c r="M2817" s="81" t="n"/>
      <c r="N2817" s="81" t="n"/>
      <c r="O2817" s="81" t="n"/>
      <c r="P2817" s="81" t="n"/>
      <c r="Q2817" s="81" t="n"/>
      <c r="R2817" s="81" t="n"/>
      <c r="S2817" s="81" t="n"/>
      <c r="T2817" s="81" t="n"/>
      <c r="U2817" s="81" t="n"/>
      <c r="V2817" s="81" t="n"/>
      <c r="W2817" s="43" t="n"/>
    </row>
    <row r="2818">
      <c r="A2818" s="43" t="inlineStr">
        <is>
          <t>N53</t>
        </is>
      </c>
      <c r="B2818" s="43" t="inlineStr"/>
      <c r="C2818" s="43" t="inlineStr">
        <is>
          <t>节段16</t>
        </is>
      </c>
      <c r="D2818" s="43" t="inlineStr">
        <is>
          <t>Q420D</t>
        </is>
      </c>
      <c r="E2818" s="43" t="n">
        <v>3640</v>
      </c>
      <c r="F2818" s="43" t="n">
        <v>320</v>
      </c>
      <c r="G2818" s="43" t="n">
        <v>32</v>
      </c>
      <c r="H2818" s="79">
        <f>(E2818/1000)*(F2818/1000)*(G2818/1000)*7850</f>
        <v/>
      </c>
      <c r="I2818" s="43" t="n">
        <v>4</v>
      </c>
      <c r="J2818" s="80">
        <f>H2818*I2818</f>
        <v/>
      </c>
      <c r="K2818" s="43" t="inlineStr">
        <is>
          <t>来源页203</t>
        </is>
      </c>
      <c r="L2818" s="43">
        <f>A2818</f>
        <v/>
      </c>
      <c r="M2818" s="81" t="n"/>
      <c r="N2818" s="81" t="n"/>
      <c r="O2818" s="81" t="n"/>
      <c r="P2818" s="81" t="n"/>
      <c r="Q2818" s="81" t="n"/>
      <c r="R2818" s="81" t="n"/>
      <c r="S2818" s="81" t="n"/>
      <c r="T2818" s="81" t="n"/>
      <c r="U2818" s="81" t="n"/>
      <c r="V2818" s="81" t="n"/>
      <c r="W2818" s="43" t="n"/>
    </row>
    <row r="2819">
      <c r="A2819" s="43" t="inlineStr">
        <is>
          <t>N53a</t>
        </is>
      </c>
      <c r="B2819" s="43" t="inlineStr"/>
      <c r="C2819" s="43" t="inlineStr">
        <is>
          <t>节段16</t>
        </is>
      </c>
      <c r="D2819" s="43" t="inlineStr">
        <is>
          <t>Q420D</t>
        </is>
      </c>
      <c r="E2819" s="43" t="n">
        <v>4940</v>
      </c>
      <c r="F2819" s="43" t="n">
        <v>320</v>
      </c>
      <c r="G2819" s="43" t="n">
        <v>32</v>
      </c>
      <c r="H2819" s="79">
        <f>(E2819/1000)*(F2819/1000)*(G2819/1000)*7850</f>
        <v/>
      </c>
      <c r="I2819" s="43" t="n">
        <v>1</v>
      </c>
      <c r="J2819" s="80">
        <f>H2819*I2819</f>
        <v/>
      </c>
      <c r="K2819" s="43" t="inlineStr">
        <is>
          <t>来源页203</t>
        </is>
      </c>
      <c r="L2819" s="43">
        <f>A2819</f>
        <v/>
      </c>
      <c r="M2819" s="81" t="n"/>
      <c r="N2819" s="81" t="n"/>
      <c r="O2819" s="81" t="n"/>
      <c r="P2819" s="81" t="n"/>
      <c r="Q2819" s="81" t="n"/>
      <c r="R2819" s="81" t="n"/>
      <c r="S2819" s="81" t="n"/>
      <c r="T2819" s="81" t="n"/>
      <c r="U2819" s="81" t="n"/>
      <c r="V2819" s="81" t="n"/>
      <c r="W2819" s="43" t="n"/>
    </row>
    <row r="2820">
      <c r="A2820" s="43" t="inlineStr">
        <is>
          <t>N53b</t>
        </is>
      </c>
      <c r="B2820" s="43" t="inlineStr"/>
      <c r="C2820" s="43" t="inlineStr">
        <is>
          <t>节段16</t>
        </is>
      </c>
      <c r="D2820" s="43" t="inlineStr">
        <is>
          <t>Q420D</t>
        </is>
      </c>
      <c r="E2820" s="43" t="n">
        <v>5040</v>
      </c>
      <c r="F2820" s="43" t="n">
        <v>320</v>
      </c>
      <c r="G2820" s="43" t="n">
        <v>32</v>
      </c>
      <c r="H2820" s="79">
        <f>(E2820/1000)*(F2820/1000)*(G2820/1000)*7850</f>
        <v/>
      </c>
      <c r="I2820" s="43" t="n">
        <v>1</v>
      </c>
      <c r="J2820" s="80">
        <f>H2820*I2820</f>
        <v/>
      </c>
      <c r="K2820" s="43" t="inlineStr">
        <is>
          <t>来源页203</t>
        </is>
      </c>
      <c r="L2820" s="43">
        <f>A2820</f>
        <v/>
      </c>
      <c r="M2820" s="81" t="n"/>
      <c r="N2820" s="81" t="n"/>
      <c r="O2820" s="81" t="n"/>
      <c r="P2820" s="81" t="n"/>
      <c r="Q2820" s="81" t="n"/>
      <c r="R2820" s="81" t="n"/>
      <c r="S2820" s="81" t="n"/>
      <c r="T2820" s="81" t="n"/>
      <c r="U2820" s="81" t="n"/>
      <c r="V2820" s="81" t="n"/>
      <c r="W2820" s="43" t="n"/>
    </row>
    <row r="2821">
      <c r="A2821" s="43" t="inlineStr">
        <is>
          <t>N54</t>
        </is>
      </c>
      <c r="B2821" s="43" t="inlineStr"/>
      <c r="C2821" s="43" t="inlineStr">
        <is>
          <t>节段16</t>
        </is>
      </c>
      <c r="D2821" s="43" t="inlineStr">
        <is>
          <t>Q420D</t>
        </is>
      </c>
      <c r="E2821" s="43" t="n">
        <v>1200</v>
      </c>
      <c r="F2821" s="43" t="n">
        <v>1600</v>
      </c>
      <c r="G2821" s="43" t="n">
        <v>16</v>
      </c>
      <c r="H2821" s="79">
        <f>(E2821/1000)*(F2821/1000)*(G2821/1000)*7850</f>
        <v/>
      </c>
      <c r="I2821" s="43" t="n">
        <v>3</v>
      </c>
      <c r="J2821" s="80">
        <f>H2821*I2821</f>
        <v/>
      </c>
      <c r="K2821" s="43" t="inlineStr">
        <is>
          <t>来源页203</t>
        </is>
      </c>
      <c r="L2821" s="43">
        <f>A2821</f>
        <v/>
      </c>
      <c r="M2821" s="81" t="n"/>
      <c r="N2821" s="81" t="n"/>
      <c r="O2821" s="81" t="n"/>
      <c r="P2821" s="81" t="n"/>
      <c r="Q2821" s="81" t="n"/>
      <c r="R2821" s="81" t="n"/>
      <c r="S2821" s="81" t="n"/>
      <c r="T2821" s="81" t="n"/>
      <c r="U2821" s="81" t="n"/>
      <c r="V2821" s="81" t="n"/>
      <c r="W2821" s="43" t="n"/>
    </row>
    <row r="2822">
      <c r="A2822" s="43" t="inlineStr">
        <is>
          <t>N55</t>
        </is>
      </c>
      <c r="B2822" s="43" t="inlineStr"/>
      <c r="C2822" s="43" t="inlineStr">
        <is>
          <t>节段16</t>
        </is>
      </c>
      <c r="D2822" s="43" t="inlineStr">
        <is>
          <t>Q420D</t>
        </is>
      </c>
      <c r="E2822" s="43" t="n">
        <v>2100</v>
      </c>
      <c r="F2822" s="43" t="n">
        <v>320</v>
      </c>
      <c r="G2822" s="43" t="n">
        <v>32</v>
      </c>
      <c r="H2822" s="79">
        <f>(E2822/1000)*(F2822/1000)*(G2822/1000)*7850</f>
        <v/>
      </c>
      <c r="I2822" s="43" t="n">
        <v>8</v>
      </c>
      <c r="J2822" s="80">
        <f>H2822*I2822</f>
        <v/>
      </c>
      <c r="K2822" s="43" t="inlineStr">
        <is>
          <t>来源页203</t>
        </is>
      </c>
      <c r="L2822" s="43">
        <f>A2822</f>
        <v/>
      </c>
      <c r="M2822" s="81" t="n"/>
      <c r="N2822" s="81" t="n"/>
      <c r="O2822" s="81" t="n"/>
      <c r="P2822" s="81" t="n"/>
      <c r="Q2822" s="81" t="n"/>
      <c r="R2822" s="81" t="n"/>
      <c r="S2822" s="81" t="n"/>
      <c r="T2822" s="81" t="n"/>
      <c r="U2822" s="81" t="n"/>
      <c r="V2822" s="81" t="n"/>
      <c r="W2822" s="43" t="n"/>
    </row>
    <row r="2823">
      <c r="A2823" s="43" t="inlineStr">
        <is>
          <t>N56</t>
        </is>
      </c>
      <c r="B2823" s="43" t="inlineStr"/>
      <c r="C2823" s="43" t="inlineStr">
        <is>
          <t>节段16</t>
        </is>
      </c>
      <c r="D2823" s="43" t="inlineStr">
        <is>
          <t>Q420D</t>
        </is>
      </c>
      <c r="E2823" s="43" t="n">
        <v>2400</v>
      </c>
      <c r="F2823" s="43" t="n">
        <v>320</v>
      </c>
      <c r="G2823" s="43" t="n">
        <v>32</v>
      </c>
      <c r="H2823" s="79">
        <f>(E2823/1000)*(F2823/1000)*(G2823/1000)*7850</f>
        <v/>
      </c>
      <c r="I2823" s="43" t="n">
        <v>8</v>
      </c>
      <c r="J2823" s="80">
        <f>H2823*I2823</f>
        <v/>
      </c>
      <c r="K2823" s="43" t="inlineStr">
        <is>
          <t>来源页203</t>
        </is>
      </c>
      <c r="L2823" s="43">
        <f>A2823</f>
        <v/>
      </c>
      <c r="M2823" s="81" t="n"/>
      <c r="N2823" s="81" t="n"/>
      <c r="O2823" s="81" t="n"/>
      <c r="P2823" s="81" t="n"/>
      <c r="Q2823" s="81" t="n"/>
      <c r="R2823" s="81" t="n"/>
      <c r="S2823" s="81" t="n"/>
      <c r="T2823" s="81" t="n"/>
      <c r="U2823" s="81" t="n"/>
      <c r="V2823" s="81" t="n"/>
      <c r="W2823" s="43" t="n"/>
    </row>
    <row r="2824">
      <c r="A2824" s="43" t="inlineStr">
        <is>
          <t>N61</t>
        </is>
      </c>
      <c r="B2824" s="43" t="inlineStr"/>
      <c r="C2824" s="43" t="inlineStr">
        <is>
          <t>节段16</t>
        </is>
      </c>
      <c r="D2824" s="43" t="inlineStr">
        <is>
          <t>Q355D</t>
        </is>
      </c>
      <c r="E2824" s="43" t="n">
        <v>1560</v>
      </c>
      <c r="F2824" s="43" t="n">
        <v>606</v>
      </c>
      <c r="G2824" s="43" t="n">
        <v>14</v>
      </c>
      <c r="H2824" s="79">
        <f>(E2824/1000)*(F2824/1000)*(G2824/1000)*7850</f>
        <v/>
      </c>
      <c r="I2824" s="43" t="n">
        <v>3</v>
      </c>
      <c r="J2824" s="80">
        <f>H2824*I2824</f>
        <v/>
      </c>
      <c r="K2824" s="43" t="inlineStr">
        <is>
          <t>来源页203</t>
        </is>
      </c>
      <c r="L2824" s="43">
        <f>A2824</f>
        <v/>
      </c>
      <c r="M2824" s="81" t="n"/>
      <c r="N2824" s="81" t="n"/>
      <c r="O2824" s="81" t="n"/>
      <c r="P2824" s="81" t="n"/>
      <c r="Q2824" s="81" t="n"/>
      <c r="R2824" s="81" t="n"/>
      <c r="S2824" s="81" t="n"/>
      <c r="T2824" s="81" t="n"/>
      <c r="U2824" s="81" t="n"/>
      <c r="V2824" s="81" t="n"/>
      <c r="W2824" s="43" t="n"/>
    </row>
    <row r="2825">
      <c r="A2825" s="43" t="inlineStr">
        <is>
          <t>N61a</t>
        </is>
      </c>
      <c r="B2825" s="43" t="inlineStr"/>
      <c r="C2825" s="43" t="inlineStr">
        <is>
          <t>节段16</t>
        </is>
      </c>
      <c r="D2825" s="43" t="inlineStr">
        <is>
          <t>Q355D</t>
        </is>
      </c>
      <c r="E2825" s="43" t="n">
        <v>1560</v>
      </c>
      <c r="F2825" s="43" t="n">
        <v>602</v>
      </c>
      <c r="G2825" s="43" t="n">
        <v>14</v>
      </c>
      <c r="H2825" s="79">
        <f>(E2825/1000)*(F2825/1000)*(G2825/1000)*7850</f>
        <v/>
      </c>
      <c r="I2825" s="43" t="n">
        <v>2</v>
      </c>
      <c r="J2825" s="80">
        <f>H2825*I2825</f>
        <v/>
      </c>
      <c r="K2825" s="43" t="inlineStr">
        <is>
          <t>来源页203</t>
        </is>
      </c>
      <c r="L2825" s="43">
        <f>A2825</f>
        <v/>
      </c>
      <c r="M2825" s="81" t="n"/>
      <c r="N2825" s="81" t="n"/>
      <c r="O2825" s="81" t="n"/>
      <c r="P2825" s="81" t="n"/>
      <c r="Q2825" s="81" t="n"/>
      <c r="R2825" s="81" t="n"/>
      <c r="S2825" s="81" t="n"/>
      <c r="T2825" s="81" t="n"/>
      <c r="U2825" s="81" t="n"/>
      <c r="V2825" s="81" t="n"/>
      <c r="W2825" s="43" t="n"/>
    </row>
    <row r="2826">
      <c r="A2826" s="43" t="inlineStr">
        <is>
          <t>N62</t>
        </is>
      </c>
      <c r="B2826" s="43" t="inlineStr"/>
      <c r="C2826" s="43" t="inlineStr">
        <is>
          <t>节段16</t>
        </is>
      </c>
      <c r="D2826" s="43" t="inlineStr">
        <is>
          <t>Q355D</t>
        </is>
      </c>
      <c r="E2826" s="43" t="n"/>
      <c r="F2826" s="43" t="n"/>
      <c r="G2826" s="43" t="n">
        <v>24</v>
      </c>
      <c r="H2826" s="79">
        <f>(E2826/1000)*(F2826/1000)*(G2826/1000)*7850</f>
        <v/>
      </c>
      <c r="I2826" s="43" t="n">
        <v>3</v>
      </c>
      <c r="J2826" s="80">
        <f>H2826*I2826</f>
        <v/>
      </c>
      <c r="K2826" s="43" t="inlineStr">
        <is>
          <t>来源页203</t>
        </is>
      </c>
      <c r="L2826" s="43">
        <f>A2826</f>
        <v/>
      </c>
      <c r="M2826" s="81" t="n"/>
      <c r="N2826" s="81" t="n"/>
      <c r="O2826" s="81" t="n"/>
      <c r="P2826" s="81" t="n"/>
      <c r="Q2826" s="81" t="n"/>
      <c r="R2826" s="81" t="n"/>
      <c r="S2826" s="81" t="n"/>
      <c r="T2826" s="81" t="n"/>
      <c r="U2826" s="81" t="n"/>
      <c r="V2826" s="81" t="n"/>
      <c r="W2826" s="43" t="n"/>
    </row>
    <row r="2827">
      <c r="A2827" s="43" t="inlineStr">
        <is>
          <t>N62a</t>
        </is>
      </c>
      <c r="B2827" s="43" t="inlineStr"/>
      <c r="C2827" s="43" t="inlineStr">
        <is>
          <t>节段16</t>
        </is>
      </c>
      <c r="D2827" s="43" t="inlineStr">
        <is>
          <t>Q355D</t>
        </is>
      </c>
      <c r="E2827" s="43" t="n"/>
      <c r="F2827" s="43" t="n"/>
      <c r="G2827" s="43" t="n">
        <v>24</v>
      </c>
      <c r="H2827" s="79">
        <f>(E2827/1000)*(F2827/1000)*(G2827/1000)*7850</f>
        <v/>
      </c>
      <c r="I2827" s="43" t="n">
        <v>2</v>
      </c>
      <c r="J2827" s="80">
        <f>H2827*I2827</f>
        <v/>
      </c>
      <c r="K2827" s="43" t="inlineStr">
        <is>
          <t>来源页203</t>
        </is>
      </c>
      <c r="L2827" s="43">
        <f>A2827</f>
        <v/>
      </c>
      <c r="M2827" s="81" t="n"/>
      <c r="N2827" s="81" t="n"/>
      <c r="O2827" s="81" t="n"/>
      <c r="P2827" s="81" t="n"/>
      <c r="Q2827" s="81" t="n"/>
      <c r="R2827" s="81" t="n"/>
      <c r="S2827" s="81" t="n"/>
      <c r="T2827" s="81" t="n"/>
      <c r="U2827" s="81" t="n"/>
      <c r="V2827" s="81" t="n"/>
      <c r="W2827" s="43" t="n"/>
    </row>
    <row r="2828">
      <c r="A2828" s="43" t="inlineStr">
        <is>
          <t>N63</t>
        </is>
      </c>
      <c r="B2828" s="43" t="inlineStr"/>
      <c r="C2828" s="43" t="inlineStr">
        <is>
          <t>节段16</t>
        </is>
      </c>
      <c r="D2828" s="43" t="inlineStr">
        <is>
          <t>Q355D</t>
        </is>
      </c>
      <c r="E2828" s="43" t="n">
        <v>1450</v>
      </c>
      <c r="F2828" s="43" t="n">
        <v>606</v>
      </c>
      <c r="G2828" s="43" t="n">
        <v>14</v>
      </c>
      <c r="H2828" s="79">
        <f>(E2828/1000)*(F2828/1000)*(G2828/1000)*7850</f>
        <v/>
      </c>
      <c r="I2828" s="43" t="n">
        <v>3</v>
      </c>
      <c r="J2828" s="80">
        <f>H2828*I2828</f>
        <v/>
      </c>
      <c r="K2828" s="43" t="inlineStr">
        <is>
          <t>来源页203</t>
        </is>
      </c>
      <c r="L2828" s="43">
        <f>A2828</f>
        <v/>
      </c>
      <c r="M2828" s="81" t="n"/>
      <c r="N2828" s="81" t="n"/>
      <c r="O2828" s="81" t="n"/>
      <c r="P2828" s="81" t="n"/>
      <c r="Q2828" s="81" t="n"/>
      <c r="R2828" s="81" t="n"/>
      <c r="S2828" s="81" t="n"/>
      <c r="T2828" s="81" t="n"/>
      <c r="U2828" s="81" t="n"/>
      <c r="V2828" s="81" t="n"/>
      <c r="W2828" s="43" t="n"/>
    </row>
    <row r="2829">
      <c r="A2829" s="43" t="inlineStr">
        <is>
          <t>N63a</t>
        </is>
      </c>
      <c r="B2829" s="43" t="inlineStr"/>
      <c r="C2829" s="43" t="inlineStr">
        <is>
          <t>节段16</t>
        </is>
      </c>
      <c r="D2829" s="43" t="inlineStr">
        <is>
          <t>Q355D</t>
        </is>
      </c>
      <c r="E2829" s="43" t="n">
        <v>1450</v>
      </c>
      <c r="F2829" s="43" t="n">
        <v>606</v>
      </c>
      <c r="G2829" s="43" t="n">
        <v>14</v>
      </c>
      <c r="H2829" s="79">
        <f>(E2829/1000)*(F2829/1000)*(G2829/1000)*7850</f>
        <v/>
      </c>
      <c r="I2829" s="43" t="n">
        <v>2</v>
      </c>
      <c r="J2829" s="80">
        <f>H2829*I2829</f>
        <v/>
      </c>
      <c r="K2829" s="43" t="inlineStr">
        <is>
          <t>来源页203</t>
        </is>
      </c>
      <c r="L2829" s="43">
        <f>A2829</f>
        <v/>
      </c>
      <c r="M2829" s="81" t="n"/>
      <c r="N2829" s="81" t="n"/>
      <c r="O2829" s="81" t="n"/>
      <c r="P2829" s="81" t="n"/>
      <c r="Q2829" s="81" t="n"/>
      <c r="R2829" s="81" t="n"/>
      <c r="S2829" s="81" t="n"/>
      <c r="T2829" s="81" t="n"/>
      <c r="U2829" s="81" t="n"/>
      <c r="V2829" s="81" t="n"/>
      <c r="W2829" s="43" t="n"/>
    </row>
    <row r="2830">
      <c r="A2830" s="43" t="inlineStr">
        <is>
          <t>P1</t>
        </is>
      </c>
      <c r="B2830" s="43" t="inlineStr">
        <is>
          <t>上弦杆拼接</t>
        </is>
      </c>
      <c r="C2830" s="43" t="inlineStr">
        <is>
          <t>节段16~节段17</t>
        </is>
      </c>
      <c r="D2830" s="43" t="inlineStr">
        <is>
          <t>Q420D</t>
        </is>
      </c>
      <c r="E2830" s="43" t="n">
        <v>1820</v>
      </c>
      <c r="F2830" s="43" t="n">
        <v>1400</v>
      </c>
      <c r="G2830" s="43" t="n">
        <v>40</v>
      </c>
      <c r="H2830" s="79">
        <f>(E2830/1000)*(F2830/1000)*(G2830/1000)*7850</f>
        <v/>
      </c>
      <c r="I2830" s="43" t="n">
        <v>2</v>
      </c>
      <c r="J2830" s="80">
        <f>H2830*I2830</f>
        <v/>
      </c>
      <c r="K2830" s="43" t="inlineStr">
        <is>
          <t>来源页207</t>
        </is>
      </c>
      <c r="L2830" s="43">
        <f>A2830</f>
        <v/>
      </c>
      <c r="M2830" s="81" t="n"/>
      <c r="N2830" s="81" t="n"/>
      <c r="O2830" s="81" t="n"/>
      <c r="P2830" s="81" t="n"/>
      <c r="Q2830" s="81" t="n"/>
      <c r="R2830" s="81" t="n"/>
      <c r="S2830" s="81" t="n"/>
      <c r="T2830" s="81" t="n"/>
      <c r="U2830" s="81" t="n"/>
      <c r="V2830" s="81" t="n"/>
      <c r="W2830" s="43" t="n"/>
    </row>
    <row r="2831">
      <c r="A2831" s="43" t="inlineStr">
        <is>
          <t>P2</t>
        </is>
      </c>
      <c r="B2831" s="43" t="inlineStr">
        <is>
          <t>上弦杆拼接</t>
        </is>
      </c>
      <c r="C2831" s="43" t="inlineStr">
        <is>
          <t>节段16~节段17</t>
        </is>
      </c>
      <c r="D2831" s="43" t="inlineStr">
        <is>
          <t>Q420D</t>
        </is>
      </c>
      <c r="E2831" s="43" t="n">
        <v>1820</v>
      </c>
      <c r="F2831" s="43" t="n">
        <v>300</v>
      </c>
      <c r="G2831" s="43" t="n">
        <v>40</v>
      </c>
      <c r="H2831" s="79">
        <f>(E2831/1000)*(F2831/1000)*(G2831/1000)*7850</f>
        <v/>
      </c>
      <c r="I2831" s="43" t="n">
        <v>2</v>
      </c>
      <c r="J2831" s="80">
        <f>H2831*I2831</f>
        <v/>
      </c>
      <c r="K2831" s="43" t="inlineStr">
        <is>
          <t>来源页207</t>
        </is>
      </c>
      <c r="L2831" s="43">
        <f>A2831</f>
        <v/>
      </c>
      <c r="M2831" s="81" t="n"/>
      <c r="N2831" s="81" t="n"/>
      <c r="O2831" s="81" t="n"/>
      <c r="P2831" s="81" t="n"/>
      <c r="Q2831" s="81" t="n"/>
      <c r="R2831" s="81" t="n"/>
      <c r="S2831" s="81" t="n"/>
      <c r="T2831" s="81" t="n"/>
      <c r="U2831" s="81" t="n"/>
      <c r="V2831" s="81" t="n"/>
      <c r="W2831" s="43" t="n"/>
    </row>
    <row r="2832">
      <c r="A2832" s="43" t="inlineStr">
        <is>
          <t>P3</t>
        </is>
      </c>
      <c r="B2832" s="43" t="inlineStr">
        <is>
          <t>上弦杆拼接</t>
        </is>
      </c>
      <c r="C2832" s="43" t="inlineStr">
        <is>
          <t>节段16~节段17</t>
        </is>
      </c>
      <c r="D2832" s="43" t="inlineStr">
        <is>
          <t>Q420D</t>
        </is>
      </c>
      <c r="E2832" s="43" t="n">
        <v>1820</v>
      </c>
      <c r="F2832" s="43" t="n">
        <v>500</v>
      </c>
      <c r="G2832" s="43" t="n">
        <v>40</v>
      </c>
      <c r="H2832" s="79">
        <f>(E2832/1000)*(F2832/1000)*(G2832/1000)*7850</f>
        <v/>
      </c>
      <c r="I2832" s="43" t="n">
        <v>2</v>
      </c>
      <c r="J2832" s="80">
        <f>H2832*I2832</f>
        <v/>
      </c>
      <c r="K2832" s="43" t="inlineStr">
        <is>
          <t>来源页207</t>
        </is>
      </c>
      <c r="L2832" s="43">
        <f>A2832</f>
        <v/>
      </c>
      <c r="M2832" s="81" t="n"/>
      <c r="N2832" s="81" t="n"/>
      <c r="O2832" s="81" t="n"/>
      <c r="P2832" s="81" t="n"/>
      <c r="Q2832" s="81" t="n"/>
      <c r="R2832" s="81" t="n"/>
      <c r="S2832" s="81" t="n"/>
      <c r="T2832" s="81" t="n"/>
      <c r="U2832" s="81" t="n"/>
      <c r="V2832" s="81" t="n"/>
      <c r="W2832" s="43" t="n"/>
    </row>
    <row r="2833">
      <c r="A2833" s="43" t="inlineStr">
        <is>
          <t>P4</t>
        </is>
      </c>
      <c r="B2833" s="43" t="inlineStr">
        <is>
          <t>上弦杆拼接</t>
        </is>
      </c>
      <c r="C2833" s="43" t="inlineStr">
        <is>
          <t>节段16~节段17</t>
        </is>
      </c>
      <c r="D2833" s="43" t="inlineStr">
        <is>
          <t>Q420D</t>
        </is>
      </c>
      <c r="E2833" s="43" t="n">
        <v>1820</v>
      </c>
      <c r="F2833" s="43" t="n">
        <v>400</v>
      </c>
      <c r="G2833" s="43" t="n">
        <v>40</v>
      </c>
      <c r="H2833" s="79">
        <f>(E2833/1000)*(F2833/1000)*(G2833/1000)*7850</f>
        <v/>
      </c>
      <c r="I2833" s="43" t="n">
        <v>2</v>
      </c>
      <c r="J2833" s="80">
        <f>H2833*I2833</f>
        <v/>
      </c>
      <c r="K2833" s="43" t="inlineStr">
        <is>
          <t>来源页207</t>
        </is>
      </c>
      <c r="L2833" s="43">
        <f>A2833</f>
        <v/>
      </c>
      <c r="M2833" s="81" t="n"/>
      <c r="N2833" s="81" t="n"/>
      <c r="O2833" s="81" t="n"/>
      <c r="P2833" s="81" t="n"/>
      <c r="Q2833" s="81" t="n"/>
      <c r="R2833" s="81" t="n"/>
      <c r="S2833" s="81" t="n"/>
      <c r="T2833" s="81" t="n"/>
      <c r="U2833" s="81" t="n"/>
      <c r="V2833" s="81" t="n"/>
      <c r="W2833" s="43" t="n"/>
    </row>
    <row r="2834">
      <c r="A2834" s="43" t="inlineStr">
        <is>
          <t>P5</t>
        </is>
      </c>
      <c r="B2834" s="43" t="inlineStr">
        <is>
          <t>上弦杆拼接</t>
        </is>
      </c>
      <c r="C2834" s="43" t="inlineStr">
        <is>
          <t>节段16~节段17</t>
        </is>
      </c>
      <c r="D2834" s="43" t="inlineStr">
        <is>
          <t>Q420D</t>
        </is>
      </c>
      <c r="E2834" s="43" t="n">
        <v>1720</v>
      </c>
      <c r="F2834" s="43" t="n">
        <v>1100</v>
      </c>
      <c r="G2834" s="43" t="n">
        <v>44</v>
      </c>
      <c r="H2834" s="79">
        <f>(E2834/1000)*(F2834/1000)*(G2834/1000)*7850</f>
        <v/>
      </c>
      <c r="I2834" s="43" t="n">
        <v>1</v>
      </c>
      <c r="J2834" s="80">
        <f>H2834*I2834</f>
        <v/>
      </c>
      <c r="K2834" s="43" t="inlineStr">
        <is>
          <t>来源页207</t>
        </is>
      </c>
      <c r="L2834" s="43">
        <f>A2834</f>
        <v/>
      </c>
      <c r="M2834" s="81" t="n"/>
      <c r="N2834" s="81" t="n"/>
      <c r="O2834" s="81" t="n"/>
      <c r="P2834" s="81" t="n"/>
      <c r="Q2834" s="81" t="n"/>
      <c r="R2834" s="81" t="n"/>
      <c r="S2834" s="81" t="n"/>
      <c r="T2834" s="81" t="n"/>
      <c r="U2834" s="81" t="n"/>
      <c r="V2834" s="81" t="n"/>
      <c r="W2834" s="43" t="n"/>
    </row>
    <row r="2835">
      <c r="A2835" s="43" t="inlineStr">
        <is>
          <t>P6</t>
        </is>
      </c>
      <c r="B2835" s="43" t="inlineStr">
        <is>
          <t>上弦杆拼接</t>
        </is>
      </c>
      <c r="C2835" s="43" t="inlineStr">
        <is>
          <t>节段16~节段17</t>
        </is>
      </c>
      <c r="D2835" s="43" t="inlineStr">
        <is>
          <t>Q420D</t>
        </is>
      </c>
      <c r="E2835" s="43" t="n">
        <v>1720</v>
      </c>
      <c r="F2835" s="43" t="n">
        <v>400</v>
      </c>
      <c r="G2835" s="43" t="n">
        <v>44</v>
      </c>
      <c r="H2835" s="79">
        <f>(E2835/1000)*(F2835/1000)*(G2835/1000)*7850</f>
        <v/>
      </c>
      <c r="I2835" s="43" t="n">
        <v>2</v>
      </c>
      <c r="J2835" s="80">
        <f>H2835*I2835</f>
        <v/>
      </c>
      <c r="K2835" s="43" t="inlineStr">
        <is>
          <t>来源页207</t>
        </is>
      </c>
      <c r="L2835" s="43">
        <f>A2835</f>
        <v/>
      </c>
      <c r="M2835" s="81" t="n"/>
      <c r="N2835" s="81" t="n"/>
      <c r="O2835" s="81" t="n"/>
      <c r="P2835" s="81" t="n"/>
      <c r="Q2835" s="81" t="n"/>
      <c r="R2835" s="81" t="n"/>
      <c r="S2835" s="81" t="n"/>
      <c r="T2835" s="81" t="n"/>
      <c r="U2835" s="81" t="n"/>
      <c r="V2835" s="81" t="n"/>
      <c r="W2835" s="43" t="n"/>
    </row>
    <row r="2836">
      <c r="A2836" s="43" t="inlineStr">
        <is>
          <t>P7</t>
        </is>
      </c>
      <c r="B2836" s="43" t="inlineStr">
        <is>
          <t>上弦杆拼接</t>
        </is>
      </c>
      <c r="C2836" s="43" t="inlineStr">
        <is>
          <t>节段16~节段17</t>
        </is>
      </c>
      <c r="D2836" s="43" t="inlineStr">
        <is>
          <t>Q420D</t>
        </is>
      </c>
      <c r="E2836" s="43" t="n">
        <v>1320</v>
      </c>
      <c r="F2836" s="43" t="n">
        <v>240</v>
      </c>
      <c r="G2836" s="43" t="n">
        <v>24</v>
      </c>
      <c r="H2836" s="79">
        <f>(E2836/1000)*(F2836/1000)*(G2836/1000)*7850</f>
        <v/>
      </c>
      <c r="I2836" s="43" t="n">
        <v>10</v>
      </c>
      <c r="J2836" s="80">
        <f>H2836*I2836</f>
        <v/>
      </c>
      <c r="K2836" s="43" t="inlineStr">
        <is>
          <t>来源页207</t>
        </is>
      </c>
      <c r="L2836" s="43">
        <f>A2836</f>
        <v/>
      </c>
      <c r="M2836" s="81" t="n"/>
      <c r="N2836" s="81" t="n"/>
      <c r="O2836" s="81" t="n"/>
      <c r="P2836" s="81" t="n"/>
      <c r="Q2836" s="81" t="n"/>
      <c r="R2836" s="81" t="n"/>
      <c r="S2836" s="81" t="n"/>
      <c r="T2836" s="81" t="n"/>
      <c r="U2836" s="81" t="n"/>
      <c r="V2836" s="81" t="n"/>
      <c r="W2836" s="43" t="n"/>
    </row>
    <row r="2837">
      <c r="A2837" s="43" t="inlineStr">
        <is>
          <t>M30高强螺栓</t>
        </is>
      </c>
      <c r="B2837" s="43" t="inlineStr">
        <is>
          <t>上弦杆拼接</t>
        </is>
      </c>
      <c r="C2837" s="43" t="inlineStr">
        <is>
          <t>节段16~节段17</t>
        </is>
      </c>
      <c r="D2837" s="43" t="inlineStr">
        <is>
          <t>10.9S</t>
        </is>
      </c>
      <c r="E2837" s="43" t="n"/>
      <c r="F2837" s="43" t="n"/>
      <c r="G2837" s="43" t="n"/>
      <c r="H2837" s="79">
        <f>(E2837/1000)*(F2837/1000)*(G2837/1000)*7850</f>
        <v/>
      </c>
      <c r="I2837" s="43" t="n">
        <v>652</v>
      </c>
      <c r="J2837" s="80">
        <f>H2837*I2837</f>
        <v/>
      </c>
      <c r="K2837" s="43" t="inlineStr">
        <is>
          <t>来源页207</t>
        </is>
      </c>
      <c r="L2837" s="43">
        <f>A2837</f>
        <v/>
      </c>
      <c r="M2837" s="81" t="n"/>
      <c r="N2837" s="81" t="n"/>
      <c r="O2837" s="81" t="n"/>
      <c r="P2837" s="81" t="n"/>
      <c r="Q2837" s="81" t="n"/>
      <c r="R2837" s="81" t="n"/>
      <c r="S2837" s="81" t="n"/>
      <c r="T2837" s="81" t="n"/>
      <c r="U2837" s="81" t="n"/>
      <c r="V2837" s="81" t="n"/>
      <c r="W2837" s="43" t="n"/>
    </row>
    <row r="2838">
      <c r="A2838" s="43" t="inlineStr">
        <is>
          <t>K1</t>
        </is>
      </c>
      <c r="B2838" s="43" t="inlineStr">
        <is>
          <t>下弦杆拼接</t>
        </is>
      </c>
      <c r="C2838" s="43" t="inlineStr">
        <is>
          <t>节段16~节段17</t>
        </is>
      </c>
      <c r="D2838" s="43" t="inlineStr">
        <is>
          <t>Q420D</t>
        </is>
      </c>
      <c r="E2838" s="43" t="n">
        <v>1220</v>
      </c>
      <c r="F2838" s="43" t="n">
        <v>1300</v>
      </c>
      <c r="G2838" s="43" t="n">
        <v>28</v>
      </c>
      <c r="H2838" s="79">
        <f>(E2838/1000)*(F2838/1000)*(G2838/1000)*7850</f>
        <v/>
      </c>
      <c r="I2838" s="43" t="n">
        <v>2</v>
      </c>
      <c r="J2838" s="80">
        <f>H2838*I2838</f>
        <v/>
      </c>
      <c r="K2838" s="43" t="inlineStr">
        <is>
          <t>来源页207</t>
        </is>
      </c>
      <c r="L2838" s="43">
        <f>A2838</f>
        <v/>
      </c>
      <c r="M2838" s="81" t="n"/>
      <c r="N2838" s="81" t="n"/>
      <c r="O2838" s="81" t="n"/>
      <c r="P2838" s="81" t="n"/>
      <c r="Q2838" s="81" t="n"/>
      <c r="R2838" s="81" t="n"/>
      <c r="S2838" s="81" t="n"/>
      <c r="T2838" s="81" t="n"/>
      <c r="U2838" s="81" t="n"/>
      <c r="V2838" s="81" t="n"/>
      <c r="W2838" s="43" t="n"/>
    </row>
    <row r="2839">
      <c r="A2839" s="43" t="inlineStr">
        <is>
          <t>K2</t>
        </is>
      </c>
      <c r="B2839" s="43" t="inlineStr">
        <is>
          <t>下弦杆拼接</t>
        </is>
      </c>
      <c r="C2839" s="43" t="inlineStr">
        <is>
          <t>节段16~节段17</t>
        </is>
      </c>
      <c r="D2839" s="43" t="inlineStr">
        <is>
          <t>Q420D</t>
        </is>
      </c>
      <c r="E2839" s="43" t="n">
        <v>1220</v>
      </c>
      <c r="F2839" s="43" t="n">
        <v>600</v>
      </c>
      <c r="G2839" s="43" t="n">
        <v>28</v>
      </c>
      <c r="H2839" s="79">
        <f>(E2839/1000)*(F2839/1000)*(G2839/1000)*7850</f>
        <v/>
      </c>
      <c r="I2839" s="43" t="n">
        <v>4</v>
      </c>
      <c r="J2839" s="80">
        <f>H2839*I2839</f>
        <v/>
      </c>
      <c r="K2839" s="43" t="inlineStr">
        <is>
          <t>来源页207</t>
        </is>
      </c>
      <c r="L2839" s="43">
        <f>A2839</f>
        <v/>
      </c>
      <c r="M2839" s="81" t="n"/>
      <c r="N2839" s="81" t="n"/>
      <c r="O2839" s="81" t="n"/>
      <c r="P2839" s="81" t="n"/>
      <c r="Q2839" s="81" t="n"/>
      <c r="R2839" s="81" t="n"/>
      <c r="S2839" s="81" t="n"/>
      <c r="T2839" s="81" t="n"/>
      <c r="U2839" s="81" t="n"/>
      <c r="V2839" s="81" t="n"/>
      <c r="W2839" s="43" t="n"/>
    </row>
    <row r="2840">
      <c r="A2840" s="43" t="inlineStr">
        <is>
          <t>K3</t>
        </is>
      </c>
      <c r="B2840" s="43" t="inlineStr">
        <is>
          <t>下弦杆拼接</t>
        </is>
      </c>
      <c r="C2840" s="43" t="inlineStr">
        <is>
          <t>节段16~节段17</t>
        </is>
      </c>
      <c r="D2840" s="43" t="inlineStr">
        <is>
          <t>Q420D</t>
        </is>
      </c>
      <c r="E2840" s="43" t="n">
        <v>1520</v>
      </c>
      <c r="F2840" s="43" t="n">
        <v>1100</v>
      </c>
      <c r="G2840" s="43" t="n">
        <v>36</v>
      </c>
      <c r="H2840" s="79">
        <f>(E2840/1000)*(F2840/1000)*(G2840/1000)*7850</f>
        <v/>
      </c>
      <c r="I2840" s="43" t="n">
        <v>1</v>
      </c>
      <c r="J2840" s="80">
        <f>H2840*I2840</f>
        <v/>
      </c>
      <c r="K2840" s="43" t="inlineStr">
        <is>
          <t>来源页207</t>
        </is>
      </c>
      <c r="L2840" s="43">
        <f>A2840</f>
        <v/>
      </c>
      <c r="M2840" s="81" t="n"/>
      <c r="N2840" s="81" t="n"/>
      <c r="O2840" s="81" t="n"/>
      <c r="P2840" s="81" t="n"/>
      <c r="Q2840" s="81" t="n"/>
      <c r="R2840" s="81" t="n"/>
      <c r="S2840" s="81" t="n"/>
      <c r="T2840" s="81" t="n"/>
      <c r="U2840" s="81" t="n"/>
      <c r="V2840" s="81" t="n"/>
      <c r="W2840" s="43" t="n"/>
    </row>
    <row r="2841">
      <c r="A2841" s="43" t="inlineStr">
        <is>
          <t>K4</t>
        </is>
      </c>
      <c r="B2841" s="43" t="inlineStr">
        <is>
          <t>下弦杆拼接</t>
        </is>
      </c>
      <c r="C2841" s="43" t="inlineStr">
        <is>
          <t>节段16~节段17</t>
        </is>
      </c>
      <c r="D2841" s="43" t="inlineStr">
        <is>
          <t>Q420D</t>
        </is>
      </c>
      <c r="E2841" s="43" t="n">
        <v>1520</v>
      </c>
      <c r="F2841" s="43" t="n">
        <v>400</v>
      </c>
      <c r="G2841" s="43" t="n">
        <v>36</v>
      </c>
      <c r="H2841" s="79">
        <f>(E2841/1000)*(F2841/1000)*(G2841/1000)*7850</f>
        <v/>
      </c>
      <c r="I2841" s="43" t="n">
        <v>2</v>
      </c>
      <c r="J2841" s="80">
        <f>H2841*I2841</f>
        <v/>
      </c>
      <c r="K2841" s="43" t="inlineStr">
        <is>
          <t>来源页207</t>
        </is>
      </c>
      <c r="L2841" s="43">
        <f>A2841</f>
        <v/>
      </c>
      <c r="M2841" s="81" t="n"/>
      <c r="N2841" s="81" t="n"/>
      <c r="O2841" s="81" t="n"/>
      <c r="P2841" s="81" t="n"/>
      <c r="Q2841" s="81" t="n"/>
      <c r="R2841" s="81" t="n"/>
      <c r="S2841" s="81" t="n"/>
      <c r="T2841" s="81" t="n"/>
      <c r="U2841" s="81" t="n"/>
      <c r="V2841" s="81" t="n"/>
      <c r="W2841" s="43" t="n"/>
    </row>
    <row r="2842">
      <c r="A2842" s="43" t="inlineStr">
        <is>
          <t>K6</t>
        </is>
      </c>
      <c r="B2842" s="43" t="inlineStr">
        <is>
          <t>下弦杆拼接</t>
        </is>
      </c>
      <c r="C2842" s="43" t="inlineStr">
        <is>
          <t>节段16~节段17</t>
        </is>
      </c>
      <c r="D2842" s="43" t="inlineStr">
        <is>
          <t>Q420D</t>
        </is>
      </c>
      <c r="E2842" s="43" t="n">
        <v>600</v>
      </c>
      <c r="F2842" s="43" t="n">
        <v>1300</v>
      </c>
      <c r="G2842" s="43" t="n">
        <v>4</v>
      </c>
      <c r="H2842" s="79">
        <f>(E2842/1000)*(F2842/1000)*(G2842/1000)*7850</f>
        <v/>
      </c>
      <c r="I2842" s="43" t="n">
        <v>1</v>
      </c>
      <c r="J2842" s="80">
        <f>H2842*I2842</f>
        <v/>
      </c>
      <c r="K2842" s="43" t="inlineStr">
        <is>
          <t>填板；来源页207</t>
        </is>
      </c>
      <c r="L2842" s="43">
        <f>A2842</f>
        <v/>
      </c>
      <c r="M2842" s="81" t="n"/>
      <c r="N2842" s="81" t="n"/>
      <c r="O2842" s="81" t="n"/>
      <c r="P2842" s="81" t="n"/>
      <c r="Q2842" s="81" t="n"/>
      <c r="R2842" s="81" t="n"/>
      <c r="S2842" s="81" t="n"/>
      <c r="T2842" s="81" t="n"/>
      <c r="U2842" s="81" t="n"/>
      <c r="V2842" s="81" t="n"/>
      <c r="W2842" s="43" t="n"/>
    </row>
    <row r="2843">
      <c r="A2843" s="43" t="inlineStr">
        <is>
          <t>M30高强螺栓</t>
        </is>
      </c>
      <c r="B2843" s="43" t="inlineStr">
        <is>
          <t>下弦杆拼接</t>
        </is>
      </c>
      <c r="C2843" s="43" t="inlineStr">
        <is>
          <t>节段16~节段17</t>
        </is>
      </c>
      <c r="D2843" s="43" t="inlineStr">
        <is>
          <t>10.9S</t>
        </is>
      </c>
      <c r="E2843" s="43" t="n"/>
      <c r="F2843" s="43" t="n"/>
      <c r="G2843" s="43" t="n"/>
      <c r="H2843" s="79">
        <f>(E2843/1000)*(F2843/1000)*(G2843/1000)*7850</f>
        <v/>
      </c>
      <c r="I2843" s="43" t="n">
        <v>484</v>
      </c>
      <c r="J2843" s="80">
        <f>H2843*I2843</f>
        <v/>
      </c>
      <c r="K2843" s="43" t="inlineStr">
        <is>
          <t>来源页207</t>
        </is>
      </c>
      <c r="L2843" s="43">
        <f>A2843</f>
        <v/>
      </c>
      <c r="M2843" s="81" t="n"/>
      <c r="N2843" s="81" t="n"/>
      <c r="O2843" s="81" t="n"/>
      <c r="P2843" s="81" t="n"/>
      <c r="Q2843" s="81" t="n"/>
      <c r="R2843" s="81" t="n"/>
      <c r="S2843" s="81" t="n"/>
      <c r="T2843" s="81" t="n"/>
      <c r="U2843" s="81" t="n"/>
      <c r="V2843" s="81" t="n"/>
      <c r="W2843" s="43" t="n"/>
    </row>
    <row r="2844">
      <c r="A2844" s="43" t="inlineStr">
        <is>
          <t>L1</t>
        </is>
      </c>
      <c r="B2844" s="43" t="inlineStr">
        <is>
          <t>腹杆拼接</t>
        </is>
      </c>
      <c r="C2844" s="43" t="inlineStr">
        <is>
          <t>节段16~节段17</t>
        </is>
      </c>
      <c r="D2844" s="43" t="inlineStr">
        <is>
          <t>Q420D</t>
        </is>
      </c>
      <c r="E2844" s="43" t="n">
        <v>1520</v>
      </c>
      <c r="F2844" s="43" t="n">
        <v>1500</v>
      </c>
      <c r="G2844" s="43" t="n">
        <v>32</v>
      </c>
      <c r="H2844" s="79">
        <f>(E2844/1000)*(F2844/1000)*(G2844/1000)*7850</f>
        <v/>
      </c>
      <c r="I2844" s="43" t="n">
        <v>2</v>
      </c>
      <c r="J2844" s="80">
        <f>H2844*I2844</f>
        <v/>
      </c>
      <c r="K2844" s="43" t="inlineStr">
        <is>
          <t>来源页207</t>
        </is>
      </c>
      <c r="L2844" s="43">
        <f>A2844</f>
        <v/>
      </c>
      <c r="M2844" s="81" t="n"/>
      <c r="N2844" s="81" t="n"/>
      <c r="O2844" s="81" t="n"/>
      <c r="P2844" s="81" t="n"/>
      <c r="Q2844" s="81" t="n"/>
      <c r="R2844" s="81" t="n"/>
      <c r="S2844" s="81" t="n"/>
      <c r="T2844" s="81" t="n"/>
      <c r="U2844" s="81" t="n"/>
      <c r="V2844" s="81" t="n"/>
      <c r="W2844" s="43" t="n"/>
    </row>
    <row r="2845">
      <c r="A2845" s="43" t="inlineStr">
        <is>
          <t>L2</t>
        </is>
      </c>
      <c r="B2845" s="43" t="inlineStr">
        <is>
          <t>腹杆拼接</t>
        </is>
      </c>
      <c r="C2845" s="43" t="inlineStr">
        <is>
          <t>节段16~节段17</t>
        </is>
      </c>
      <c r="D2845" s="43" t="inlineStr">
        <is>
          <t>Q420D</t>
        </is>
      </c>
      <c r="E2845" s="43" t="n">
        <v>1520</v>
      </c>
      <c r="F2845" s="43" t="n">
        <v>400</v>
      </c>
      <c r="G2845" s="43" t="n">
        <v>32</v>
      </c>
      <c r="H2845" s="79">
        <f>(E2845/1000)*(F2845/1000)*(G2845/1000)*7850</f>
        <v/>
      </c>
      <c r="I2845" s="43" t="n">
        <v>4</v>
      </c>
      <c r="J2845" s="80">
        <f>H2845*I2845</f>
        <v/>
      </c>
      <c r="K2845" s="43" t="inlineStr">
        <is>
          <t>来源页207</t>
        </is>
      </c>
      <c r="L2845" s="43">
        <f>A2845</f>
        <v/>
      </c>
      <c r="M2845" s="81" t="n"/>
      <c r="N2845" s="81" t="n"/>
      <c r="O2845" s="81" t="n"/>
      <c r="P2845" s="81" t="n"/>
      <c r="Q2845" s="81" t="n"/>
      <c r="R2845" s="81" t="n"/>
      <c r="S2845" s="81" t="n"/>
      <c r="T2845" s="81" t="n"/>
      <c r="U2845" s="81" t="n"/>
      <c r="V2845" s="81" t="n"/>
      <c r="W2845" s="43" t="n"/>
    </row>
    <row r="2846">
      <c r="A2846" s="43" t="inlineStr">
        <is>
          <t>L3</t>
        </is>
      </c>
      <c r="B2846" s="43" t="inlineStr">
        <is>
          <t>腹杆拼接</t>
        </is>
      </c>
      <c r="C2846" s="43" t="inlineStr">
        <is>
          <t>节段16~节段17</t>
        </is>
      </c>
      <c r="D2846" s="43" t="inlineStr">
        <is>
          <t>Q420D</t>
        </is>
      </c>
      <c r="E2846" s="43" t="n">
        <v>1520</v>
      </c>
      <c r="F2846" s="43" t="n">
        <v>500</v>
      </c>
      <c r="G2846" s="43" t="n">
        <v>32</v>
      </c>
      <c r="H2846" s="79">
        <f>(E2846/1000)*(F2846/1000)*(G2846/1000)*7850</f>
        <v/>
      </c>
      <c r="I2846" s="43" t="n">
        <v>2</v>
      </c>
      <c r="J2846" s="80">
        <f>H2846*I2846</f>
        <v/>
      </c>
      <c r="K2846" s="43" t="inlineStr">
        <is>
          <t>来源页207</t>
        </is>
      </c>
      <c r="L2846" s="43">
        <f>A2846</f>
        <v/>
      </c>
      <c r="M2846" s="81" t="n"/>
      <c r="N2846" s="81" t="n"/>
      <c r="O2846" s="81" t="n"/>
      <c r="P2846" s="81" t="n"/>
      <c r="Q2846" s="81" t="n"/>
      <c r="R2846" s="81" t="n"/>
      <c r="S2846" s="81" t="n"/>
      <c r="T2846" s="81" t="n"/>
      <c r="U2846" s="81" t="n"/>
      <c r="V2846" s="81" t="n"/>
      <c r="W2846" s="43" t="n"/>
    </row>
    <row r="2847">
      <c r="A2847" s="43" t="inlineStr">
        <is>
          <t>L4</t>
        </is>
      </c>
      <c r="B2847" s="43" t="inlineStr">
        <is>
          <t>腹杆拼接</t>
        </is>
      </c>
      <c r="C2847" s="43" t="inlineStr">
        <is>
          <t>节段16~节段17</t>
        </is>
      </c>
      <c r="D2847" s="43" t="inlineStr">
        <is>
          <t>Q420D</t>
        </is>
      </c>
      <c r="E2847" s="43" t="n">
        <v>1520</v>
      </c>
      <c r="F2847" s="43" t="n">
        <v>1100</v>
      </c>
      <c r="G2847" s="43" t="n">
        <v>28</v>
      </c>
      <c r="H2847" s="79">
        <f>(E2847/1000)*(F2847/1000)*(G2847/1000)*7850</f>
        <v/>
      </c>
      <c r="I2847" s="43" t="n">
        <v>1</v>
      </c>
      <c r="J2847" s="80">
        <f>H2847*I2847</f>
        <v/>
      </c>
      <c r="K2847" s="43" t="inlineStr">
        <is>
          <t>来源页207</t>
        </is>
      </c>
      <c r="L2847" s="43">
        <f>A2847</f>
        <v/>
      </c>
      <c r="M2847" s="81" t="n"/>
      <c r="N2847" s="81" t="n"/>
      <c r="O2847" s="81" t="n"/>
      <c r="P2847" s="81" t="n"/>
      <c r="Q2847" s="81" t="n"/>
      <c r="R2847" s="81" t="n"/>
      <c r="S2847" s="81" t="n"/>
      <c r="T2847" s="81" t="n"/>
      <c r="U2847" s="81" t="n"/>
      <c r="V2847" s="81" t="n"/>
      <c r="W2847" s="43" t="n"/>
    </row>
    <row r="2848">
      <c r="A2848" s="43" t="inlineStr">
        <is>
          <t>L5</t>
        </is>
      </c>
      <c r="B2848" s="43" t="inlineStr">
        <is>
          <t>腹杆拼接</t>
        </is>
      </c>
      <c r="C2848" s="43" t="inlineStr">
        <is>
          <t>节段16~节段17</t>
        </is>
      </c>
      <c r="D2848" s="43" t="inlineStr">
        <is>
          <t>Q420D</t>
        </is>
      </c>
      <c r="E2848" s="43" t="n">
        <v>1520</v>
      </c>
      <c r="F2848" s="43" t="n">
        <v>500</v>
      </c>
      <c r="G2848" s="43" t="n">
        <v>28</v>
      </c>
      <c r="H2848" s="79">
        <f>(E2848/1000)*(F2848/1000)*(G2848/1000)*7850</f>
        <v/>
      </c>
      <c r="I2848" s="43" t="n">
        <v>2</v>
      </c>
      <c r="J2848" s="80">
        <f>H2848*I2848</f>
        <v/>
      </c>
      <c r="K2848" s="43" t="inlineStr">
        <is>
          <t>来源页207</t>
        </is>
      </c>
      <c r="L2848" s="43">
        <f>A2848</f>
        <v/>
      </c>
      <c r="M2848" s="81" t="n"/>
      <c r="N2848" s="81" t="n"/>
      <c r="O2848" s="81" t="n"/>
      <c r="P2848" s="81" t="n"/>
      <c r="Q2848" s="81" t="n"/>
      <c r="R2848" s="81" t="n"/>
      <c r="S2848" s="81" t="n"/>
      <c r="T2848" s="81" t="n"/>
      <c r="U2848" s="81" t="n"/>
      <c r="V2848" s="81" t="n"/>
      <c r="W2848" s="43" t="n"/>
    </row>
    <row r="2849">
      <c r="A2849" s="43" t="inlineStr">
        <is>
          <t>L6</t>
        </is>
      </c>
      <c r="B2849" s="43" t="inlineStr">
        <is>
          <t>腹杆拼接</t>
        </is>
      </c>
      <c r="C2849" s="43" t="inlineStr">
        <is>
          <t>节段16~节段17</t>
        </is>
      </c>
      <c r="D2849" s="43" t="inlineStr">
        <is>
          <t>Q420D</t>
        </is>
      </c>
      <c r="E2849" s="43" t="n">
        <v>1520</v>
      </c>
      <c r="F2849" s="43" t="n">
        <v>1100</v>
      </c>
      <c r="G2849" s="43" t="n">
        <v>40</v>
      </c>
      <c r="H2849" s="79">
        <f>(E2849/1000)*(F2849/1000)*(G2849/1000)*7850</f>
        <v/>
      </c>
      <c r="I2849" s="43" t="n">
        <v>1</v>
      </c>
      <c r="J2849" s="80">
        <f>H2849*I2849</f>
        <v/>
      </c>
      <c r="K2849" s="43" t="inlineStr">
        <is>
          <t>来源页207</t>
        </is>
      </c>
      <c r="L2849" s="43">
        <f>A2849</f>
        <v/>
      </c>
      <c r="M2849" s="81" t="n"/>
      <c r="N2849" s="81" t="n"/>
      <c r="O2849" s="81" t="n"/>
      <c r="P2849" s="81" t="n"/>
      <c r="Q2849" s="81" t="n"/>
      <c r="R2849" s="81" t="n"/>
      <c r="S2849" s="81" t="n"/>
      <c r="T2849" s="81" t="n"/>
      <c r="U2849" s="81" t="n"/>
      <c r="V2849" s="81" t="n"/>
      <c r="W2849" s="43" t="n"/>
    </row>
    <row r="2850">
      <c r="A2850" s="43" t="inlineStr">
        <is>
          <t>L7</t>
        </is>
      </c>
      <c r="B2850" s="43" t="inlineStr">
        <is>
          <t>腹杆拼接</t>
        </is>
      </c>
      <c r="C2850" s="43" t="inlineStr">
        <is>
          <t>节段16~节段17</t>
        </is>
      </c>
      <c r="D2850" s="43" t="inlineStr">
        <is>
          <t>Q420D</t>
        </is>
      </c>
      <c r="E2850" s="43" t="n">
        <v>1520</v>
      </c>
      <c r="F2850" s="43" t="n">
        <v>400</v>
      </c>
      <c r="G2850" s="43" t="n">
        <v>40</v>
      </c>
      <c r="H2850" s="79">
        <f>(E2850/1000)*(F2850/1000)*(G2850/1000)*7850</f>
        <v/>
      </c>
      <c r="I2850" s="43" t="n">
        <v>2</v>
      </c>
      <c r="J2850" s="80">
        <f>H2850*I2850</f>
        <v/>
      </c>
      <c r="K2850" s="43" t="inlineStr">
        <is>
          <t>来源页207</t>
        </is>
      </c>
      <c r="L2850" s="43">
        <f>A2850</f>
        <v/>
      </c>
      <c r="M2850" s="81" t="n"/>
      <c r="N2850" s="81" t="n"/>
      <c r="O2850" s="81" t="n"/>
      <c r="P2850" s="81" t="n"/>
      <c r="Q2850" s="81" t="n"/>
      <c r="R2850" s="81" t="n"/>
      <c r="S2850" s="81" t="n"/>
      <c r="T2850" s="81" t="n"/>
      <c r="U2850" s="81" t="n"/>
      <c r="V2850" s="81" t="n"/>
      <c r="W2850" s="43" t="n"/>
    </row>
    <row r="2851">
      <c r="A2851" s="43" t="inlineStr">
        <is>
          <t>L8</t>
        </is>
      </c>
      <c r="B2851" s="43" t="inlineStr">
        <is>
          <t>腹杆拼接</t>
        </is>
      </c>
      <c r="C2851" s="43" t="inlineStr">
        <is>
          <t>节段16~节段17</t>
        </is>
      </c>
      <c r="D2851" s="43" t="inlineStr">
        <is>
          <t>Q420D</t>
        </is>
      </c>
      <c r="E2851" s="43" t="n">
        <v>1320</v>
      </c>
      <c r="F2851" s="43" t="n">
        <v>240</v>
      </c>
      <c r="G2851" s="43" t="n">
        <v>24</v>
      </c>
      <c r="H2851" s="79">
        <f>(E2851/1000)*(F2851/1000)*(G2851/1000)*7850</f>
        <v/>
      </c>
      <c r="I2851" s="43" t="n">
        <v>10</v>
      </c>
      <c r="J2851" s="80">
        <f>H2851*I2851</f>
        <v/>
      </c>
      <c r="K2851" s="43" t="inlineStr">
        <is>
          <t>来源页207</t>
        </is>
      </c>
      <c r="L2851" s="43">
        <f>A2851</f>
        <v/>
      </c>
      <c r="M2851" s="81" t="n"/>
      <c r="N2851" s="81" t="n"/>
      <c r="O2851" s="81" t="n"/>
      <c r="P2851" s="81" t="n"/>
      <c r="Q2851" s="81" t="n"/>
      <c r="R2851" s="81" t="n"/>
      <c r="S2851" s="81" t="n"/>
      <c r="T2851" s="81" t="n"/>
      <c r="U2851" s="81" t="n"/>
      <c r="V2851" s="81" t="n"/>
      <c r="W2851" s="43" t="n"/>
    </row>
    <row r="2852">
      <c r="A2852" s="43" t="inlineStr">
        <is>
          <t>N11a</t>
        </is>
      </c>
      <c r="B2852" s="43" t="inlineStr"/>
      <c r="C2852" s="43" t="inlineStr">
        <is>
          <t>节段17</t>
        </is>
      </c>
      <c r="D2852" s="43" t="inlineStr">
        <is>
          <t>Q420D</t>
        </is>
      </c>
      <c r="E2852" s="43" t="n"/>
      <c r="F2852" s="43" t="n"/>
      <c r="G2852" s="43" t="n">
        <v>40</v>
      </c>
      <c r="H2852" s="79">
        <f>(E2852/1000)*(F2852/1000)*(G2852/1000)*7850</f>
        <v/>
      </c>
      <c r="I2852" s="43" t="n">
        <v>1</v>
      </c>
      <c r="J2852" s="80">
        <f>H2852*I2852</f>
        <v/>
      </c>
      <c r="K2852" s="43" t="inlineStr">
        <is>
          <t>来源页208</t>
        </is>
      </c>
      <c r="L2852" s="43">
        <f>A2852</f>
        <v/>
      </c>
      <c r="M2852" s="81" t="n"/>
      <c r="N2852" s="81" t="n"/>
      <c r="O2852" s="81" t="n"/>
      <c r="P2852" s="81" t="n"/>
      <c r="Q2852" s="81" t="n"/>
      <c r="R2852" s="81" t="n"/>
      <c r="S2852" s="81" t="n"/>
      <c r="T2852" s="81" t="n"/>
      <c r="U2852" s="81" t="n"/>
      <c r="V2852" s="81" t="n"/>
      <c r="W2852" s="43" t="n"/>
    </row>
    <row r="2853">
      <c r="A2853" s="43" t="inlineStr">
        <is>
          <t>N11b</t>
        </is>
      </c>
      <c r="B2853" s="43" t="inlineStr"/>
      <c r="C2853" s="43" t="inlineStr">
        <is>
          <t>节段17</t>
        </is>
      </c>
      <c r="D2853" s="43" t="inlineStr">
        <is>
          <t>Q420D</t>
        </is>
      </c>
      <c r="E2853" s="43" t="n"/>
      <c r="F2853" s="43" t="n"/>
      <c r="G2853" s="43" t="n">
        <v>40</v>
      </c>
      <c r="H2853" s="79">
        <f>(E2853/1000)*(F2853/1000)*(G2853/1000)*7850</f>
        <v/>
      </c>
      <c r="I2853" s="43" t="n">
        <v>1</v>
      </c>
      <c r="J2853" s="80">
        <f>H2853*I2853</f>
        <v/>
      </c>
      <c r="K2853" s="43" t="inlineStr">
        <is>
          <t>来源页208</t>
        </is>
      </c>
      <c r="L2853" s="43">
        <f>A2853</f>
        <v/>
      </c>
      <c r="M2853" s="81" t="n"/>
      <c r="N2853" s="81" t="n"/>
      <c r="O2853" s="81" t="n"/>
      <c r="P2853" s="81" t="n"/>
      <c r="Q2853" s="81" t="n"/>
      <c r="R2853" s="81" t="n"/>
      <c r="S2853" s="81" t="n"/>
      <c r="T2853" s="81" t="n"/>
      <c r="U2853" s="81" t="n"/>
      <c r="V2853" s="81" t="n"/>
      <c r="W2853" s="43" t="n"/>
    </row>
    <row r="2854">
      <c r="A2854" s="43" t="inlineStr">
        <is>
          <t>N12a</t>
        </is>
      </c>
      <c r="B2854" s="43" t="inlineStr"/>
      <c r="C2854" s="43" t="inlineStr">
        <is>
          <t>节段17</t>
        </is>
      </c>
      <c r="D2854" s="43" t="inlineStr">
        <is>
          <t>Q420D</t>
        </is>
      </c>
      <c r="E2854" s="43" t="n">
        <v>8050</v>
      </c>
      <c r="F2854" s="43" t="n">
        <v>1200</v>
      </c>
      <c r="G2854" s="43" t="n">
        <v>40</v>
      </c>
      <c r="H2854" s="79">
        <f>(E2854/1000)*(F2854/1000)*(G2854/1000)*7850</f>
        <v/>
      </c>
      <c r="I2854" s="43" t="n">
        <v>1</v>
      </c>
      <c r="J2854" s="80">
        <f>H2854*I2854</f>
        <v/>
      </c>
      <c r="K2854" s="43" t="inlineStr">
        <is>
          <t>来源页208</t>
        </is>
      </c>
      <c r="L2854" s="43">
        <f>A2854</f>
        <v/>
      </c>
      <c r="M2854" s="81" t="n"/>
      <c r="N2854" s="81" t="n"/>
      <c r="O2854" s="81" t="n"/>
      <c r="P2854" s="81" t="n"/>
      <c r="Q2854" s="81" t="n"/>
      <c r="R2854" s="81" t="n"/>
      <c r="S2854" s="81" t="n"/>
      <c r="T2854" s="81" t="n"/>
      <c r="U2854" s="81" t="n"/>
      <c r="V2854" s="81" t="n"/>
      <c r="W2854" s="43" t="n"/>
    </row>
    <row r="2855">
      <c r="A2855" s="43" t="inlineStr">
        <is>
          <t>N12b</t>
        </is>
      </c>
      <c r="B2855" s="43" t="inlineStr"/>
      <c r="C2855" s="43" t="inlineStr">
        <is>
          <t>节段17</t>
        </is>
      </c>
      <c r="D2855" s="43" t="inlineStr">
        <is>
          <t>Q420D</t>
        </is>
      </c>
      <c r="E2855" s="43" t="n">
        <v>6950</v>
      </c>
      <c r="F2855" s="43" t="n">
        <v>1200</v>
      </c>
      <c r="G2855" s="43" t="n">
        <v>40</v>
      </c>
      <c r="H2855" s="79">
        <f>(E2855/1000)*(F2855/1000)*(G2855/1000)*7850</f>
        <v/>
      </c>
      <c r="I2855" s="43" t="n">
        <v>1</v>
      </c>
      <c r="J2855" s="80">
        <f>H2855*I2855</f>
        <v/>
      </c>
      <c r="K2855" s="43" t="inlineStr">
        <is>
          <t>来源页208</t>
        </is>
      </c>
      <c r="L2855" s="43">
        <f>A2855</f>
        <v/>
      </c>
      <c r="M2855" s="81" t="n"/>
      <c r="N2855" s="81" t="n"/>
      <c r="O2855" s="81" t="n"/>
      <c r="P2855" s="81" t="n"/>
      <c r="Q2855" s="81" t="n"/>
      <c r="R2855" s="81" t="n"/>
      <c r="S2855" s="81" t="n"/>
      <c r="T2855" s="81" t="n"/>
      <c r="U2855" s="81" t="n"/>
      <c r="V2855" s="81" t="n"/>
      <c r="W2855" s="43" t="n"/>
    </row>
    <row r="2856">
      <c r="A2856" s="43" t="inlineStr">
        <is>
          <t>N13</t>
        </is>
      </c>
      <c r="B2856" s="43" t="inlineStr"/>
      <c r="C2856" s="43" t="inlineStr">
        <is>
          <t>节段17</t>
        </is>
      </c>
      <c r="D2856" s="43" t="inlineStr">
        <is>
          <t>Q420D</t>
        </is>
      </c>
      <c r="E2856" s="43" t="n"/>
      <c r="F2856" s="43" t="n"/>
      <c r="G2856" s="43" t="n">
        <v>44</v>
      </c>
      <c r="H2856" s="79">
        <f>(E2856/1000)*(F2856/1000)*(G2856/1000)*7850</f>
        <v/>
      </c>
      <c r="I2856" s="43" t="n">
        <v>2</v>
      </c>
      <c r="J2856" s="80">
        <f>H2856*I2856</f>
        <v/>
      </c>
      <c r="K2856" s="43" t="inlineStr">
        <is>
          <t>来源页208</t>
        </is>
      </c>
      <c r="L2856" s="43">
        <f>A2856</f>
        <v/>
      </c>
      <c r="M2856" s="81" t="n"/>
      <c r="N2856" s="81" t="n"/>
      <c r="O2856" s="81" t="n"/>
      <c r="P2856" s="81" t="n"/>
      <c r="Q2856" s="81" t="n"/>
      <c r="R2856" s="81" t="n"/>
      <c r="S2856" s="81" t="n"/>
      <c r="T2856" s="81" t="n"/>
      <c r="U2856" s="81" t="n"/>
      <c r="V2856" s="81" t="n"/>
      <c r="W2856" s="43" t="n"/>
    </row>
    <row r="2857">
      <c r="A2857" s="43" t="inlineStr">
        <is>
          <t>N14</t>
        </is>
      </c>
      <c r="B2857" s="43" t="inlineStr"/>
      <c r="C2857" s="43" t="inlineStr">
        <is>
          <t>节段17</t>
        </is>
      </c>
      <c r="D2857" s="43" t="inlineStr">
        <is>
          <t>Q420D</t>
        </is>
      </c>
      <c r="E2857" s="43" t="n">
        <v>7150</v>
      </c>
      <c r="F2857" s="43" t="n">
        <v>1628</v>
      </c>
      <c r="G2857" s="43" t="n">
        <v>48</v>
      </c>
      <c r="H2857" s="79">
        <f>(E2857/1000)*(F2857/1000)*(G2857/1000)*7850</f>
        <v/>
      </c>
      <c r="I2857" s="43" t="n">
        <v>2</v>
      </c>
      <c r="J2857" s="80">
        <f>H2857*I2857</f>
        <v/>
      </c>
      <c r="K2857" s="43" t="inlineStr">
        <is>
          <t>来源页208</t>
        </is>
      </c>
      <c r="L2857" s="43">
        <f>A2857</f>
        <v/>
      </c>
      <c r="M2857" s="81" t="n"/>
      <c r="N2857" s="81" t="n"/>
      <c r="O2857" s="81" t="n"/>
      <c r="P2857" s="81" t="n"/>
      <c r="Q2857" s="81" t="n"/>
      <c r="R2857" s="81" t="n"/>
      <c r="S2857" s="81" t="n"/>
      <c r="T2857" s="81" t="n"/>
      <c r="U2857" s="81" t="n"/>
      <c r="V2857" s="81" t="n"/>
      <c r="W2857" s="43" t="n"/>
    </row>
    <row r="2858">
      <c r="A2858" s="43" t="inlineStr">
        <is>
          <t>N15</t>
        </is>
      </c>
      <c r="B2858" s="43" t="inlineStr"/>
      <c r="C2858" s="43" t="inlineStr">
        <is>
          <t>节段17</t>
        </is>
      </c>
      <c r="D2858" s="43" t="inlineStr">
        <is>
          <t>Q420D</t>
        </is>
      </c>
      <c r="E2858" s="43" t="n">
        <v>1560</v>
      </c>
      <c r="F2858" s="43" t="n">
        <v>1200</v>
      </c>
      <c r="G2858" s="43" t="n">
        <v>16</v>
      </c>
      <c r="H2858" s="79">
        <f>(E2858/1000)*(F2858/1000)*(G2858/1000)*7850</f>
        <v/>
      </c>
      <c r="I2858" s="43" t="n">
        <v>3</v>
      </c>
      <c r="J2858" s="80">
        <f>H2858*I2858</f>
        <v/>
      </c>
      <c r="K2858" s="43" t="inlineStr">
        <is>
          <t>来源页208</t>
        </is>
      </c>
      <c r="L2858" s="43">
        <f>A2858</f>
        <v/>
      </c>
      <c r="M2858" s="81" t="n"/>
      <c r="N2858" s="81" t="n"/>
      <c r="O2858" s="81" t="n"/>
      <c r="P2858" s="81" t="n"/>
      <c r="Q2858" s="81" t="n"/>
      <c r="R2858" s="81" t="n"/>
      <c r="S2858" s="81" t="n"/>
      <c r="T2858" s="81" t="n"/>
      <c r="U2858" s="81" t="n"/>
      <c r="V2858" s="81" t="n"/>
      <c r="W2858" s="43" t="n"/>
    </row>
    <row r="2859">
      <c r="A2859" s="43" t="inlineStr">
        <is>
          <t>N15a</t>
        </is>
      </c>
      <c r="B2859" s="43" t="inlineStr"/>
      <c r="C2859" s="43" t="inlineStr">
        <is>
          <t>节段17</t>
        </is>
      </c>
      <c r="D2859" s="43" t="inlineStr">
        <is>
          <t>Q420D</t>
        </is>
      </c>
      <c r="E2859" s="43" t="n">
        <v>1560</v>
      </c>
      <c r="F2859" s="43" t="n">
        <v>1200</v>
      </c>
      <c r="G2859" s="43" t="n">
        <v>16</v>
      </c>
      <c r="H2859" s="79">
        <f>(E2859/1000)*(F2859/1000)*(G2859/1000)*7850</f>
        <v/>
      </c>
      <c r="I2859" s="43" t="n">
        <v>2</v>
      </c>
      <c r="J2859" s="80">
        <f>H2859*I2859</f>
        <v/>
      </c>
      <c r="K2859" s="43" t="inlineStr">
        <is>
          <t>来源页208</t>
        </is>
      </c>
      <c r="L2859" s="43">
        <f>A2859</f>
        <v/>
      </c>
      <c r="M2859" s="81" t="n"/>
      <c r="N2859" s="81" t="n"/>
      <c r="O2859" s="81" t="n"/>
      <c r="P2859" s="81" t="n"/>
      <c r="Q2859" s="81" t="n"/>
      <c r="R2859" s="81" t="n"/>
      <c r="S2859" s="81" t="n"/>
      <c r="T2859" s="81" t="n"/>
      <c r="U2859" s="81" t="n"/>
      <c r="V2859" s="81" t="n"/>
      <c r="W2859" s="43" t="n"/>
    </row>
    <row r="2860">
      <c r="A2860" s="43" t="inlineStr">
        <is>
          <t>N15‘</t>
        </is>
      </c>
      <c r="B2860" s="43" t="inlineStr"/>
      <c r="C2860" s="43" t="inlineStr">
        <is>
          <t>节段17</t>
        </is>
      </c>
      <c r="D2860" s="43" t="inlineStr">
        <is>
          <t>Q420D</t>
        </is>
      </c>
      <c r="E2860" s="43" t="n">
        <v>1657</v>
      </c>
      <c r="F2860" s="43" t="n">
        <v>200</v>
      </c>
      <c r="G2860" s="43" t="n">
        <v>16</v>
      </c>
      <c r="H2860" s="79">
        <f>(E2860/1000)*(F2860/1000)*(G2860/1000)*7850</f>
        <v/>
      </c>
      <c r="I2860" s="43" t="n">
        <v>3</v>
      </c>
      <c r="J2860" s="80">
        <f>H2860*I2860</f>
        <v/>
      </c>
      <c r="K2860" s="43" t="inlineStr">
        <is>
          <t>来源页208</t>
        </is>
      </c>
      <c r="L2860" s="43">
        <f>A2860</f>
        <v/>
      </c>
      <c r="M2860" s="81" t="n"/>
      <c r="N2860" s="81" t="n"/>
      <c r="O2860" s="81" t="n"/>
      <c r="P2860" s="81" t="n"/>
      <c r="Q2860" s="81" t="n"/>
      <c r="R2860" s="81" t="n"/>
      <c r="S2860" s="81" t="n"/>
      <c r="T2860" s="81" t="n"/>
      <c r="U2860" s="81" t="n"/>
      <c r="V2860" s="81" t="n"/>
      <c r="W2860" s="43" t="n"/>
    </row>
    <row r="2861">
      <c r="A2861" s="43" t="inlineStr">
        <is>
          <t>N15b</t>
        </is>
      </c>
      <c r="B2861" s="43" t="inlineStr"/>
      <c r="C2861" s="43" t="inlineStr">
        <is>
          <t>节段17</t>
        </is>
      </c>
      <c r="D2861" s="43" t="inlineStr">
        <is>
          <t>Q420D</t>
        </is>
      </c>
      <c r="E2861" s="43" t="n">
        <v>1782</v>
      </c>
      <c r="F2861" s="43" t="n">
        <v>40</v>
      </c>
      <c r="G2861" s="43" t="n">
        <v>4</v>
      </c>
      <c r="H2861" s="79">
        <f>(E2861/1000)*(F2861/1000)*(G2861/1000)*7850</f>
        <v/>
      </c>
      <c r="I2861" s="43" t="n">
        <v>4</v>
      </c>
      <c r="J2861" s="80">
        <f>H2861*I2861</f>
        <v/>
      </c>
      <c r="K2861" s="43" t="inlineStr">
        <is>
          <t>来源页208</t>
        </is>
      </c>
      <c r="L2861" s="43">
        <f>A2861</f>
        <v/>
      </c>
      <c r="M2861" s="81" t="n"/>
      <c r="N2861" s="81" t="n"/>
      <c r="O2861" s="81" t="n"/>
      <c r="P2861" s="81" t="n"/>
      <c r="Q2861" s="81" t="n"/>
      <c r="R2861" s="81" t="n"/>
      <c r="S2861" s="81" t="n"/>
      <c r="T2861" s="81" t="n"/>
      <c r="U2861" s="81" t="n"/>
      <c r="V2861" s="81" t="n"/>
      <c r="W2861" s="43" t="n"/>
    </row>
    <row r="2862">
      <c r="A2862" s="43" t="inlineStr">
        <is>
          <t>N15c</t>
        </is>
      </c>
      <c r="B2862" s="43" t="inlineStr"/>
      <c r="C2862" s="43" t="inlineStr">
        <is>
          <t>节段17</t>
        </is>
      </c>
      <c r="D2862" s="43" t="inlineStr">
        <is>
          <t>Q420D</t>
        </is>
      </c>
      <c r="E2862" s="43" t="n">
        <v>600</v>
      </c>
      <c r="F2862" s="43" t="n">
        <v>400</v>
      </c>
      <c r="G2862" s="43" t="n">
        <v>16</v>
      </c>
      <c r="H2862" s="79">
        <f>(E2862/1000)*(F2862/1000)*(G2862/1000)*7850</f>
        <v/>
      </c>
      <c r="I2862" s="43" t="n">
        <v>4</v>
      </c>
      <c r="J2862" s="80">
        <f>H2862*I2862</f>
        <v/>
      </c>
      <c r="K2862" s="43" t="inlineStr">
        <is>
          <t>来源页208</t>
        </is>
      </c>
      <c r="L2862" s="43">
        <f>A2862</f>
        <v/>
      </c>
      <c r="M2862" s="81" t="n"/>
      <c r="N2862" s="81" t="n"/>
      <c r="O2862" s="81" t="n"/>
      <c r="P2862" s="81" t="n"/>
      <c r="Q2862" s="81" t="n"/>
      <c r="R2862" s="81" t="n"/>
      <c r="S2862" s="81" t="n"/>
      <c r="T2862" s="81" t="n"/>
      <c r="U2862" s="81" t="n"/>
      <c r="V2862" s="81" t="n"/>
      <c r="W2862" s="43" t="n"/>
    </row>
    <row r="2863">
      <c r="A2863" s="43" t="inlineStr">
        <is>
          <t>N21a</t>
        </is>
      </c>
      <c r="B2863" s="43" t="inlineStr"/>
      <c r="C2863" s="43" t="inlineStr">
        <is>
          <t>节段17</t>
        </is>
      </c>
      <c r="D2863" s="43" t="inlineStr">
        <is>
          <t>Q420D</t>
        </is>
      </c>
      <c r="E2863" s="43" t="n">
        <v>8050</v>
      </c>
      <c r="F2863" s="43" t="n">
        <v>1850</v>
      </c>
      <c r="G2863" s="43" t="n">
        <v>32</v>
      </c>
      <c r="H2863" s="79">
        <f>(E2863/1000)*(F2863/1000)*(G2863/1000)*7850</f>
        <v/>
      </c>
      <c r="I2863" s="43" t="n">
        <v>1</v>
      </c>
      <c r="J2863" s="80">
        <f>H2863*I2863</f>
        <v/>
      </c>
      <c r="K2863" s="43" t="inlineStr">
        <is>
          <t>来源页208</t>
        </is>
      </c>
      <c r="L2863" s="43">
        <f>A2863</f>
        <v/>
      </c>
      <c r="M2863" s="81" t="n"/>
      <c r="N2863" s="81" t="n"/>
      <c r="O2863" s="81" t="n"/>
      <c r="P2863" s="81" t="n"/>
      <c r="Q2863" s="81" t="n"/>
      <c r="R2863" s="81" t="n"/>
      <c r="S2863" s="81" t="n"/>
      <c r="T2863" s="81" t="n"/>
      <c r="U2863" s="81" t="n"/>
      <c r="V2863" s="81" t="n"/>
      <c r="W2863" s="43" t="n"/>
    </row>
    <row r="2864">
      <c r="A2864" s="43" t="inlineStr">
        <is>
          <t>N21b</t>
        </is>
      </c>
      <c r="B2864" s="43" t="inlineStr"/>
      <c r="C2864" s="43" t="inlineStr">
        <is>
          <t>节段17</t>
        </is>
      </c>
      <c r="D2864" s="43" t="inlineStr">
        <is>
          <t>Q420D</t>
        </is>
      </c>
      <c r="E2864" s="43" t="n">
        <v>6950</v>
      </c>
      <c r="F2864" s="43" t="n">
        <v>1850</v>
      </c>
      <c r="G2864" s="43" t="n">
        <v>32</v>
      </c>
      <c r="H2864" s="79">
        <f>(E2864/1000)*(F2864/1000)*(G2864/1000)*7850</f>
        <v/>
      </c>
      <c r="I2864" s="43" t="n">
        <v>1</v>
      </c>
      <c r="J2864" s="80">
        <f>H2864*I2864</f>
        <v/>
      </c>
      <c r="K2864" s="43" t="inlineStr">
        <is>
          <t>来源页208</t>
        </is>
      </c>
      <c r="L2864" s="43">
        <f>A2864</f>
        <v/>
      </c>
      <c r="M2864" s="81" t="n"/>
      <c r="N2864" s="81" t="n"/>
      <c r="O2864" s="81" t="n"/>
      <c r="P2864" s="81" t="n"/>
      <c r="Q2864" s="81" t="n"/>
      <c r="R2864" s="81" t="n"/>
      <c r="S2864" s="81" t="n"/>
      <c r="T2864" s="81" t="n"/>
      <c r="U2864" s="81" t="n"/>
      <c r="V2864" s="81" t="n"/>
      <c r="W2864" s="43" t="n"/>
    </row>
    <row r="2865">
      <c r="A2865" s="43" t="inlineStr">
        <is>
          <t>N22a</t>
        </is>
      </c>
      <c r="B2865" s="43" t="inlineStr"/>
      <c r="C2865" s="43" t="inlineStr">
        <is>
          <t>节段17</t>
        </is>
      </c>
      <c r="D2865" s="43" t="inlineStr">
        <is>
          <t>Q420D</t>
        </is>
      </c>
      <c r="E2865" s="43" t="n"/>
      <c r="F2865" s="43" t="n"/>
      <c r="G2865" s="43" t="n">
        <v>40</v>
      </c>
      <c r="H2865" s="79">
        <f>(E2865/1000)*(F2865/1000)*(G2865/1000)*7850</f>
        <v/>
      </c>
      <c r="I2865" s="43" t="n">
        <v>1</v>
      </c>
      <c r="J2865" s="80">
        <f>H2865*I2865</f>
        <v/>
      </c>
      <c r="K2865" s="43" t="inlineStr">
        <is>
          <t>来源页208</t>
        </is>
      </c>
      <c r="L2865" s="43">
        <f>A2865</f>
        <v/>
      </c>
      <c r="M2865" s="81" t="n"/>
      <c r="N2865" s="81" t="n"/>
      <c r="O2865" s="81" t="n"/>
      <c r="P2865" s="81" t="n"/>
      <c r="Q2865" s="81" t="n"/>
      <c r="R2865" s="81" t="n"/>
      <c r="S2865" s="81" t="n"/>
      <c r="T2865" s="81" t="n"/>
      <c r="U2865" s="81" t="n"/>
      <c r="V2865" s="81" t="n"/>
      <c r="W2865" s="43" t="n"/>
    </row>
    <row r="2866">
      <c r="A2866" s="43" t="inlineStr">
        <is>
          <t>N22b</t>
        </is>
      </c>
      <c r="B2866" s="43" t="inlineStr"/>
      <c r="C2866" s="43" t="inlineStr">
        <is>
          <t>节段17</t>
        </is>
      </c>
      <c r="D2866" s="43" t="inlineStr">
        <is>
          <t>Q420D</t>
        </is>
      </c>
      <c r="E2866" s="43" t="n"/>
      <c r="F2866" s="43" t="n"/>
      <c r="G2866" s="43" t="n">
        <v>32</v>
      </c>
      <c r="H2866" s="79">
        <f>(E2866/1000)*(F2866/1000)*(G2866/1000)*7850</f>
        <v/>
      </c>
      <c r="I2866" s="43" t="n">
        <v>1</v>
      </c>
      <c r="J2866" s="80">
        <f>H2866*I2866</f>
        <v/>
      </c>
      <c r="K2866" s="43" t="inlineStr">
        <is>
          <t>来源页208</t>
        </is>
      </c>
      <c r="L2866" s="43">
        <f>A2866</f>
        <v/>
      </c>
      <c r="M2866" s="81" t="n"/>
      <c r="N2866" s="81" t="n"/>
      <c r="O2866" s="81" t="n"/>
      <c r="P2866" s="81" t="n"/>
      <c r="Q2866" s="81" t="n"/>
      <c r="R2866" s="81" t="n"/>
      <c r="S2866" s="81" t="n"/>
      <c r="T2866" s="81" t="n"/>
      <c r="U2866" s="81" t="n"/>
      <c r="V2866" s="81" t="n"/>
      <c r="W2866" s="43" t="n"/>
    </row>
    <row r="2867">
      <c r="A2867" s="43" t="inlineStr">
        <is>
          <t>N23</t>
        </is>
      </c>
      <c r="B2867" s="43" t="inlineStr"/>
      <c r="C2867" s="43" t="inlineStr">
        <is>
          <t>节段17</t>
        </is>
      </c>
      <c r="D2867" s="43" t="inlineStr">
        <is>
          <t>Q420D</t>
        </is>
      </c>
      <c r="E2867" s="43" t="n"/>
      <c r="F2867" s="43" t="n"/>
      <c r="G2867" s="43" t="n">
        <v>44</v>
      </c>
      <c r="H2867" s="79">
        <f>(E2867/1000)*(F2867/1000)*(G2867/1000)*7850</f>
        <v/>
      </c>
      <c r="I2867" s="43" t="n">
        <v>2</v>
      </c>
      <c r="J2867" s="80">
        <f>H2867*I2867</f>
        <v/>
      </c>
      <c r="K2867" s="43" t="inlineStr">
        <is>
          <t>Z35钢；来源页208</t>
        </is>
      </c>
      <c r="L2867" s="43">
        <f>A2867</f>
        <v/>
      </c>
      <c r="M2867" s="81" t="n"/>
      <c r="N2867" s="81" t="n"/>
      <c r="O2867" s="81" t="n"/>
      <c r="P2867" s="81" t="n"/>
      <c r="Q2867" s="81" t="n"/>
      <c r="R2867" s="81" t="n"/>
      <c r="S2867" s="81" t="n"/>
      <c r="T2867" s="81" t="n"/>
      <c r="U2867" s="81" t="n"/>
      <c r="V2867" s="81" t="n"/>
      <c r="W2867" s="43" t="n"/>
    </row>
    <row r="2868">
      <c r="A2868" s="43" t="inlineStr">
        <is>
          <t>N24</t>
        </is>
      </c>
      <c r="B2868" s="43" t="inlineStr"/>
      <c r="C2868" s="43" t="inlineStr">
        <is>
          <t>节段17</t>
        </is>
      </c>
      <c r="D2868" s="43" t="inlineStr">
        <is>
          <t>Q420D</t>
        </is>
      </c>
      <c r="E2868" s="43" t="n">
        <v>7150</v>
      </c>
      <c r="F2868" s="43" t="n">
        <v>1482</v>
      </c>
      <c r="G2868" s="43" t="n">
        <v>44</v>
      </c>
      <c r="H2868" s="79">
        <f>(E2868/1000)*(F2868/1000)*(G2868/1000)*7850</f>
        <v/>
      </c>
      <c r="I2868" s="43" t="n">
        <v>2</v>
      </c>
      <c r="J2868" s="80">
        <f>H2868*I2868</f>
        <v/>
      </c>
      <c r="K2868" s="43" t="inlineStr">
        <is>
          <t>来源页208</t>
        </is>
      </c>
      <c r="L2868" s="43">
        <f>A2868</f>
        <v/>
      </c>
      <c r="M2868" s="81" t="n"/>
      <c r="N2868" s="81" t="n"/>
      <c r="O2868" s="81" t="n"/>
      <c r="P2868" s="81" t="n"/>
      <c r="Q2868" s="81" t="n"/>
      <c r="R2868" s="81" t="n"/>
      <c r="S2868" s="81" t="n"/>
      <c r="T2868" s="81" t="n"/>
      <c r="U2868" s="81" t="n"/>
      <c r="V2868" s="81" t="n"/>
      <c r="W2868" s="43" t="n"/>
    </row>
    <row r="2869">
      <c r="A2869" s="43" t="inlineStr">
        <is>
          <t>N25a</t>
        </is>
      </c>
      <c r="B2869" s="43" t="inlineStr"/>
      <c r="C2869" s="43" t="inlineStr">
        <is>
          <t>节段17</t>
        </is>
      </c>
      <c r="D2869" s="43" t="inlineStr">
        <is>
          <t>Q420D</t>
        </is>
      </c>
      <c r="E2869" s="43" t="n">
        <v>1450</v>
      </c>
      <c r="F2869" s="43" t="n">
        <v>1200</v>
      </c>
      <c r="G2869" s="43" t="n">
        <v>16</v>
      </c>
      <c r="H2869" s="79">
        <f>(E2869/1000)*(F2869/1000)*(G2869/1000)*7850</f>
        <v/>
      </c>
      <c r="I2869" s="43" t="n">
        <v>2</v>
      </c>
      <c r="J2869" s="80">
        <f>H2869*I2869</f>
        <v/>
      </c>
      <c r="K2869" s="43" t="inlineStr">
        <is>
          <t>来源页208</t>
        </is>
      </c>
      <c r="L2869" s="43">
        <f>A2869</f>
        <v/>
      </c>
      <c r="M2869" s="81" t="n"/>
      <c r="N2869" s="81" t="n"/>
      <c r="O2869" s="81" t="n"/>
      <c r="P2869" s="81" t="n"/>
      <c r="Q2869" s="81" t="n"/>
      <c r="R2869" s="81" t="n"/>
      <c r="S2869" s="81" t="n"/>
      <c r="T2869" s="81" t="n"/>
      <c r="U2869" s="81" t="n"/>
      <c r="V2869" s="81" t="n"/>
      <c r="W2869" s="43" t="n"/>
    </row>
    <row r="2870">
      <c r="A2870" s="43" t="inlineStr">
        <is>
          <t>N26a</t>
        </is>
      </c>
      <c r="B2870" s="43" t="inlineStr"/>
      <c r="C2870" s="43" t="inlineStr">
        <is>
          <t>节段17</t>
        </is>
      </c>
      <c r="D2870" s="43" t="inlineStr">
        <is>
          <t>Q420D</t>
        </is>
      </c>
      <c r="E2870" s="43" t="n">
        <v>8050</v>
      </c>
      <c r="F2870" s="43" t="n">
        <v>320</v>
      </c>
      <c r="G2870" s="43" t="n">
        <v>32</v>
      </c>
      <c r="H2870" s="79">
        <f>(E2870/1000)*(F2870/1000)*(G2870/1000)*7850</f>
        <v/>
      </c>
      <c r="I2870" s="43" t="n">
        <v>4</v>
      </c>
      <c r="J2870" s="80">
        <f>H2870*I2870</f>
        <v/>
      </c>
      <c r="K2870" s="43" t="inlineStr">
        <is>
          <t>来源页208</t>
        </is>
      </c>
      <c r="L2870" s="43">
        <f>A2870</f>
        <v/>
      </c>
      <c r="M2870" s="81" t="n"/>
      <c r="N2870" s="81" t="n"/>
      <c r="O2870" s="81" t="n"/>
      <c r="P2870" s="81" t="n"/>
      <c r="Q2870" s="81" t="n"/>
      <c r="R2870" s="81" t="n"/>
      <c r="S2870" s="81" t="n"/>
      <c r="T2870" s="81" t="n"/>
      <c r="U2870" s="81" t="n"/>
      <c r="V2870" s="81" t="n"/>
      <c r="W2870" s="43" t="n"/>
    </row>
    <row r="2871">
      <c r="A2871" s="43" t="inlineStr">
        <is>
          <t>N26b</t>
        </is>
      </c>
      <c r="B2871" s="43" t="inlineStr"/>
      <c r="C2871" s="43" t="inlineStr">
        <is>
          <t>节段17</t>
        </is>
      </c>
      <c r="D2871" s="43" t="inlineStr">
        <is>
          <t>Q420D</t>
        </is>
      </c>
      <c r="E2871" s="43" t="n">
        <v>6950</v>
      </c>
      <c r="F2871" s="43" t="n">
        <v>320</v>
      </c>
      <c r="G2871" s="43" t="n">
        <v>32</v>
      </c>
      <c r="H2871" s="79">
        <f>(E2871/1000)*(F2871/1000)*(G2871/1000)*7850</f>
        <v/>
      </c>
      <c r="I2871" s="43" t="n">
        <v>4</v>
      </c>
      <c r="J2871" s="80">
        <f>H2871*I2871</f>
        <v/>
      </c>
      <c r="K2871" s="43" t="inlineStr">
        <is>
          <t>来源页208</t>
        </is>
      </c>
      <c r="L2871" s="43">
        <f>A2871</f>
        <v/>
      </c>
      <c r="M2871" s="81" t="n"/>
      <c r="N2871" s="81" t="n"/>
      <c r="O2871" s="81" t="n"/>
      <c r="P2871" s="81" t="n"/>
      <c r="Q2871" s="81" t="n"/>
      <c r="R2871" s="81" t="n"/>
      <c r="S2871" s="81" t="n"/>
      <c r="T2871" s="81" t="n"/>
      <c r="U2871" s="81" t="n"/>
      <c r="V2871" s="81" t="n"/>
      <c r="W2871" s="43" t="n"/>
    </row>
    <row r="2872">
      <c r="A2872" s="43" t="inlineStr">
        <is>
          <t>N26c</t>
        </is>
      </c>
      <c r="B2872" s="43" t="inlineStr"/>
      <c r="C2872" s="43" t="inlineStr">
        <is>
          <t>节段17</t>
        </is>
      </c>
      <c r="D2872" s="43" t="inlineStr">
        <is>
          <t>Q420D</t>
        </is>
      </c>
      <c r="E2872" s="43" t="n">
        <v>15000</v>
      </c>
      <c r="F2872" s="43" t="n">
        <v>170</v>
      </c>
      <c r="G2872" s="43" t="n">
        <v>14</v>
      </c>
      <c r="H2872" s="79">
        <f>(E2872/1000)*(F2872/1000)*(G2872/1000)*7850</f>
        <v/>
      </c>
      <c r="I2872" s="43" t="n">
        <v>1</v>
      </c>
      <c r="J2872" s="80">
        <f>H2872*I2872</f>
        <v/>
      </c>
      <c r="K2872" s="43" t="inlineStr">
        <is>
          <t>来源页208</t>
        </is>
      </c>
      <c r="L2872" s="43">
        <f>A2872</f>
        <v/>
      </c>
      <c r="M2872" s="81" t="n"/>
      <c r="N2872" s="81" t="n"/>
      <c r="O2872" s="81" t="n"/>
      <c r="P2872" s="81" t="n"/>
      <c r="Q2872" s="81" t="n"/>
      <c r="R2872" s="81" t="n"/>
      <c r="S2872" s="81" t="n"/>
      <c r="T2872" s="81" t="n"/>
      <c r="U2872" s="81" t="n"/>
      <c r="V2872" s="81" t="n"/>
      <c r="W2872" s="43" t="n"/>
    </row>
    <row r="2873">
      <c r="A2873" s="43" t="inlineStr">
        <is>
          <t>N31</t>
        </is>
      </c>
      <c r="B2873" s="43" t="inlineStr"/>
      <c r="C2873" s="43" t="inlineStr">
        <is>
          <t>节段17</t>
        </is>
      </c>
      <c r="D2873" s="43" t="inlineStr">
        <is>
          <t>Q420D</t>
        </is>
      </c>
      <c r="E2873" s="43" t="n">
        <v>11042</v>
      </c>
      <c r="F2873" s="43" t="n">
        <v>1200</v>
      </c>
      <c r="G2873" s="43" t="n">
        <v>40</v>
      </c>
      <c r="H2873" s="79">
        <f>(E2873/1000)*(F2873/1000)*(G2873/1000)*7850</f>
        <v/>
      </c>
      <c r="I2873" s="43" t="n">
        <v>1</v>
      </c>
      <c r="J2873" s="80">
        <f>H2873*I2873</f>
        <v/>
      </c>
      <c r="K2873" s="43" t="inlineStr">
        <is>
          <t>来源页208</t>
        </is>
      </c>
      <c r="L2873" s="43">
        <f>A2873</f>
        <v/>
      </c>
      <c r="M2873" s="81" t="n"/>
      <c r="N2873" s="81" t="n"/>
      <c r="O2873" s="81" t="n"/>
      <c r="P2873" s="81" t="n"/>
      <c r="Q2873" s="81" t="n"/>
      <c r="R2873" s="81" t="n"/>
      <c r="S2873" s="81" t="n"/>
      <c r="T2873" s="81" t="n"/>
      <c r="U2873" s="81" t="n"/>
      <c r="V2873" s="81" t="n"/>
      <c r="W2873" s="43" t="n"/>
    </row>
    <row r="2874">
      <c r="A2874" s="43" t="inlineStr">
        <is>
          <t>N31a</t>
        </is>
      </c>
      <c r="B2874" s="43" t="inlineStr"/>
      <c r="C2874" s="43" t="inlineStr">
        <is>
          <t>节段17</t>
        </is>
      </c>
      <c r="D2874" s="43" t="inlineStr">
        <is>
          <t>Q420D</t>
        </is>
      </c>
      <c r="E2874" s="43" t="n">
        <v>11342</v>
      </c>
      <c r="F2874" s="43" t="n">
        <v>1200</v>
      </c>
      <c r="G2874" s="43" t="n">
        <v>40</v>
      </c>
      <c r="H2874" s="79">
        <f>(E2874/1000)*(F2874/1000)*(G2874/1000)*7850</f>
        <v/>
      </c>
      <c r="I2874" s="43" t="n">
        <v>1</v>
      </c>
      <c r="J2874" s="80">
        <f>H2874*I2874</f>
        <v/>
      </c>
      <c r="K2874" s="43" t="inlineStr">
        <is>
          <t>来源页208</t>
        </is>
      </c>
      <c r="L2874" s="43">
        <f>A2874</f>
        <v/>
      </c>
      <c r="M2874" s="81" t="n"/>
      <c r="N2874" s="81" t="n"/>
      <c r="O2874" s="81" t="n"/>
      <c r="P2874" s="81" t="n"/>
      <c r="Q2874" s="81" t="n"/>
      <c r="R2874" s="81" t="n"/>
      <c r="S2874" s="81" t="n"/>
      <c r="T2874" s="81" t="n"/>
      <c r="U2874" s="81" t="n"/>
      <c r="V2874" s="81" t="n"/>
      <c r="W2874" s="43" t="n"/>
    </row>
    <row r="2875">
      <c r="A2875" s="43" t="inlineStr">
        <is>
          <t>N32</t>
        </is>
      </c>
      <c r="B2875" s="43" t="inlineStr"/>
      <c r="C2875" s="43" t="inlineStr">
        <is>
          <t>节段17</t>
        </is>
      </c>
      <c r="D2875" s="43" t="inlineStr">
        <is>
          <t>Q420D</t>
        </is>
      </c>
      <c r="E2875" s="43" t="n">
        <v>7242</v>
      </c>
      <c r="F2875" s="43" t="n">
        <v>1760</v>
      </c>
      <c r="G2875" s="43" t="n">
        <v>40</v>
      </c>
      <c r="H2875" s="79">
        <f>(E2875/1000)*(F2875/1000)*(G2875/1000)*7850</f>
        <v/>
      </c>
      <c r="I2875" s="43" t="n">
        <v>2</v>
      </c>
      <c r="J2875" s="80">
        <f>H2875*I2875</f>
        <v/>
      </c>
      <c r="K2875" s="43" t="inlineStr">
        <is>
          <t>来源页208</t>
        </is>
      </c>
      <c r="L2875" s="43">
        <f>A2875</f>
        <v/>
      </c>
      <c r="M2875" s="81" t="n"/>
      <c r="N2875" s="81" t="n"/>
      <c r="O2875" s="81" t="n"/>
      <c r="P2875" s="81" t="n"/>
      <c r="Q2875" s="81" t="n"/>
      <c r="R2875" s="81" t="n"/>
      <c r="S2875" s="81" t="n"/>
      <c r="T2875" s="81" t="n"/>
      <c r="U2875" s="81" t="n"/>
      <c r="V2875" s="81" t="n"/>
      <c r="W2875" s="43" t="n"/>
    </row>
    <row r="2876">
      <c r="A2876" s="43" t="inlineStr">
        <is>
          <t>N33</t>
        </is>
      </c>
      <c r="B2876" s="43" t="inlineStr"/>
      <c r="C2876" s="43" t="inlineStr">
        <is>
          <t>节段17</t>
        </is>
      </c>
      <c r="D2876" s="43" t="inlineStr">
        <is>
          <t>Q420D</t>
        </is>
      </c>
      <c r="E2876" s="43" t="n">
        <v>7242</v>
      </c>
      <c r="F2876" s="43" t="n">
        <v>320</v>
      </c>
      <c r="G2876" s="43" t="n">
        <v>32</v>
      </c>
      <c r="H2876" s="79">
        <f>(E2876/1000)*(F2876/1000)*(G2876/1000)*7850</f>
        <v/>
      </c>
      <c r="I2876" s="43" t="n">
        <v>4</v>
      </c>
      <c r="J2876" s="80">
        <f>H2876*I2876</f>
        <v/>
      </c>
      <c r="K2876" s="43" t="inlineStr">
        <is>
          <t>来源页208</t>
        </is>
      </c>
      <c r="L2876" s="43">
        <f>A2876</f>
        <v/>
      </c>
      <c r="M2876" s="81" t="n"/>
      <c r="N2876" s="81" t="n"/>
      <c r="O2876" s="81" t="n"/>
      <c r="P2876" s="81" t="n"/>
      <c r="Q2876" s="81" t="n"/>
      <c r="R2876" s="81" t="n"/>
      <c r="S2876" s="81" t="n"/>
      <c r="T2876" s="81" t="n"/>
      <c r="U2876" s="81" t="n"/>
      <c r="V2876" s="81" t="n"/>
      <c r="W2876" s="43" t="n"/>
    </row>
    <row r="2877">
      <c r="A2877" s="43" t="inlineStr">
        <is>
          <t>N33a</t>
        </is>
      </c>
      <c r="B2877" s="43" t="inlineStr"/>
      <c r="C2877" s="43" t="inlineStr">
        <is>
          <t>节段17</t>
        </is>
      </c>
      <c r="D2877" s="43" t="inlineStr">
        <is>
          <t>Q420D</t>
        </is>
      </c>
      <c r="E2877" s="43" t="n">
        <v>9642</v>
      </c>
      <c r="F2877" s="43" t="n">
        <v>320</v>
      </c>
      <c r="G2877" s="43" t="n">
        <v>32</v>
      </c>
      <c r="H2877" s="79">
        <f>(E2877/1000)*(F2877/1000)*(G2877/1000)*7850</f>
        <v/>
      </c>
      <c r="I2877" s="43" t="n">
        <v>1</v>
      </c>
      <c r="J2877" s="80">
        <f>H2877*I2877</f>
        <v/>
      </c>
      <c r="K2877" s="43" t="inlineStr">
        <is>
          <t>来源页208</t>
        </is>
      </c>
      <c r="L2877" s="43">
        <f>A2877</f>
        <v/>
      </c>
      <c r="M2877" s="81" t="n"/>
      <c r="N2877" s="81" t="n"/>
      <c r="O2877" s="81" t="n"/>
      <c r="P2877" s="81" t="n"/>
      <c r="Q2877" s="81" t="n"/>
      <c r="R2877" s="81" t="n"/>
      <c r="S2877" s="81" t="n"/>
      <c r="T2877" s="81" t="n"/>
      <c r="U2877" s="81" t="n"/>
      <c r="V2877" s="81" t="n"/>
      <c r="W2877" s="43" t="n"/>
    </row>
    <row r="2878">
      <c r="A2878" s="43" t="inlineStr">
        <is>
          <t>N33b</t>
        </is>
      </c>
      <c r="B2878" s="43" t="inlineStr"/>
      <c r="C2878" s="43" t="inlineStr">
        <is>
          <t>节段17</t>
        </is>
      </c>
      <c r="D2878" s="43" t="inlineStr">
        <is>
          <t>Q420D</t>
        </is>
      </c>
      <c r="E2878" s="43" t="n">
        <v>9942</v>
      </c>
      <c r="F2878" s="43" t="n">
        <v>320</v>
      </c>
      <c r="G2878" s="43" t="n">
        <v>32</v>
      </c>
      <c r="H2878" s="79">
        <f>(E2878/1000)*(F2878/1000)*(G2878/1000)*7850</f>
        <v/>
      </c>
      <c r="I2878" s="43" t="n">
        <v>1</v>
      </c>
      <c r="J2878" s="80">
        <f>H2878*I2878</f>
        <v/>
      </c>
      <c r="K2878" s="43" t="inlineStr">
        <is>
          <t>来源页208</t>
        </is>
      </c>
      <c r="L2878" s="43">
        <f>A2878</f>
        <v/>
      </c>
      <c r="M2878" s="81" t="n"/>
      <c r="N2878" s="81" t="n"/>
      <c r="O2878" s="81" t="n"/>
      <c r="P2878" s="81" t="n"/>
      <c r="Q2878" s="81" t="n"/>
      <c r="R2878" s="81" t="n"/>
      <c r="S2878" s="81" t="n"/>
      <c r="T2878" s="81" t="n"/>
      <c r="U2878" s="81" t="n"/>
      <c r="V2878" s="81" t="n"/>
      <c r="W2878" s="43" t="n"/>
    </row>
    <row r="2879">
      <c r="A2879" s="43" t="inlineStr">
        <is>
          <t>N34</t>
        </is>
      </c>
      <c r="B2879" s="43" t="inlineStr"/>
      <c r="C2879" s="43" t="inlineStr">
        <is>
          <t>节段17</t>
        </is>
      </c>
      <c r="D2879" s="43" t="inlineStr">
        <is>
          <t>Q420D</t>
        </is>
      </c>
      <c r="E2879" s="43" t="n">
        <v>1200</v>
      </c>
      <c r="F2879" s="43" t="n">
        <v>1600</v>
      </c>
      <c r="G2879" s="43" t="n">
        <v>16</v>
      </c>
      <c r="H2879" s="79">
        <f>(E2879/1000)*(F2879/1000)*(G2879/1000)*7850</f>
        <v/>
      </c>
      <c r="I2879" s="43" t="n">
        <v>3</v>
      </c>
      <c r="J2879" s="80">
        <f>H2879*I2879</f>
        <v/>
      </c>
      <c r="K2879" s="43" t="inlineStr">
        <is>
          <t>来源页208</t>
        </is>
      </c>
      <c r="L2879" s="43">
        <f>A2879</f>
        <v/>
      </c>
      <c r="M2879" s="81" t="n"/>
      <c r="N2879" s="81" t="n"/>
      <c r="O2879" s="81" t="n"/>
      <c r="P2879" s="81" t="n"/>
      <c r="Q2879" s="81" t="n"/>
      <c r="R2879" s="81" t="n"/>
      <c r="S2879" s="81" t="n"/>
      <c r="T2879" s="81" t="n"/>
      <c r="U2879" s="81" t="n"/>
      <c r="V2879" s="81" t="n"/>
      <c r="W2879" s="43" t="n"/>
    </row>
    <row r="2880">
      <c r="A2880" s="43" t="inlineStr">
        <is>
          <t>N41</t>
        </is>
      </c>
      <c r="B2880" s="43" t="inlineStr"/>
      <c r="C2880" s="43" t="inlineStr">
        <is>
          <t>节段17</t>
        </is>
      </c>
      <c r="D2880" s="43" t="inlineStr">
        <is>
          <t>Q355D</t>
        </is>
      </c>
      <c r="E2880" s="43" t="n">
        <v>5426</v>
      </c>
      <c r="F2880" s="43" t="n">
        <v>1200</v>
      </c>
      <c r="G2880" s="43" t="n">
        <v>36</v>
      </c>
      <c r="H2880" s="79">
        <f>(E2880/1000)*(F2880/1000)*(G2880/1000)*7850</f>
        <v/>
      </c>
      <c r="I2880" s="43" t="n">
        <v>1</v>
      </c>
      <c r="J2880" s="80">
        <f>H2880*I2880</f>
        <v/>
      </c>
      <c r="K2880" s="43" t="inlineStr">
        <is>
          <t>来源页208</t>
        </is>
      </c>
      <c r="L2880" s="43">
        <f>A2880</f>
        <v/>
      </c>
      <c r="M2880" s="81" t="n"/>
      <c r="N2880" s="81" t="n"/>
      <c r="O2880" s="81" t="n"/>
      <c r="P2880" s="81" t="n"/>
      <c r="Q2880" s="81" t="n"/>
      <c r="R2880" s="81" t="n"/>
      <c r="S2880" s="81" t="n"/>
      <c r="T2880" s="81" t="n"/>
      <c r="U2880" s="81" t="n"/>
      <c r="V2880" s="81" t="n"/>
      <c r="W2880" s="43" t="n"/>
    </row>
    <row r="2881">
      <c r="A2881" s="43" t="inlineStr">
        <is>
          <t>N41a</t>
        </is>
      </c>
      <c r="B2881" s="43" t="inlineStr"/>
      <c r="C2881" s="43" t="inlineStr">
        <is>
          <t>节段17</t>
        </is>
      </c>
      <c r="D2881" s="43" t="inlineStr">
        <is>
          <t>Q355D</t>
        </is>
      </c>
      <c r="E2881" s="43" t="n">
        <v>5726</v>
      </c>
      <c r="F2881" s="43" t="n">
        <v>1200</v>
      </c>
      <c r="G2881" s="43" t="n">
        <v>36</v>
      </c>
      <c r="H2881" s="79">
        <f>(E2881/1000)*(F2881/1000)*(G2881/1000)*7850</f>
        <v/>
      </c>
      <c r="I2881" s="43" t="n">
        <v>1</v>
      </c>
      <c r="J2881" s="80">
        <f>H2881*I2881</f>
        <v/>
      </c>
      <c r="K2881" s="43" t="inlineStr">
        <is>
          <t>来源页208</t>
        </is>
      </c>
      <c r="L2881" s="43">
        <f>A2881</f>
        <v/>
      </c>
      <c r="M2881" s="81" t="n"/>
      <c r="N2881" s="81" t="n"/>
      <c r="O2881" s="81" t="n"/>
      <c r="P2881" s="81" t="n"/>
      <c r="Q2881" s="81" t="n"/>
      <c r="R2881" s="81" t="n"/>
      <c r="S2881" s="81" t="n"/>
      <c r="T2881" s="81" t="n"/>
      <c r="U2881" s="81" t="n"/>
      <c r="V2881" s="81" t="n"/>
      <c r="W2881" s="43" t="n"/>
    </row>
    <row r="2882">
      <c r="A2882" s="43" t="inlineStr">
        <is>
          <t>N42</t>
        </is>
      </c>
      <c r="B2882" s="43" t="inlineStr"/>
      <c r="C2882" s="43" t="inlineStr">
        <is>
          <t>节段17</t>
        </is>
      </c>
      <c r="D2882" s="43" t="inlineStr">
        <is>
          <t>Q355D</t>
        </is>
      </c>
      <c r="E2882" s="43" t="n">
        <v>3626</v>
      </c>
      <c r="F2882" s="43" t="n">
        <v>1360</v>
      </c>
      <c r="G2882" s="43" t="n">
        <v>36</v>
      </c>
      <c r="H2882" s="79">
        <f>(E2882/1000)*(F2882/1000)*(G2882/1000)*7850</f>
        <v/>
      </c>
      <c r="I2882" s="43" t="n">
        <v>2</v>
      </c>
      <c r="J2882" s="80">
        <f>H2882*I2882</f>
        <v/>
      </c>
      <c r="K2882" s="43" t="inlineStr">
        <is>
          <t>来源页208</t>
        </is>
      </c>
      <c r="L2882" s="43">
        <f>A2882</f>
        <v/>
      </c>
      <c r="M2882" s="81" t="n"/>
      <c r="N2882" s="81" t="n"/>
      <c r="O2882" s="81" t="n"/>
      <c r="P2882" s="81" t="n"/>
      <c r="Q2882" s="81" t="n"/>
      <c r="R2882" s="81" t="n"/>
      <c r="S2882" s="81" t="n"/>
      <c r="T2882" s="81" t="n"/>
      <c r="U2882" s="81" t="n"/>
      <c r="V2882" s="81" t="n"/>
      <c r="W2882" s="43" t="n"/>
    </row>
    <row r="2883">
      <c r="A2883" s="43" t="inlineStr">
        <is>
          <t>N43</t>
        </is>
      </c>
      <c r="B2883" s="43" t="inlineStr"/>
      <c r="C2883" s="43" t="inlineStr">
        <is>
          <t>节段17</t>
        </is>
      </c>
      <c r="D2883" s="43" t="inlineStr">
        <is>
          <t>Q355D</t>
        </is>
      </c>
      <c r="E2883" s="43" t="n">
        <v>3626</v>
      </c>
      <c r="F2883" s="43" t="n">
        <v>320</v>
      </c>
      <c r="G2883" s="43" t="n">
        <v>32</v>
      </c>
      <c r="H2883" s="79">
        <f>(E2883/1000)*(F2883/1000)*(G2883/1000)*7850</f>
        <v/>
      </c>
      <c r="I2883" s="43" t="n">
        <v>2</v>
      </c>
      <c r="J2883" s="80">
        <f>H2883*I2883</f>
        <v/>
      </c>
      <c r="K2883" s="43" t="inlineStr">
        <is>
          <t>来源页208</t>
        </is>
      </c>
      <c r="L2883" s="43">
        <f>A2883</f>
        <v/>
      </c>
      <c r="M2883" s="81" t="n"/>
      <c r="N2883" s="81" t="n"/>
      <c r="O2883" s="81" t="n"/>
      <c r="P2883" s="81" t="n"/>
      <c r="Q2883" s="81" t="n"/>
      <c r="R2883" s="81" t="n"/>
      <c r="S2883" s="81" t="n"/>
      <c r="T2883" s="81" t="n"/>
      <c r="U2883" s="81" t="n"/>
      <c r="V2883" s="81" t="n"/>
      <c r="W2883" s="43" t="n"/>
    </row>
    <row r="2884">
      <c r="A2884" s="43" t="inlineStr">
        <is>
          <t>N43a</t>
        </is>
      </c>
      <c r="B2884" s="43" t="inlineStr"/>
      <c r="C2884" s="43" t="inlineStr">
        <is>
          <t>节段17</t>
        </is>
      </c>
      <c r="D2884" s="43" t="inlineStr">
        <is>
          <t>Q355D</t>
        </is>
      </c>
      <c r="E2884" s="43" t="n">
        <v>4726</v>
      </c>
      <c r="F2884" s="43" t="n">
        <v>320</v>
      </c>
      <c r="G2884" s="43" t="n">
        <v>32</v>
      </c>
      <c r="H2884" s="79">
        <f>(E2884/1000)*(F2884/1000)*(G2884/1000)*7850</f>
        <v/>
      </c>
      <c r="I2884" s="43" t="n">
        <v>1</v>
      </c>
      <c r="J2884" s="80">
        <f>H2884*I2884</f>
        <v/>
      </c>
      <c r="K2884" s="43" t="inlineStr">
        <is>
          <t>来源页208</t>
        </is>
      </c>
      <c r="L2884" s="43">
        <f>A2884</f>
        <v/>
      </c>
      <c r="M2884" s="81" t="n"/>
      <c r="N2884" s="81" t="n"/>
      <c r="O2884" s="81" t="n"/>
      <c r="P2884" s="81" t="n"/>
      <c r="Q2884" s="81" t="n"/>
      <c r="R2884" s="81" t="n"/>
      <c r="S2884" s="81" t="n"/>
      <c r="T2884" s="81" t="n"/>
      <c r="U2884" s="81" t="n"/>
      <c r="V2884" s="81" t="n"/>
      <c r="W2884" s="43" t="n"/>
    </row>
    <row r="2885">
      <c r="A2885" s="43" t="inlineStr">
        <is>
          <t>N43b</t>
        </is>
      </c>
      <c r="B2885" s="43" t="inlineStr"/>
      <c r="C2885" s="43" t="inlineStr">
        <is>
          <t>节段17</t>
        </is>
      </c>
      <c r="D2885" s="43" t="inlineStr">
        <is>
          <t>Q355D</t>
        </is>
      </c>
      <c r="E2885" s="43" t="n">
        <v>5026</v>
      </c>
      <c r="F2885" s="43" t="n">
        <v>320</v>
      </c>
      <c r="G2885" s="43" t="n">
        <v>32</v>
      </c>
      <c r="H2885" s="79">
        <f>(E2885/1000)*(F2885/1000)*(G2885/1000)*7850</f>
        <v/>
      </c>
      <c r="I2885" s="43" t="n">
        <v>1</v>
      </c>
      <c r="J2885" s="80">
        <f>H2885*I2885</f>
        <v/>
      </c>
      <c r="K2885" s="43" t="inlineStr">
        <is>
          <t>来源页208</t>
        </is>
      </c>
      <c r="L2885" s="43">
        <f>A2885</f>
        <v/>
      </c>
      <c r="M2885" s="81" t="n"/>
      <c r="N2885" s="81" t="n"/>
      <c r="O2885" s="81" t="n"/>
      <c r="P2885" s="81" t="n"/>
      <c r="Q2885" s="81" t="n"/>
      <c r="R2885" s="81" t="n"/>
      <c r="S2885" s="81" t="n"/>
      <c r="T2885" s="81" t="n"/>
      <c r="U2885" s="81" t="n"/>
      <c r="V2885" s="81" t="n"/>
      <c r="W2885" s="43" t="n"/>
    </row>
    <row r="2886">
      <c r="A2886" s="43" t="inlineStr">
        <is>
          <t>N44</t>
        </is>
      </c>
      <c r="B2886" s="43" t="inlineStr"/>
      <c r="C2886" s="43" t="inlineStr">
        <is>
          <t>节段17</t>
        </is>
      </c>
      <c r="D2886" s="43" t="inlineStr">
        <is>
          <t>Q355D</t>
        </is>
      </c>
      <c r="E2886" s="43" t="n">
        <v>1200</v>
      </c>
      <c r="F2886" s="43" t="n">
        <v>1200</v>
      </c>
      <c r="G2886" s="43" t="n">
        <v>16</v>
      </c>
      <c r="H2886" s="79">
        <f>(E2886/1000)*(F2886/1000)*(G2886/1000)*7850</f>
        <v/>
      </c>
      <c r="I2886" s="43" t="n">
        <v>2</v>
      </c>
      <c r="J2886" s="80">
        <f>H2886*I2886</f>
        <v/>
      </c>
      <c r="K2886" s="43" t="inlineStr">
        <is>
          <t>来源页208</t>
        </is>
      </c>
      <c r="L2886" s="43">
        <f>A2886</f>
        <v/>
      </c>
      <c r="M2886" s="81" t="n"/>
      <c r="N2886" s="81" t="n"/>
      <c r="O2886" s="81" t="n"/>
      <c r="P2886" s="81" t="n"/>
      <c r="Q2886" s="81" t="n"/>
      <c r="R2886" s="81" t="n"/>
      <c r="S2886" s="81" t="n"/>
      <c r="T2886" s="81" t="n"/>
      <c r="U2886" s="81" t="n"/>
      <c r="V2886" s="81" t="n"/>
      <c r="W2886" s="43" t="n"/>
    </row>
    <row r="2887">
      <c r="A2887" s="43" t="inlineStr">
        <is>
          <t>N51</t>
        </is>
      </c>
      <c r="B2887" s="43" t="inlineStr"/>
      <c r="C2887" s="43" t="inlineStr">
        <is>
          <t>节段17</t>
        </is>
      </c>
      <c r="D2887" s="43" t="inlineStr">
        <is>
          <t>Q420D</t>
        </is>
      </c>
      <c r="E2887" s="43" t="n">
        <v>5629</v>
      </c>
      <c r="F2887" s="43" t="n">
        <v>1200</v>
      </c>
      <c r="G2887" s="43" t="n">
        <v>40</v>
      </c>
      <c r="H2887" s="79">
        <f>(E2887/1000)*(F2887/1000)*(G2887/1000)*7850</f>
        <v/>
      </c>
      <c r="I2887" s="43" t="n">
        <v>1</v>
      </c>
      <c r="J2887" s="80">
        <f>H2887*I2887</f>
        <v/>
      </c>
      <c r="K2887" s="43" t="inlineStr">
        <is>
          <t>来源页208</t>
        </is>
      </c>
      <c r="L2887" s="43">
        <f>A2887</f>
        <v/>
      </c>
      <c r="M2887" s="81" t="n"/>
      <c r="N2887" s="81" t="n"/>
      <c r="O2887" s="81" t="n"/>
      <c r="P2887" s="81" t="n"/>
      <c r="Q2887" s="81" t="n"/>
      <c r="R2887" s="81" t="n"/>
      <c r="S2887" s="81" t="n"/>
      <c r="T2887" s="81" t="n"/>
      <c r="U2887" s="81" t="n"/>
      <c r="V2887" s="81" t="n"/>
      <c r="W2887" s="43" t="n"/>
    </row>
    <row r="2888">
      <c r="A2888" s="43" t="inlineStr">
        <is>
          <t>N51a</t>
        </is>
      </c>
      <c r="B2888" s="43" t="inlineStr"/>
      <c r="C2888" s="43" t="inlineStr">
        <is>
          <t>节段17</t>
        </is>
      </c>
      <c r="D2888" s="43" t="inlineStr">
        <is>
          <t>Q420D</t>
        </is>
      </c>
      <c r="E2888" s="43" t="n">
        <v>5629</v>
      </c>
      <c r="F2888" s="43" t="n">
        <v>1200</v>
      </c>
      <c r="G2888" s="43" t="n">
        <v>40</v>
      </c>
      <c r="H2888" s="79">
        <f>(E2888/1000)*(F2888/1000)*(G2888/1000)*7850</f>
        <v/>
      </c>
      <c r="I2888" s="43" t="n">
        <v>1</v>
      </c>
      <c r="J2888" s="80">
        <f>H2888*I2888</f>
        <v/>
      </c>
      <c r="K2888" s="43" t="inlineStr">
        <is>
          <t>来源页208</t>
        </is>
      </c>
      <c r="L2888" s="43">
        <f>A2888</f>
        <v/>
      </c>
      <c r="M2888" s="81" t="n"/>
      <c r="N2888" s="81" t="n"/>
      <c r="O2888" s="81" t="n"/>
      <c r="P2888" s="81" t="n"/>
      <c r="Q2888" s="81" t="n"/>
      <c r="R2888" s="81" t="n"/>
      <c r="S2888" s="81" t="n"/>
      <c r="T2888" s="81" t="n"/>
      <c r="U2888" s="81" t="n"/>
      <c r="V2888" s="81" t="n"/>
      <c r="W2888" s="43" t="n"/>
    </row>
    <row r="2889">
      <c r="A2889" s="43" t="inlineStr">
        <is>
          <t>N52</t>
        </is>
      </c>
      <c r="B2889" s="43" t="inlineStr"/>
      <c r="C2889" s="43" t="inlineStr">
        <is>
          <t>节段17</t>
        </is>
      </c>
      <c r="D2889" s="43" t="inlineStr">
        <is>
          <t>Q420D</t>
        </is>
      </c>
      <c r="E2889" s="43" t="n">
        <v>3629</v>
      </c>
      <c r="F2889" s="43" t="n">
        <v>1760</v>
      </c>
      <c r="G2889" s="43" t="n">
        <v>40</v>
      </c>
      <c r="H2889" s="79">
        <f>(E2889/1000)*(F2889/1000)*(G2889/1000)*7850</f>
        <v/>
      </c>
      <c r="I2889" s="43" t="n">
        <v>2</v>
      </c>
      <c r="J2889" s="80">
        <f>H2889*I2889</f>
        <v/>
      </c>
      <c r="K2889" s="43" t="inlineStr">
        <is>
          <t>来源页208</t>
        </is>
      </c>
      <c r="L2889" s="43">
        <f>A2889</f>
        <v/>
      </c>
      <c r="M2889" s="81" t="n"/>
      <c r="N2889" s="81" t="n"/>
      <c r="O2889" s="81" t="n"/>
      <c r="P2889" s="81" t="n"/>
      <c r="Q2889" s="81" t="n"/>
      <c r="R2889" s="81" t="n"/>
      <c r="S2889" s="81" t="n"/>
      <c r="T2889" s="81" t="n"/>
      <c r="U2889" s="81" t="n"/>
      <c r="V2889" s="81" t="n"/>
      <c r="W2889" s="43" t="n"/>
    </row>
    <row r="2890">
      <c r="A2890" s="43" t="inlineStr">
        <is>
          <t>N53</t>
        </is>
      </c>
      <c r="B2890" s="43" t="inlineStr"/>
      <c r="C2890" s="43" t="inlineStr">
        <is>
          <t>节段17</t>
        </is>
      </c>
      <c r="D2890" s="43" t="inlineStr">
        <is>
          <t>Q420D</t>
        </is>
      </c>
      <c r="E2890" s="43" t="n">
        <v>3629</v>
      </c>
      <c r="F2890" s="43" t="n">
        <v>320</v>
      </c>
      <c r="G2890" s="43" t="n">
        <v>32</v>
      </c>
      <c r="H2890" s="79">
        <f>(E2890/1000)*(F2890/1000)*(G2890/1000)*7850</f>
        <v/>
      </c>
      <c r="I2890" s="43" t="n">
        <v>4</v>
      </c>
      <c r="J2890" s="80">
        <f>H2890*I2890</f>
        <v/>
      </c>
      <c r="K2890" s="43" t="inlineStr">
        <is>
          <t>来源页208</t>
        </is>
      </c>
      <c r="L2890" s="43">
        <f>A2890</f>
        <v/>
      </c>
      <c r="M2890" s="81" t="n"/>
      <c r="N2890" s="81" t="n"/>
      <c r="O2890" s="81" t="n"/>
      <c r="P2890" s="81" t="n"/>
      <c r="Q2890" s="81" t="n"/>
      <c r="R2890" s="81" t="n"/>
      <c r="S2890" s="81" t="n"/>
      <c r="T2890" s="81" t="n"/>
      <c r="U2890" s="81" t="n"/>
      <c r="V2890" s="81" t="n"/>
      <c r="W2890" s="43" t="n"/>
    </row>
    <row r="2891">
      <c r="A2891" s="43" t="inlineStr">
        <is>
          <t>N53a</t>
        </is>
      </c>
      <c r="B2891" s="43" t="inlineStr"/>
      <c r="C2891" s="43" t="inlineStr">
        <is>
          <t>节段17</t>
        </is>
      </c>
      <c r="D2891" s="43" t="inlineStr">
        <is>
          <t>Q420D</t>
        </is>
      </c>
      <c r="E2891" s="43" t="n">
        <v>4229</v>
      </c>
      <c r="F2891" s="43" t="n">
        <v>320</v>
      </c>
      <c r="G2891" s="43" t="n">
        <v>32</v>
      </c>
      <c r="H2891" s="79">
        <f>(E2891/1000)*(F2891/1000)*(G2891/1000)*7850</f>
        <v/>
      </c>
      <c r="I2891" s="43" t="n">
        <v>1</v>
      </c>
      <c r="J2891" s="80">
        <f>H2891*I2891</f>
        <v/>
      </c>
      <c r="K2891" s="43" t="inlineStr">
        <is>
          <t>来源页208</t>
        </is>
      </c>
      <c r="L2891" s="43">
        <f>A2891</f>
        <v/>
      </c>
      <c r="M2891" s="81" t="n"/>
      <c r="N2891" s="81" t="n"/>
      <c r="O2891" s="81" t="n"/>
      <c r="P2891" s="81" t="n"/>
      <c r="Q2891" s="81" t="n"/>
      <c r="R2891" s="81" t="n"/>
      <c r="S2891" s="81" t="n"/>
      <c r="T2891" s="81" t="n"/>
      <c r="U2891" s="81" t="n"/>
      <c r="V2891" s="81" t="n"/>
      <c r="W2891" s="43" t="n"/>
    </row>
    <row r="2892">
      <c r="A2892" s="43" t="inlineStr">
        <is>
          <t>N53b</t>
        </is>
      </c>
      <c r="B2892" s="43" t="inlineStr"/>
      <c r="C2892" s="43" t="inlineStr">
        <is>
          <t>节段17</t>
        </is>
      </c>
      <c r="D2892" s="43" t="inlineStr">
        <is>
          <t>Q420D</t>
        </is>
      </c>
      <c r="E2892" s="43" t="n">
        <v>4229</v>
      </c>
      <c r="F2892" s="43" t="n">
        <v>320</v>
      </c>
      <c r="G2892" s="43" t="n">
        <v>32</v>
      </c>
      <c r="H2892" s="79">
        <f>(E2892/1000)*(F2892/1000)*(G2892/1000)*7850</f>
        <v/>
      </c>
      <c r="I2892" s="43" t="n">
        <v>1</v>
      </c>
      <c r="J2892" s="80">
        <f>H2892*I2892</f>
        <v/>
      </c>
      <c r="K2892" s="43" t="inlineStr">
        <is>
          <t>来源页208</t>
        </is>
      </c>
      <c r="L2892" s="43">
        <f>A2892</f>
        <v/>
      </c>
      <c r="M2892" s="81" t="n"/>
      <c r="N2892" s="81" t="n"/>
      <c r="O2892" s="81" t="n"/>
      <c r="P2892" s="81" t="n"/>
      <c r="Q2892" s="81" t="n"/>
      <c r="R2892" s="81" t="n"/>
      <c r="S2892" s="81" t="n"/>
      <c r="T2892" s="81" t="n"/>
      <c r="U2892" s="81" t="n"/>
      <c r="V2892" s="81" t="n"/>
      <c r="W2892" s="43" t="n"/>
    </row>
    <row r="2893">
      <c r="A2893" s="43" t="inlineStr">
        <is>
          <t>N54</t>
        </is>
      </c>
      <c r="B2893" s="43" t="inlineStr"/>
      <c r="C2893" s="43" t="inlineStr">
        <is>
          <t>节段17</t>
        </is>
      </c>
      <c r="D2893" s="43" t="inlineStr">
        <is>
          <t>Q420D</t>
        </is>
      </c>
      <c r="E2893" s="43" t="n">
        <v>1200</v>
      </c>
      <c r="F2893" s="43" t="n">
        <v>1600</v>
      </c>
      <c r="G2893" s="43" t="n">
        <v>16</v>
      </c>
      <c r="H2893" s="79">
        <f>(E2893/1000)*(F2893/1000)*(G2893/1000)*7850</f>
        <v/>
      </c>
      <c r="I2893" s="43" t="n">
        <v>2</v>
      </c>
      <c r="J2893" s="80">
        <f>H2893*I2893</f>
        <v/>
      </c>
      <c r="K2893" s="43" t="inlineStr">
        <is>
          <t>来源页208</t>
        </is>
      </c>
      <c r="L2893" s="43">
        <f>A2893</f>
        <v/>
      </c>
      <c r="M2893" s="81" t="n"/>
      <c r="N2893" s="81" t="n"/>
      <c r="O2893" s="81" t="n"/>
      <c r="P2893" s="81" t="n"/>
      <c r="Q2893" s="81" t="n"/>
      <c r="R2893" s="81" t="n"/>
      <c r="S2893" s="81" t="n"/>
      <c r="T2893" s="81" t="n"/>
      <c r="U2893" s="81" t="n"/>
      <c r="V2893" s="81" t="n"/>
      <c r="W2893" s="43" t="n"/>
    </row>
    <row r="2894">
      <c r="A2894" s="43" t="inlineStr">
        <is>
          <t>N55</t>
        </is>
      </c>
      <c r="B2894" s="43" t="inlineStr"/>
      <c r="C2894" s="43" t="inlineStr">
        <is>
          <t>节段17</t>
        </is>
      </c>
      <c r="D2894" s="43" t="inlineStr">
        <is>
          <t>Q420D</t>
        </is>
      </c>
      <c r="E2894" s="43" t="n">
        <v>2100</v>
      </c>
      <c r="F2894" s="43" t="n">
        <v>320</v>
      </c>
      <c r="G2894" s="43" t="n">
        <v>32</v>
      </c>
      <c r="H2894" s="79">
        <f>(E2894/1000)*(F2894/1000)*(G2894/1000)*7850</f>
        <v/>
      </c>
      <c r="I2894" s="43" t="n">
        <v>8</v>
      </c>
      <c r="J2894" s="80">
        <f>H2894*I2894</f>
        <v/>
      </c>
      <c r="K2894" s="43" t="inlineStr">
        <is>
          <t>来源页208</t>
        </is>
      </c>
      <c r="L2894" s="43">
        <f>A2894</f>
        <v/>
      </c>
      <c r="M2894" s="81" t="n"/>
      <c r="N2894" s="81" t="n"/>
      <c r="O2894" s="81" t="n"/>
      <c r="P2894" s="81" t="n"/>
      <c r="Q2894" s="81" t="n"/>
      <c r="R2894" s="81" t="n"/>
      <c r="S2894" s="81" t="n"/>
      <c r="T2894" s="81" t="n"/>
      <c r="U2894" s="81" t="n"/>
      <c r="V2894" s="81" t="n"/>
      <c r="W2894" s="43" t="n"/>
    </row>
    <row r="2895">
      <c r="A2895" s="43" t="inlineStr">
        <is>
          <t>N56</t>
        </is>
      </c>
      <c r="B2895" s="43" t="inlineStr"/>
      <c r="C2895" s="43" t="inlineStr">
        <is>
          <t>节段17</t>
        </is>
      </c>
      <c r="D2895" s="43" t="inlineStr">
        <is>
          <t>Q420D</t>
        </is>
      </c>
      <c r="E2895" s="43" t="n">
        <v>2400</v>
      </c>
      <c r="F2895" s="43" t="n">
        <v>320</v>
      </c>
      <c r="G2895" s="43" t="n">
        <v>32</v>
      </c>
      <c r="H2895" s="79">
        <f>(E2895/1000)*(F2895/1000)*(G2895/1000)*7850</f>
        <v/>
      </c>
      <c r="I2895" s="43" t="n">
        <v>8</v>
      </c>
      <c r="J2895" s="80">
        <f>H2895*I2895</f>
        <v/>
      </c>
      <c r="K2895" s="43" t="inlineStr">
        <is>
          <t>来源页208</t>
        </is>
      </c>
      <c r="L2895" s="43">
        <f>A2895</f>
        <v/>
      </c>
      <c r="M2895" s="81" t="n"/>
      <c r="N2895" s="81" t="n"/>
      <c r="O2895" s="81" t="n"/>
      <c r="P2895" s="81" t="n"/>
      <c r="Q2895" s="81" t="n"/>
      <c r="R2895" s="81" t="n"/>
      <c r="S2895" s="81" t="n"/>
      <c r="T2895" s="81" t="n"/>
      <c r="U2895" s="81" t="n"/>
      <c r="V2895" s="81" t="n"/>
      <c r="W2895" s="43" t="n"/>
    </row>
    <row r="2896">
      <c r="A2896" s="43" t="inlineStr">
        <is>
          <t>N62</t>
        </is>
      </c>
      <c r="B2896" s="43" t="inlineStr"/>
      <c r="C2896" s="43" t="inlineStr">
        <is>
          <t>节段17</t>
        </is>
      </c>
      <c r="D2896" s="43" t="inlineStr">
        <is>
          <t>Q355D</t>
        </is>
      </c>
      <c r="E2896" s="43" t="n"/>
      <c r="F2896" s="43" t="n"/>
      <c r="G2896" s="43" t="n">
        <v>24</v>
      </c>
      <c r="H2896" s="79">
        <f>(E2896/1000)*(F2896/1000)*(G2896/1000)*7850</f>
        <v/>
      </c>
      <c r="I2896" s="43" t="n">
        <v>3</v>
      </c>
      <c r="J2896" s="80">
        <f>H2896*I2896</f>
        <v/>
      </c>
      <c r="K2896" s="43" t="inlineStr">
        <is>
          <t>来源页208</t>
        </is>
      </c>
      <c r="L2896" s="43">
        <f>A2896</f>
        <v/>
      </c>
      <c r="M2896" s="81" t="n"/>
      <c r="N2896" s="81" t="n"/>
      <c r="O2896" s="81" t="n"/>
      <c r="P2896" s="81" t="n"/>
      <c r="Q2896" s="81" t="n"/>
      <c r="R2896" s="81" t="n"/>
      <c r="S2896" s="81" t="n"/>
      <c r="T2896" s="81" t="n"/>
      <c r="U2896" s="81" t="n"/>
      <c r="V2896" s="81" t="n"/>
      <c r="W2896" s="43" t="n"/>
    </row>
    <row r="2897">
      <c r="A2897" s="43" t="inlineStr">
        <is>
          <t>N62a</t>
        </is>
      </c>
      <c r="B2897" s="43" t="inlineStr"/>
      <c r="C2897" s="43" t="inlineStr">
        <is>
          <t>节段17</t>
        </is>
      </c>
      <c r="D2897" s="43" t="inlineStr">
        <is>
          <t>Q355D</t>
        </is>
      </c>
      <c r="E2897" s="43" t="n"/>
      <c r="F2897" s="43" t="n"/>
      <c r="G2897" s="43" t="n">
        <v>24</v>
      </c>
      <c r="H2897" s="79">
        <f>(E2897/1000)*(F2897/1000)*(G2897/1000)*7850</f>
        <v/>
      </c>
      <c r="I2897" s="43" t="n">
        <v>2</v>
      </c>
      <c r="J2897" s="80">
        <f>H2897*I2897</f>
        <v/>
      </c>
      <c r="K2897" s="43" t="inlineStr">
        <is>
          <t>来源页208</t>
        </is>
      </c>
      <c r="L2897" s="43">
        <f>A2897</f>
        <v/>
      </c>
      <c r="M2897" s="81" t="n"/>
      <c r="N2897" s="81" t="n"/>
      <c r="O2897" s="81" t="n"/>
      <c r="P2897" s="81" t="n"/>
      <c r="Q2897" s="81" t="n"/>
      <c r="R2897" s="81" t="n"/>
      <c r="S2897" s="81" t="n"/>
      <c r="T2897" s="81" t="n"/>
      <c r="U2897" s="81" t="n"/>
      <c r="V2897" s="81" t="n"/>
      <c r="W2897" s="43" t="n"/>
    </row>
    <row r="2898">
      <c r="A2898" s="43" t="inlineStr">
        <is>
          <t>N63</t>
        </is>
      </c>
      <c r="B2898" s="43" t="inlineStr"/>
      <c r="C2898" s="43" t="inlineStr">
        <is>
          <t>节段17</t>
        </is>
      </c>
      <c r="D2898" s="43" t="inlineStr">
        <is>
          <t>Q355D</t>
        </is>
      </c>
      <c r="E2898" s="43" t="n">
        <v>1450</v>
      </c>
      <c r="F2898" s="43" t="n">
        <v>606</v>
      </c>
      <c r="G2898" s="43" t="n">
        <v>14</v>
      </c>
      <c r="H2898" s="79">
        <f>(E2898/1000)*(F2898/1000)*(G2898/1000)*7850</f>
        <v/>
      </c>
      <c r="I2898" s="43" t="n">
        <v>2</v>
      </c>
      <c r="J2898" s="80">
        <f>H2898*I2898</f>
        <v/>
      </c>
      <c r="K2898" s="43" t="inlineStr">
        <is>
          <t>来源页208</t>
        </is>
      </c>
      <c r="L2898" s="43">
        <f>A2898</f>
        <v/>
      </c>
      <c r="M2898" s="81" t="n"/>
      <c r="N2898" s="81" t="n"/>
      <c r="O2898" s="81" t="n"/>
      <c r="P2898" s="81" t="n"/>
      <c r="Q2898" s="81" t="n"/>
      <c r="R2898" s="81" t="n"/>
      <c r="S2898" s="81" t="n"/>
      <c r="T2898" s="81" t="n"/>
      <c r="U2898" s="81" t="n"/>
      <c r="V2898" s="81" t="n"/>
      <c r="W2898" s="43" t="n"/>
    </row>
    <row r="2899">
      <c r="A2899" s="43" t="inlineStr">
        <is>
          <t>N63a</t>
        </is>
      </c>
      <c r="B2899" s="43" t="inlineStr"/>
      <c r="C2899" s="43" t="inlineStr">
        <is>
          <t>节段17</t>
        </is>
      </c>
      <c r="D2899" s="43" t="inlineStr">
        <is>
          <t>Q355D</t>
        </is>
      </c>
      <c r="E2899" s="43" t="n">
        <v>1450</v>
      </c>
      <c r="F2899" s="43" t="n">
        <v>606</v>
      </c>
      <c r="G2899" s="43" t="n">
        <v>14</v>
      </c>
      <c r="H2899" s="79">
        <f>(E2899/1000)*(F2899/1000)*(G2899/1000)*7850</f>
        <v/>
      </c>
      <c r="I2899" s="43" t="n">
        <v>2</v>
      </c>
      <c r="J2899" s="80">
        <f>H2899*I2899</f>
        <v/>
      </c>
      <c r="K2899" s="43" t="inlineStr">
        <is>
          <t>来源页208</t>
        </is>
      </c>
      <c r="L2899" s="43">
        <f>A2899</f>
        <v/>
      </c>
      <c r="M2899" s="81" t="n"/>
      <c r="N2899" s="81" t="n"/>
      <c r="O2899" s="81" t="n"/>
      <c r="P2899" s="81" t="n"/>
      <c r="Q2899" s="81" t="n"/>
      <c r="R2899" s="81" t="n"/>
      <c r="S2899" s="81" t="n"/>
      <c r="T2899" s="81" t="n"/>
      <c r="U2899" s="81" t="n"/>
      <c r="V2899" s="81" t="n"/>
      <c r="W2899" s="43" t="n"/>
    </row>
    <row r="2900">
      <c r="A2900" s="43" t="inlineStr">
        <is>
          <t>N81</t>
        </is>
      </c>
      <c r="B2900" s="43" t="inlineStr"/>
      <c r="C2900" s="43" t="inlineStr">
        <is>
          <t>节段17</t>
        </is>
      </c>
      <c r="D2900" s="43" t="inlineStr">
        <is>
          <t>Q420D</t>
        </is>
      </c>
      <c r="E2900" s="43" t="n">
        <v>1450</v>
      </c>
      <c r="F2900" s="43" t="n">
        <v>1200</v>
      </c>
      <c r="G2900" s="43" t="n">
        <v>32</v>
      </c>
      <c r="H2900" s="79">
        <f>(E2900/1000)*(F2900/1000)*(G2900/1000)*7850</f>
        <v/>
      </c>
      <c r="I2900" s="43" t="n">
        <v>5</v>
      </c>
      <c r="J2900" s="80">
        <f>H2900*I2900</f>
        <v/>
      </c>
      <c r="K2900" s="43" t="inlineStr">
        <is>
          <t>来源页208</t>
        </is>
      </c>
      <c r="L2900" s="43">
        <f>A2900</f>
        <v/>
      </c>
      <c r="M2900" s="81" t="n"/>
      <c r="N2900" s="81" t="n"/>
      <c r="O2900" s="81" t="n"/>
      <c r="P2900" s="81" t="n"/>
      <c r="Q2900" s="81" t="n"/>
      <c r="R2900" s="81" t="n"/>
      <c r="S2900" s="81" t="n"/>
      <c r="T2900" s="81" t="n"/>
      <c r="U2900" s="81" t="n"/>
      <c r="V2900" s="81" t="n"/>
      <c r="W2900" s="43" t="n"/>
    </row>
    <row r="2901">
      <c r="A2901" s="43" t="inlineStr">
        <is>
          <t>N82</t>
        </is>
      </c>
      <c r="B2901" s="43" t="inlineStr"/>
      <c r="C2901" s="43" t="inlineStr">
        <is>
          <t>节段17</t>
        </is>
      </c>
      <c r="D2901" s="43" t="inlineStr">
        <is>
          <t>Q420D</t>
        </is>
      </c>
      <c r="E2901" s="43" t="n">
        <v>1450</v>
      </c>
      <c r="F2901" s="43" t="n">
        <v>602</v>
      </c>
      <c r="G2901" s="43" t="n">
        <v>60</v>
      </c>
      <c r="H2901" s="79">
        <f>(E2901/1000)*(F2901/1000)*(G2901/1000)*7850</f>
        <v/>
      </c>
      <c r="I2901" s="43" t="n">
        <v>3</v>
      </c>
      <c r="J2901" s="80">
        <f>H2901*I2901</f>
        <v/>
      </c>
      <c r="K2901" s="43" t="inlineStr">
        <is>
          <t>来源页208</t>
        </is>
      </c>
      <c r="L2901" s="43">
        <f>A2901</f>
        <v/>
      </c>
      <c r="M2901" s="81" t="n"/>
      <c r="N2901" s="81" t="n"/>
      <c r="O2901" s="81" t="n"/>
      <c r="P2901" s="81" t="n"/>
      <c r="Q2901" s="81" t="n"/>
      <c r="R2901" s="81" t="n"/>
      <c r="S2901" s="81" t="n"/>
      <c r="T2901" s="81" t="n"/>
      <c r="U2901" s="81" t="n"/>
      <c r="V2901" s="81" t="n"/>
      <c r="W2901" s="43" t="n"/>
    </row>
    <row r="2902">
      <c r="A2902" s="43" t="inlineStr">
        <is>
          <t>N83</t>
        </is>
      </c>
      <c r="B2902" s="43" t="inlineStr"/>
      <c r="C2902" s="43" t="inlineStr">
        <is>
          <t>节段17</t>
        </is>
      </c>
      <c r="D2902" s="43" t="inlineStr">
        <is>
          <t>Q420D</t>
        </is>
      </c>
      <c r="E2902" s="43" t="n">
        <v>2800</v>
      </c>
      <c r="F2902" s="43" t="n">
        <v>2650</v>
      </c>
      <c r="G2902" s="43" t="n">
        <v>80</v>
      </c>
      <c r="H2902" s="79">
        <f>(E2902/1000)*(F2902/1000)*(G2902/1000)*7850</f>
        <v/>
      </c>
      <c r="I2902" s="43" t="n">
        <v>1</v>
      </c>
      <c r="J2902" s="80">
        <f>H2902*I2902</f>
        <v/>
      </c>
      <c r="K2902" s="43" t="inlineStr">
        <is>
          <t>来源页208</t>
        </is>
      </c>
      <c r="L2902" s="43">
        <f>A2902</f>
        <v/>
      </c>
      <c r="M2902" s="81" t="n"/>
      <c r="N2902" s="81" t="n"/>
      <c r="O2902" s="81" t="n"/>
      <c r="P2902" s="81" t="n"/>
      <c r="Q2902" s="81" t="n"/>
      <c r="R2902" s="81" t="n"/>
      <c r="S2902" s="81" t="n"/>
      <c r="T2902" s="81" t="n"/>
      <c r="U2902" s="81" t="n"/>
      <c r="V2902" s="81" t="n"/>
      <c r="W2902" s="43" t="n"/>
    </row>
    <row r="2903">
      <c r="A2903" s="43" t="inlineStr">
        <is>
          <t>N84</t>
        </is>
      </c>
      <c r="B2903" s="43" t="inlineStr"/>
      <c r="C2903" s="43" t="inlineStr">
        <is>
          <t>节段17</t>
        </is>
      </c>
      <c r="D2903" s="43" t="inlineStr">
        <is>
          <t>Q420D</t>
        </is>
      </c>
      <c r="E2903" s="43" t="n">
        <v>1000</v>
      </c>
      <c r="F2903" s="43" t="n">
        <v>568</v>
      </c>
      <c r="G2903" s="43" t="n">
        <v>32</v>
      </c>
      <c r="H2903" s="79">
        <f>(E2903/1000)*(F2903/1000)*(G2903/1000)*7850</f>
        <v/>
      </c>
      <c r="I2903" s="43" t="n">
        <v>4</v>
      </c>
      <c r="J2903" s="80">
        <f>H2903*I2903</f>
        <v/>
      </c>
      <c r="K2903" s="43" t="inlineStr">
        <is>
          <t>来源页208</t>
        </is>
      </c>
      <c r="L2903" s="43">
        <f>A2903</f>
        <v/>
      </c>
      <c r="M2903" s="81" t="n"/>
      <c r="N2903" s="81" t="n"/>
      <c r="O2903" s="81" t="n"/>
      <c r="P2903" s="81" t="n"/>
      <c r="Q2903" s="81" t="n"/>
      <c r="R2903" s="81" t="n"/>
      <c r="S2903" s="81" t="n"/>
      <c r="T2903" s="81" t="n"/>
      <c r="U2903" s="81" t="n"/>
      <c r="V2903" s="81" t="n"/>
      <c r="W2903" s="43" t="n"/>
    </row>
    <row r="2904">
      <c r="A2904" s="43" t="inlineStr">
        <is>
          <t>N85</t>
        </is>
      </c>
      <c r="B2904" s="43" t="inlineStr"/>
      <c r="C2904" s="43" t="inlineStr">
        <is>
          <t>节段17</t>
        </is>
      </c>
      <c r="D2904" s="43" t="inlineStr">
        <is>
          <t>Q420D</t>
        </is>
      </c>
      <c r="E2904" s="43" t="n">
        <v>1350</v>
      </c>
      <c r="F2904" s="43" t="n">
        <v>570</v>
      </c>
      <c r="G2904" s="43" t="n">
        <v>32</v>
      </c>
      <c r="H2904" s="79">
        <f>(E2904/1000)*(F2904/1000)*(G2904/1000)*7850</f>
        <v/>
      </c>
      <c r="I2904" s="43" t="n">
        <v>7</v>
      </c>
      <c r="J2904" s="80">
        <f>H2904*I2904</f>
        <v/>
      </c>
      <c r="K2904" s="43" t="inlineStr">
        <is>
          <t>来源页208</t>
        </is>
      </c>
      <c r="L2904" s="43">
        <f>A2904</f>
        <v/>
      </c>
      <c r="M2904" s="81" t="n"/>
      <c r="N2904" s="81" t="n"/>
      <c r="O2904" s="81" t="n"/>
      <c r="P2904" s="81" t="n"/>
      <c r="Q2904" s="81" t="n"/>
      <c r="R2904" s="81" t="n"/>
      <c r="S2904" s="81" t="n"/>
      <c r="T2904" s="81" t="n"/>
      <c r="U2904" s="81" t="n"/>
      <c r="V2904" s="81" t="n"/>
      <c r="W2904" s="43" t="n"/>
    </row>
    <row r="2905">
      <c r="A2905" s="43" t="inlineStr">
        <is>
          <t>N86</t>
        </is>
      </c>
      <c r="B2905" s="43" t="inlineStr"/>
      <c r="C2905" s="43" t="inlineStr">
        <is>
          <t>节段17</t>
        </is>
      </c>
      <c r="D2905" s="43" t="inlineStr">
        <is>
          <t>Q420D</t>
        </is>
      </c>
      <c r="E2905" s="43" t="n">
        <v>2960</v>
      </c>
      <c r="F2905" s="43" t="n">
        <v>650</v>
      </c>
      <c r="G2905" s="43" t="n">
        <v>32</v>
      </c>
      <c r="H2905" s="79">
        <f>(E2905/1000)*(F2905/1000)*(G2905/1000)*7850</f>
        <v/>
      </c>
      <c r="I2905" s="43" t="n">
        <v>1</v>
      </c>
      <c r="J2905" s="80">
        <f>H2905*I2905</f>
        <v/>
      </c>
      <c r="K2905" s="43" t="inlineStr">
        <is>
          <t>来源页208</t>
        </is>
      </c>
      <c r="L2905" s="43">
        <f>A2905</f>
        <v/>
      </c>
      <c r="M2905" s="81" t="n"/>
      <c r="N2905" s="81" t="n"/>
      <c r="O2905" s="81" t="n"/>
      <c r="P2905" s="81" t="n"/>
      <c r="Q2905" s="81" t="n"/>
      <c r="R2905" s="81" t="n"/>
      <c r="S2905" s="81" t="n"/>
      <c r="T2905" s="81" t="n"/>
      <c r="U2905" s="81" t="n"/>
      <c r="V2905" s="81" t="n"/>
      <c r="W2905" s="43" t="n"/>
    </row>
    <row r="2906">
      <c r="A2906" s="43" t="inlineStr">
        <is>
          <t>P1</t>
        </is>
      </c>
      <c r="B2906" s="43" t="inlineStr">
        <is>
          <t>上弦杆拼接</t>
        </is>
      </c>
      <c r="C2906" s="43" t="inlineStr">
        <is>
          <t>节段17~节段18</t>
        </is>
      </c>
      <c r="D2906" s="43" t="inlineStr">
        <is>
          <t>Q420D</t>
        </is>
      </c>
      <c r="E2906" s="43" t="n">
        <v>1820</v>
      </c>
      <c r="F2906" s="43" t="n">
        <v>1400</v>
      </c>
      <c r="G2906" s="43" t="n">
        <v>40</v>
      </c>
      <c r="H2906" s="79">
        <f>(E2906/1000)*(F2906/1000)*(G2906/1000)*7850</f>
        <v/>
      </c>
      <c r="I2906" s="43" t="n">
        <v>2</v>
      </c>
      <c r="J2906" s="80">
        <f>H2906*I2906</f>
        <v/>
      </c>
      <c r="K2906" s="43" t="inlineStr">
        <is>
          <t>来源页211</t>
        </is>
      </c>
      <c r="L2906" s="43">
        <f>A2906</f>
        <v/>
      </c>
      <c r="M2906" s="81" t="n"/>
      <c r="N2906" s="81" t="n"/>
      <c r="O2906" s="81" t="n"/>
      <c r="P2906" s="81" t="n"/>
      <c r="Q2906" s="81" t="n"/>
      <c r="R2906" s="81" t="n"/>
      <c r="S2906" s="81" t="n"/>
      <c r="T2906" s="81" t="n"/>
      <c r="U2906" s="81" t="n"/>
      <c r="V2906" s="81" t="n"/>
      <c r="W2906" s="43" t="n"/>
    </row>
    <row r="2907">
      <c r="A2907" s="43" t="inlineStr">
        <is>
          <t>P2</t>
        </is>
      </c>
      <c r="B2907" s="43" t="inlineStr">
        <is>
          <t>上弦杆拼接</t>
        </is>
      </c>
      <c r="C2907" s="43" t="inlineStr">
        <is>
          <t>节段17~节段18</t>
        </is>
      </c>
      <c r="D2907" s="43" t="inlineStr">
        <is>
          <t>Q420D</t>
        </is>
      </c>
      <c r="E2907" s="43" t="n">
        <v>1820</v>
      </c>
      <c r="F2907" s="43" t="n">
        <v>300</v>
      </c>
      <c r="G2907" s="43" t="n">
        <v>40</v>
      </c>
      <c r="H2907" s="79">
        <f>(E2907/1000)*(F2907/1000)*(G2907/1000)*7850</f>
        <v/>
      </c>
      <c r="I2907" s="43" t="n">
        <v>2</v>
      </c>
      <c r="J2907" s="80">
        <f>H2907*I2907</f>
        <v/>
      </c>
      <c r="K2907" s="43" t="inlineStr">
        <is>
          <t>来源页211</t>
        </is>
      </c>
      <c r="L2907" s="43">
        <f>A2907</f>
        <v/>
      </c>
      <c r="M2907" s="81" t="n"/>
      <c r="N2907" s="81" t="n"/>
      <c r="O2907" s="81" t="n"/>
      <c r="P2907" s="81" t="n"/>
      <c r="Q2907" s="81" t="n"/>
      <c r="R2907" s="81" t="n"/>
      <c r="S2907" s="81" t="n"/>
      <c r="T2907" s="81" t="n"/>
      <c r="U2907" s="81" t="n"/>
      <c r="V2907" s="81" t="n"/>
      <c r="W2907" s="43" t="n"/>
    </row>
    <row r="2908">
      <c r="A2908" s="43" t="inlineStr">
        <is>
          <t>P3</t>
        </is>
      </c>
      <c r="B2908" s="43" t="inlineStr">
        <is>
          <t>上弦杆拼接</t>
        </is>
      </c>
      <c r="C2908" s="43" t="inlineStr">
        <is>
          <t>节段17~节段18</t>
        </is>
      </c>
      <c r="D2908" s="43" t="inlineStr">
        <is>
          <t>Q420D</t>
        </is>
      </c>
      <c r="E2908" s="43" t="n">
        <v>1820</v>
      </c>
      <c r="F2908" s="43" t="n">
        <v>500</v>
      </c>
      <c r="G2908" s="43" t="n">
        <v>40</v>
      </c>
      <c r="H2908" s="79">
        <f>(E2908/1000)*(F2908/1000)*(G2908/1000)*7850</f>
        <v/>
      </c>
      <c r="I2908" s="43" t="n">
        <v>2</v>
      </c>
      <c r="J2908" s="80">
        <f>H2908*I2908</f>
        <v/>
      </c>
      <c r="K2908" s="43" t="inlineStr">
        <is>
          <t>来源页211</t>
        </is>
      </c>
      <c r="L2908" s="43">
        <f>A2908</f>
        <v/>
      </c>
      <c r="M2908" s="81" t="n"/>
      <c r="N2908" s="81" t="n"/>
      <c r="O2908" s="81" t="n"/>
      <c r="P2908" s="81" t="n"/>
      <c r="Q2908" s="81" t="n"/>
      <c r="R2908" s="81" t="n"/>
      <c r="S2908" s="81" t="n"/>
      <c r="T2908" s="81" t="n"/>
      <c r="U2908" s="81" t="n"/>
      <c r="V2908" s="81" t="n"/>
      <c r="W2908" s="43" t="n"/>
    </row>
    <row r="2909">
      <c r="A2909" s="43" t="inlineStr">
        <is>
          <t>P4</t>
        </is>
      </c>
      <c r="B2909" s="43" t="inlineStr">
        <is>
          <t>上弦杆拼接</t>
        </is>
      </c>
      <c r="C2909" s="43" t="inlineStr">
        <is>
          <t>节段17~节段18</t>
        </is>
      </c>
      <c r="D2909" s="43" t="inlineStr">
        <is>
          <t>Q420D</t>
        </is>
      </c>
      <c r="E2909" s="43" t="n">
        <v>1820</v>
      </c>
      <c r="F2909" s="43" t="n">
        <v>400</v>
      </c>
      <c r="G2909" s="43" t="n">
        <v>40</v>
      </c>
      <c r="H2909" s="79">
        <f>(E2909/1000)*(F2909/1000)*(G2909/1000)*7850</f>
        <v/>
      </c>
      <c r="I2909" s="43" t="n">
        <v>2</v>
      </c>
      <c r="J2909" s="80">
        <f>H2909*I2909</f>
        <v/>
      </c>
      <c r="K2909" s="43" t="inlineStr">
        <is>
          <t>来源页211</t>
        </is>
      </c>
      <c r="L2909" s="43">
        <f>A2909</f>
        <v/>
      </c>
      <c r="M2909" s="81" t="n"/>
      <c r="N2909" s="81" t="n"/>
      <c r="O2909" s="81" t="n"/>
      <c r="P2909" s="81" t="n"/>
      <c r="Q2909" s="81" t="n"/>
      <c r="R2909" s="81" t="n"/>
      <c r="S2909" s="81" t="n"/>
      <c r="T2909" s="81" t="n"/>
      <c r="U2909" s="81" t="n"/>
      <c r="V2909" s="81" t="n"/>
      <c r="W2909" s="43" t="n"/>
    </row>
    <row r="2910">
      <c r="A2910" s="43" t="inlineStr">
        <is>
          <t>P5</t>
        </is>
      </c>
      <c r="B2910" s="43" t="inlineStr">
        <is>
          <t>上弦杆拼接</t>
        </is>
      </c>
      <c r="C2910" s="43" t="inlineStr">
        <is>
          <t>节段17~节段18</t>
        </is>
      </c>
      <c r="D2910" s="43" t="inlineStr">
        <is>
          <t>Q420D</t>
        </is>
      </c>
      <c r="E2910" s="43" t="n">
        <v>1720</v>
      </c>
      <c r="F2910" s="43" t="n">
        <v>1100</v>
      </c>
      <c r="G2910" s="43" t="n">
        <v>44</v>
      </c>
      <c r="H2910" s="79">
        <f>(E2910/1000)*(F2910/1000)*(G2910/1000)*7850</f>
        <v/>
      </c>
      <c r="I2910" s="43" t="n">
        <v>1</v>
      </c>
      <c r="J2910" s="80">
        <f>H2910*I2910</f>
        <v/>
      </c>
      <c r="K2910" s="43" t="inlineStr">
        <is>
          <t>来源页211</t>
        </is>
      </c>
      <c r="L2910" s="43">
        <f>A2910</f>
        <v/>
      </c>
      <c r="M2910" s="81" t="n"/>
      <c r="N2910" s="81" t="n"/>
      <c r="O2910" s="81" t="n"/>
      <c r="P2910" s="81" t="n"/>
      <c r="Q2910" s="81" t="n"/>
      <c r="R2910" s="81" t="n"/>
      <c r="S2910" s="81" t="n"/>
      <c r="T2910" s="81" t="n"/>
      <c r="U2910" s="81" t="n"/>
      <c r="V2910" s="81" t="n"/>
      <c r="W2910" s="43" t="n"/>
    </row>
    <row r="2911">
      <c r="A2911" s="43" t="inlineStr">
        <is>
          <t>P6</t>
        </is>
      </c>
      <c r="B2911" s="43" t="inlineStr">
        <is>
          <t>上弦杆拼接</t>
        </is>
      </c>
      <c r="C2911" s="43" t="inlineStr">
        <is>
          <t>节段17~节段18</t>
        </is>
      </c>
      <c r="D2911" s="43" t="inlineStr">
        <is>
          <t>Q420D</t>
        </is>
      </c>
      <c r="E2911" s="43" t="n">
        <v>1720</v>
      </c>
      <c r="F2911" s="43" t="n">
        <v>400</v>
      </c>
      <c r="G2911" s="43" t="n">
        <v>44</v>
      </c>
      <c r="H2911" s="79">
        <f>(E2911/1000)*(F2911/1000)*(G2911/1000)*7850</f>
        <v/>
      </c>
      <c r="I2911" s="43" t="n">
        <v>2</v>
      </c>
      <c r="J2911" s="80">
        <f>H2911*I2911</f>
        <v/>
      </c>
      <c r="K2911" s="43" t="inlineStr">
        <is>
          <t>来源页211</t>
        </is>
      </c>
      <c r="L2911" s="43">
        <f>A2911</f>
        <v/>
      </c>
      <c r="M2911" s="81" t="n"/>
      <c r="N2911" s="81" t="n"/>
      <c r="O2911" s="81" t="n"/>
      <c r="P2911" s="81" t="n"/>
      <c r="Q2911" s="81" t="n"/>
      <c r="R2911" s="81" t="n"/>
      <c r="S2911" s="81" t="n"/>
      <c r="T2911" s="81" t="n"/>
      <c r="U2911" s="81" t="n"/>
      <c r="V2911" s="81" t="n"/>
      <c r="W2911" s="43" t="n"/>
    </row>
    <row r="2912">
      <c r="A2912" s="43" t="inlineStr">
        <is>
          <t>P7</t>
        </is>
      </c>
      <c r="B2912" s="43" t="inlineStr">
        <is>
          <t>上弦杆拼接</t>
        </is>
      </c>
      <c r="C2912" s="43" t="inlineStr">
        <is>
          <t>节段17~节段18</t>
        </is>
      </c>
      <c r="D2912" s="43" t="inlineStr">
        <is>
          <t>Q420D</t>
        </is>
      </c>
      <c r="E2912" s="43" t="n">
        <v>1320</v>
      </c>
      <c r="F2912" s="43" t="n">
        <v>240</v>
      </c>
      <c r="G2912" s="43" t="n">
        <v>24</v>
      </c>
      <c r="H2912" s="79">
        <f>(E2912/1000)*(F2912/1000)*(G2912/1000)*7850</f>
        <v/>
      </c>
      <c r="I2912" s="43" t="n">
        <v>10</v>
      </c>
      <c r="J2912" s="80">
        <f>H2912*I2912</f>
        <v/>
      </c>
      <c r="K2912" s="43" t="inlineStr">
        <is>
          <t>来源页211</t>
        </is>
      </c>
      <c r="L2912" s="43">
        <f>A2912</f>
        <v/>
      </c>
      <c r="M2912" s="81" t="n"/>
      <c r="N2912" s="81" t="n"/>
      <c r="O2912" s="81" t="n"/>
      <c r="P2912" s="81" t="n"/>
      <c r="Q2912" s="81" t="n"/>
      <c r="R2912" s="81" t="n"/>
      <c r="S2912" s="81" t="n"/>
      <c r="T2912" s="81" t="n"/>
      <c r="U2912" s="81" t="n"/>
      <c r="V2912" s="81" t="n"/>
      <c r="W2912" s="43" t="n"/>
    </row>
    <row r="2913">
      <c r="A2913" s="43" t="inlineStr">
        <is>
          <t>M30高强螺栓</t>
        </is>
      </c>
      <c r="B2913" s="43" t="inlineStr">
        <is>
          <t>上弦杆拼接</t>
        </is>
      </c>
      <c r="C2913" s="43" t="inlineStr">
        <is>
          <t>节段17~节段18</t>
        </is>
      </c>
      <c r="D2913" s="43" t="inlineStr">
        <is>
          <t>10.9S</t>
        </is>
      </c>
      <c r="E2913" s="43" t="n"/>
      <c r="F2913" s="43" t="n"/>
      <c r="G2913" s="43" t="n"/>
      <c r="H2913" s="79">
        <f>(E2913/1000)*(F2913/1000)*(G2913/1000)*7850</f>
        <v/>
      </c>
      <c r="I2913" s="43" t="n">
        <v>652</v>
      </c>
      <c r="J2913" s="80">
        <f>H2913*I2913</f>
        <v/>
      </c>
      <c r="K2913" s="43" t="inlineStr">
        <is>
          <t>来源页211</t>
        </is>
      </c>
      <c r="L2913" s="43">
        <f>A2913</f>
        <v/>
      </c>
      <c r="M2913" s="81" t="n"/>
      <c r="N2913" s="81" t="n"/>
      <c r="O2913" s="81" t="n"/>
      <c r="P2913" s="81" t="n"/>
      <c r="Q2913" s="81" t="n"/>
      <c r="R2913" s="81" t="n"/>
      <c r="S2913" s="81" t="n"/>
      <c r="T2913" s="81" t="n"/>
      <c r="U2913" s="81" t="n"/>
      <c r="V2913" s="81" t="n"/>
      <c r="W2913" s="43" t="n"/>
    </row>
    <row r="2914">
      <c r="A2914" s="43" t="inlineStr">
        <is>
          <t>K1</t>
        </is>
      </c>
      <c r="B2914" s="43" t="inlineStr">
        <is>
          <t>下弦杆拼接</t>
        </is>
      </c>
      <c r="C2914" s="43" t="inlineStr">
        <is>
          <t>节段17~节段18</t>
        </is>
      </c>
      <c r="D2914" s="43" t="inlineStr">
        <is>
          <t>Q420D</t>
        </is>
      </c>
      <c r="E2914" s="43" t="n">
        <v>1220</v>
      </c>
      <c r="F2914" s="43" t="n">
        <v>1300</v>
      </c>
      <c r="G2914" s="43" t="n">
        <v>28</v>
      </c>
      <c r="H2914" s="79">
        <f>(E2914/1000)*(F2914/1000)*(G2914/1000)*7850</f>
        <v/>
      </c>
      <c r="I2914" s="43" t="n">
        <v>2</v>
      </c>
      <c r="J2914" s="80">
        <f>H2914*I2914</f>
        <v/>
      </c>
      <c r="K2914" s="43" t="inlineStr">
        <is>
          <t>来源页211</t>
        </is>
      </c>
      <c r="L2914" s="43">
        <f>A2914</f>
        <v/>
      </c>
      <c r="M2914" s="81" t="n"/>
      <c r="N2914" s="81" t="n"/>
      <c r="O2914" s="81" t="n"/>
      <c r="P2914" s="81" t="n"/>
      <c r="Q2914" s="81" t="n"/>
      <c r="R2914" s="81" t="n"/>
      <c r="S2914" s="81" t="n"/>
      <c r="T2914" s="81" t="n"/>
      <c r="U2914" s="81" t="n"/>
      <c r="V2914" s="81" t="n"/>
      <c r="W2914" s="43" t="n"/>
    </row>
    <row r="2915">
      <c r="A2915" s="43" t="inlineStr">
        <is>
          <t>K2</t>
        </is>
      </c>
      <c r="B2915" s="43" t="inlineStr">
        <is>
          <t>下弦杆拼接</t>
        </is>
      </c>
      <c r="C2915" s="43" t="inlineStr">
        <is>
          <t>节段17~节段18</t>
        </is>
      </c>
      <c r="D2915" s="43" t="inlineStr">
        <is>
          <t>Q420D</t>
        </is>
      </c>
      <c r="E2915" s="43" t="n">
        <v>1220</v>
      </c>
      <c r="F2915" s="43" t="n">
        <v>600</v>
      </c>
      <c r="G2915" s="43" t="n">
        <v>28</v>
      </c>
      <c r="H2915" s="79">
        <f>(E2915/1000)*(F2915/1000)*(G2915/1000)*7850</f>
        <v/>
      </c>
      <c r="I2915" s="43" t="n">
        <v>4</v>
      </c>
      <c r="J2915" s="80">
        <f>H2915*I2915</f>
        <v/>
      </c>
      <c r="K2915" s="43" t="inlineStr">
        <is>
          <t>来源页211</t>
        </is>
      </c>
      <c r="L2915" s="43">
        <f>A2915</f>
        <v/>
      </c>
      <c r="M2915" s="81" t="n"/>
      <c r="N2915" s="81" t="n"/>
      <c r="O2915" s="81" t="n"/>
      <c r="P2915" s="81" t="n"/>
      <c r="Q2915" s="81" t="n"/>
      <c r="R2915" s="81" t="n"/>
      <c r="S2915" s="81" t="n"/>
      <c r="T2915" s="81" t="n"/>
      <c r="U2915" s="81" t="n"/>
      <c r="V2915" s="81" t="n"/>
      <c r="W2915" s="43" t="n"/>
    </row>
    <row r="2916">
      <c r="A2916" s="43" t="inlineStr">
        <is>
          <t>K3</t>
        </is>
      </c>
      <c r="B2916" s="43" t="inlineStr">
        <is>
          <t>下弦杆拼接</t>
        </is>
      </c>
      <c r="C2916" s="43" t="inlineStr">
        <is>
          <t>节段17~节段18</t>
        </is>
      </c>
      <c r="D2916" s="43" t="inlineStr">
        <is>
          <t>Q420D</t>
        </is>
      </c>
      <c r="E2916" s="43" t="n">
        <v>1520</v>
      </c>
      <c r="F2916" s="43" t="n">
        <v>1100</v>
      </c>
      <c r="G2916" s="43" t="n">
        <v>36</v>
      </c>
      <c r="H2916" s="79">
        <f>(E2916/1000)*(F2916/1000)*(G2916/1000)*7850</f>
        <v/>
      </c>
      <c r="I2916" s="43" t="n">
        <v>1</v>
      </c>
      <c r="J2916" s="80">
        <f>H2916*I2916</f>
        <v/>
      </c>
      <c r="K2916" s="43" t="inlineStr">
        <is>
          <t>来源页211</t>
        </is>
      </c>
      <c r="L2916" s="43">
        <f>A2916</f>
        <v/>
      </c>
      <c r="M2916" s="81" t="n"/>
      <c r="N2916" s="81" t="n"/>
      <c r="O2916" s="81" t="n"/>
      <c r="P2916" s="81" t="n"/>
      <c r="Q2916" s="81" t="n"/>
      <c r="R2916" s="81" t="n"/>
      <c r="S2916" s="81" t="n"/>
      <c r="T2916" s="81" t="n"/>
      <c r="U2916" s="81" t="n"/>
      <c r="V2916" s="81" t="n"/>
      <c r="W2916" s="43" t="n"/>
    </row>
    <row r="2917">
      <c r="A2917" s="43" t="inlineStr">
        <is>
          <t>K4</t>
        </is>
      </c>
      <c r="B2917" s="43" t="inlineStr">
        <is>
          <t>下弦杆拼接</t>
        </is>
      </c>
      <c r="C2917" s="43" t="inlineStr">
        <is>
          <t>节段17~节段18</t>
        </is>
      </c>
      <c r="D2917" s="43" t="inlineStr">
        <is>
          <t>Q420D</t>
        </is>
      </c>
      <c r="E2917" s="43" t="n">
        <v>1520</v>
      </c>
      <c r="F2917" s="43" t="n">
        <v>400</v>
      </c>
      <c r="G2917" s="43" t="n">
        <v>36</v>
      </c>
      <c r="H2917" s="79">
        <f>(E2917/1000)*(F2917/1000)*(G2917/1000)*7850</f>
        <v/>
      </c>
      <c r="I2917" s="43" t="n">
        <v>2</v>
      </c>
      <c r="J2917" s="80">
        <f>H2917*I2917</f>
        <v/>
      </c>
      <c r="K2917" s="43" t="inlineStr">
        <is>
          <t>来源页211</t>
        </is>
      </c>
      <c r="L2917" s="43">
        <f>A2917</f>
        <v/>
      </c>
      <c r="M2917" s="81" t="n"/>
      <c r="N2917" s="81" t="n"/>
      <c r="O2917" s="81" t="n"/>
      <c r="P2917" s="81" t="n"/>
      <c r="Q2917" s="81" t="n"/>
      <c r="R2917" s="81" t="n"/>
      <c r="S2917" s="81" t="n"/>
      <c r="T2917" s="81" t="n"/>
      <c r="U2917" s="81" t="n"/>
      <c r="V2917" s="81" t="n"/>
      <c r="W2917" s="43" t="n"/>
    </row>
    <row r="2918">
      <c r="A2918" s="43" t="inlineStr">
        <is>
          <t>K6</t>
        </is>
      </c>
      <c r="B2918" s="43" t="inlineStr">
        <is>
          <t>下弦杆拼接</t>
        </is>
      </c>
      <c r="C2918" s="43" t="inlineStr">
        <is>
          <t>节段17~节段18</t>
        </is>
      </c>
      <c r="D2918" s="43" t="inlineStr">
        <is>
          <t>Q420D</t>
        </is>
      </c>
      <c r="E2918" s="43" t="n">
        <v>600</v>
      </c>
      <c r="F2918" s="43" t="n">
        <v>1300</v>
      </c>
      <c r="G2918" s="43" t="n">
        <v>4</v>
      </c>
      <c r="H2918" s="79">
        <f>(E2918/1000)*(F2918/1000)*(G2918/1000)*7850</f>
        <v/>
      </c>
      <c r="I2918" s="43" t="n">
        <v>1</v>
      </c>
      <c r="J2918" s="80">
        <f>H2918*I2918</f>
        <v/>
      </c>
      <c r="K2918" s="43" t="inlineStr">
        <is>
          <t>填板；来源页211</t>
        </is>
      </c>
      <c r="L2918" s="43">
        <f>A2918</f>
        <v/>
      </c>
      <c r="M2918" s="81" t="n"/>
      <c r="N2918" s="81" t="n"/>
      <c r="O2918" s="81" t="n"/>
      <c r="P2918" s="81" t="n"/>
      <c r="Q2918" s="81" t="n"/>
      <c r="R2918" s="81" t="n"/>
      <c r="S2918" s="81" t="n"/>
      <c r="T2918" s="81" t="n"/>
      <c r="U2918" s="81" t="n"/>
      <c r="V2918" s="81" t="n"/>
      <c r="W2918" s="43" t="n"/>
    </row>
    <row r="2919">
      <c r="A2919" s="43" t="inlineStr">
        <is>
          <t>M30高强螺栓</t>
        </is>
      </c>
      <c r="B2919" s="43" t="inlineStr">
        <is>
          <t>下弦杆拼接</t>
        </is>
      </c>
      <c r="C2919" s="43" t="inlineStr">
        <is>
          <t>节段17~节段18</t>
        </is>
      </c>
      <c r="D2919" s="43" t="inlineStr">
        <is>
          <t>10.9S</t>
        </is>
      </c>
      <c r="E2919" s="43" t="n"/>
      <c r="F2919" s="43" t="n"/>
      <c r="G2919" s="43" t="n"/>
      <c r="H2919" s="79">
        <f>(E2919/1000)*(F2919/1000)*(G2919/1000)*7850</f>
        <v/>
      </c>
      <c r="I2919" s="43" t="n">
        <v>484</v>
      </c>
      <c r="J2919" s="80">
        <f>H2919*I2919</f>
        <v/>
      </c>
      <c r="K2919" s="43" t="inlineStr">
        <is>
          <t>来源页211</t>
        </is>
      </c>
      <c r="L2919" s="43">
        <f>A2919</f>
        <v/>
      </c>
      <c r="M2919" s="81" t="n"/>
      <c r="N2919" s="81" t="n"/>
      <c r="O2919" s="81" t="n"/>
      <c r="P2919" s="81" t="n"/>
      <c r="Q2919" s="81" t="n"/>
      <c r="R2919" s="81" t="n"/>
      <c r="S2919" s="81" t="n"/>
      <c r="T2919" s="81" t="n"/>
      <c r="U2919" s="81" t="n"/>
      <c r="V2919" s="81" t="n"/>
      <c r="W2919" s="43" t="n"/>
    </row>
    <row r="2920">
      <c r="A2920" s="43" t="inlineStr">
        <is>
          <t>L1</t>
        </is>
      </c>
      <c r="B2920" s="43" t="inlineStr">
        <is>
          <t>腹杆拼接</t>
        </is>
      </c>
      <c r="C2920" s="43" t="inlineStr">
        <is>
          <t>节段17~节段18</t>
        </is>
      </c>
      <c r="D2920" s="43" t="inlineStr">
        <is>
          <t>Q355D</t>
        </is>
      </c>
      <c r="E2920" s="43" t="n">
        <v>1520</v>
      </c>
      <c r="F2920" s="43" t="n">
        <v>1100</v>
      </c>
      <c r="G2920" s="43" t="n">
        <v>24</v>
      </c>
      <c r="H2920" s="79">
        <f>(E2920/1000)*(F2920/1000)*(G2920/1000)*7850</f>
        <v/>
      </c>
      <c r="I2920" s="43" t="n">
        <v>2</v>
      </c>
      <c r="J2920" s="80">
        <f>H2920*I2920</f>
        <v/>
      </c>
      <c r="K2920" s="43" t="inlineStr">
        <is>
          <t>来源页211</t>
        </is>
      </c>
      <c r="L2920" s="43">
        <f>A2920</f>
        <v/>
      </c>
      <c r="M2920" s="81" t="n"/>
      <c r="N2920" s="81" t="n"/>
      <c r="O2920" s="81" t="n"/>
      <c r="P2920" s="81" t="n"/>
      <c r="Q2920" s="81" t="n"/>
      <c r="R2920" s="81" t="n"/>
      <c r="S2920" s="81" t="n"/>
      <c r="T2920" s="81" t="n"/>
      <c r="U2920" s="81" t="n"/>
      <c r="V2920" s="81" t="n"/>
      <c r="W2920" s="43" t="n"/>
    </row>
    <row r="2921">
      <c r="A2921" s="43" t="inlineStr">
        <is>
          <t>L2</t>
        </is>
      </c>
      <c r="B2921" s="43" t="inlineStr">
        <is>
          <t>腹杆拼接</t>
        </is>
      </c>
      <c r="C2921" s="43" t="inlineStr">
        <is>
          <t>节段17~节段18</t>
        </is>
      </c>
      <c r="D2921" s="43" t="inlineStr">
        <is>
          <t>Q355D</t>
        </is>
      </c>
      <c r="E2921" s="43" t="n">
        <v>1520</v>
      </c>
      <c r="F2921" s="43" t="n">
        <v>500</v>
      </c>
      <c r="G2921" s="43" t="n">
        <v>24</v>
      </c>
      <c r="H2921" s="79">
        <f>(E2921/1000)*(F2921/1000)*(G2921/1000)*7850</f>
        <v/>
      </c>
      <c r="I2921" s="43" t="n">
        <v>4</v>
      </c>
      <c r="J2921" s="80">
        <f>H2921*I2921</f>
        <v/>
      </c>
      <c r="K2921" s="43" t="inlineStr">
        <is>
          <t>来源页211</t>
        </is>
      </c>
      <c r="L2921" s="43">
        <f>A2921</f>
        <v/>
      </c>
      <c r="M2921" s="81" t="n"/>
      <c r="N2921" s="81" t="n"/>
      <c r="O2921" s="81" t="n"/>
      <c r="P2921" s="81" t="n"/>
      <c r="Q2921" s="81" t="n"/>
      <c r="R2921" s="81" t="n"/>
      <c r="S2921" s="81" t="n"/>
      <c r="T2921" s="81" t="n"/>
      <c r="U2921" s="81" t="n"/>
      <c r="V2921" s="81" t="n"/>
      <c r="W2921" s="43" t="n"/>
    </row>
    <row r="2922">
      <c r="A2922" s="43" t="inlineStr">
        <is>
          <t>L3</t>
        </is>
      </c>
      <c r="B2922" s="43" t="inlineStr">
        <is>
          <t>腹杆拼接</t>
        </is>
      </c>
      <c r="C2922" s="43" t="inlineStr">
        <is>
          <t>节段17~节段18</t>
        </is>
      </c>
      <c r="D2922" s="43" t="inlineStr">
        <is>
          <t>Q355D</t>
        </is>
      </c>
      <c r="E2922" s="43" t="n">
        <v>1320</v>
      </c>
      <c r="F2922" s="43" t="n">
        <v>1100</v>
      </c>
      <c r="G2922" s="43" t="n">
        <v>28</v>
      </c>
      <c r="H2922" s="79">
        <f>(E2922/1000)*(F2922/1000)*(G2922/1000)*7850</f>
        <v/>
      </c>
      <c r="I2922" s="43" t="n">
        <v>1</v>
      </c>
      <c r="J2922" s="80">
        <f>H2922*I2922</f>
        <v/>
      </c>
      <c r="K2922" s="43" t="inlineStr">
        <is>
          <t>来源页211</t>
        </is>
      </c>
      <c r="L2922" s="43">
        <f>A2922</f>
        <v/>
      </c>
      <c r="M2922" s="81" t="n"/>
      <c r="N2922" s="81" t="n"/>
      <c r="O2922" s="81" t="n"/>
      <c r="P2922" s="81" t="n"/>
      <c r="Q2922" s="81" t="n"/>
      <c r="R2922" s="81" t="n"/>
      <c r="S2922" s="81" t="n"/>
      <c r="T2922" s="81" t="n"/>
      <c r="U2922" s="81" t="n"/>
      <c r="V2922" s="81" t="n"/>
      <c r="W2922" s="43" t="n"/>
    </row>
    <row r="2923">
      <c r="A2923" s="43" t="inlineStr">
        <is>
          <t>L4</t>
        </is>
      </c>
      <c r="B2923" s="43" t="inlineStr">
        <is>
          <t>腹杆拼接</t>
        </is>
      </c>
      <c r="C2923" s="43" t="inlineStr">
        <is>
          <t>节段17~节段18</t>
        </is>
      </c>
      <c r="D2923" s="43" t="inlineStr">
        <is>
          <t>Q355D</t>
        </is>
      </c>
      <c r="E2923" s="43" t="n">
        <v>1320</v>
      </c>
      <c r="F2923" s="43" t="n">
        <v>500</v>
      </c>
      <c r="G2923" s="43" t="n">
        <v>28</v>
      </c>
      <c r="H2923" s="79">
        <f>(E2923/1000)*(F2923/1000)*(G2923/1000)*7850</f>
        <v/>
      </c>
      <c r="I2923" s="43" t="n">
        <v>2</v>
      </c>
      <c r="J2923" s="80">
        <f>H2923*I2923</f>
        <v/>
      </c>
      <c r="K2923" s="43" t="inlineStr">
        <is>
          <t>来源页211</t>
        </is>
      </c>
      <c r="L2923" s="43">
        <f>A2923</f>
        <v/>
      </c>
      <c r="M2923" s="81" t="n"/>
      <c r="N2923" s="81" t="n"/>
      <c r="O2923" s="81" t="n"/>
      <c r="P2923" s="81" t="n"/>
      <c r="Q2923" s="81" t="n"/>
      <c r="R2923" s="81" t="n"/>
      <c r="S2923" s="81" t="n"/>
      <c r="T2923" s="81" t="n"/>
      <c r="U2923" s="81" t="n"/>
      <c r="V2923" s="81" t="n"/>
      <c r="W2923" s="43" t="n"/>
    </row>
    <row r="2924">
      <c r="A2924" s="43" t="inlineStr">
        <is>
          <t>L5</t>
        </is>
      </c>
      <c r="B2924" s="43" t="inlineStr">
        <is>
          <t>腹杆拼接</t>
        </is>
      </c>
      <c r="C2924" s="43" t="inlineStr">
        <is>
          <t>节段17~节段18</t>
        </is>
      </c>
      <c r="D2924" s="43" t="inlineStr">
        <is>
          <t>Q355D</t>
        </is>
      </c>
      <c r="E2924" s="43" t="n">
        <v>1520</v>
      </c>
      <c r="F2924" s="43" t="n">
        <v>1100</v>
      </c>
      <c r="G2924" s="43" t="n">
        <v>44</v>
      </c>
      <c r="H2924" s="79">
        <f>(E2924/1000)*(F2924/1000)*(G2924/1000)*7850</f>
        <v/>
      </c>
      <c r="I2924" s="43" t="n">
        <v>1</v>
      </c>
      <c r="J2924" s="80">
        <f>H2924*I2924</f>
        <v/>
      </c>
      <c r="K2924" s="43" t="inlineStr">
        <is>
          <t>来源页211</t>
        </is>
      </c>
      <c r="L2924" s="43">
        <f>A2924</f>
        <v/>
      </c>
      <c r="M2924" s="81" t="n"/>
      <c r="N2924" s="81" t="n"/>
      <c r="O2924" s="81" t="n"/>
      <c r="P2924" s="81" t="n"/>
      <c r="Q2924" s="81" t="n"/>
      <c r="R2924" s="81" t="n"/>
      <c r="S2924" s="81" t="n"/>
      <c r="T2924" s="81" t="n"/>
      <c r="U2924" s="81" t="n"/>
      <c r="V2924" s="81" t="n"/>
      <c r="W2924" s="43" t="n"/>
    </row>
    <row r="2925">
      <c r="A2925" s="43" t="inlineStr">
        <is>
          <t>L6</t>
        </is>
      </c>
      <c r="B2925" s="43" t="inlineStr">
        <is>
          <t>腹杆拼接</t>
        </is>
      </c>
      <c r="C2925" s="43" t="inlineStr">
        <is>
          <t>节段17~节段18</t>
        </is>
      </c>
      <c r="D2925" s="43" t="inlineStr">
        <is>
          <t>Q355D</t>
        </is>
      </c>
      <c r="E2925" s="43" t="n">
        <v>1520</v>
      </c>
      <c r="F2925" s="43" t="n">
        <v>240</v>
      </c>
      <c r="G2925" s="43" t="n">
        <v>44</v>
      </c>
      <c r="H2925" s="79">
        <f>(E2925/1000)*(F2925/1000)*(G2925/1000)*7850</f>
        <v/>
      </c>
      <c r="I2925" s="43" t="n">
        <v>2</v>
      </c>
      <c r="J2925" s="80">
        <f>H2925*I2925</f>
        <v/>
      </c>
      <c r="K2925" s="43" t="inlineStr">
        <is>
          <t>来源页211</t>
        </is>
      </c>
      <c r="L2925" s="43">
        <f>A2925</f>
        <v/>
      </c>
      <c r="M2925" s="81" t="n"/>
      <c r="N2925" s="81" t="n"/>
      <c r="O2925" s="81" t="n"/>
      <c r="P2925" s="81" t="n"/>
      <c r="Q2925" s="81" t="n"/>
      <c r="R2925" s="81" t="n"/>
      <c r="S2925" s="81" t="n"/>
      <c r="T2925" s="81" t="n"/>
      <c r="U2925" s="81" t="n"/>
      <c r="V2925" s="81" t="n"/>
      <c r="W2925" s="43" t="n"/>
    </row>
    <row r="2926">
      <c r="A2926" s="43" t="inlineStr">
        <is>
          <t>L7</t>
        </is>
      </c>
      <c r="B2926" s="43" t="inlineStr">
        <is>
          <t>腹杆拼接</t>
        </is>
      </c>
      <c r="C2926" s="43" t="inlineStr">
        <is>
          <t>节段17~节段18</t>
        </is>
      </c>
      <c r="D2926" s="43" t="inlineStr">
        <is>
          <t>Q355D</t>
        </is>
      </c>
      <c r="E2926" s="43" t="n">
        <v>1220</v>
      </c>
      <c r="F2926" s="43" t="n">
        <v>240</v>
      </c>
      <c r="G2926" s="43" t="n">
        <v>24</v>
      </c>
      <c r="H2926" s="79">
        <f>(E2926/1000)*(F2926/1000)*(G2926/1000)*7850</f>
        <v/>
      </c>
      <c r="I2926" s="43" t="n">
        <v>4</v>
      </c>
      <c r="J2926" s="80">
        <f>H2926*I2926</f>
        <v/>
      </c>
      <c r="K2926" s="43" t="inlineStr">
        <is>
          <t>来源页211</t>
        </is>
      </c>
      <c r="L2926" s="43">
        <f>A2926</f>
        <v/>
      </c>
      <c r="M2926" s="81" t="n"/>
      <c r="N2926" s="81" t="n"/>
      <c r="O2926" s="81" t="n"/>
      <c r="P2926" s="81" t="n"/>
      <c r="Q2926" s="81" t="n"/>
      <c r="R2926" s="81" t="n"/>
      <c r="S2926" s="81" t="n"/>
      <c r="T2926" s="81" t="n"/>
      <c r="U2926" s="81" t="n"/>
      <c r="V2926" s="81" t="n"/>
      <c r="W2926" s="43" t="n"/>
    </row>
    <row r="2927">
      <c r="A2927" s="43" t="inlineStr">
        <is>
          <t>L8</t>
        </is>
      </c>
      <c r="B2927" s="43" t="inlineStr">
        <is>
          <t>腹杆拼接</t>
        </is>
      </c>
      <c r="C2927" s="43" t="inlineStr">
        <is>
          <t>节段17~节段18</t>
        </is>
      </c>
      <c r="D2927" s="43" t="inlineStr">
        <is>
          <t>Q355D</t>
        </is>
      </c>
      <c r="E2927" s="43" t="n">
        <v>1320</v>
      </c>
      <c r="F2927" s="43" t="n">
        <v>240</v>
      </c>
      <c r="G2927" s="43" t="n">
        <v>24</v>
      </c>
      <c r="H2927" s="79">
        <f>(E2927/1000)*(F2927/1000)*(G2927/1000)*7850</f>
        <v/>
      </c>
      <c r="I2927" s="43" t="n">
        <v>2</v>
      </c>
      <c r="J2927" s="80">
        <f>H2927*I2927</f>
        <v/>
      </c>
      <c r="K2927" s="43" t="inlineStr">
        <is>
          <t>来源页211</t>
        </is>
      </c>
      <c r="L2927" s="43">
        <f>A2927</f>
        <v/>
      </c>
      <c r="M2927" s="81" t="n"/>
      <c r="N2927" s="81" t="n"/>
      <c r="O2927" s="81" t="n"/>
      <c r="P2927" s="81" t="n"/>
      <c r="Q2927" s="81" t="n"/>
      <c r="R2927" s="81" t="n"/>
      <c r="S2927" s="81" t="n"/>
      <c r="T2927" s="81" t="n"/>
      <c r="U2927" s="81" t="n"/>
      <c r="V2927" s="81" t="n"/>
      <c r="W2927" s="43" t="n"/>
    </row>
    <row r="2928">
      <c r="A2928" s="43" t="inlineStr"/>
      <c r="B2928" s="43" t="inlineStr"/>
      <c r="C2928" s="43" t="inlineStr">
        <is>
          <t>节段17~节段18</t>
        </is>
      </c>
      <c r="D2928" s="43" t="inlineStr">
        <is>
          <t>Q420D</t>
        </is>
      </c>
      <c r="E2928" s="43" t="n"/>
      <c r="F2928" s="43" t="n"/>
      <c r="G2928" s="43" t="n">
        <v>44</v>
      </c>
      <c r="H2928" s="79">
        <f>(E2928/1000)*(F2928/1000)*(G2928/1000)*7850</f>
        <v/>
      </c>
      <c r="I2928" s="43" t="n">
        <v>2</v>
      </c>
      <c r="J2928" s="80">
        <f>H2928*I2928</f>
        <v/>
      </c>
      <c r="K2928" s="43" t="inlineStr">
        <is>
          <t>来源页212</t>
        </is>
      </c>
      <c r="L2928" s="43">
        <f>A2928</f>
        <v/>
      </c>
      <c r="M2928" s="81" t="n"/>
      <c r="N2928" s="81" t="n"/>
      <c r="O2928" s="81" t="n"/>
      <c r="P2928" s="81" t="n"/>
      <c r="Q2928" s="81" t="n"/>
      <c r="R2928" s="81" t="n"/>
      <c r="S2928" s="81" t="n"/>
      <c r="T2928" s="81" t="n"/>
      <c r="U2928" s="81" t="n"/>
      <c r="V2928" s="81" t="n"/>
      <c r="W2928" s="43" t="n"/>
    </row>
    <row r="2929">
      <c r="A2929" s="43" t="inlineStr"/>
      <c r="B2929" s="43" t="inlineStr"/>
      <c r="C2929" s="43" t="inlineStr">
        <is>
          <t>节段17~节段18</t>
        </is>
      </c>
      <c r="D2929" s="43" t="inlineStr">
        <is>
          <t>Q420D</t>
        </is>
      </c>
      <c r="E2929" s="43" t="n"/>
      <c r="F2929" s="43" t="n"/>
      <c r="G2929" s="43" t="n">
        <v>40</v>
      </c>
      <c r="H2929" s="79">
        <f>(E2929/1000)*(F2929/1000)*(G2929/1000)*7850</f>
        <v/>
      </c>
      <c r="I2929" s="43" t="n">
        <v>2</v>
      </c>
      <c r="J2929" s="80">
        <f>H2929*I2929</f>
        <v/>
      </c>
      <c r="K2929" s="43" t="inlineStr">
        <is>
          <t>来源页212</t>
        </is>
      </c>
      <c r="L2929" s="43">
        <f>A2929</f>
        <v/>
      </c>
      <c r="M2929" s="81" t="n"/>
      <c r="N2929" s="81" t="n"/>
      <c r="O2929" s="81" t="n"/>
      <c r="P2929" s="81" t="n"/>
      <c r="Q2929" s="81" t="n"/>
      <c r="R2929" s="81" t="n"/>
      <c r="S2929" s="81" t="n"/>
      <c r="T2929" s="81" t="n"/>
      <c r="U2929" s="81" t="n"/>
      <c r="V2929" s="81" t="n"/>
      <c r="W2929" s="43" t="n"/>
    </row>
    <row r="2930">
      <c r="A2930" s="43" t="inlineStr"/>
      <c r="B2930" s="43" t="inlineStr"/>
      <c r="C2930" s="43" t="inlineStr">
        <is>
          <t>节段17~节段18</t>
        </is>
      </c>
      <c r="D2930" s="43" t="inlineStr">
        <is>
          <t>Q420D</t>
        </is>
      </c>
      <c r="E2930" s="43" t="n"/>
      <c r="F2930" s="43" t="n"/>
      <c r="G2930" s="43" t="n">
        <v>36</v>
      </c>
      <c r="H2930" s="79">
        <f>(E2930/1000)*(F2930/1000)*(G2930/1000)*7850</f>
        <v/>
      </c>
      <c r="I2930" s="43" t="n">
        <v>2</v>
      </c>
      <c r="J2930" s="80">
        <f>H2930*I2930</f>
        <v/>
      </c>
      <c r="K2930" s="43" t="inlineStr">
        <is>
          <t>来源页212</t>
        </is>
      </c>
      <c r="L2930" s="43">
        <f>A2930</f>
        <v/>
      </c>
      <c r="M2930" s="81" t="n"/>
      <c r="N2930" s="81" t="n"/>
      <c r="O2930" s="81" t="n"/>
      <c r="P2930" s="81" t="n"/>
      <c r="Q2930" s="81" t="n"/>
      <c r="R2930" s="81" t="n"/>
      <c r="S2930" s="81" t="n"/>
      <c r="T2930" s="81" t="n"/>
      <c r="U2930" s="81" t="n"/>
      <c r="V2930" s="81" t="n"/>
      <c r="W2930" s="43" t="n"/>
    </row>
    <row r="2931">
      <c r="A2931" s="43" t="inlineStr"/>
      <c r="B2931" s="43" t="inlineStr"/>
      <c r="C2931" s="43" t="inlineStr">
        <is>
          <t>节段17~节段18</t>
        </is>
      </c>
      <c r="D2931" s="43" t="inlineStr">
        <is>
          <t>Q420D</t>
        </is>
      </c>
      <c r="E2931" s="43" t="n"/>
      <c r="F2931" s="43" t="n"/>
      <c r="G2931" s="43" t="n">
        <v>28</v>
      </c>
      <c r="H2931" s="79">
        <f>(E2931/1000)*(F2931/1000)*(G2931/1000)*7850</f>
        <v/>
      </c>
      <c r="I2931" s="43" t="n">
        <v>2</v>
      </c>
      <c r="J2931" s="80">
        <f>H2931*I2931</f>
        <v/>
      </c>
      <c r="K2931" s="43" t="inlineStr">
        <is>
          <t>来源页212</t>
        </is>
      </c>
      <c r="L2931" s="43">
        <f>A2931</f>
        <v/>
      </c>
      <c r="M2931" s="81" t="n"/>
      <c r="N2931" s="81" t="n"/>
      <c r="O2931" s="81" t="n"/>
      <c r="P2931" s="81" t="n"/>
      <c r="Q2931" s="81" t="n"/>
      <c r="R2931" s="81" t="n"/>
      <c r="S2931" s="81" t="n"/>
      <c r="T2931" s="81" t="n"/>
      <c r="U2931" s="81" t="n"/>
      <c r="V2931" s="81" t="n"/>
      <c r="W2931" s="43" t="n"/>
    </row>
    <row r="2932">
      <c r="A2932" s="43" t="inlineStr"/>
      <c r="B2932" s="43" t="inlineStr"/>
      <c r="C2932" s="43" t="inlineStr">
        <is>
          <t>节段17~节段18</t>
        </is>
      </c>
      <c r="D2932" s="43" t="inlineStr">
        <is>
          <t>Q420D</t>
        </is>
      </c>
      <c r="E2932" s="43" t="n"/>
      <c r="F2932" s="43" t="n"/>
      <c r="G2932" s="43" t="n">
        <v>24</v>
      </c>
      <c r="H2932" s="79">
        <f>(E2932/1000)*(F2932/1000)*(G2932/1000)*7850</f>
        <v/>
      </c>
      <c r="I2932" s="43" t="n">
        <v>2</v>
      </c>
      <c r="J2932" s="80">
        <f>H2932*I2932</f>
        <v/>
      </c>
      <c r="K2932" s="43" t="inlineStr">
        <is>
          <t>来源页212</t>
        </is>
      </c>
      <c r="L2932" s="43">
        <f>A2932</f>
        <v/>
      </c>
      <c r="M2932" s="81" t="n"/>
      <c r="N2932" s="81" t="n"/>
      <c r="O2932" s="81" t="n"/>
      <c r="P2932" s="81" t="n"/>
      <c r="Q2932" s="81" t="n"/>
      <c r="R2932" s="81" t="n"/>
      <c r="S2932" s="81" t="n"/>
      <c r="T2932" s="81" t="n"/>
      <c r="U2932" s="81" t="n"/>
      <c r="V2932" s="81" t="n"/>
      <c r="W2932" s="43" t="n"/>
    </row>
    <row r="2933">
      <c r="A2933" s="43" t="inlineStr"/>
      <c r="B2933" s="43" t="inlineStr"/>
      <c r="C2933" s="43" t="inlineStr">
        <is>
          <t>节段17~节段18</t>
        </is>
      </c>
      <c r="D2933" s="43" t="inlineStr">
        <is>
          <t>Q420D</t>
        </is>
      </c>
      <c r="E2933" s="43" t="n"/>
      <c r="F2933" s="43" t="n"/>
      <c r="G2933" s="43" t="n">
        <v>4</v>
      </c>
      <c r="H2933" s="79">
        <f>(E2933/1000)*(F2933/1000)*(G2933/1000)*7850</f>
        <v/>
      </c>
      <c r="I2933" s="43" t="n">
        <v>2</v>
      </c>
      <c r="J2933" s="80">
        <f>H2933*I2933</f>
        <v/>
      </c>
      <c r="K2933" s="43" t="inlineStr">
        <is>
          <t>来源页212</t>
        </is>
      </c>
      <c r="L2933" s="43">
        <f>A2933</f>
        <v/>
      </c>
      <c r="M2933" s="81" t="n"/>
      <c r="N2933" s="81" t="n"/>
      <c r="O2933" s="81" t="n"/>
      <c r="P2933" s="81" t="n"/>
      <c r="Q2933" s="81" t="n"/>
      <c r="R2933" s="81" t="n"/>
      <c r="S2933" s="81" t="n"/>
      <c r="T2933" s="81" t="n"/>
      <c r="U2933" s="81" t="n"/>
      <c r="V2933" s="81" t="n"/>
      <c r="W2933" s="43" t="n"/>
    </row>
    <row r="2934">
      <c r="A2934" s="43" t="inlineStr"/>
      <c r="B2934" s="43" t="inlineStr"/>
      <c r="C2934" s="43" t="inlineStr">
        <is>
          <t>节段17~节段18</t>
        </is>
      </c>
      <c r="D2934" s="43" t="inlineStr">
        <is>
          <t>Q355D</t>
        </is>
      </c>
      <c r="E2934" s="43" t="n"/>
      <c r="F2934" s="43" t="n"/>
      <c r="G2934" s="43" t="n">
        <v>44</v>
      </c>
      <c r="H2934" s="79">
        <f>(E2934/1000)*(F2934/1000)*(G2934/1000)*7850</f>
        <v/>
      </c>
      <c r="I2934" s="43" t="n">
        <v>2</v>
      </c>
      <c r="J2934" s="80">
        <f>H2934*I2934</f>
        <v/>
      </c>
      <c r="K2934" s="43" t="inlineStr">
        <is>
          <t>来源页212</t>
        </is>
      </c>
      <c r="L2934" s="43">
        <f>A2934</f>
        <v/>
      </c>
      <c r="M2934" s="81" t="n"/>
      <c r="N2934" s="81" t="n"/>
      <c r="O2934" s="81" t="n"/>
      <c r="P2934" s="81" t="n"/>
      <c r="Q2934" s="81" t="n"/>
      <c r="R2934" s="81" t="n"/>
      <c r="S2934" s="81" t="n"/>
      <c r="T2934" s="81" t="n"/>
      <c r="U2934" s="81" t="n"/>
      <c r="V2934" s="81" t="n"/>
      <c r="W2934" s="43" t="n"/>
    </row>
    <row r="2935">
      <c r="A2935" s="43" t="inlineStr"/>
      <c r="B2935" s="43" t="inlineStr"/>
      <c r="C2935" s="43" t="inlineStr">
        <is>
          <t>节段17~节段18</t>
        </is>
      </c>
      <c r="D2935" s="43" t="inlineStr">
        <is>
          <t>Q355D</t>
        </is>
      </c>
      <c r="E2935" s="43" t="n"/>
      <c r="F2935" s="43" t="n"/>
      <c r="G2935" s="43" t="n">
        <v>28</v>
      </c>
      <c r="H2935" s="79">
        <f>(E2935/1000)*(F2935/1000)*(G2935/1000)*7850</f>
        <v/>
      </c>
      <c r="I2935" s="43" t="n">
        <v>2</v>
      </c>
      <c r="J2935" s="80">
        <f>H2935*I2935</f>
        <v/>
      </c>
      <c r="K2935" s="43" t="inlineStr">
        <is>
          <t>来源页212</t>
        </is>
      </c>
      <c r="L2935" s="43">
        <f>A2935</f>
        <v/>
      </c>
      <c r="M2935" s="81" t="n"/>
      <c r="N2935" s="81" t="n"/>
      <c r="O2935" s="81" t="n"/>
      <c r="P2935" s="81" t="n"/>
      <c r="Q2935" s="81" t="n"/>
      <c r="R2935" s="81" t="n"/>
      <c r="S2935" s="81" t="n"/>
      <c r="T2935" s="81" t="n"/>
      <c r="U2935" s="81" t="n"/>
      <c r="V2935" s="81" t="n"/>
      <c r="W2935" s="43" t="n"/>
    </row>
    <row r="2936">
      <c r="A2936" s="43" t="inlineStr"/>
      <c r="B2936" s="43" t="inlineStr"/>
      <c r="C2936" s="43" t="inlineStr">
        <is>
          <t>节段17~节段18</t>
        </is>
      </c>
      <c r="D2936" s="43" t="inlineStr">
        <is>
          <t>Q355D</t>
        </is>
      </c>
      <c r="E2936" s="43" t="n"/>
      <c r="F2936" s="43" t="n"/>
      <c r="G2936" s="43" t="n">
        <v>24</v>
      </c>
      <c r="H2936" s="79">
        <f>(E2936/1000)*(F2936/1000)*(G2936/1000)*7850</f>
        <v/>
      </c>
      <c r="I2936" s="43" t="n">
        <v>2</v>
      </c>
      <c r="J2936" s="80">
        <f>H2936*I2936</f>
        <v/>
      </c>
      <c r="K2936" s="43" t="inlineStr">
        <is>
          <t>来源页212</t>
        </is>
      </c>
      <c r="L2936" s="43">
        <f>A2936</f>
        <v/>
      </c>
      <c r="M2936" s="81" t="n"/>
      <c r="N2936" s="81" t="n"/>
      <c r="O2936" s="81" t="n"/>
      <c r="P2936" s="81" t="n"/>
      <c r="Q2936" s="81" t="n"/>
      <c r="R2936" s="81" t="n"/>
      <c r="S2936" s="81" t="n"/>
      <c r="T2936" s="81" t="n"/>
      <c r="U2936" s="81" t="n"/>
      <c r="V2936" s="81" t="n"/>
      <c r="W2936" s="43" t="n"/>
    </row>
    <row r="2937">
      <c r="A2937" s="43" t="inlineStr"/>
      <c r="B2937" s="43" t="inlineStr"/>
      <c r="C2937" s="43" t="inlineStr">
        <is>
          <t>节段17~节段18</t>
        </is>
      </c>
      <c r="D2937" s="43" t="inlineStr">
        <is>
          <t>10.9S高强螺栓</t>
        </is>
      </c>
      <c r="E2937" s="43" t="n"/>
      <c r="F2937" s="43" t="n"/>
      <c r="G2937" s="43" t="n"/>
      <c r="H2937" s="79">
        <f>(E2937/1000)*(F2937/1000)*(G2937/1000)*7850</f>
        <v/>
      </c>
      <c r="I2937" s="43" t="n">
        <v>2</v>
      </c>
      <c r="J2937" s="80">
        <f>H2937*I2937</f>
        <v/>
      </c>
      <c r="K2937" s="43" t="inlineStr">
        <is>
          <t>来源页212</t>
        </is>
      </c>
      <c r="L2937" s="43">
        <f>A2937</f>
        <v/>
      </c>
      <c r="M2937" s="81" t="n"/>
      <c r="N2937" s="81" t="n"/>
      <c r="O2937" s="81" t="n"/>
      <c r="P2937" s="81" t="n"/>
      <c r="Q2937" s="81" t="n"/>
      <c r="R2937" s="81" t="n"/>
      <c r="S2937" s="81" t="n"/>
      <c r="T2937" s="81" t="n"/>
      <c r="U2937" s="81" t="n"/>
      <c r="V2937" s="81" t="n"/>
      <c r="W2937" s="43" t="n"/>
    </row>
    <row r="2938">
      <c r="A2938" s="43" t="inlineStr"/>
      <c r="B2938" s="43" t="inlineStr"/>
      <c r="C2938" s="43" t="inlineStr">
        <is>
          <t>节段17~节段18</t>
        </is>
      </c>
      <c r="D2938" s="43" t="inlineStr">
        <is>
          <t>10.9S高强螺栓</t>
        </is>
      </c>
      <c r="E2938" s="43" t="n"/>
      <c r="F2938" s="43" t="n"/>
      <c r="G2938" s="43" t="n"/>
      <c r="H2938" s="79">
        <f>(E2938/1000)*(F2938/1000)*(G2938/1000)*7850</f>
        <v/>
      </c>
      <c r="I2938" s="43" t="n">
        <v>2</v>
      </c>
      <c r="J2938" s="80">
        <f>H2938*I2938</f>
        <v/>
      </c>
      <c r="K2938" s="43" t="inlineStr">
        <is>
          <t>来源页212</t>
        </is>
      </c>
      <c r="L2938" s="43">
        <f>A2938</f>
        <v/>
      </c>
      <c r="M2938" s="81" t="n"/>
      <c r="N2938" s="81" t="n"/>
      <c r="O2938" s="81" t="n"/>
      <c r="P2938" s="81" t="n"/>
      <c r="Q2938" s="81" t="n"/>
      <c r="R2938" s="81" t="n"/>
      <c r="S2938" s="81" t="n"/>
      <c r="T2938" s="81" t="n"/>
      <c r="U2938" s="81" t="n"/>
      <c r="V2938" s="81" t="n"/>
      <c r="W2938" s="43" t="n"/>
    </row>
    <row r="2939">
      <c r="A2939" s="43" t="inlineStr"/>
      <c r="B2939" s="43" t="inlineStr"/>
      <c r="C2939" s="43" t="inlineStr">
        <is>
          <t>节段18</t>
        </is>
      </c>
      <c r="D2939" s="43" t="inlineStr">
        <is>
          <t>Q420D</t>
        </is>
      </c>
      <c r="E2939" s="43" t="n"/>
      <c r="F2939" s="43" t="n"/>
      <c r="G2939" s="43" t="n">
        <v>48</v>
      </c>
      <c r="H2939" s="79">
        <f>(E2939/1000)*(F2939/1000)*(G2939/1000)*7850</f>
        <v/>
      </c>
      <c r="I2939" s="43" t="n">
        <v>2</v>
      </c>
      <c r="J2939" s="80">
        <f>H2939*I2939</f>
        <v/>
      </c>
      <c r="K2939" s="43" t="inlineStr">
        <is>
          <t>来源页212</t>
        </is>
      </c>
      <c r="L2939" s="43">
        <f>A2939</f>
        <v/>
      </c>
      <c r="M2939" s="81" t="n"/>
      <c r="N2939" s="81" t="n"/>
      <c r="O2939" s="81" t="n"/>
      <c r="P2939" s="81" t="n"/>
      <c r="Q2939" s="81" t="n"/>
      <c r="R2939" s="81" t="n"/>
      <c r="S2939" s="81" t="n"/>
      <c r="T2939" s="81" t="n"/>
      <c r="U2939" s="81" t="n"/>
      <c r="V2939" s="81" t="n"/>
      <c r="W2939" s="43" t="n"/>
    </row>
    <row r="2940">
      <c r="A2940" s="43" t="inlineStr"/>
      <c r="B2940" s="43" t="inlineStr"/>
      <c r="C2940" s="43" t="inlineStr">
        <is>
          <t>节段18</t>
        </is>
      </c>
      <c r="D2940" s="43" t="inlineStr">
        <is>
          <t>Q420D</t>
        </is>
      </c>
      <c r="E2940" s="43" t="n"/>
      <c r="F2940" s="43" t="n"/>
      <c r="G2940" s="43" t="n">
        <v>40</v>
      </c>
      <c r="H2940" s="79">
        <f>(E2940/1000)*(F2940/1000)*(G2940/1000)*7850</f>
        <v/>
      </c>
      <c r="I2940" s="43" t="n">
        <v>2</v>
      </c>
      <c r="J2940" s="80">
        <f>H2940*I2940</f>
        <v/>
      </c>
      <c r="K2940" s="43" t="inlineStr">
        <is>
          <t>来源页212</t>
        </is>
      </c>
      <c r="L2940" s="43">
        <f>A2940</f>
        <v/>
      </c>
      <c r="M2940" s="81" t="n"/>
      <c r="N2940" s="81" t="n"/>
      <c r="O2940" s="81" t="n"/>
      <c r="P2940" s="81" t="n"/>
      <c r="Q2940" s="81" t="n"/>
      <c r="R2940" s="81" t="n"/>
      <c r="S2940" s="81" t="n"/>
      <c r="T2940" s="81" t="n"/>
      <c r="U2940" s="81" t="n"/>
      <c r="V2940" s="81" t="n"/>
      <c r="W2940" s="43" t="n"/>
    </row>
    <row r="2941">
      <c r="A2941" s="43" t="inlineStr"/>
      <c r="B2941" s="43" t="inlineStr"/>
      <c r="C2941" s="43" t="inlineStr">
        <is>
          <t>节段18</t>
        </is>
      </c>
      <c r="D2941" s="43" t="inlineStr">
        <is>
          <t>Q420D</t>
        </is>
      </c>
      <c r="E2941" s="43" t="n"/>
      <c r="F2941" s="43" t="n"/>
      <c r="G2941" s="43" t="n">
        <v>32</v>
      </c>
      <c r="H2941" s="79">
        <f>(E2941/1000)*(F2941/1000)*(G2941/1000)*7850</f>
        <v/>
      </c>
      <c r="I2941" s="43" t="n">
        <v>2</v>
      </c>
      <c r="J2941" s="80">
        <f>H2941*I2941</f>
        <v/>
      </c>
      <c r="K2941" s="43" t="inlineStr">
        <is>
          <t>来源页212</t>
        </is>
      </c>
      <c r="L2941" s="43">
        <f>A2941</f>
        <v/>
      </c>
      <c r="M2941" s="81" t="n"/>
      <c r="N2941" s="81" t="n"/>
      <c r="O2941" s="81" t="n"/>
      <c r="P2941" s="81" t="n"/>
      <c r="Q2941" s="81" t="n"/>
      <c r="R2941" s="81" t="n"/>
      <c r="S2941" s="81" t="n"/>
      <c r="T2941" s="81" t="n"/>
      <c r="U2941" s="81" t="n"/>
      <c r="V2941" s="81" t="n"/>
      <c r="W2941" s="43" t="n"/>
    </row>
    <row r="2942">
      <c r="A2942" s="43" t="inlineStr"/>
      <c r="B2942" s="43" t="inlineStr"/>
      <c r="C2942" s="43" t="inlineStr">
        <is>
          <t>节段18</t>
        </is>
      </c>
      <c r="D2942" s="43" t="inlineStr">
        <is>
          <t>Q420D</t>
        </is>
      </c>
      <c r="E2942" s="43" t="n"/>
      <c r="F2942" s="43" t="n"/>
      <c r="G2942" s="43" t="n">
        <v>16</v>
      </c>
      <c r="H2942" s="79">
        <f>(E2942/1000)*(F2942/1000)*(G2942/1000)*7850</f>
        <v/>
      </c>
      <c r="I2942" s="43" t="n">
        <v>2</v>
      </c>
      <c r="J2942" s="80">
        <f>H2942*I2942</f>
        <v/>
      </c>
      <c r="K2942" s="43" t="inlineStr">
        <is>
          <t>来源页212</t>
        </is>
      </c>
      <c r="L2942" s="43">
        <f>A2942</f>
        <v/>
      </c>
      <c r="M2942" s="81" t="n"/>
      <c r="N2942" s="81" t="n"/>
      <c r="O2942" s="81" t="n"/>
      <c r="P2942" s="81" t="n"/>
      <c r="Q2942" s="81" t="n"/>
      <c r="R2942" s="81" t="n"/>
      <c r="S2942" s="81" t="n"/>
      <c r="T2942" s="81" t="n"/>
      <c r="U2942" s="81" t="n"/>
      <c r="V2942" s="81" t="n"/>
      <c r="W2942" s="43" t="n"/>
    </row>
    <row r="2943">
      <c r="A2943" s="43" t="inlineStr"/>
      <c r="B2943" s="43" t="inlineStr"/>
      <c r="C2943" s="43" t="inlineStr">
        <is>
          <t>节段18</t>
        </is>
      </c>
      <c r="D2943" s="43" t="inlineStr">
        <is>
          <t>Q420D</t>
        </is>
      </c>
      <c r="E2943" s="43" t="n"/>
      <c r="F2943" s="43" t="n"/>
      <c r="G2943" s="43" t="n">
        <v>4</v>
      </c>
      <c r="H2943" s="79">
        <f>(E2943/1000)*(F2943/1000)*(G2943/1000)*7850</f>
        <v/>
      </c>
      <c r="I2943" s="43" t="n">
        <v>2</v>
      </c>
      <c r="J2943" s="80">
        <f>H2943*I2943</f>
        <v/>
      </c>
      <c r="K2943" s="43" t="inlineStr">
        <is>
          <t>来源页212</t>
        </is>
      </c>
      <c r="L2943" s="43">
        <f>A2943</f>
        <v/>
      </c>
      <c r="M2943" s="81" t="n"/>
      <c r="N2943" s="81" t="n"/>
      <c r="O2943" s="81" t="n"/>
      <c r="P2943" s="81" t="n"/>
      <c r="Q2943" s="81" t="n"/>
      <c r="R2943" s="81" t="n"/>
      <c r="S2943" s="81" t="n"/>
      <c r="T2943" s="81" t="n"/>
      <c r="U2943" s="81" t="n"/>
      <c r="V2943" s="81" t="n"/>
      <c r="W2943" s="43" t="n"/>
    </row>
    <row r="2944">
      <c r="A2944" s="43" t="inlineStr"/>
      <c r="B2944" s="43" t="inlineStr"/>
      <c r="C2944" s="43" t="inlineStr">
        <is>
          <t>节段18</t>
        </is>
      </c>
      <c r="D2944" s="43" t="inlineStr">
        <is>
          <t>Q355D</t>
        </is>
      </c>
      <c r="E2944" s="43" t="n"/>
      <c r="F2944" s="43" t="n"/>
      <c r="G2944" s="43" t="n">
        <v>36</v>
      </c>
      <c r="H2944" s="79">
        <f>(E2944/1000)*(F2944/1000)*(G2944/1000)*7850</f>
        <v/>
      </c>
      <c r="I2944" s="43" t="n">
        <v>2</v>
      </c>
      <c r="J2944" s="80">
        <f>H2944*I2944</f>
        <v/>
      </c>
      <c r="K2944" s="43" t="inlineStr">
        <is>
          <t>来源页212</t>
        </is>
      </c>
      <c r="L2944" s="43">
        <f>A2944</f>
        <v/>
      </c>
      <c r="M2944" s="81" t="n"/>
      <c r="N2944" s="81" t="n"/>
      <c r="O2944" s="81" t="n"/>
      <c r="P2944" s="81" t="n"/>
      <c r="Q2944" s="81" t="n"/>
      <c r="R2944" s="81" t="n"/>
      <c r="S2944" s="81" t="n"/>
      <c r="T2944" s="81" t="n"/>
      <c r="U2944" s="81" t="n"/>
      <c r="V2944" s="81" t="n"/>
      <c r="W2944" s="43" t="n"/>
    </row>
    <row r="2945">
      <c r="A2945" s="43" t="inlineStr"/>
      <c r="B2945" s="43" t="inlineStr"/>
      <c r="C2945" s="43" t="inlineStr">
        <is>
          <t>节段18</t>
        </is>
      </c>
      <c r="D2945" s="43" t="inlineStr">
        <is>
          <t>Q355D</t>
        </is>
      </c>
      <c r="E2945" s="43" t="n"/>
      <c r="F2945" s="43" t="n"/>
      <c r="G2945" s="43" t="n">
        <v>32</v>
      </c>
      <c r="H2945" s="79">
        <f>(E2945/1000)*(F2945/1000)*(G2945/1000)*7850</f>
        <v/>
      </c>
      <c r="I2945" s="43" t="n">
        <v>2</v>
      </c>
      <c r="J2945" s="80">
        <f>H2945*I2945</f>
        <v/>
      </c>
      <c r="K2945" s="43" t="inlineStr">
        <is>
          <t>来源页212</t>
        </is>
      </c>
      <c r="L2945" s="43">
        <f>A2945</f>
        <v/>
      </c>
      <c r="M2945" s="81" t="n"/>
      <c r="N2945" s="81" t="n"/>
      <c r="O2945" s="81" t="n"/>
      <c r="P2945" s="81" t="n"/>
      <c r="Q2945" s="81" t="n"/>
      <c r="R2945" s="81" t="n"/>
      <c r="S2945" s="81" t="n"/>
      <c r="T2945" s="81" t="n"/>
      <c r="U2945" s="81" t="n"/>
      <c r="V2945" s="81" t="n"/>
      <c r="W2945" s="43" t="n"/>
    </row>
    <row r="2946">
      <c r="A2946" s="43" t="inlineStr"/>
      <c r="B2946" s="43" t="inlineStr"/>
      <c r="C2946" s="43" t="inlineStr">
        <is>
          <t>节段18</t>
        </is>
      </c>
      <c r="D2946" s="43" t="inlineStr">
        <is>
          <t>Q355D</t>
        </is>
      </c>
      <c r="E2946" s="43" t="n"/>
      <c r="F2946" s="43" t="n"/>
      <c r="G2946" s="43" t="n">
        <v>24</v>
      </c>
      <c r="H2946" s="79">
        <f>(E2946/1000)*(F2946/1000)*(G2946/1000)*7850</f>
        <v/>
      </c>
      <c r="I2946" s="43" t="n">
        <v>2</v>
      </c>
      <c r="J2946" s="80">
        <f>H2946*I2946</f>
        <v/>
      </c>
      <c r="K2946" s="43" t="inlineStr">
        <is>
          <t>来源页212</t>
        </is>
      </c>
      <c r="L2946" s="43">
        <f>A2946</f>
        <v/>
      </c>
      <c r="M2946" s="81" t="n"/>
      <c r="N2946" s="81" t="n"/>
      <c r="O2946" s="81" t="n"/>
      <c r="P2946" s="81" t="n"/>
      <c r="Q2946" s="81" t="n"/>
      <c r="R2946" s="81" t="n"/>
      <c r="S2946" s="81" t="n"/>
      <c r="T2946" s="81" t="n"/>
      <c r="U2946" s="81" t="n"/>
      <c r="V2946" s="81" t="n"/>
      <c r="W2946" s="43" t="n"/>
    </row>
    <row r="2947">
      <c r="A2947" s="43" t="inlineStr"/>
      <c r="B2947" s="43" t="inlineStr"/>
      <c r="C2947" s="43" t="inlineStr">
        <is>
          <t>节段18</t>
        </is>
      </c>
      <c r="D2947" s="43" t="inlineStr">
        <is>
          <t>Q355D</t>
        </is>
      </c>
      <c r="E2947" s="43" t="n"/>
      <c r="F2947" s="43" t="n"/>
      <c r="G2947" s="43" t="n">
        <v>16</v>
      </c>
      <c r="H2947" s="79">
        <f>(E2947/1000)*(F2947/1000)*(G2947/1000)*7850</f>
        <v/>
      </c>
      <c r="I2947" s="43" t="n">
        <v>2</v>
      </c>
      <c r="J2947" s="80">
        <f>H2947*I2947</f>
        <v/>
      </c>
      <c r="K2947" s="43" t="inlineStr">
        <is>
          <t>来源页212</t>
        </is>
      </c>
      <c r="L2947" s="43">
        <f>A2947</f>
        <v/>
      </c>
      <c r="M2947" s="81" t="n"/>
      <c r="N2947" s="81" t="n"/>
      <c r="O2947" s="81" t="n"/>
      <c r="P2947" s="81" t="n"/>
      <c r="Q2947" s="81" t="n"/>
      <c r="R2947" s="81" t="n"/>
      <c r="S2947" s="81" t="n"/>
      <c r="T2947" s="81" t="n"/>
      <c r="U2947" s="81" t="n"/>
      <c r="V2947" s="81" t="n"/>
      <c r="W2947" s="43" t="n"/>
    </row>
    <row r="2948">
      <c r="A2948" s="43" t="inlineStr"/>
      <c r="B2948" s="43" t="inlineStr"/>
      <c r="C2948" s="43" t="inlineStr">
        <is>
          <t>节段18</t>
        </is>
      </c>
      <c r="D2948" s="43" t="inlineStr">
        <is>
          <t>Q355D</t>
        </is>
      </c>
      <c r="E2948" s="43" t="n"/>
      <c r="F2948" s="43" t="n"/>
      <c r="G2948" s="43" t="n">
        <v>14</v>
      </c>
      <c r="H2948" s="79">
        <f>(E2948/1000)*(F2948/1000)*(G2948/1000)*7850</f>
        <v/>
      </c>
      <c r="I2948" s="43" t="n">
        <v>2</v>
      </c>
      <c r="J2948" s="80">
        <f>H2948*I2948</f>
        <v/>
      </c>
      <c r="K2948" s="43" t="inlineStr">
        <is>
          <t>来源页212</t>
        </is>
      </c>
      <c r="L2948" s="43">
        <f>A2948</f>
        <v/>
      </c>
      <c r="M2948" s="81" t="n"/>
      <c r="N2948" s="81" t="n"/>
      <c r="O2948" s="81" t="n"/>
      <c r="P2948" s="81" t="n"/>
      <c r="Q2948" s="81" t="n"/>
      <c r="R2948" s="81" t="n"/>
      <c r="S2948" s="81" t="n"/>
      <c r="T2948" s="81" t="n"/>
      <c r="U2948" s="81" t="n"/>
      <c r="V2948" s="81" t="n"/>
      <c r="W2948" s="43" t="n"/>
    </row>
    <row r="2949">
      <c r="A2949" s="43" t="inlineStr"/>
      <c r="B2949" s="43" t="inlineStr"/>
      <c r="C2949" s="43" t="inlineStr">
        <is>
          <t>节段18</t>
        </is>
      </c>
      <c r="D2949" s="43" t="inlineStr">
        <is>
          <t>Q355D</t>
        </is>
      </c>
      <c r="E2949" s="43" t="n"/>
      <c r="F2949" s="43" t="n"/>
      <c r="G2949" s="43" t="n"/>
      <c r="H2949" s="79">
        <f>(E2949/1000)*(F2949/1000)*(G2949/1000)*7850</f>
        <v/>
      </c>
      <c r="I2949" s="43" t="n">
        <v>2</v>
      </c>
      <c r="J2949" s="80">
        <f>H2949*I2949</f>
        <v/>
      </c>
      <c r="K2949" s="43" t="inlineStr">
        <is>
          <t>来源页212</t>
        </is>
      </c>
      <c r="L2949" s="43">
        <f>A2949</f>
        <v/>
      </c>
      <c r="M2949" s="81" t="n"/>
      <c r="N2949" s="81" t="n"/>
      <c r="O2949" s="81" t="n"/>
      <c r="P2949" s="81" t="n"/>
      <c r="Q2949" s="81" t="n"/>
      <c r="R2949" s="81" t="n"/>
      <c r="S2949" s="81" t="n"/>
      <c r="T2949" s="81" t="n"/>
      <c r="U2949" s="81" t="n"/>
      <c r="V2949" s="81" t="n"/>
      <c r="W2949" s="43" t="n"/>
    </row>
    <row r="2950">
      <c r="A2950" s="43" t="inlineStr"/>
      <c r="B2950" s="43" t="inlineStr"/>
      <c r="C2950" s="43" t="inlineStr">
        <is>
          <t>节段18</t>
        </is>
      </c>
      <c r="D2950" s="43" t="inlineStr">
        <is>
          <t>Q355D</t>
        </is>
      </c>
      <c r="E2950" s="43" t="n"/>
      <c r="F2950" s="43" t="n"/>
      <c r="G2950" s="43" t="n"/>
      <c r="H2950" s="79">
        <f>(E2950/1000)*(F2950/1000)*(G2950/1000)*7850</f>
        <v/>
      </c>
      <c r="I2950" s="43" t="n">
        <v>2</v>
      </c>
      <c r="J2950" s="80">
        <f>H2950*I2950</f>
        <v/>
      </c>
      <c r="K2950" s="43" t="inlineStr">
        <is>
          <t>来源页212</t>
        </is>
      </c>
      <c r="L2950" s="43">
        <f>A2950</f>
        <v/>
      </c>
      <c r="M2950" s="81" t="n"/>
      <c r="N2950" s="81" t="n"/>
      <c r="O2950" s="81" t="n"/>
      <c r="P2950" s="81" t="n"/>
      <c r="Q2950" s="81" t="n"/>
      <c r="R2950" s="81" t="n"/>
      <c r="S2950" s="81" t="n"/>
      <c r="T2950" s="81" t="n"/>
      <c r="U2950" s="81" t="n"/>
      <c r="V2950" s="81" t="n"/>
      <c r="W2950" s="43" t="n"/>
    </row>
    <row r="2951">
      <c r="A2951" s="43" t="inlineStr"/>
      <c r="B2951" s="43" t="inlineStr"/>
      <c r="C2951" s="43" t="inlineStr">
        <is>
          <t>节段18</t>
        </is>
      </c>
      <c r="D2951" s="43" t="inlineStr">
        <is>
          <t>Q355D</t>
        </is>
      </c>
      <c r="E2951" s="43" t="n"/>
      <c r="F2951" s="43" t="n"/>
      <c r="G2951" s="43" t="n"/>
      <c r="H2951" s="79">
        <f>(E2951/1000)*(F2951/1000)*(G2951/1000)*7850</f>
        <v/>
      </c>
      <c r="I2951" s="43" t="n">
        <v>2</v>
      </c>
      <c r="J2951" s="80">
        <f>H2951*I2951</f>
        <v/>
      </c>
      <c r="K2951" s="43" t="inlineStr">
        <is>
          <t>来源页212</t>
        </is>
      </c>
      <c r="L2951" s="43">
        <f>A2951</f>
        <v/>
      </c>
      <c r="M2951" s="81" t="n"/>
      <c r="N2951" s="81" t="n"/>
      <c r="O2951" s="81" t="n"/>
      <c r="P2951" s="81" t="n"/>
      <c r="Q2951" s="81" t="n"/>
      <c r="R2951" s="81" t="n"/>
      <c r="S2951" s="81" t="n"/>
      <c r="T2951" s="81" t="n"/>
      <c r="U2951" s="81" t="n"/>
      <c r="V2951" s="81" t="n"/>
      <c r="W2951" s="43" t="n"/>
    </row>
    <row r="2952">
      <c r="A2952" s="43" t="inlineStr">
        <is>
          <t>N11a</t>
        </is>
      </c>
      <c r="B2952" s="43" t="inlineStr"/>
      <c r="C2952" s="43" t="inlineStr">
        <is>
          <t>节段18</t>
        </is>
      </c>
      <c r="D2952" s="43" t="inlineStr">
        <is>
          <t>Q420D</t>
        </is>
      </c>
      <c r="E2952" s="43" t="n"/>
      <c r="F2952" s="43" t="n"/>
      <c r="G2952" s="43" t="n">
        <v>40</v>
      </c>
      <c r="H2952" s="79">
        <f>(E2952/1000)*(F2952/1000)*(G2952/1000)*7850</f>
        <v/>
      </c>
      <c r="I2952" s="43" t="n">
        <v>1</v>
      </c>
      <c r="J2952" s="80">
        <f>H2952*I2952</f>
        <v/>
      </c>
      <c r="K2952" s="43" t="inlineStr">
        <is>
          <t>来源页212</t>
        </is>
      </c>
      <c r="L2952" s="43">
        <f>A2952</f>
        <v/>
      </c>
      <c r="M2952" s="81" t="n"/>
      <c r="N2952" s="81" t="n"/>
      <c r="O2952" s="81" t="n"/>
      <c r="P2952" s="81" t="n"/>
      <c r="Q2952" s="81" t="n"/>
      <c r="R2952" s="81" t="n"/>
      <c r="S2952" s="81" t="n"/>
      <c r="T2952" s="81" t="n"/>
      <c r="U2952" s="81" t="n"/>
      <c r="V2952" s="81" t="n"/>
      <c r="W2952" s="43" t="n"/>
    </row>
    <row r="2953">
      <c r="A2953" s="43" t="inlineStr">
        <is>
          <t>N11b</t>
        </is>
      </c>
      <c r="B2953" s="43" t="inlineStr"/>
      <c r="C2953" s="43" t="inlineStr">
        <is>
          <t>节段18</t>
        </is>
      </c>
      <c r="D2953" s="43" t="inlineStr">
        <is>
          <t>Q420D</t>
        </is>
      </c>
      <c r="E2953" s="43" t="n"/>
      <c r="F2953" s="43" t="n"/>
      <c r="G2953" s="43" t="n">
        <v>40</v>
      </c>
      <c r="H2953" s="79">
        <f>(E2953/1000)*(F2953/1000)*(G2953/1000)*7850</f>
        <v/>
      </c>
      <c r="I2953" s="43" t="n">
        <v>1</v>
      </c>
      <c r="J2953" s="80">
        <f>H2953*I2953</f>
        <v/>
      </c>
      <c r="K2953" s="43" t="inlineStr">
        <is>
          <t>来源页212</t>
        </is>
      </c>
      <c r="L2953" s="43">
        <f>A2953</f>
        <v/>
      </c>
      <c r="M2953" s="81" t="n"/>
      <c r="N2953" s="81" t="n"/>
      <c r="O2953" s="81" t="n"/>
      <c r="P2953" s="81" t="n"/>
      <c r="Q2953" s="81" t="n"/>
      <c r="R2953" s="81" t="n"/>
      <c r="S2953" s="81" t="n"/>
      <c r="T2953" s="81" t="n"/>
      <c r="U2953" s="81" t="n"/>
      <c r="V2953" s="81" t="n"/>
      <c r="W2953" s="43" t="n"/>
    </row>
    <row r="2954">
      <c r="A2954" s="43" t="inlineStr">
        <is>
          <t>N12α</t>
        </is>
      </c>
      <c r="B2954" s="43" t="inlineStr"/>
      <c r="C2954" s="43" t="inlineStr">
        <is>
          <t>节段18</t>
        </is>
      </c>
      <c r="D2954" s="43" t="inlineStr">
        <is>
          <t>Q420D</t>
        </is>
      </c>
      <c r="E2954" s="43" t="n">
        <v>7900</v>
      </c>
      <c r="F2954" s="43" t="n">
        <v>1200</v>
      </c>
      <c r="G2954" s="43" t="n">
        <v>40</v>
      </c>
      <c r="H2954" s="79">
        <f>(E2954/1000)*(F2954/1000)*(G2954/1000)*7850</f>
        <v/>
      </c>
      <c r="I2954" s="43" t="n">
        <v>1</v>
      </c>
      <c r="J2954" s="80">
        <f>H2954*I2954</f>
        <v/>
      </c>
      <c r="K2954" s="43" t="inlineStr">
        <is>
          <t>来源页212</t>
        </is>
      </c>
      <c r="L2954" s="43">
        <f>A2954</f>
        <v/>
      </c>
      <c r="M2954" s="81" t="n"/>
      <c r="N2954" s="81" t="n"/>
      <c r="O2954" s="81" t="n"/>
      <c r="P2954" s="81" t="n"/>
      <c r="Q2954" s="81" t="n"/>
      <c r="R2954" s="81" t="n"/>
      <c r="S2954" s="81" t="n"/>
      <c r="T2954" s="81" t="n"/>
      <c r="U2954" s="81" t="n"/>
      <c r="V2954" s="81" t="n"/>
      <c r="W2954" s="43" t="n"/>
    </row>
    <row r="2955">
      <c r="A2955" s="43" t="inlineStr">
        <is>
          <t>N12b</t>
        </is>
      </c>
      <c r="B2955" s="43" t="inlineStr"/>
      <c r="C2955" s="43" t="inlineStr">
        <is>
          <t>节段18</t>
        </is>
      </c>
      <c r="D2955" s="43" t="inlineStr">
        <is>
          <t>Q420D</t>
        </is>
      </c>
      <c r="E2955" s="43" t="n">
        <v>6950</v>
      </c>
      <c r="F2955" s="43" t="n">
        <v>1200</v>
      </c>
      <c r="G2955" s="43" t="n">
        <v>40</v>
      </c>
      <c r="H2955" s="79">
        <f>(E2955/1000)*(F2955/1000)*(G2955/1000)*7850</f>
        <v/>
      </c>
      <c r="I2955" s="43" t="n">
        <v>1</v>
      </c>
      <c r="J2955" s="80">
        <f>H2955*I2955</f>
        <v/>
      </c>
      <c r="K2955" s="43" t="inlineStr">
        <is>
          <t>来源页212</t>
        </is>
      </c>
      <c r="L2955" s="43">
        <f>A2955</f>
        <v/>
      </c>
      <c r="M2955" s="81" t="n"/>
      <c r="N2955" s="81" t="n"/>
      <c r="O2955" s="81" t="n"/>
      <c r="P2955" s="81" t="n"/>
      <c r="Q2955" s="81" t="n"/>
      <c r="R2955" s="81" t="n"/>
      <c r="S2955" s="81" t="n"/>
      <c r="T2955" s="81" t="n"/>
      <c r="U2955" s="81" t="n"/>
      <c r="V2955" s="81" t="n"/>
      <c r="W2955" s="43" t="n"/>
    </row>
    <row r="2956">
      <c r="A2956" s="43" t="inlineStr">
        <is>
          <t>N13</t>
        </is>
      </c>
      <c r="B2956" s="43" t="inlineStr"/>
      <c r="C2956" s="43" t="inlineStr">
        <is>
          <t>节段18</t>
        </is>
      </c>
      <c r="D2956" s="43" t="inlineStr">
        <is>
          <t>Q420D</t>
        </is>
      </c>
      <c r="E2956" s="43" t="n"/>
      <c r="F2956" s="43" t="n"/>
      <c r="G2956" s="43" t="n">
        <v>48</v>
      </c>
      <c r="H2956" s="79">
        <f>(E2956/1000)*(F2956/1000)*(G2956/1000)*7850</f>
        <v/>
      </c>
      <c r="I2956" s="43" t="n">
        <v>2</v>
      </c>
      <c r="J2956" s="80">
        <f>H2956*I2956</f>
        <v/>
      </c>
      <c r="K2956" s="43" t="inlineStr">
        <is>
          <t>来源页212</t>
        </is>
      </c>
      <c r="L2956" s="43">
        <f>A2956</f>
        <v/>
      </c>
      <c r="M2956" s="81" t="n"/>
      <c r="N2956" s="81" t="n"/>
      <c r="O2956" s="81" t="n"/>
      <c r="P2956" s="81" t="n"/>
      <c r="Q2956" s="81" t="n"/>
      <c r="R2956" s="81" t="n"/>
      <c r="S2956" s="81" t="n"/>
      <c r="T2956" s="81" t="n"/>
      <c r="U2956" s="81" t="n"/>
      <c r="V2956" s="81" t="n"/>
      <c r="W2956" s="43" t="n"/>
    </row>
    <row r="2957">
      <c r="A2957" s="43" t="inlineStr">
        <is>
          <t>N14</t>
        </is>
      </c>
      <c r="B2957" s="43" t="inlineStr"/>
      <c r="C2957" s="43" t="inlineStr">
        <is>
          <t>节段18</t>
        </is>
      </c>
      <c r="D2957" s="43" t="inlineStr">
        <is>
          <t>Q420D</t>
        </is>
      </c>
      <c r="E2957" s="43" t="n">
        <v>7150</v>
      </c>
      <c r="F2957" s="43" t="n">
        <v>1628</v>
      </c>
      <c r="G2957" s="43" t="n">
        <v>48</v>
      </c>
      <c r="H2957" s="79">
        <f>(E2957/1000)*(F2957/1000)*(G2957/1000)*7850</f>
        <v/>
      </c>
      <c r="I2957" s="43" t="n">
        <v>2</v>
      </c>
      <c r="J2957" s="80">
        <f>H2957*I2957</f>
        <v/>
      </c>
      <c r="K2957" s="43" t="inlineStr">
        <is>
          <t>来源页212</t>
        </is>
      </c>
      <c r="L2957" s="43">
        <f>A2957</f>
        <v/>
      </c>
      <c r="M2957" s="81" t="n"/>
      <c r="N2957" s="81" t="n"/>
      <c r="O2957" s="81" t="n"/>
      <c r="P2957" s="81" t="n"/>
      <c r="Q2957" s="81" t="n"/>
      <c r="R2957" s="81" t="n"/>
      <c r="S2957" s="81" t="n"/>
      <c r="T2957" s="81" t="n"/>
      <c r="U2957" s="81" t="n"/>
      <c r="V2957" s="81" t="n"/>
      <c r="W2957" s="43" t="n"/>
    </row>
    <row r="2958">
      <c r="A2958" s="43" t="inlineStr">
        <is>
          <t>N15</t>
        </is>
      </c>
      <c r="B2958" s="43" t="inlineStr"/>
      <c r="C2958" s="43" t="inlineStr">
        <is>
          <t>节段18</t>
        </is>
      </c>
      <c r="D2958" s="43" t="inlineStr">
        <is>
          <t>Q420D</t>
        </is>
      </c>
      <c r="E2958" s="43" t="n">
        <v>1560</v>
      </c>
      <c r="F2958" s="43" t="n">
        <v>1200</v>
      </c>
      <c r="G2958" s="43" t="n">
        <v>16</v>
      </c>
      <c r="H2958" s="79">
        <f>(E2958/1000)*(F2958/1000)*(G2958/1000)*7850</f>
        <v/>
      </c>
      <c r="I2958" s="43" t="n">
        <v>3</v>
      </c>
      <c r="J2958" s="80">
        <f>H2958*I2958</f>
        <v/>
      </c>
      <c r="K2958" s="43" t="inlineStr">
        <is>
          <t>来源页212</t>
        </is>
      </c>
      <c r="L2958" s="43">
        <f>A2958</f>
        <v/>
      </c>
      <c r="M2958" s="81" t="n"/>
      <c r="N2958" s="81" t="n"/>
      <c r="O2958" s="81" t="n"/>
      <c r="P2958" s="81" t="n"/>
      <c r="Q2958" s="81" t="n"/>
      <c r="R2958" s="81" t="n"/>
      <c r="S2958" s="81" t="n"/>
      <c r="T2958" s="81" t="n"/>
      <c r="U2958" s="81" t="n"/>
      <c r="V2958" s="81" t="n"/>
      <c r="W2958" s="43" t="n"/>
    </row>
    <row r="2959">
      <c r="A2959" s="43" t="inlineStr">
        <is>
          <t>N15a</t>
        </is>
      </c>
      <c r="B2959" s="43" t="inlineStr"/>
      <c r="C2959" s="43" t="inlineStr">
        <is>
          <t>节段18</t>
        </is>
      </c>
      <c r="D2959" s="43" t="inlineStr">
        <is>
          <t>Q420D</t>
        </is>
      </c>
      <c r="E2959" s="43" t="n">
        <v>1560</v>
      </c>
      <c r="F2959" s="43" t="n">
        <v>1200</v>
      </c>
      <c r="G2959" s="43" t="n">
        <v>16</v>
      </c>
      <c r="H2959" s="79">
        <f>(E2959/1000)*(F2959/1000)*(G2959/1000)*7850</f>
        <v/>
      </c>
      <c r="I2959" s="43" t="n">
        <v>2</v>
      </c>
      <c r="J2959" s="80">
        <f>H2959*I2959</f>
        <v/>
      </c>
      <c r="K2959" s="43" t="inlineStr">
        <is>
          <t>来源页212</t>
        </is>
      </c>
      <c r="L2959" s="43">
        <f>A2959</f>
        <v/>
      </c>
      <c r="M2959" s="81" t="n"/>
      <c r="N2959" s="81" t="n"/>
      <c r="O2959" s="81" t="n"/>
      <c r="P2959" s="81" t="n"/>
      <c r="Q2959" s="81" t="n"/>
      <c r="R2959" s="81" t="n"/>
      <c r="S2959" s="81" t="n"/>
      <c r="T2959" s="81" t="n"/>
      <c r="U2959" s="81" t="n"/>
      <c r="V2959" s="81" t="n"/>
      <c r="W2959" s="43" t="n"/>
    </row>
    <row r="2960">
      <c r="A2960" s="43" t="inlineStr">
        <is>
          <t>N15‘</t>
        </is>
      </c>
      <c r="B2960" s="43" t="inlineStr"/>
      <c r="C2960" s="43" t="inlineStr">
        <is>
          <t>节段18</t>
        </is>
      </c>
      <c r="D2960" s="43" t="inlineStr">
        <is>
          <t>Q420D</t>
        </is>
      </c>
      <c r="E2960" s="43" t="n">
        <v>1657</v>
      </c>
      <c r="F2960" s="43" t="n">
        <v>200</v>
      </c>
      <c r="G2960" s="43" t="n">
        <v>16</v>
      </c>
      <c r="H2960" s="79">
        <f>(E2960/1000)*(F2960/1000)*(G2960/1000)*7850</f>
        <v/>
      </c>
      <c r="I2960" s="43" t="n">
        <v>3</v>
      </c>
      <c r="J2960" s="80">
        <f>H2960*I2960</f>
        <v/>
      </c>
      <c r="K2960" s="43" t="inlineStr">
        <is>
          <t>来源页212</t>
        </is>
      </c>
      <c r="L2960" s="43">
        <f>A2960</f>
        <v/>
      </c>
      <c r="M2960" s="81" t="n"/>
      <c r="N2960" s="81" t="n"/>
      <c r="O2960" s="81" t="n"/>
      <c r="P2960" s="81" t="n"/>
      <c r="Q2960" s="81" t="n"/>
      <c r="R2960" s="81" t="n"/>
      <c r="S2960" s="81" t="n"/>
      <c r="T2960" s="81" t="n"/>
      <c r="U2960" s="81" t="n"/>
      <c r="V2960" s="81" t="n"/>
      <c r="W2960" s="43" t="n"/>
    </row>
    <row r="2961">
      <c r="A2961" s="43" t="inlineStr">
        <is>
          <t>N15b</t>
        </is>
      </c>
      <c r="B2961" s="43" t="inlineStr"/>
      <c r="C2961" s="43" t="inlineStr">
        <is>
          <t>节段18</t>
        </is>
      </c>
      <c r="D2961" s="43" t="inlineStr">
        <is>
          <t>Q420D</t>
        </is>
      </c>
      <c r="E2961" s="43" t="n">
        <v>1782</v>
      </c>
      <c r="F2961" s="43" t="n">
        <v>40</v>
      </c>
      <c r="G2961" s="43" t="n">
        <v>4</v>
      </c>
      <c r="H2961" s="79">
        <f>(E2961/1000)*(F2961/1000)*(G2961/1000)*7850</f>
        <v/>
      </c>
      <c r="I2961" s="43" t="n">
        <v>4</v>
      </c>
      <c r="J2961" s="80">
        <f>H2961*I2961</f>
        <v/>
      </c>
      <c r="K2961" s="43" t="inlineStr">
        <is>
          <t>来源页212</t>
        </is>
      </c>
      <c r="L2961" s="43">
        <f>A2961</f>
        <v/>
      </c>
      <c r="M2961" s="81" t="n"/>
      <c r="N2961" s="81" t="n"/>
      <c r="O2961" s="81" t="n"/>
      <c r="P2961" s="81" t="n"/>
      <c r="Q2961" s="81" t="n"/>
      <c r="R2961" s="81" t="n"/>
      <c r="S2961" s="81" t="n"/>
      <c r="T2961" s="81" t="n"/>
      <c r="U2961" s="81" t="n"/>
      <c r="V2961" s="81" t="n"/>
      <c r="W2961" s="43" t="n"/>
    </row>
    <row r="2962">
      <c r="A2962" s="43" t="inlineStr">
        <is>
          <t>N15c</t>
        </is>
      </c>
      <c r="B2962" s="43" t="inlineStr"/>
      <c r="C2962" s="43" t="inlineStr">
        <is>
          <t>节段18</t>
        </is>
      </c>
      <c r="D2962" s="43" t="inlineStr">
        <is>
          <t>Q420D</t>
        </is>
      </c>
      <c r="E2962" s="43" t="n">
        <v>600</v>
      </c>
      <c r="F2962" s="43" t="n">
        <v>400</v>
      </c>
      <c r="G2962" s="43" t="n">
        <v>16</v>
      </c>
      <c r="H2962" s="79">
        <f>(E2962/1000)*(F2962/1000)*(G2962/1000)*7850</f>
        <v/>
      </c>
      <c r="I2962" s="43" t="n">
        <v>4</v>
      </c>
      <c r="J2962" s="80">
        <f>H2962*I2962</f>
        <v/>
      </c>
      <c r="K2962" s="43" t="inlineStr">
        <is>
          <t>来源页212</t>
        </is>
      </c>
      <c r="L2962" s="43">
        <f>A2962</f>
        <v/>
      </c>
      <c r="M2962" s="81" t="n"/>
      <c r="N2962" s="81" t="n"/>
      <c r="O2962" s="81" t="n"/>
      <c r="P2962" s="81" t="n"/>
      <c r="Q2962" s="81" t="n"/>
      <c r="R2962" s="81" t="n"/>
      <c r="S2962" s="81" t="n"/>
      <c r="T2962" s="81" t="n"/>
      <c r="U2962" s="81" t="n"/>
      <c r="V2962" s="81" t="n"/>
      <c r="W2962" s="43" t="n"/>
    </row>
    <row r="2963">
      <c r="A2963" s="43" t="inlineStr">
        <is>
          <t>N16b</t>
        </is>
      </c>
      <c r="B2963" s="43" t="inlineStr"/>
      <c r="C2963" s="43" t="inlineStr">
        <is>
          <t>节段18</t>
        </is>
      </c>
      <c r="D2963" s="43" t="inlineStr">
        <is>
          <t>Q420D</t>
        </is>
      </c>
      <c r="E2963" s="43" t="n">
        <v>6950</v>
      </c>
      <c r="F2963" s="43" t="n">
        <v>320</v>
      </c>
      <c r="G2963" s="43" t="n">
        <v>32</v>
      </c>
      <c r="H2963" s="79">
        <f>(E2963/1000)*(F2963/1000)*(G2963/1000)*7850</f>
        <v/>
      </c>
      <c r="I2963" s="43" t="n">
        <v>6</v>
      </c>
      <c r="J2963" s="80">
        <f>H2963*I2963</f>
        <v/>
      </c>
      <c r="K2963" s="43" t="inlineStr">
        <is>
          <t>来源页212</t>
        </is>
      </c>
      <c r="L2963" s="43">
        <f>A2963</f>
        <v/>
      </c>
      <c r="M2963" s="81" t="n"/>
      <c r="N2963" s="81" t="n"/>
      <c r="O2963" s="81" t="n"/>
      <c r="P2963" s="81" t="n"/>
      <c r="Q2963" s="81" t="n"/>
      <c r="R2963" s="81" t="n"/>
      <c r="S2963" s="81" t="n"/>
      <c r="T2963" s="81" t="n"/>
      <c r="U2963" s="81" t="n"/>
      <c r="V2963" s="81" t="n"/>
      <c r="W2963" s="43" t="n"/>
    </row>
    <row r="2964">
      <c r="A2964" s="43" t="inlineStr">
        <is>
          <t>N21α</t>
        </is>
      </c>
      <c r="B2964" s="43" t="inlineStr"/>
      <c r="C2964" s="43" t="inlineStr">
        <is>
          <t>节段18</t>
        </is>
      </c>
      <c r="D2964" s="43" t="inlineStr">
        <is>
          <t>Q420D</t>
        </is>
      </c>
      <c r="E2964" s="43" t="n">
        <v>8050</v>
      </c>
      <c r="F2964" s="43" t="n">
        <v>1850</v>
      </c>
      <c r="G2964" s="43" t="n">
        <v>32</v>
      </c>
      <c r="H2964" s="79">
        <f>(E2964/1000)*(F2964/1000)*(G2964/1000)*7850</f>
        <v/>
      </c>
      <c r="I2964" s="43" t="n">
        <v>1</v>
      </c>
      <c r="J2964" s="80">
        <f>H2964*I2964</f>
        <v/>
      </c>
      <c r="K2964" s="43" t="inlineStr">
        <is>
          <t>来源页212</t>
        </is>
      </c>
      <c r="L2964" s="43">
        <f>A2964</f>
        <v/>
      </c>
      <c r="M2964" s="81" t="n"/>
      <c r="N2964" s="81" t="n"/>
      <c r="O2964" s="81" t="n"/>
      <c r="P2964" s="81" t="n"/>
      <c r="Q2964" s="81" t="n"/>
      <c r="R2964" s="81" t="n"/>
      <c r="S2964" s="81" t="n"/>
      <c r="T2964" s="81" t="n"/>
      <c r="U2964" s="81" t="n"/>
      <c r="V2964" s="81" t="n"/>
      <c r="W2964" s="43" t="n"/>
    </row>
    <row r="2965">
      <c r="A2965" s="43" t="inlineStr">
        <is>
          <t>N21b</t>
        </is>
      </c>
      <c r="B2965" s="43" t="inlineStr"/>
      <c r="C2965" s="43" t="inlineStr">
        <is>
          <t>节段18</t>
        </is>
      </c>
      <c r="D2965" s="43" t="inlineStr">
        <is>
          <t>Q355D</t>
        </is>
      </c>
      <c r="E2965" s="43" t="n">
        <v>7100</v>
      </c>
      <c r="F2965" s="43" t="n">
        <v>1850</v>
      </c>
      <c r="G2965" s="43" t="n">
        <v>24</v>
      </c>
      <c r="H2965" s="79">
        <f>(E2965/1000)*(F2965/1000)*(G2965/1000)*7850</f>
        <v/>
      </c>
      <c r="I2965" s="43" t="n">
        <v>1</v>
      </c>
      <c r="J2965" s="80">
        <f>H2965*I2965</f>
        <v/>
      </c>
      <c r="K2965" s="43" t="inlineStr">
        <is>
          <t>来源页212</t>
        </is>
      </c>
      <c r="L2965" s="43">
        <f>A2965</f>
        <v/>
      </c>
      <c r="M2965" s="81" t="n"/>
      <c r="N2965" s="81" t="n"/>
      <c r="O2965" s="81" t="n"/>
      <c r="P2965" s="81" t="n"/>
      <c r="Q2965" s="81" t="n"/>
      <c r="R2965" s="81" t="n"/>
      <c r="S2965" s="81" t="n"/>
      <c r="T2965" s="81" t="n"/>
      <c r="U2965" s="81" t="n"/>
      <c r="V2965" s="81" t="n"/>
      <c r="W2965" s="43" t="n"/>
    </row>
    <row r="2966">
      <c r="A2966" s="43" t="inlineStr">
        <is>
          <t>N22a</t>
        </is>
      </c>
      <c r="B2966" s="43" t="inlineStr"/>
      <c r="C2966" s="43" t="inlineStr">
        <is>
          <t>节段18</t>
        </is>
      </c>
      <c r="D2966" s="43" t="inlineStr">
        <is>
          <t>Q420D</t>
        </is>
      </c>
      <c r="E2966" s="43" t="n"/>
      <c r="F2966" s="43" t="n"/>
      <c r="G2966" s="43" t="n">
        <v>32</v>
      </c>
      <c r="H2966" s="79">
        <f>(E2966/1000)*(F2966/1000)*(G2966/1000)*7850</f>
        <v/>
      </c>
      <c r="I2966" s="43" t="n">
        <v>1</v>
      </c>
      <c r="J2966" s="80">
        <f>H2966*I2966</f>
        <v/>
      </c>
      <c r="K2966" s="43" t="inlineStr">
        <is>
          <t>来源页212</t>
        </is>
      </c>
      <c r="L2966" s="43">
        <f>A2966</f>
        <v/>
      </c>
      <c r="M2966" s="81" t="n"/>
      <c r="N2966" s="81" t="n"/>
      <c r="O2966" s="81" t="n"/>
      <c r="P2966" s="81" t="n"/>
      <c r="Q2966" s="81" t="n"/>
      <c r="R2966" s="81" t="n"/>
      <c r="S2966" s="81" t="n"/>
      <c r="T2966" s="81" t="n"/>
      <c r="U2966" s="81" t="n"/>
      <c r="V2966" s="81" t="n"/>
      <c r="W2966" s="43" t="n"/>
    </row>
    <row r="2967">
      <c r="A2967" s="43" t="inlineStr">
        <is>
          <t>N22b</t>
        </is>
      </c>
      <c r="B2967" s="43" t="inlineStr"/>
      <c r="C2967" s="43" t="inlineStr">
        <is>
          <t>节段18</t>
        </is>
      </c>
      <c r="D2967" s="43" t="inlineStr">
        <is>
          <t>Q355D</t>
        </is>
      </c>
      <c r="E2967" s="43" t="n"/>
      <c r="F2967" s="43" t="n"/>
      <c r="G2967" s="43" t="n">
        <v>24</v>
      </c>
      <c r="H2967" s="79">
        <f>(E2967/1000)*(F2967/1000)*(G2967/1000)*7850</f>
        <v/>
      </c>
      <c r="I2967" s="43" t="n">
        <v>1</v>
      </c>
      <c r="J2967" s="80">
        <f>H2967*I2967</f>
        <v/>
      </c>
      <c r="K2967" s="43" t="inlineStr">
        <is>
          <t>来源页212</t>
        </is>
      </c>
      <c r="L2967" s="43">
        <f>A2967</f>
        <v/>
      </c>
      <c r="M2967" s="81" t="n"/>
      <c r="N2967" s="81" t="n"/>
      <c r="O2967" s="81" t="n"/>
      <c r="P2967" s="81" t="n"/>
      <c r="Q2967" s="81" t="n"/>
      <c r="R2967" s="81" t="n"/>
      <c r="S2967" s="81" t="n"/>
      <c r="T2967" s="81" t="n"/>
      <c r="U2967" s="81" t="n"/>
      <c r="V2967" s="81" t="n"/>
      <c r="W2967" s="43" t="n"/>
    </row>
    <row r="2968">
      <c r="A2968" s="43" t="inlineStr">
        <is>
          <t>N23</t>
        </is>
      </c>
      <c r="B2968" s="43" t="inlineStr"/>
      <c r="C2968" s="43" t="inlineStr">
        <is>
          <t>节段18</t>
        </is>
      </c>
      <c r="D2968" s="43" t="inlineStr">
        <is>
          <t>Q420D</t>
        </is>
      </c>
      <c r="E2968" s="43" t="n"/>
      <c r="F2968" s="43" t="n"/>
      <c r="G2968" s="43" t="n">
        <v>48</v>
      </c>
      <c r="H2968" s="79">
        <f>(E2968/1000)*(F2968/1000)*(G2968/1000)*7850</f>
        <v/>
      </c>
      <c r="I2968" s="43" t="n">
        <v>2</v>
      </c>
      <c r="J2968" s="80">
        <f>H2968*I2968</f>
        <v/>
      </c>
      <c r="K2968" s="43" t="inlineStr">
        <is>
          <t>Z35钢；来源页212</t>
        </is>
      </c>
      <c r="L2968" s="43">
        <f>A2968</f>
        <v/>
      </c>
      <c r="M2968" s="81" t="n"/>
      <c r="N2968" s="81" t="n"/>
      <c r="O2968" s="81" t="n"/>
      <c r="P2968" s="81" t="n"/>
      <c r="Q2968" s="81" t="n"/>
      <c r="R2968" s="81" t="n"/>
      <c r="S2968" s="81" t="n"/>
      <c r="T2968" s="81" t="n"/>
      <c r="U2968" s="81" t="n"/>
      <c r="V2968" s="81" t="n"/>
      <c r="W2968" s="43" t="n"/>
    </row>
    <row r="2969">
      <c r="A2969" s="43" t="inlineStr">
        <is>
          <t>N24</t>
        </is>
      </c>
      <c r="B2969" s="43" t="inlineStr"/>
      <c r="C2969" s="43" t="inlineStr">
        <is>
          <t>节段18</t>
        </is>
      </c>
      <c r="D2969" s="43" t="inlineStr">
        <is>
          <t>Q355D</t>
        </is>
      </c>
      <c r="E2969" s="43" t="n">
        <v>7300</v>
      </c>
      <c r="F2969" s="43" t="n">
        <v>1474</v>
      </c>
      <c r="G2969" s="43" t="n">
        <v>32</v>
      </c>
      <c r="H2969" s="79">
        <f>(E2969/1000)*(F2969/1000)*(G2969/1000)*7850</f>
        <v/>
      </c>
      <c r="I2969" s="43" t="n">
        <v>2</v>
      </c>
      <c r="J2969" s="80">
        <f>H2969*I2969</f>
        <v/>
      </c>
      <c r="K2969" s="43" t="inlineStr">
        <is>
          <t>来源页212</t>
        </is>
      </c>
      <c r="L2969" s="43">
        <f>A2969</f>
        <v/>
      </c>
      <c r="M2969" s="81" t="n"/>
      <c r="N2969" s="81" t="n"/>
      <c r="O2969" s="81" t="n"/>
      <c r="P2969" s="81" t="n"/>
      <c r="Q2969" s="81" t="n"/>
      <c r="R2969" s="81" t="n"/>
      <c r="S2969" s="81" t="n"/>
      <c r="T2969" s="81" t="n"/>
      <c r="U2969" s="81" t="n"/>
      <c r="V2969" s="81" t="n"/>
      <c r="W2969" s="43" t="n"/>
    </row>
    <row r="2970">
      <c r="A2970" s="43" t="inlineStr">
        <is>
          <t>N25</t>
        </is>
      </c>
      <c r="B2970" s="43" t="inlineStr"/>
      <c r="C2970" s="43" t="inlineStr">
        <is>
          <t>节段18</t>
        </is>
      </c>
      <c r="D2970" s="43" t="inlineStr">
        <is>
          <t>Q355D</t>
        </is>
      </c>
      <c r="E2970" s="43" t="n">
        <v>1450</v>
      </c>
      <c r="F2970" s="43" t="n">
        <v>1200</v>
      </c>
      <c r="G2970" s="43" t="n">
        <v>16</v>
      </c>
      <c r="H2970" s="79">
        <f>(E2970/1000)*(F2970/1000)*(G2970/1000)*7850</f>
        <v/>
      </c>
      <c r="I2970" s="43" t="n">
        <v>3</v>
      </c>
      <c r="J2970" s="80">
        <f>H2970*I2970</f>
        <v/>
      </c>
      <c r="K2970" s="43" t="inlineStr">
        <is>
          <t>来源页212</t>
        </is>
      </c>
      <c r="L2970" s="43">
        <f>A2970</f>
        <v/>
      </c>
      <c r="M2970" s="81" t="n"/>
      <c r="N2970" s="81" t="n"/>
      <c r="O2970" s="81" t="n"/>
      <c r="P2970" s="81" t="n"/>
      <c r="Q2970" s="81" t="n"/>
      <c r="R2970" s="81" t="n"/>
      <c r="S2970" s="81" t="n"/>
      <c r="T2970" s="81" t="n"/>
      <c r="U2970" s="81" t="n"/>
      <c r="V2970" s="81" t="n"/>
      <c r="W2970" s="43" t="n"/>
    </row>
    <row r="2971">
      <c r="A2971" s="43" t="inlineStr">
        <is>
          <t>N25a</t>
        </is>
      </c>
      <c r="B2971" s="43" t="inlineStr"/>
      <c r="C2971" s="43" t="inlineStr">
        <is>
          <t>节段18</t>
        </is>
      </c>
      <c r="D2971" s="43" t="inlineStr">
        <is>
          <t>Q355D</t>
        </is>
      </c>
      <c r="E2971" s="43" t="n">
        <v>1450</v>
      </c>
      <c r="F2971" s="43" t="n">
        <v>1200</v>
      </c>
      <c r="G2971" s="43" t="n">
        <v>16</v>
      </c>
      <c r="H2971" s="79">
        <f>(E2971/1000)*(F2971/1000)*(G2971/1000)*7850</f>
        <v/>
      </c>
      <c r="I2971" s="43" t="n">
        <v>2</v>
      </c>
      <c r="J2971" s="80">
        <f>H2971*I2971</f>
        <v/>
      </c>
      <c r="K2971" s="43" t="inlineStr">
        <is>
          <t>来源页212</t>
        </is>
      </c>
      <c r="L2971" s="43">
        <f>A2971</f>
        <v/>
      </c>
      <c r="M2971" s="81" t="n"/>
      <c r="N2971" s="81" t="n"/>
      <c r="O2971" s="81" t="n"/>
      <c r="P2971" s="81" t="n"/>
      <c r="Q2971" s="81" t="n"/>
      <c r="R2971" s="81" t="n"/>
      <c r="S2971" s="81" t="n"/>
      <c r="T2971" s="81" t="n"/>
      <c r="U2971" s="81" t="n"/>
      <c r="V2971" s="81" t="n"/>
      <c r="W2971" s="43" t="n"/>
    </row>
    <row r="2972">
      <c r="A2972" s="43" t="inlineStr">
        <is>
          <t>N25'</t>
        </is>
      </c>
      <c r="B2972" s="43" t="inlineStr"/>
      <c r="C2972" s="43" t="inlineStr">
        <is>
          <t>节段18</t>
        </is>
      </c>
      <c r="D2972" s="43" t="inlineStr">
        <is>
          <t>Q355D</t>
        </is>
      </c>
      <c r="E2972" s="43" t="n">
        <v>1657</v>
      </c>
      <c r="F2972" s="43" t="n">
        <v>200</v>
      </c>
      <c r="G2972" s="43" t="n">
        <v>16</v>
      </c>
      <c r="H2972" s="79">
        <f>(E2972/1000)*(F2972/1000)*(G2972/1000)*7850</f>
        <v/>
      </c>
      <c r="I2972" s="43" t="n">
        <v>3</v>
      </c>
      <c r="J2972" s="80">
        <f>H2972*I2972</f>
        <v/>
      </c>
      <c r="K2972" s="43" t="inlineStr">
        <is>
          <t>来源页212</t>
        </is>
      </c>
      <c r="L2972" s="43">
        <f>A2972</f>
        <v/>
      </c>
      <c r="M2972" s="81" t="n"/>
      <c r="N2972" s="81" t="n"/>
      <c r="O2972" s="81" t="n"/>
      <c r="P2972" s="81" t="n"/>
      <c r="Q2972" s="81" t="n"/>
      <c r="R2972" s="81" t="n"/>
      <c r="S2972" s="81" t="n"/>
      <c r="T2972" s="81" t="n"/>
      <c r="U2972" s="81" t="n"/>
      <c r="V2972" s="81" t="n"/>
      <c r="W2972" s="43" t="n"/>
    </row>
    <row r="2973">
      <c r="A2973" s="43" t="inlineStr">
        <is>
          <t>N26a</t>
        </is>
      </c>
      <c r="B2973" s="43" t="inlineStr"/>
      <c r="C2973" s="43" t="inlineStr">
        <is>
          <t>节段18</t>
        </is>
      </c>
      <c r="D2973" s="43" t="inlineStr">
        <is>
          <t>Q420D</t>
        </is>
      </c>
      <c r="E2973" s="43" t="n">
        <v>8050</v>
      </c>
      <c r="F2973" s="43" t="n">
        <v>320</v>
      </c>
      <c r="G2973" s="43" t="n">
        <v>32</v>
      </c>
      <c r="H2973" s="79">
        <f>(E2973/1000)*(F2973/1000)*(G2973/1000)*7850</f>
        <v/>
      </c>
      <c r="I2973" s="43" t="n">
        <v>4</v>
      </c>
      <c r="J2973" s="80">
        <f>H2973*I2973</f>
        <v/>
      </c>
      <c r="K2973" s="43" t="inlineStr">
        <is>
          <t>来源页212</t>
        </is>
      </c>
      <c r="L2973" s="43">
        <f>A2973</f>
        <v/>
      </c>
      <c r="M2973" s="81" t="n"/>
      <c r="N2973" s="81" t="n"/>
      <c r="O2973" s="81" t="n"/>
      <c r="P2973" s="81" t="n"/>
      <c r="Q2973" s="81" t="n"/>
      <c r="R2973" s="81" t="n"/>
      <c r="S2973" s="81" t="n"/>
      <c r="T2973" s="81" t="n"/>
      <c r="U2973" s="81" t="n"/>
      <c r="V2973" s="81" t="n"/>
      <c r="W2973" s="43" t="n"/>
    </row>
    <row r="2974">
      <c r="A2974" s="43" t="inlineStr">
        <is>
          <t>N26b</t>
        </is>
      </c>
      <c r="B2974" s="43" t="inlineStr"/>
      <c r="C2974" s="43" t="inlineStr">
        <is>
          <t>节段18</t>
        </is>
      </c>
      <c r="D2974" s="43" t="inlineStr">
        <is>
          <t>Q355D</t>
        </is>
      </c>
      <c r="E2974" s="43" t="n">
        <v>7100</v>
      </c>
      <c r="F2974" s="43" t="n">
        <v>320</v>
      </c>
      <c r="G2974" s="43" t="n">
        <v>32</v>
      </c>
      <c r="H2974" s="79">
        <f>(E2974/1000)*(F2974/1000)*(G2974/1000)*7850</f>
        <v/>
      </c>
      <c r="I2974" s="43" t="n">
        <v>4</v>
      </c>
      <c r="J2974" s="80">
        <f>H2974*I2974</f>
        <v/>
      </c>
      <c r="K2974" s="43" t="inlineStr">
        <is>
          <t>来源页212</t>
        </is>
      </c>
      <c r="L2974" s="43">
        <f>A2974</f>
        <v/>
      </c>
      <c r="M2974" s="81" t="n"/>
      <c r="N2974" s="81" t="n"/>
      <c r="O2974" s="81" t="n"/>
      <c r="P2974" s="81" t="n"/>
      <c r="Q2974" s="81" t="n"/>
      <c r="R2974" s="81" t="n"/>
      <c r="S2974" s="81" t="n"/>
      <c r="T2974" s="81" t="n"/>
      <c r="U2974" s="81" t="n"/>
      <c r="V2974" s="81" t="n"/>
      <c r="W2974" s="43" t="n"/>
    </row>
    <row r="2975">
      <c r="A2975" s="43" t="inlineStr">
        <is>
          <t>N26c</t>
        </is>
      </c>
      <c r="B2975" s="43" t="inlineStr"/>
      <c r="C2975" s="43" t="inlineStr">
        <is>
          <t>节段18</t>
        </is>
      </c>
      <c r="D2975" s="43" t="inlineStr">
        <is>
          <t>Q355D</t>
        </is>
      </c>
      <c r="E2975" s="43" t="n">
        <v>15150</v>
      </c>
      <c r="F2975" s="43" t="n">
        <v>170</v>
      </c>
      <c r="G2975" s="43" t="n">
        <v>14</v>
      </c>
      <c r="H2975" s="79">
        <f>(E2975/1000)*(F2975/1000)*(G2975/1000)*7850</f>
        <v/>
      </c>
      <c r="I2975" s="43" t="n">
        <v>1</v>
      </c>
      <c r="J2975" s="80">
        <f>H2975*I2975</f>
        <v/>
      </c>
      <c r="K2975" s="43" t="inlineStr">
        <is>
          <t>来源页212</t>
        </is>
      </c>
      <c r="L2975" s="43">
        <f>A2975</f>
        <v/>
      </c>
      <c r="M2975" s="81" t="n"/>
      <c r="N2975" s="81" t="n"/>
      <c r="O2975" s="81" t="n"/>
      <c r="P2975" s="81" t="n"/>
      <c r="Q2975" s="81" t="n"/>
      <c r="R2975" s="81" t="n"/>
      <c r="S2975" s="81" t="n"/>
      <c r="T2975" s="81" t="n"/>
      <c r="U2975" s="81" t="n"/>
      <c r="V2975" s="81" t="n"/>
      <c r="W2975" s="43" t="n"/>
    </row>
    <row r="2976">
      <c r="A2976" s="43" t="inlineStr">
        <is>
          <t>N31</t>
        </is>
      </c>
      <c r="B2976" s="43" t="inlineStr"/>
      <c r="C2976" s="43" t="inlineStr">
        <is>
          <t>节段18</t>
        </is>
      </c>
      <c r="D2976" s="43" t="inlineStr">
        <is>
          <t>Q355D</t>
        </is>
      </c>
      <c r="E2976" s="43" t="n">
        <v>11023</v>
      </c>
      <c r="F2976" s="43" t="n">
        <v>1200</v>
      </c>
      <c r="G2976" s="43" t="n">
        <v>36</v>
      </c>
      <c r="H2976" s="79">
        <f>(E2976/1000)*(F2976/1000)*(G2976/1000)*7850</f>
        <v/>
      </c>
      <c r="I2976" s="43" t="n">
        <v>1</v>
      </c>
      <c r="J2976" s="80">
        <f>H2976*I2976</f>
        <v/>
      </c>
      <c r="K2976" s="43" t="inlineStr">
        <is>
          <t>来源页212</t>
        </is>
      </c>
      <c r="L2976" s="43">
        <f>A2976</f>
        <v/>
      </c>
      <c r="M2976" s="81" t="n"/>
      <c r="N2976" s="81" t="n"/>
      <c r="O2976" s="81" t="n"/>
      <c r="P2976" s="81" t="n"/>
      <c r="Q2976" s="81" t="n"/>
      <c r="R2976" s="81" t="n"/>
      <c r="S2976" s="81" t="n"/>
      <c r="T2976" s="81" t="n"/>
      <c r="U2976" s="81" t="n"/>
      <c r="V2976" s="81" t="n"/>
      <c r="W2976" s="43" t="n"/>
    </row>
    <row r="2977">
      <c r="A2977" s="43" t="inlineStr">
        <is>
          <t>N31a</t>
        </is>
      </c>
      <c r="B2977" s="43" t="inlineStr"/>
      <c r="C2977" s="43" t="inlineStr">
        <is>
          <t>节段18</t>
        </is>
      </c>
      <c r="D2977" s="43" t="inlineStr">
        <is>
          <t>Q355D</t>
        </is>
      </c>
      <c r="E2977" s="43" t="n">
        <v>11423</v>
      </c>
      <c r="F2977" s="43" t="n">
        <v>1200</v>
      </c>
      <c r="G2977" s="43" t="n">
        <v>36</v>
      </c>
      <c r="H2977" s="79">
        <f>(E2977/1000)*(F2977/1000)*(G2977/1000)*7850</f>
        <v/>
      </c>
      <c r="I2977" s="43" t="n">
        <v>1</v>
      </c>
      <c r="J2977" s="80">
        <f>H2977*I2977</f>
        <v/>
      </c>
      <c r="K2977" s="43" t="inlineStr">
        <is>
          <t>来源页212</t>
        </is>
      </c>
      <c r="L2977" s="43">
        <f>A2977</f>
        <v/>
      </c>
      <c r="M2977" s="81" t="n"/>
      <c r="N2977" s="81" t="n"/>
      <c r="O2977" s="81" t="n"/>
      <c r="P2977" s="81" t="n"/>
      <c r="Q2977" s="81" t="n"/>
      <c r="R2977" s="81" t="n"/>
      <c r="S2977" s="81" t="n"/>
      <c r="T2977" s="81" t="n"/>
      <c r="U2977" s="81" t="n"/>
      <c r="V2977" s="81" t="n"/>
      <c r="W2977" s="43" t="n"/>
    </row>
    <row r="2978">
      <c r="A2978" s="43" t="inlineStr">
        <is>
          <t>N32</t>
        </is>
      </c>
      <c r="B2978" s="43" t="inlineStr"/>
      <c r="C2978" s="43" t="inlineStr">
        <is>
          <t>节段18</t>
        </is>
      </c>
      <c r="D2978" s="43" t="inlineStr">
        <is>
          <t>Q355D</t>
        </is>
      </c>
      <c r="E2978" s="43" t="n">
        <v>7223</v>
      </c>
      <c r="F2978" s="43" t="n">
        <v>1360</v>
      </c>
      <c r="G2978" s="43" t="n">
        <v>36</v>
      </c>
      <c r="H2978" s="79">
        <f>(E2978/1000)*(F2978/1000)*(G2978/1000)*7850</f>
        <v/>
      </c>
      <c r="I2978" s="43" t="n">
        <v>2</v>
      </c>
      <c r="J2978" s="80">
        <f>H2978*I2978</f>
        <v/>
      </c>
      <c r="K2978" s="43" t="inlineStr">
        <is>
          <t>来源页212</t>
        </is>
      </c>
      <c r="L2978" s="43">
        <f>A2978</f>
        <v/>
      </c>
      <c r="M2978" s="81" t="n"/>
      <c r="N2978" s="81" t="n"/>
      <c r="O2978" s="81" t="n"/>
      <c r="P2978" s="81" t="n"/>
      <c r="Q2978" s="81" t="n"/>
      <c r="R2978" s="81" t="n"/>
      <c r="S2978" s="81" t="n"/>
      <c r="T2978" s="81" t="n"/>
      <c r="U2978" s="81" t="n"/>
      <c r="V2978" s="81" t="n"/>
      <c r="W2978" s="43" t="n"/>
    </row>
    <row r="2979">
      <c r="A2979" s="43" t="inlineStr">
        <is>
          <t>N33</t>
        </is>
      </c>
      <c r="B2979" s="43" t="inlineStr"/>
      <c r="C2979" s="43" t="inlineStr">
        <is>
          <t>节段18</t>
        </is>
      </c>
      <c r="D2979" s="43" t="inlineStr">
        <is>
          <t>Q355D</t>
        </is>
      </c>
      <c r="E2979" s="43" t="n">
        <v>7223</v>
      </c>
      <c r="F2979" s="43" t="n">
        <v>320</v>
      </c>
      <c r="G2979" s="43" t="n">
        <v>32</v>
      </c>
      <c r="H2979" s="79">
        <f>(E2979/1000)*(F2979/1000)*(G2979/1000)*7850</f>
        <v/>
      </c>
      <c r="I2979" s="43" t="n">
        <v>2</v>
      </c>
      <c r="J2979" s="80">
        <f>H2979*I2979</f>
        <v/>
      </c>
      <c r="K2979" s="43" t="inlineStr">
        <is>
          <t>来源页212</t>
        </is>
      </c>
      <c r="L2979" s="43">
        <f>A2979</f>
        <v/>
      </c>
      <c r="M2979" s="81" t="n"/>
      <c r="N2979" s="81" t="n"/>
      <c r="O2979" s="81" t="n"/>
      <c r="P2979" s="81" t="n"/>
      <c r="Q2979" s="81" t="n"/>
      <c r="R2979" s="81" t="n"/>
      <c r="S2979" s="81" t="n"/>
      <c r="T2979" s="81" t="n"/>
      <c r="U2979" s="81" t="n"/>
      <c r="V2979" s="81" t="n"/>
      <c r="W2979" s="43" t="n"/>
    </row>
    <row r="2980">
      <c r="A2980" s="43" t="inlineStr">
        <is>
          <t>N33a</t>
        </is>
      </c>
      <c r="B2980" s="43" t="inlineStr"/>
      <c r="C2980" s="43" t="inlineStr">
        <is>
          <t>节段18</t>
        </is>
      </c>
      <c r="D2980" s="43" t="inlineStr">
        <is>
          <t>Q355D</t>
        </is>
      </c>
      <c r="E2980" s="43" t="n">
        <v>9623</v>
      </c>
      <c r="F2980" s="43" t="n">
        <v>320</v>
      </c>
      <c r="G2980" s="43" t="n">
        <v>32</v>
      </c>
      <c r="H2980" s="79">
        <f>(E2980/1000)*(F2980/1000)*(G2980/1000)*7850</f>
        <v/>
      </c>
      <c r="I2980" s="43" t="n">
        <v>1</v>
      </c>
      <c r="J2980" s="80">
        <f>H2980*I2980</f>
        <v/>
      </c>
      <c r="K2980" s="43" t="inlineStr">
        <is>
          <t>来源页212</t>
        </is>
      </c>
      <c r="L2980" s="43">
        <f>A2980</f>
        <v/>
      </c>
      <c r="M2980" s="81" t="n"/>
      <c r="N2980" s="81" t="n"/>
      <c r="O2980" s="81" t="n"/>
      <c r="P2980" s="81" t="n"/>
      <c r="Q2980" s="81" t="n"/>
      <c r="R2980" s="81" t="n"/>
      <c r="S2980" s="81" t="n"/>
      <c r="T2980" s="81" t="n"/>
      <c r="U2980" s="81" t="n"/>
      <c r="V2980" s="81" t="n"/>
      <c r="W2980" s="43" t="n"/>
    </row>
    <row r="2981">
      <c r="A2981" s="43" t="inlineStr">
        <is>
          <t>N33b</t>
        </is>
      </c>
      <c r="B2981" s="43" t="inlineStr"/>
      <c r="C2981" s="43" t="inlineStr">
        <is>
          <t>节段18</t>
        </is>
      </c>
      <c r="D2981" s="43" t="inlineStr">
        <is>
          <t>Q355D</t>
        </is>
      </c>
      <c r="E2981" s="43" t="n">
        <v>10023</v>
      </c>
      <c r="F2981" s="43" t="n">
        <v>320</v>
      </c>
      <c r="G2981" s="43" t="n">
        <v>32</v>
      </c>
      <c r="H2981" s="79">
        <f>(E2981/1000)*(F2981/1000)*(G2981/1000)*7850</f>
        <v/>
      </c>
      <c r="I2981" s="43" t="n">
        <v>1</v>
      </c>
      <c r="J2981" s="80">
        <f>H2981*I2981</f>
        <v/>
      </c>
      <c r="K2981" s="43" t="inlineStr">
        <is>
          <t>来源页212</t>
        </is>
      </c>
      <c r="L2981" s="43">
        <f>A2981</f>
        <v/>
      </c>
      <c r="M2981" s="81" t="n"/>
      <c r="N2981" s="81" t="n"/>
      <c r="O2981" s="81" t="n"/>
      <c r="P2981" s="81" t="n"/>
      <c r="Q2981" s="81" t="n"/>
      <c r="R2981" s="81" t="n"/>
      <c r="S2981" s="81" t="n"/>
      <c r="T2981" s="81" t="n"/>
      <c r="U2981" s="81" t="n"/>
      <c r="V2981" s="81" t="n"/>
      <c r="W2981" s="43" t="n"/>
    </row>
    <row r="2982">
      <c r="A2982" s="43" t="inlineStr">
        <is>
          <t>N34</t>
        </is>
      </c>
      <c r="B2982" s="43" t="inlineStr"/>
      <c r="C2982" s="43" t="inlineStr">
        <is>
          <t>节段18</t>
        </is>
      </c>
      <c r="D2982" s="43" t="inlineStr">
        <is>
          <t>Q355D</t>
        </is>
      </c>
      <c r="E2982" s="43" t="n">
        <v>1200</v>
      </c>
      <c r="F2982" s="43" t="n">
        <v>1200</v>
      </c>
      <c r="G2982" s="43" t="n">
        <v>16</v>
      </c>
      <c r="H2982" s="79">
        <f>(E2982/1000)*(F2982/1000)*(G2982/1000)*7850</f>
        <v/>
      </c>
      <c r="I2982" s="43" t="n">
        <v>3</v>
      </c>
      <c r="J2982" s="80">
        <f>H2982*I2982</f>
        <v/>
      </c>
      <c r="K2982" s="43" t="inlineStr">
        <is>
          <t>来源页212</t>
        </is>
      </c>
      <c r="L2982" s="43">
        <f>A2982</f>
        <v/>
      </c>
      <c r="M2982" s="81" t="n"/>
      <c r="N2982" s="81" t="n"/>
      <c r="O2982" s="81" t="n"/>
      <c r="P2982" s="81" t="n"/>
      <c r="Q2982" s="81" t="n"/>
      <c r="R2982" s="81" t="n"/>
      <c r="S2982" s="81" t="n"/>
      <c r="T2982" s="81" t="n"/>
      <c r="U2982" s="81" t="n"/>
      <c r="V2982" s="81" t="n"/>
      <c r="W2982" s="43" t="n"/>
    </row>
    <row r="2983">
      <c r="A2983" s="43" t="inlineStr">
        <is>
          <t>N41</t>
        </is>
      </c>
      <c r="B2983" s="43" t="inlineStr"/>
      <c r="C2983" s="43" t="inlineStr">
        <is>
          <t>节段18</t>
        </is>
      </c>
      <c r="D2983" s="43" t="inlineStr">
        <is>
          <t>Q355D</t>
        </is>
      </c>
      <c r="E2983" s="43" t="n">
        <v>5629</v>
      </c>
      <c r="F2983" s="43" t="n">
        <v>1200</v>
      </c>
      <c r="G2983" s="43" t="n">
        <v>36</v>
      </c>
      <c r="H2983" s="79">
        <f>(E2983/1000)*(F2983/1000)*(G2983/1000)*7850</f>
        <v/>
      </c>
      <c r="I2983" s="43" t="n">
        <v>1</v>
      </c>
      <c r="J2983" s="80">
        <f>H2983*I2983</f>
        <v/>
      </c>
      <c r="K2983" s="43" t="inlineStr">
        <is>
          <t>来源页212</t>
        </is>
      </c>
      <c r="L2983" s="43">
        <f>A2983</f>
        <v/>
      </c>
      <c r="M2983" s="81" t="n"/>
      <c r="N2983" s="81" t="n"/>
      <c r="O2983" s="81" t="n"/>
      <c r="P2983" s="81" t="n"/>
      <c r="Q2983" s="81" t="n"/>
      <c r="R2983" s="81" t="n"/>
      <c r="S2983" s="81" t="n"/>
      <c r="T2983" s="81" t="n"/>
      <c r="U2983" s="81" t="n"/>
      <c r="V2983" s="81" t="n"/>
      <c r="W2983" s="43" t="n"/>
    </row>
    <row r="2984">
      <c r="A2984" s="43" t="inlineStr">
        <is>
          <t>N41a</t>
        </is>
      </c>
      <c r="B2984" s="43" t="inlineStr"/>
      <c r="C2984" s="43" t="inlineStr">
        <is>
          <t>节段18</t>
        </is>
      </c>
      <c r="D2984" s="43" t="inlineStr">
        <is>
          <t>Q355D</t>
        </is>
      </c>
      <c r="E2984" s="43" t="n">
        <v>5629</v>
      </c>
      <c r="F2984" s="43" t="n">
        <v>1200</v>
      </c>
      <c r="G2984" s="43" t="n">
        <v>36</v>
      </c>
      <c r="H2984" s="79">
        <f>(E2984/1000)*(F2984/1000)*(G2984/1000)*7850</f>
        <v/>
      </c>
      <c r="I2984" s="43" t="n">
        <v>1</v>
      </c>
      <c r="J2984" s="80">
        <f>H2984*I2984</f>
        <v/>
      </c>
      <c r="K2984" s="43" t="inlineStr">
        <is>
          <t>来源页212</t>
        </is>
      </c>
      <c r="L2984" s="43">
        <f>A2984</f>
        <v/>
      </c>
      <c r="M2984" s="81" t="n"/>
      <c r="N2984" s="81" t="n"/>
      <c r="O2984" s="81" t="n"/>
      <c r="P2984" s="81" t="n"/>
      <c r="Q2984" s="81" t="n"/>
      <c r="R2984" s="81" t="n"/>
      <c r="S2984" s="81" t="n"/>
      <c r="T2984" s="81" t="n"/>
      <c r="U2984" s="81" t="n"/>
      <c r="V2984" s="81" t="n"/>
      <c r="W2984" s="43" t="n"/>
    </row>
    <row r="2985">
      <c r="A2985" s="43" t="inlineStr">
        <is>
          <t>N42</t>
        </is>
      </c>
      <c r="B2985" s="43" t="inlineStr"/>
      <c r="C2985" s="43" t="inlineStr">
        <is>
          <t>节段18</t>
        </is>
      </c>
      <c r="D2985" s="43" t="inlineStr">
        <is>
          <t>Q355D</t>
        </is>
      </c>
      <c r="E2985" s="43" t="n">
        <v>3629</v>
      </c>
      <c r="F2985" s="43" t="n">
        <v>1360</v>
      </c>
      <c r="G2985" s="43" t="n">
        <v>36</v>
      </c>
      <c r="H2985" s="79">
        <f>(E2985/1000)*(F2985/1000)*(G2985/1000)*7850</f>
        <v/>
      </c>
      <c r="I2985" s="43" t="n">
        <v>2</v>
      </c>
      <c r="J2985" s="80">
        <f>H2985*I2985</f>
        <v/>
      </c>
      <c r="K2985" s="43" t="inlineStr">
        <is>
          <t>来源页212</t>
        </is>
      </c>
      <c r="L2985" s="43">
        <f>A2985</f>
        <v/>
      </c>
      <c r="M2985" s="81" t="n"/>
      <c r="N2985" s="81" t="n"/>
      <c r="O2985" s="81" t="n"/>
      <c r="P2985" s="81" t="n"/>
      <c r="Q2985" s="81" t="n"/>
      <c r="R2985" s="81" t="n"/>
      <c r="S2985" s="81" t="n"/>
      <c r="T2985" s="81" t="n"/>
      <c r="U2985" s="81" t="n"/>
      <c r="V2985" s="81" t="n"/>
      <c r="W2985" s="43" t="n"/>
    </row>
    <row r="2986">
      <c r="A2986" s="43" t="inlineStr">
        <is>
          <t>N43</t>
        </is>
      </c>
      <c r="B2986" s="43" t="inlineStr"/>
      <c r="C2986" s="43" t="inlineStr">
        <is>
          <t>节段18</t>
        </is>
      </c>
      <c r="D2986" s="43" t="inlineStr">
        <is>
          <t>Q355D</t>
        </is>
      </c>
      <c r="E2986" s="43" t="n">
        <v>3629</v>
      </c>
      <c r="F2986" s="43" t="n">
        <v>320</v>
      </c>
      <c r="G2986" s="43" t="n">
        <v>32</v>
      </c>
      <c r="H2986" s="79">
        <f>(E2986/1000)*(F2986/1000)*(G2986/1000)*7850</f>
        <v/>
      </c>
      <c r="I2986" s="43" t="n">
        <v>4</v>
      </c>
      <c r="J2986" s="80">
        <f>H2986*I2986</f>
        <v/>
      </c>
      <c r="K2986" s="43" t="inlineStr">
        <is>
          <t>来源页212</t>
        </is>
      </c>
      <c r="L2986" s="43">
        <f>A2986</f>
        <v/>
      </c>
      <c r="M2986" s="81" t="n"/>
      <c r="N2986" s="81" t="n"/>
      <c r="O2986" s="81" t="n"/>
      <c r="P2986" s="81" t="n"/>
      <c r="Q2986" s="81" t="n"/>
      <c r="R2986" s="81" t="n"/>
      <c r="S2986" s="81" t="n"/>
      <c r="T2986" s="81" t="n"/>
      <c r="U2986" s="81" t="n"/>
      <c r="V2986" s="81" t="n"/>
      <c r="W2986" s="43" t="n"/>
    </row>
    <row r="2987">
      <c r="A2987" s="43" t="inlineStr">
        <is>
          <t>N43a</t>
        </is>
      </c>
      <c r="B2987" s="43" t="inlineStr"/>
      <c r="C2987" s="43" t="inlineStr">
        <is>
          <t>节段18</t>
        </is>
      </c>
      <c r="D2987" s="43" t="inlineStr">
        <is>
          <t>Q355D</t>
        </is>
      </c>
      <c r="E2987" s="43" t="n">
        <v>4929</v>
      </c>
      <c r="F2987" s="43" t="n">
        <v>320</v>
      </c>
      <c r="G2987" s="43" t="n">
        <v>32</v>
      </c>
      <c r="H2987" s="79">
        <f>(E2987/1000)*(F2987/1000)*(G2987/1000)*7850</f>
        <v/>
      </c>
      <c r="I2987" s="43" t="n">
        <v>1</v>
      </c>
      <c r="J2987" s="80">
        <f>H2987*I2987</f>
        <v/>
      </c>
      <c r="K2987" s="43" t="inlineStr">
        <is>
          <t>来源页212</t>
        </is>
      </c>
      <c r="L2987" s="43">
        <f>A2987</f>
        <v/>
      </c>
      <c r="M2987" s="81" t="n"/>
      <c r="N2987" s="81" t="n"/>
      <c r="O2987" s="81" t="n"/>
      <c r="P2987" s="81" t="n"/>
      <c r="Q2987" s="81" t="n"/>
      <c r="R2987" s="81" t="n"/>
      <c r="S2987" s="81" t="n"/>
      <c r="T2987" s="81" t="n"/>
      <c r="U2987" s="81" t="n"/>
      <c r="V2987" s="81" t="n"/>
      <c r="W2987" s="43" t="n"/>
    </row>
    <row r="2988">
      <c r="A2988" s="43" t="inlineStr">
        <is>
          <t>N43b</t>
        </is>
      </c>
      <c r="B2988" s="43" t="inlineStr"/>
      <c r="C2988" s="43" t="inlineStr">
        <is>
          <t>节段18</t>
        </is>
      </c>
      <c r="D2988" s="43" t="inlineStr">
        <is>
          <t>Q355D</t>
        </is>
      </c>
      <c r="E2988" s="43" t="n">
        <v>4929</v>
      </c>
      <c r="F2988" s="43" t="n">
        <v>320</v>
      </c>
      <c r="G2988" s="43" t="n">
        <v>32</v>
      </c>
      <c r="H2988" s="79">
        <f>(E2988/1000)*(F2988/1000)*(G2988/1000)*7850</f>
        <v/>
      </c>
      <c r="I2988" s="43" t="n">
        <v>1</v>
      </c>
      <c r="J2988" s="80">
        <f>H2988*I2988</f>
        <v/>
      </c>
      <c r="K2988" s="43" t="inlineStr">
        <is>
          <t>来源页212</t>
        </is>
      </c>
      <c r="L2988" s="43">
        <f>A2988</f>
        <v/>
      </c>
      <c r="M2988" s="81" t="n"/>
      <c r="N2988" s="81" t="n"/>
      <c r="O2988" s="81" t="n"/>
      <c r="P2988" s="81" t="n"/>
      <c r="Q2988" s="81" t="n"/>
      <c r="R2988" s="81" t="n"/>
      <c r="S2988" s="81" t="n"/>
      <c r="T2988" s="81" t="n"/>
      <c r="U2988" s="81" t="n"/>
      <c r="V2988" s="81" t="n"/>
      <c r="W2988" s="43" t="n"/>
    </row>
    <row r="2989">
      <c r="A2989" s="43" t="inlineStr">
        <is>
          <t>N44</t>
        </is>
      </c>
      <c r="B2989" s="43" t="inlineStr"/>
      <c r="C2989" s="43" t="inlineStr">
        <is>
          <t>节段18</t>
        </is>
      </c>
      <c r="D2989" s="43" t="inlineStr">
        <is>
          <t>Q355D</t>
        </is>
      </c>
      <c r="E2989" s="43" t="n">
        <v>1200</v>
      </c>
      <c r="F2989" s="43" t="n">
        <v>1200</v>
      </c>
      <c r="G2989" s="43" t="n">
        <v>16</v>
      </c>
      <c r="H2989" s="79">
        <f>(E2989/1000)*(F2989/1000)*(G2989/1000)*7850</f>
        <v/>
      </c>
      <c r="I2989" s="43" t="n">
        <v>3</v>
      </c>
      <c r="J2989" s="80">
        <f>H2989*I2989</f>
        <v/>
      </c>
      <c r="K2989" s="43" t="inlineStr">
        <is>
          <t>来源页212</t>
        </is>
      </c>
      <c r="L2989" s="43">
        <f>A2989</f>
        <v/>
      </c>
      <c r="M2989" s="81" t="n"/>
      <c r="N2989" s="81" t="n"/>
      <c r="O2989" s="81" t="n"/>
      <c r="P2989" s="81" t="n"/>
      <c r="Q2989" s="81" t="n"/>
      <c r="R2989" s="81" t="n"/>
      <c r="S2989" s="81" t="n"/>
      <c r="T2989" s="81" t="n"/>
      <c r="U2989" s="81" t="n"/>
      <c r="V2989" s="81" t="n"/>
      <c r="W2989" s="43" t="n"/>
    </row>
    <row r="2990">
      <c r="A2990" s="43" t="inlineStr">
        <is>
          <t>N51</t>
        </is>
      </c>
      <c r="B2990" s="43" t="inlineStr"/>
      <c r="C2990" s="43" t="inlineStr">
        <is>
          <t>节段18</t>
        </is>
      </c>
      <c r="D2990" s="43" t="inlineStr">
        <is>
          <t>Q355D</t>
        </is>
      </c>
      <c r="E2990" s="43" t="n">
        <v>5826</v>
      </c>
      <c r="F2990" s="43" t="n">
        <v>1200</v>
      </c>
      <c r="G2990" s="43" t="n">
        <v>36</v>
      </c>
      <c r="H2990" s="79">
        <f>(E2990/1000)*(F2990/1000)*(G2990/1000)*7850</f>
        <v/>
      </c>
      <c r="I2990" s="43" t="n">
        <v>1</v>
      </c>
      <c r="J2990" s="80">
        <f>H2990*I2990</f>
        <v/>
      </c>
      <c r="K2990" s="43" t="inlineStr">
        <is>
          <t>来源页212</t>
        </is>
      </c>
      <c r="L2990" s="43">
        <f>A2990</f>
        <v/>
      </c>
      <c r="M2990" s="81" t="n"/>
      <c r="N2990" s="81" t="n"/>
      <c r="O2990" s="81" t="n"/>
      <c r="P2990" s="81" t="n"/>
      <c r="Q2990" s="81" t="n"/>
      <c r="R2990" s="81" t="n"/>
      <c r="S2990" s="81" t="n"/>
      <c r="T2990" s="81" t="n"/>
      <c r="U2990" s="81" t="n"/>
      <c r="V2990" s="81" t="n"/>
      <c r="W2990" s="43" t="n"/>
    </row>
    <row r="2991">
      <c r="A2991" s="43" t="inlineStr">
        <is>
          <t>N51a</t>
        </is>
      </c>
      <c r="B2991" s="43" t="inlineStr"/>
      <c r="C2991" s="43" t="inlineStr">
        <is>
          <t>节段18</t>
        </is>
      </c>
      <c r="D2991" s="43" t="inlineStr">
        <is>
          <t>Q355D</t>
        </is>
      </c>
      <c r="E2991" s="43" t="n">
        <v>5626</v>
      </c>
      <c r="F2991" s="43" t="n">
        <v>1200</v>
      </c>
      <c r="G2991" s="43" t="n">
        <v>36</v>
      </c>
      <c r="H2991" s="79">
        <f>(E2991/1000)*(F2991/1000)*(G2991/1000)*7850</f>
        <v/>
      </c>
      <c r="I2991" s="43" t="n">
        <v>1</v>
      </c>
      <c r="J2991" s="80">
        <f>H2991*I2991</f>
        <v/>
      </c>
      <c r="K2991" s="43" t="inlineStr">
        <is>
          <t>来源页212</t>
        </is>
      </c>
      <c r="L2991" s="43">
        <f>A2991</f>
        <v/>
      </c>
      <c r="M2991" s="81" t="n"/>
      <c r="N2991" s="81" t="n"/>
      <c r="O2991" s="81" t="n"/>
      <c r="P2991" s="81" t="n"/>
      <c r="Q2991" s="81" t="n"/>
      <c r="R2991" s="81" t="n"/>
      <c r="S2991" s="81" t="n"/>
      <c r="T2991" s="81" t="n"/>
      <c r="U2991" s="81" t="n"/>
      <c r="V2991" s="81" t="n"/>
      <c r="W2991" s="43" t="n"/>
    </row>
    <row r="2992">
      <c r="A2992" s="43" t="inlineStr">
        <is>
          <t>N52</t>
        </is>
      </c>
      <c r="B2992" s="43" t="inlineStr"/>
      <c r="C2992" s="43" t="inlineStr">
        <is>
          <t>节段18</t>
        </is>
      </c>
      <c r="D2992" s="43" t="inlineStr">
        <is>
          <t>Q355D</t>
        </is>
      </c>
      <c r="E2992" s="43" t="n">
        <v>3626</v>
      </c>
      <c r="F2992" s="43" t="n">
        <v>1360</v>
      </c>
      <c r="G2992" s="43" t="n">
        <v>36</v>
      </c>
      <c r="H2992" s="79">
        <f>(E2992/1000)*(F2992/1000)*(G2992/1000)*7850</f>
        <v/>
      </c>
      <c r="I2992" s="43" t="n">
        <v>2</v>
      </c>
      <c r="J2992" s="80">
        <f>H2992*I2992</f>
        <v/>
      </c>
      <c r="K2992" s="43" t="inlineStr">
        <is>
          <t>来源页212</t>
        </is>
      </c>
      <c r="L2992" s="43">
        <f>A2992</f>
        <v/>
      </c>
      <c r="M2992" s="81" t="n"/>
      <c r="N2992" s="81" t="n"/>
      <c r="O2992" s="81" t="n"/>
      <c r="P2992" s="81" t="n"/>
      <c r="Q2992" s="81" t="n"/>
      <c r="R2992" s="81" t="n"/>
      <c r="S2992" s="81" t="n"/>
      <c r="T2992" s="81" t="n"/>
      <c r="U2992" s="81" t="n"/>
      <c r="V2992" s="81" t="n"/>
      <c r="W2992" s="43" t="n"/>
    </row>
    <row r="2993">
      <c r="A2993" s="43" t="inlineStr">
        <is>
          <t>N53</t>
        </is>
      </c>
      <c r="B2993" s="43" t="inlineStr"/>
      <c r="C2993" s="43" t="inlineStr">
        <is>
          <t>节段18</t>
        </is>
      </c>
      <c r="D2993" s="43" t="inlineStr">
        <is>
          <t>Q355D</t>
        </is>
      </c>
      <c r="E2993" s="43" t="n">
        <v>3626</v>
      </c>
      <c r="F2993" s="43" t="n">
        <v>320</v>
      </c>
      <c r="G2993" s="43" t="n">
        <v>32</v>
      </c>
      <c r="H2993" s="79">
        <f>(E2993/1000)*(F2993/1000)*(G2993/1000)*7850</f>
        <v/>
      </c>
      <c r="I2993" s="43" t="n">
        <v>4</v>
      </c>
      <c r="J2993" s="80">
        <f>H2993*I2993</f>
        <v/>
      </c>
      <c r="K2993" s="43" t="inlineStr">
        <is>
          <t>来源页212</t>
        </is>
      </c>
      <c r="L2993" s="43">
        <f>A2993</f>
        <v/>
      </c>
      <c r="M2993" s="81" t="n"/>
      <c r="N2993" s="81" t="n"/>
      <c r="O2993" s="81" t="n"/>
      <c r="P2993" s="81" t="n"/>
      <c r="Q2993" s="81" t="n"/>
      <c r="R2993" s="81" t="n"/>
      <c r="S2993" s="81" t="n"/>
      <c r="T2993" s="81" t="n"/>
      <c r="U2993" s="81" t="n"/>
      <c r="V2993" s="81" t="n"/>
      <c r="W2993" s="43" t="n"/>
    </row>
    <row r="2994">
      <c r="A2994" s="43" t="inlineStr">
        <is>
          <t>N53a</t>
        </is>
      </c>
      <c r="B2994" s="43" t="inlineStr"/>
      <c r="C2994" s="43" t="inlineStr">
        <is>
          <t>节段18</t>
        </is>
      </c>
      <c r="D2994" s="43" t="inlineStr">
        <is>
          <t>Q355D</t>
        </is>
      </c>
      <c r="E2994" s="43" t="n">
        <v>5126</v>
      </c>
      <c r="F2994" s="43" t="n">
        <v>320</v>
      </c>
      <c r="G2994" s="43" t="n">
        <v>32</v>
      </c>
      <c r="H2994" s="79">
        <f>(E2994/1000)*(F2994/1000)*(G2994/1000)*7850</f>
        <v/>
      </c>
      <c r="I2994" s="43" t="n">
        <v>1</v>
      </c>
      <c r="J2994" s="80">
        <f>H2994*I2994</f>
        <v/>
      </c>
      <c r="K2994" s="43" t="inlineStr">
        <is>
          <t>来源页212</t>
        </is>
      </c>
      <c r="L2994" s="43">
        <f>A2994</f>
        <v/>
      </c>
      <c r="M2994" s="81" t="n"/>
      <c r="N2994" s="81" t="n"/>
      <c r="O2994" s="81" t="n"/>
      <c r="P2994" s="81" t="n"/>
      <c r="Q2994" s="81" t="n"/>
      <c r="R2994" s="81" t="n"/>
      <c r="S2994" s="81" t="n"/>
      <c r="T2994" s="81" t="n"/>
      <c r="U2994" s="81" t="n"/>
      <c r="V2994" s="81" t="n"/>
      <c r="W2994" s="43" t="n"/>
    </row>
    <row r="2995">
      <c r="A2995" s="43" t="inlineStr">
        <is>
          <t>N53b</t>
        </is>
      </c>
      <c r="B2995" s="43" t="inlineStr"/>
      <c r="C2995" s="43" t="inlineStr">
        <is>
          <t>节段18</t>
        </is>
      </c>
      <c r="D2995" s="43" t="inlineStr">
        <is>
          <t>Q355D</t>
        </is>
      </c>
      <c r="E2995" s="43" t="n">
        <v>4926</v>
      </c>
      <c r="F2995" s="43" t="n">
        <v>320</v>
      </c>
      <c r="G2995" s="43" t="n">
        <v>32</v>
      </c>
      <c r="H2995" s="79">
        <f>(E2995/1000)*(F2995/1000)*(G2995/1000)*7850</f>
        <v/>
      </c>
      <c r="I2995" s="43" t="n">
        <v>1</v>
      </c>
      <c r="J2995" s="80">
        <f>H2995*I2995</f>
        <v/>
      </c>
      <c r="K2995" s="43" t="inlineStr">
        <is>
          <t>来源页212</t>
        </is>
      </c>
      <c r="L2995" s="43">
        <f>A2995</f>
        <v/>
      </c>
      <c r="M2995" s="81" t="n"/>
      <c r="N2995" s="81" t="n"/>
      <c r="O2995" s="81" t="n"/>
      <c r="P2995" s="81" t="n"/>
      <c r="Q2995" s="81" t="n"/>
      <c r="R2995" s="81" t="n"/>
      <c r="S2995" s="81" t="n"/>
      <c r="T2995" s="81" t="n"/>
      <c r="U2995" s="81" t="n"/>
      <c r="V2995" s="81" t="n"/>
      <c r="W2995" s="43" t="n"/>
    </row>
    <row r="2996">
      <c r="A2996" s="43" t="inlineStr">
        <is>
          <t>N54</t>
        </is>
      </c>
      <c r="B2996" s="43" t="inlineStr"/>
      <c r="C2996" s="43" t="inlineStr">
        <is>
          <t>节段18</t>
        </is>
      </c>
      <c r="D2996" s="43" t="inlineStr">
        <is>
          <t>Q355D</t>
        </is>
      </c>
      <c r="E2996" s="43" t="n">
        <v>1200</v>
      </c>
      <c r="F2996" s="43" t="n">
        <v>1200</v>
      </c>
      <c r="G2996" s="43" t="n">
        <v>16</v>
      </c>
      <c r="H2996" s="79">
        <f>(E2996/1000)*(F2996/1000)*(G2996/1000)*7850</f>
        <v/>
      </c>
      <c r="I2996" s="43" t="n">
        <v>3</v>
      </c>
      <c r="J2996" s="80">
        <f>H2996*I2996</f>
        <v/>
      </c>
      <c r="K2996" s="43" t="inlineStr">
        <is>
          <t>来源页212</t>
        </is>
      </c>
      <c r="L2996" s="43">
        <f>A2996</f>
        <v/>
      </c>
      <c r="M2996" s="81" t="n"/>
      <c r="N2996" s="81" t="n"/>
      <c r="O2996" s="81" t="n"/>
      <c r="P2996" s="81" t="n"/>
      <c r="Q2996" s="81" t="n"/>
      <c r="R2996" s="81" t="n"/>
      <c r="S2996" s="81" t="n"/>
      <c r="T2996" s="81" t="n"/>
      <c r="U2996" s="81" t="n"/>
      <c r="V2996" s="81" t="n"/>
      <c r="W2996" s="43" t="n"/>
    </row>
    <row r="2997">
      <c r="A2997" s="43" t="inlineStr">
        <is>
          <t>N55</t>
        </is>
      </c>
      <c r="B2997" s="43" t="inlineStr"/>
      <c r="C2997" s="43" t="inlineStr">
        <is>
          <t>节段18</t>
        </is>
      </c>
      <c r="D2997" s="43" t="inlineStr">
        <is>
          <t>Q355D</t>
        </is>
      </c>
      <c r="E2997" s="43" t="n">
        <v>2300</v>
      </c>
      <c r="F2997" s="43" t="n">
        <v>320</v>
      </c>
      <c r="G2997" s="43" t="n">
        <v>32</v>
      </c>
      <c r="H2997" s="79">
        <f>(E2997/1000)*(F2997/1000)*(G2997/1000)*7850</f>
        <v/>
      </c>
      <c r="I2997" s="43" t="n">
        <v>4</v>
      </c>
      <c r="J2997" s="80">
        <f>H2997*I2997</f>
        <v/>
      </c>
      <c r="K2997" s="43" t="inlineStr">
        <is>
          <t>来源页212</t>
        </is>
      </c>
      <c r="L2997" s="43">
        <f>A2997</f>
        <v/>
      </c>
      <c r="M2997" s="81" t="n"/>
      <c r="N2997" s="81" t="n"/>
      <c r="O2997" s="81" t="n"/>
      <c r="P2997" s="81" t="n"/>
      <c r="Q2997" s="81" t="n"/>
      <c r="R2997" s="81" t="n"/>
      <c r="S2997" s="81" t="n"/>
      <c r="T2997" s="81" t="n"/>
      <c r="U2997" s="81" t="n"/>
      <c r="V2997" s="81" t="n"/>
      <c r="W2997" s="43" t="n"/>
    </row>
    <row r="2998">
      <c r="A2998" s="43" t="inlineStr">
        <is>
          <t>N56</t>
        </is>
      </c>
      <c r="B2998" s="43" t="inlineStr"/>
      <c r="C2998" s="43" t="inlineStr">
        <is>
          <t>节段18</t>
        </is>
      </c>
      <c r="D2998" s="43" t="inlineStr">
        <is>
          <t>Q355D</t>
        </is>
      </c>
      <c r="E2998" s="43" t="n">
        <v>2400</v>
      </c>
      <c r="F2998" s="43" t="n">
        <v>320</v>
      </c>
      <c r="G2998" s="43" t="n">
        <v>32</v>
      </c>
      <c r="H2998" s="79">
        <f>(E2998/1000)*(F2998/1000)*(G2998/1000)*7850</f>
        <v/>
      </c>
      <c r="I2998" s="43" t="n">
        <v>6</v>
      </c>
      <c r="J2998" s="80">
        <f>H2998*I2998</f>
        <v/>
      </c>
      <c r="K2998" s="43" t="inlineStr">
        <is>
          <t>来源页212</t>
        </is>
      </c>
      <c r="L2998" s="43">
        <f>A2998</f>
        <v/>
      </c>
      <c r="M2998" s="81" t="n"/>
      <c r="N2998" s="81" t="n"/>
      <c r="O2998" s="81" t="n"/>
      <c r="P2998" s="81" t="n"/>
      <c r="Q2998" s="81" t="n"/>
      <c r="R2998" s="81" t="n"/>
      <c r="S2998" s="81" t="n"/>
      <c r="T2998" s="81" t="n"/>
      <c r="U2998" s="81" t="n"/>
      <c r="V2998" s="81" t="n"/>
      <c r="W2998" s="43" t="n"/>
    </row>
    <row r="2999">
      <c r="A2999" s="43" t="inlineStr">
        <is>
          <t>N61</t>
        </is>
      </c>
      <c r="B2999" s="43" t="inlineStr"/>
      <c r="C2999" s="43" t="inlineStr">
        <is>
          <t>节段18</t>
        </is>
      </c>
      <c r="D2999" s="43" t="inlineStr">
        <is>
          <t>Q355D</t>
        </is>
      </c>
      <c r="E2999" s="43" t="n">
        <v>1560</v>
      </c>
      <c r="F2999" s="43" t="n">
        <v>602</v>
      </c>
      <c r="G2999" s="43" t="n">
        <v>14</v>
      </c>
      <c r="H2999" s="79">
        <f>(E2999/1000)*(F2999/1000)*(G2999/1000)*7850</f>
        <v/>
      </c>
      <c r="I2999" s="43" t="n">
        <v>3</v>
      </c>
      <c r="J2999" s="80">
        <f>H2999*I2999</f>
        <v/>
      </c>
      <c r="K2999" s="43" t="inlineStr">
        <is>
          <t>来源页212</t>
        </is>
      </c>
      <c r="L2999" s="43">
        <f>A2999</f>
        <v/>
      </c>
      <c r="M2999" s="81" t="n"/>
      <c r="N2999" s="81" t="n"/>
      <c r="O2999" s="81" t="n"/>
      <c r="P2999" s="81" t="n"/>
      <c r="Q2999" s="81" t="n"/>
      <c r="R2999" s="81" t="n"/>
      <c r="S2999" s="81" t="n"/>
      <c r="T2999" s="81" t="n"/>
      <c r="U2999" s="81" t="n"/>
      <c r="V2999" s="81" t="n"/>
      <c r="W2999" s="43" t="n"/>
    </row>
    <row r="3000">
      <c r="A3000" s="43" t="inlineStr">
        <is>
          <t>N61a</t>
        </is>
      </c>
      <c r="B3000" s="43" t="inlineStr"/>
      <c r="C3000" s="43" t="inlineStr">
        <is>
          <t>节段18</t>
        </is>
      </c>
      <c r="D3000" s="43" t="inlineStr">
        <is>
          <t>Q355D</t>
        </is>
      </c>
      <c r="E3000" s="43" t="n">
        <v>1560</v>
      </c>
      <c r="F3000" s="43" t="n">
        <v>602</v>
      </c>
      <c r="G3000" s="43" t="n">
        <v>14</v>
      </c>
      <c r="H3000" s="79">
        <f>(E3000/1000)*(F3000/1000)*(G3000/1000)*7850</f>
        <v/>
      </c>
      <c r="I3000" s="43" t="n">
        <v>2</v>
      </c>
      <c r="J3000" s="80">
        <f>H3000*I3000</f>
        <v/>
      </c>
      <c r="K3000" s="43" t="inlineStr">
        <is>
          <t>来源页212</t>
        </is>
      </c>
      <c r="L3000" s="43">
        <f>A3000</f>
        <v/>
      </c>
      <c r="M3000" s="81" t="n"/>
      <c r="N3000" s="81" t="n"/>
      <c r="O3000" s="81" t="n"/>
      <c r="P3000" s="81" t="n"/>
      <c r="Q3000" s="81" t="n"/>
      <c r="R3000" s="81" t="n"/>
      <c r="S3000" s="81" t="n"/>
      <c r="T3000" s="81" t="n"/>
      <c r="U3000" s="81" t="n"/>
      <c r="V3000" s="81" t="n"/>
      <c r="W3000" s="43" t="n"/>
    </row>
    <row r="3001">
      <c r="A3001" s="43" t="inlineStr">
        <is>
          <t>N62</t>
        </is>
      </c>
      <c r="B3001" s="43" t="inlineStr"/>
      <c r="C3001" s="43" t="inlineStr">
        <is>
          <t>节段18</t>
        </is>
      </c>
      <c r="D3001" s="43" t="inlineStr">
        <is>
          <t>Q355D</t>
        </is>
      </c>
      <c r="E3001" s="43" t="n"/>
      <c r="F3001" s="43" t="n"/>
      <c r="G3001" s="43" t="n">
        <v>24</v>
      </c>
      <c r="H3001" s="79">
        <f>(E3001/1000)*(F3001/1000)*(G3001/1000)*7850</f>
        <v/>
      </c>
      <c r="I3001" s="43" t="n">
        <v>3</v>
      </c>
      <c r="J3001" s="80">
        <f>H3001*I3001</f>
        <v/>
      </c>
      <c r="K3001" s="43" t="inlineStr">
        <is>
          <t>来源页212</t>
        </is>
      </c>
      <c r="L3001" s="43">
        <f>A3001</f>
        <v/>
      </c>
      <c r="M3001" s="81" t="n"/>
      <c r="N3001" s="81" t="n"/>
      <c r="O3001" s="81" t="n"/>
      <c r="P3001" s="81" t="n"/>
      <c r="Q3001" s="81" t="n"/>
      <c r="R3001" s="81" t="n"/>
      <c r="S3001" s="81" t="n"/>
      <c r="T3001" s="81" t="n"/>
      <c r="U3001" s="81" t="n"/>
      <c r="V3001" s="81" t="n"/>
      <c r="W3001" s="43" t="n"/>
    </row>
    <row r="3002">
      <c r="A3002" s="43" t="inlineStr">
        <is>
          <t>N62a</t>
        </is>
      </c>
      <c r="B3002" s="43" t="inlineStr"/>
      <c r="C3002" s="43" t="inlineStr">
        <is>
          <t>节段18</t>
        </is>
      </c>
      <c r="D3002" s="43" t="inlineStr">
        <is>
          <t>Q355D</t>
        </is>
      </c>
      <c r="E3002" s="43" t="n"/>
      <c r="F3002" s="43" t="n"/>
      <c r="G3002" s="43" t="n">
        <v>24</v>
      </c>
      <c r="H3002" s="79">
        <f>(E3002/1000)*(F3002/1000)*(G3002/1000)*7850</f>
        <v/>
      </c>
      <c r="I3002" s="43" t="n">
        <v>2</v>
      </c>
      <c r="J3002" s="80">
        <f>H3002*I3002</f>
        <v/>
      </c>
      <c r="K3002" s="43" t="inlineStr">
        <is>
          <t>来源页212</t>
        </is>
      </c>
      <c r="L3002" s="43">
        <f>A3002</f>
        <v/>
      </c>
      <c r="M3002" s="81" t="n"/>
      <c r="N3002" s="81" t="n"/>
      <c r="O3002" s="81" t="n"/>
      <c r="P3002" s="81" t="n"/>
      <c r="Q3002" s="81" t="n"/>
      <c r="R3002" s="81" t="n"/>
      <c r="S3002" s="81" t="n"/>
      <c r="T3002" s="81" t="n"/>
      <c r="U3002" s="81" t="n"/>
      <c r="V3002" s="81" t="n"/>
      <c r="W3002" s="43" t="n"/>
    </row>
    <row r="3003">
      <c r="A3003" s="43" t="inlineStr">
        <is>
          <t>N63</t>
        </is>
      </c>
      <c r="B3003" s="43" t="inlineStr"/>
      <c r="C3003" s="43" t="inlineStr">
        <is>
          <t>节段18</t>
        </is>
      </c>
      <c r="D3003" s="43" t="inlineStr">
        <is>
          <t>Q355D</t>
        </is>
      </c>
      <c r="E3003" s="43" t="n">
        <v>1450</v>
      </c>
      <c r="F3003" s="43" t="n">
        <v>602</v>
      </c>
      <c r="G3003" s="43" t="n">
        <v>14</v>
      </c>
      <c r="H3003" s="79">
        <f>(E3003/1000)*(F3003/1000)*(G3003/1000)*7850</f>
        <v/>
      </c>
      <c r="I3003" s="43" t="n">
        <v>3</v>
      </c>
      <c r="J3003" s="80">
        <f>H3003*I3003</f>
        <v/>
      </c>
      <c r="K3003" s="43" t="inlineStr">
        <is>
          <t>来源页212</t>
        </is>
      </c>
      <c r="L3003" s="43">
        <f>A3003</f>
        <v/>
      </c>
      <c r="M3003" s="81" t="n"/>
      <c r="N3003" s="81" t="n"/>
      <c r="O3003" s="81" t="n"/>
      <c r="P3003" s="81" t="n"/>
      <c r="Q3003" s="81" t="n"/>
      <c r="R3003" s="81" t="n"/>
      <c r="S3003" s="81" t="n"/>
      <c r="T3003" s="81" t="n"/>
      <c r="U3003" s="81" t="n"/>
      <c r="V3003" s="81" t="n"/>
      <c r="W3003" s="43" t="n"/>
    </row>
    <row r="3004">
      <c r="A3004" s="43" t="inlineStr">
        <is>
          <t>N63a</t>
        </is>
      </c>
      <c r="B3004" s="43" t="inlineStr"/>
      <c r="C3004" s="43" t="inlineStr">
        <is>
          <t>节段18</t>
        </is>
      </c>
      <c r="D3004" s="43" t="inlineStr">
        <is>
          <t>Q355D</t>
        </is>
      </c>
      <c r="E3004" s="43" t="n">
        <v>1450</v>
      </c>
      <c r="F3004" s="43" t="n">
        <v>618</v>
      </c>
      <c r="G3004" s="43" t="n">
        <v>14</v>
      </c>
      <c r="H3004" s="79">
        <f>(E3004/1000)*(F3004/1000)*(G3004/1000)*7850</f>
        <v/>
      </c>
      <c r="I3004" s="43" t="n">
        <v>2</v>
      </c>
      <c r="J3004" s="80">
        <f>H3004*I3004</f>
        <v/>
      </c>
      <c r="K3004" s="43" t="inlineStr">
        <is>
          <t>来源页212</t>
        </is>
      </c>
      <c r="L3004" s="43">
        <f>A3004</f>
        <v/>
      </c>
      <c r="M3004" s="81" t="n"/>
      <c r="N3004" s="81" t="n"/>
      <c r="O3004" s="81" t="n"/>
      <c r="P3004" s="81" t="n"/>
      <c r="Q3004" s="81" t="n"/>
      <c r="R3004" s="81" t="n"/>
      <c r="S3004" s="81" t="n"/>
      <c r="T3004" s="81" t="n"/>
      <c r="U3004" s="81" t="n"/>
      <c r="V3004" s="81" t="n"/>
      <c r="W3004" s="43" t="n"/>
    </row>
    <row r="3005">
      <c r="A3005" s="43" t="inlineStr">
        <is>
          <t>P1</t>
        </is>
      </c>
      <c r="B3005" s="43" t="inlineStr">
        <is>
          <t>上弦杆拼接</t>
        </is>
      </c>
      <c r="C3005" s="43" t="inlineStr">
        <is>
          <t>节段18~节段19</t>
        </is>
      </c>
      <c r="D3005" s="43" t="inlineStr">
        <is>
          <t>Q355D</t>
        </is>
      </c>
      <c r="E3005" s="43" t="n">
        <v>1220</v>
      </c>
      <c r="F3005" s="43" t="n">
        <v>1400</v>
      </c>
      <c r="G3005" s="43" t="n">
        <v>28</v>
      </c>
      <c r="H3005" s="79">
        <f>(E3005/1000)*(F3005/1000)*(G3005/1000)*7850</f>
        <v/>
      </c>
      <c r="I3005" s="43" t="n">
        <v>2</v>
      </c>
      <c r="J3005" s="80">
        <f>H3005*I3005</f>
        <v/>
      </c>
      <c r="K3005" s="43" t="inlineStr">
        <is>
          <t>来源页215</t>
        </is>
      </c>
      <c r="L3005" s="43">
        <f>A3005</f>
        <v/>
      </c>
      <c r="M3005" s="81" t="n"/>
      <c r="N3005" s="81" t="n"/>
      <c r="O3005" s="81" t="n"/>
      <c r="P3005" s="81" t="n"/>
      <c r="Q3005" s="81" t="n"/>
      <c r="R3005" s="81" t="n"/>
      <c r="S3005" s="81" t="n"/>
      <c r="T3005" s="81" t="n"/>
      <c r="U3005" s="81" t="n"/>
      <c r="V3005" s="81" t="n"/>
      <c r="W3005" s="43" t="n"/>
    </row>
    <row r="3006">
      <c r="A3006" s="43" t="inlineStr">
        <is>
          <t>P2</t>
        </is>
      </c>
      <c r="B3006" s="43" t="inlineStr">
        <is>
          <t>上弦杆拼接</t>
        </is>
      </c>
      <c r="C3006" s="43" t="inlineStr">
        <is>
          <t>节段18~节段19</t>
        </is>
      </c>
      <c r="D3006" s="43" t="inlineStr">
        <is>
          <t>Q355D</t>
        </is>
      </c>
      <c r="E3006" s="43" t="n">
        <v>1220</v>
      </c>
      <c r="F3006" s="43" t="n">
        <v>300</v>
      </c>
      <c r="G3006" s="43" t="n">
        <v>28</v>
      </c>
      <c r="H3006" s="79">
        <f>(E3006/1000)*(F3006/1000)*(G3006/1000)*7850</f>
        <v/>
      </c>
      <c r="I3006" s="43" t="n">
        <v>2</v>
      </c>
      <c r="J3006" s="80">
        <f>H3006*I3006</f>
        <v/>
      </c>
      <c r="K3006" s="43" t="inlineStr">
        <is>
          <t>来源页215</t>
        </is>
      </c>
      <c r="L3006" s="43">
        <f>A3006</f>
        <v/>
      </c>
      <c r="M3006" s="81" t="n"/>
      <c r="N3006" s="81" t="n"/>
      <c r="O3006" s="81" t="n"/>
      <c r="P3006" s="81" t="n"/>
      <c r="Q3006" s="81" t="n"/>
      <c r="R3006" s="81" t="n"/>
      <c r="S3006" s="81" t="n"/>
      <c r="T3006" s="81" t="n"/>
      <c r="U3006" s="81" t="n"/>
      <c r="V3006" s="81" t="n"/>
      <c r="W3006" s="43" t="n"/>
    </row>
    <row r="3007">
      <c r="A3007" s="43" t="inlineStr">
        <is>
          <t>P3</t>
        </is>
      </c>
      <c r="B3007" s="43" t="inlineStr">
        <is>
          <t>上弦杆拼接</t>
        </is>
      </c>
      <c r="C3007" s="43" t="inlineStr">
        <is>
          <t>节段18~节段19</t>
        </is>
      </c>
      <c r="D3007" s="43" t="inlineStr">
        <is>
          <t>Q355D</t>
        </is>
      </c>
      <c r="E3007" s="43" t="n">
        <v>1220</v>
      </c>
      <c r="F3007" s="43" t="n">
        <v>400</v>
      </c>
      <c r="G3007" s="43" t="n">
        <v>28</v>
      </c>
      <c r="H3007" s="79">
        <f>(E3007/1000)*(F3007/1000)*(G3007/1000)*7850</f>
        <v/>
      </c>
      <c r="I3007" s="43" t="n">
        <v>2</v>
      </c>
      <c r="J3007" s="80">
        <f>H3007*I3007</f>
        <v/>
      </c>
      <c r="K3007" s="43" t="inlineStr">
        <is>
          <t>来源页215</t>
        </is>
      </c>
      <c r="L3007" s="43">
        <f>A3007</f>
        <v/>
      </c>
      <c r="M3007" s="81" t="n"/>
      <c r="N3007" s="81" t="n"/>
      <c r="O3007" s="81" t="n"/>
      <c r="P3007" s="81" t="n"/>
      <c r="Q3007" s="81" t="n"/>
      <c r="R3007" s="81" t="n"/>
      <c r="S3007" s="81" t="n"/>
      <c r="T3007" s="81" t="n"/>
      <c r="U3007" s="81" t="n"/>
      <c r="V3007" s="81" t="n"/>
      <c r="W3007" s="43" t="n"/>
    </row>
    <row r="3008">
      <c r="A3008" s="43" t="inlineStr">
        <is>
          <t>P5</t>
        </is>
      </c>
      <c r="B3008" s="43" t="inlineStr">
        <is>
          <t>上弦杆拼接</t>
        </is>
      </c>
      <c r="C3008" s="43" t="inlineStr">
        <is>
          <t>节段18~节段19</t>
        </is>
      </c>
      <c r="D3008" s="43" t="inlineStr">
        <is>
          <t>Q355D</t>
        </is>
      </c>
      <c r="E3008" s="43" t="n">
        <v>1420</v>
      </c>
      <c r="F3008" s="43" t="n">
        <v>1100</v>
      </c>
      <c r="G3008" s="43" t="n">
        <v>32</v>
      </c>
      <c r="H3008" s="79">
        <f>(E3008/1000)*(F3008/1000)*(G3008/1000)*7850</f>
        <v/>
      </c>
      <c r="I3008" s="43" t="n">
        <v>1</v>
      </c>
      <c r="J3008" s="80">
        <f>H3008*I3008</f>
        <v/>
      </c>
      <c r="K3008" s="43" t="inlineStr">
        <is>
          <t>来源页215</t>
        </is>
      </c>
      <c r="L3008" s="43">
        <f>A3008</f>
        <v/>
      </c>
      <c r="M3008" s="81" t="n"/>
      <c r="N3008" s="81" t="n"/>
      <c r="O3008" s="81" t="n"/>
      <c r="P3008" s="81" t="n"/>
      <c r="Q3008" s="81" t="n"/>
      <c r="R3008" s="81" t="n"/>
      <c r="S3008" s="81" t="n"/>
      <c r="T3008" s="81" t="n"/>
      <c r="U3008" s="81" t="n"/>
      <c r="V3008" s="81" t="n"/>
      <c r="W3008" s="43" t="n"/>
    </row>
    <row r="3009">
      <c r="A3009" s="43" t="inlineStr">
        <is>
          <t>P6</t>
        </is>
      </c>
      <c r="B3009" s="43" t="inlineStr">
        <is>
          <t>上弦杆拼接</t>
        </is>
      </c>
      <c r="C3009" s="43" t="inlineStr">
        <is>
          <t>节段18~节段19</t>
        </is>
      </c>
      <c r="D3009" s="43" t="inlineStr">
        <is>
          <t>Q355D</t>
        </is>
      </c>
      <c r="E3009" s="43" t="n">
        <v>1420</v>
      </c>
      <c r="F3009" s="43" t="n">
        <v>400</v>
      </c>
      <c r="G3009" s="43" t="n">
        <v>32</v>
      </c>
      <c r="H3009" s="79">
        <f>(E3009/1000)*(F3009/1000)*(G3009/1000)*7850</f>
        <v/>
      </c>
      <c r="I3009" s="43" t="n">
        <v>2</v>
      </c>
      <c r="J3009" s="80">
        <f>H3009*I3009</f>
        <v/>
      </c>
      <c r="K3009" s="43" t="inlineStr">
        <is>
          <t>来源页215</t>
        </is>
      </c>
      <c r="L3009" s="43">
        <f>A3009</f>
        <v/>
      </c>
      <c r="M3009" s="81" t="n"/>
      <c r="N3009" s="81" t="n"/>
      <c r="O3009" s="81" t="n"/>
      <c r="P3009" s="81" t="n"/>
      <c r="Q3009" s="81" t="n"/>
      <c r="R3009" s="81" t="n"/>
      <c r="S3009" s="81" t="n"/>
      <c r="T3009" s="81" t="n"/>
      <c r="U3009" s="81" t="n"/>
      <c r="V3009" s="81" t="n"/>
      <c r="W3009" s="43" t="n"/>
    </row>
    <row r="3010">
      <c r="A3010" s="43" t="inlineStr">
        <is>
          <t>P7</t>
        </is>
      </c>
      <c r="B3010" s="43" t="inlineStr">
        <is>
          <t>上弦杆拼接</t>
        </is>
      </c>
      <c r="C3010" s="43" t="inlineStr">
        <is>
          <t>节段18~节段19</t>
        </is>
      </c>
      <c r="D3010" s="43" t="inlineStr">
        <is>
          <t>Q355D</t>
        </is>
      </c>
      <c r="E3010" s="43" t="n">
        <v>920</v>
      </c>
      <c r="F3010" s="43" t="n">
        <v>200</v>
      </c>
      <c r="G3010" s="43" t="n">
        <v>20</v>
      </c>
      <c r="H3010" s="79">
        <f>(E3010/1000)*(F3010/1000)*(G3010/1000)*7850</f>
        <v/>
      </c>
      <c r="I3010" s="43" t="n">
        <v>10</v>
      </c>
      <c r="J3010" s="80">
        <f>H3010*I3010</f>
        <v/>
      </c>
      <c r="K3010" s="43" t="inlineStr">
        <is>
          <t>来源页215</t>
        </is>
      </c>
      <c r="L3010" s="43">
        <f>A3010</f>
        <v/>
      </c>
      <c r="M3010" s="81" t="n"/>
      <c r="N3010" s="81" t="n"/>
      <c r="O3010" s="81" t="n"/>
      <c r="P3010" s="81" t="n"/>
      <c r="Q3010" s="81" t="n"/>
      <c r="R3010" s="81" t="n"/>
      <c r="S3010" s="81" t="n"/>
      <c r="T3010" s="81" t="n"/>
      <c r="U3010" s="81" t="n"/>
      <c r="V3010" s="81" t="n"/>
      <c r="W3010" s="43" t="n"/>
    </row>
    <row r="3011">
      <c r="A3011" s="43" t="inlineStr">
        <is>
          <t>P8</t>
        </is>
      </c>
      <c r="B3011" s="43" t="inlineStr">
        <is>
          <t>上弦杆拼接</t>
        </is>
      </c>
      <c r="C3011" s="43" t="inlineStr">
        <is>
          <t>节段18~节段19</t>
        </is>
      </c>
      <c r="D3011" s="43" t="inlineStr">
        <is>
          <t>Q355D</t>
        </is>
      </c>
      <c r="E3011" s="43" t="n">
        <v>600</v>
      </c>
      <c r="F3011" s="43" t="n">
        <v>1800</v>
      </c>
      <c r="G3011" s="43" t="n">
        <v>16</v>
      </c>
      <c r="H3011" s="79">
        <f>(E3011/1000)*(F3011/1000)*(G3011/1000)*7850</f>
        <v/>
      </c>
      <c r="I3011" s="43" t="n">
        <v>2</v>
      </c>
      <c r="J3011" s="80">
        <f>H3011*I3011</f>
        <v/>
      </c>
      <c r="K3011" s="43" t="inlineStr">
        <is>
          <t>填板；来源页215</t>
        </is>
      </c>
      <c r="L3011" s="43">
        <f>A3011</f>
        <v/>
      </c>
      <c r="M3011" s="81" t="n"/>
      <c r="N3011" s="81" t="n"/>
      <c r="O3011" s="81" t="n"/>
      <c r="P3011" s="81" t="n"/>
      <c r="Q3011" s="81" t="n"/>
      <c r="R3011" s="81" t="n"/>
      <c r="S3011" s="81" t="n"/>
      <c r="T3011" s="81" t="n"/>
      <c r="U3011" s="81" t="n"/>
      <c r="V3011" s="81" t="n"/>
      <c r="W3011" s="43" t="n"/>
    </row>
    <row r="3012">
      <c r="A3012" s="43" t="inlineStr">
        <is>
          <t>P9</t>
        </is>
      </c>
      <c r="B3012" s="43" t="inlineStr">
        <is>
          <t>上弦杆拼接</t>
        </is>
      </c>
      <c r="C3012" s="43" t="inlineStr">
        <is>
          <t>节段18~节段19</t>
        </is>
      </c>
      <c r="D3012" s="43" t="inlineStr">
        <is>
          <t>Q355D</t>
        </is>
      </c>
      <c r="E3012" s="43" t="n">
        <v>700</v>
      </c>
      <c r="F3012" s="43" t="n">
        <v>1100</v>
      </c>
      <c r="G3012" s="43" t="n">
        <v>16</v>
      </c>
      <c r="H3012" s="79">
        <f>(E3012/1000)*(F3012/1000)*(G3012/1000)*7850</f>
        <v/>
      </c>
      <c r="I3012" s="43" t="n">
        <v>1</v>
      </c>
      <c r="J3012" s="80">
        <f>H3012*I3012</f>
        <v/>
      </c>
      <c r="K3012" s="43" t="inlineStr">
        <is>
          <t>填板；来源页215</t>
        </is>
      </c>
      <c r="L3012" s="43">
        <f>A3012</f>
        <v/>
      </c>
      <c r="M3012" s="81" t="n"/>
      <c r="N3012" s="81" t="n"/>
      <c r="O3012" s="81" t="n"/>
      <c r="P3012" s="81" t="n"/>
      <c r="Q3012" s="81" t="n"/>
      <c r="R3012" s="81" t="n"/>
      <c r="S3012" s="81" t="n"/>
      <c r="T3012" s="81" t="n"/>
      <c r="U3012" s="81" t="n"/>
      <c r="V3012" s="81" t="n"/>
      <c r="W3012" s="43" t="n"/>
    </row>
    <row r="3013">
      <c r="A3013" s="43" t="inlineStr">
        <is>
          <t>M30高强螺栓</t>
        </is>
      </c>
      <c r="B3013" s="43" t="inlineStr">
        <is>
          <t>上弦杆拼接</t>
        </is>
      </c>
      <c r="C3013" s="43" t="inlineStr">
        <is>
          <t>节段18~节段19</t>
        </is>
      </c>
      <c r="D3013" s="43" t="inlineStr">
        <is>
          <t>10.9S</t>
        </is>
      </c>
      <c r="E3013" s="43" t="n"/>
      <c r="F3013" s="43" t="n"/>
      <c r="G3013" s="43" t="n"/>
      <c r="H3013" s="79">
        <f>(E3013/1000)*(F3013/1000)*(G3013/1000)*7850</f>
        <v/>
      </c>
      <c r="I3013" s="43" t="n">
        <v>428</v>
      </c>
      <c r="J3013" s="80">
        <f>H3013*I3013</f>
        <v/>
      </c>
      <c r="K3013" s="43" t="inlineStr">
        <is>
          <t>来源页215</t>
        </is>
      </c>
      <c r="L3013" s="43">
        <f>A3013</f>
        <v/>
      </c>
      <c r="M3013" s="81" t="n"/>
      <c r="N3013" s="81" t="n"/>
      <c r="O3013" s="81" t="n"/>
      <c r="P3013" s="81" t="n"/>
      <c r="Q3013" s="81" t="n"/>
      <c r="R3013" s="81" t="n"/>
      <c r="S3013" s="81" t="n"/>
      <c r="T3013" s="81" t="n"/>
      <c r="U3013" s="81" t="n"/>
      <c r="V3013" s="81" t="n"/>
      <c r="W3013" s="43" t="n"/>
    </row>
    <row r="3014">
      <c r="A3014" s="43" t="inlineStr">
        <is>
          <t>K1</t>
        </is>
      </c>
      <c r="B3014" s="43" t="inlineStr">
        <is>
          <t>下弦杆拼接</t>
        </is>
      </c>
      <c r="C3014" s="43" t="inlineStr">
        <is>
          <t>节段18~节段19</t>
        </is>
      </c>
      <c r="D3014" s="43" t="inlineStr">
        <is>
          <t>Q355D</t>
        </is>
      </c>
      <c r="E3014" s="43" t="n">
        <v>1020</v>
      </c>
      <c r="F3014" s="43" t="n">
        <v>1300</v>
      </c>
      <c r="G3014" s="43" t="n">
        <v>24</v>
      </c>
      <c r="H3014" s="79">
        <f>(E3014/1000)*(F3014/1000)*(G3014/1000)*7850</f>
        <v/>
      </c>
      <c r="I3014" s="43" t="n">
        <v>2</v>
      </c>
      <c r="J3014" s="80">
        <f>H3014*I3014</f>
        <v/>
      </c>
      <c r="K3014" s="43" t="inlineStr">
        <is>
          <t>来源页215</t>
        </is>
      </c>
      <c r="L3014" s="43">
        <f>A3014</f>
        <v/>
      </c>
      <c r="M3014" s="81" t="n"/>
      <c r="N3014" s="81" t="n"/>
      <c r="O3014" s="81" t="n"/>
      <c r="P3014" s="81" t="n"/>
      <c r="Q3014" s="81" t="n"/>
      <c r="R3014" s="81" t="n"/>
      <c r="S3014" s="81" t="n"/>
      <c r="T3014" s="81" t="n"/>
      <c r="U3014" s="81" t="n"/>
      <c r="V3014" s="81" t="n"/>
      <c r="W3014" s="43" t="n"/>
    </row>
    <row r="3015">
      <c r="A3015" s="43" t="inlineStr">
        <is>
          <t>K2</t>
        </is>
      </c>
      <c r="B3015" s="43" t="inlineStr">
        <is>
          <t>下弦杆拼接</t>
        </is>
      </c>
      <c r="C3015" s="43" t="inlineStr">
        <is>
          <t>节段18~节段19</t>
        </is>
      </c>
      <c r="D3015" s="43" t="inlineStr">
        <is>
          <t>Q355D</t>
        </is>
      </c>
      <c r="E3015" s="43" t="n">
        <v>1020</v>
      </c>
      <c r="F3015" s="43" t="n">
        <v>600</v>
      </c>
      <c r="G3015" s="43" t="n">
        <v>24</v>
      </c>
      <c r="H3015" s="79">
        <f>(E3015/1000)*(F3015/1000)*(G3015/1000)*7850</f>
        <v/>
      </c>
      <c r="I3015" s="43" t="n">
        <v>4</v>
      </c>
      <c r="J3015" s="80">
        <f>H3015*I3015</f>
        <v/>
      </c>
      <c r="K3015" s="43" t="inlineStr">
        <is>
          <t>来源页215</t>
        </is>
      </c>
      <c r="L3015" s="43">
        <f>A3015</f>
        <v/>
      </c>
      <c r="M3015" s="81" t="n"/>
      <c r="N3015" s="81" t="n"/>
      <c r="O3015" s="81" t="n"/>
      <c r="P3015" s="81" t="n"/>
      <c r="Q3015" s="81" t="n"/>
      <c r="R3015" s="81" t="n"/>
      <c r="S3015" s="81" t="n"/>
      <c r="T3015" s="81" t="n"/>
      <c r="U3015" s="81" t="n"/>
      <c r="V3015" s="81" t="n"/>
      <c r="W3015" s="43" t="n"/>
    </row>
    <row r="3016">
      <c r="A3016" s="43" t="inlineStr">
        <is>
          <t>K3</t>
        </is>
      </c>
      <c r="B3016" s="43" t="inlineStr">
        <is>
          <t>下弦杆拼接</t>
        </is>
      </c>
      <c r="C3016" s="43" t="inlineStr">
        <is>
          <t>节段18~节段19</t>
        </is>
      </c>
      <c r="D3016" s="43" t="inlineStr">
        <is>
          <t>Q355D</t>
        </is>
      </c>
      <c r="E3016" s="43" t="n">
        <v>1320</v>
      </c>
      <c r="F3016" s="43" t="n">
        <v>1100</v>
      </c>
      <c r="G3016" s="43" t="n">
        <v>36</v>
      </c>
      <c r="H3016" s="79">
        <f>(E3016/1000)*(F3016/1000)*(G3016/1000)*7850</f>
        <v/>
      </c>
      <c r="I3016" s="43" t="n">
        <v>1</v>
      </c>
      <c r="J3016" s="80">
        <f>H3016*I3016</f>
        <v/>
      </c>
      <c r="K3016" s="43" t="inlineStr">
        <is>
          <t>来源页215</t>
        </is>
      </c>
      <c r="L3016" s="43">
        <f>A3016</f>
        <v/>
      </c>
      <c r="M3016" s="81" t="n"/>
      <c r="N3016" s="81" t="n"/>
      <c r="O3016" s="81" t="n"/>
      <c r="P3016" s="81" t="n"/>
      <c r="Q3016" s="81" t="n"/>
      <c r="R3016" s="81" t="n"/>
      <c r="S3016" s="81" t="n"/>
      <c r="T3016" s="81" t="n"/>
      <c r="U3016" s="81" t="n"/>
      <c r="V3016" s="81" t="n"/>
      <c r="W3016" s="43" t="n"/>
    </row>
    <row r="3017">
      <c r="A3017" s="43" t="inlineStr">
        <is>
          <t>K4</t>
        </is>
      </c>
      <c r="B3017" s="43" t="inlineStr">
        <is>
          <t>下弦杆拼接</t>
        </is>
      </c>
      <c r="C3017" s="43" t="inlineStr">
        <is>
          <t>节段18~节段19</t>
        </is>
      </c>
      <c r="D3017" s="43" t="inlineStr">
        <is>
          <t>Q355D</t>
        </is>
      </c>
      <c r="E3017" s="43" t="n">
        <v>1320</v>
      </c>
      <c r="F3017" s="43" t="n">
        <v>400</v>
      </c>
      <c r="G3017" s="43" t="n">
        <v>36</v>
      </c>
      <c r="H3017" s="79">
        <f>(E3017/1000)*(F3017/1000)*(G3017/1000)*7850</f>
        <v/>
      </c>
      <c r="I3017" s="43" t="n">
        <v>2</v>
      </c>
      <c r="J3017" s="80">
        <f>H3017*I3017</f>
        <v/>
      </c>
      <c r="K3017" s="43" t="inlineStr">
        <is>
          <t>来源页215</t>
        </is>
      </c>
      <c r="L3017" s="43">
        <f>A3017</f>
        <v/>
      </c>
      <c r="M3017" s="81" t="n"/>
      <c r="N3017" s="81" t="n"/>
      <c r="O3017" s="81" t="n"/>
      <c r="P3017" s="81" t="n"/>
      <c r="Q3017" s="81" t="n"/>
      <c r="R3017" s="81" t="n"/>
      <c r="S3017" s="81" t="n"/>
      <c r="T3017" s="81" t="n"/>
      <c r="U3017" s="81" t="n"/>
      <c r="V3017" s="81" t="n"/>
      <c r="W3017" s="43" t="n"/>
    </row>
    <row r="3018">
      <c r="A3018" s="43" t="inlineStr">
        <is>
          <t>K5</t>
        </is>
      </c>
      <c r="B3018" s="43" t="inlineStr">
        <is>
          <t>下弦杆拼接</t>
        </is>
      </c>
      <c r="C3018" s="43" t="inlineStr">
        <is>
          <t>节段18~节段19</t>
        </is>
      </c>
      <c r="D3018" s="43" t="inlineStr">
        <is>
          <t>Q355D</t>
        </is>
      </c>
      <c r="E3018" s="43" t="n">
        <v>920</v>
      </c>
      <c r="F3018" s="43" t="n">
        <v>200</v>
      </c>
      <c r="G3018" s="43" t="n">
        <v>20</v>
      </c>
      <c r="H3018" s="79">
        <f>(E3018/1000)*(F3018/1000)*(G3018/1000)*7850</f>
        <v/>
      </c>
      <c r="I3018" s="43" t="n">
        <v>6</v>
      </c>
      <c r="J3018" s="80">
        <f>H3018*I3018</f>
        <v/>
      </c>
      <c r="K3018" s="43" t="inlineStr">
        <is>
          <t>来源页215</t>
        </is>
      </c>
      <c r="L3018" s="43">
        <f>A3018</f>
        <v/>
      </c>
      <c r="M3018" s="81" t="n"/>
      <c r="N3018" s="81" t="n"/>
      <c r="O3018" s="81" t="n"/>
      <c r="P3018" s="81" t="n"/>
      <c r="Q3018" s="81" t="n"/>
      <c r="R3018" s="81" t="n"/>
      <c r="S3018" s="81" t="n"/>
      <c r="T3018" s="81" t="n"/>
      <c r="U3018" s="81" t="n"/>
      <c r="V3018" s="81" t="n"/>
      <c r="W3018" s="43" t="n"/>
    </row>
    <row r="3019">
      <c r="A3019" s="43" t="inlineStr">
        <is>
          <t>K6</t>
        </is>
      </c>
      <c r="B3019" s="43" t="inlineStr">
        <is>
          <t>下弦杆拼接</t>
        </is>
      </c>
      <c r="C3019" s="43" t="inlineStr">
        <is>
          <t>节段18~节段19</t>
        </is>
      </c>
      <c r="D3019" s="43" t="inlineStr">
        <is>
          <t>Q355D</t>
        </is>
      </c>
      <c r="E3019" s="43" t="n">
        <v>500</v>
      </c>
      <c r="F3019" s="43" t="n">
        <v>1700</v>
      </c>
      <c r="G3019" s="43" t="n">
        <v>8</v>
      </c>
      <c r="H3019" s="79">
        <f>(E3019/1000)*(F3019/1000)*(G3019/1000)*7850</f>
        <v/>
      </c>
      <c r="I3019" s="43" t="n">
        <v>2</v>
      </c>
      <c r="J3019" s="80">
        <f>H3019*I3019</f>
        <v/>
      </c>
      <c r="K3019" s="43" t="inlineStr">
        <is>
          <t>填板；来源页215</t>
        </is>
      </c>
      <c r="L3019" s="43">
        <f>A3019</f>
        <v/>
      </c>
      <c r="M3019" s="81" t="n"/>
      <c r="N3019" s="81" t="n"/>
      <c r="O3019" s="81" t="n"/>
      <c r="P3019" s="81" t="n"/>
      <c r="Q3019" s="81" t="n"/>
      <c r="R3019" s="81" t="n"/>
      <c r="S3019" s="81" t="n"/>
      <c r="T3019" s="81" t="n"/>
      <c r="U3019" s="81" t="n"/>
      <c r="V3019" s="81" t="n"/>
      <c r="W3019" s="43" t="n"/>
    </row>
    <row r="3020">
      <c r="A3020" s="43" t="inlineStr">
        <is>
          <t>K7</t>
        </is>
      </c>
      <c r="B3020" s="43" t="inlineStr">
        <is>
          <t>下弦杆拼接</t>
        </is>
      </c>
      <c r="C3020" s="43" t="inlineStr">
        <is>
          <t>节段18~节段19</t>
        </is>
      </c>
      <c r="D3020" s="43" t="inlineStr">
        <is>
          <t>Q355D</t>
        </is>
      </c>
      <c r="E3020" s="43" t="n">
        <v>650</v>
      </c>
      <c r="F3020" s="43" t="n">
        <v>1100</v>
      </c>
      <c r="G3020" s="43" t="n">
        <v>4</v>
      </c>
      <c r="H3020" s="79">
        <f>(E3020/1000)*(F3020/1000)*(G3020/1000)*7850</f>
        <v/>
      </c>
      <c r="I3020" s="43" t="n">
        <v>1</v>
      </c>
      <c r="J3020" s="80">
        <f>H3020*I3020</f>
        <v/>
      </c>
      <c r="K3020" s="43" t="inlineStr">
        <is>
          <t>填板；来源页215</t>
        </is>
      </c>
      <c r="L3020" s="43">
        <f>A3020</f>
        <v/>
      </c>
      <c r="M3020" s="81" t="n"/>
      <c r="N3020" s="81" t="n"/>
      <c r="O3020" s="81" t="n"/>
      <c r="P3020" s="81" t="n"/>
      <c r="Q3020" s="81" t="n"/>
      <c r="R3020" s="81" t="n"/>
      <c r="S3020" s="81" t="n"/>
      <c r="T3020" s="81" t="n"/>
      <c r="U3020" s="81" t="n"/>
      <c r="V3020" s="81" t="n"/>
      <c r="W3020" s="43" t="n"/>
    </row>
    <row r="3021">
      <c r="A3021" s="43" t="inlineStr">
        <is>
          <t>M30高强螺栓</t>
        </is>
      </c>
      <c r="B3021" s="43" t="inlineStr">
        <is>
          <t>下弦杆拼接</t>
        </is>
      </c>
      <c r="C3021" s="43" t="inlineStr">
        <is>
          <t>节段18~节段19</t>
        </is>
      </c>
      <c r="D3021" s="43" t="inlineStr">
        <is>
          <t>10.9S</t>
        </is>
      </c>
      <c r="E3021" s="43" t="n"/>
      <c r="F3021" s="43" t="n"/>
      <c r="G3021" s="43" t="n"/>
      <c r="H3021" s="79">
        <f>(E3021/1000)*(F3021/1000)*(G3021/1000)*7850</f>
        <v/>
      </c>
      <c r="I3021" s="43" t="n">
        <v>344</v>
      </c>
      <c r="J3021" s="80">
        <f>H3021*I3021</f>
        <v/>
      </c>
      <c r="K3021" s="43" t="inlineStr">
        <is>
          <t>来源页215</t>
        </is>
      </c>
      <c r="L3021" s="43">
        <f>A3021</f>
        <v/>
      </c>
      <c r="M3021" s="81" t="n"/>
      <c r="N3021" s="81" t="n"/>
      <c r="O3021" s="81" t="n"/>
      <c r="P3021" s="81" t="n"/>
      <c r="Q3021" s="81" t="n"/>
      <c r="R3021" s="81" t="n"/>
      <c r="S3021" s="81" t="n"/>
      <c r="T3021" s="81" t="n"/>
      <c r="U3021" s="81" t="n"/>
      <c r="V3021" s="81" t="n"/>
      <c r="W3021" s="43" t="n"/>
    </row>
    <row r="3022">
      <c r="A3022" s="43" t="inlineStr">
        <is>
          <t>L1</t>
        </is>
      </c>
      <c r="B3022" s="43" t="inlineStr">
        <is>
          <t>腹杆拼接</t>
        </is>
      </c>
      <c r="C3022" s="43" t="inlineStr">
        <is>
          <t>节段18~节段19</t>
        </is>
      </c>
      <c r="D3022" s="43" t="inlineStr">
        <is>
          <t>Q355D</t>
        </is>
      </c>
      <c r="E3022" s="43" t="n">
        <v>1520</v>
      </c>
      <c r="F3022" s="43" t="n">
        <v>1100</v>
      </c>
      <c r="G3022" s="43" t="n">
        <v>24</v>
      </c>
      <c r="H3022" s="79">
        <f>(E3022/1000)*(F3022/1000)*(G3022/1000)*7850</f>
        <v/>
      </c>
      <c r="I3022" s="43" t="n">
        <v>2</v>
      </c>
      <c r="J3022" s="80">
        <f>H3022*I3022</f>
        <v/>
      </c>
      <c r="K3022" s="43" t="inlineStr">
        <is>
          <t>来源页215</t>
        </is>
      </c>
      <c r="L3022" s="43">
        <f>A3022</f>
        <v/>
      </c>
      <c r="M3022" s="81" t="n"/>
      <c r="N3022" s="81" t="n"/>
      <c r="O3022" s="81" t="n"/>
      <c r="P3022" s="81" t="n"/>
      <c r="Q3022" s="81" t="n"/>
      <c r="R3022" s="81" t="n"/>
      <c r="S3022" s="81" t="n"/>
      <c r="T3022" s="81" t="n"/>
      <c r="U3022" s="81" t="n"/>
      <c r="V3022" s="81" t="n"/>
      <c r="W3022" s="43" t="n"/>
    </row>
    <row r="3023">
      <c r="A3023" s="43" t="inlineStr">
        <is>
          <t>L2</t>
        </is>
      </c>
      <c r="B3023" s="43" t="inlineStr">
        <is>
          <t>腹杆拼接</t>
        </is>
      </c>
      <c r="C3023" s="43" t="inlineStr">
        <is>
          <t>节段18~节段19</t>
        </is>
      </c>
      <c r="D3023" s="43" t="inlineStr">
        <is>
          <t>Q355D</t>
        </is>
      </c>
      <c r="E3023" s="43" t="n">
        <v>1520</v>
      </c>
      <c r="F3023" s="43" t="n">
        <v>500</v>
      </c>
      <c r="G3023" s="43" t="n">
        <v>24</v>
      </c>
      <c r="H3023" s="79">
        <f>(E3023/1000)*(F3023/1000)*(G3023/1000)*7850</f>
        <v/>
      </c>
      <c r="I3023" s="43" t="n">
        <v>4</v>
      </c>
      <c r="J3023" s="80">
        <f>H3023*I3023</f>
        <v/>
      </c>
      <c r="K3023" s="43" t="inlineStr">
        <is>
          <t>来源页215</t>
        </is>
      </c>
      <c r="L3023" s="43">
        <f>A3023</f>
        <v/>
      </c>
      <c r="M3023" s="81" t="n"/>
      <c r="N3023" s="81" t="n"/>
      <c r="O3023" s="81" t="n"/>
      <c r="P3023" s="81" t="n"/>
      <c r="Q3023" s="81" t="n"/>
      <c r="R3023" s="81" t="n"/>
      <c r="S3023" s="81" t="n"/>
      <c r="T3023" s="81" t="n"/>
      <c r="U3023" s="81" t="n"/>
      <c r="V3023" s="81" t="n"/>
      <c r="W3023" s="43" t="n"/>
    </row>
    <row r="3024">
      <c r="A3024" s="43" t="inlineStr">
        <is>
          <t>L3</t>
        </is>
      </c>
      <c r="B3024" s="43" t="inlineStr">
        <is>
          <t>腹杆拼接</t>
        </is>
      </c>
      <c r="C3024" s="43" t="inlineStr">
        <is>
          <t>节段18~节段19</t>
        </is>
      </c>
      <c r="D3024" s="43" t="inlineStr">
        <is>
          <t>Q355D</t>
        </is>
      </c>
      <c r="E3024" s="43" t="n">
        <v>1320</v>
      </c>
      <c r="F3024" s="43" t="n">
        <v>1100</v>
      </c>
      <c r="G3024" s="43" t="n">
        <v>28</v>
      </c>
      <c r="H3024" s="79">
        <f>(E3024/1000)*(F3024/1000)*(G3024/1000)*7850</f>
        <v/>
      </c>
      <c r="I3024" s="43" t="n">
        <v>1</v>
      </c>
      <c r="J3024" s="80">
        <f>H3024*I3024</f>
        <v/>
      </c>
      <c r="K3024" s="43" t="inlineStr">
        <is>
          <t>来源页215</t>
        </is>
      </c>
      <c r="L3024" s="43">
        <f>A3024</f>
        <v/>
      </c>
      <c r="M3024" s="81" t="n"/>
      <c r="N3024" s="81" t="n"/>
      <c r="O3024" s="81" t="n"/>
      <c r="P3024" s="81" t="n"/>
      <c r="Q3024" s="81" t="n"/>
      <c r="R3024" s="81" t="n"/>
      <c r="S3024" s="81" t="n"/>
      <c r="T3024" s="81" t="n"/>
      <c r="U3024" s="81" t="n"/>
      <c r="V3024" s="81" t="n"/>
      <c r="W3024" s="43" t="n"/>
    </row>
    <row r="3025">
      <c r="A3025" s="43" t="inlineStr">
        <is>
          <t>L4</t>
        </is>
      </c>
      <c r="B3025" s="43" t="inlineStr">
        <is>
          <t>腹杆拼接</t>
        </is>
      </c>
      <c r="C3025" s="43" t="inlineStr">
        <is>
          <t>节段18~节段19</t>
        </is>
      </c>
      <c r="D3025" s="43" t="inlineStr">
        <is>
          <t>Q355D</t>
        </is>
      </c>
      <c r="E3025" s="43" t="n">
        <v>1320</v>
      </c>
      <c r="F3025" s="43" t="n">
        <v>500</v>
      </c>
      <c r="G3025" s="43" t="n">
        <v>28</v>
      </c>
      <c r="H3025" s="79">
        <f>(E3025/1000)*(F3025/1000)*(G3025/1000)*7850</f>
        <v/>
      </c>
      <c r="I3025" s="43" t="n">
        <v>2</v>
      </c>
      <c r="J3025" s="80">
        <f>H3025*I3025</f>
        <v/>
      </c>
      <c r="K3025" s="43" t="inlineStr">
        <is>
          <t>来源页215</t>
        </is>
      </c>
      <c r="L3025" s="43">
        <f>A3025</f>
        <v/>
      </c>
      <c r="M3025" s="81" t="n"/>
      <c r="N3025" s="81" t="n"/>
      <c r="O3025" s="81" t="n"/>
      <c r="P3025" s="81" t="n"/>
      <c r="Q3025" s="81" t="n"/>
      <c r="R3025" s="81" t="n"/>
      <c r="S3025" s="81" t="n"/>
      <c r="T3025" s="81" t="n"/>
      <c r="U3025" s="81" t="n"/>
      <c r="V3025" s="81" t="n"/>
      <c r="W3025" s="43" t="n"/>
    </row>
    <row r="3026">
      <c r="A3026" s="43" t="inlineStr">
        <is>
          <t>L5</t>
        </is>
      </c>
      <c r="B3026" s="43" t="inlineStr">
        <is>
          <t>腹杆拼接</t>
        </is>
      </c>
      <c r="C3026" s="43" t="inlineStr">
        <is>
          <t>节段18~节段19</t>
        </is>
      </c>
      <c r="D3026" s="43" t="inlineStr">
        <is>
          <t>Q355D</t>
        </is>
      </c>
      <c r="E3026" s="43" t="n">
        <v>1520</v>
      </c>
      <c r="F3026" s="43" t="n">
        <v>1100</v>
      </c>
      <c r="G3026" s="43" t="n">
        <v>44</v>
      </c>
      <c r="H3026" s="79">
        <f>(E3026/1000)*(F3026/1000)*(G3026/1000)*7850</f>
        <v/>
      </c>
      <c r="I3026" s="43" t="n">
        <v>1</v>
      </c>
      <c r="J3026" s="80">
        <f>H3026*I3026</f>
        <v/>
      </c>
      <c r="K3026" s="43" t="inlineStr">
        <is>
          <t>来源页215</t>
        </is>
      </c>
      <c r="L3026" s="43">
        <f>A3026</f>
        <v/>
      </c>
      <c r="M3026" s="81" t="n"/>
      <c r="N3026" s="81" t="n"/>
      <c r="O3026" s="81" t="n"/>
      <c r="P3026" s="81" t="n"/>
      <c r="Q3026" s="81" t="n"/>
      <c r="R3026" s="81" t="n"/>
      <c r="S3026" s="81" t="n"/>
      <c r="T3026" s="81" t="n"/>
      <c r="U3026" s="81" t="n"/>
      <c r="V3026" s="81" t="n"/>
      <c r="W3026" s="43" t="n"/>
    </row>
    <row r="3027">
      <c r="A3027" s="43" t="inlineStr">
        <is>
          <t>L6</t>
        </is>
      </c>
      <c r="B3027" s="43" t="inlineStr">
        <is>
          <t>腹杆拼接</t>
        </is>
      </c>
      <c r="C3027" s="43" t="inlineStr">
        <is>
          <t>节段18~节段19</t>
        </is>
      </c>
      <c r="D3027" s="43" t="inlineStr">
        <is>
          <t>Q355D</t>
        </is>
      </c>
      <c r="E3027" s="43" t="n">
        <v>1520</v>
      </c>
      <c r="F3027" s="43" t="n">
        <v>240</v>
      </c>
      <c r="G3027" s="43" t="n">
        <v>44</v>
      </c>
      <c r="H3027" s="79">
        <f>(E3027/1000)*(F3027/1000)*(G3027/1000)*7850</f>
        <v/>
      </c>
      <c r="I3027" s="43" t="n">
        <v>2</v>
      </c>
      <c r="J3027" s="80">
        <f>H3027*I3027</f>
        <v/>
      </c>
      <c r="K3027" s="43" t="inlineStr">
        <is>
          <t>来源页215</t>
        </is>
      </c>
      <c r="L3027" s="43">
        <f>A3027</f>
        <v/>
      </c>
      <c r="M3027" s="81" t="n"/>
      <c r="N3027" s="81" t="n"/>
      <c r="O3027" s="81" t="n"/>
      <c r="P3027" s="81" t="n"/>
      <c r="Q3027" s="81" t="n"/>
      <c r="R3027" s="81" t="n"/>
      <c r="S3027" s="81" t="n"/>
      <c r="T3027" s="81" t="n"/>
      <c r="U3027" s="81" t="n"/>
      <c r="V3027" s="81" t="n"/>
      <c r="W3027" s="43" t="n"/>
    </row>
    <row r="3028">
      <c r="A3028" s="43" t="inlineStr">
        <is>
          <t>L7</t>
        </is>
      </c>
      <c r="B3028" s="43" t="inlineStr">
        <is>
          <t>腹杆拼接</t>
        </is>
      </c>
      <c r="C3028" s="43" t="inlineStr">
        <is>
          <t>节段18~节段19</t>
        </is>
      </c>
      <c r="D3028" s="43" t="inlineStr">
        <is>
          <t>Q355D</t>
        </is>
      </c>
      <c r="E3028" s="43" t="n">
        <v>1220</v>
      </c>
      <c r="F3028" s="43" t="n">
        <v>240</v>
      </c>
      <c r="G3028" s="43" t="n">
        <v>24</v>
      </c>
      <c r="H3028" s="79">
        <f>(E3028/1000)*(F3028/1000)*(G3028/1000)*7850</f>
        <v/>
      </c>
      <c r="I3028" s="43" t="n">
        <v>4</v>
      </c>
      <c r="J3028" s="80">
        <f>H3028*I3028</f>
        <v/>
      </c>
      <c r="K3028" s="43" t="inlineStr">
        <is>
          <t>来源页215</t>
        </is>
      </c>
      <c r="L3028" s="43">
        <f>A3028</f>
        <v/>
      </c>
      <c r="M3028" s="81" t="n"/>
      <c r="N3028" s="81" t="n"/>
      <c r="O3028" s="81" t="n"/>
      <c r="P3028" s="81" t="n"/>
      <c r="Q3028" s="81" t="n"/>
      <c r="R3028" s="81" t="n"/>
      <c r="S3028" s="81" t="n"/>
      <c r="T3028" s="81" t="n"/>
      <c r="U3028" s="81" t="n"/>
      <c r="V3028" s="81" t="n"/>
      <c r="W3028" s="43" t="n"/>
    </row>
    <row r="3029">
      <c r="A3029" s="43" t="inlineStr">
        <is>
          <t>L8</t>
        </is>
      </c>
      <c r="B3029" s="43" t="inlineStr">
        <is>
          <t>腹杆拼接</t>
        </is>
      </c>
      <c r="C3029" s="43" t="inlineStr">
        <is>
          <t>节段18~节段19</t>
        </is>
      </c>
      <c r="D3029" s="43" t="inlineStr">
        <is>
          <t>Q355D</t>
        </is>
      </c>
      <c r="E3029" s="43" t="n">
        <v>1320</v>
      </c>
      <c r="F3029" s="43" t="n">
        <v>240</v>
      </c>
      <c r="G3029" s="43" t="n">
        <v>24</v>
      </c>
      <c r="H3029" s="79">
        <f>(E3029/1000)*(F3029/1000)*(G3029/1000)*7850</f>
        <v/>
      </c>
      <c r="I3029" s="43" t="n">
        <v>2</v>
      </c>
      <c r="J3029" s="80">
        <f>H3029*I3029</f>
        <v/>
      </c>
      <c r="K3029" s="43" t="inlineStr">
        <is>
          <t>来源页215</t>
        </is>
      </c>
      <c r="L3029" s="43">
        <f>A3029</f>
        <v/>
      </c>
      <c r="M3029" s="81" t="n"/>
      <c r="N3029" s="81" t="n"/>
      <c r="O3029" s="81" t="n"/>
      <c r="P3029" s="81" t="n"/>
      <c r="Q3029" s="81" t="n"/>
      <c r="R3029" s="81" t="n"/>
      <c r="S3029" s="81" t="n"/>
      <c r="T3029" s="81" t="n"/>
      <c r="U3029" s="81" t="n"/>
      <c r="V3029" s="81" t="n"/>
      <c r="W3029" s="43" t="n"/>
    </row>
    <row r="3030">
      <c r="A3030" s="43" t="inlineStr">
        <is>
          <t>M30高强螺栓</t>
        </is>
      </c>
      <c r="B3030" s="43" t="inlineStr">
        <is>
          <t>腹杆拼接</t>
        </is>
      </c>
      <c r="C3030" s="43" t="inlineStr">
        <is>
          <t>节段18~节段19</t>
        </is>
      </c>
      <c r="D3030" s="43" t="inlineStr">
        <is>
          <t>10.9S</t>
        </is>
      </c>
      <c r="E3030" s="43" t="n"/>
      <c r="F3030" s="43" t="n"/>
      <c r="G3030" s="43" t="n"/>
      <c r="H3030" s="79">
        <f>(E3030/1000)*(F3030/1000)*(G3030/1000)*7850</f>
        <v/>
      </c>
      <c r="I3030" s="43" t="n">
        <v>540</v>
      </c>
      <c r="J3030" s="80">
        <f>H3030*I3030</f>
        <v/>
      </c>
      <c r="K3030" s="43" t="inlineStr">
        <is>
          <t>来源页215</t>
        </is>
      </c>
      <c r="L3030" s="43">
        <f>A3030</f>
        <v/>
      </c>
      <c r="M3030" s="81" t="n"/>
      <c r="N3030" s="81" t="n"/>
      <c r="O3030" s="81" t="n"/>
      <c r="P3030" s="81" t="n"/>
      <c r="Q3030" s="81" t="n"/>
      <c r="R3030" s="81" t="n"/>
      <c r="S3030" s="81" t="n"/>
      <c r="T3030" s="81" t="n"/>
      <c r="U3030" s="81" t="n"/>
      <c r="V3030" s="81" t="n"/>
      <c r="W3030" s="43" t="n"/>
    </row>
    <row r="3031">
      <c r="A3031" s="43" t="inlineStr"/>
      <c r="B3031" s="43" t="inlineStr"/>
      <c r="C3031" s="43" t="inlineStr">
        <is>
          <t>节段18~节段19</t>
        </is>
      </c>
      <c r="D3031" s="43" t="inlineStr">
        <is>
          <t>Q355D</t>
        </is>
      </c>
      <c r="E3031" s="43" t="n"/>
      <c r="F3031" s="43" t="n"/>
      <c r="G3031" s="43" t="n">
        <v>44</v>
      </c>
      <c r="H3031" s="79">
        <f>(E3031/1000)*(F3031/1000)*(G3031/1000)*7850</f>
        <v/>
      </c>
      <c r="I3031" s="43" t="n">
        <v>2</v>
      </c>
      <c r="J3031" s="80">
        <f>H3031*I3031</f>
        <v/>
      </c>
      <c r="K3031" s="43" t="inlineStr">
        <is>
          <t>来源页216</t>
        </is>
      </c>
      <c r="L3031" s="43">
        <f>A3031</f>
        <v/>
      </c>
      <c r="M3031" s="81" t="n"/>
      <c r="N3031" s="81" t="n"/>
      <c r="O3031" s="81" t="n"/>
      <c r="P3031" s="81" t="n"/>
      <c r="Q3031" s="81" t="n"/>
      <c r="R3031" s="81" t="n"/>
      <c r="S3031" s="81" t="n"/>
      <c r="T3031" s="81" t="n"/>
      <c r="U3031" s="81" t="n"/>
      <c r="V3031" s="81" t="n"/>
      <c r="W3031" s="43" t="n"/>
    </row>
    <row r="3032">
      <c r="A3032" s="43" t="inlineStr"/>
      <c r="B3032" s="43" t="inlineStr"/>
      <c r="C3032" s="43" t="inlineStr">
        <is>
          <t>节段18~节段19</t>
        </is>
      </c>
      <c r="D3032" s="43" t="inlineStr">
        <is>
          <t>Q355D</t>
        </is>
      </c>
      <c r="E3032" s="43" t="n"/>
      <c r="F3032" s="43" t="n"/>
      <c r="G3032" s="43" t="n">
        <v>36</v>
      </c>
      <c r="H3032" s="79">
        <f>(E3032/1000)*(F3032/1000)*(G3032/1000)*7850</f>
        <v/>
      </c>
      <c r="I3032" s="43" t="n">
        <v>2</v>
      </c>
      <c r="J3032" s="80">
        <f>H3032*I3032</f>
        <v/>
      </c>
      <c r="K3032" s="43" t="inlineStr">
        <is>
          <t>来源页216</t>
        </is>
      </c>
      <c r="L3032" s="43">
        <f>A3032</f>
        <v/>
      </c>
      <c r="M3032" s="81" t="n"/>
      <c r="N3032" s="81" t="n"/>
      <c r="O3032" s="81" t="n"/>
      <c r="P3032" s="81" t="n"/>
      <c r="Q3032" s="81" t="n"/>
      <c r="R3032" s="81" t="n"/>
      <c r="S3032" s="81" t="n"/>
      <c r="T3032" s="81" t="n"/>
      <c r="U3032" s="81" t="n"/>
      <c r="V3032" s="81" t="n"/>
      <c r="W3032" s="43" t="n"/>
    </row>
    <row r="3033">
      <c r="A3033" s="43" t="inlineStr"/>
      <c r="B3033" s="43" t="inlineStr"/>
      <c r="C3033" s="43" t="inlineStr">
        <is>
          <t>节段18~节段19</t>
        </is>
      </c>
      <c r="D3033" s="43" t="inlineStr">
        <is>
          <t>Q355D</t>
        </is>
      </c>
      <c r="E3033" s="43" t="n"/>
      <c r="F3033" s="43" t="n"/>
      <c r="G3033" s="43" t="n">
        <v>32</v>
      </c>
      <c r="H3033" s="79">
        <f>(E3033/1000)*(F3033/1000)*(G3033/1000)*7850</f>
        <v/>
      </c>
      <c r="I3033" s="43" t="n">
        <v>2</v>
      </c>
      <c r="J3033" s="80">
        <f>H3033*I3033</f>
        <v/>
      </c>
      <c r="K3033" s="43" t="inlineStr">
        <is>
          <t>来源页216</t>
        </is>
      </c>
      <c r="L3033" s="43">
        <f>A3033</f>
        <v/>
      </c>
      <c r="M3033" s="81" t="n"/>
      <c r="N3033" s="81" t="n"/>
      <c r="O3033" s="81" t="n"/>
      <c r="P3033" s="81" t="n"/>
      <c r="Q3033" s="81" t="n"/>
      <c r="R3033" s="81" t="n"/>
      <c r="S3033" s="81" t="n"/>
      <c r="T3033" s="81" t="n"/>
      <c r="U3033" s="81" t="n"/>
      <c r="V3033" s="81" t="n"/>
      <c r="W3033" s="43" t="n"/>
    </row>
    <row r="3034">
      <c r="A3034" s="43" t="inlineStr"/>
      <c r="B3034" s="43" t="inlineStr"/>
      <c r="C3034" s="43" t="inlineStr">
        <is>
          <t>节段18~节段19</t>
        </is>
      </c>
      <c r="D3034" s="43" t="inlineStr">
        <is>
          <t>Q355D</t>
        </is>
      </c>
      <c r="E3034" s="43" t="n"/>
      <c r="F3034" s="43" t="n"/>
      <c r="G3034" s="43" t="n">
        <v>28</v>
      </c>
      <c r="H3034" s="79">
        <f>(E3034/1000)*(F3034/1000)*(G3034/1000)*7850</f>
        <v/>
      </c>
      <c r="I3034" s="43" t="n">
        <v>2</v>
      </c>
      <c r="J3034" s="80">
        <f>H3034*I3034</f>
        <v/>
      </c>
      <c r="K3034" s="43" t="inlineStr">
        <is>
          <t>来源页216</t>
        </is>
      </c>
      <c r="L3034" s="43">
        <f>A3034</f>
        <v/>
      </c>
      <c r="M3034" s="81" t="n"/>
      <c r="N3034" s="81" t="n"/>
      <c r="O3034" s="81" t="n"/>
      <c r="P3034" s="81" t="n"/>
      <c r="Q3034" s="81" t="n"/>
      <c r="R3034" s="81" t="n"/>
      <c r="S3034" s="81" t="n"/>
      <c r="T3034" s="81" t="n"/>
      <c r="U3034" s="81" t="n"/>
      <c r="V3034" s="81" t="n"/>
      <c r="W3034" s="43" t="n"/>
    </row>
    <row r="3035">
      <c r="A3035" s="43" t="inlineStr"/>
      <c r="B3035" s="43" t="inlineStr"/>
      <c r="C3035" s="43" t="inlineStr">
        <is>
          <t>节段18~节段19</t>
        </is>
      </c>
      <c r="D3035" s="43" t="inlineStr">
        <is>
          <t>Q355D</t>
        </is>
      </c>
      <c r="E3035" s="43" t="n"/>
      <c r="F3035" s="43" t="n"/>
      <c r="G3035" s="43" t="n">
        <v>24</v>
      </c>
      <c r="H3035" s="79">
        <f>(E3035/1000)*(F3035/1000)*(G3035/1000)*7850</f>
        <v/>
      </c>
      <c r="I3035" s="43" t="n">
        <v>2</v>
      </c>
      <c r="J3035" s="80">
        <f>H3035*I3035</f>
        <v/>
      </c>
      <c r="K3035" s="43" t="inlineStr">
        <is>
          <t>来源页216</t>
        </is>
      </c>
      <c r="L3035" s="43">
        <f>A3035</f>
        <v/>
      </c>
      <c r="M3035" s="81" t="n"/>
      <c r="N3035" s="81" t="n"/>
      <c r="O3035" s="81" t="n"/>
      <c r="P3035" s="81" t="n"/>
      <c r="Q3035" s="81" t="n"/>
      <c r="R3035" s="81" t="n"/>
      <c r="S3035" s="81" t="n"/>
      <c r="T3035" s="81" t="n"/>
      <c r="U3035" s="81" t="n"/>
      <c r="V3035" s="81" t="n"/>
      <c r="W3035" s="43" t="n"/>
    </row>
    <row r="3036">
      <c r="A3036" s="43" t="inlineStr"/>
      <c r="B3036" s="43" t="inlineStr"/>
      <c r="C3036" s="43" t="inlineStr">
        <is>
          <t>节段18~节段19</t>
        </is>
      </c>
      <c r="D3036" s="43" t="inlineStr">
        <is>
          <t>Q355D</t>
        </is>
      </c>
      <c r="E3036" s="43" t="n"/>
      <c r="F3036" s="43" t="n"/>
      <c r="G3036" s="43" t="n">
        <v>20</v>
      </c>
      <c r="H3036" s="79">
        <f>(E3036/1000)*(F3036/1000)*(G3036/1000)*7850</f>
        <v/>
      </c>
      <c r="I3036" s="43" t="n">
        <v>2</v>
      </c>
      <c r="J3036" s="80">
        <f>H3036*I3036</f>
        <v/>
      </c>
      <c r="K3036" s="43" t="inlineStr">
        <is>
          <t>来源页216</t>
        </is>
      </c>
      <c r="L3036" s="43">
        <f>A3036</f>
        <v/>
      </c>
      <c r="M3036" s="81" t="n"/>
      <c r="N3036" s="81" t="n"/>
      <c r="O3036" s="81" t="n"/>
      <c r="P3036" s="81" t="n"/>
      <c r="Q3036" s="81" t="n"/>
      <c r="R3036" s="81" t="n"/>
      <c r="S3036" s="81" t="n"/>
      <c r="T3036" s="81" t="n"/>
      <c r="U3036" s="81" t="n"/>
      <c r="V3036" s="81" t="n"/>
      <c r="W3036" s="43" t="n"/>
    </row>
    <row r="3037">
      <c r="A3037" s="43" t="inlineStr"/>
      <c r="B3037" s="43" t="inlineStr"/>
      <c r="C3037" s="43" t="inlineStr">
        <is>
          <t>节段18~节段19</t>
        </is>
      </c>
      <c r="D3037" s="43" t="inlineStr">
        <is>
          <t>Q355D</t>
        </is>
      </c>
      <c r="E3037" s="43" t="n"/>
      <c r="F3037" s="43" t="n"/>
      <c r="G3037" s="43" t="n">
        <v>16</v>
      </c>
      <c r="H3037" s="79">
        <f>(E3037/1000)*(F3037/1000)*(G3037/1000)*7850</f>
        <v/>
      </c>
      <c r="I3037" s="43" t="n">
        <v>2</v>
      </c>
      <c r="J3037" s="80">
        <f>H3037*I3037</f>
        <v/>
      </c>
      <c r="K3037" s="43" t="inlineStr">
        <is>
          <t>来源页216</t>
        </is>
      </c>
      <c r="L3037" s="43">
        <f>A3037</f>
        <v/>
      </c>
      <c r="M3037" s="81" t="n"/>
      <c r="N3037" s="81" t="n"/>
      <c r="O3037" s="81" t="n"/>
      <c r="P3037" s="81" t="n"/>
      <c r="Q3037" s="81" t="n"/>
      <c r="R3037" s="81" t="n"/>
      <c r="S3037" s="81" t="n"/>
      <c r="T3037" s="81" t="n"/>
      <c r="U3037" s="81" t="n"/>
      <c r="V3037" s="81" t="n"/>
      <c r="W3037" s="43" t="n"/>
    </row>
    <row r="3038">
      <c r="A3038" s="43" t="inlineStr"/>
      <c r="B3038" s="43" t="inlineStr"/>
      <c r="C3038" s="43" t="inlineStr">
        <is>
          <t>节段18~节段19</t>
        </is>
      </c>
      <c r="D3038" s="43" t="inlineStr">
        <is>
          <t>Q355D</t>
        </is>
      </c>
      <c r="E3038" s="43" t="n"/>
      <c r="F3038" s="43" t="n"/>
      <c r="G3038" s="43" t="n">
        <v>8</v>
      </c>
      <c r="H3038" s="79">
        <f>(E3038/1000)*(F3038/1000)*(G3038/1000)*7850</f>
        <v/>
      </c>
      <c r="I3038" s="43" t="n">
        <v>2</v>
      </c>
      <c r="J3038" s="80">
        <f>H3038*I3038</f>
        <v/>
      </c>
      <c r="K3038" s="43" t="inlineStr">
        <is>
          <t>来源页216</t>
        </is>
      </c>
      <c r="L3038" s="43">
        <f>A3038</f>
        <v/>
      </c>
      <c r="M3038" s="81" t="n"/>
      <c r="N3038" s="81" t="n"/>
      <c r="O3038" s="81" t="n"/>
      <c r="P3038" s="81" t="n"/>
      <c r="Q3038" s="81" t="n"/>
      <c r="R3038" s="81" t="n"/>
      <c r="S3038" s="81" t="n"/>
      <c r="T3038" s="81" t="n"/>
      <c r="U3038" s="81" t="n"/>
      <c r="V3038" s="81" t="n"/>
      <c r="W3038" s="43" t="n"/>
    </row>
    <row r="3039">
      <c r="A3039" s="43" t="inlineStr"/>
      <c r="B3039" s="43" t="inlineStr"/>
      <c r="C3039" s="43" t="inlineStr">
        <is>
          <t>节段18~节段19</t>
        </is>
      </c>
      <c r="D3039" s="43" t="inlineStr">
        <is>
          <t>Q355D</t>
        </is>
      </c>
      <c r="E3039" s="43" t="n"/>
      <c r="F3039" s="43" t="n"/>
      <c r="G3039" s="43" t="n">
        <v>4</v>
      </c>
      <c r="H3039" s="79">
        <f>(E3039/1000)*(F3039/1000)*(G3039/1000)*7850</f>
        <v/>
      </c>
      <c r="I3039" s="43" t="n">
        <v>2</v>
      </c>
      <c r="J3039" s="80">
        <f>H3039*I3039</f>
        <v/>
      </c>
      <c r="K3039" s="43" t="inlineStr">
        <is>
          <t>来源页216</t>
        </is>
      </c>
      <c r="L3039" s="43">
        <f>A3039</f>
        <v/>
      </c>
      <c r="M3039" s="81" t="n"/>
      <c r="N3039" s="81" t="n"/>
      <c r="O3039" s="81" t="n"/>
      <c r="P3039" s="81" t="n"/>
      <c r="Q3039" s="81" t="n"/>
      <c r="R3039" s="81" t="n"/>
      <c r="S3039" s="81" t="n"/>
      <c r="T3039" s="81" t="n"/>
      <c r="U3039" s="81" t="n"/>
      <c r="V3039" s="81" t="n"/>
      <c r="W3039" s="43" t="n"/>
    </row>
    <row r="3040">
      <c r="A3040" s="43" t="inlineStr"/>
      <c r="B3040" s="43" t="inlineStr"/>
      <c r="C3040" s="43" t="inlineStr">
        <is>
          <t>节段18~节段19</t>
        </is>
      </c>
      <c r="D3040" s="43" t="inlineStr">
        <is>
          <t>10.9S高强螺栓</t>
        </is>
      </c>
      <c r="E3040" s="43" t="n"/>
      <c r="F3040" s="43" t="n"/>
      <c r="G3040" s="43" t="n"/>
      <c r="H3040" s="79">
        <f>(E3040/1000)*(F3040/1000)*(G3040/1000)*7850</f>
        <v/>
      </c>
      <c r="I3040" s="43" t="n">
        <v>2</v>
      </c>
      <c r="J3040" s="80">
        <f>H3040*I3040</f>
        <v/>
      </c>
      <c r="K3040" s="43" t="inlineStr">
        <is>
          <t>来源页216</t>
        </is>
      </c>
      <c r="L3040" s="43">
        <f>A3040</f>
        <v/>
      </c>
      <c r="M3040" s="81" t="n"/>
      <c r="N3040" s="81" t="n"/>
      <c r="O3040" s="81" t="n"/>
      <c r="P3040" s="81" t="n"/>
      <c r="Q3040" s="81" t="n"/>
      <c r="R3040" s="81" t="n"/>
      <c r="S3040" s="81" t="n"/>
      <c r="T3040" s="81" t="n"/>
      <c r="U3040" s="81" t="n"/>
      <c r="V3040" s="81" t="n"/>
      <c r="W3040" s="43" t="n"/>
    </row>
    <row r="3041">
      <c r="A3041" s="43" t="inlineStr"/>
      <c r="B3041" s="43" t="inlineStr"/>
      <c r="C3041" s="43" t="inlineStr">
        <is>
          <t>节段18~节段19</t>
        </is>
      </c>
      <c r="D3041" s="43" t="inlineStr">
        <is>
          <t>10.9S高强螺栓</t>
        </is>
      </c>
      <c r="E3041" s="43" t="n"/>
      <c r="F3041" s="43" t="n"/>
      <c r="G3041" s="43" t="n"/>
      <c r="H3041" s="79">
        <f>(E3041/1000)*(F3041/1000)*(G3041/1000)*7850</f>
        <v/>
      </c>
      <c r="I3041" s="43" t="n">
        <v>2</v>
      </c>
      <c r="J3041" s="80">
        <f>H3041*I3041</f>
        <v/>
      </c>
      <c r="K3041" s="43" t="inlineStr">
        <is>
          <t>来源页216</t>
        </is>
      </c>
      <c r="L3041" s="43">
        <f>A3041</f>
        <v/>
      </c>
      <c r="M3041" s="81" t="n"/>
      <c r="N3041" s="81" t="n"/>
      <c r="O3041" s="81" t="n"/>
      <c r="P3041" s="81" t="n"/>
      <c r="Q3041" s="81" t="n"/>
      <c r="R3041" s="81" t="n"/>
      <c r="S3041" s="81" t="n"/>
      <c r="T3041" s="81" t="n"/>
      <c r="U3041" s="81" t="n"/>
      <c r="V3041" s="81" t="n"/>
      <c r="W3041" s="43" t="n"/>
    </row>
    <row r="3042">
      <c r="A3042" s="43" t="inlineStr"/>
      <c r="B3042" s="43" t="inlineStr"/>
      <c r="C3042" s="43" t="inlineStr">
        <is>
          <t>节段19</t>
        </is>
      </c>
      <c r="D3042" s="43" t="inlineStr">
        <is>
          <t>Q355D</t>
        </is>
      </c>
      <c r="E3042" s="43" t="n"/>
      <c r="F3042" s="43" t="n"/>
      <c r="G3042" s="43" t="n">
        <v>40</v>
      </c>
      <c r="H3042" s="79">
        <f>(E3042/1000)*(F3042/1000)*(G3042/1000)*7850</f>
        <v/>
      </c>
      <c r="I3042" s="43" t="n">
        <v>2</v>
      </c>
      <c r="J3042" s="80">
        <f>H3042*I3042</f>
        <v/>
      </c>
      <c r="K3042" s="43" t="inlineStr">
        <is>
          <t>来源页216</t>
        </is>
      </c>
      <c r="L3042" s="43">
        <f>A3042</f>
        <v/>
      </c>
      <c r="M3042" s="81" t="n"/>
      <c r="N3042" s="81" t="n"/>
      <c r="O3042" s="81" t="n"/>
      <c r="P3042" s="81" t="n"/>
      <c r="Q3042" s="81" t="n"/>
      <c r="R3042" s="81" t="n"/>
      <c r="S3042" s="81" t="n"/>
      <c r="T3042" s="81" t="n"/>
      <c r="U3042" s="81" t="n"/>
      <c r="V3042" s="81" t="n"/>
      <c r="W3042" s="43" t="n"/>
    </row>
    <row r="3043">
      <c r="A3043" s="43" t="inlineStr"/>
      <c r="B3043" s="43" t="inlineStr"/>
      <c r="C3043" s="43" t="inlineStr">
        <is>
          <t>节段19</t>
        </is>
      </c>
      <c r="D3043" s="43" t="inlineStr">
        <is>
          <t>Q355D</t>
        </is>
      </c>
      <c r="E3043" s="43" t="n"/>
      <c r="F3043" s="43" t="n"/>
      <c r="G3043" s="43" t="n">
        <v>36</v>
      </c>
      <c r="H3043" s="79">
        <f>(E3043/1000)*(F3043/1000)*(G3043/1000)*7850</f>
        <v/>
      </c>
      <c r="I3043" s="43" t="n">
        <v>2</v>
      </c>
      <c r="J3043" s="80">
        <f>H3043*I3043</f>
        <v/>
      </c>
      <c r="K3043" s="43" t="inlineStr">
        <is>
          <t>来源页216</t>
        </is>
      </c>
      <c r="L3043" s="43">
        <f>A3043</f>
        <v/>
      </c>
      <c r="M3043" s="81" t="n"/>
      <c r="N3043" s="81" t="n"/>
      <c r="O3043" s="81" t="n"/>
      <c r="P3043" s="81" t="n"/>
      <c r="Q3043" s="81" t="n"/>
      <c r="R3043" s="81" t="n"/>
      <c r="S3043" s="81" t="n"/>
      <c r="T3043" s="81" t="n"/>
      <c r="U3043" s="81" t="n"/>
      <c r="V3043" s="81" t="n"/>
      <c r="W3043" s="43" t="n"/>
    </row>
    <row r="3044">
      <c r="A3044" s="43" t="inlineStr"/>
      <c r="B3044" s="43" t="inlineStr"/>
      <c r="C3044" s="43" t="inlineStr">
        <is>
          <t>节段19</t>
        </is>
      </c>
      <c r="D3044" s="43" t="inlineStr">
        <is>
          <t>Q355D</t>
        </is>
      </c>
      <c r="E3044" s="43" t="n"/>
      <c r="F3044" s="43" t="n"/>
      <c r="G3044" s="43" t="n">
        <v>32</v>
      </c>
      <c r="H3044" s="79">
        <f>(E3044/1000)*(F3044/1000)*(G3044/1000)*7850</f>
        <v/>
      </c>
      <c r="I3044" s="43" t="n">
        <v>2</v>
      </c>
      <c r="J3044" s="80">
        <f>H3044*I3044</f>
        <v/>
      </c>
      <c r="K3044" s="43" t="inlineStr">
        <is>
          <t>来源页216</t>
        </is>
      </c>
      <c r="L3044" s="43">
        <f>A3044</f>
        <v/>
      </c>
      <c r="M3044" s="81" t="n"/>
      <c r="N3044" s="81" t="n"/>
      <c r="O3044" s="81" t="n"/>
      <c r="P3044" s="81" t="n"/>
      <c r="Q3044" s="81" t="n"/>
      <c r="R3044" s="81" t="n"/>
      <c r="S3044" s="81" t="n"/>
      <c r="T3044" s="81" t="n"/>
      <c r="U3044" s="81" t="n"/>
      <c r="V3044" s="81" t="n"/>
      <c r="W3044" s="43" t="n"/>
    </row>
    <row r="3045">
      <c r="A3045" s="43" t="inlineStr"/>
      <c r="B3045" s="43" t="inlineStr"/>
      <c r="C3045" s="43" t="inlineStr">
        <is>
          <t>节段19</t>
        </is>
      </c>
      <c r="D3045" s="43" t="inlineStr">
        <is>
          <t>Q355D</t>
        </is>
      </c>
      <c r="E3045" s="43" t="n"/>
      <c r="F3045" s="43" t="n"/>
      <c r="G3045" s="43" t="n">
        <v>24</v>
      </c>
      <c r="H3045" s="79">
        <f>(E3045/1000)*(F3045/1000)*(G3045/1000)*7850</f>
        <v/>
      </c>
      <c r="I3045" s="43" t="n">
        <v>2</v>
      </c>
      <c r="J3045" s="80">
        <f>H3045*I3045</f>
        <v/>
      </c>
      <c r="K3045" s="43" t="inlineStr">
        <is>
          <t>来源页216</t>
        </is>
      </c>
      <c r="L3045" s="43">
        <f>A3045</f>
        <v/>
      </c>
      <c r="M3045" s="81" t="n"/>
      <c r="N3045" s="81" t="n"/>
      <c r="O3045" s="81" t="n"/>
      <c r="P3045" s="81" t="n"/>
      <c r="Q3045" s="81" t="n"/>
      <c r="R3045" s="81" t="n"/>
      <c r="S3045" s="81" t="n"/>
      <c r="T3045" s="81" t="n"/>
      <c r="U3045" s="81" t="n"/>
      <c r="V3045" s="81" t="n"/>
      <c r="W3045" s="43" t="n"/>
    </row>
    <row r="3046">
      <c r="A3046" s="43" t="inlineStr"/>
      <c r="B3046" s="43" t="inlineStr"/>
      <c r="C3046" s="43" t="inlineStr">
        <is>
          <t>节段19</t>
        </is>
      </c>
      <c r="D3046" s="43" t="inlineStr">
        <is>
          <t>Q355D</t>
        </is>
      </c>
      <c r="E3046" s="43" t="n"/>
      <c r="F3046" s="43" t="n"/>
      <c r="G3046" s="43" t="n">
        <v>20</v>
      </c>
      <c r="H3046" s="79">
        <f>(E3046/1000)*(F3046/1000)*(G3046/1000)*7850</f>
        <v/>
      </c>
      <c r="I3046" s="43" t="n">
        <v>2</v>
      </c>
      <c r="J3046" s="80">
        <f>H3046*I3046</f>
        <v/>
      </c>
      <c r="K3046" s="43" t="inlineStr">
        <is>
          <t>来源页216</t>
        </is>
      </c>
      <c r="L3046" s="43">
        <f>A3046</f>
        <v/>
      </c>
      <c r="M3046" s="81" t="n"/>
      <c r="N3046" s="81" t="n"/>
      <c r="O3046" s="81" t="n"/>
      <c r="P3046" s="81" t="n"/>
      <c r="Q3046" s="81" t="n"/>
      <c r="R3046" s="81" t="n"/>
      <c r="S3046" s="81" t="n"/>
      <c r="T3046" s="81" t="n"/>
      <c r="U3046" s="81" t="n"/>
      <c r="V3046" s="81" t="n"/>
      <c r="W3046" s="43" t="n"/>
    </row>
    <row r="3047">
      <c r="A3047" s="43" t="inlineStr"/>
      <c r="B3047" s="43" t="inlineStr"/>
      <c r="C3047" s="43" t="inlineStr">
        <is>
          <t>节段19</t>
        </is>
      </c>
      <c r="D3047" s="43" t="inlineStr">
        <is>
          <t>Q355D</t>
        </is>
      </c>
      <c r="E3047" s="43" t="n"/>
      <c r="F3047" s="43" t="n"/>
      <c r="G3047" s="43" t="n">
        <v>16</v>
      </c>
      <c r="H3047" s="79">
        <f>(E3047/1000)*(F3047/1000)*(G3047/1000)*7850</f>
        <v/>
      </c>
      <c r="I3047" s="43" t="n">
        <v>2</v>
      </c>
      <c r="J3047" s="80">
        <f>H3047*I3047</f>
        <v/>
      </c>
      <c r="K3047" s="43" t="inlineStr">
        <is>
          <t>来源页216</t>
        </is>
      </c>
      <c r="L3047" s="43">
        <f>A3047</f>
        <v/>
      </c>
      <c r="M3047" s="81" t="n"/>
      <c r="N3047" s="81" t="n"/>
      <c r="O3047" s="81" t="n"/>
      <c r="P3047" s="81" t="n"/>
      <c r="Q3047" s="81" t="n"/>
      <c r="R3047" s="81" t="n"/>
      <c r="S3047" s="81" t="n"/>
      <c r="T3047" s="81" t="n"/>
      <c r="U3047" s="81" t="n"/>
      <c r="V3047" s="81" t="n"/>
      <c r="W3047" s="43" t="n"/>
    </row>
    <row r="3048">
      <c r="A3048" s="43" t="inlineStr"/>
      <c r="B3048" s="43" t="inlineStr"/>
      <c r="C3048" s="43" t="inlineStr">
        <is>
          <t>节段19</t>
        </is>
      </c>
      <c r="D3048" s="43" t="inlineStr">
        <is>
          <t>Q355D</t>
        </is>
      </c>
      <c r="E3048" s="43" t="n"/>
      <c r="F3048" s="43" t="n"/>
      <c r="G3048" s="43" t="n">
        <v>14</v>
      </c>
      <c r="H3048" s="79">
        <f>(E3048/1000)*(F3048/1000)*(G3048/1000)*7850</f>
        <v/>
      </c>
      <c r="I3048" s="43" t="n">
        <v>2</v>
      </c>
      <c r="J3048" s="80">
        <f>H3048*I3048</f>
        <v/>
      </c>
      <c r="K3048" s="43" t="inlineStr">
        <is>
          <t>来源页216</t>
        </is>
      </c>
      <c r="L3048" s="43">
        <f>A3048</f>
        <v/>
      </c>
      <c r="M3048" s="81" t="n"/>
      <c r="N3048" s="81" t="n"/>
      <c r="O3048" s="81" t="n"/>
      <c r="P3048" s="81" t="n"/>
      <c r="Q3048" s="81" t="n"/>
      <c r="R3048" s="81" t="n"/>
      <c r="S3048" s="81" t="n"/>
      <c r="T3048" s="81" t="n"/>
      <c r="U3048" s="81" t="n"/>
      <c r="V3048" s="81" t="n"/>
      <c r="W3048" s="43" t="n"/>
    </row>
    <row r="3049">
      <c r="A3049" s="43" t="inlineStr"/>
      <c r="B3049" s="43" t="inlineStr"/>
      <c r="C3049" s="43" t="inlineStr">
        <is>
          <t>节段19</t>
        </is>
      </c>
      <c r="D3049" s="43" t="inlineStr">
        <is>
          <t>Q355D</t>
        </is>
      </c>
      <c r="E3049" s="43" t="n"/>
      <c r="F3049" s="43" t="n"/>
      <c r="G3049" s="43" t="n">
        <v>4</v>
      </c>
      <c r="H3049" s="79">
        <f>(E3049/1000)*(F3049/1000)*(G3049/1000)*7850</f>
        <v/>
      </c>
      <c r="I3049" s="43" t="n">
        <v>2</v>
      </c>
      <c r="J3049" s="80">
        <f>H3049*I3049</f>
        <v/>
      </c>
      <c r="K3049" s="43" t="inlineStr">
        <is>
          <t>来源页216</t>
        </is>
      </c>
      <c r="L3049" s="43">
        <f>A3049</f>
        <v/>
      </c>
      <c r="M3049" s="81" t="n"/>
      <c r="N3049" s="81" t="n"/>
      <c r="O3049" s="81" t="n"/>
      <c r="P3049" s="81" t="n"/>
      <c r="Q3049" s="81" t="n"/>
      <c r="R3049" s="81" t="n"/>
      <c r="S3049" s="81" t="n"/>
      <c r="T3049" s="81" t="n"/>
      <c r="U3049" s="81" t="n"/>
      <c r="V3049" s="81" t="n"/>
      <c r="W3049" s="43" t="n"/>
    </row>
    <row r="3050">
      <c r="A3050" s="43" t="inlineStr"/>
      <c r="B3050" s="43" t="inlineStr"/>
      <c r="C3050" s="43" t="inlineStr">
        <is>
          <t>节段19</t>
        </is>
      </c>
      <c r="D3050" s="43" t="inlineStr">
        <is>
          <t>Q355D</t>
        </is>
      </c>
      <c r="E3050" s="43" t="n"/>
      <c r="F3050" s="43" t="n"/>
      <c r="G3050" s="43" t="n"/>
      <c r="H3050" s="79">
        <f>(E3050/1000)*(F3050/1000)*(G3050/1000)*7850</f>
        <v/>
      </c>
      <c r="I3050" s="43" t="n">
        <v>2</v>
      </c>
      <c r="J3050" s="80">
        <f>H3050*I3050</f>
        <v/>
      </c>
      <c r="K3050" s="43" t="inlineStr">
        <is>
          <t>来源页216</t>
        </is>
      </c>
      <c r="L3050" s="43">
        <f>A3050</f>
        <v/>
      </c>
      <c r="M3050" s="81" t="n"/>
      <c r="N3050" s="81" t="n"/>
      <c r="O3050" s="81" t="n"/>
      <c r="P3050" s="81" t="n"/>
      <c r="Q3050" s="81" t="n"/>
      <c r="R3050" s="81" t="n"/>
      <c r="S3050" s="81" t="n"/>
      <c r="T3050" s="81" t="n"/>
      <c r="U3050" s="81" t="n"/>
      <c r="V3050" s="81" t="n"/>
      <c r="W3050" s="43" t="n"/>
    </row>
    <row r="3051">
      <c r="A3051" s="43" t="inlineStr"/>
      <c r="B3051" s="43" t="inlineStr"/>
      <c r="C3051" s="43" t="inlineStr">
        <is>
          <t>节段19</t>
        </is>
      </c>
      <c r="D3051" s="43" t="inlineStr">
        <is>
          <t>Q355D</t>
        </is>
      </c>
      <c r="E3051" s="43" t="n"/>
      <c r="F3051" s="43" t="n"/>
      <c r="G3051" s="43" t="n"/>
      <c r="H3051" s="79">
        <f>(E3051/1000)*(F3051/1000)*(G3051/1000)*7850</f>
        <v/>
      </c>
      <c r="I3051" s="43" t="n">
        <v>2</v>
      </c>
      <c r="J3051" s="80">
        <f>H3051*I3051</f>
        <v/>
      </c>
      <c r="K3051" s="43" t="inlineStr">
        <is>
          <t>来源页216</t>
        </is>
      </c>
      <c r="L3051" s="43">
        <f>A3051</f>
        <v/>
      </c>
      <c r="M3051" s="81" t="n"/>
      <c r="N3051" s="81" t="n"/>
      <c r="O3051" s="81" t="n"/>
      <c r="P3051" s="81" t="n"/>
      <c r="Q3051" s="81" t="n"/>
      <c r="R3051" s="81" t="n"/>
      <c r="S3051" s="81" t="n"/>
      <c r="T3051" s="81" t="n"/>
      <c r="U3051" s="81" t="n"/>
      <c r="V3051" s="81" t="n"/>
      <c r="W3051" s="43" t="n"/>
    </row>
    <row r="3052">
      <c r="A3052" s="43" t="inlineStr"/>
      <c r="B3052" s="43" t="inlineStr"/>
      <c r="C3052" s="43" t="inlineStr">
        <is>
          <t>节段19</t>
        </is>
      </c>
      <c r="D3052" s="43" t="inlineStr">
        <is>
          <t>Q355D</t>
        </is>
      </c>
      <c r="E3052" s="43" t="n"/>
      <c r="F3052" s="43" t="n"/>
      <c r="G3052" s="43" t="n"/>
      <c r="H3052" s="79">
        <f>(E3052/1000)*(F3052/1000)*(G3052/1000)*7850</f>
        <v/>
      </c>
      <c r="I3052" s="43" t="n">
        <v>2</v>
      </c>
      <c r="J3052" s="80">
        <f>H3052*I3052</f>
        <v/>
      </c>
      <c r="K3052" s="43" t="inlineStr">
        <is>
          <t>来源页216</t>
        </is>
      </c>
      <c r="L3052" s="43">
        <f>A3052</f>
        <v/>
      </c>
      <c r="M3052" s="81" t="n"/>
      <c r="N3052" s="81" t="n"/>
      <c r="O3052" s="81" t="n"/>
      <c r="P3052" s="81" t="n"/>
      <c r="Q3052" s="81" t="n"/>
      <c r="R3052" s="81" t="n"/>
      <c r="S3052" s="81" t="n"/>
      <c r="T3052" s="81" t="n"/>
      <c r="U3052" s="81" t="n"/>
      <c r="V3052" s="81" t="n"/>
      <c r="W3052" s="43" t="n"/>
    </row>
    <row r="3053">
      <c r="A3053" s="43" t="inlineStr"/>
      <c r="B3053" s="43" t="inlineStr"/>
      <c r="C3053" s="43" t="inlineStr">
        <is>
          <t>节段19</t>
        </is>
      </c>
      <c r="D3053" s="43" t="inlineStr">
        <is>
          <t>Q355D</t>
        </is>
      </c>
      <c r="E3053" s="43" t="n"/>
      <c r="F3053" s="43" t="n"/>
      <c r="G3053" s="43" t="n"/>
      <c r="H3053" s="79">
        <f>(E3053/1000)*(F3053/1000)*(G3053/1000)*7850</f>
        <v/>
      </c>
      <c r="I3053" s="43" t="n">
        <v>2</v>
      </c>
      <c r="J3053" s="80">
        <f>H3053*I3053</f>
        <v/>
      </c>
      <c r="K3053" s="43" t="inlineStr">
        <is>
          <t>来源页216</t>
        </is>
      </c>
      <c r="L3053" s="43">
        <f>A3053</f>
        <v/>
      </c>
      <c r="M3053" s="81" t="n"/>
      <c r="N3053" s="81" t="n"/>
      <c r="O3053" s="81" t="n"/>
      <c r="P3053" s="81" t="n"/>
      <c r="Q3053" s="81" t="n"/>
      <c r="R3053" s="81" t="n"/>
      <c r="S3053" s="81" t="n"/>
      <c r="T3053" s="81" t="n"/>
      <c r="U3053" s="81" t="n"/>
      <c r="V3053" s="81" t="n"/>
      <c r="W3053" s="43" t="n"/>
    </row>
    <row r="3054">
      <c r="A3054" s="43" t="inlineStr">
        <is>
          <t>N11a</t>
        </is>
      </c>
      <c r="B3054" s="43" t="inlineStr"/>
      <c r="C3054" s="43" t="inlineStr">
        <is>
          <t>节段19</t>
        </is>
      </c>
      <c r="D3054" s="43" t="inlineStr">
        <is>
          <t>Q355D</t>
        </is>
      </c>
      <c r="E3054" s="43" t="n"/>
      <c r="F3054" s="43" t="n"/>
      <c r="G3054" s="43" t="n">
        <v>20</v>
      </c>
      <c r="H3054" s="79">
        <f>(E3054/1000)*(F3054/1000)*(G3054/1000)*7850</f>
        <v/>
      </c>
      <c r="I3054" s="43" t="n">
        <v>1</v>
      </c>
      <c r="J3054" s="80">
        <f>H3054*I3054</f>
        <v/>
      </c>
      <c r="K3054" s="43" t="inlineStr">
        <is>
          <t>来源页216</t>
        </is>
      </c>
      <c r="L3054" s="43">
        <f>A3054</f>
        <v/>
      </c>
      <c r="M3054" s="81" t="n"/>
      <c r="N3054" s="81" t="n"/>
      <c r="O3054" s="81" t="n"/>
      <c r="P3054" s="81" t="n"/>
      <c r="Q3054" s="81" t="n"/>
      <c r="R3054" s="81" t="n"/>
      <c r="S3054" s="81" t="n"/>
      <c r="T3054" s="81" t="n"/>
      <c r="U3054" s="81" t="n"/>
      <c r="V3054" s="81" t="n"/>
      <c r="W3054" s="43" t="n"/>
    </row>
    <row r="3055">
      <c r="A3055" s="43" t="inlineStr">
        <is>
          <t>N11b</t>
        </is>
      </c>
      <c r="B3055" s="43" t="inlineStr"/>
      <c r="C3055" s="43" t="inlineStr">
        <is>
          <t>节段19</t>
        </is>
      </c>
      <c r="D3055" s="43" t="inlineStr">
        <is>
          <t>Q355D</t>
        </is>
      </c>
      <c r="E3055" s="43" t="n"/>
      <c r="F3055" s="43" t="n"/>
      <c r="G3055" s="43" t="n">
        <v>24</v>
      </c>
      <c r="H3055" s="79">
        <f>(E3055/1000)*(F3055/1000)*(G3055/1000)*7850</f>
        <v/>
      </c>
      <c r="I3055" s="43" t="n">
        <v>1</v>
      </c>
      <c r="J3055" s="80">
        <f>H3055*I3055</f>
        <v/>
      </c>
      <c r="K3055" s="43" t="inlineStr">
        <is>
          <t>来源页216</t>
        </is>
      </c>
      <c r="L3055" s="43">
        <f>A3055</f>
        <v/>
      </c>
      <c r="M3055" s="81" t="n"/>
      <c r="N3055" s="81" t="n"/>
      <c r="O3055" s="81" t="n"/>
      <c r="P3055" s="81" t="n"/>
      <c r="Q3055" s="81" t="n"/>
      <c r="R3055" s="81" t="n"/>
      <c r="S3055" s="81" t="n"/>
      <c r="T3055" s="81" t="n"/>
      <c r="U3055" s="81" t="n"/>
      <c r="V3055" s="81" t="n"/>
      <c r="W3055" s="43" t="n"/>
    </row>
    <row r="3056">
      <c r="A3056" s="43" t="inlineStr">
        <is>
          <t>N12a</t>
        </is>
      </c>
      <c r="B3056" s="43" t="inlineStr"/>
      <c r="C3056" s="43" t="inlineStr">
        <is>
          <t>节段19</t>
        </is>
      </c>
      <c r="D3056" s="43" t="inlineStr">
        <is>
          <t>Q355D</t>
        </is>
      </c>
      <c r="E3056" s="43" t="n">
        <v>7900</v>
      </c>
      <c r="F3056" s="43" t="n">
        <v>1200</v>
      </c>
      <c r="G3056" s="43" t="n">
        <v>20</v>
      </c>
      <c r="H3056" s="79">
        <f>(E3056/1000)*(F3056/1000)*(G3056/1000)*7850</f>
        <v/>
      </c>
      <c r="I3056" s="43" t="n">
        <v>1</v>
      </c>
      <c r="J3056" s="80">
        <f>H3056*I3056</f>
        <v/>
      </c>
      <c r="K3056" s="43" t="inlineStr">
        <is>
          <t>来源页216</t>
        </is>
      </c>
      <c r="L3056" s="43">
        <f>A3056</f>
        <v/>
      </c>
      <c r="M3056" s="81" t="n"/>
      <c r="N3056" s="81" t="n"/>
      <c r="O3056" s="81" t="n"/>
      <c r="P3056" s="81" t="n"/>
      <c r="Q3056" s="81" t="n"/>
      <c r="R3056" s="81" t="n"/>
      <c r="S3056" s="81" t="n"/>
      <c r="T3056" s="81" t="n"/>
      <c r="U3056" s="81" t="n"/>
      <c r="V3056" s="81" t="n"/>
      <c r="W3056" s="43" t="n"/>
    </row>
    <row r="3057">
      <c r="A3057" s="43" t="inlineStr">
        <is>
          <t>N12b</t>
        </is>
      </c>
      <c r="B3057" s="43" t="inlineStr"/>
      <c r="C3057" s="43" t="inlineStr">
        <is>
          <t>节段19</t>
        </is>
      </c>
      <c r="D3057" s="43" t="inlineStr">
        <is>
          <t>Q355D</t>
        </is>
      </c>
      <c r="E3057" s="43" t="n">
        <v>7100</v>
      </c>
      <c r="F3057" s="43" t="n">
        <v>1200</v>
      </c>
      <c r="G3057" s="43" t="n">
        <v>24</v>
      </c>
      <c r="H3057" s="79">
        <f>(E3057/1000)*(F3057/1000)*(G3057/1000)*7850</f>
        <v/>
      </c>
      <c r="I3057" s="43" t="n">
        <v>1</v>
      </c>
      <c r="J3057" s="80">
        <f>H3057*I3057</f>
        <v/>
      </c>
      <c r="K3057" s="43" t="inlineStr">
        <is>
          <t>来源页216</t>
        </is>
      </c>
      <c r="L3057" s="43">
        <f>A3057</f>
        <v/>
      </c>
      <c r="M3057" s="81" t="n"/>
      <c r="N3057" s="81" t="n"/>
      <c r="O3057" s="81" t="n"/>
      <c r="P3057" s="81" t="n"/>
      <c r="Q3057" s="81" t="n"/>
      <c r="R3057" s="81" t="n"/>
      <c r="S3057" s="81" t="n"/>
      <c r="T3057" s="81" t="n"/>
      <c r="U3057" s="81" t="n"/>
      <c r="V3057" s="81" t="n"/>
      <c r="W3057" s="43" t="n"/>
    </row>
    <row r="3058">
      <c r="A3058" s="43" t="inlineStr">
        <is>
          <t>N13</t>
        </is>
      </c>
      <c r="B3058" s="43" t="inlineStr"/>
      <c r="C3058" s="43" t="inlineStr">
        <is>
          <t>节段19</t>
        </is>
      </c>
      <c r="D3058" s="43" t="inlineStr">
        <is>
          <t>Q355D</t>
        </is>
      </c>
      <c r="E3058" s="43" t="n"/>
      <c r="F3058" s="43" t="n"/>
      <c r="G3058" s="43" t="n">
        <v>40</v>
      </c>
      <c r="H3058" s="79">
        <f>(E3058/1000)*(F3058/1000)*(G3058/1000)*7850</f>
        <v/>
      </c>
      <c r="I3058" s="43" t="n">
        <v>2</v>
      </c>
      <c r="J3058" s="80">
        <f>H3058*I3058</f>
        <v/>
      </c>
      <c r="K3058" s="43" t="inlineStr">
        <is>
          <t>来源页216</t>
        </is>
      </c>
      <c r="L3058" s="43">
        <f>A3058</f>
        <v/>
      </c>
      <c r="M3058" s="81" t="n"/>
      <c r="N3058" s="81" t="n"/>
      <c r="O3058" s="81" t="n"/>
      <c r="P3058" s="81" t="n"/>
      <c r="Q3058" s="81" t="n"/>
      <c r="R3058" s="81" t="n"/>
      <c r="S3058" s="81" t="n"/>
      <c r="T3058" s="81" t="n"/>
      <c r="U3058" s="81" t="n"/>
      <c r="V3058" s="81" t="n"/>
      <c r="W3058" s="43" t="n"/>
    </row>
    <row r="3059">
      <c r="A3059" s="43" t="inlineStr">
        <is>
          <t>N14</t>
        </is>
      </c>
      <c r="B3059" s="43" t="inlineStr"/>
      <c r="C3059" s="43" t="inlineStr">
        <is>
          <t>节段19</t>
        </is>
      </c>
      <c r="D3059" s="43" t="inlineStr">
        <is>
          <t>Q355D</t>
        </is>
      </c>
      <c r="E3059" s="43" t="n">
        <v>7300</v>
      </c>
      <c r="F3059" s="43" t="n">
        <v>1644</v>
      </c>
      <c r="G3059" s="43" t="n">
        <v>32</v>
      </c>
      <c r="H3059" s="79">
        <f>(E3059/1000)*(F3059/1000)*(G3059/1000)*7850</f>
        <v/>
      </c>
      <c r="I3059" s="43" t="n">
        <v>2</v>
      </c>
      <c r="J3059" s="80">
        <f>H3059*I3059</f>
        <v/>
      </c>
      <c r="K3059" s="43" t="inlineStr">
        <is>
          <t>来源页216</t>
        </is>
      </c>
      <c r="L3059" s="43">
        <f>A3059</f>
        <v/>
      </c>
      <c r="M3059" s="81" t="n"/>
      <c r="N3059" s="81" t="n"/>
      <c r="O3059" s="81" t="n"/>
      <c r="P3059" s="81" t="n"/>
      <c r="Q3059" s="81" t="n"/>
      <c r="R3059" s="81" t="n"/>
      <c r="S3059" s="81" t="n"/>
      <c r="T3059" s="81" t="n"/>
      <c r="U3059" s="81" t="n"/>
      <c r="V3059" s="81" t="n"/>
      <c r="W3059" s="43" t="n"/>
    </row>
    <row r="3060">
      <c r="A3060" s="43" t="inlineStr">
        <is>
          <t>N15</t>
        </is>
      </c>
      <c r="B3060" s="43" t="inlineStr"/>
      <c r="C3060" s="43" t="inlineStr">
        <is>
          <t>节段19</t>
        </is>
      </c>
      <c r="D3060" s="43" t="inlineStr">
        <is>
          <t>Q355D</t>
        </is>
      </c>
      <c r="E3060" s="43" t="n">
        <v>1580</v>
      </c>
      <c r="F3060" s="43" t="n">
        <v>1200</v>
      </c>
      <c r="G3060" s="43" t="n">
        <v>16</v>
      </c>
      <c r="H3060" s="79">
        <f>(E3060/1000)*(F3060/1000)*(G3060/1000)*7850</f>
        <v/>
      </c>
      <c r="I3060" s="43" t="n">
        <v>3</v>
      </c>
      <c r="J3060" s="80">
        <f>H3060*I3060</f>
        <v/>
      </c>
      <c r="K3060" s="43" t="inlineStr">
        <is>
          <t>来源页216</t>
        </is>
      </c>
      <c r="L3060" s="43">
        <f>A3060</f>
        <v/>
      </c>
      <c r="M3060" s="81" t="n"/>
      <c r="N3060" s="81" t="n"/>
      <c r="O3060" s="81" t="n"/>
      <c r="P3060" s="81" t="n"/>
      <c r="Q3060" s="81" t="n"/>
      <c r="R3060" s="81" t="n"/>
      <c r="S3060" s="81" t="n"/>
      <c r="T3060" s="81" t="n"/>
      <c r="U3060" s="81" t="n"/>
      <c r="V3060" s="81" t="n"/>
      <c r="W3060" s="43" t="n"/>
    </row>
    <row r="3061">
      <c r="A3061" s="43" t="inlineStr">
        <is>
          <t>N15a</t>
        </is>
      </c>
      <c r="B3061" s="43" t="inlineStr"/>
      <c r="C3061" s="43" t="inlineStr">
        <is>
          <t>节段19</t>
        </is>
      </c>
      <c r="D3061" s="43" t="inlineStr">
        <is>
          <t>Q355D</t>
        </is>
      </c>
      <c r="E3061" s="43" t="n">
        <v>1576</v>
      </c>
      <c r="F3061" s="43" t="n">
        <v>1200</v>
      </c>
      <c r="G3061" s="43" t="n">
        <v>16</v>
      </c>
      <c r="H3061" s="79">
        <f>(E3061/1000)*(F3061/1000)*(G3061/1000)*7850</f>
        <v/>
      </c>
      <c r="I3061" s="43" t="n">
        <v>2</v>
      </c>
      <c r="J3061" s="80">
        <f>H3061*I3061</f>
        <v/>
      </c>
      <c r="K3061" s="43" t="inlineStr">
        <is>
          <t>来源页216</t>
        </is>
      </c>
      <c r="L3061" s="43">
        <f>A3061</f>
        <v/>
      </c>
      <c r="M3061" s="81" t="n"/>
      <c r="N3061" s="81" t="n"/>
      <c r="O3061" s="81" t="n"/>
      <c r="P3061" s="81" t="n"/>
      <c r="Q3061" s="81" t="n"/>
      <c r="R3061" s="81" t="n"/>
      <c r="S3061" s="81" t="n"/>
      <c r="T3061" s="81" t="n"/>
      <c r="U3061" s="81" t="n"/>
      <c r="V3061" s="81" t="n"/>
      <c r="W3061" s="43" t="n"/>
    </row>
    <row r="3062">
      <c r="A3062" s="43" t="inlineStr">
        <is>
          <t>N15 ‘</t>
        </is>
      </c>
      <c r="B3062" s="43" t="inlineStr"/>
      <c r="C3062" s="43" t="inlineStr">
        <is>
          <t>节段19</t>
        </is>
      </c>
      <c r="D3062" s="43" t="inlineStr">
        <is>
          <t>Q355D</t>
        </is>
      </c>
      <c r="E3062" s="43" t="n">
        <v>1657</v>
      </c>
      <c r="F3062" s="43" t="n">
        <v>200</v>
      </c>
      <c r="G3062" s="43" t="n">
        <v>16</v>
      </c>
      <c r="H3062" s="79">
        <f>(E3062/1000)*(F3062/1000)*(G3062/1000)*7850</f>
        <v/>
      </c>
      <c r="I3062" s="43" t="n">
        <v>3</v>
      </c>
      <c r="J3062" s="80">
        <f>H3062*I3062</f>
        <v/>
      </c>
      <c r="K3062" s="43" t="inlineStr">
        <is>
          <t>来源页216</t>
        </is>
      </c>
      <c r="L3062" s="43">
        <f>A3062</f>
        <v/>
      </c>
      <c r="M3062" s="81" t="n"/>
      <c r="N3062" s="81" t="n"/>
      <c r="O3062" s="81" t="n"/>
      <c r="P3062" s="81" t="n"/>
      <c r="Q3062" s="81" t="n"/>
      <c r="R3062" s="81" t="n"/>
      <c r="S3062" s="81" t="n"/>
      <c r="T3062" s="81" t="n"/>
      <c r="U3062" s="81" t="n"/>
      <c r="V3062" s="81" t="n"/>
      <c r="W3062" s="43" t="n"/>
    </row>
    <row r="3063">
      <c r="A3063" s="43" t="inlineStr">
        <is>
          <t>N15b</t>
        </is>
      </c>
      <c r="B3063" s="43" t="inlineStr"/>
      <c r="C3063" s="43" t="inlineStr">
        <is>
          <t>节段19</t>
        </is>
      </c>
      <c r="D3063" s="43" t="inlineStr">
        <is>
          <t>Q355D</t>
        </is>
      </c>
      <c r="E3063" s="43" t="n">
        <v>1782</v>
      </c>
      <c r="F3063" s="43" t="n">
        <v>40</v>
      </c>
      <c r="G3063" s="43" t="n">
        <v>4</v>
      </c>
      <c r="H3063" s="79">
        <f>(E3063/1000)*(F3063/1000)*(G3063/1000)*7850</f>
        <v/>
      </c>
      <c r="I3063" s="43" t="n">
        <v>4</v>
      </c>
      <c r="J3063" s="80">
        <f>H3063*I3063</f>
        <v/>
      </c>
      <c r="K3063" s="43" t="inlineStr">
        <is>
          <t>来源页216</t>
        </is>
      </c>
      <c r="L3063" s="43">
        <f>A3063</f>
        <v/>
      </c>
      <c r="M3063" s="81" t="n"/>
      <c r="N3063" s="81" t="n"/>
      <c r="O3063" s="81" t="n"/>
      <c r="P3063" s="81" t="n"/>
      <c r="Q3063" s="81" t="n"/>
      <c r="R3063" s="81" t="n"/>
      <c r="S3063" s="81" t="n"/>
      <c r="T3063" s="81" t="n"/>
      <c r="U3063" s="81" t="n"/>
      <c r="V3063" s="81" t="n"/>
      <c r="W3063" s="43" t="n"/>
    </row>
    <row r="3064">
      <c r="A3064" s="43" t="inlineStr">
        <is>
          <t>N15c</t>
        </is>
      </c>
      <c r="B3064" s="43" t="inlineStr"/>
      <c r="C3064" s="43" t="inlineStr">
        <is>
          <t>节段19</t>
        </is>
      </c>
      <c r="D3064" s="43" t="inlineStr">
        <is>
          <t>Q355D</t>
        </is>
      </c>
      <c r="E3064" s="43" t="n">
        <v>600</v>
      </c>
      <c r="F3064" s="43" t="n">
        <v>400</v>
      </c>
      <c r="G3064" s="43" t="n">
        <v>16</v>
      </c>
      <c r="H3064" s="79">
        <f>(E3064/1000)*(F3064/1000)*(G3064/1000)*7850</f>
        <v/>
      </c>
      <c r="I3064" s="43" t="n">
        <v>4</v>
      </c>
      <c r="J3064" s="80">
        <f>H3064*I3064</f>
        <v/>
      </c>
      <c r="K3064" s="43" t="inlineStr">
        <is>
          <t>来源页216</t>
        </is>
      </c>
      <c r="L3064" s="43">
        <f>A3064</f>
        <v/>
      </c>
      <c r="M3064" s="81" t="n"/>
      <c r="N3064" s="81" t="n"/>
      <c r="O3064" s="81" t="n"/>
      <c r="P3064" s="81" t="n"/>
      <c r="Q3064" s="81" t="n"/>
      <c r="R3064" s="81" t="n"/>
      <c r="S3064" s="81" t="n"/>
      <c r="T3064" s="81" t="n"/>
      <c r="U3064" s="81" t="n"/>
      <c r="V3064" s="81" t="n"/>
      <c r="W3064" s="43" t="n"/>
    </row>
    <row r="3065">
      <c r="A3065" s="43" t="inlineStr">
        <is>
          <t>N21a</t>
        </is>
      </c>
      <c r="B3065" s="43" t="inlineStr"/>
      <c r="C3065" s="43" t="inlineStr">
        <is>
          <t>节段19</t>
        </is>
      </c>
      <c r="D3065" s="43" t="inlineStr">
        <is>
          <t>Q355D</t>
        </is>
      </c>
      <c r="E3065" s="43" t="n">
        <v>7900</v>
      </c>
      <c r="F3065" s="43" t="n">
        <v>1850</v>
      </c>
      <c r="G3065" s="43" t="n">
        <v>20</v>
      </c>
      <c r="H3065" s="79">
        <f>(E3065/1000)*(F3065/1000)*(G3065/1000)*7850</f>
        <v/>
      </c>
      <c r="I3065" s="43" t="n">
        <v>1</v>
      </c>
      <c r="J3065" s="80">
        <f>H3065*I3065</f>
        <v/>
      </c>
      <c r="K3065" s="43" t="inlineStr">
        <is>
          <t>来源页216</t>
        </is>
      </c>
      <c r="L3065" s="43">
        <f>A3065</f>
        <v/>
      </c>
      <c r="M3065" s="81" t="n"/>
      <c r="N3065" s="81" t="n"/>
      <c r="O3065" s="81" t="n"/>
      <c r="P3065" s="81" t="n"/>
      <c r="Q3065" s="81" t="n"/>
      <c r="R3065" s="81" t="n"/>
      <c r="S3065" s="81" t="n"/>
      <c r="T3065" s="81" t="n"/>
      <c r="U3065" s="81" t="n"/>
      <c r="V3065" s="81" t="n"/>
      <c r="W3065" s="43" t="n"/>
    </row>
    <row r="3066">
      <c r="A3066" s="43" t="inlineStr">
        <is>
          <t>N22a</t>
        </is>
      </c>
      <c r="B3066" s="43" t="inlineStr"/>
      <c r="C3066" s="43" t="inlineStr">
        <is>
          <t>节段19</t>
        </is>
      </c>
      <c r="D3066" s="43" t="inlineStr">
        <is>
          <t>Q355D</t>
        </is>
      </c>
      <c r="E3066" s="43" t="n"/>
      <c r="F3066" s="43" t="n"/>
      <c r="G3066" s="43" t="n">
        <v>20</v>
      </c>
      <c r="H3066" s="79">
        <f>(E3066/1000)*(F3066/1000)*(G3066/1000)*7850</f>
        <v/>
      </c>
      <c r="I3066" s="43" t="n">
        <v>1</v>
      </c>
      <c r="J3066" s="80">
        <f>H3066*I3066</f>
        <v/>
      </c>
      <c r="K3066" s="43" t="inlineStr">
        <is>
          <t>来源页216</t>
        </is>
      </c>
      <c r="L3066" s="43">
        <f>A3066</f>
        <v/>
      </c>
      <c r="M3066" s="81" t="n"/>
      <c r="N3066" s="81" t="n"/>
      <c r="O3066" s="81" t="n"/>
      <c r="P3066" s="81" t="n"/>
      <c r="Q3066" s="81" t="n"/>
      <c r="R3066" s="81" t="n"/>
      <c r="S3066" s="81" t="n"/>
      <c r="T3066" s="81" t="n"/>
      <c r="U3066" s="81" t="n"/>
      <c r="V3066" s="81" t="n"/>
      <c r="W3066" s="43" t="n"/>
    </row>
    <row r="3067">
      <c r="A3067" s="43" t="inlineStr">
        <is>
          <t>N22b</t>
        </is>
      </c>
      <c r="B3067" s="43" t="inlineStr"/>
      <c r="C3067" s="43" t="inlineStr">
        <is>
          <t>节段19</t>
        </is>
      </c>
      <c r="D3067" s="43" t="inlineStr">
        <is>
          <t>Q355D</t>
        </is>
      </c>
      <c r="E3067" s="43" t="n"/>
      <c r="F3067" s="43" t="n"/>
      <c r="G3067" s="43" t="n">
        <v>20</v>
      </c>
      <c r="H3067" s="79">
        <f>(E3067/1000)*(F3067/1000)*(G3067/1000)*7850</f>
        <v/>
      </c>
      <c r="I3067" s="43" t="n">
        <v>1</v>
      </c>
      <c r="J3067" s="80">
        <f>H3067*I3067</f>
        <v/>
      </c>
      <c r="K3067" s="43" t="inlineStr">
        <is>
          <t>来源页216</t>
        </is>
      </c>
      <c r="L3067" s="43">
        <f>A3067</f>
        <v/>
      </c>
      <c r="M3067" s="81" t="n"/>
      <c r="N3067" s="81" t="n"/>
      <c r="O3067" s="81" t="n"/>
      <c r="P3067" s="81" t="n"/>
      <c r="Q3067" s="81" t="n"/>
      <c r="R3067" s="81" t="n"/>
      <c r="S3067" s="81" t="n"/>
      <c r="T3067" s="81" t="n"/>
      <c r="U3067" s="81" t="n"/>
      <c r="V3067" s="81" t="n"/>
      <c r="W3067" s="43" t="n"/>
    </row>
    <row r="3068">
      <c r="A3068" s="43" t="inlineStr">
        <is>
          <t>N23</t>
        </is>
      </c>
      <c r="B3068" s="43" t="inlineStr"/>
      <c r="C3068" s="43" t="inlineStr">
        <is>
          <t>节段19</t>
        </is>
      </c>
      <c r="D3068" s="43" t="inlineStr">
        <is>
          <t>Q355D</t>
        </is>
      </c>
      <c r="E3068" s="43" t="n"/>
      <c r="F3068" s="43" t="n"/>
      <c r="G3068" s="43" t="n">
        <v>40</v>
      </c>
      <c r="H3068" s="79">
        <f>(E3068/1000)*(F3068/1000)*(G3068/1000)*7850</f>
        <v/>
      </c>
      <c r="I3068" s="43" t="n">
        <v>2</v>
      </c>
      <c r="J3068" s="80">
        <f>H3068*I3068</f>
        <v/>
      </c>
      <c r="K3068" s="43" t="inlineStr">
        <is>
          <t>Z35钢；来源页216</t>
        </is>
      </c>
      <c r="L3068" s="43">
        <f>A3068</f>
        <v/>
      </c>
      <c r="M3068" s="81" t="n"/>
      <c r="N3068" s="81" t="n"/>
      <c r="O3068" s="81" t="n"/>
      <c r="P3068" s="81" t="n"/>
      <c r="Q3068" s="81" t="n"/>
      <c r="R3068" s="81" t="n"/>
      <c r="S3068" s="81" t="n"/>
      <c r="T3068" s="81" t="n"/>
      <c r="U3068" s="81" t="n"/>
      <c r="V3068" s="81" t="n"/>
      <c r="W3068" s="43" t="n"/>
    </row>
    <row r="3069">
      <c r="A3069" s="43" t="inlineStr">
        <is>
          <t>N24</t>
        </is>
      </c>
      <c r="B3069" s="43" t="inlineStr"/>
      <c r="C3069" s="43" t="inlineStr">
        <is>
          <t>节段19</t>
        </is>
      </c>
      <c r="D3069" s="43" t="inlineStr">
        <is>
          <t>Q355D</t>
        </is>
      </c>
      <c r="E3069" s="43" t="n">
        <v>7300</v>
      </c>
      <c r="F3069" s="43" t="n">
        <v>1470</v>
      </c>
      <c r="G3069" s="43" t="n">
        <v>24</v>
      </c>
      <c r="H3069" s="79">
        <f>(E3069/1000)*(F3069/1000)*(G3069/1000)*7850</f>
        <v/>
      </c>
      <c r="I3069" s="43" t="n">
        <v>2</v>
      </c>
      <c r="J3069" s="80">
        <f>H3069*I3069</f>
        <v/>
      </c>
      <c r="K3069" s="43" t="inlineStr">
        <is>
          <t>来源页216</t>
        </is>
      </c>
      <c r="L3069" s="43">
        <f>A3069</f>
        <v/>
      </c>
      <c r="M3069" s="81" t="n"/>
      <c r="N3069" s="81" t="n"/>
      <c r="O3069" s="81" t="n"/>
      <c r="P3069" s="81" t="n"/>
      <c r="Q3069" s="81" t="n"/>
      <c r="R3069" s="81" t="n"/>
      <c r="S3069" s="81" t="n"/>
      <c r="T3069" s="81" t="n"/>
      <c r="U3069" s="81" t="n"/>
      <c r="V3069" s="81" t="n"/>
      <c r="W3069" s="43" t="n"/>
    </row>
    <row r="3070">
      <c r="A3070" s="43" t="inlineStr">
        <is>
          <t>N25</t>
        </is>
      </c>
      <c r="B3070" s="43" t="inlineStr"/>
      <c r="C3070" s="43" t="inlineStr">
        <is>
          <t>节段19</t>
        </is>
      </c>
      <c r="D3070" s="43" t="inlineStr">
        <is>
          <t>Q355D</t>
        </is>
      </c>
      <c r="E3070" s="43" t="n">
        <v>1450</v>
      </c>
      <c r="F3070" s="43" t="n">
        <v>1200</v>
      </c>
      <c r="G3070" s="43" t="n">
        <v>16</v>
      </c>
      <c r="H3070" s="79">
        <f>(E3070/1000)*(F3070/1000)*(G3070/1000)*7850</f>
        <v/>
      </c>
      <c r="I3070" s="43" t="n">
        <v>3</v>
      </c>
      <c r="J3070" s="80">
        <f>H3070*I3070</f>
        <v/>
      </c>
      <c r="K3070" s="43" t="inlineStr">
        <is>
          <t>来源页216</t>
        </is>
      </c>
      <c r="L3070" s="43">
        <f>A3070</f>
        <v/>
      </c>
      <c r="M3070" s="81" t="n"/>
      <c r="N3070" s="81" t="n"/>
      <c r="O3070" s="81" t="n"/>
      <c r="P3070" s="81" t="n"/>
      <c r="Q3070" s="81" t="n"/>
      <c r="R3070" s="81" t="n"/>
      <c r="S3070" s="81" t="n"/>
      <c r="T3070" s="81" t="n"/>
      <c r="U3070" s="81" t="n"/>
      <c r="V3070" s="81" t="n"/>
      <c r="W3070" s="43" t="n"/>
    </row>
    <row r="3071">
      <c r="A3071" s="43" t="inlineStr">
        <is>
          <t>N25a</t>
        </is>
      </c>
      <c r="B3071" s="43" t="inlineStr"/>
      <c r="C3071" s="43" t="inlineStr">
        <is>
          <t>节段19</t>
        </is>
      </c>
      <c r="D3071" s="43" t="inlineStr">
        <is>
          <t>Q355D</t>
        </is>
      </c>
      <c r="E3071" s="43" t="n">
        <v>1450</v>
      </c>
      <c r="F3071" s="43" t="n">
        <v>1200</v>
      </c>
      <c r="G3071" s="43" t="n">
        <v>16</v>
      </c>
      <c r="H3071" s="79">
        <f>(E3071/1000)*(F3071/1000)*(G3071/1000)*7850</f>
        <v/>
      </c>
      <c r="I3071" s="43" t="n">
        <v>2</v>
      </c>
      <c r="J3071" s="80">
        <f>H3071*I3071</f>
        <v/>
      </c>
      <c r="K3071" s="43" t="inlineStr">
        <is>
          <t>来源页216</t>
        </is>
      </c>
      <c r="L3071" s="43">
        <f>A3071</f>
        <v/>
      </c>
      <c r="M3071" s="81" t="n"/>
      <c r="N3071" s="81" t="n"/>
      <c r="O3071" s="81" t="n"/>
      <c r="P3071" s="81" t="n"/>
      <c r="Q3071" s="81" t="n"/>
      <c r="R3071" s="81" t="n"/>
      <c r="S3071" s="81" t="n"/>
      <c r="T3071" s="81" t="n"/>
      <c r="U3071" s="81" t="n"/>
      <c r="V3071" s="81" t="n"/>
      <c r="W3071" s="43" t="n"/>
    </row>
    <row r="3072">
      <c r="A3072" s="43" t="inlineStr">
        <is>
          <t>N25'</t>
        </is>
      </c>
      <c r="B3072" s="43" t="inlineStr"/>
      <c r="C3072" s="43" t="inlineStr">
        <is>
          <t>节段19</t>
        </is>
      </c>
      <c r="D3072" s="43" t="inlineStr">
        <is>
          <t>Q355D</t>
        </is>
      </c>
      <c r="E3072" s="43" t="n">
        <v>1657</v>
      </c>
      <c r="F3072" s="43" t="n">
        <v>200</v>
      </c>
      <c r="G3072" s="43" t="n">
        <v>16</v>
      </c>
      <c r="H3072" s="79">
        <f>(E3072/1000)*(F3072/1000)*(G3072/1000)*7850</f>
        <v/>
      </c>
      <c r="I3072" s="43" t="n">
        <v>3</v>
      </c>
      <c r="J3072" s="80">
        <f>H3072*I3072</f>
        <v/>
      </c>
      <c r="K3072" s="43" t="inlineStr">
        <is>
          <t>来源页216</t>
        </is>
      </c>
      <c r="L3072" s="43">
        <f>A3072</f>
        <v/>
      </c>
      <c r="M3072" s="81" t="n"/>
      <c r="N3072" s="81" t="n"/>
      <c r="O3072" s="81" t="n"/>
      <c r="P3072" s="81" t="n"/>
      <c r="Q3072" s="81" t="n"/>
      <c r="R3072" s="81" t="n"/>
      <c r="S3072" s="81" t="n"/>
      <c r="T3072" s="81" t="n"/>
      <c r="U3072" s="81" t="n"/>
      <c r="V3072" s="81" t="n"/>
      <c r="W3072" s="43" t="n"/>
    </row>
    <row r="3073">
      <c r="A3073" s="43" t="inlineStr">
        <is>
          <t>N26a</t>
        </is>
      </c>
      <c r="B3073" s="43" t="inlineStr"/>
      <c r="C3073" s="43" t="inlineStr">
        <is>
          <t>节段19</t>
        </is>
      </c>
      <c r="D3073" s="43" t="inlineStr">
        <is>
          <t>Q355D</t>
        </is>
      </c>
      <c r="E3073" s="43" t="n">
        <v>7900</v>
      </c>
      <c r="F3073" s="43" t="n">
        <v>320</v>
      </c>
      <c r="G3073" s="43" t="n">
        <v>32</v>
      </c>
      <c r="H3073" s="79">
        <f>(E3073/1000)*(F3073/1000)*(G3073/1000)*7850</f>
        <v/>
      </c>
      <c r="I3073" s="43" t="n">
        <v>4</v>
      </c>
      <c r="J3073" s="80">
        <f>H3073*I3073</f>
        <v/>
      </c>
      <c r="K3073" s="43" t="inlineStr">
        <is>
          <t>来源页216</t>
        </is>
      </c>
      <c r="L3073" s="43">
        <f>A3073</f>
        <v/>
      </c>
      <c r="M3073" s="81" t="n"/>
      <c r="N3073" s="81" t="n"/>
      <c r="O3073" s="81" t="n"/>
      <c r="P3073" s="81" t="n"/>
      <c r="Q3073" s="81" t="n"/>
      <c r="R3073" s="81" t="n"/>
      <c r="S3073" s="81" t="n"/>
      <c r="T3073" s="81" t="n"/>
      <c r="U3073" s="81" t="n"/>
      <c r="V3073" s="81" t="n"/>
      <c r="W3073" s="43" t="n"/>
    </row>
    <row r="3074">
      <c r="A3074" s="43" t="inlineStr">
        <is>
          <t>N26b</t>
        </is>
      </c>
      <c r="B3074" s="43" t="inlineStr"/>
      <c r="C3074" s="43" t="inlineStr">
        <is>
          <t>节段19</t>
        </is>
      </c>
      <c r="D3074" s="43" t="inlineStr">
        <is>
          <t>Q355D</t>
        </is>
      </c>
      <c r="E3074" s="43" t="n">
        <v>7100</v>
      </c>
      <c r="F3074" s="43" t="n">
        <v>240</v>
      </c>
      <c r="G3074" s="43" t="n">
        <v>20</v>
      </c>
      <c r="H3074" s="79">
        <f>(E3074/1000)*(F3074/1000)*(G3074/1000)*7850</f>
        <v/>
      </c>
      <c r="I3074" s="43" t="n">
        <v>4</v>
      </c>
      <c r="J3074" s="80">
        <f>H3074*I3074</f>
        <v/>
      </c>
      <c r="K3074" s="43" t="inlineStr">
        <is>
          <t>来源页216</t>
        </is>
      </c>
      <c r="L3074" s="43">
        <f>A3074</f>
        <v/>
      </c>
      <c r="M3074" s="81" t="n"/>
      <c r="N3074" s="81" t="n"/>
      <c r="O3074" s="81" t="n"/>
      <c r="P3074" s="81" t="n"/>
      <c r="Q3074" s="81" t="n"/>
      <c r="R3074" s="81" t="n"/>
      <c r="S3074" s="81" t="n"/>
      <c r="T3074" s="81" t="n"/>
      <c r="U3074" s="81" t="n"/>
      <c r="V3074" s="81" t="n"/>
      <c r="W3074" s="43" t="n"/>
    </row>
    <row r="3075">
      <c r="A3075" s="43" t="inlineStr">
        <is>
          <t>N26c</t>
        </is>
      </c>
      <c r="B3075" s="43" t="inlineStr"/>
      <c r="C3075" s="43" t="inlineStr">
        <is>
          <t>节段19</t>
        </is>
      </c>
      <c r="D3075" s="43" t="inlineStr">
        <is>
          <t>Q355D</t>
        </is>
      </c>
      <c r="E3075" s="43" t="n">
        <v>15000</v>
      </c>
      <c r="F3075" s="43" t="n">
        <v>170</v>
      </c>
      <c r="G3075" s="43" t="n">
        <v>14</v>
      </c>
      <c r="H3075" s="79">
        <f>(E3075/1000)*(F3075/1000)*(G3075/1000)*7850</f>
        <v/>
      </c>
      <c r="I3075" s="43" t="n">
        <v>1</v>
      </c>
      <c r="J3075" s="80">
        <f>H3075*I3075</f>
        <v/>
      </c>
      <c r="K3075" s="43" t="inlineStr">
        <is>
          <t>来源页216</t>
        </is>
      </c>
      <c r="L3075" s="43">
        <f>A3075</f>
        <v/>
      </c>
      <c r="M3075" s="81" t="n"/>
      <c r="N3075" s="81" t="n"/>
      <c r="O3075" s="81" t="n"/>
      <c r="P3075" s="81" t="n"/>
      <c r="Q3075" s="81" t="n"/>
      <c r="R3075" s="81" t="n"/>
      <c r="S3075" s="81" t="n"/>
      <c r="T3075" s="81" t="n"/>
      <c r="U3075" s="81" t="n"/>
      <c r="V3075" s="81" t="n"/>
      <c r="W3075" s="43" t="n"/>
    </row>
    <row r="3076">
      <c r="A3076" s="43" t="inlineStr">
        <is>
          <t>N31</t>
        </is>
      </c>
      <c r="B3076" s="43" t="inlineStr"/>
      <c r="C3076" s="43" t="inlineStr">
        <is>
          <t>节段19</t>
        </is>
      </c>
      <c r="D3076" s="43" t="inlineStr">
        <is>
          <t>Q355D</t>
        </is>
      </c>
      <c r="E3076" s="43" t="n">
        <v>11418</v>
      </c>
      <c r="F3076" s="43" t="n">
        <v>1200</v>
      </c>
      <c r="G3076" s="43" t="n">
        <v>36</v>
      </c>
      <c r="H3076" s="79">
        <f>(E3076/1000)*(F3076/1000)*(G3076/1000)*7850</f>
        <v/>
      </c>
      <c r="I3076" s="43" t="n">
        <v>1</v>
      </c>
      <c r="J3076" s="80">
        <f>H3076*I3076</f>
        <v/>
      </c>
      <c r="K3076" s="43" t="inlineStr">
        <is>
          <t>来源页216</t>
        </is>
      </c>
      <c r="L3076" s="43">
        <f>A3076</f>
        <v/>
      </c>
      <c r="M3076" s="81" t="n"/>
      <c r="N3076" s="81" t="n"/>
      <c r="O3076" s="81" t="n"/>
      <c r="P3076" s="81" t="n"/>
      <c r="Q3076" s="81" t="n"/>
      <c r="R3076" s="81" t="n"/>
      <c r="S3076" s="81" t="n"/>
      <c r="T3076" s="81" t="n"/>
      <c r="U3076" s="81" t="n"/>
      <c r="V3076" s="81" t="n"/>
      <c r="W3076" s="43" t="n"/>
    </row>
    <row r="3077">
      <c r="A3077" s="43" t="inlineStr">
        <is>
          <t>N32</t>
        </is>
      </c>
      <c r="B3077" s="43" t="inlineStr"/>
      <c r="C3077" s="43" t="inlineStr">
        <is>
          <t>节段19</t>
        </is>
      </c>
      <c r="D3077" s="43" t="inlineStr">
        <is>
          <t>Q355D</t>
        </is>
      </c>
      <c r="E3077" s="43" t="n">
        <v>7218</v>
      </c>
      <c r="F3077" s="43" t="n">
        <v>1360</v>
      </c>
      <c r="G3077" s="43" t="n">
        <v>36</v>
      </c>
      <c r="H3077" s="79">
        <f>(E3077/1000)*(F3077/1000)*(G3077/1000)*7850</f>
        <v/>
      </c>
      <c r="I3077" s="43" t="n">
        <v>2</v>
      </c>
      <c r="J3077" s="80">
        <f>H3077*I3077</f>
        <v/>
      </c>
      <c r="K3077" s="43" t="inlineStr">
        <is>
          <t>来源页216</t>
        </is>
      </c>
      <c r="L3077" s="43">
        <f>A3077</f>
        <v/>
      </c>
      <c r="M3077" s="81" t="n"/>
      <c r="N3077" s="81" t="n"/>
      <c r="O3077" s="81" t="n"/>
      <c r="P3077" s="81" t="n"/>
      <c r="Q3077" s="81" t="n"/>
      <c r="R3077" s="81" t="n"/>
      <c r="S3077" s="81" t="n"/>
      <c r="T3077" s="81" t="n"/>
      <c r="U3077" s="81" t="n"/>
      <c r="V3077" s="81" t="n"/>
      <c r="W3077" s="43" t="n"/>
    </row>
    <row r="3078">
      <c r="A3078" s="43" t="inlineStr">
        <is>
          <t>N33</t>
        </is>
      </c>
      <c r="B3078" s="43" t="inlineStr"/>
      <c r="C3078" s="43" t="inlineStr">
        <is>
          <t>节段19</t>
        </is>
      </c>
      <c r="D3078" s="43" t="inlineStr">
        <is>
          <t>Q355D</t>
        </is>
      </c>
      <c r="E3078" s="43" t="n">
        <v>7218</v>
      </c>
      <c r="F3078" s="43" t="n">
        <v>320</v>
      </c>
      <c r="G3078" s="43" t="n">
        <v>32</v>
      </c>
      <c r="H3078" s="79">
        <f>(E3078/1000)*(F3078/1000)*(G3078/1000)*7850</f>
        <v/>
      </c>
      <c r="I3078" s="43" t="n">
        <v>2</v>
      </c>
      <c r="J3078" s="80">
        <f>H3078*I3078</f>
        <v/>
      </c>
      <c r="K3078" s="43" t="inlineStr">
        <is>
          <t>来源页216</t>
        </is>
      </c>
      <c r="L3078" s="43">
        <f>A3078</f>
        <v/>
      </c>
      <c r="M3078" s="81" t="n"/>
      <c r="N3078" s="81" t="n"/>
      <c r="O3078" s="81" t="n"/>
      <c r="P3078" s="81" t="n"/>
      <c r="Q3078" s="81" t="n"/>
      <c r="R3078" s="81" t="n"/>
      <c r="S3078" s="81" t="n"/>
      <c r="T3078" s="81" t="n"/>
      <c r="U3078" s="81" t="n"/>
      <c r="V3078" s="81" t="n"/>
      <c r="W3078" s="43" t="n"/>
    </row>
    <row r="3079">
      <c r="A3079" s="43" t="inlineStr">
        <is>
          <t>N33a</t>
        </is>
      </c>
      <c r="B3079" s="43" t="inlineStr"/>
      <c r="C3079" s="43" t="inlineStr">
        <is>
          <t>节段19</t>
        </is>
      </c>
      <c r="D3079" s="43" t="inlineStr">
        <is>
          <t>Q355D</t>
        </is>
      </c>
      <c r="E3079" s="43" t="n">
        <v>10018</v>
      </c>
      <c r="F3079" s="43" t="n">
        <v>320</v>
      </c>
      <c r="G3079" s="43" t="n">
        <v>32</v>
      </c>
      <c r="H3079" s="79">
        <f>(E3079/1000)*(F3079/1000)*(G3079/1000)*7850</f>
        <v/>
      </c>
      <c r="I3079" s="43" t="n">
        <v>1</v>
      </c>
      <c r="J3079" s="80">
        <f>H3079*I3079</f>
        <v/>
      </c>
      <c r="K3079" s="43" t="inlineStr">
        <is>
          <t>来源页216</t>
        </is>
      </c>
      <c r="L3079" s="43">
        <f>A3079</f>
        <v/>
      </c>
      <c r="M3079" s="81" t="n"/>
      <c r="N3079" s="81" t="n"/>
      <c r="O3079" s="81" t="n"/>
      <c r="P3079" s="81" t="n"/>
      <c r="Q3079" s="81" t="n"/>
      <c r="R3079" s="81" t="n"/>
      <c r="S3079" s="81" t="n"/>
      <c r="T3079" s="81" t="n"/>
      <c r="U3079" s="81" t="n"/>
      <c r="V3079" s="81" t="n"/>
      <c r="W3079" s="43" t="n"/>
    </row>
    <row r="3080">
      <c r="A3080" s="43" t="inlineStr">
        <is>
          <t>N33b</t>
        </is>
      </c>
      <c r="B3080" s="43" t="inlineStr"/>
      <c r="C3080" s="43" t="inlineStr">
        <is>
          <t>节段19</t>
        </is>
      </c>
      <c r="D3080" s="43" t="inlineStr">
        <is>
          <t>Q355D</t>
        </is>
      </c>
      <c r="E3080" s="43" t="n">
        <v>10218</v>
      </c>
      <c r="F3080" s="43" t="n">
        <v>320</v>
      </c>
      <c r="G3080" s="43" t="n">
        <v>32</v>
      </c>
      <c r="H3080" s="79">
        <f>(E3080/1000)*(F3080/1000)*(G3080/1000)*7850</f>
        <v/>
      </c>
      <c r="I3080" s="43" t="n">
        <v>1</v>
      </c>
      <c r="J3080" s="80">
        <f>H3080*I3080</f>
        <v/>
      </c>
      <c r="K3080" s="43" t="inlineStr">
        <is>
          <t>来源页216</t>
        </is>
      </c>
      <c r="L3080" s="43">
        <f>A3080</f>
        <v/>
      </c>
      <c r="M3080" s="81" t="n"/>
      <c r="N3080" s="81" t="n"/>
      <c r="O3080" s="81" t="n"/>
      <c r="P3080" s="81" t="n"/>
      <c r="Q3080" s="81" t="n"/>
      <c r="R3080" s="81" t="n"/>
      <c r="S3080" s="81" t="n"/>
      <c r="T3080" s="81" t="n"/>
      <c r="U3080" s="81" t="n"/>
      <c r="V3080" s="81" t="n"/>
      <c r="W3080" s="43" t="n"/>
    </row>
    <row r="3081">
      <c r="A3081" s="43" t="inlineStr">
        <is>
          <t>N34</t>
        </is>
      </c>
      <c r="B3081" s="43" t="inlineStr"/>
      <c r="C3081" s="43" t="inlineStr">
        <is>
          <t>节段19</t>
        </is>
      </c>
      <c r="D3081" s="43" t="inlineStr">
        <is>
          <t>Q355D</t>
        </is>
      </c>
      <c r="E3081" s="43" t="n">
        <v>1200</v>
      </c>
      <c r="F3081" s="43" t="n">
        <v>1200</v>
      </c>
      <c r="G3081" s="43" t="n">
        <v>16</v>
      </c>
      <c r="H3081" s="79">
        <f>(E3081/1000)*(F3081/1000)*(G3081/1000)*7850</f>
        <v/>
      </c>
      <c r="I3081" s="43" t="n">
        <v>3</v>
      </c>
      <c r="J3081" s="80">
        <f>H3081*I3081</f>
        <v/>
      </c>
      <c r="K3081" s="43" t="inlineStr">
        <is>
          <t>来源页216</t>
        </is>
      </c>
      <c r="L3081" s="43">
        <f>A3081</f>
        <v/>
      </c>
      <c r="M3081" s="81" t="n"/>
      <c r="N3081" s="81" t="n"/>
      <c r="O3081" s="81" t="n"/>
      <c r="P3081" s="81" t="n"/>
      <c r="Q3081" s="81" t="n"/>
      <c r="R3081" s="81" t="n"/>
      <c r="S3081" s="81" t="n"/>
      <c r="T3081" s="81" t="n"/>
      <c r="U3081" s="81" t="n"/>
      <c r="V3081" s="81" t="n"/>
      <c r="W3081" s="43" t="n"/>
    </row>
    <row r="3082">
      <c r="A3082" s="43" t="inlineStr">
        <is>
          <t>N41</t>
        </is>
      </c>
      <c r="B3082" s="43" t="inlineStr"/>
      <c r="C3082" s="43" t="inlineStr">
        <is>
          <t>节段19</t>
        </is>
      </c>
      <c r="D3082" s="43" t="inlineStr">
        <is>
          <t>Q355D</t>
        </is>
      </c>
      <c r="E3082" s="43" t="n">
        <v>3640</v>
      </c>
      <c r="F3082" s="43" t="n">
        <v>900</v>
      </c>
      <c r="G3082" s="43" t="n">
        <v>36</v>
      </c>
      <c r="H3082" s="79">
        <f>(E3082/1000)*(F3082/1000)*(G3082/1000)*7850</f>
        <v/>
      </c>
      <c r="I3082" s="43" t="n">
        <v>2</v>
      </c>
      <c r="J3082" s="80">
        <f>H3082*I3082</f>
        <v/>
      </c>
      <c r="K3082" s="43" t="inlineStr">
        <is>
          <t>来源页216</t>
        </is>
      </c>
      <c r="L3082" s="43">
        <f>A3082</f>
        <v/>
      </c>
      <c r="M3082" s="81" t="n"/>
      <c r="N3082" s="81" t="n"/>
      <c r="O3082" s="81" t="n"/>
      <c r="P3082" s="81" t="n"/>
      <c r="Q3082" s="81" t="n"/>
      <c r="R3082" s="81" t="n"/>
      <c r="S3082" s="81" t="n"/>
      <c r="T3082" s="81" t="n"/>
      <c r="U3082" s="81" t="n"/>
      <c r="V3082" s="81" t="n"/>
      <c r="W3082" s="43" t="n"/>
    </row>
    <row r="3083">
      <c r="A3083" s="43" t="inlineStr">
        <is>
          <t>N42</t>
        </is>
      </c>
      <c r="B3083" s="43" t="inlineStr"/>
      <c r="C3083" s="43" t="inlineStr">
        <is>
          <t>节段19</t>
        </is>
      </c>
      <c r="D3083" s="43" t="inlineStr">
        <is>
          <t>Q355D</t>
        </is>
      </c>
      <c r="E3083" s="43" t="n">
        <v>5940</v>
      </c>
      <c r="F3083" s="43" t="n">
        <v>1200</v>
      </c>
      <c r="G3083" s="43" t="n">
        <v>32</v>
      </c>
      <c r="H3083" s="79">
        <f>(E3083/1000)*(F3083/1000)*(G3083/1000)*7850</f>
        <v/>
      </c>
      <c r="I3083" s="43" t="n">
        <v>1</v>
      </c>
      <c r="J3083" s="80">
        <f>H3083*I3083</f>
        <v/>
      </c>
      <c r="K3083" s="43" t="inlineStr">
        <is>
          <t>来源页216</t>
        </is>
      </c>
      <c r="L3083" s="43">
        <f>A3083</f>
        <v/>
      </c>
      <c r="M3083" s="81" t="n"/>
      <c r="N3083" s="81" t="n"/>
      <c r="O3083" s="81" t="n"/>
      <c r="P3083" s="81" t="n"/>
      <c r="Q3083" s="81" t="n"/>
      <c r="R3083" s="81" t="n"/>
      <c r="S3083" s="81" t="n"/>
      <c r="T3083" s="81" t="n"/>
      <c r="U3083" s="81" t="n"/>
      <c r="V3083" s="81" t="n"/>
      <c r="W3083" s="43" t="n"/>
    </row>
    <row r="3084">
      <c r="A3084" s="43" t="inlineStr">
        <is>
          <t>N43</t>
        </is>
      </c>
      <c r="B3084" s="43" t="inlineStr"/>
      <c r="C3084" s="43" t="inlineStr">
        <is>
          <t>节段19</t>
        </is>
      </c>
      <c r="D3084" s="43" t="inlineStr">
        <is>
          <t>Q355D</t>
        </is>
      </c>
      <c r="E3084" s="43" t="n">
        <v>5240</v>
      </c>
      <c r="F3084" s="43" t="n">
        <v>240</v>
      </c>
      <c r="G3084" s="43" t="n">
        <v>24</v>
      </c>
      <c r="H3084" s="79">
        <f>(E3084/1000)*(F3084/1000)*(G3084/1000)*7850</f>
        <v/>
      </c>
      <c r="I3084" s="43" t="n">
        <v>2</v>
      </c>
      <c r="J3084" s="80">
        <f>H3084*I3084</f>
        <v/>
      </c>
      <c r="K3084" s="43" t="inlineStr">
        <is>
          <t>来源页216</t>
        </is>
      </c>
      <c r="L3084" s="43">
        <f>A3084</f>
        <v/>
      </c>
      <c r="M3084" s="81" t="n"/>
      <c r="N3084" s="81" t="n"/>
      <c r="O3084" s="81" t="n"/>
      <c r="P3084" s="81" t="n"/>
      <c r="Q3084" s="81" t="n"/>
      <c r="R3084" s="81" t="n"/>
      <c r="S3084" s="81" t="n"/>
      <c r="T3084" s="81" t="n"/>
      <c r="U3084" s="81" t="n"/>
      <c r="V3084" s="81" t="n"/>
      <c r="W3084" s="43" t="n"/>
    </row>
    <row r="3085">
      <c r="A3085" s="43" t="inlineStr">
        <is>
          <t>N51a</t>
        </is>
      </c>
      <c r="B3085" s="43" t="inlineStr"/>
      <c r="C3085" s="43" t="inlineStr">
        <is>
          <t>节段19</t>
        </is>
      </c>
      <c r="D3085" s="43" t="inlineStr">
        <is>
          <t>Q355D</t>
        </is>
      </c>
      <c r="E3085" s="43" t="n">
        <v>5429</v>
      </c>
      <c r="F3085" s="43" t="n">
        <v>1200</v>
      </c>
      <c r="G3085" s="43" t="n">
        <v>36</v>
      </c>
      <c r="H3085" s="79">
        <f>(E3085/1000)*(F3085/1000)*(G3085/1000)*7850</f>
        <v/>
      </c>
      <c r="I3085" s="43" t="n">
        <v>1</v>
      </c>
      <c r="J3085" s="80">
        <f>H3085*I3085</f>
        <v/>
      </c>
      <c r="K3085" s="43" t="inlineStr">
        <is>
          <t>来源页216</t>
        </is>
      </c>
      <c r="L3085" s="43">
        <f>A3085</f>
        <v/>
      </c>
      <c r="M3085" s="81" t="n"/>
      <c r="N3085" s="81" t="n"/>
      <c r="O3085" s="81" t="n"/>
      <c r="P3085" s="81" t="n"/>
      <c r="Q3085" s="81" t="n"/>
      <c r="R3085" s="81" t="n"/>
      <c r="S3085" s="81" t="n"/>
      <c r="T3085" s="81" t="n"/>
      <c r="U3085" s="81" t="n"/>
      <c r="V3085" s="81" t="n"/>
      <c r="W3085" s="43" t="n"/>
    </row>
    <row r="3086">
      <c r="A3086" s="43" t="inlineStr">
        <is>
          <t>N52</t>
        </is>
      </c>
      <c r="B3086" s="43" t="inlineStr"/>
      <c r="C3086" s="43" t="inlineStr">
        <is>
          <t>节段19</t>
        </is>
      </c>
      <c r="D3086" s="43" t="inlineStr">
        <is>
          <t>Q355D</t>
        </is>
      </c>
      <c r="E3086" s="43" t="n">
        <v>3629</v>
      </c>
      <c r="F3086" s="43" t="n">
        <v>1360</v>
      </c>
      <c r="G3086" s="43" t="n">
        <v>36</v>
      </c>
      <c r="H3086" s="79">
        <f>(E3086/1000)*(F3086/1000)*(G3086/1000)*7850</f>
        <v/>
      </c>
      <c r="I3086" s="43" t="n">
        <v>2</v>
      </c>
      <c r="J3086" s="80">
        <f>H3086*I3086</f>
        <v/>
      </c>
      <c r="K3086" s="43" t="inlineStr">
        <is>
          <t>来源页216</t>
        </is>
      </c>
      <c r="L3086" s="43">
        <f>A3086</f>
        <v/>
      </c>
      <c r="M3086" s="81" t="n"/>
      <c r="N3086" s="81" t="n"/>
      <c r="O3086" s="81" t="n"/>
      <c r="P3086" s="81" t="n"/>
      <c r="Q3086" s="81" t="n"/>
      <c r="R3086" s="81" t="n"/>
      <c r="S3086" s="81" t="n"/>
      <c r="T3086" s="81" t="n"/>
      <c r="U3086" s="81" t="n"/>
      <c r="V3086" s="81" t="n"/>
      <c r="W3086" s="43" t="n"/>
    </row>
    <row r="3087">
      <c r="A3087" s="43" t="inlineStr">
        <is>
          <t>N53</t>
        </is>
      </c>
      <c r="B3087" s="43" t="inlineStr"/>
      <c r="C3087" s="43" t="inlineStr">
        <is>
          <t>节段19</t>
        </is>
      </c>
      <c r="D3087" s="43" t="inlineStr">
        <is>
          <t>Q355D</t>
        </is>
      </c>
      <c r="E3087" s="43" t="n">
        <v>3629</v>
      </c>
      <c r="F3087" s="43" t="n">
        <v>320</v>
      </c>
      <c r="G3087" s="43" t="n">
        <v>32</v>
      </c>
      <c r="H3087" s="79">
        <f>(E3087/1000)*(F3087/1000)*(G3087/1000)*7850</f>
        <v/>
      </c>
      <c r="I3087" s="43" t="n">
        <v>2</v>
      </c>
      <c r="J3087" s="80">
        <f>H3087*I3087</f>
        <v/>
      </c>
      <c r="K3087" s="43" t="inlineStr">
        <is>
          <t>来源页216</t>
        </is>
      </c>
      <c r="L3087" s="43">
        <f>A3087</f>
        <v/>
      </c>
      <c r="M3087" s="81" t="n"/>
      <c r="N3087" s="81" t="n"/>
      <c r="O3087" s="81" t="n"/>
      <c r="P3087" s="81" t="n"/>
      <c r="Q3087" s="81" t="n"/>
      <c r="R3087" s="81" t="n"/>
      <c r="S3087" s="81" t="n"/>
      <c r="T3087" s="81" t="n"/>
      <c r="U3087" s="81" t="n"/>
      <c r="V3087" s="81" t="n"/>
      <c r="W3087" s="43" t="n"/>
    </row>
    <row r="3088">
      <c r="A3088" s="43" t="inlineStr">
        <is>
          <t>N53a</t>
        </is>
      </c>
      <c r="B3088" s="43" t="inlineStr"/>
      <c r="C3088" s="43" t="inlineStr">
        <is>
          <t>节段19</t>
        </is>
      </c>
      <c r="D3088" s="43" t="inlineStr">
        <is>
          <t>Q355D</t>
        </is>
      </c>
      <c r="E3088" s="43" t="n">
        <v>5129</v>
      </c>
      <c r="F3088" s="43" t="n">
        <v>320</v>
      </c>
      <c r="G3088" s="43" t="n">
        <v>32</v>
      </c>
      <c r="H3088" s="79">
        <f>(E3088/1000)*(F3088/1000)*(G3088/1000)*7850</f>
        <v/>
      </c>
      <c r="I3088" s="43" t="n">
        <v>1</v>
      </c>
      <c r="J3088" s="80">
        <f>H3088*I3088</f>
        <v/>
      </c>
      <c r="K3088" s="43" t="inlineStr">
        <is>
          <t>来源页216</t>
        </is>
      </c>
      <c r="L3088" s="43">
        <f>A3088</f>
        <v/>
      </c>
      <c r="M3088" s="81" t="n"/>
      <c r="N3088" s="81" t="n"/>
      <c r="O3088" s="81" t="n"/>
      <c r="P3088" s="81" t="n"/>
      <c r="Q3088" s="81" t="n"/>
      <c r="R3088" s="81" t="n"/>
      <c r="S3088" s="81" t="n"/>
      <c r="T3088" s="81" t="n"/>
      <c r="U3088" s="81" t="n"/>
      <c r="V3088" s="81" t="n"/>
      <c r="W3088" s="43" t="n"/>
    </row>
    <row r="3089">
      <c r="A3089" s="43" t="inlineStr">
        <is>
          <t>N53b</t>
        </is>
      </c>
      <c r="B3089" s="43" t="inlineStr"/>
      <c r="C3089" s="43" t="inlineStr">
        <is>
          <t>节段19</t>
        </is>
      </c>
      <c r="D3089" s="43" t="inlineStr">
        <is>
          <t>Q355D</t>
        </is>
      </c>
      <c r="E3089" s="43" t="n">
        <v>4729</v>
      </c>
      <c r="F3089" s="43" t="n">
        <v>320</v>
      </c>
      <c r="G3089" s="43" t="n">
        <v>32</v>
      </c>
      <c r="H3089" s="79">
        <f>(E3089/1000)*(F3089/1000)*(G3089/1000)*7850</f>
        <v/>
      </c>
      <c r="I3089" s="43" t="n">
        <v>1</v>
      </c>
      <c r="J3089" s="80">
        <f>H3089*I3089</f>
        <v/>
      </c>
      <c r="K3089" s="43" t="inlineStr">
        <is>
          <t>来源页216</t>
        </is>
      </c>
      <c r="L3089" s="43">
        <f>A3089</f>
        <v/>
      </c>
      <c r="M3089" s="81" t="n"/>
      <c r="N3089" s="81" t="n"/>
      <c r="O3089" s="81" t="n"/>
      <c r="P3089" s="81" t="n"/>
      <c r="Q3089" s="81" t="n"/>
      <c r="R3089" s="81" t="n"/>
      <c r="S3089" s="81" t="n"/>
      <c r="T3089" s="81" t="n"/>
      <c r="U3089" s="81" t="n"/>
      <c r="V3089" s="81" t="n"/>
      <c r="W3089" s="43" t="n"/>
    </row>
    <row r="3090">
      <c r="A3090" s="43" t="inlineStr">
        <is>
          <t>N54</t>
        </is>
      </c>
      <c r="B3090" s="43" t="inlineStr"/>
      <c r="C3090" s="43" t="inlineStr">
        <is>
          <t>节段19</t>
        </is>
      </c>
      <c r="D3090" s="43" t="inlineStr">
        <is>
          <t>Q355D</t>
        </is>
      </c>
      <c r="E3090" s="43" t="n">
        <v>1200</v>
      </c>
      <c r="F3090" s="43" t="n">
        <v>1200</v>
      </c>
      <c r="G3090" s="43" t="n">
        <v>16</v>
      </c>
      <c r="H3090" s="79">
        <f>(E3090/1000)*(F3090/1000)*(G3090/1000)*7850</f>
        <v/>
      </c>
      <c r="I3090" s="43" t="n">
        <v>3</v>
      </c>
      <c r="J3090" s="80">
        <f>H3090*I3090</f>
        <v/>
      </c>
      <c r="K3090" s="43" t="inlineStr">
        <is>
          <t>来源页216</t>
        </is>
      </c>
      <c r="L3090" s="43">
        <f>A3090</f>
        <v/>
      </c>
      <c r="M3090" s="81" t="n"/>
      <c r="N3090" s="81" t="n"/>
      <c r="O3090" s="81" t="n"/>
      <c r="P3090" s="81" t="n"/>
      <c r="Q3090" s="81" t="n"/>
      <c r="R3090" s="81" t="n"/>
      <c r="S3090" s="81" t="n"/>
      <c r="T3090" s="81" t="n"/>
      <c r="U3090" s="81" t="n"/>
      <c r="V3090" s="81" t="n"/>
      <c r="W3090" s="43" t="n"/>
    </row>
    <row r="3091">
      <c r="A3091" s="43" t="inlineStr">
        <is>
          <t>N55</t>
        </is>
      </c>
      <c r="B3091" s="43" t="inlineStr"/>
      <c r="C3091" s="43" t="inlineStr">
        <is>
          <t>节段19</t>
        </is>
      </c>
      <c r="D3091" s="43" t="inlineStr">
        <is>
          <t>Q355D</t>
        </is>
      </c>
      <c r="E3091" s="43" t="n">
        <v>2300</v>
      </c>
      <c r="F3091" s="43" t="n">
        <v>320</v>
      </c>
      <c r="G3091" s="43" t="n">
        <v>32</v>
      </c>
      <c r="H3091" s="79">
        <f>(E3091/1000)*(F3091/1000)*(G3091/1000)*7850</f>
        <v/>
      </c>
      <c r="I3091" s="43" t="n">
        <v>2</v>
      </c>
      <c r="J3091" s="80">
        <f>H3091*I3091</f>
        <v/>
      </c>
      <c r="K3091" s="43" t="inlineStr">
        <is>
          <t>来源页216</t>
        </is>
      </c>
      <c r="L3091" s="43">
        <f>A3091</f>
        <v/>
      </c>
      <c r="M3091" s="81" t="n"/>
      <c r="N3091" s="81" t="n"/>
      <c r="O3091" s="81" t="n"/>
      <c r="P3091" s="81" t="n"/>
      <c r="Q3091" s="81" t="n"/>
      <c r="R3091" s="81" t="n"/>
      <c r="S3091" s="81" t="n"/>
      <c r="T3091" s="81" t="n"/>
      <c r="U3091" s="81" t="n"/>
      <c r="V3091" s="81" t="n"/>
      <c r="W3091" s="43" t="n"/>
    </row>
    <row r="3092">
      <c r="A3092" s="43" t="inlineStr">
        <is>
          <t>N56</t>
        </is>
      </c>
      <c r="B3092" s="43" t="inlineStr"/>
      <c r="C3092" s="43" t="inlineStr">
        <is>
          <t>节段19</t>
        </is>
      </c>
      <c r="D3092" s="43" t="inlineStr">
        <is>
          <t>Q355D</t>
        </is>
      </c>
      <c r="E3092" s="43" t="n">
        <v>2600</v>
      </c>
      <c r="F3092" s="43" t="n">
        <v>320</v>
      </c>
      <c r="G3092" s="43" t="n">
        <v>32</v>
      </c>
      <c r="H3092" s="79">
        <f>(E3092/1000)*(F3092/1000)*(G3092/1000)*7850</f>
        <v/>
      </c>
      <c r="I3092" s="43" t="n">
        <v>4</v>
      </c>
      <c r="J3092" s="80">
        <f>H3092*I3092</f>
        <v/>
      </c>
      <c r="K3092" s="43" t="inlineStr">
        <is>
          <t>来源页216</t>
        </is>
      </c>
      <c r="L3092" s="43">
        <f>A3092</f>
        <v/>
      </c>
      <c r="M3092" s="81" t="n"/>
      <c r="N3092" s="81" t="n"/>
      <c r="O3092" s="81" t="n"/>
      <c r="P3092" s="81" t="n"/>
      <c r="Q3092" s="81" t="n"/>
      <c r="R3092" s="81" t="n"/>
      <c r="S3092" s="81" t="n"/>
      <c r="T3092" s="81" t="n"/>
      <c r="U3092" s="81" t="n"/>
      <c r="V3092" s="81" t="n"/>
      <c r="W3092" s="43" t="n"/>
    </row>
    <row r="3093">
      <c r="A3093" s="43" t="inlineStr">
        <is>
          <t>N61</t>
        </is>
      </c>
      <c r="B3093" s="43" t="inlineStr"/>
      <c r="C3093" s="43" t="inlineStr">
        <is>
          <t>节段19</t>
        </is>
      </c>
      <c r="D3093" s="43" t="inlineStr">
        <is>
          <t>Q355D</t>
        </is>
      </c>
      <c r="E3093" s="43" t="n">
        <v>1580</v>
      </c>
      <c r="F3093" s="43" t="n">
        <v>610</v>
      </c>
      <c r="G3093" s="43" t="n">
        <v>14</v>
      </c>
      <c r="H3093" s="79">
        <f>(E3093/1000)*(F3093/1000)*(G3093/1000)*7850</f>
        <v/>
      </c>
      <c r="I3093" s="43" t="n">
        <v>3</v>
      </c>
      <c r="J3093" s="80">
        <f>H3093*I3093</f>
        <v/>
      </c>
      <c r="K3093" s="43" t="inlineStr">
        <is>
          <t>来源页216</t>
        </is>
      </c>
      <c r="L3093" s="43">
        <f>A3093</f>
        <v/>
      </c>
      <c r="M3093" s="81" t="n"/>
      <c r="N3093" s="81" t="n"/>
      <c r="O3093" s="81" t="n"/>
      <c r="P3093" s="81" t="n"/>
      <c r="Q3093" s="81" t="n"/>
      <c r="R3093" s="81" t="n"/>
      <c r="S3093" s="81" t="n"/>
      <c r="T3093" s="81" t="n"/>
      <c r="U3093" s="81" t="n"/>
      <c r="V3093" s="81" t="n"/>
      <c r="W3093" s="43" t="n"/>
    </row>
    <row r="3094">
      <c r="A3094" s="43" t="inlineStr">
        <is>
          <t>N61a</t>
        </is>
      </c>
      <c r="B3094" s="43" t="inlineStr"/>
      <c r="C3094" s="43" t="inlineStr">
        <is>
          <t>节段19</t>
        </is>
      </c>
      <c r="D3094" s="43" t="inlineStr">
        <is>
          <t>Q355D</t>
        </is>
      </c>
      <c r="E3094" s="43" t="n">
        <v>1576</v>
      </c>
      <c r="F3094" s="43" t="n">
        <v>618</v>
      </c>
      <c r="G3094" s="43" t="n">
        <v>14</v>
      </c>
      <c r="H3094" s="79">
        <f>(E3094/1000)*(F3094/1000)*(G3094/1000)*7850</f>
        <v/>
      </c>
      <c r="I3094" s="43" t="n">
        <v>2</v>
      </c>
      <c r="J3094" s="80">
        <f>H3094*I3094</f>
        <v/>
      </c>
      <c r="K3094" s="43" t="inlineStr">
        <is>
          <t>来源页216</t>
        </is>
      </c>
      <c r="L3094" s="43">
        <f>A3094</f>
        <v/>
      </c>
      <c r="M3094" s="81" t="n"/>
      <c r="N3094" s="81" t="n"/>
      <c r="O3094" s="81" t="n"/>
      <c r="P3094" s="81" t="n"/>
      <c r="Q3094" s="81" t="n"/>
      <c r="R3094" s="81" t="n"/>
      <c r="S3094" s="81" t="n"/>
      <c r="T3094" s="81" t="n"/>
      <c r="U3094" s="81" t="n"/>
      <c r="V3094" s="81" t="n"/>
      <c r="W3094" s="43" t="n"/>
    </row>
    <row r="3095">
      <c r="A3095" s="43" t="inlineStr">
        <is>
          <t>N62</t>
        </is>
      </c>
      <c r="B3095" s="43" t="inlineStr"/>
      <c r="C3095" s="43" t="inlineStr">
        <is>
          <t>节段19</t>
        </is>
      </c>
      <c r="D3095" s="43" t="inlineStr">
        <is>
          <t>Q355D</t>
        </is>
      </c>
      <c r="E3095" s="43" t="n"/>
      <c r="F3095" s="43" t="n"/>
      <c r="G3095" s="43" t="n">
        <v>24</v>
      </c>
      <c r="H3095" s="79">
        <f>(E3095/1000)*(F3095/1000)*(G3095/1000)*7850</f>
        <v/>
      </c>
      <c r="I3095" s="43" t="n">
        <v>3</v>
      </c>
      <c r="J3095" s="80">
        <f>H3095*I3095</f>
        <v/>
      </c>
      <c r="K3095" s="43" t="inlineStr">
        <is>
          <t>来源页216</t>
        </is>
      </c>
      <c r="L3095" s="43">
        <f>A3095</f>
        <v/>
      </c>
      <c r="M3095" s="81" t="n"/>
      <c r="N3095" s="81" t="n"/>
      <c r="O3095" s="81" t="n"/>
      <c r="P3095" s="81" t="n"/>
      <c r="Q3095" s="81" t="n"/>
      <c r="R3095" s="81" t="n"/>
      <c r="S3095" s="81" t="n"/>
      <c r="T3095" s="81" t="n"/>
      <c r="U3095" s="81" t="n"/>
      <c r="V3095" s="81" t="n"/>
      <c r="W3095" s="43" t="n"/>
    </row>
    <row r="3096">
      <c r="A3096" s="43" t="inlineStr">
        <is>
          <t>N62a</t>
        </is>
      </c>
      <c r="B3096" s="43" t="inlineStr"/>
      <c r="C3096" s="43" t="inlineStr">
        <is>
          <t>节段19</t>
        </is>
      </c>
      <c r="D3096" s="43" t="inlineStr">
        <is>
          <t>Q355D</t>
        </is>
      </c>
      <c r="E3096" s="43" t="n"/>
      <c r="F3096" s="43" t="n"/>
      <c r="G3096" s="43" t="n">
        <v>24</v>
      </c>
      <c r="H3096" s="79">
        <f>(E3096/1000)*(F3096/1000)*(G3096/1000)*7850</f>
        <v/>
      </c>
      <c r="I3096" s="43" t="n">
        <v>2</v>
      </c>
      <c r="J3096" s="80">
        <f>H3096*I3096</f>
        <v/>
      </c>
      <c r="K3096" s="43" t="inlineStr">
        <is>
          <t>来源页216</t>
        </is>
      </c>
      <c r="L3096" s="43">
        <f>A3096</f>
        <v/>
      </c>
      <c r="M3096" s="81" t="n"/>
      <c r="N3096" s="81" t="n"/>
      <c r="O3096" s="81" t="n"/>
      <c r="P3096" s="81" t="n"/>
      <c r="Q3096" s="81" t="n"/>
      <c r="R3096" s="81" t="n"/>
      <c r="S3096" s="81" t="n"/>
      <c r="T3096" s="81" t="n"/>
      <c r="U3096" s="81" t="n"/>
      <c r="V3096" s="81" t="n"/>
      <c r="W3096" s="43" t="n"/>
    </row>
    <row r="3097">
      <c r="A3097" s="43" t="inlineStr">
        <is>
          <t>N63</t>
        </is>
      </c>
      <c r="B3097" s="43" t="inlineStr"/>
      <c r="C3097" s="43" t="inlineStr">
        <is>
          <t>节段19</t>
        </is>
      </c>
      <c r="D3097" s="43" t="inlineStr">
        <is>
          <t>Q355D</t>
        </is>
      </c>
      <c r="E3097" s="43" t="n">
        <v>1450</v>
      </c>
      <c r="F3097" s="43" t="n">
        <v>610</v>
      </c>
      <c r="G3097" s="43" t="n">
        <v>14</v>
      </c>
      <c r="H3097" s="79">
        <f>(E3097/1000)*(F3097/1000)*(G3097/1000)*7850</f>
        <v/>
      </c>
      <c r="I3097" s="43" t="n">
        <v>3</v>
      </c>
      <c r="J3097" s="80">
        <f>H3097*I3097</f>
        <v/>
      </c>
      <c r="K3097" s="43" t="inlineStr">
        <is>
          <t>来源页216</t>
        </is>
      </c>
      <c r="L3097" s="43">
        <f>A3097</f>
        <v/>
      </c>
      <c r="M3097" s="81" t="n"/>
      <c r="N3097" s="81" t="n"/>
      <c r="O3097" s="81" t="n"/>
      <c r="P3097" s="81" t="n"/>
      <c r="Q3097" s="81" t="n"/>
      <c r="R3097" s="81" t="n"/>
      <c r="S3097" s="81" t="n"/>
      <c r="T3097" s="81" t="n"/>
      <c r="U3097" s="81" t="n"/>
      <c r="V3097" s="81" t="n"/>
      <c r="W3097" s="43" t="n"/>
    </row>
    <row r="3098">
      <c r="A3098" s="43" t="inlineStr">
        <is>
          <t>N63a</t>
        </is>
      </c>
      <c r="B3098" s="43" t="inlineStr"/>
      <c r="C3098" s="43" t="inlineStr">
        <is>
          <t>节段19</t>
        </is>
      </c>
      <c r="D3098" s="43" t="inlineStr">
        <is>
          <t>Q355D</t>
        </is>
      </c>
      <c r="E3098" s="43" t="n">
        <v>1450</v>
      </c>
      <c r="F3098" s="43" t="n">
        <v>626</v>
      </c>
      <c r="G3098" s="43" t="n">
        <v>14</v>
      </c>
      <c r="H3098" s="79">
        <f>(E3098/1000)*(F3098/1000)*(G3098/1000)*7850</f>
        <v/>
      </c>
      <c r="I3098" s="43" t="n">
        <v>2</v>
      </c>
      <c r="J3098" s="80">
        <f>H3098*I3098</f>
        <v/>
      </c>
      <c r="K3098" s="43" t="inlineStr">
        <is>
          <t>来源页216</t>
        </is>
      </c>
      <c r="L3098" s="43">
        <f>A3098</f>
        <v/>
      </c>
      <c r="M3098" s="81" t="n"/>
      <c r="N3098" s="81" t="n"/>
      <c r="O3098" s="81" t="n"/>
      <c r="P3098" s="81" t="n"/>
      <c r="Q3098" s="81" t="n"/>
      <c r="R3098" s="81" t="n"/>
      <c r="S3098" s="81" t="n"/>
      <c r="T3098" s="81" t="n"/>
      <c r="U3098" s="81" t="n"/>
      <c r="V3098" s="81" t="n"/>
      <c r="W3098" s="43" t="n"/>
    </row>
    <row r="3099">
      <c r="A3099" s="43" t="inlineStr">
        <is>
          <t>P1</t>
        </is>
      </c>
      <c r="B3099" s="43" t="inlineStr">
        <is>
          <t>上弦杆拼接</t>
        </is>
      </c>
      <c r="C3099" s="43" t="inlineStr">
        <is>
          <t>节段19~节段20</t>
        </is>
      </c>
      <c r="D3099" s="43" t="inlineStr">
        <is>
          <t>Q355D</t>
        </is>
      </c>
      <c r="E3099" s="43" t="n">
        <v>1020</v>
      </c>
      <c r="F3099" s="43" t="n">
        <v>1400</v>
      </c>
      <c r="G3099" s="43" t="n">
        <v>16</v>
      </c>
      <c r="H3099" s="79">
        <f>(E3099/1000)*(F3099/1000)*(G3099/1000)*7850</f>
        <v/>
      </c>
      <c r="I3099" s="43" t="n">
        <v>2</v>
      </c>
      <c r="J3099" s="80">
        <f>H3099*I3099</f>
        <v/>
      </c>
      <c r="K3099" s="43" t="inlineStr">
        <is>
          <t>来源页219</t>
        </is>
      </c>
      <c r="L3099" s="43">
        <f>A3099</f>
        <v/>
      </c>
      <c r="M3099" s="81" t="n"/>
      <c r="N3099" s="81" t="n"/>
      <c r="O3099" s="81" t="n"/>
      <c r="P3099" s="81" t="n"/>
      <c r="Q3099" s="81" t="n"/>
      <c r="R3099" s="81" t="n"/>
      <c r="S3099" s="81" t="n"/>
      <c r="T3099" s="81" t="n"/>
      <c r="U3099" s="81" t="n"/>
      <c r="V3099" s="81" t="n"/>
      <c r="W3099" s="43" t="n"/>
    </row>
    <row r="3100">
      <c r="A3100" s="43" t="inlineStr">
        <is>
          <t>P2</t>
        </is>
      </c>
      <c r="B3100" s="43" t="inlineStr">
        <is>
          <t>上弦杆拼接</t>
        </is>
      </c>
      <c r="C3100" s="43" t="inlineStr">
        <is>
          <t>节段19~节段20</t>
        </is>
      </c>
      <c r="D3100" s="43" t="inlineStr">
        <is>
          <t>Q355D</t>
        </is>
      </c>
      <c r="E3100" s="43" t="n">
        <v>1020</v>
      </c>
      <c r="F3100" s="43" t="n">
        <v>300</v>
      </c>
      <c r="G3100" s="43" t="n">
        <v>16</v>
      </c>
      <c r="H3100" s="79">
        <f>(E3100/1000)*(F3100/1000)*(G3100/1000)*7850</f>
        <v/>
      </c>
      <c r="I3100" s="43" t="n">
        <v>2</v>
      </c>
      <c r="J3100" s="80">
        <f>H3100*I3100</f>
        <v/>
      </c>
      <c r="K3100" s="43" t="inlineStr">
        <is>
          <t>来源页219</t>
        </is>
      </c>
      <c r="L3100" s="43">
        <f>A3100</f>
        <v/>
      </c>
      <c r="M3100" s="81" t="n"/>
      <c r="N3100" s="81" t="n"/>
      <c r="O3100" s="81" t="n"/>
      <c r="P3100" s="81" t="n"/>
      <c r="Q3100" s="81" t="n"/>
      <c r="R3100" s="81" t="n"/>
      <c r="S3100" s="81" t="n"/>
      <c r="T3100" s="81" t="n"/>
      <c r="U3100" s="81" t="n"/>
      <c r="V3100" s="81" t="n"/>
      <c r="W3100" s="43" t="n"/>
    </row>
    <row r="3101">
      <c r="A3101" s="43" t="inlineStr">
        <is>
          <t>P3</t>
        </is>
      </c>
      <c r="B3101" s="43" t="inlineStr">
        <is>
          <t>上弦杆拼接</t>
        </is>
      </c>
      <c r="C3101" s="43" t="inlineStr">
        <is>
          <t>节段19~节段20</t>
        </is>
      </c>
      <c r="D3101" s="43" t="inlineStr">
        <is>
          <t>Q355D</t>
        </is>
      </c>
      <c r="E3101" s="43" t="n">
        <v>1020</v>
      </c>
      <c r="F3101" s="43" t="n">
        <v>500</v>
      </c>
      <c r="G3101" s="43" t="n">
        <v>16</v>
      </c>
      <c r="H3101" s="79">
        <f>(E3101/1000)*(F3101/1000)*(G3101/1000)*7850</f>
        <v/>
      </c>
      <c r="I3101" s="43" t="n">
        <v>2</v>
      </c>
      <c r="J3101" s="80">
        <f>H3101*I3101</f>
        <v/>
      </c>
      <c r="K3101" s="43" t="inlineStr">
        <is>
          <t>来源页219</t>
        </is>
      </c>
      <c r="L3101" s="43">
        <f>A3101</f>
        <v/>
      </c>
      <c r="M3101" s="81" t="n"/>
      <c r="N3101" s="81" t="n"/>
      <c r="O3101" s="81" t="n"/>
      <c r="P3101" s="81" t="n"/>
      <c r="Q3101" s="81" t="n"/>
      <c r="R3101" s="81" t="n"/>
      <c r="S3101" s="81" t="n"/>
      <c r="T3101" s="81" t="n"/>
      <c r="U3101" s="81" t="n"/>
      <c r="V3101" s="81" t="n"/>
      <c r="W3101" s="43" t="n"/>
    </row>
    <row r="3102">
      <c r="A3102" s="43" t="inlineStr">
        <is>
          <t>P4</t>
        </is>
      </c>
      <c r="B3102" s="43" t="inlineStr">
        <is>
          <t>上弦杆拼接</t>
        </is>
      </c>
      <c r="C3102" s="43" t="inlineStr">
        <is>
          <t>节段19~节段20</t>
        </is>
      </c>
      <c r="D3102" s="43" t="inlineStr">
        <is>
          <t>Q355D</t>
        </is>
      </c>
      <c r="E3102" s="43" t="n">
        <v>1020</v>
      </c>
      <c r="F3102" s="43" t="n">
        <v>400</v>
      </c>
      <c r="G3102" s="43" t="n">
        <v>16</v>
      </c>
      <c r="H3102" s="79">
        <f>(E3102/1000)*(F3102/1000)*(G3102/1000)*7850</f>
        <v/>
      </c>
      <c r="I3102" s="43" t="n">
        <v>2</v>
      </c>
      <c r="J3102" s="80">
        <f>H3102*I3102</f>
        <v/>
      </c>
      <c r="K3102" s="43" t="inlineStr">
        <is>
          <t>来源页219</t>
        </is>
      </c>
      <c r="L3102" s="43">
        <f>A3102</f>
        <v/>
      </c>
      <c r="M3102" s="81" t="n"/>
      <c r="N3102" s="81" t="n"/>
      <c r="O3102" s="81" t="n"/>
      <c r="P3102" s="81" t="n"/>
      <c r="Q3102" s="81" t="n"/>
      <c r="R3102" s="81" t="n"/>
      <c r="S3102" s="81" t="n"/>
      <c r="T3102" s="81" t="n"/>
      <c r="U3102" s="81" t="n"/>
      <c r="V3102" s="81" t="n"/>
      <c r="W3102" s="43" t="n"/>
    </row>
    <row r="3103">
      <c r="A3103" s="43" t="inlineStr">
        <is>
          <t>P5</t>
        </is>
      </c>
      <c r="B3103" s="43" t="inlineStr">
        <is>
          <t>上弦杆拼接</t>
        </is>
      </c>
      <c r="C3103" s="43" t="inlineStr">
        <is>
          <t>节段19~节段20</t>
        </is>
      </c>
      <c r="D3103" s="43" t="inlineStr">
        <is>
          <t>Q355D</t>
        </is>
      </c>
      <c r="E3103" s="43" t="n">
        <v>1420</v>
      </c>
      <c r="F3103" s="43" t="n">
        <v>1100</v>
      </c>
      <c r="G3103" s="43" t="n">
        <v>28</v>
      </c>
      <c r="H3103" s="79">
        <f>(E3103/1000)*(F3103/1000)*(G3103/1000)*7850</f>
        <v/>
      </c>
      <c r="I3103" s="43" t="n">
        <v>1</v>
      </c>
      <c r="J3103" s="80">
        <f>H3103*I3103</f>
        <v/>
      </c>
      <c r="K3103" s="43" t="inlineStr">
        <is>
          <t>来源页219</t>
        </is>
      </c>
      <c r="L3103" s="43">
        <f>A3103</f>
        <v/>
      </c>
      <c r="M3103" s="81" t="n"/>
      <c r="N3103" s="81" t="n"/>
      <c r="O3103" s="81" t="n"/>
      <c r="P3103" s="81" t="n"/>
      <c r="Q3103" s="81" t="n"/>
      <c r="R3103" s="81" t="n"/>
      <c r="S3103" s="81" t="n"/>
      <c r="T3103" s="81" t="n"/>
      <c r="U3103" s="81" t="n"/>
      <c r="V3103" s="81" t="n"/>
      <c r="W3103" s="43" t="n"/>
    </row>
    <row r="3104">
      <c r="A3104" s="43" t="inlineStr">
        <is>
          <t>P6</t>
        </is>
      </c>
      <c r="B3104" s="43" t="inlineStr">
        <is>
          <t>上弦杆拼接</t>
        </is>
      </c>
      <c r="C3104" s="43" t="inlineStr">
        <is>
          <t>节段19~节段20</t>
        </is>
      </c>
      <c r="D3104" s="43" t="inlineStr">
        <is>
          <t>Q355D</t>
        </is>
      </c>
      <c r="E3104" s="43" t="n">
        <v>1420</v>
      </c>
      <c r="F3104" s="43" t="n">
        <v>400</v>
      </c>
      <c r="G3104" s="43" t="n">
        <v>28</v>
      </c>
      <c r="H3104" s="79">
        <f>(E3104/1000)*(F3104/1000)*(G3104/1000)*7850</f>
        <v/>
      </c>
      <c r="I3104" s="43" t="n">
        <v>2</v>
      </c>
      <c r="J3104" s="80">
        <f>H3104*I3104</f>
        <v/>
      </c>
      <c r="K3104" s="43" t="inlineStr">
        <is>
          <t>来源页219</t>
        </is>
      </c>
      <c r="L3104" s="43">
        <f>A3104</f>
        <v/>
      </c>
      <c r="M3104" s="81" t="n"/>
      <c r="N3104" s="81" t="n"/>
      <c r="O3104" s="81" t="n"/>
      <c r="P3104" s="81" t="n"/>
      <c r="Q3104" s="81" t="n"/>
      <c r="R3104" s="81" t="n"/>
      <c r="S3104" s="81" t="n"/>
      <c r="T3104" s="81" t="n"/>
      <c r="U3104" s="81" t="n"/>
      <c r="V3104" s="81" t="n"/>
      <c r="W3104" s="43" t="n"/>
    </row>
    <row r="3105">
      <c r="A3105" s="43" t="inlineStr">
        <is>
          <t>P7</t>
        </is>
      </c>
      <c r="B3105" s="43" t="inlineStr">
        <is>
          <t>上弦杆拼接</t>
        </is>
      </c>
      <c r="C3105" s="43" t="inlineStr">
        <is>
          <t>节段19~节段20</t>
        </is>
      </c>
      <c r="D3105" s="43" t="inlineStr">
        <is>
          <t>Q355D</t>
        </is>
      </c>
      <c r="E3105" s="43" t="n">
        <v>920</v>
      </c>
      <c r="F3105" s="43" t="n">
        <v>200</v>
      </c>
      <c r="G3105" s="43" t="n">
        <v>20</v>
      </c>
      <c r="H3105" s="79">
        <f>(E3105/1000)*(F3105/1000)*(G3105/1000)*7850</f>
        <v/>
      </c>
      <c r="I3105" s="43" t="n">
        <v>10</v>
      </c>
      <c r="J3105" s="80">
        <f>H3105*I3105</f>
        <v/>
      </c>
      <c r="K3105" s="43" t="inlineStr">
        <is>
          <t>来源页219</t>
        </is>
      </c>
      <c r="L3105" s="43">
        <f>A3105</f>
        <v/>
      </c>
      <c r="M3105" s="81" t="n"/>
      <c r="N3105" s="81" t="n"/>
      <c r="O3105" s="81" t="n"/>
      <c r="P3105" s="81" t="n"/>
      <c r="Q3105" s="81" t="n"/>
      <c r="R3105" s="81" t="n"/>
      <c r="S3105" s="81" t="n"/>
      <c r="T3105" s="81" t="n"/>
      <c r="U3105" s="81" t="n"/>
      <c r="V3105" s="81" t="n"/>
      <c r="W3105" s="43" t="n"/>
    </row>
    <row r="3106">
      <c r="A3106" s="43" t="inlineStr">
        <is>
          <t>P8</t>
        </is>
      </c>
      <c r="B3106" s="43" t="inlineStr">
        <is>
          <t>上弦杆拼接</t>
        </is>
      </c>
      <c r="C3106" s="43" t="inlineStr">
        <is>
          <t>节段19~节段20</t>
        </is>
      </c>
      <c r="D3106" s="43" t="inlineStr">
        <is>
          <t>Q355D</t>
        </is>
      </c>
      <c r="E3106" s="43" t="n">
        <v>500</v>
      </c>
      <c r="F3106" s="43" t="n">
        <v>1800</v>
      </c>
      <c r="G3106" s="43" t="n">
        <v>20</v>
      </c>
      <c r="H3106" s="79">
        <f>(E3106/1000)*(F3106/1000)*(G3106/1000)*7850</f>
        <v/>
      </c>
      <c r="I3106" s="43" t="n">
        <v>2</v>
      </c>
      <c r="J3106" s="80">
        <f>H3106*I3106</f>
        <v/>
      </c>
      <c r="K3106" s="43" t="inlineStr">
        <is>
          <t>来源页219</t>
        </is>
      </c>
      <c r="L3106" s="43">
        <f>A3106</f>
        <v/>
      </c>
      <c r="M3106" s="81" t="n"/>
      <c r="N3106" s="81" t="n"/>
      <c r="O3106" s="81" t="n"/>
      <c r="P3106" s="81" t="n"/>
      <c r="Q3106" s="81" t="n"/>
      <c r="R3106" s="81" t="n"/>
      <c r="S3106" s="81" t="n"/>
      <c r="T3106" s="81" t="n"/>
      <c r="U3106" s="81" t="n"/>
      <c r="V3106" s="81" t="n"/>
      <c r="W3106" s="43" t="n"/>
    </row>
    <row r="3107">
      <c r="A3107" s="43" t="inlineStr">
        <is>
          <t>M30高强螺栓</t>
        </is>
      </c>
      <c r="B3107" s="43" t="inlineStr">
        <is>
          <t>上弦杆拼接</t>
        </is>
      </c>
      <c r="C3107" s="43" t="inlineStr">
        <is>
          <t>节段19~节段20</t>
        </is>
      </c>
      <c r="D3107" s="43" t="inlineStr">
        <is>
          <t>10.9S</t>
        </is>
      </c>
      <c r="E3107" s="43" t="n"/>
      <c r="F3107" s="43" t="n"/>
      <c r="G3107" s="43" t="n"/>
      <c r="H3107" s="79">
        <f>(E3107/1000)*(F3107/1000)*(G3107/1000)*7850</f>
        <v/>
      </c>
      <c r="I3107" s="43" t="n">
        <v>380</v>
      </c>
      <c r="J3107" s="80">
        <f>H3107*I3107</f>
        <v/>
      </c>
      <c r="K3107" s="43" t="inlineStr">
        <is>
          <t>来源页219</t>
        </is>
      </c>
      <c r="L3107" s="43">
        <f>A3107</f>
        <v/>
      </c>
      <c r="M3107" s="81" t="n"/>
      <c r="N3107" s="81" t="n"/>
      <c r="O3107" s="81" t="n"/>
      <c r="P3107" s="81" t="n"/>
      <c r="Q3107" s="81" t="n"/>
      <c r="R3107" s="81" t="n"/>
      <c r="S3107" s="81" t="n"/>
      <c r="T3107" s="81" t="n"/>
      <c r="U3107" s="81" t="n"/>
      <c r="V3107" s="81" t="n"/>
      <c r="W3107" s="43" t="n"/>
    </row>
    <row r="3108">
      <c r="A3108" s="43" t="inlineStr">
        <is>
          <t>K1</t>
        </is>
      </c>
      <c r="B3108" s="43" t="inlineStr">
        <is>
          <t>下弦杆拼接</t>
        </is>
      </c>
      <c r="C3108" s="43" t="inlineStr">
        <is>
          <t>节段19~节段20</t>
        </is>
      </c>
      <c r="D3108" s="43" t="inlineStr">
        <is>
          <t>Q355D</t>
        </is>
      </c>
      <c r="E3108" s="43" t="n">
        <v>820</v>
      </c>
      <c r="F3108" s="43" t="n">
        <v>1300</v>
      </c>
      <c r="G3108" s="43" t="n">
        <v>20</v>
      </c>
      <c r="H3108" s="79">
        <f>(E3108/1000)*(F3108/1000)*(G3108/1000)*7850</f>
        <v/>
      </c>
      <c r="I3108" s="43" t="n">
        <v>2</v>
      </c>
      <c r="J3108" s="80">
        <f>H3108*I3108</f>
        <v/>
      </c>
      <c r="K3108" s="43" t="inlineStr">
        <is>
          <t>来源页219</t>
        </is>
      </c>
      <c r="L3108" s="43">
        <f>A3108</f>
        <v/>
      </c>
      <c r="M3108" s="81" t="n"/>
      <c r="N3108" s="81" t="n"/>
      <c r="O3108" s="81" t="n"/>
      <c r="P3108" s="81" t="n"/>
      <c r="Q3108" s="81" t="n"/>
      <c r="R3108" s="81" t="n"/>
      <c r="S3108" s="81" t="n"/>
      <c r="T3108" s="81" t="n"/>
      <c r="U3108" s="81" t="n"/>
      <c r="V3108" s="81" t="n"/>
      <c r="W3108" s="43" t="n"/>
    </row>
    <row r="3109">
      <c r="A3109" s="43" t="inlineStr">
        <is>
          <t>K2</t>
        </is>
      </c>
      <c r="B3109" s="43" t="inlineStr">
        <is>
          <t>下弦杆拼接</t>
        </is>
      </c>
      <c r="C3109" s="43" t="inlineStr">
        <is>
          <t>节段19~节段20</t>
        </is>
      </c>
      <c r="D3109" s="43" t="inlineStr">
        <is>
          <t>Q355D</t>
        </is>
      </c>
      <c r="E3109" s="43" t="n">
        <v>820</v>
      </c>
      <c r="F3109" s="43" t="n">
        <v>600</v>
      </c>
      <c r="G3109" s="43" t="n">
        <v>20</v>
      </c>
      <c r="H3109" s="79">
        <f>(E3109/1000)*(F3109/1000)*(G3109/1000)*7850</f>
        <v/>
      </c>
      <c r="I3109" s="43" t="n">
        <v>4</v>
      </c>
      <c r="J3109" s="80">
        <f>H3109*I3109</f>
        <v/>
      </c>
      <c r="K3109" s="43" t="inlineStr">
        <is>
          <t>来源页219</t>
        </is>
      </c>
      <c r="L3109" s="43">
        <f>A3109</f>
        <v/>
      </c>
      <c r="M3109" s="81" t="n"/>
      <c r="N3109" s="81" t="n"/>
      <c r="O3109" s="81" t="n"/>
      <c r="P3109" s="81" t="n"/>
      <c r="Q3109" s="81" t="n"/>
      <c r="R3109" s="81" t="n"/>
      <c r="S3109" s="81" t="n"/>
      <c r="T3109" s="81" t="n"/>
      <c r="U3109" s="81" t="n"/>
      <c r="V3109" s="81" t="n"/>
      <c r="W3109" s="43" t="n"/>
    </row>
    <row r="3110">
      <c r="A3110" s="43" t="inlineStr">
        <is>
          <t>K3</t>
        </is>
      </c>
      <c r="B3110" s="43" t="inlineStr">
        <is>
          <t>下弦杆拼接</t>
        </is>
      </c>
      <c r="C3110" s="43" t="inlineStr">
        <is>
          <t>节段19~节段20</t>
        </is>
      </c>
      <c r="D3110" s="43" t="inlineStr">
        <is>
          <t>Q355D</t>
        </is>
      </c>
      <c r="E3110" s="43" t="n">
        <v>1120</v>
      </c>
      <c r="F3110" s="43" t="n">
        <v>1100</v>
      </c>
      <c r="G3110" s="43" t="n">
        <v>32</v>
      </c>
      <c r="H3110" s="79">
        <f>(E3110/1000)*(F3110/1000)*(G3110/1000)*7850</f>
        <v/>
      </c>
      <c r="I3110" s="43" t="n">
        <v>1</v>
      </c>
      <c r="J3110" s="80">
        <f>H3110*I3110</f>
        <v/>
      </c>
      <c r="K3110" s="43" t="inlineStr">
        <is>
          <t>来源页219</t>
        </is>
      </c>
      <c r="L3110" s="43">
        <f>A3110</f>
        <v/>
      </c>
      <c r="M3110" s="81" t="n"/>
      <c r="N3110" s="81" t="n"/>
      <c r="O3110" s="81" t="n"/>
      <c r="P3110" s="81" t="n"/>
      <c r="Q3110" s="81" t="n"/>
      <c r="R3110" s="81" t="n"/>
      <c r="S3110" s="81" t="n"/>
      <c r="T3110" s="81" t="n"/>
      <c r="U3110" s="81" t="n"/>
      <c r="V3110" s="81" t="n"/>
      <c r="W3110" s="43" t="n"/>
    </row>
    <row r="3111">
      <c r="A3111" s="43" t="inlineStr">
        <is>
          <t>K4</t>
        </is>
      </c>
      <c r="B3111" s="43" t="inlineStr">
        <is>
          <t>下弦杆拼接</t>
        </is>
      </c>
      <c r="C3111" s="43" t="inlineStr">
        <is>
          <t>节段19~节段20</t>
        </is>
      </c>
      <c r="D3111" s="43" t="inlineStr">
        <is>
          <t>Q355D</t>
        </is>
      </c>
      <c r="E3111" s="43" t="n">
        <v>1120</v>
      </c>
      <c r="F3111" s="43" t="n">
        <v>400</v>
      </c>
      <c r="G3111" s="43" t="n">
        <v>32</v>
      </c>
      <c r="H3111" s="79">
        <f>(E3111/1000)*(F3111/1000)*(G3111/1000)*7850</f>
        <v/>
      </c>
      <c r="I3111" s="43" t="n">
        <v>2</v>
      </c>
      <c r="J3111" s="80">
        <f>H3111*I3111</f>
        <v/>
      </c>
      <c r="K3111" s="43" t="inlineStr">
        <is>
          <t>来源页219</t>
        </is>
      </c>
      <c r="L3111" s="43">
        <f>A3111</f>
        <v/>
      </c>
      <c r="M3111" s="81" t="n"/>
      <c r="N3111" s="81" t="n"/>
      <c r="O3111" s="81" t="n"/>
      <c r="P3111" s="81" t="n"/>
      <c r="Q3111" s="81" t="n"/>
      <c r="R3111" s="81" t="n"/>
      <c r="S3111" s="81" t="n"/>
      <c r="T3111" s="81" t="n"/>
      <c r="U3111" s="81" t="n"/>
      <c r="V3111" s="81" t="n"/>
      <c r="W3111" s="43" t="n"/>
    </row>
    <row r="3112">
      <c r="A3112" s="43" t="inlineStr">
        <is>
          <t>K6</t>
        </is>
      </c>
      <c r="B3112" s="43" t="inlineStr">
        <is>
          <t>下弦杆拼接</t>
        </is>
      </c>
      <c r="C3112" s="43" t="inlineStr">
        <is>
          <t>节段19~节段20</t>
        </is>
      </c>
      <c r="D3112" s="43" t="inlineStr">
        <is>
          <t>Q355D</t>
        </is>
      </c>
      <c r="E3112" s="43" t="n">
        <v>400</v>
      </c>
      <c r="F3112" s="43" t="n">
        <v>1700</v>
      </c>
      <c r="G3112" s="43" t="n">
        <v>16</v>
      </c>
      <c r="H3112" s="79">
        <f>(E3112/1000)*(F3112/1000)*(G3112/1000)*7850</f>
        <v/>
      </c>
      <c r="I3112" s="43" t="n">
        <v>2</v>
      </c>
      <c r="J3112" s="80">
        <f>H3112*I3112</f>
        <v/>
      </c>
      <c r="K3112" s="43" t="inlineStr">
        <is>
          <t>来源页219</t>
        </is>
      </c>
      <c r="L3112" s="43">
        <f>A3112</f>
        <v/>
      </c>
      <c r="M3112" s="81" t="n"/>
      <c r="N3112" s="81" t="n"/>
      <c r="O3112" s="81" t="n"/>
      <c r="P3112" s="81" t="n"/>
      <c r="Q3112" s="81" t="n"/>
      <c r="R3112" s="81" t="n"/>
      <c r="S3112" s="81" t="n"/>
      <c r="T3112" s="81" t="n"/>
      <c r="U3112" s="81" t="n"/>
      <c r="V3112" s="81" t="n"/>
      <c r="W3112" s="43" t="n"/>
    </row>
    <row r="3113">
      <c r="A3113" s="43" t="inlineStr">
        <is>
          <t>M30高强螺栓</t>
        </is>
      </c>
      <c r="B3113" s="43" t="inlineStr">
        <is>
          <t>下弦杆拼接</t>
        </is>
      </c>
      <c r="C3113" s="43" t="inlineStr">
        <is>
          <t>节段19~节段20</t>
        </is>
      </c>
      <c r="D3113" s="43" t="inlineStr">
        <is>
          <t>10.9S</t>
        </is>
      </c>
      <c r="E3113" s="43" t="n"/>
      <c r="F3113" s="43" t="n"/>
      <c r="G3113" s="43" t="n"/>
      <c r="H3113" s="79">
        <f>(E3113/1000)*(F3113/1000)*(G3113/1000)*7850</f>
        <v/>
      </c>
      <c r="I3113" s="43" t="n">
        <v>276</v>
      </c>
      <c r="J3113" s="80">
        <f>H3113*I3113</f>
        <v/>
      </c>
      <c r="K3113" s="43" t="inlineStr">
        <is>
          <t>来源页219</t>
        </is>
      </c>
      <c r="L3113" s="43">
        <f>A3113</f>
        <v/>
      </c>
      <c r="M3113" s="81" t="n"/>
      <c r="N3113" s="81" t="n"/>
      <c r="O3113" s="81" t="n"/>
      <c r="P3113" s="81" t="n"/>
      <c r="Q3113" s="81" t="n"/>
      <c r="R3113" s="81" t="n"/>
      <c r="S3113" s="81" t="n"/>
      <c r="T3113" s="81" t="n"/>
      <c r="U3113" s="81" t="n"/>
      <c r="V3113" s="81" t="n"/>
      <c r="W3113" s="43" t="n"/>
    </row>
    <row r="3114">
      <c r="A3114" s="43" t="inlineStr">
        <is>
          <t>L1</t>
        </is>
      </c>
      <c r="B3114" s="43" t="inlineStr">
        <is>
          <t>腹杆拼接</t>
        </is>
      </c>
      <c r="C3114" s="43" t="inlineStr">
        <is>
          <t>节段19~节段20</t>
        </is>
      </c>
      <c r="D3114" s="43" t="inlineStr">
        <is>
          <t>Q355D</t>
        </is>
      </c>
      <c r="E3114" s="43" t="n">
        <v>1320</v>
      </c>
      <c r="F3114" s="43" t="n">
        <v>900</v>
      </c>
      <c r="G3114" s="43" t="n">
        <v>28</v>
      </c>
      <c r="H3114" s="79">
        <f>(E3114/1000)*(F3114/1000)*(G3114/1000)*7850</f>
        <v/>
      </c>
      <c r="I3114" s="43" t="n">
        <v>2</v>
      </c>
      <c r="J3114" s="80">
        <f>H3114*I3114</f>
        <v/>
      </c>
      <c r="K3114" s="43" t="inlineStr">
        <is>
          <t>来源页219</t>
        </is>
      </c>
      <c r="L3114" s="43">
        <f>A3114</f>
        <v/>
      </c>
      <c r="M3114" s="81" t="n"/>
      <c r="N3114" s="81" t="n"/>
      <c r="O3114" s="81" t="n"/>
      <c r="P3114" s="81" t="n"/>
      <c r="Q3114" s="81" t="n"/>
      <c r="R3114" s="81" t="n"/>
      <c r="S3114" s="81" t="n"/>
      <c r="T3114" s="81" t="n"/>
      <c r="U3114" s="81" t="n"/>
      <c r="V3114" s="81" t="n"/>
      <c r="W3114" s="43" t="n"/>
    </row>
    <row r="3115">
      <c r="A3115" s="43" t="inlineStr">
        <is>
          <t>L2</t>
        </is>
      </c>
      <c r="B3115" s="43" t="inlineStr">
        <is>
          <t>腹杆拼接</t>
        </is>
      </c>
      <c r="C3115" s="43" t="inlineStr">
        <is>
          <t>节段19~节段20</t>
        </is>
      </c>
      <c r="D3115" s="43" t="inlineStr">
        <is>
          <t>Q355D</t>
        </is>
      </c>
      <c r="E3115" s="43" t="n">
        <v>1320</v>
      </c>
      <c r="F3115" s="43" t="n">
        <v>400</v>
      </c>
      <c r="G3115" s="43" t="n">
        <v>28</v>
      </c>
      <c r="H3115" s="79">
        <f>(E3115/1000)*(F3115/1000)*(G3115/1000)*7850</f>
        <v/>
      </c>
      <c r="I3115" s="43" t="n">
        <v>4</v>
      </c>
      <c r="J3115" s="80">
        <f>H3115*I3115</f>
        <v/>
      </c>
      <c r="K3115" s="43" t="inlineStr">
        <is>
          <t>来源页219</t>
        </is>
      </c>
      <c r="L3115" s="43">
        <f>A3115</f>
        <v/>
      </c>
      <c r="M3115" s="81" t="n"/>
      <c r="N3115" s="81" t="n"/>
      <c r="O3115" s="81" t="n"/>
      <c r="P3115" s="81" t="n"/>
      <c r="Q3115" s="81" t="n"/>
      <c r="R3115" s="81" t="n"/>
      <c r="S3115" s="81" t="n"/>
      <c r="T3115" s="81" t="n"/>
      <c r="U3115" s="81" t="n"/>
      <c r="V3115" s="81" t="n"/>
      <c r="W3115" s="43" t="n"/>
    </row>
    <row r="3116">
      <c r="A3116" s="43" t="inlineStr">
        <is>
          <t>L3</t>
        </is>
      </c>
      <c r="B3116" s="43" t="inlineStr">
        <is>
          <t>腹杆拼接</t>
        </is>
      </c>
      <c r="C3116" s="43" t="inlineStr">
        <is>
          <t>节段19~节段20</t>
        </is>
      </c>
      <c r="D3116" s="43" t="inlineStr">
        <is>
          <t>Q355D</t>
        </is>
      </c>
      <c r="E3116" s="43" t="n">
        <v>1320</v>
      </c>
      <c r="F3116" s="43" t="n">
        <v>500</v>
      </c>
      <c r="G3116" s="43" t="n">
        <v>28</v>
      </c>
      <c r="H3116" s="79">
        <f>(E3116/1000)*(F3116/1000)*(G3116/1000)*7850</f>
        <v/>
      </c>
      <c r="I3116" s="43" t="n">
        <v>4</v>
      </c>
      <c r="J3116" s="80">
        <f>H3116*I3116</f>
        <v/>
      </c>
      <c r="K3116" s="43" t="inlineStr">
        <is>
          <t>来源页219</t>
        </is>
      </c>
      <c r="L3116" s="43">
        <f>A3116</f>
        <v/>
      </c>
      <c r="M3116" s="81" t="n"/>
      <c r="N3116" s="81" t="n"/>
      <c r="O3116" s="81" t="n"/>
      <c r="P3116" s="81" t="n"/>
      <c r="Q3116" s="81" t="n"/>
      <c r="R3116" s="81" t="n"/>
      <c r="S3116" s="81" t="n"/>
      <c r="T3116" s="81" t="n"/>
      <c r="U3116" s="81" t="n"/>
      <c r="V3116" s="81" t="n"/>
      <c r="W3116" s="43" t="n"/>
    </row>
    <row r="3117">
      <c r="A3117" s="43" t="inlineStr">
        <is>
          <t>L4</t>
        </is>
      </c>
      <c r="B3117" s="43" t="inlineStr">
        <is>
          <t>腹杆拼接</t>
        </is>
      </c>
      <c r="C3117" s="43" t="inlineStr">
        <is>
          <t>节段19~节段20</t>
        </is>
      </c>
      <c r="D3117" s="43" t="inlineStr">
        <is>
          <t>Q355D</t>
        </is>
      </c>
      <c r="E3117" s="43" t="n">
        <v>820</v>
      </c>
      <c r="F3117" s="43" t="n">
        <v>200</v>
      </c>
      <c r="G3117" s="43" t="n">
        <v>20</v>
      </c>
      <c r="H3117" s="79">
        <f>(E3117/1000)*(F3117/1000)*(G3117/1000)*7850</f>
        <v/>
      </c>
      <c r="I3117" s="43" t="n">
        <v>4</v>
      </c>
      <c r="J3117" s="80">
        <f>H3117*I3117</f>
        <v/>
      </c>
      <c r="K3117" s="43" t="inlineStr">
        <is>
          <t>来源页219</t>
        </is>
      </c>
      <c r="L3117" s="43">
        <f>A3117</f>
        <v/>
      </c>
      <c r="M3117" s="81" t="n"/>
      <c r="N3117" s="81" t="n"/>
      <c r="O3117" s="81" t="n"/>
      <c r="P3117" s="81" t="n"/>
      <c r="Q3117" s="81" t="n"/>
      <c r="R3117" s="81" t="n"/>
      <c r="S3117" s="81" t="n"/>
      <c r="T3117" s="81" t="n"/>
      <c r="U3117" s="81" t="n"/>
      <c r="V3117" s="81" t="n"/>
      <c r="W3117" s="43" t="n"/>
    </row>
    <row r="3118">
      <c r="A3118" s="43" t="inlineStr">
        <is>
          <t>M30高强螺栓</t>
        </is>
      </c>
      <c r="B3118" s="43" t="inlineStr">
        <is>
          <t>腹杆拼接</t>
        </is>
      </c>
      <c r="C3118" s="43" t="inlineStr">
        <is>
          <t>节段19~节段20</t>
        </is>
      </c>
      <c r="D3118" s="43" t="inlineStr">
        <is>
          <t>10.9S</t>
        </is>
      </c>
      <c r="E3118" s="43" t="n"/>
      <c r="F3118" s="43" t="n"/>
      <c r="G3118" s="43" t="n"/>
      <c r="H3118" s="79">
        <f>(E3118/1000)*(F3118/1000)*(G3118/1000)*7850</f>
        <v/>
      </c>
      <c r="I3118" s="43" t="n">
        <v>507</v>
      </c>
      <c r="J3118" s="80">
        <f>H3118*I3118</f>
        <v/>
      </c>
      <c r="K3118" s="43" t="inlineStr">
        <is>
          <t>来源页219</t>
        </is>
      </c>
      <c r="L3118" s="43">
        <f>A3118</f>
        <v/>
      </c>
      <c r="M3118" s="81" t="n"/>
      <c r="N3118" s="81" t="n"/>
      <c r="O3118" s="81" t="n"/>
      <c r="P3118" s="81" t="n"/>
      <c r="Q3118" s="81" t="n"/>
      <c r="R3118" s="81" t="n"/>
      <c r="S3118" s="81" t="n"/>
      <c r="T3118" s="81" t="n"/>
      <c r="U3118" s="81" t="n"/>
      <c r="V3118" s="81" t="n"/>
      <c r="W3118" s="43" t="n"/>
    </row>
    <row r="3119">
      <c r="A3119" s="43" t="inlineStr">
        <is>
          <t>N11a</t>
        </is>
      </c>
      <c r="B3119" s="43" t="inlineStr"/>
      <c r="C3119" s="43" t="inlineStr">
        <is>
          <t>节段20</t>
        </is>
      </c>
      <c r="D3119" s="43" t="inlineStr">
        <is>
          <t>Q355D</t>
        </is>
      </c>
      <c r="E3119" s="43" t="n"/>
      <c r="F3119" s="43" t="n"/>
      <c r="G3119" s="43" t="n">
        <v>20</v>
      </c>
      <c r="H3119" s="79">
        <f>(E3119/1000)*(F3119/1000)*(G3119/1000)*7850</f>
        <v/>
      </c>
      <c r="I3119" s="43" t="n">
        <v>1</v>
      </c>
      <c r="J3119" s="80">
        <f>H3119*I3119</f>
        <v/>
      </c>
      <c r="K3119" s="43" t="inlineStr">
        <is>
          <t>来源页220</t>
        </is>
      </c>
      <c r="L3119" s="43">
        <f>A3119</f>
        <v/>
      </c>
      <c r="M3119" s="81" t="n"/>
      <c r="N3119" s="81" t="n"/>
      <c r="O3119" s="81" t="n"/>
      <c r="P3119" s="81" t="n"/>
      <c r="Q3119" s="81" t="n"/>
      <c r="R3119" s="81" t="n"/>
      <c r="S3119" s="81" t="n"/>
      <c r="T3119" s="81" t="n"/>
      <c r="U3119" s="81" t="n"/>
      <c r="V3119" s="81" t="n"/>
      <c r="W3119" s="43" t="n"/>
    </row>
    <row r="3120">
      <c r="A3120" s="43" t="inlineStr">
        <is>
          <t>N11b</t>
        </is>
      </c>
      <c r="B3120" s="43" t="inlineStr"/>
      <c r="C3120" s="43" t="inlineStr">
        <is>
          <t>节段20</t>
        </is>
      </c>
      <c r="D3120" s="43" t="inlineStr">
        <is>
          <t>Q355D</t>
        </is>
      </c>
      <c r="E3120" s="43" t="n"/>
      <c r="F3120" s="43" t="n"/>
      <c r="G3120" s="43" t="n">
        <v>20</v>
      </c>
      <c r="H3120" s="79">
        <f>(E3120/1000)*(F3120/1000)*(G3120/1000)*7850</f>
        <v/>
      </c>
      <c r="I3120" s="43" t="n">
        <v>1</v>
      </c>
      <c r="J3120" s="80">
        <f>H3120*I3120</f>
        <v/>
      </c>
      <c r="K3120" s="43" t="inlineStr">
        <is>
          <t>来源页220</t>
        </is>
      </c>
      <c r="L3120" s="43">
        <f>A3120</f>
        <v/>
      </c>
      <c r="M3120" s="81" t="n"/>
      <c r="N3120" s="81" t="n"/>
      <c r="O3120" s="81" t="n"/>
      <c r="P3120" s="81" t="n"/>
      <c r="Q3120" s="81" t="n"/>
      <c r="R3120" s="81" t="n"/>
      <c r="S3120" s="81" t="n"/>
      <c r="T3120" s="81" t="n"/>
      <c r="U3120" s="81" t="n"/>
      <c r="V3120" s="81" t="n"/>
      <c r="W3120" s="43" t="n"/>
    </row>
    <row r="3121">
      <c r="A3121" s="43" t="inlineStr">
        <is>
          <t>N12a</t>
        </is>
      </c>
      <c r="B3121" s="43" t="inlineStr"/>
      <c r="C3121" s="43" t="inlineStr">
        <is>
          <t>节段20</t>
        </is>
      </c>
      <c r="D3121" s="43" t="inlineStr">
        <is>
          <t>Q355D</t>
        </is>
      </c>
      <c r="E3121" s="43" t="n">
        <v>7900</v>
      </c>
      <c r="F3121" s="43" t="n">
        <v>1200</v>
      </c>
      <c r="G3121" s="43" t="n">
        <v>20</v>
      </c>
      <c r="H3121" s="79">
        <f>(E3121/1000)*(F3121/1000)*(G3121/1000)*7850</f>
        <v/>
      </c>
      <c r="I3121" s="43" t="n">
        <v>1</v>
      </c>
      <c r="J3121" s="80">
        <f>H3121*I3121</f>
        <v/>
      </c>
      <c r="K3121" s="43" t="inlineStr">
        <is>
          <t>来源页220</t>
        </is>
      </c>
      <c r="L3121" s="43">
        <f>A3121</f>
        <v/>
      </c>
      <c r="M3121" s="81" t="n"/>
      <c r="N3121" s="81" t="n"/>
      <c r="O3121" s="81" t="n"/>
      <c r="P3121" s="81" t="n"/>
      <c r="Q3121" s="81" t="n"/>
      <c r="R3121" s="81" t="n"/>
      <c r="S3121" s="81" t="n"/>
      <c r="T3121" s="81" t="n"/>
      <c r="U3121" s="81" t="n"/>
      <c r="V3121" s="81" t="n"/>
      <c r="W3121" s="43" t="n"/>
    </row>
    <row r="3122">
      <c r="A3122" s="43" t="inlineStr">
        <is>
          <t>N12b</t>
        </is>
      </c>
      <c r="B3122" s="43" t="inlineStr"/>
      <c r="C3122" s="43" t="inlineStr">
        <is>
          <t>节段20</t>
        </is>
      </c>
      <c r="D3122" s="43" t="inlineStr">
        <is>
          <t>Q355D</t>
        </is>
      </c>
      <c r="E3122" s="43" t="n">
        <v>7300</v>
      </c>
      <c r="F3122" s="43" t="n">
        <v>1200</v>
      </c>
      <c r="G3122" s="43" t="n">
        <v>20</v>
      </c>
      <c r="H3122" s="79">
        <f>(E3122/1000)*(F3122/1000)*(G3122/1000)*7850</f>
        <v/>
      </c>
      <c r="I3122" s="43" t="n">
        <v>1</v>
      </c>
      <c r="J3122" s="80">
        <f>H3122*I3122</f>
        <v/>
      </c>
      <c r="K3122" s="43" t="inlineStr">
        <is>
          <t>来源页220</t>
        </is>
      </c>
      <c r="L3122" s="43">
        <f>A3122</f>
        <v/>
      </c>
      <c r="M3122" s="81" t="n"/>
      <c r="N3122" s="81" t="n"/>
      <c r="O3122" s="81" t="n"/>
      <c r="P3122" s="81" t="n"/>
      <c r="Q3122" s="81" t="n"/>
      <c r="R3122" s="81" t="n"/>
      <c r="S3122" s="81" t="n"/>
      <c r="T3122" s="81" t="n"/>
      <c r="U3122" s="81" t="n"/>
      <c r="V3122" s="81" t="n"/>
      <c r="W3122" s="43" t="n"/>
    </row>
    <row r="3123">
      <c r="A3123" s="43" t="inlineStr">
        <is>
          <t>N13</t>
        </is>
      </c>
      <c r="B3123" s="43" t="inlineStr"/>
      <c r="C3123" s="43" t="inlineStr">
        <is>
          <t>节段20</t>
        </is>
      </c>
      <c r="D3123" s="43" t="inlineStr">
        <is>
          <t>Q355D</t>
        </is>
      </c>
      <c r="E3123" s="43" t="n"/>
      <c r="F3123" s="43" t="n"/>
      <c r="G3123" s="43" t="n">
        <v>40</v>
      </c>
      <c r="H3123" s="79">
        <f>(E3123/1000)*(F3123/1000)*(G3123/1000)*7850</f>
        <v/>
      </c>
      <c r="I3123" s="43" t="n">
        <v>2</v>
      </c>
      <c r="J3123" s="80">
        <f>H3123*I3123</f>
        <v/>
      </c>
      <c r="K3123" s="43" t="inlineStr">
        <is>
          <t>来源页220</t>
        </is>
      </c>
      <c r="L3123" s="43">
        <f>A3123</f>
        <v/>
      </c>
      <c r="M3123" s="81" t="n"/>
      <c r="N3123" s="81" t="n"/>
      <c r="O3123" s="81" t="n"/>
      <c r="P3123" s="81" t="n"/>
      <c r="Q3123" s="81" t="n"/>
      <c r="R3123" s="81" t="n"/>
      <c r="S3123" s="81" t="n"/>
      <c r="T3123" s="81" t="n"/>
      <c r="U3123" s="81" t="n"/>
      <c r="V3123" s="81" t="n"/>
      <c r="W3123" s="43" t="n"/>
    </row>
    <row r="3124">
      <c r="A3124" s="43" t="inlineStr">
        <is>
          <t>N14</t>
        </is>
      </c>
      <c r="B3124" s="43" t="inlineStr"/>
      <c r="C3124" s="43" t="inlineStr">
        <is>
          <t>节段20</t>
        </is>
      </c>
      <c r="D3124" s="43" t="inlineStr">
        <is>
          <t>Q355D</t>
        </is>
      </c>
      <c r="E3124" s="43" t="n">
        <v>7300</v>
      </c>
      <c r="F3124" s="43" t="n">
        <v>1648</v>
      </c>
      <c r="G3124" s="43" t="n">
        <v>20</v>
      </c>
      <c r="H3124" s="79">
        <f>(E3124/1000)*(F3124/1000)*(G3124/1000)*7850</f>
        <v/>
      </c>
      <c r="I3124" s="43" t="n">
        <v>2</v>
      </c>
      <c r="J3124" s="80">
        <f>H3124*I3124</f>
        <v/>
      </c>
      <c r="K3124" s="43" t="inlineStr">
        <is>
          <t>来源页220</t>
        </is>
      </c>
      <c r="L3124" s="43">
        <f>A3124</f>
        <v/>
      </c>
      <c r="M3124" s="81" t="n"/>
      <c r="N3124" s="81" t="n"/>
      <c r="O3124" s="81" t="n"/>
      <c r="P3124" s="81" t="n"/>
      <c r="Q3124" s="81" t="n"/>
      <c r="R3124" s="81" t="n"/>
      <c r="S3124" s="81" t="n"/>
      <c r="T3124" s="81" t="n"/>
      <c r="U3124" s="81" t="n"/>
      <c r="V3124" s="81" t="n"/>
      <c r="W3124" s="43" t="n"/>
    </row>
    <row r="3125">
      <c r="A3125" s="43" t="inlineStr">
        <is>
          <t>N15</t>
        </is>
      </c>
      <c r="B3125" s="43" t="inlineStr"/>
      <c r="C3125" s="43" t="inlineStr">
        <is>
          <t>节段20</t>
        </is>
      </c>
      <c r="D3125" s="43" t="inlineStr">
        <is>
          <t>Q355D</t>
        </is>
      </c>
      <c r="E3125" s="43" t="n">
        <v>1580</v>
      </c>
      <c r="F3125" s="43" t="n">
        <v>1200</v>
      </c>
      <c r="G3125" s="43" t="n">
        <v>16</v>
      </c>
      <c r="H3125" s="79">
        <f>(E3125/1000)*(F3125/1000)*(G3125/1000)*7850</f>
        <v/>
      </c>
      <c r="I3125" s="43" t="n">
        <v>3</v>
      </c>
      <c r="J3125" s="80">
        <f>H3125*I3125</f>
        <v/>
      </c>
      <c r="K3125" s="43" t="inlineStr">
        <is>
          <t>来源页220</t>
        </is>
      </c>
      <c r="L3125" s="43">
        <f>A3125</f>
        <v/>
      </c>
      <c r="M3125" s="81" t="n"/>
      <c r="N3125" s="81" t="n"/>
      <c r="O3125" s="81" t="n"/>
      <c r="P3125" s="81" t="n"/>
      <c r="Q3125" s="81" t="n"/>
      <c r="R3125" s="81" t="n"/>
      <c r="S3125" s="81" t="n"/>
      <c r="T3125" s="81" t="n"/>
      <c r="U3125" s="81" t="n"/>
      <c r="V3125" s="81" t="n"/>
      <c r="W3125" s="43" t="n"/>
    </row>
    <row r="3126">
      <c r="A3126" s="43" t="inlineStr">
        <is>
          <t>N15a</t>
        </is>
      </c>
      <c r="B3126" s="43" t="inlineStr"/>
      <c r="C3126" s="43" t="inlineStr">
        <is>
          <t>节段20</t>
        </is>
      </c>
      <c r="D3126" s="43" t="inlineStr">
        <is>
          <t>Q355D</t>
        </is>
      </c>
      <c r="E3126" s="43" t="n">
        <v>1580</v>
      </c>
      <c r="F3126" s="43" t="n">
        <v>1200</v>
      </c>
      <c r="G3126" s="43" t="n">
        <v>16</v>
      </c>
      <c r="H3126" s="79">
        <f>(E3126/1000)*(F3126/1000)*(G3126/1000)*7850</f>
        <v/>
      </c>
      <c r="I3126" s="43" t="n">
        <v>2</v>
      </c>
      <c r="J3126" s="80">
        <f>H3126*I3126</f>
        <v/>
      </c>
      <c r="K3126" s="43" t="inlineStr">
        <is>
          <t>来源页220</t>
        </is>
      </c>
      <c r="L3126" s="43">
        <f>A3126</f>
        <v/>
      </c>
      <c r="M3126" s="81" t="n"/>
      <c r="N3126" s="81" t="n"/>
      <c r="O3126" s="81" t="n"/>
      <c r="P3126" s="81" t="n"/>
      <c r="Q3126" s="81" t="n"/>
      <c r="R3126" s="81" t="n"/>
      <c r="S3126" s="81" t="n"/>
      <c r="T3126" s="81" t="n"/>
      <c r="U3126" s="81" t="n"/>
      <c r="V3126" s="81" t="n"/>
      <c r="W3126" s="43" t="n"/>
    </row>
    <row r="3127">
      <c r="A3127" s="43" t="inlineStr">
        <is>
          <t>N15‘</t>
        </is>
      </c>
      <c r="B3127" s="43" t="inlineStr"/>
      <c r="C3127" s="43" t="inlineStr">
        <is>
          <t>节段20</t>
        </is>
      </c>
      <c r="D3127" s="43" t="inlineStr">
        <is>
          <t>Q355D</t>
        </is>
      </c>
      <c r="E3127" s="43" t="n">
        <v>1657</v>
      </c>
      <c r="F3127" s="43" t="n">
        <v>200</v>
      </c>
      <c r="G3127" s="43" t="n">
        <v>16</v>
      </c>
      <c r="H3127" s="79">
        <f>(E3127/1000)*(F3127/1000)*(G3127/1000)*7850</f>
        <v/>
      </c>
      <c r="I3127" s="43" t="n">
        <v>3</v>
      </c>
      <c r="J3127" s="80">
        <f>H3127*I3127</f>
        <v/>
      </c>
      <c r="K3127" s="43" t="inlineStr">
        <is>
          <t>来源页220</t>
        </is>
      </c>
      <c r="L3127" s="43">
        <f>A3127</f>
        <v/>
      </c>
      <c r="M3127" s="81" t="n"/>
      <c r="N3127" s="81" t="n"/>
      <c r="O3127" s="81" t="n"/>
      <c r="P3127" s="81" t="n"/>
      <c r="Q3127" s="81" t="n"/>
      <c r="R3127" s="81" t="n"/>
      <c r="S3127" s="81" t="n"/>
      <c r="T3127" s="81" t="n"/>
      <c r="U3127" s="81" t="n"/>
      <c r="V3127" s="81" t="n"/>
      <c r="W3127" s="43" t="n"/>
    </row>
    <row r="3128">
      <c r="A3128" s="43" t="inlineStr">
        <is>
          <t>N15b</t>
        </is>
      </c>
      <c r="B3128" s="43" t="inlineStr"/>
      <c r="C3128" s="43" t="inlineStr">
        <is>
          <t>节段20</t>
        </is>
      </c>
      <c r="D3128" s="43" t="inlineStr">
        <is>
          <t>Q355D</t>
        </is>
      </c>
      <c r="E3128" s="43" t="n">
        <v>1782</v>
      </c>
      <c r="F3128" s="43" t="n">
        <v>40</v>
      </c>
      <c r="G3128" s="43" t="n">
        <v>4</v>
      </c>
      <c r="H3128" s="79">
        <f>(E3128/1000)*(F3128/1000)*(G3128/1000)*7850</f>
        <v/>
      </c>
      <c r="I3128" s="43" t="n">
        <v>4</v>
      </c>
      <c r="J3128" s="80">
        <f>H3128*I3128</f>
        <v/>
      </c>
      <c r="K3128" s="43" t="inlineStr">
        <is>
          <t>来源页220</t>
        </is>
      </c>
      <c r="L3128" s="43">
        <f>A3128</f>
        <v/>
      </c>
      <c r="M3128" s="81" t="n"/>
      <c r="N3128" s="81" t="n"/>
      <c r="O3128" s="81" t="n"/>
      <c r="P3128" s="81" t="n"/>
      <c r="Q3128" s="81" t="n"/>
      <c r="R3128" s="81" t="n"/>
      <c r="S3128" s="81" t="n"/>
      <c r="T3128" s="81" t="n"/>
      <c r="U3128" s="81" t="n"/>
      <c r="V3128" s="81" t="n"/>
      <c r="W3128" s="43" t="n"/>
    </row>
    <row r="3129">
      <c r="A3129" s="43" t="inlineStr">
        <is>
          <t>N15c</t>
        </is>
      </c>
      <c r="B3129" s="43" t="inlineStr"/>
      <c r="C3129" s="43" t="inlineStr">
        <is>
          <t>节段20</t>
        </is>
      </c>
      <c r="D3129" s="43" t="inlineStr">
        <is>
          <t>Q355D</t>
        </is>
      </c>
      <c r="E3129" s="43" t="n">
        <v>600</v>
      </c>
      <c r="F3129" s="43" t="n">
        <v>400</v>
      </c>
      <c r="G3129" s="43" t="n">
        <v>16</v>
      </c>
      <c r="H3129" s="79">
        <f>(E3129/1000)*(F3129/1000)*(G3129/1000)*7850</f>
        <v/>
      </c>
      <c r="I3129" s="43" t="n">
        <v>4</v>
      </c>
      <c r="J3129" s="80">
        <f>H3129*I3129</f>
        <v/>
      </c>
      <c r="K3129" s="43" t="inlineStr">
        <is>
          <t>来源页220</t>
        </is>
      </c>
      <c r="L3129" s="43">
        <f>A3129</f>
        <v/>
      </c>
      <c r="M3129" s="81" t="n"/>
      <c r="N3129" s="81" t="n"/>
      <c r="O3129" s="81" t="n"/>
      <c r="P3129" s="81" t="n"/>
      <c r="Q3129" s="81" t="n"/>
      <c r="R3129" s="81" t="n"/>
      <c r="S3129" s="81" t="n"/>
      <c r="T3129" s="81" t="n"/>
      <c r="U3129" s="81" t="n"/>
      <c r="V3129" s="81" t="n"/>
      <c r="W3129" s="43" t="n"/>
    </row>
    <row r="3130">
      <c r="A3130" s="43" t="inlineStr">
        <is>
          <t>N16a</t>
        </is>
      </c>
      <c r="B3130" s="43" t="inlineStr"/>
      <c r="C3130" s="43" t="inlineStr">
        <is>
          <t>节段20</t>
        </is>
      </c>
      <c r="D3130" s="43" t="inlineStr">
        <is>
          <t>Q355D</t>
        </is>
      </c>
      <c r="E3130" s="43" t="n">
        <v>7900</v>
      </c>
      <c r="F3130" s="43" t="n">
        <v>240</v>
      </c>
      <c r="G3130" s="43" t="n">
        <v>20</v>
      </c>
      <c r="H3130" s="79">
        <f>(E3130/1000)*(F3130/1000)*(G3130/1000)*7850</f>
        <v/>
      </c>
      <c r="I3130" s="43" t="n">
        <v>4</v>
      </c>
      <c r="J3130" s="80">
        <f>H3130*I3130</f>
        <v/>
      </c>
      <c r="K3130" s="43" t="inlineStr">
        <is>
          <t>来源页220</t>
        </is>
      </c>
      <c r="L3130" s="43">
        <f>A3130</f>
        <v/>
      </c>
      <c r="M3130" s="81" t="n"/>
      <c r="N3130" s="81" t="n"/>
      <c r="O3130" s="81" t="n"/>
      <c r="P3130" s="81" t="n"/>
      <c r="Q3130" s="81" t="n"/>
      <c r="R3130" s="81" t="n"/>
      <c r="S3130" s="81" t="n"/>
      <c r="T3130" s="81" t="n"/>
      <c r="U3130" s="81" t="n"/>
      <c r="V3130" s="81" t="n"/>
      <c r="W3130" s="43" t="n"/>
    </row>
    <row r="3131">
      <c r="A3131" s="43" t="inlineStr">
        <is>
          <t>N16a'</t>
        </is>
      </c>
      <c r="B3131" s="43" t="inlineStr"/>
      <c r="C3131" s="43" t="inlineStr">
        <is>
          <t>节段20</t>
        </is>
      </c>
      <c r="D3131" s="43" t="inlineStr">
        <is>
          <t>Q355D</t>
        </is>
      </c>
      <c r="E3131" s="43" t="n">
        <v>7300</v>
      </c>
      <c r="F3131" s="43" t="n">
        <v>240</v>
      </c>
      <c r="G3131" s="43" t="n">
        <v>20</v>
      </c>
      <c r="H3131" s="79">
        <f>(E3131/1000)*(F3131/1000)*(G3131/1000)*7850</f>
        <v/>
      </c>
      <c r="I3131" s="43" t="n">
        <v>2</v>
      </c>
      <c r="J3131" s="80">
        <f>H3131*I3131</f>
        <v/>
      </c>
      <c r="K3131" s="43" t="inlineStr">
        <is>
          <t>来源页220</t>
        </is>
      </c>
      <c r="L3131" s="43">
        <f>A3131</f>
        <v/>
      </c>
      <c r="M3131" s="81" t="n"/>
      <c r="N3131" s="81" t="n"/>
      <c r="O3131" s="81" t="n"/>
      <c r="P3131" s="81" t="n"/>
      <c r="Q3131" s="81" t="n"/>
      <c r="R3131" s="81" t="n"/>
      <c r="S3131" s="81" t="n"/>
      <c r="T3131" s="81" t="n"/>
      <c r="U3131" s="81" t="n"/>
      <c r="V3131" s="81" t="n"/>
      <c r="W3131" s="43" t="n"/>
    </row>
    <row r="3132">
      <c r="A3132" s="43" t="inlineStr">
        <is>
          <t>N21α</t>
        </is>
      </c>
      <c r="B3132" s="43" t="inlineStr"/>
      <c r="C3132" s="43" t="inlineStr">
        <is>
          <t>节段20</t>
        </is>
      </c>
      <c r="D3132" s="43" t="inlineStr">
        <is>
          <t>Q355D</t>
        </is>
      </c>
      <c r="E3132" s="43" t="n">
        <v>7900</v>
      </c>
      <c r="F3132" s="43" t="n">
        <v>1850</v>
      </c>
      <c r="G3132" s="43" t="n">
        <v>20</v>
      </c>
      <c r="H3132" s="79">
        <f>(E3132/1000)*(F3132/1000)*(G3132/1000)*7850</f>
        <v/>
      </c>
      <c r="I3132" s="43" t="n">
        <v>1</v>
      </c>
      <c r="J3132" s="80">
        <f>H3132*I3132</f>
        <v/>
      </c>
      <c r="K3132" s="43" t="inlineStr">
        <is>
          <t>来源页220</t>
        </is>
      </c>
      <c r="L3132" s="43">
        <f>A3132</f>
        <v/>
      </c>
      <c r="M3132" s="81" t="n"/>
      <c r="N3132" s="81" t="n"/>
      <c r="O3132" s="81" t="n"/>
      <c r="P3132" s="81" t="n"/>
      <c r="Q3132" s="81" t="n"/>
      <c r="R3132" s="81" t="n"/>
      <c r="S3132" s="81" t="n"/>
      <c r="T3132" s="81" t="n"/>
      <c r="U3132" s="81" t="n"/>
      <c r="V3132" s="81" t="n"/>
      <c r="W3132" s="43" t="n"/>
    </row>
    <row r="3133">
      <c r="A3133" s="43" t="inlineStr">
        <is>
          <t>N21b</t>
        </is>
      </c>
      <c r="B3133" s="43" t="inlineStr"/>
      <c r="C3133" s="43" t="inlineStr">
        <is>
          <t>节段20</t>
        </is>
      </c>
      <c r="D3133" s="43" t="inlineStr">
        <is>
          <t>Q355D</t>
        </is>
      </c>
      <c r="E3133" s="43" t="n">
        <v>7100</v>
      </c>
      <c r="F3133" s="43" t="n">
        <v>1850</v>
      </c>
      <c r="G3133" s="43" t="n">
        <v>20</v>
      </c>
      <c r="H3133" s="79">
        <f>(E3133/1000)*(F3133/1000)*(G3133/1000)*7850</f>
        <v/>
      </c>
      <c r="I3133" s="43" t="n">
        <v>1</v>
      </c>
      <c r="J3133" s="80">
        <f>H3133*I3133</f>
        <v/>
      </c>
      <c r="K3133" s="43" t="inlineStr">
        <is>
          <t>来源页220</t>
        </is>
      </c>
      <c r="L3133" s="43">
        <f>A3133</f>
        <v/>
      </c>
      <c r="M3133" s="81" t="n"/>
      <c r="N3133" s="81" t="n"/>
      <c r="O3133" s="81" t="n"/>
      <c r="P3133" s="81" t="n"/>
      <c r="Q3133" s="81" t="n"/>
      <c r="R3133" s="81" t="n"/>
      <c r="S3133" s="81" t="n"/>
      <c r="T3133" s="81" t="n"/>
      <c r="U3133" s="81" t="n"/>
      <c r="V3133" s="81" t="n"/>
      <c r="W3133" s="43" t="n"/>
    </row>
    <row r="3134">
      <c r="A3134" s="43" t="inlineStr">
        <is>
          <t>N22a</t>
        </is>
      </c>
      <c r="B3134" s="43" t="inlineStr"/>
      <c r="C3134" s="43" t="inlineStr">
        <is>
          <t>节段20</t>
        </is>
      </c>
      <c r="D3134" s="43" t="inlineStr">
        <is>
          <t>Q355D</t>
        </is>
      </c>
      <c r="E3134" s="43" t="n"/>
      <c r="F3134" s="43" t="n"/>
      <c r="G3134" s="43" t="n">
        <v>20</v>
      </c>
      <c r="H3134" s="79">
        <f>(E3134/1000)*(F3134/1000)*(G3134/1000)*7850</f>
        <v/>
      </c>
      <c r="I3134" s="43" t="n">
        <v>1</v>
      </c>
      <c r="J3134" s="80">
        <f>H3134*I3134</f>
        <v/>
      </c>
      <c r="K3134" s="43" t="inlineStr">
        <is>
          <t>来源页220</t>
        </is>
      </c>
      <c r="L3134" s="43">
        <f>A3134</f>
        <v/>
      </c>
      <c r="M3134" s="81" t="n"/>
      <c r="N3134" s="81" t="n"/>
      <c r="O3134" s="81" t="n"/>
      <c r="P3134" s="81" t="n"/>
      <c r="Q3134" s="81" t="n"/>
      <c r="R3134" s="81" t="n"/>
      <c r="S3134" s="81" t="n"/>
      <c r="T3134" s="81" t="n"/>
      <c r="U3134" s="81" t="n"/>
      <c r="V3134" s="81" t="n"/>
      <c r="W3134" s="43" t="n"/>
    </row>
    <row r="3135">
      <c r="A3135" s="43" t="inlineStr">
        <is>
          <t>N22b</t>
        </is>
      </c>
      <c r="B3135" s="43" t="inlineStr"/>
      <c r="C3135" s="43" t="inlineStr">
        <is>
          <t>节段20</t>
        </is>
      </c>
      <c r="D3135" s="43" t="inlineStr">
        <is>
          <t>Q355D</t>
        </is>
      </c>
      <c r="E3135" s="43" t="n"/>
      <c r="F3135" s="43" t="n"/>
      <c r="G3135" s="43" t="n">
        <v>20</v>
      </c>
      <c r="H3135" s="79">
        <f>(E3135/1000)*(F3135/1000)*(G3135/1000)*7850</f>
        <v/>
      </c>
      <c r="I3135" s="43" t="n">
        <v>1</v>
      </c>
      <c r="J3135" s="80">
        <f>H3135*I3135</f>
        <v/>
      </c>
      <c r="K3135" s="43" t="inlineStr">
        <is>
          <t>来源页220</t>
        </is>
      </c>
      <c r="L3135" s="43">
        <f>A3135</f>
        <v/>
      </c>
      <c r="M3135" s="81" t="n"/>
      <c r="N3135" s="81" t="n"/>
      <c r="O3135" s="81" t="n"/>
      <c r="P3135" s="81" t="n"/>
      <c r="Q3135" s="81" t="n"/>
      <c r="R3135" s="81" t="n"/>
      <c r="S3135" s="81" t="n"/>
      <c r="T3135" s="81" t="n"/>
      <c r="U3135" s="81" t="n"/>
      <c r="V3135" s="81" t="n"/>
      <c r="W3135" s="43" t="n"/>
    </row>
    <row r="3136">
      <c r="A3136" s="43" t="inlineStr">
        <is>
          <t>N23</t>
        </is>
      </c>
      <c r="B3136" s="43" t="inlineStr"/>
      <c r="C3136" s="43" t="inlineStr">
        <is>
          <t>节段20</t>
        </is>
      </c>
      <c r="D3136" s="43" t="inlineStr">
        <is>
          <t>Q355D</t>
        </is>
      </c>
      <c r="E3136" s="43" t="n"/>
      <c r="F3136" s="43" t="n"/>
      <c r="G3136" s="43" t="n">
        <v>40</v>
      </c>
      <c r="H3136" s="79">
        <f>(E3136/1000)*(F3136/1000)*(G3136/1000)*7850</f>
        <v/>
      </c>
      <c r="I3136" s="43" t="n">
        <v>2</v>
      </c>
      <c r="J3136" s="80">
        <f>H3136*I3136</f>
        <v/>
      </c>
      <c r="K3136" s="43" t="inlineStr">
        <is>
          <t>Z35钢；来源页220</t>
        </is>
      </c>
      <c r="L3136" s="43">
        <f>A3136</f>
        <v/>
      </c>
      <c r="M3136" s="81" t="n"/>
      <c r="N3136" s="81" t="n"/>
      <c r="O3136" s="81" t="n"/>
      <c r="P3136" s="81" t="n"/>
      <c r="Q3136" s="81" t="n"/>
      <c r="R3136" s="81" t="n"/>
      <c r="S3136" s="81" t="n"/>
      <c r="T3136" s="81" t="n"/>
      <c r="U3136" s="81" t="n"/>
      <c r="V3136" s="81" t="n"/>
      <c r="W3136" s="43" t="n"/>
    </row>
    <row r="3137">
      <c r="A3137" s="43" t="inlineStr">
        <is>
          <t>N24</t>
        </is>
      </c>
      <c r="B3137" s="43" t="inlineStr"/>
      <c r="C3137" s="43" t="inlineStr">
        <is>
          <t>节段20</t>
        </is>
      </c>
      <c r="D3137" s="43" t="inlineStr">
        <is>
          <t>Q355D</t>
        </is>
      </c>
      <c r="E3137" s="43" t="n">
        <v>7300</v>
      </c>
      <c r="F3137" s="43" t="n">
        <v>1470</v>
      </c>
      <c r="G3137" s="43" t="n">
        <v>24</v>
      </c>
      <c r="H3137" s="79">
        <f>(E3137/1000)*(F3137/1000)*(G3137/1000)*7850</f>
        <v/>
      </c>
      <c r="I3137" s="43" t="n">
        <v>2</v>
      </c>
      <c r="J3137" s="80">
        <f>H3137*I3137</f>
        <v/>
      </c>
      <c r="K3137" s="43" t="inlineStr">
        <is>
          <t>来源页220</t>
        </is>
      </c>
      <c r="L3137" s="43">
        <f>A3137</f>
        <v/>
      </c>
      <c r="M3137" s="81" t="n"/>
      <c r="N3137" s="81" t="n"/>
      <c r="O3137" s="81" t="n"/>
      <c r="P3137" s="81" t="n"/>
      <c r="Q3137" s="81" t="n"/>
      <c r="R3137" s="81" t="n"/>
      <c r="S3137" s="81" t="n"/>
      <c r="T3137" s="81" t="n"/>
      <c r="U3137" s="81" t="n"/>
      <c r="V3137" s="81" t="n"/>
      <c r="W3137" s="43" t="n"/>
    </row>
    <row r="3138">
      <c r="A3138" s="43" t="inlineStr">
        <is>
          <t>N25</t>
        </is>
      </c>
      <c r="B3138" s="43" t="inlineStr"/>
      <c r="C3138" s="43" t="inlineStr">
        <is>
          <t>节段20</t>
        </is>
      </c>
      <c r="D3138" s="43" t="inlineStr">
        <is>
          <t>Q355D</t>
        </is>
      </c>
      <c r="E3138" s="43" t="n">
        <v>1450</v>
      </c>
      <c r="F3138" s="43" t="n">
        <v>1200</v>
      </c>
      <c r="G3138" s="43" t="n">
        <v>16</v>
      </c>
      <c r="H3138" s="79">
        <f>(E3138/1000)*(F3138/1000)*(G3138/1000)*7850</f>
        <v/>
      </c>
      <c r="I3138" s="43" t="n">
        <v>3</v>
      </c>
      <c r="J3138" s="80">
        <f>H3138*I3138</f>
        <v/>
      </c>
      <c r="K3138" s="43" t="inlineStr">
        <is>
          <t>来源页220</t>
        </is>
      </c>
      <c r="L3138" s="43">
        <f>A3138</f>
        <v/>
      </c>
      <c r="M3138" s="81" t="n"/>
      <c r="N3138" s="81" t="n"/>
      <c r="O3138" s="81" t="n"/>
      <c r="P3138" s="81" t="n"/>
      <c r="Q3138" s="81" t="n"/>
      <c r="R3138" s="81" t="n"/>
      <c r="S3138" s="81" t="n"/>
      <c r="T3138" s="81" t="n"/>
      <c r="U3138" s="81" t="n"/>
      <c r="V3138" s="81" t="n"/>
      <c r="W3138" s="43" t="n"/>
    </row>
    <row r="3139">
      <c r="A3139" s="43" t="inlineStr">
        <is>
          <t>N25a</t>
        </is>
      </c>
      <c r="B3139" s="43" t="inlineStr"/>
      <c r="C3139" s="43" t="inlineStr">
        <is>
          <t>节段20</t>
        </is>
      </c>
      <c r="D3139" s="43" t="inlineStr">
        <is>
          <t>Q355D</t>
        </is>
      </c>
      <c r="E3139" s="43" t="n">
        <v>1450</v>
      </c>
      <c r="F3139" s="43" t="n">
        <v>1200</v>
      </c>
      <c r="G3139" s="43" t="n">
        <v>16</v>
      </c>
      <c r="H3139" s="79">
        <f>(E3139/1000)*(F3139/1000)*(G3139/1000)*7850</f>
        <v/>
      </c>
      <c r="I3139" s="43" t="n">
        <v>2</v>
      </c>
      <c r="J3139" s="80">
        <f>H3139*I3139</f>
        <v/>
      </c>
      <c r="K3139" s="43" t="inlineStr">
        <is>
          <t>来源页220</t>
        </is>
      </c>
      <c r="L3139" s="43">
        <f>A3139</f>
        <v/>
      </c>
      <c r="M3139" s="81" t="n"/>
      <c r="N3139" s="81" t="n"/>
      <c r="O3139" s="81" t="n"/>
      <c r="P3139" s="81" t="n"/>
      <c r="Q3139" s="81" t="n"/>
      <c r="R3139" s="81" t="n"/>
      <c r="S3139" s="81" t="n"/>
      <c r="T3139" s="81" t="n"/>
      <c r="U3139" s="81" t="n"/>
      <c r="V3139" s="81" t="n"/>
      <c r="W3139" s="43" t="n"/>
    </row>
    <row r="3140">
      <c r="A3140" s="43" t="inlineStr">
        <is>
          <t>N25'</t>
        </is>
      </c>
      <c r="B3140" s="43" t="inlineStr"/>
      <c r="C3140" s="43" t="inlineStr">
        <is>
          <t>节段20</t>
        </is>
      </c>
      <c r="D3140" s="43" t="inlineStr">
        <is>
          <t>Q355D</t>
        </is>
      </c>
      <c r="E3140" s="43" t="n">
        <v>1657</v>
      </c>
      <c r="F3140" s="43" t="n">
        <v>200</v>
      </c>
      <c r="G3140" s="43" t="n">
        <v>16</v>
      </c>
      <c r="H3140" s="79">
        <f>(E3140/1000)*(F3140/1000)*(G3140/1000)*7850</f>
        <v/>
      </c>
      <c r="I3140" s="43" t="n">
        <v>3</v>
      </c>
      <c r="J3140" s="80">
        <f>H3140*I3140</f>
        <v/>
      </c>
      <c r="K3140" s="43" t="inlineStr">
        <is>
          <t>来源页220</t>
        </is>
      </c>
      <c r="L3140" s="43">
        <f>A3140</f>
        <v/>
      </c>
      <c r="M3140" s="81" t="n"/>
      <c r="N3140" s="81" t="n"/>
      <c r="O3140" s="81" t="n"/>
      <c r="P3140" s="81" t="n"/>
      <c r="Q3140" s="81" t="n"/>
      <c r="R3140" s="81" t="n"/>
      <c r="S3140" s="81" t="n"/>
      <c r="T3140" s="81" t="n"/>
      <c r="U3140" s="81" t="n"/>
      <c r="V3140" s="81" t="n"/>
      <c r="W3140" s="43" t="n"/>
    </row>
    <row r="3141">
      <c r="A3141" s="43" t="inlineStr">
        <is>
          <t>N26a</t>
        </is>
      </c>
      <c r="B3141" s="43" t="inlineStr"/>
      <c r="C3141" s="43" t="inlineStr">
        <is>
          <t>节段20</t>
        </is>
      </c>
      <c r="D3141" s="43" t="inlineStr">
        <is>
          <t>Q355D</t>
        </is>
      </c>
      <c r="E3141" s="43" t="n">
        <v>7900</v>
      </c>
      <c r="F3141" s="43" t="n">
        <v>240</v>
      </c>
      <c r="G3141" s="43" t="n">
        <v>20</v>
      </c>
      <c r="H3141" s="79">
        <f>(E3141/1000)*(F3141/1000)*(G3141/1000)*7850</f>
        <v/>
      </c>
      <c r="I3141" s="43" t="n">
        <v>4</v>
      </c>
      <c r="J3141" s="80">
        <f>H3141*I3141</f>
        <v/>
      </c>
      <c r="K3141" s="43" t="inlineStr">
        <is>
          <t>来源页220</t>
        </is>
      </c>
      <c r="L3141" s="43">
        <f>A3141</f>
        <v/>
      </c>
      <c r="M3141" s="81" t="n"/>
      <c r="N3141" s="81" t="n"/>
      <c r="O3141" s="81" t="n"/>
      <c r="P3141" s="81" t="n"/>
      <c r="Q3141" s="81" t="n"/>
      <c r="R3141" s="81" t="n"/>
      <c r="S3141" s="81" t="n"/>
      <c r="T3141" s="81" t="n"/>
      <c r="U3141" s="81" t="n"/>
      <c r="V3141" s="81" t="n"/>
      <c r="W3141" s="43" t="n"/>
    </row>
    <row r="3142">
      <c r="A3142" s="43" t="inlineStr">
        <is>
          <t>N26b</t>
        </is>
      </c>
      <c r="B3142" s="43" t="inlineStr"/>
      <c r="C3142" s="43" t="inlineStr">
        <is>
          <t>节段20</t>
        </is>
      </c>
      <c r="D3142" s="43" t="inlineStr">
        <is>
          <t>Q355D</t>
        </is>
      </c>
      <c r="E3142" s="43" t="n">
        <v>7100</v>
      </c>
      <c r="F3142" s="43" t="n">
        <v>240</v>
      </c>
      <c r="G3142" s="43" t="n">
        <v>20</v>
      </c>
      <c r="H3142" s="79">
        <f>(E3142/1000)*(F3142/1000)*(G3142/1000)*7850</f>
        <v/>
      </c>
      <c r="I3142" s="43" t="n">
        <v>4</v>
      </c>
      <c r="J3142" s="80">
        <f>H3142*I3142</f>
        <v/>
      </c>
      <c r="K3142" s="43" t="inlineStr">
        <is>
          <t>来源页220</t>
        </is>
      </c>
      <c r="L3142" s="43">
        <f>A3142</f>
        <v/>
      </c>
      <c r="M3142" s="81" t="n"/>
      <c r="N3142" s="81" t="n"/>
      <c r="O3142" s="81" t="n"/>
      <c r="P3142" s="81" t="n"/>
      <c r="Q3142" s="81" t="n"/>
      <c r="R3142" s="81" t="n"/>
      <c r="S3142" s="81" t="n"/>
      <c r="T3142" s="81" t="n"/>
      <c r="U3142" s="81" t="n"/>
      <c r="V3142" s="81" t="n"/>
      <c r="W3142" s="43" t="n"/>
    </row>
    <row r="3143">
      <c r="A3143" s="43" t="inlineStr">
        <is>
          <t>N26c</t>
        </is>
      </c>
      <c r="B3143" s="43" t="inlineStr"/>
      <c r="C3143" s="43" t="inlineStr">
        <is>
          <t>节段20</t>
        </is>
      </c>
      <c r="D3143" s="43" t="inlineStr">
        <is>
          <t>Q355D</t>
        </is>
      </c>
      <c r="E3143" s="43" t="n">
        <v>15000</v>
      </c>
      <c r="F3143" s="43" t="n">
        <v>170</v>
      </c>
      <c r="G3143" s="43" t="n">
        <v>14</v>
      </c>
      <c r="H3143" s="79">
        <f>(E3143/1000)*(F3143/1000)*(G3143/1000)*7850</f>
        <v/>
      </c>
      <c r="I3143" s="43" t="n">
        <v>1</v>
      </c>
      <c r="J3143" s="80">
        <f>H3143*I3143</f>
        <v/>
      </c>
      <c r="K3143" s="43" t="inlineStr">
        <is>
          <t>来源页220</t>
        </is>
      </c>
      <c r="L3143" s="43">
        <f>A3143</f>
        <v/>
      </c>
      <c r="M3143" s="81" t="n"/>
      <c r="N3143" s="81" t="n"/>
      <c r="O3143" s="81" t="n"/>
      <c r="P3143" s="81" t="n"/>
      <c r="Q3143" s="81" t="n"/>
      <c r="R3143" s="81" t="n"/>
      <c r="S3143" s="81" t="n"/>
      <c r="T3143" s="81" t="n"/>
      <c r="U3143" s="81" t="n"/>
      <c r="V3143" s="81" t="n"/>
      <c r="W3143" s="43" t="n"/>
    </row>
    <row r="3144">
      <c r="A3144" s="43" t="inlineStr">
        <is>
          <t>N31</t>
        </is>
      </c>
      <c r="B3144" s="43" t="inlineStr"/>
      <c r="C3144" s="43" t="inlineStr">
        <is>
          <t>节段20</t>
        </is>
      </c>
      <c r="D3144" s="43" t="inlineStr">
        <is>
          <t>Q355D</t>
        </is>
      </c>
      <c r="E3144" s="43" t="n">
        <v>7227</v>
      </c>
      <c r="F3144" s="43" t="n">
        <v>900</v>
      </c>
      <c r="G3144" s="43" t="n">
        <v>36</v>
      </c>
      <c r="H3144" s="79">
        <f>(E3144/1000)*(F3144/1000)*(G3144/1000)*7850</f>
        <v/>
      </c>
      <c r="I3144" s="43" t="n">
        <v>2</v>
      </c>
      <c r="J3144" s="80">
        <f>H3144*I3144</f>
        <v/>
      </c>
      <c r="K3144" s="43" t="inlineStr">
        <is>
          <t>来源页220</t>
        </is>
      </c>
      <c r="L3144" s="43">
        <f>A3144</f>
        <v/>
      </c>
      <c r="M3144" s="81" t="n"/>
      <c r="N3144" s="81" t="n"/>
      <c r="O3144" s="81" t="n"/>
      <c r="P3144" s="81" t="n"/>
      <c r="Q3144" s="81" t="n"/>
      <c r="R3144" s="81" t="n"/>
      <c r="S3144" s="81" t="n"/>
      <c r="T3144" s="81" t="n"/>
      <c r="U3144" s="81" t="n"/>
      <c r="V3144" s="81" t="n"/>
      <c r="W3144" s="43" t="n"/>
    </row>
    <row r="3145">
      <c r="A3145" s="43" t="inlineStr">
        <is>
          <t>N32</t>
        </is>
      </c>
      <c r="B3145" s="43" t="inlineStr"/>
      <c r="C3145" s="43" t="inlineStr">
        <is>
          <t>节段20</t>
        </is>
      </c>
      <c r="D3145" s="43" t="inlineStr">
        <is>
          <t>Q355D</t>
        </is>
      </c>
      <c r="E3145" s="43" t="n">
        <v>12027</v>
      </c>
      <c r="F3145" s="43" t="n">
        <v>1200</v>
      </c>
      <c r="G3145" s="43" t="n">
        <v>32</v>
      </c>
      <c r="H3145" s="79">
        <f>(E3145/1000)*(F3145/1000)*(G3145/1000)*7850</f>
        <v/>
      </c>
      <c r="I3145" s="43" t="n">
        <v>1</v>
      </c>
      <c r="J3145" s="80">
        <f>H3145*I3145</f>
        <v/>
      </c>
      <c r="K3145" s="43" t="inlineStr">
        <is>
          <t>来源页220</t>
        </is>
      </c>
      <c r="L3145" s="43">
        <f>A3145</f>
        <v/>
      </c>
      <c r="M3145" s="81" t="n"/>
      <c r="N3145" s="81" t="n"/>
      <c r="O3145" s="81" t="n"/>
      <c r="P3145" s="81" t="n"/>
      <c r="Q3145" s="81" t="n"/>
      <c r="R3145" s="81" t="n"/>
      <c r="S3145" s="81" t="n"/>
      <c r="T3145" s="81" t="n"/>
      <c r="U3145" s="81" t="n"/>
      <c r="V3145" s="81" t="n"/>
      <c r="W3145" s="43" t="n"/>
    </row>
    <row r="3146">
      <c r="A3146" s="43" t="inlineStr">
        <is>
          <t>N33</t>
        </is>
      </c>
      <c r="B3146" s="43" t="inlineStr"/>
      <c r="C3146" s="43" t="inlineStr">
        <is>
          <t>节段20</t>
        </is>
      </c>
      <c r="D3146" s="43" t="inlineStr">
        <is>
          <t>Q355D</t>
        </is>
      </c>
      <c r="E3146" s="43" t="n">
        <v>10627</v>
      </c>
      <c r="F3146" s="43" t="n">
        <v>240</v>
      </c>
      <c r="G3146" s="43" t="n">
        <v>24</v>
      </c>
      <c r="H3146" s="79">
        <f>(E3146/1000)*(F3146/1000)*(G3146/1000)*7850</f>
        <v/>
      </c>
      <c r="I3146" s="43" t="n">
        <v>2</v>
      </c>
      <c r="J3146" s="80">
        <f>H3146*I3146</f>
        <v/>
      </c>
      <c r="K3146" s="43" t="inlineStr">
        <is>
          <t>来源页220</t>
        </is>
      </c>
      <c r="L3146" s="43">
        <f>A3146</f>
        <v/>
      </c>
      <c r="M3146" s="81" t="n"/>
      <c r="N3146" s="81" t="n"/>
      <c r="O3146" s="81" t="n"/>
      <c r="P3146" s="81" t="n"/>
      <c r="Q3146" s="81" t="n"/>
      <c r="R3146" s="81" t="n"/>
      <c r="S3146" s="81" t="n"/>
      <c r="T3146" s="81" t="n"/>
      <c r="U3146" s="81" t="n"/>
      <c r="V3146" s="81" t="n"/>
      <c r="W3146" s="43" t="n"/>
    </row>
    <row r="3147">
      <c r="A3147" s="43" t="inlineStr">
        <is>
          <t>N41</t>
        </is>
      </c>
      <c r="B3147" s="43" t="inlineStr"/>
      <c r="C3147" s="43" t="inlineStr">
        <is>
          <t>节段20</t>
        </is>
      </c>
      <c r="D3147" s="43" t="inlineStr">
        <is>
          <t>Q355D</t>
        </is>
      </c>
      <c r="E3147" s="43" t="n">
        <v>3657</v>
      </c>
      <c r="F3147" s="43" t="n">
        <v>900</v>
      </c>
      <c r="G3147" s="43" t="n">
        <v>36</v>
      </c>
      <c r="H3147" s="79">
        <f>(E3147/1000)*(F3147/1000)*(G3147/1000)*7850</f>
        <v/>
      </c>
      <c r="I3147" s="43" t="n">
        <v>2</v>
      </c>
      <c r="J3147" s="80">
        <f>H3147*I3147</f>
        <v/>
      </c>
      <c r="K3147" s="43" t="inlineStr">
        <is>
          <t>来源页220</t>
        </is>
      </c>
      <c r="L3147" s="43">
        <f>A3147</f>
        <v/>
      </c>
      <c r="M3147" s="81" t="n"/>
      <c r="N3147" s="81" t="n"/>
      <c r="O3147" s="81" t="n"/>
      <c r="P3147" s="81" t="n"/>
      <c r="Q3147" s="81" t="n"/>
      <c r="R3147" s="81" t="n"/>
      <c r="S3147" s="81" t="n"/>
      <c r="T3147" s="81" t="n"/>
      <c r="U3147" s="81" t="n"/>
      <c r="V3147" s="81" t="n"/>
      <c r="W3147" s="43" t="n"/>
    </row>
    <row r="3148">
      <c r="A3148" s="43" t="inlineStr">
        <is>
          <t>N42</t>
        </is>
      </c>
      <c r="B3148" s="43" t="inlineStr"/>
      <c r="C3148" s="43" t="inlineStr">
        <is>
          <t>节段20</t>
        </is>
      </c>
      <c r="D3148" s="43" t="inlineStr">
        <is>
          <t>Q355D</t>
        </is>
      </c>
      <c r="E3148" s="43" t="n">
        <v>5957</v>
      </c>
      <c r="F3148" s="43" t="n">
        <v>1200</v>
      </c>
      <c r="G3148" s="43" t="n">
        <v>32</v>
      </c>
      <c r="H3148" s="79">
        <f>(E3148/1000)*(F3148/1000)*(G3148/1000)*7850</f>
        <v/>
      </c>
      <c r="I3148" s="43" t="n">
        <v>1</v>
      </c>
      <c r="J3148" s="80">
        <f>H3148*I3148</f>
        <v/>
      </c>
      <c r="K3148" s="43" t="inlineStr">
        <is>
          <t>来源页220</t>
        </is>
      </c>
      <c r="L3148" s="43">
        <f>A3148</f>
        <v/>
      </c>
      <c r="M3148" s="81" t="n"/>
      <c r="N3148" s="81" t="n"/>
      <c r="O3148" s="81" t="n"/>
      <c r="P3148" s="81" t="n"/>
      <c r="Q3148" s="81" t="n"/>
      <c r="R3148" s="81" t="n"/>
      <c r="S3148" s="81" t="n"/>
      <c r="T3148" s="81" t="n"/>
      <c r="U3148" s="81" t="n"/>
      <c r="V3148" s="81" t="n"/>
      <c r="W3148" s="43" t="n"/>
    </row>
    <row r="3149">
      <c r="A3149" s="43" t="inlineStr">
        <is>
          <t>N43</t>
        </is>
      </c>
      <c r="B3149" s="43" t="inlineStr"/>
      <c r="C3149" s="43" t="inlineStr">
        <is>
          <t>节段20</t>
        </is>
      </c>
      <c r="D3149" s="43" t="inlineStr">
        <is>
          <t>Q355D</t>
        </is>
      </c>
      <c r="E3149" s="43" t="n">
        <v>5257</v>
      </c>
      <c r="F3149" s="43" t="n">
        <v>240</v>
      </c>
      <c r="G3149" s="43" t="n">
        <v>24</v>
      </c>
      <c r="H3149" s="79">
        <f>(E3149/1000)*(F3149/1000)*(G3149/1000)*7850</f>
        <v/>
      </c>
      <c r="I3149" s="43" t="n">
        <v>2</v>
      </c>
      <c r="J3149" s="80">
        <f>H3149*I3149</f>
        <v/>
      </c>
      <c r="K3149" s="43" t="inlineStr">
        <is>
          <t>来源页220</t>
        </is>
      </c>
      <c r="L3149" s="43">
        <f>A3149</f>
        <v/>
      </c>
      <c r="M3149" s="81" t="n"/>
      <c r="N3149" s="81" t="n"/>
      <c r="O3149" s="81" t="n"/>
      <c r="P3149" s="81" t="n"/>
      <c r="Q3149" s="81" t="n"/>
      <c r="R3149" s="81" t="n"/>
      <c r="S3149" s="81" t="n"/>
      <c r="T3149" s="81" t="n"/>
      <c r="U3149" s="81" t="n"/>
      <c r="V3149" s="81" t="n"/>
      <c r="W3149" s="43" t="n"/>
    </row>
    <row r="3150">
      <c r="A3150" s="43" t="inlineStr">
        <is>
          <t>N51</t>
        </is>
      </c>
      <c r="B3150" s="43" t="inlineStr"/>
      <c r="C3150" s="43" t="inlineStr">
        <is>
          <t>节段20</t>
        </is>
      </c>
      <c r="D3150" s="43" t="inlineStr">
        <is>
          <t>Q355D</t>
        </is>
      </c>
      <c r="E3150" s="43" t="n">
        <v>3640</v>
      </c>
      <c r="F3150" s="43" t="n">
        <v>900</v>
      </c>
      <c r="G3150" s="43" t="n">
        <v>36</v>
      </c>
      <c r="H3150" s="79">
        <f>(E3150/1000)*(F3150/1000)*(G3150/1000)*7850</f>
        <v/>
      </c>
      <c r="I3150" s="43" t="n">
        <v>2</v>
      </c>
      <c r="J3150" s="80">
        <f>H3150*I3150</f>
        <v/>
      </c>
      <c r="K3150" s="43" t="inlineStr">
        <is>
          <t>来源页220</t>
        </is>
      </c>
      <c r="L3150" s="43">
        <f>A3150</f>
        <v/>
      </c>
      <c r="M3150" s="81" t="n"/>
      <c r="N3150" s="81" t="n"/>
      <c r="O3150" s="81" t="n"/>
      <c r="P3150" s="81" t="n"/>
      <c r="Q3150" s="81" t="n"/>
      <c r="R3150" s="81" t="n"/>
      <c r="S3150" s="81" t="n"/>
      <c r="T3150" s="81" t="n"/>
      <c r="U3150" s="81" t="n"/>
      <c r="V3150" s="81" t="n"/>
      <c r="W3150" s="43" t="n"/>
    </row>
    <row r="3151">
      <c r="A3151" s="43" t="inlineStr">
        <is>
          <t>N52</t>
        </is>
      </c>
      <c r="B3151" s="43" t="inlineStr"/>
      <c r="C3151" s="43" t="inlineStr">
        <is>
          <t>节段20</t>
        </is>
      </c>
      <c r="D3151" s="43" t="inlineStr">
        <is>
          <t>Q355D</t>
        </is>
      </c>
      <c r="E3151" s="43" t="n">
        <v>6240</v>
      </c>
      <c r="F3151" s="43" t="n">
        <v>1200</v>
      </c>
      <c r="G3151" s="43" t="n">
        <v>32</v>
      </c>
      <c r="H3151" s="79">
        <f>(E3151/1000)*(F3151/1000)*(G3151/1000)*7850</f>
        <v/>
      </c>
      <c r="I3151" s="43" t="n">
        <v>1</v>
      </c>
      <c r="J3151" s="80">
        <f>H3151*I3151</f>
        <v/>
      </c>
      <c r="K3151" s="43" t="inlineStr">
        <is>
          <t>来源页220</t>
        </is>
      </c>
      <c r="L3151" s="43">
        <f>A3151</f>
        <v/>
      </c>
      <c r="M3151" s="81" t="n"/>
      <c r="N3151" s="81" t="n"/>
      <c r="O3151" s="81" t="n"/>
      <c r="P3151" s="81" t="n"/>
      <c r="Q3151" s="81" t="n"/>
      <c r="R3151" s="81" t="n"/>
      <c r="S3151" s="81" t="n"/>
      <c r="T3151" s="81" t="n"/>
      <c r="U3151" s="81" t="n"/>
      <c r="V3151" s="81" t="n"/>
      <c r="W3151" s="43" t="n"/>
    </row>
    <row r="3152">
      <c r="A3152" s="43" t="inlineStr">
        <is>
          <t>N53</t>
        </is>
      </c>
      <c r="B3152" s="43" t="inlineStr"/>
      <c r="C3152" s="43" t="inlineStr">
        <is>
          <t>节段20</t>
        </is>
      </c>
      <c r="D3152" s="43" t="inlineStr">
        <is>
          <t>Q355D</t>
        </is>
      </c>
      <c r="E3152" s="43" t="n">
        <v>5540</v>
      </c>
      <c r="F3152" s="43" t="n">
        <v>240</v>
      </c>
      <c r="G3152" s="43" t="n">
        <v>24</v>
      </c>
      <c r="H3152" s="79">
        <f>(E3152/1000)*(F3152/1000)*(G3152/1000)*7850</f>
        <v/>
      </c>
      <c r="I3152" s="43" t="n">
        <v>2</v>
      </c>
      <c r="J3152" s="80">
        <f>H3152*I3152</f>
        <v/>
      </c>
      <c r="K3152" s="43" t="inlineStr">
        <is>
          <t>来源页220</t>
        </is>
      </c>
      <c r="L3152" s="43">
        <f>A3152</f>
        <v/>
      </c>
      <c r="M3152" s="81" t="n"/>
      <c r="N3152" s="81" t="n"/>
      <c r="O3152" s="81" t="n"/>
      <c r="P3152" s="81" t="n"/>
      <c r="Q3152" s="81" t="n"/>
      <c r="R3152" s="81" t="n"/>
      <c r="S3152" s="81" t="n"/>
      <c r="T3152" s="81" t="n"/>
      <c r="U3152" s="81" t="n"/>
      <c r="V3152" s="81" t="n"/>
      <c r="W3152" s="43" t="n"/>
    </row>
    <row r="3153">
      <c r="A3153" s="43" t="inlineStr">
        <is>
          <t>N54</t>
        </is>
      </c>
      <c r="B3153" s="43" t="inlineStr"/>
      <c r="C3153" s="43" t="inlineStr">
        <is>
          <t>节段20</t>
        </is>
      </c>
      <c r="D3153" s="43" t="inlineStr">
        <is>
          <t>Q355D</t>
        </is>
      </c>
      <c r="E3153" s="43" t="n">
        <v>878</v>
      </c>
      <c r="F3153" s="43" t="n">
        <v>1200</v>
      </c>
      <c r="G3153" s="43" t="n">
        <v>20</v>
      </c>
      <c r="H3153" s="79">
        <f>(E3153/1000)*(F3153/1000)*(G3153/1000)*7850</f>
        <v/>
      </c>
      <c r="I3153" s="43" t="n">
        <v>1</v>
      </c>
      <c r="J3153" s="80">
        <f>H3153*I3153</f>
        <v/>
      </c>
      <c r="K3153" s="43" t="inlineStr">
        <is>
          <t>来源页220</t>
        </is>
      </c>
      <c r="L3153" s="43">
        <f>A3153</f>
        <v/>
      </c>
      <c r="M3153" s="81" t="n"/>
      <c r="N3153" s="81" t="n"/>
      <c r="O3153" s="81" t="n"/>
      <c r="P3153" s="81" t="n"/>
      <c r="Q3153" s="81" t="n"/>
      <c r="R3153" s="81" t="n"/>
      <c r="S3153" s="81" t="n"/>
      <c r="T3153" s="81" t="n"/>
      <c r="U3153" s="81" t="n"/>
      <c r="V3153" s="81" t="n"/>
      <c r="W3153" s="43" t="n"/>
    </row>
    <row r="3154">
      <c r="A3154" s="43" t="inlineStr">
        <is>
          <t>N55</t>
        </is>
      </c>
      <c r="B3154" s="43" t="inlineStr"/>
      <c r="C3154" s="43" t="inlineStr">
        <is>
          <t>节段20</t>
        </is>
      </c>
      <c r="D3154" s="43" t="inlineStr">
        <is>
          <t>Q355D</t>
        </is>
      </c>
      <c r="E3154" s="43" t="n">
        <v>1030</v>
      </c>
      <c r="F3154" s="43" t="n">
        <v>1200</v>
      </c>
      <c r="G3154" s="43" t="n">
        <v>20</v>
      </c>
      <c r="H3154" s="79">
        <f>(E3154/1000)*(F3154/1000)*(G3154/1000)*7850</f>
        <v/>
      </c>
      <c r="I3154" s="43" t="n">
        <v>1</v>
      </c>
      <c r="J3154" s="80">
        <f>H3154*I3154</f>
        <v/>
      </c>
      <c r="K3154" s="43" t="inlineStr">
        <is>
          <t>来源页220</t>
        </is>
      </c>
      <c r="L3154" s="43">
        <f>A3154</f>
        <v/>
      </c>
      <c r="M3154" s="81" t="n"/>
      <c r="N3154" s="81" t="n"/>
      <c r="O3154" s="81" t="n"/>
      <c r="P3154" s="81" t="n"/>
      <c r="Q3154" s="81" t="n"/>
      <c r="R3154" s="81" t="n"/>
      <c r="S3154" s="81" t="n"/>
      <c r="T3154" s="81" t="n"/>
      <c r="U3154" s="81" t="n"/>
      <c r="V3154" s="81" t="n"/>
      <c r="W3154" s="43" t="n"/>
    </row>
    <row r="3155">
      <c r="A3155" s="43" t="inlineStr">
        <is>
          <t>N61</t>
        </is>
      </c>
      <c r="B3155" s="43" t="inlineStr"/>
      <c r="C3155" s="43" t="inlineStr">
        <is>
          <t>节段20</t>
        </is>
      </c>
      <c r="D3155" s="43" t="inlineStr">
        <is>
          <t>Q355D</t>
        </is>
      </c>
      <c r="E3155" s="43" t="n">
        <v>1580</v>
      </c>
      <c r="F3155" s="43" t="n">
        <v>610</v>
      </c>
      <c r="G3155" s="43" t="n">
        <v>14</v>
      </c>
      <c r="H3155" s="79">
        <f>(E3155/1000)*(F3155/1000)*(G3155/1000)*7850</f>
        <v/>
      </c>
      <c r="I3155" s="43" t="n">
        <v>3</v>
      </c>
      <c r="J3155" s="80">
        <f>H3155*I3155</f>
        <v/>
      </c>
      <c r="K3155" s="43" t="inlineStr">
        <is>
          <t>来源页220</t>
        </is>
      </c>
      <c r="L3155" s="43">
        <f>A3155</f>
        <v/>
      </c>
      <c r="M3155" s="81" t="n"/>
      <c r="N3155" s="81" t="n"/>
      <c r="O3155" s="81" t="n"/>
      <c r="P3155" s="81" t="n"/>
      <c r="Q3155" s="81" t="n"/>
      <c r="R3155" s="81" t="n"/>
      <c r="S3155" s="81" t="n"/>
      <c r="T3155" s="81" t="n"/>
      <c r="U3155" s="81" t="n"/>
      <c r="V3155" s="81" t="n"/>
      <c r="W3155" s="43" t="n"/>
    </row>
    <row r="3156">
      <c r="A3156" s="43" t="inlineStr">
        <is>
          <t>N61a</t>
        </is>
      </c>
      <c r="B3156" s="43" t="inlineStr"/>
      <c r="C3156" s="43" t="inlineStr">
        <is>
          <t>节段20</t>
        </is>
      </c>
      <c r="D3156" s="43" t="inlineStr">
        <is>
          <t>Q355D</t>
        </is>
      </c>
      <c r="E3156" s="43" t="n">
        <v>1580</v>
      </c>
      <c r="F3156" s="43" t="n">
        <v>630</v>
      </c>
      <c r="G3156" s="43" t="n">
        <v>14</v>
      </c>
      <c r="H3156" s="79">
        <f>(E3156/1000)*(F3156/1000)*(G3156/1000)*7850</f>
        <v/>
      </c>
      <c r="I3156" s="43" t="n">
        <v>2</v>
      </c>
      <c r="J3156" s="80">
        <f>H3156*I3156</f>
        <v/>
      </c>
      <c r="K3156" s="43" t="inlineStr">
        <is>
          <t>来源页220</t>
        </is>
      </c>
      <c r="L3156" s="43">
        <f>A3156</f>
        <v/>
      </c>
      <c r="M3156" s="81" t="n"/>
      <c r="N3156" s="81" t="n"/>
      <c r="O3156" s="81" t="n"/>
      <c r="P3156" s="81" t="n"/>
      <c r="Q3156" s="81" t="n"/>
      <c r="R3156" s="81" t="n"/>
      <c r="S3156" s="81" t="n"/>
      <c r="T3156" s="81" t="n"/>
      <c r="U3156" s="81" t="n"/>
      <c r="V3156" s="81" t="n"/>
      <c r="W3156" s="43" t="n"/>
    </row>
    <row r="3157">
      <c r="A3157" s="43" t="inlineStr">
        <is>
          <t>N62</t>
        </is>
      </c>
      <c r="B3157" s="43" t="inlineStr"/>
      <c r="C3157" s="43" t="inlineStr">
        <is>
          <t>节段20</t>
        </is>
      </c>
      <c r="D3157" s="43" t="inlineStr">
        <is>
          <t>Q355D</t>
        </is>
      </c>
      <c r="E3157" s="43" t="n"/>
      <c r="F3157" s="43" t="n"/>
      <c r="G3157" s="43" t="n">
        <v>24</v>
      </c>
      <c r="H3157" s="79">
        <f>(E3157/1000)*(F3157/1000)*(G3157/1000)*7850</f>
        <v/>
      </c>
      <c r="I3157" s="43" t="n">
        <v>3</v>
      </c>
      <c r="J3157" s="80">
        <f>H3157*I3157</f>
        <v/>
      </c>
      <c r="K3157" s="43" t="inlineStr">
        <is>
          <t>来源页220</t>
        </is>
      </c>
      <c r="L3157" s="43">
        <f>A3157</f>
        <v/>
      </c>
      <c r="M3157" s="81" t="n"/>
      <c r="N3157" s="81" t="n"/>
      <c r="O3157" s="81" t="n"/>
      <c r="P3157" s="81" t="n"/>
      <c r="Q3157" s="81" t="n"/>
      <c r="R3157" s="81" t="n"/>
      <c r="S3157" s="81" t="n"/>
      <c r="T3157" s="81" t="n"/>
      <c r="U3157" s="81" t="n"/>
      <c r="V3157" s="81" t="n"/>
      <c r="W3157" s="43" t="n"/>
    </row>
    <row r="3158">
      <c r="A3158" s="43" t="inlineStr">
        <is>
          <t>N62a</t>
        </is>
      </c>
      <c r="B3158" s="43" t="inlineStr"/>
      <c r="C3158" s="43" t="inlineStr">
        <is>
          <t>节段20</t>
        </is>
      </c>
      <c r="D3158" s="43" t="inlineStr">
        <is>
          <t>Q355D</t>
        </is>
      </c>
      <c r="E3158" s="43" t="n"/>
      <c r="F3158" s="43" t="n"/>
      <c r="G3158" s="43" t="n">
        <v>24</v>
      </c>
      <c r="H3158" s="79">
        <f>(E3158/1000)*(F3158/1000)*(G3158/1000)*7850</f>
        <v/>
      </c>
      <c r="I3158" s="43" t="n">
        <v>2</v>
      </c>
      <c r="J3158" s="80">
        <f>H3158*I3158</f>
        <v/>
      </c>
      <c r="K3158" s="43" t="inlineStr">
        <is>
          <t>来源页220</t>
        </is>
      </c>
      <c r="L3158" s="43">
        <f>A3158</f>
        <v/>
      </c>
      <c r="M3158" s="81" t="n"/>
      <c r="N3158" s="81" t="n"/>
      <c r="O3158" s="81" t="n"/>
      <c r="P3158" s="81" t="n"/>
      <c r="Q3158" s="81" t="n"/>
      <c r="R3158" s="81" t="n"/>
      <c r="S3158" s="81" t="n"/>
      <c r="T3158" s="81" t="n"/>
      <c r="U3158" s="81" t="n"/>
      <c r="V3158" s="81" t="n"/>
      <c r="W3158" s="43" t="n"/>
    </row>
    <row r="3159">
      <c r="A3159" s="43" t="inlineStr">
        <is>
          <t>N63</t>
        </is>
      </c>
      <c r="B3159" s="43" t="inlineStr"/>
      <c r="C3159" s="43" t="inlineStr">
        <is>
          <t>节段20</t>
        </is>
      </c>
      <c r="D3159" s="43" t="inlineStr">
        <is>
          <t>Q355D</t>
        </is>
      </c>
      <c r="E3159" s="43" t="n">
        <v>1450</v>
      </c>
      <c r="F3159" s="43" t="n">
        <v>610</v>
      </c>
      <c r="G3159" s="43" t="n">
        <v>14</v>
      </c>
      <c r="H3159" s="79">
        <f>(E3159/1000)*(F3159/1000)*(G3159/1000)*7850</f>
        <v/>
      </c>
      <c r="I3159" s="43" t="n">
        <v>3</v>
      </c>
      <c r="J3159" s="80">
        <f>H3159*I3159</f>
        <v/>
      </c>
      <c r="K3159" s="43" t="inlineStr">
        <is>
          <t>来源页220</t>
        </is>
      </c>
      <c r="L3159" s="43">
        <f>A3159</f>
        <v/>
      </c>
      <c r="M3159" s="81" t="n"/>
      <c r="N3159" s="81" t="n"/>
      <c r="O3159" s="81" t="n"/>
      <c r="P3159" s="81" t="n"/>
      <c r="Q3159" s="81" t="n"/>
      <c r="R3159" s="81" t="n"/>
      <c r="S3159" s="81" t="n"/>
      <c r="T3159" s="81" t="n"/>
      <c r="U3159" s="81" t="n"/>
      <c r="V3159" s="81" t="n"/>
      <c r="W3159" s="43" t="n"/>
    </row>
    <row r="3160">
      <c r="A3160" s="43" t="inlineStr">
        <is>
          <t>N63a</t>
        </is>
      </c>
      <c r="B3160" s="43" t="inlineStr"/>
      <c r="C3160" s="43" t="inlineStr">
        <is>
          <t>节段20</t>
        </is>
      </c>
      <c r="D3160" s="43" t="inlineStr">
        <is>
          <t>Q355D</t>
        </is>
      </c>
      <c r="E3160" s="43" t="n">
        <v>1450</v>
      </c>
      <c r="F3160" s="43" t="n">
        <v>626</v>
      </c>
      <c r="G3160" s="43" t="n">
        <v>14</v>
      </c>
      <c r="H3160" s="79">
        <f>(E3160/1000)*(F3160/1000)*(G3160/1000)*7850</f>
        <v/>
      </c>
      <c r="I3160" s="43" t="n">
        <v>2</v>
      </c>
      <c r="J3160" s="80">
        <f>H3160*I3160</f>
        <v/>
      </c>
      <c r="K3160" s="43" t="inlineStr">
        <is>
          <t>来源页220</t>
        </is>
      </c>
      <c r="L3160" s="43">
        <f>A3160</f>
        <v/>
      </c>
      <c r="M3160" s="81" t="n"/>
      <c r="N3160" s="81" t="n"/>
      <c r="O3160" s="81" t="n"/>
      <c r="P3160" s="81" t="n"/>
      <c r="Q3160" s="81" t="n"/>
      <c r="R3160" s="81" t="n"/>
      <c r="S3160" s="81" t="n"/>
      <c r="T3160" s="81" t="n"/>
      <c r="U3160" s="81" t="n"/>
      <c r="V3160" s="81" t="n"/>
      <c r="W3160" s="43" t="n"/>
    </row>
    <row r="3161">
      <c r="A3161" s="43" t="inlineStr">
        <is>
          <t>P1</t>
        </is>
      </c>
      <c r="B3161" s="43" t="inlineStr">
        <is>
          <t>上弦杆拼接</t>
        </is>
      </c>
      <c r="C3161" s="43" t="inlineStr">
        <is>
          <t>节段20~节段21</t>
        </is>
      </c>
      <c r="D3161" s="43" t="inlineStr">
        <is>
          <t>Q355D</t>
        </is>
      </c>
      <c r="E3161" s="43" t="n">
        <v>1020</v>
      </c>
      <c r="F3161" s="43" t="n">
        <v>1400</v>
      </c>
      <c r="G3161" s="43" t="n">
        <v>16</v>
      </c>
      <c r="H3161" s="79">
        <f>(E3161/1000)*(F3161/1000)*(G3161/1000)*7850</f>
        <v/>
      </c>
      <c r="I3161" s="43" t="n">
        <v>2</v>
      </c>
      <c r="J3161" s="80">
        <f>H3161*I3161</f>
        <v/>
      </c>
      <c r="K3161" s="43" t="inlineStr">
        <is>
          <t>来源页223</t>
        </is>
      </c>
      <c r="L3161" s="43">
        <f>A3161</f>
        <v/>
      </c>
      <c r="M3161" s="81" t="n"/>
      <c r="N3161" s="81" t="n"/>
      <c r="O3161" s="81" t="n"/>
      <c r="P3161" s="81" t="n"/>
      <c r="Q3161" s="81" t="n"/>
      <c r="R3161" s="81" t="n"/>
      <c r="S3161" s="81" t="n"/>
      <c r="T3161" s="81" t="n"/>
      <c r="U3161" s="81" t="n"/>
      <c r="V3161" s="81" t="n"/>
      <c r="W3161" s="43" t="n"/>
    </row>
    <row r="3162">
      <c r="A3162" s="43" t="inlineStr">
        <is>
          <t>P2</t>
        </is>
      </c>
      <c r="B3162" s="43" t="inlineStr">
        <is>
          <t>上弦杆拼接</t>
        </is>
      </c>
      <c r="C3162" s="43" t="inlineStr">
        <is>
          <t>节段20~节段21</t>
        </is>
      </c>
      <c r="D3162" s="43" t="inlineStr">
        <is>
          <t>Q355D</t>
        </is>
      </c>
      <c r="E3162" s="43" t="n">
        <v>1020</v>
      </c>
      <c r="F3162" s="43" t="n">
        <v>300</v>
      </c>
      <c r="G3162" s="43" t="n">
        <v>16</v>
      </c>
      <c r="H3162" s="79">
        <f>(E3162/1000)*(F3162/1000)*(G3162/1000)*7850</f>
        <v/>
      </c>
      <c r="I3162" s="43" t="n">
        <v>2</v>
      </c>
      <c r="J3162" s="80">
        <f>H3162*I3162</f>
        <v/>
      </c>
      <c r="K3162" s="43" t="inlineStr">
        <is>
          <t>来源页223</t>
        </is>
      </c>
      <c r="L3162" s="43">
        <f>A3162</f>
        <v/>
      </c>
      <c r="M3162" s="81" t="n"/>
      <c r="N3162" s="81" t="n"/>
      <c r="O3162" s="81" t="n"/>
      <c r="P3162" s="81" t="n"/>
      <c r="Q3162" s="81" t="n"/>
      <c r="R3162" s="81" t="n"/>
      <c r="S3162" s="81" t="n"/>
      <c r="T3162" s="81" t="n"/>
      <c r="U3162" s="81" t="n"/>
      <c r="V3162" s="81" t="n"/>
      <c r="W3162" s="43" t="n"/>
    </row>
    <row r="3163">
      <c r="A3163" s="43" t="inlineStr">
        <is>
          <t>P3</t>
        </is>
      </c>
      <c r="B3163" s="43" t="inlineStr">
        <is>
          <t>上弦杆拼接</t>
        </is>
      </c>
      <c r="C3163" s="43" t="inlineStr">
        <is>
          <t>节段20~节段21</t>
        </is>
      </c>
      <c r="D3163" s="43" t="inlineStr">
        <is>
          <t>Q355D</t>
        </is>
      </c>
      <c r="E3163" s="43" t="n">
        <v>1020</v>
      </c>
      <c r="F3163" s="43" t="n">
        <v>500</v>
      </c>
      <c r="G3163" s="43" t="n">
        <v>16</v>
      </c>
      <c r="H3163" s="79">
        <f>(E3163/1000)*(F3163/1000)*(G3163/1000)*7850</f>
        <v/>
      </c>
      <c r="I3163" s="43" t="n">
        <v>2</v>
      </c>
      <c r="J3163" s="80">
        <f>H3163*I3163</f>
        <v/>
      </c>
      <c r="K3163" s="43" t="inlineStr">
        <is>
          <t>来源页223</t>
        </is>
      </c>
      <c r="L3163" s="43">
        <f>A3163</f>
        <v/>
      </c>
      <c r="M3163" s="81" t="n"/>
      <c r="N3163" s="81" t="n"/>
      <c r="O3163" s="81" t="n"/>
      <c r="P3163" s="81" t="n"/>
      <c r="Q3163" s="81" t="n"/>
      <c r="R3163" s="81" t="n"/>
      <c r="S3163" s="81" t="n"/>
      <c r="T3163" s="81" t="n"/>
      <c r="U3163" s="81" t="n"/>
      <c r="V3163" s="81" t="n"/>
      <c r="W3163" s="43" t="n"/>
    </row>
    <row r="3164">
      <c r="A3164" s="43" t="inlineStr">
        <is>
          <t>P4</t>
        </is>
      </c>
      <c r="B3164" s="43" t="inlineStr">
        <is>
          <t>上弦杆拼接</t>
        </is>
      </c>
      <c r="C3164" s="43" t="inlineStr">
        <is>
          <t>节段20~节段21</t>
        </is>
      </c>
      <c r="D3164" s="43" t="inlineStr">
        <is>
          <t>Q355D</t>
        </is>
      </c>
      <c r="E3164" s="43" t="n">
        <v>1020</v>
      </c>
      <c r="F3164" s="43" t="n">
        <v>400</v>
      </c>
      <c r="G3164" s="43" t="n">
        <v>16</v>
      </c>
      <c r="H3164" s="79">
        <f>(E3164/1000)*(F3164/1000)*(G3164/1000)*7850</f>
        <v/>
      </c>
      <c r="I3164" s="43" t="n">
        <v>2</v>
      </c>
      <c r="J3164" s="80">
        <f>H3164*I3164</f>
        <v/>
      </c>
      <c r="K3164" s="43" t="inlineStr">
        <is>
          <t>来源页223</t>
        </is>
      </c>
      <c r="L3164" s="43">
        <f>A3164</f>
        <v/>
      </c>
      <c r="M3164" s="81" t="n"/>
      <c r="N3164" s="81" t="n"/>
      <c r="O3164" s="81" t="n"/>
      <c r="P3164" s="81" t="n"/>
      <c r="Q3164" s="81" t="n"/>
      <c r="R3164" s="81" t="n"/>
      <c r="S3164" s="81" t="n"/>
      <c r="T3164" s="81" t="n"/>
      <c r="U3164" s="81" t="n"/>
      <c r="V3164" s="81" t="n"/>
      <c r="W3164" s="43" t="n"/>
    </row>
    <row r="3165">
      <c r="A3165" s="43" t="inlineStr">
        <is>
          <t>P5</t>
        </is>
      </c>
      <c r="B3165" s="43" t="inlineStr">
        <is>
          <t>上弦杆拼接</t>
        </is>
      </c>
      <c r="C3165" s="43" t="inlineStr">
        <is>
          <t>节段20~节段21</t>
        </is>
      </c>
      <c r="D3165" s="43" t="inlineStr">
        <is>
          <t>Q355D</t>
        </is>
      </c>
      <c r="E3165" s="43" t="n">
        <v>1420</v>
      </c>
      <c r="F3165" s="43" t="n">
        <v>1100</v>
      </c>
      <c r="G3165" s="43" t="n">
        <v>28</v>
      </c>
      <c r="H3165" s="79">
        <f>(E3165/1000)*(F3165/1000)*(G3165/1000)*7850</f>
        <v/>
      </c>
      <c r="I3165" s="43" t="n">
        <v>1</v>
      </c>
      <c r="J3165" s="80">
        <f>H3165*I3165</f>
        <v/>
      </c>
      <c r="K3165" s="43" t="inlineStr">
        <is>
          <t>来源页223</t>
        </is>
      </c>
      <c r="L3165" s="43">
        <f>A3165</f>
        <v/>
      </c>
      <c r="M3165" s="81" t="n"/>
      <c r="N3165" s="81" t="n"/>
      <c r="O3165" s="81" t="n"/>
      <c r="P3165" s="81" t="n"/>
      <c r="Q3165" s="81" t="n"/>
      <c r="R3165" s="81" t="n"/>
      <c r="S3165" s="81" t="n"/>
      <c r="T3165" s="81" t="n"/>
      <c r="U3165" s="81" t="n"/>
      <c r="V3165" s="81" t="n"/>
      <c r="W3165" s="43" t="n"/>
    </row>
    <row r="3166">
      <c r="A3166" s="43" t="inlineStr">
        <is>
          <t>P6</t>
        </is>
      </c>
      <c r="B3166" s="43" t="inlineStr">
        <is>
          <t>上弦杆拼接</t>
        </is>
      </c>
      <c r="C3166" s="43" t="inlineStr">
        <is>
          <t>节段20~节段21</t>
        </is>
      </c>
      <c r="D3166" s="43" t="inlineStr">
        <is>
          <t>Q355D</t>
        </is>
      </c>
      <c r="E3166" s="43" t="n">
        <v>1420</v>
      </c>
      <c r="F3166" s="43" t="n">
        <v>400</v>
      </c>
      <c r="G3166" s="43" t="n">
        <v>28</v>
      </c>
      <c r="H3166" s="79">
        <f>(E3166/1000)*(F3166/1000)*(G3166/1000)*7850</f>
        <v/>
      </c>
      <c r="I3166" s="43" t="n">
        <v>2</v>
      </c>
      <c r="J3166" s="80">
        <f>H3166*I3166</f>
        <v/>
      </c>
      <c r="K3166" s="43" t="inlineStr">
        <is>
          <t>来源页223</t>
        </is>
      </c>
      <c r="L3166" s="43">
        <f>A3166</f>
        <v/>
      </c>
      <c r="M3166" s="81" t="n"/>
      <c r="N3166" s="81" t="n"/>
      <c r="O3166" s="81" t="n"/>
      <c r="P3166" s="81" t="n"/>
      <c r="Q3166" s="81" t="n"/>
      <c r="R3166" s="81" t="n"/>
      <c r="S3166" s="81" t="n"/>
      <c r="T3166" s="81" t="n"/>
      <c r="U3166" s="81" t="n"/>
      <c r="V3166" s="81" t="n"/>
      <c r="W3166" s="43" t="n"/>
    </row>
    <row r="3167">
      <c r="A3167" s="43" t="inlineStr">
        <is>
          <t>P7</t>
        </is>
      </c>
      <c r="B3167" s="43" t="inlineStr">
        <is>
          <t>上弦杆拼接</t>
        </is>
      </c>
      <c r="C3167" s="43" t="inlineStr">
        <is>
          <t>节段20~节段21</t>
        </is>
      </c>
      <c r="D3167" s="43" t="inlineStr">
        <is>
          <t>Q355D</t>
        </is>
      </c>
      <c r="E3167" s="43" t="n">
        <v>920</v>
      </c>
      <c r="F3167" s="43" t="n">
        <v>200</v>
      </c>
      <c r="G3167" s="43" t="n">
        <v>20</v>
      </c>
      <c r="H3167" s="79">
        <f>(E3167/1000)*(F3167/1000)*(G3167/1000)*7850</f>
        <v/>
      </c>
      <c r="I3167" s="43" t="n">
        <v>10</v>
      </c>
      <c r="J3167" s="80">
        <f>H3167*I3167</f>
        <v/>
      </c>
      <c r="K3167" s="43" t="inlineStr">
        <is>
          <t>来源页223</t>
        </is>
      </c>
      <c r="L3167" s="43">
        <f>A3167</f>
        <v/>
      </c>
      <c r="M3167" s="81" t="n"/>
      <c r="N3167" s="81" t="n"/>
      <c r="O3167" s="81" t="n"/>
      <c r="P3167" s="81" t="n"/>
      <c r="Q3167" s="81" t="n"/>
      <c r="R3167" s="81" t="n"/>
      <c r="S3167" s="81" t="n"/>
      <c r="T3167" s="81" t="n"/>
      <c r="U3167" s="81" t="n"/>
      <c r="V3167" s="81" t="n"/>
      <c r="W3167" s="43" t="n"/>
    </row>
    <row r="3168">
      <c r="A3168" s="43" t="inlineStr">
        <is>
          <t>P8</t>
        </is>
      </c>
      <c r="B3168" s="43" t="inlineStr">
        <is>
          <t>上弦杆拼接</t>
        </is>
      </c>
      <c r="C3168" s="43" t="inlineStr">
        <is>
          <t>节段20~节段21</t>
        </is>
      </c>
      <c r="D3168" s="43" t="inlineStr">
        <is>
          <t>Q355D</t>
        </is>
      </c>
      <c r="E3168" s="43" t="n">
        <v>500</v>
      </c>
      <c r="F3168" s="43" t="n">
        <v>1800</v>
      </c>
      <c r="G3168" s="43" t="n">
        <v>20</v>
      </c>
      <c r="H3168" s="79">
        <f>(E3168/1000)*(F3168/1000)*(G3168/1000)*7850</f>
        <v/>
      </c>
      <c r="I3168" s="43" t="n">
        <v>2</v>
      </c>
      <c r="J3168" s="80">
        <f>H3168*I3168</f>
        <v/>
      </c>
      <c r="K3168" s="43" t="inlineStr">
        <is>
          <t>来源页223</t>
        </is>
      </c>
      <c r="L3168" s="43">
        <f>A3168</f>
        <v/>
      </c>
      <c r="M3168" s="81" t="n"/>
      <c r="N3168" s="81" t="n"/>
      <c r="O3168" s="81" t="n"/>
      <c r="P3168" s="81" t="n"/>
      <c r="Q3168" s="81" t="n"/>
      <c r="R3168" s="81" t="n"/>
      <c r="S3168" s="81" t="n"/>
      <c r="T3168" s="81" t="n"/>
      <c r="U3168" s="81" t="n"/>
      <c r="V3168" s="81" t="n"/>
      <c r="W3168" s="43" t="n"/>
    </row>
    <row r="3169">
      <c r="A3169" s="43" t="inlineStr">
        <is>
          <t>M30高强螺栓</t>
        </is>
      </c>
      <c r="B3169" s="43" t="inlineStr">
        <is>
          <t>上弦杆拼接</t>
        </is>
      </c>
      <c r="C3169" s="43" t="inlineStr">
        <is>
          <t>节段20~节段21</t>
        </is>
      </c>
      <c r="D3169" s="43" t="inlineStr">
        <is>
          <t>10.9S</t>
        </is>
      </c>
      <c r="E3169" s="43" t="n"/>
      <c r="F3169" s="43" t="n"/>
      <c r="G3169" s="43" t="n"/>
      <c r="H3169" s="79">
        <f>(E3169/1000)*(F3169/1000)*(G3169/1000)*7850</f>
        <v/>
      </c>
      <c r="I3169" s="43" t="n">
        <v>380</v>
      </c>
      <c r="J3169" s="80">
        <f>H3169*I3169</f>
        <v/>
      </c>
      <c r="K3169" s="43" t="inlineStr">
        <is>
          <t>来源页223</t>
        </is>
      </c>
      <c r="L3169" s="43">
        <f>A3169</f>
        <v/>
      </c>
      <c r="M3169" s="81" t="n"/>
      <c r="N3169" s="81" t="n"/>
      <c r="O3169" s="81" t="n"/>
      <c r="P3169" s="81" t="n"/>
      <c r="Q3169" s="81" t="n"/>
      <c r="R3169" s="81" t="n"/>
      <c r="S3169" s="81" t="n"/>
      <c r="T3169" s="81" t="n"/>
      <c r="U3169" s="81" t="n"/>
      <c r="V3169" s="81" t="n"/>
      <c r="W3169" s="43" t="n"/>
    </row>
    <row r="3170">
      <c r="A3170" s="43" t="inlineStr">
        <is>
          <t>K1</t>
        </is>
      </c>
      <c r="B3170" s="43" t="inlineStr">
        <is>
          <t>下弦杆拼接</t>
        </is>
      </c>
      <c r="C3170" s="43" t="inlineStr">
        <is>
          <t>节段20~节段21</t>
        </is>
      </c>
      <c r="D3170" s="43" t="inlineStr">
        <is>
          <t>Q355D</t>
        </is>
      </c>
      <c r="E3170" s="43" t="n">
        <v>820</v>
      </c>
      <c r="F3170" s="43" t="n">
        <v>1300</v>
      </c>
      <c r="G3170" s="43" t="n">
        <v>20</v>
      </c>
      <c r="H3170" s="79">
        <f>(E3170/1000)*(F3170/1000)*(G3170/1000)*7850</f>
        <v/>
      </c>
      <c r="I3170" s="43" t="n">
        <v>2</v>
      </c>
      <c r="J3170" s="80">
        <f>H3170*I3170</f>
        <v/>
      </c>
      <c r="K3170" s="43" t="inlineStr">
        <is>
          <t>来源页223</t>
        </is>
      </c>
      <c r="L3170" s="43">
        <f>A3170</f>
        <v/>
      </c>
      <c r="M3170" s="81" t="n"/>
      <c r="N3170" s="81" t="n"/>
      <c r="O3170" s="81" t="n"/>
      <c r="P3170" s="81" t="n"/>
      <c r="Q3170" s="81" t="n"/>
      <c r="R3170" s="81" t="n"/>
      <c r="S3170" s="81" t="n"/>
      <c r="T3170" s="81" t="n"/>
      <c r="U3170" s="81" t="n"/>
      <c r="V3170" s="81" t="n"/>
      <c r="W3170" s="43" t="n"/>
    </row>
    <row r="3171">
      <c r="A3171" s="43" t="inlineStr">
        <is>
          <t>K2</t>
        </is>
      </c>
      <c r="B3171" s="43" t="inlineStr">
        <is>
          <t>下弦杆拼接</t>
        </is>
      </c>
      <c r="C3171" s="43" t="inlineStr">
        <is>
          <t>节段20~节段21</t>
        </is>
      </c>
      <c r="D3171" s="43" t="inlineStr">
        <is>
          <t>Q355D</t>
        </is>
      </c>
      <c r="E3171" s="43" t="n">
        <v>820</v>
      </c>
      <c r="F3171" s="43" t="n">
        <v>600</v>
      </c>
      <c r="G3171" s="43" t="n">
        <v>20</v>
      </c>
      <c r="H3171" s="79">
        <f>(E3171/1000)*(F3171/1000)*(G3171/1000)*7850</f>
        <v/>
      </c>
      <c r="I3171" s="43" t="n">
        <v>4</v>
      </c>
      <c r="J3171" s="80">
        <f>H3171*I3171</f>
        <v/>
      </c>
      <c r="K3171" s="43" t="inlineStr">
        <is>
          <t>来源页223</t>
        </is>
      </c>
      <c r="L3171" s="43">
        <f>A3171</f>
        <v/>
      </c>
      <c r="M3171" s="81" t="n"/>
      <c r="N3171" s="81" t="n"/>
      <c r="O3171" s="81" t="n"/>
      <c r="P3171" s="81" t="n"/>
      <c r="Q3171" s="81" t="n"/>
      <c r="R3171" s="81" t="n"/>
      <c r="S3171" s="81" t="n"/>
      <c r="T3171" s="81" t="n"/>
      <c r="U3171" s="81" t="n"/>
      <c r="V3171" s="81" t="n"/>
      <c r="W3171" s="43" t="n"/>
    </row>
    <row r="3172">
      <c r="A3172" s="43" t="inlineStr">
        <is>
          <t>K3</t>
        </is>
      </c>
      <c r="B3172" s="43" t="inlineStr">
        <is>
          <t>下弦杆拼接</t>
        </is>
      </c>
      <c r="C3172" s="43" t="inlineStr">
        <is>
          <t>节段20~节段21</t>
        </is>
      </c>
      <c r="D3172" s="43" t="inlineStr">
        <is>
          <t>Q355D</t>
        </is>
      </c>
      <c r="E3172" s="43" t="n">
        <v>1120</v>
      </c>
      <c r="F3172" s="43" t="n">
        <v>1100</v>
      </c>
      <c r="G3172" s="43" t="n">
        <v>32</v>
      </c>
      <c r="H3172" s="79">
        <f>(E3172/1000)*(F3172/1000)*(G3172/1000)*7850</f>
        <v/>
      </c>
      <c r="I3172" s="43" t="n">
        <v>1</v>
      </c>
      <c r="J3172" s="80">
        <f>H3172*I3172</f>
        <v/>
      </c>
      <c r="K3172" s="43" t="inlineStr">
        <is>
          <t>来源页223</t>
        </is>
      </c>
      <c r="L3172" s="43">
        <f>A3172</f>
        <v/>
      </c>
      <c r="M3172" s="81" t="n"/>
      <c r="N3172" s="81" t="n"/>
      <c r="O3172" s="81" t="n"/>
      <c r="P3172" s="81" t="n"/>
      <c r="Q3172" s="81" t="n"/>
      <c r="R3172" s="81" t="n"/>
      <c r="S3172" s="81" t="n"/>
      <c r="T3172" s="81" t="n"/>
      <c r="U3172" s="81" t="n"/>
      <c r="V3172" s="81" t="n"/>
      <c r="W3172" s="43" t="n"/>
    </row>
    <row r="3173">
      <c r="A3173" s="43" t="inlineStr">
        <is>
          <t>K4</t>
        </is>
      </c>
      <c r="B3173" s="43" t="inlineStr">
        <is>
          <t>下弦杆拼接</t>
        </is>
      </c>
      <c r="C3173" s="43" t="inlineStr">
        <is>
          <t>节段20~节段21</t>
        </is>
      </c>
      <c r="D3173" s="43" t="inlineStr">
        <is>
          <t>Q355D</t>
        </is>
      </c>
      <c r="E3173" s="43" t="n">
        <v>1120</v>
      </c>
      <c r="F3173" s="43" t="n">
        <v>400</v>
      </c>
      <c r="G3173" s="43" t="n">
        <v>32</v>
      </c>
      <c r="H3173" s="79">
        <f>(E3173/1000)*(F3173/1000)*(G3173/1000)*7850</f>
        <v/>
      </c>
      <c r="I3173" s="43" t="n">
        <v>2</v>
      </c>
      <c r="J3173" s="80">
        <f>H3173*I3173</f>
        <v/>
      </c>
      <c r="K3173" s="43" t="inlineStr">
        <is>
          <t>来源页223</t>
        </is>
      </c>
      <c r="L3173" s="43">
        <f>A3173</f>
        <v/>
      </c>
      <c r="M3173" s="81" t="n"/>
      <c r="N3173" s="81" t="n"/>
      <c r="O3173" s="81" t="n"/>
      <c r="P3173" s="81" t="n"/>
      <c r="Q3173" s="81" t="n"/>
      <c r="R3173" s="81" t="n"/>
      <c r="S3173" s="81" t="n"/>
      <c r="T3173" s="81" t="n"/>
      <c r="U3173" s="81" t="n"/>
      <c r="V3173" s="81" t="n"/>
      <c r="W3173" s="43" t="n"/>
    </row>
    <row r="3174">
      <c r="A3174" s="43" t="inlineStr">
        <is>
          <t>K6</t>
        </is>
      </c>
      <c r="B3174" s="43" t="inlineStr">
        <is>
          <t>下弦杆拼接</t>
        </is>
      </c>
      <c r="C3174" s="43" t="inlineStr">
        <is>
          <t>节段20~节段21</t>
        </is>
      </c>
      <c r="D3174" s="43" t="inlineStr">
        <is>
          <t>Q355D</t>
        </is>
      </c>
      <c r="E3174" s="43" t="n">
        <v>400</v>
      </c>
      <c r="F3174" s="43" t="n">
        <v>1700</v>
      </c>
      <c r="G3174" s="43" t="n">
        <v>16</v>
      </c>
      <c r="H3174" s="79">
        <f>(E3174/1000)*(F3174/1000)*(G3174/1000)*7850</f>
        <v/>
      </c>
      <c r="I3174" s="43" t="n">
        <v>2</v>
      </c>
      <c r="J3174" s="80">
        <f>H3174*I3174</f>
        <v/>
      </c>
      <c r="K3174" s="43" t="inlineStr">
        <is>
          <t>来源页223</t>
        </is>
      </c>
      <c r="L3174" s="43">
        <f>A3174</f>
        <v/>
      </c>
      <c r="M3174" s="81" t="n"/>
      <c r="N3174" s="81" t="n"/>
      <c r="O3174" s="81" t="n"/>
      <c r="P3174" s="81" t="n"/>
      <c r="Q3174" s="81" t="n"/>
      <c r="R3174" s="81" t="n"/>
      <c r="S3174" s="81" t="n"/>
      <c r="T3174" s="81" t="n"/>
      <c r="U3174" s="81" t="n"/>
      <c r="V3174" s="81" t="n"/>
      <c r="W3174" s="43" t="n"/>
    </row>
    <row r="3175">
      <c r="A3175" s="43" t="inlineStr">
        <is>
          <t>M30高强螺栓</t>
        </is>
      </c>
      <c r="B3175" s="43" t="inlineStr">
        <is>
          <t>下弦杆拼接</t>
        </is>
      </c>
      <c r="C3175" s="43" t="inlineStr">
        <is>
          <t>节段20~节段21</t>
        </is>
      </c>
      <c r="D3175" s="43" t="inlineStr">
        <is>
          <t>10.9S</t>
        </is>
      </c>
      <c r="E3175" s="43" t="n"/>
      <c r="F3175" s="43" t="n"/>
      <c r="G3175" s="43" t="n"/>
      <c r="H3175" s="79">
        <f>(E3175/1000)*(F3175/1000)*(G3175/1000)*7850</f>
        <v/>
      </c>
      <c r="I3175" s="43" t="n">
        <v>276</v>
      </c>
      <c r="J3175" s="80">
        <f>H3175*I3175</f>
        <v/>
      </c>
      <c r="K3175" s="43" t="inlineStr">
        <is>
          <t>来源页223</t>
        </is>
      </c>
      <c r="L3175" s="43">
        <f>A3175</f>
        <v/>
      </c>
      <c r="M3175" s="81" t="n"/>
      <c r="N3175" s="81" t="n"/>
      <c r="O3175" s="81" t="n"/>
      <c r="P3175" s="81" t="n"/>
      <c r="Q3175" s="81" t="n"/>
      <c r="R3175" s="81" t="n"/>
      <c r="S3175" s="81" t="n"/>
      <c r="T3175" s="81" t="n"/>
      <c r="U3175" s="81" t="n"/>
      <c r="V3175" s="81" t="n"/>
      <c r="W3175" s="43" t="n"/>
    </row>
    <row r="3176">
      <c r="A3176" s="43" t="inlineStr">
        <is>
          <t>L1</t>
        </is>
      </c>
      <c r="B3176" s="43" t="inlineStr">
        <is>
          <t>腹杆拼接</t>
        </is>
      </c>
      <c r="C3176" s="43" t="inlineStr">
        <is>
          <t>节段20~节段21</t>
        </is>
      </c>
      <c r="D3176" s="43" t="inlineStr">
        <is>
          <t>Q355D</t>
        </is>
      </c>
      <c r="E3176" s="43" t="n">
        <v>1320</v>
      </c>
      <c r="F3176" s="43" t="n">
        <v>900</v>
      </c>
      <c r="G3176" s="43" t="n">
        <v>28</v>
      </c>
      <c r="H3176" s="79">
        <f>(E3176/1000)*(F3176/1000)*(G3176/1000)*7850</f>
        <v/>
      </c>
      <c r="I3176" s="43" t="n">
        <v>2</v>
      </c>
      <c r="J3176" s="80">
        <f>H3176*I3176</f>
        <v/>
      </c>
      <c r="K3176" s="43" t="inlineStr">
        <is>
          <t>来源页223</t>
        </is>
      </c>
      <c r="L3176" s="43">
        <f>A3176</f>
        <v/>
      </c>
      <c r="M3176" s="81" t="n"/>
      <c r="N3176" s="81" t="n"/>
      <c r="O3176" s="81" t="n"/>
      <c r="P3176" s="81" t="n"/>
      <c r="Q3176" s="81" t="n"/>
      <c r="R3176" s="81" t="n"/>
      <c r="S3176" s="81" t="n"/>
      <c r="T3176" s="81" t="n"/>
      <c r="U3176" s="81" t="n"/>
      <c r="V3176" s="81" t="n"/>
      <c r="W3176" s="43" t="n"/>
    </row>
    <row r="3177">
      <c r="A3177" s="43" t="inlineStr">
        <is>
          <t>L2</t>
        </is>
      </c>
      <c r="B3177" s="43" t="inlineStr">
        <is>
          <t>腹杆拼接</t>
        </is>
      </c>
      <c r="C3177" s="43" t="inlineStr">
        <is>
          <t>节段20~节段21</t>
        </is>
      </c>
      <c r="D3177" s="43" t="inlineStr">
        <is>
          <t>Q355D</t>
        </is>
      </c>
      <c r="E3177" s="43" t="n">
        <v>1320</v>
      </c>
      <c r="F3177" s="43" t="n">
        <v>400</v>
      </c>
      <c r="G3177" s="43" t="n">
        <v>28</v>
      </c>
      <c r="H3177" s="79">
        <f>(E3177/1000)*(F3177/1000)*(G3177/1000)*7850</f>
        <v/>
      </c>
      <c r="I3177" s="43" t="n">
        <v>4</v>
      </c>
      <c r="J3177" s="80">
        <f>H3177*I3177</f>
        <v/>
      </c>
      <c r="K3177" s="43" t="inlineStr">
        <is>
          <t>来源页223</t>
        </is>
      </c>
      <c r="L3177" s="43">
        <f>A3177</f>
        <v/>
      </c>
      <c r="M3177" s="81" t="n"/>
      <c r="N3177" s="81" t="n"/>
      <c r="O3177" s="81" t="n"/>
      <c r="P3177" s="81" t="n"/>
      <c r="Q3177" s="81" t="n"/>
      <c r="R3177" s="81" t="n"/>
      <c r="S3177" s="81" t="n"/>
      <c r="T3177" s="81" t="n"/>
      <c r="U3177" s="81" t="n"/>
      <c r="V3177" s="81" t="n"/>
      <c r="W3177" s="43" t="n"/>
    </row>
    <row r="3178">
      <c r="A3178" s="43" t="inlineStr">
        <is>
          <t>L3</t>
        </is>
      </c>
      <c r="B3178" s="43" t="inlineStr">
        <is>
          <t>腹杆拼接</t>
        </is>
      </c>
      <c r="C3178" s="43" t="inlineStr">
        <is>
          <t>节段20~节段21</t>
        </is>
      </c>
      <c r="D3178" s="43" t="inlineStr">
        <is>
          <t>Q355D</t>
        </is>
      </c>
      <c r="E3178" s="43" t="n">
        <v>1320</v>
      </c>
      <c r="F3178" s="43" t="n">
        <v>500</v>
      </c>
      <c r="G3178" s="43" t="n">
        <v>28</v>
      </c>
      <c r="H3178" s="79">
        <f>(E3178/1000)*(F3178/1000)*(G3178/1000)*7850</f>
        <v/>
      </c>
      <c r="I3178" s="43" t="n">
        <v>4</v>
      </c>
      <c r="J3178" s="80">
        <f>H3178*I3178</f>
        <v/>
      </c>
      <c r="K3178" s="43" t="inlineStr">
        <is>
          <t>来源页223</t>
        </is>
      </c>
      <c r="L3178" s="43">
        <f>A3178</f>
        <v/>
      </c>
      <c r="M3178" s="81" t="n"/>
      <c r="N3178" s="81" t="n"/>
      <c r="O3178" s="81" t="n"/>
      <c r="P3178" s="81" t="n"/>
      <c r="Q3178" s="81" t="n"/>
      <c r="R3178" s="81" t="n"/>
      <c r="S3178" s="81" t="n"/>
      <c r="T3178" s="81" t="n"/>
      <c r="U3178" s="81" t="n"/>
      <c r="V3178" s="81" t="n"/>
      <c r="W3178" s="43" t="n"/>
    </row>
    <row r="3179">
      <c r="A3179" s="43" t="inlineStr">
        <is>
          <t>L4</t>
        </is>
      </c>
      <c r="B3179" s="43" t="inlineStr">
        <is>
          <t>腹杆拼接</t>
        </is>
      </c>
      <c r="C3179" s="43" t="inlineStr">
        <is>
          <t>节段20~节段21</t>
        </is>
      </c>
      <c r="D3179" s="43" t="inlineStr">
        <is>
          <t>Q355D</t>
        </is>
      </c>
      <c r="E3179" s="43" t="n">
        <v>820</v>
      </c>
      <c r="F3179" s="43" t="n">
        <v>200</v>
      </c>
      <c r="G3179" s="43" t="n">
        <v>20</v>
      </c>
      <c r="H3179" s="79">
        <f>(E3179/1000)*(F3179/1000)*(G3179/1000)*7850</f>
        <v/>
      </c>
      <c r="I3179" s="43" t="n">
        <v>4</v>
      </c>
      <c r="J3179" s="80">
        <f>H3179*I3179</f>
        <v/>
      </c>
      <c r="K3179" s="43" t="inlineStr">
        <is>
          <t>来源页223</t>
        </is>
      </c>
      <c r="L3179" s="43">
        <f>A3179</f>
        <v/>
      </c>
      <c r="M3179" s="81" t="n"/>
      <c r="N3179" s="81" t="n"/>
      <c r="O3179" s="81" t="n"/>
      <c r="P3179" s="81" t="n"/>
      <c r="Q3179" s="81" t="n"/>
      <c r="R3179" s="81" t="n"/>
      <c r="S3179" s="81" t="n"/>
      <c r="T3179" s="81" t="n"/>
      <c r="U3179" s="81" t="n"/>
      <c r="V3179" s="81" t="n"/>
      <c r="W3179" s="43" t="n"/>
    </row>
    <row r="3180">
      <c r="A3180" s="43" t="inlineStr">
        <is>
          <t>M30高强螺栓</t>
        </is>
      </c>
      <c r="B3180" s="43" t="inlineStr">
        <is>
          <t>腹杆拼接</t>
        </is>
      </c>
      <c r="C3180" s="43" t="inlineStr">
        <is>
          <t>节段20~节段21</t>
        </is>
      </c>
      <c r="D3180" s="43" t="inlineStr">
        <is>
          <t>10.9S</t>
        </is>
      </c>
      <c r="E3180" s="43" t="n"/>
      <c r="F3180" s="43" t="n"/>
      <c r="G3180" s="43" t="n"/>
      <c r="H3180" s="79">
        <f>(E3180/1000)*(F3180/1000)*(G3180/1000)*7850</f>
        <v/>
      </c>
      <c r="I3180" s="43" t="n">
        <v>507</v>
      </c>
      <c r="J3180" s="80">
        <f>H3180*I3180</f>
        <v/>
      </c>
      <c r="K3180" s="43" t="inlineStr">
        <is>
          <t>来源页223</t>
        </is>
      </c>
      <c r="L3180" s="43">
        <f>A3180</f>
        <v/>
      </c>
      <c r="M3180" s="81" t="n"/>
      <c r="N3180" s="81" t="n"/>
      <c r="O3180" s="81" t="n"/>
      <c r="P3180" s="81" t="n"/>
      <c r="Q3180" s="81" t="n"/>
      <c r="R3180" s="81" t="n"/>
      <c r="S3180" s="81" t="n"/>
      <c r="T3180" s="81" t="n"/>
      <c r="U3180" s="81" t="n"/>
      <c r="V3180" s="81" t="n"/>
      <c r="W3180" s="43" t="n"/>
    </row>
    <row r="3181">
      <c r="A3181" s="43" t="inlineStr"/>
      <c r="B3181" s="43" t="inlineStr"/>
      <c r="C3181" s="43" t="inlineStr">
        <is>
          <t>节段21</t>
        </is>
      </c>
      <c r="D3181" s="43" t="inlineStr">
        <is>
          <t>Q355D</t>
        </is>
      </c>
      <c r="E3181" s="43" t="n"/>
      <c r="F3181" s="43" t="n"/>
      <c r="G3181" s="43" t="n">
        <v>40</v>
      </c>
      <c r="H3181" s="79">
        <f>(E3181/1000)*(F3181/1000)*(G3181/1000)*7850</f>
        <v/>
      </c>
      <c r="I3181" s="43" t="n">
        <v>2</v>
      </c>
      <c r="J3181" s="80">
        <f>H3181*I3181</f>
        <v/>
      </c>
      <c r="K3181" s="43" t="inlineStr">
        <is>
          <t>来源页224</t>
        </is>
      </c>
      <c r="L3181" s="43">
        <f>A3181</f>
        <v/>
      </c>
      <c r="M3181" s="81" t="n"/>
      <c r="N3181" s="81" t="n"/>
      <c r="O3181" s="81" t="n"/>
      <c r="P3181" s="81" t="n"/>
      <c r="Q3181" s="81" t="n"/>
      <c r="R3181" s="81" t="n"/>
      <c r="S3181" s="81" t="n"/>
      <c r="T3181" s="81" t="n"/>
      <c r="U3181" s="81" t="n"/>
      <c r="V3181" s="81" t="n"/>
      <c r="W3181" s="43" t="n"/>
    </row>
    <row r="3182">
      <c r="A3182" s="43" t="inlineStr"/>
      <c r="B3182" s="43" t="inlineStr"/>
      <c r="C3182" s="43" t="inlineStr">
        <is>
          <t>节段21</t>
        </is>
      </c>
      <c r="D3182" s="43" t="inlineStr">
        <is>
          <t>Q355D</t>
        </is>
      </c>
      <c r="E3182" s="43" t="n"/>
      <c r="F3182" s="43" t="n"/>
      <c r="G3182" s="43" t="n">
        <v>36</v>
      </c>
      <c r="H3182" s="79">
        <f>(E3182/1000)*(F3182/1000)*(G3182/1000)*7850</f>
        <v/>
      </c>
      <c r="I3182" s="43" t="n">
        <v>2</v>
      </c>
      <c r="J3182" s="80">
        <f>H3182*I3182</f>
        <v/>
      </c>
      <c r="K3182" s="43" t="inlineStr">
        <is>
          <t>来源页224</t>
        </is>
      </c>
      <c r="L3182" s="43">
        <f>A3182</f>
        <v/>
      </c>
      <c r="M3182" s="81" t="n"/>
      <c r="N3182" s="81" t="n"/>
      <c r="O3182" s="81" t="n"/>
      <c r="P3182" s="81" t="n"/>
      <c r="Q3182" s="81" t="n"/>
      <c r="R3182" s="81" t="n"/>
      <c r="S3182" s="81" t="n"/>
      <c r="T3182" s="81" t="n"/>
      <c r="U3182" s="81" t="n"/>
      <c r="V3182" s="81" t="n"/>
      <c r="W3182" s="43" t="n"/>
    </row>
    <row r="3183">
      <c r="A3183" s="43" t="inlineStr"/>
      <c r="B3183" s="43" t="inlineStr"/>
      <c r="C3183" s="43" t="inlineStr">
        <is>
          <t>节段21</t>
        </is>
      </c>
      <c r="D3183" s="43" t="inlineStr">
        <is>
          <t>Q355D</t>
        </is>
      </c>
      <c r="E3183" s="43" t="n"/>
      <c r="F3183" s="43" t="n"/>
      <c r="G3183" s="43" t="n">
        <v>32</v>
      </c>
      <c r="H3183" s="79">
        <f>(E3183/1000)*(F3183/1000)*(G3183/1000)*7850</f>
        <v/>
      </c>
      <c r="I3183" s="43" t="n">
        <v>2</v>
      </c>
      <c r="J3183" s="80">
        <f>H3183*I3183</f>
        <v/>
      </c>
      <c r="K3183" s="43" t="inlineStr">
        <is>
          <t>来源页224</t>
        </is>
      </c>
      <c r="L3183" s="43">
        <f>A3183</f>
        <v/>
      </c>
      <c r="M3183" s="81" t="n"/>
      <c r="N3183" s="81" t="n"/>
      <c r="O3183" s="81" t="n"/>
      <c r="P3183" s="81" t="n"/>
      <c r="Q3183" s="81" t="n"/>
      <c r="R3183" s="81" t="n"/>
      <c r="S3183" s="81" t="n"/>
      <c r="T3183" s="81" t="n"/>
      <c r="U3183" s="81" t="n"/>
      <c r="V3183" s="81" t="n"/>
      <c r="W3183" s="43" t="n"/>
    </row>
    <row r="3184">
      <c r="A3184" s="43" t="inlineStr"/>
      <c r="B3184" s="43" t="inlineStr"/>
      <c r="C3184" s="43" t="inlineStr">
        <is>
          <t>节段21</t>
        </is>
      </c>
      <c r="D3184" s="43" t="inlineStr">
        <is>
          <t>Q355D</t>
        </is>
      </c>
      <c r="E3184" s="43" t="n"/>
      <c r="F3184" s="43" t="n"/>
      <c r="G3184" s="43" t="n">
        <v>24</v>
      </c>
      <c r="H3184" s="79">
        <f>(E3184/1000)*(F3184/1000)*(G3184/1000)*7850</f>
        <v/>
      </c>
      <c r="I3184" s="43" t="n">
        <v>2</v>
      </c>
      <c r="J3184" s="80">
        <f>H3184*I3184</f>
        <v/>
      </c>
      <c r="K3184" s="43" t="inlineStr">
        <is>
          <t>来源页224</t>
        </is>
      </c>
      <c r="L3184" s="43">
        <f>A3184</f>
        <v/>
      </c>
      <c r="M3184" s="81" t="n"/>
      <c r="N3184" s="81" t="n"/>
      <c r="O3184" s="81" t="n"/>
      <c r="P3184" s="81" t="n"/>
      <c r="Q3184" s="81" t="n"/>
      <c r="R3184" s="81" t="n"/>
      <c r="S3184" s="81" t="n"/>
      <c r="T3184" s="81" t="n"/>
      <c r="U3184" s="81" t="n"/>
      <c r="V3184" s="81" t="n"/>
      <c r="W3184" s="43" t="n"/>
    </row>
    <row r="3185">
      <c r="A3185" s="43" t="inlineStr"/>
      <c r="B3185" s="43" t="inlineStr"/>
      <c r="C3185" s="43" t="inlineStr">
        <is>
          <t>节段21</t>
        </is>
      </c>
      <c r="D3185" s="43" t="inlineStr">
        <is>
          <t>Q355D</t>
        </is>
      </c>
      <c r="E3185" s="43" t="n"/>
      <c r="F3185" s="43" t="n"/>
      <c r="G3185" s="43" t="n">
        <v>20</v>
      </c>
      <c r="H3185" s="79">
        <f>(E3185/1000)*(F3185/1000)*(G3185/1000)*7850</f>
        <v/>
      </c>
      <c r="I3185" s="43" t="n">
        <v>2</v>
      </c>
      <c r="J3185" s="80">
        <f>H3185*I3185</f>
        <v/>
      </c>
      <c r="K3185" s="43" t="inlineStr">
        <is>
          <t>来源页224</t>
        </is>
      </c>
      <c r="L3185" s="43">
        <f>A3185</f>
        <v/>
      </c>
      <c r="M3185" s="81" t="n"/>
      <c r="N3185" s="81" t="n"/>
      <c r="O3185" s="81" t="n"/>
      <c r="P3185" s="81" t="n"/>
      <c r="Q3185" s="81" t="n"/>
      <c r="R3185" s="81" t="n"/>
      <c r="S3185" s="81" t="n"/>
      <c r="T3185" s="81" t="n"/>
      <c r="U3185" s="81" t="n"/>
      <c r="V3185" s="81" t="n"/>
      <c r="W3185" s="43" t="n"/>
    </row>
    <row r="3186">
      <c r="A3186" s="43" t="inlineStr"/>
      <c r="B3186" s="43" t="inlineStr"/>
      <c r="C3186" s="43" t="inlineStr">
        <is>
          <t>节段21</t>
        </is>
      </c>
      <c r="D3186" s="43" t="inlineStr">
        <is>
          <t>Q355D</t>
        </is>
      </c>
      <c r="E3186" s="43" t="n"/>
      <c r="F3186" s="43" t="n"/>
      <c r="G3186" s="43" t="n">
        <v>16</v>
      </c>
      <c r="H3186" s="79">
        <f>(E3186/1000)*(F3186/1000)*(G3186/1000)*7850</f>
        <v/>
      </c>
      <c r="I3186" s="43" t="n">
        <v>2</v>
      </c>
      <c r="J3186" s="80">
        <f>H3186*I3186</f>
        <v/>
      </c>
      <c r="K3186" s="43" t="inlineStr">
        <is>
          <t>来源页224</t>
        </is>
      </c>
      <c r="L3186" s="43">
        <f>A3186</f>
        <v/>
      </c>
      <c r="M3186" s="81" t="n"/>
      <c r="N3186" s="81" t="n"/>
      <c r="O3186" s="81" t="n"/>
      <c r="P3186" s="81" t="n"/>
      <c r="Q3186" s="81" t="n"/>
      <c r="R3186" s="81" t="n"/>
      <c r="S3186" s="81" t="n"/>
      <c r="T3186" s="81" t="n"/>
      <c r="U3186" s="81" t="n"/>
      <c r="V3186" s="81" t="n"/>
      <c r="W3186" s="43" t="n"/>
    </row>
    <row r="3187">
      <c r="A3187" s="43" t="inlineStr"/>
      <c r="B3187" s="43" t="inlineStr"/>
      <c r="C3187" s="43" t="inlineStr">
        <is>
          <t>节段21</t>
        </is>
      </c>
      <c r="D3187" s="43" t="inlineStr">
        <is>
          <t>Q355D</t>
        </is>
      </c>
      <c r="E3187" s="43" t="n"/>
      <c r="F3187" s="43" t="n"/>
      <c r="G3187" s="43" t="n">
        <v>14</v>
      </c>
      <c r="H3187" s="79">
        <f>(E3187/1000)*(F3187/1000)*(G3187/1000)*7850</f>
        <v/>
      </c>
      <c r="I3187" s="43" t="n">
        <v>2</v>
      </c>
      <c r="J3187" s="80">
        <f>H3187*I3187</f>
        <v/>
      </c>
      <c r="K3187" s="43" t="inlineStr">
        <is>
          <t>来源页224</t>
        </is>
      </c>
      <c r="L3187" s="43">
        <f>A3187</f>
        <v/>
      </c>
      <c r="M3187" s="81" t="n"/>
      <c r="N3187" s="81" t="n"/>
      <c r="O3187" s="81" t="n"/>
      <c r="P3187" s="81" t="n"/>
      <c r="Q3187" s="81" t="n"/>
      <c r="R3187" s="81" t="n"/>
      <c r="S3187" s="81" t="n"/>
      <c r="T3187" s="81" t="n"/>
      <c r="U3187" s="81" t="n"/>
      <c r="V3187" s="81" t="n"/>
      <c r="W3187" s="43" t="n"/>
    </row>
    <row r="3188">
      <c r="A3188" s="43" t="inlineStr"/>
      <c r="B3188" s="43" t="inlineStr"/>
      <c r="C3188" s="43" t="inlineStr">
        <is>
          <t>节段21</t>
        </is>
      </c>
      <c r="D3188" s="43" t="inlineStr">
        <is>
          <t>Q355D</t>
        </is>
      </c>
      <c r="E3188" s="43" t="n"/>
      <c r="F3188" s="43" t="n"/>
      <c r="G3188" s="43" t="n">
        <v>4</v>
      </c>
      <c r="H3188" s="79">
        <f>(E3188/1000)*(F3188/1000)*(G3188/1000)*7850</f>
        <v/>
      </c>
      <c r="I3188" s="43" t="n">
        <v>2</v>
      </c>
      <c r="J3188" s="80">
        <f>H3188*I3188</f>
        <v/>
      </c>
      <c r="K3188" s="43" t="inlineStr">
        <is>
          <t>来源页224</t>
        </is>
      </c>
      <c r="L3188" s="43">
        <f>A3188</f>
        <v/>
      </c>
      <c r="M3188" s="81" t="n"/>
      <c r="N3188" s="81" t="n"/>
      <c r="O3188" s="81" t="n"/>
      <c r="P3188" s="81" t="n"/>
      <c r="Q3188" s="81" t="n"/>
      <c r="R3188" s="81" t="n"/>
      <c r="S3188" s="81" t="n"/>
      <c r="T3188" s="81" t="n"/>
      <c r="U3188" s="81" t="n"/>
      <c r="V3188" s="81" t="n"/>
      <c r="W3188" s="43" t="n"/>
    </row>
    <row r="3189">
      <c r="A3189" s="43" t="inlineStr"/>
      <c r="B3189" s="43" t="inlineStr"/>
      <c r="C3189" s="43" t="inlineStr">
        <is>
          <t>节段21</t>
        </is>
      </c>
      <c r="D3189" s="43" t="inlineStr">
        <is>
          <t>Q355D</t>
        </is>
      </c>
      <c r="E3189" s="43" t="n"/>
      <c r="F3189" s="43" t="n"/>
      <c r="G3189" s="43" t="n"/>
      <c r="H3189" s="79">
        <f>(E3189/1000)*(F3189/1000)*(G3189/1000)*7850</f>
        <v/>
      </c>
      <c r="I3189" s="43" t="n">
        <v>2</v>
      </c>
      <c r="J3189" s="80">
        <f>H3189*I3189</f>
        <v/>
      </c>
      <c r="K3189" s="43" t="inlineStr">
        <is>
          <t>来源页224</t>
        </is>
      </c>
      <c r="L3189" s="43">
        <f>A3189</f>
        <v/>
      </c>
      <c r="M3189" s="81" t="n"/>
      <c r="N3189" s="81" t="n"/>
      <c r="O3189" s="81" t="n"/>
      <c r="P3189" s="81" t="n"/>
      <c r="Q3189" s="81" t="n"/>
      <c r="R3189" s="81" t="n"/>
      <c r="S3189" s="81" t="n"/>
      <c r="T3189" s="81" t="n"/>
      <c r="U3189" s="81" t="n"/>
      <c r="V3189" s="81" t="n"/>
      <c r="W3189" s="43" t="n"/>
    </row>
    <row r="3190">
      <c r="A3190" s="43" t="inlineStr"/>
      <c r="B3190" s="43" t="inlineStr"/>
      <c r="C3190" s="43" t="inlineStr">
        <is>
          <t>节段21</t>
        </is>
      </c>
      <c r="D3190" s="43" t="inlineStr">
        <is>
          <t>Q355D</t>
        </is>
      </c>
      <c r="E3190" s="43" t="n"/>
      <c r="F3190" s="43" t="n"/>
      <c r="G3190" s="43" t="n"/>
      <c r="H3190" s="79">
        <f>(E3190/1000)*(F3190/1000)*(G3190/1000)*7850</f>
        <v/>
      </c>
      <c r="I3190" s="43" t="n">
        <v>2</v>
      </c>
      <c r="J3190" s="80">
        <f>H3190*I3190</f>
        <v/>
      </c>
      <c r="K3190" s="43" t="inlineStr">
        <is>
          <t>来源页224</t>
        </is>
      </c>
      <c r="L3190" s="43">
        <f>A3190</f>
        <v/>
      </c>
      <c r="M3190" s="81" t="n"/>
      <c r="N3190" s="81" t="n"/>
      <c r="O3190" s="81" t="n"/>
      <c r="P3190" s="81" t="n"/>
      <c r="Q3190" s="81" t="n"/>
      <c r="R3190" s="81" t="n"/>
      <c r="S3190" s="81" t="n"/>
      <c r="T3190" s="81" t="n"/>
      <c r="U3190" s="81" t="n"/>
      <c r="V3190" s="81" t="n"/>
      <c r="W3190" s="43" t="n"/>
    </row>
    <row r="3191">
      <c r="A3191" s="43" t="inlineStr"/>
      <c r="B3191" s="43" t="inlineStr"/>
      <c r="C3191" s="43" t="inlineStr">
        <is>
          <t>节段21</t>
        </is>
      </c>
      <c r="D3191" s="43" t="inlineStr">
        <is>
          <t>Q355D</t>
        </is>
      </c>
      <c r="E3191" s="43" t="n"/>
      <c r="F3191" s="43" t="n"/>
      <c r="G3191" s="43" t="n"/>
      <c r="H3191" s="79">
        <f>(E3191/1000)*(F3191/1000)*(G3191/1000)*7850</f>
        <v/>
      </c>
      <c r="I3191" s="43" t="n">
        <v>2</v>
      </c>
      <c r="J3191" s="80">
        <f>H3191*I3191</f>
        <v/>
      </c>
      <c r="K3191" s="43" t="inlineStr">
        <is>
          <t>来源页224</t>
        </is>
      </c>
      <c r="L3191" s="43">
        <f>A3191</f>
        <v/>
      </c>
      <c r="M3191" s="81" t="n"/>
      <c r="N3191" s="81" t="n"/>
      <c r="O3191" s="81" t="n"/>
      <c r="P3191" s="81" t="n"/>
      <c r="Q3191" s="81" t="n"/>
      <c r="R3191" s="81" t="n"/>
      <c r="S3191" s="81" t="n"/>
      <c r="T3191" s="81" t="n"/>
      <c r="U3191" s="81" t="n"/>
      <c r="V3191" s="81" t="n"/>
      <c r="W3191" s="43" t="n"/>
    </row>
    <row r="3192">
      <c r="A3192" s="43" t="inlineStr"/>
      <c r="B3192" s="43" t="inlineStr"/>
      <c r="C3192" s="43" t="inlineStr">
        <is>
          <t>节段21</t>
        </is>
      </c>
      <c r="D3192" s="43" t="inlineStr">
        <is>
          <t>Q355D</t>
        </is>
      </c>
      <c r="E3192" s="43" t="n"/>
      <c r="F3192" s="43" t="n"/>
      <c r="G3192" s="43" t="n"/>
      <c r="H3192" s="79">
        <f>(E3192/1000)*(F3192/1000)*(G3192/1000)*7850</f>
        <v/>
      </c>
      <c r="I3192" s="43" t="n">
        <v>2</v>
      </c>
      <c r="J3192" s="80">
        <f>H3192*I3192</f>
        <v/>
      </c>
      <c r="K3192" s="43" t="inlineStr">
        <is>
          <t>来源页224</t>
        </is>
      </c>
      <c r="L3192" s="43">
        <f>A3192</f>
        <v/>
      </c>
      <c r="M3192" s="81" t="n"/>
      <c r="N3192" s="81" t="n"/>
      <c r="O3192" s="81" t="n"/>
      <c r="P3192" s="81" t="n"/>
      <c r="Q3192" s="81" t="n"/>
      <c r="R3192" s="81" t="n"/>
      <c r="S3192" s="81" t="n"/>
      <c r="T3192" s="81" t="n"/>
      <c r="U3192" s="81" t="n"/>
      <c r="V3192" s="81" t="n"/>
      <c r="W3192" s="43" t="n"/>
    </row>
    <row r="3193">
      <c r="A3193" s="43" t="inlineStr">
        <is>
          <t>N11a</t>
        </is>
      </c>
      <c r="B3193" s="43" t="inlineStr"/>
      <c r="C3193" s="43" t="inlineStr">
        <is>
          <t>节段21</t>
        </is>
      </c>
      <c r="D3193" s="43" t="inlineStr">
        <is>
          <t>Q355D</t>
        </is>
      </c>
      <c r="E3193" s="43" t="n"/>
      <c r="F3193" s="43" t="n"/>
      <c r="G3193" s="43" t="n">
        <v>20</v>
      </c>
      <c r="H3193" s="79">
        <f>(E3193/1000)*(F3193/1000)*(G3193/1000)*7850</f>
        <v/>
      </c>
      <c r="I3193" s="43" t="n">
        <v>1</v>
      </c>
      <c r="J3193" s="80">
        <f>H3193*I3193</f>
        <v/>
      </c>
      <c r="K3193" s="43" t="inlineStr">
        <is>
          <t>来源页224</t>
        </is>
      </c>
      <c r="L3193" s="43">
        <f>A3193</f>
        <v/>
      </c>
      <c r="M3193" s="81" t="n"/>
      <c r="N3193" s="81" t="n"/>
      <c r="O3193" s="81" t="n"/>
      <c r="P3193" s="81" t="n"/>
      <c r="Q3193" s="81" t="n"/>
      <c r="R3193" s="81" t="n"/>
      <c r="S3193" s="81" t="n"/>
      <c r="T3193" s="81" t="n"/>
      <c r="U3193" s="81" t="n"/>
      <c r="V3193" s="81" t="n"/>
      <c r="W3193" s="43" t="n"/>
    </row>
    <row r="3194">
      <c r="A3194" s="43" t="inlineStr">
        <is>
          <t>N11b</t>
        </is>
      </c>
      <c r="B3194" s="43" t="inlineStr"/>
      <c r="C3194" s="43" t="inlineStr">
        <is>
          <t>节段21</t>
        </is>
      </c>
      <c r="D3194" s="43" t="inlineStr">
        <is>
          <t>Q355D</t>
        </is>
      </c>
      <c r="E3194" s="43" t="n"/>
      <c r="F3194" s="43" t="n"/>
      <c r="G3194" s="43" t="n">
        <v>20</v>
      </c>
      <c r="H3194" s="79">
        <f>(E3194/1000)*(F3194/1000)*(G3194/1000)*7850</f>
        <v/>
      </c>
      <c r="I3194" s="43" t="n">
        <v>1</v>
      </c>
      <c r="J3194" s="80">
        <f>H3194*I3194</f>
        <v/>
      </c>
      <c r="K3194" s="43" t="inlineStr">
        <is>
          <t>来源页224</t>
        </is>
      </c>
      <c r="L3194" s="43">
        <f>A3194</f>
        <v/>
      </c>
      <c r="M3194" s="81" t="n"/>
      <c r="N3194" s="81" t="n"/>
      <c r="O3194" s="81" t="n"/>
      <c r="P3194" s="81" t="n"/>
      <c r="Q3194" s="81" t="n"/>
      <c r="R3194" s="81" t="n"/>
      <c r="S3194" s="81" t="n"/>
      <c r="T3194" s="81" t="n"/>
      <c r="U3194" s="81" t="n"/>
      <c r="V3194" s="81" t="n"/>
      <c r="W3194" s="43" t="n"/>
    </row>
    <row r="3195">
      <c r="A3195" s="43" t="inlineStr">
        <is>
          <t>N12a</t>
        </is>
      </c>
      <c r="B3195" s="43" t="inlineStr"/>
      <c r="C3195" s="43" t="inlineStr">
        <is>
          <t>节段21</t>
        </is>
      </c>
      <c r="D3195" s="43" t="inlineStr">
        <is>
          <t>Q355D</t>
        </is>
      </c>
      <c r="E3195" s="43" t="n">
        <v>7900</v>
      </c>
      <c r="F3195" s="43" t="n">
        <v>1200</v>
      </c>
      <c r="G3195" s="43" t="n">
        <v>20</v>
      </c>
      <c r="H3195" s="79">
        <f>(E3195/1000)*(F3195/1000)*(G3195/1000)*7850</f>
        <v/>
      </c>
      <c r="I3195" s="43" t="n">
        <v>1</v>
      </c>
      <c r="J3195" s="80">
        <f>H3195*I3195</f>
        <v/>
      </c>
      <c r="K3195" s="43" t="inlineStr">
        <is>
          <t>来源页224</t>
        </is>
      </c>
      <c r="L3195" s="43">
        <f>A3195</f>
        <v/>
      </c>
      <c r="M3195" s="81" t="n"/>
      <c r="N3195" s="81" t="n"/>
      <c r="O3195" s="81" t="n"/>
      <c r="P3195" s="81" t="n"/>
      <c r="Q3195" s="81" t="n"/>
      <c r="R3195" s="81" t="n"/>
      <c r="S3195" s="81" t="n"/>
      <c r="T3195" s="81" t="n"/>
      <c r="U3195" s="81" t="n"/>
      <c r="V3195" s="81" t="n"/>
      <c r="W3195" s="43" t="n"/>
    </row>
    <row r="3196">
      <c r="A3196" s="43" t="inlineStr">
        <is>
          <t>N12b</t>
        </is>
      </c>
      <c r="B3196" s="43" t="inlineStr"/>
      <c r="C3196" s="43" t="inlineStr">
        <is>
          <t>节段21</t>
        </is>
      </c>
      <c r="D3196" s="43" t="inlineStr">
        <is>
          <t>Q355D</t>
        </is>
      </c>
      <c r="E3196" s="43" t="n">
        <v>8800</v>
      </c>
      <c r="F3196" s="43" t="n">
        <v>1200</v>
      </c>
      <c r="G3196" s="43" t="n">
        <v>20</v>
      </c>
      <c r="H3196" s="79">
        <f>(E3196/1000)*(F3196/1000)*(G3196/1000)*7850</f>
        <v/>
      </c>
      <c r="I3196" s="43" t="n">
        <v>1</v>
      </c>
      <c r="J3196" s="80">
        <f>H3196*I3196</f>
        <v/>
      </c>
      <c r="K3196" s="43" t="inlineStr">
        <is>
          <t>来源页224</t>
        </is>
      </c>
      <c r="L3196" s="43">
        <f>A3196</f>
        <v/>
      </c>
      <c r="M3196" s="81" t="n"/>
      <c r="N3196" s="81" t="n"/>
      <c r="O3196" s="81" t="n"/>
      <c r="P3196" s="81" t="n"/>
      <c r="Q3196" s="81" t="n"/>
      <c r="R3196" s="81" t="n"/>
      <c r="S3196" s="81" t="n"/>
      <c r="T3196" s="81" t="n"/>
      <c r="U3196" s="81" t="n"/>
      <c r="V3196" s="81" t="n"/>
      <c r="W3196" s="43" t="n"/>
    </row>
    <row r="3197">
      <c r="A3197" s="43" t="inlineStr">
        <is>
          <t>N13</t>
        </is>
      </c>
      <c r="B3197" s="43" t="inlineStr"/>
      <c r="C3197" s="43" t="inlineStr">
        <is>
          <t>节段21</t>
        </is>
      </c>
      <c r="D3197" s="43" t="inlineStr">
        <is>
          <t>Q355D</t>
        </is>
      </c>
      <c r="E3197" s="43" t="n"/>
      <c r="F3197" s="43" t="n"/>
      <c r="G3197" s="43" t="n">
        <v>40</v>
      </c>
      <c r="H3197" s="79">
        <f>(E3197/1000)*(F3197/1000)*(G3197/1000)*7850</f>
        <v/>
      </c>
      <c r="I3197" s="43" t="n">
        <v>2</v>
      </c>
      <c r="J3197" s="80">
        <f>H3197*I3197</f>
        <v/>
      </c>
      <c r="K3197" s="43" t="inlineStr">
        <is>
          <t>来源页224</t>
        </is>
      </c>
      <c r="L3197" s="43">
        <f>A3197</f>
        <v/>
      </c>
      <c r="M3197" s="81" t="n"/>
      <c r="N3197" s="81" t="n"/>
      <c r="O3197" s="81" t="n"/>
      <c r="P3197" s="81" t="n"/>
      <c r="Q3197" s="81" t="n"/>
      <c r="R3197" s="81" t="n"/>
      <c r="S3197" s="81" t="n"/>
      <c r="T3197" s="81" t="n"/>
      <c r="U3197" s="81" t="n"/>
      <c r="V3197" s="81" t="n"/>
      <c r="W3197" s="43" t="n"/>
    </row>
    <row r="3198">
      <c r="A3198" s="43" t="inlineStr">
        <is>
          <t>N14</t>
        </is>
      </c>
      <c r="B3198" s="43" t="inlineStr"/>
      <c r="C3198" s="43" t="inlineStr">
        <is>
          <t>节段21</t>
        </is>
      </c>
      <c r="D3198" s="43" t="inlineStr">
        <is>
          <t>Q355D</t>
        </is>
      </c>
      <c r="E3198" s="43" t="n">
        <v>8800</v>
      </c>
      <c r="F3198" s="43" t="n">
        <v>1648</v>
      </c>
      <c r="G3198" s="43" t="n">
        <v>20</v>
      </c>
      <c r="H3198" s="79">
        <f>(E3198/1000)*(F3198/1000)*(G3198/1000)*7850</f>
        <v/>
      </c>
      <c r="I3198" s="43" t="n">
        <v>2</v>
      </c>
      <c r="J3198" s="80">
        <f>H3198*I3198</f>
        <v/>
      </c>
      <c r="K3198" s="43" t="inlineStr">
        <is>
          <t>来源页224</t>
        </is>
      </c>
      <c r="L3198" s="43">
        <f>A3198</f>
        <v/>
      </c>
      <c r="M3198" s="81" t="n"/>
      <c r="N3198" s="81" t="n"/>
      <c r="O3198" s="81" t="n"/>
      <c r="P3198" s="81" t="n"/>
      <c r="Q3198" s="81" t="n"/>
      <c r="R3198" s="81" t="n"/>
      <c r="S3198" s="81" t="n"/>
      <c r="T3198" s="81" t="n"/>
      <c r="U3198" s="81" t="n"/>
      <c r="V3198" s="81" t="n"/>
      <c r="W3198" s="43" t="n"/>
    </row>
    <row r="3199">
      <c r="A3199" s="43" t="inlineStr">
        <is>
          <t>N15</t>
        </is>
      </c>
      <c r="B3199" s="43" t="inlineStr"/>
      <c r="C3199" s="43" t="inlineStr">
        <is>
          <t>节段21</t>
        </is>
      </c>
      <c r="D3199" s="43" t="inlineStr">
        <is>
          <t>Q355D</t>
        </is>
      </c>
      <c r="E3199" s="43" t="n">
        <v>1580</v>
      </c>
      <c r="F3199" s="43" t="n">
        <v>1200</v>
      </c>
      <c r="G3199" s="43" t="n">
        <v>16</v>
      </c>
      <c r="H3199" s="79">
        <f>(E3199/1000)*(F3199/1000)*(G3199/1000)*7850</f>
        <v/>
      </c>
      <c r="I3199" s="43" t="n">
        <v>3</v>
      </c>
      <c r="J3199" s="80">
        <f>H3199*I3199</f>
        <v/>
      </c>
      <c r="K3199" s="43" t="inlineStr">
        <is>
          <t>来源页224</t>
        </is>
      </c>
      <c r="L3199" s="43">
        <f>A3199</f>
        <v/>
      </c>
      <c r="M3199" s="81" t="n"/>
      <c r="N3199" s="81" t="n"/>
      <c r="O3199" s="81" t="n"/>
      <c r="P3199" s="81" t="n"/>
      <c r="Q3199" s="81" t="n"/>
      <c r="R3199" s="81" t="n"/>
      <c r="S3199" s="81" t="n"/>
      <c r="T3199" s="81" t="n"/>
      <c r="U3199" s="81" t="n"/>
      <c r="V3199" s="81" t="n"/>
      <c r="W3199" s="43" t="n"/>
    </row>
    <row r="3200">
      <c r="A3200" s="43" t="inlineStr">
        <is>
          <t>N15a</t>
        </is>
      </c>
      <c r="B3200" s="43" t="inlineStr"/>
      <c r="C3200" s="43" t="inlineStr">
        <is>
          <t>节段21</t>
        </is>
      </c>
      <c r="D3200" s="43" t="inlineStr">
        <is>
          <t>Q355D</t>
        </is>
      </c>
      <c r="E3200" s="43" t="n">
        <v>1580</v>
      </c>
      <c r="F3200" s="43" t="n">
        <v>1200</v>
      </c>
      <c r="G3200" s="43" t="n">
        <v>16</v>
      </c>
      <c r="H3200" s="79">
        <f>(E3200/1000)*(F3200/1000)*(G3200/1000)*7850</f>
        <v/>
      </c>
      <c r="I3200" s="43" t="n">
        <v>2</v>
      </c>
      <c r="J3200" s="80">
        <f>H3200*I3200</f>
        <v/>
      </c>
      <c r="K3200" s="43" t="inlineStr">
        <is>
          <t>来源页224</t>
        </is>
      </c>
      <c r="L3200" s="43">
        <f>A3200</f>
        <v/>
      </c>
      <c r="M3200" s="81" t="n"/>
      <c r="N3200" s="81" t="n"/>
      <c r="O3200" s="81" t="n"/>
      <c r="P3200" s="81" t="n"/>
      <c r="Q3200" s="81" t="n"/>
      <c r="R3200" s="81" t="n"/>
      <c r="S3200" s="81" t="n"/>
      <c r="T3200" s="81" t="n"/>
      <c r="U3200" s="81" t="n"/>
      <c r="V3200" s="81" t="n"/>
      <c r="W3200" s="43" t="n"/>
    </row>
    <row r="3201">
      <c r="A3201" s="43" t="inlineStr">
        <is>
          <t>N15‘</t>
        </is>
      </c>
      <c r="B3201" s="43" t="inlineStr"/>
      <c r="C3201" s="43" t="inlineStr">
        <is>
          <t>节段21</t>
        </is>
      </c>
      <c r="D3201" s="43" t="inlineStr">
        <is>
          <t>Q355D</t>
        </is>
      </c>
      <c r="E3201" s="43" t="n">
        <v>1657</v>
      </c>
      <c r="F3201" s="43" t="n">
        <v>200</v>
      </c>
      <c r="G3201" s="43" t="n">
        <v>16</v>
      </c>
      <c r="H3201" s="79">
        <f>(E3201/1000)*(F3201/1000)*(G3201/1000)*7850</f>
        <v/>
      </c>
      <c r="I3201" s="43" t="n">
        <v>3</v>
      </c>
      <c r="J3201" s="80">
        <f>H3201*I3201</f>
        <v/>
      </c>
      <c r="K3201" s="43" t="inlineStr">
        <is>
          <t>来源页224</t>
        </is>
      </c>
      <c r="L3201" s="43">
        <f>A3201</f>
        <v/>
      </c>
      <c r="M3201" s="81" t="n"/>
      <c r="N3201" s="81" t="n"/>
      <c r="O3201" s="81" t="n"/>
      <c r="P3201" s="81" t="n"/>
      <c r="Q3201" s="81" t="n"/>
      <c r="R3201" s="81" t="n"/>
      <c r="S3201" s="81" t="n"/>
      <c r="T3201" s="81" t="n"/>
      <c r="U3201" s="81" t="n"/>
      <c r="V3201" s="81" t="n"/>
      <c r="W3201" s="43" t="n"/>
    </row>
    <row r="3202">
      <c r="A3202" s="43" t="inlineStr">
        <is>
          <t>N15b</t>
        </is>
      </c>
      <c r="B3202" s="43" t="inlineStr"/>
      <c r="C3202" s="43" t="inlineStr">
        <is>
          <t>节段21</t>
        </is>
      </c>
      <c r="D3202" s="43" t="inlineStr">
        <is>
          <t>Q355D</t>
        </is>
      </c>
      <c r="E3202" s="43" t="n">
        <v>1782</v>
      </c>
      <c r="F3202" s="43" t="n">
        <v>40</v>
      </c>
      <c r="G3202" s="43" t="n">
        <v>4</v>
      </c>
      <c r="H3202" s="79">
        <f>(E3202/1000)*(F3202/1000)*(G3202/1000)*7850</f>
        <v/>
      </c>
      <c r="I3202" s="43" t="n">
        <v>4</v>
      </c>
      <c r="J3202" s="80">
        <f>H3202*I3202</f>
        <v/>
      </c>
      <c r="K3202" s="43" t="inlineStr">
        <is>
          <t>来源页224</t>
        </is>
      </c>
      <c r="L3202" s="43">
        <f>A3202</f>
        <v/>
      </c>
      <c r="M3202" s="81" t="n"/>
      <c r="N3202" s="81" t="n"/>
      <c r="O3202" s="81" t="n"/>
      <c r="P3202" s="81" t="n"/>
      <c r="Q3202" s="81" t="n"/>
      <c r="R3202" s="81" t="n"/>
      <c r="S3202" s="81" t="n"/>
      <c r="T3202" s="81" t="n"/>
      <c r="U3202" s="81" t="n"/>
      <c r="V3202" s="81" t="n"/>
      <c r="W3202" s="43" t="n"/>
    </row>
    <row r="3203">
      <c r="A3203" s="43" t="inlineStr">
        <is>
          <t>N15c</t>
        </is>
      </c>
      <c r="B3203" s="43" t="inlineStr"/>
      <c r="C3203" s="43" t="inlineStr">
        <is>
          <t>节段21</t>
        </is>
      </c>
      <c r="D3203" s="43" t="inlineStr">
        <is>
          <t>Q355D</t>
        </is>
      </c>
      <c r="E3203" s="43" t="n">
        <v>600</v>
      </c>
      <c r="F3203" s="43" t="n">
        <v>400</v>
      </c>
      <c r="G3203" s="43" t="n">
        <v>16</v>
      </c>
      <c r="H3203" s="79">
        <f>(E3203/1000)*(F3203/1000)*(G3203/1000)*7850</f>
        <v/>
      </c>
      <c r="I3203" s="43" t="n">
        <v>4</v>
      </c>
      <c r="J3203" s="80">
        <f>H3203*I3203</f>
        <v/>
      </c>
      <c r="K3203" s="43" t="inlineStr">
        <is>
          <t>来源页224</t>
        </is>
      </c>
      <c r="L3203" s="43">
        <f>A3203</f>
        <v/>
      </c>
      <c r="M3203" s="81" t="n"/>
      <c r="N3203" s="81" t="n"/>
      <c r="O3203" s="81" t="n"/>
      <c r="P3203" s="81" t="n"/>
      <c r="Q3203" s="81" t="n"/>
      <c r="R3203" s="81" t="n"/>
      <c r="S3203" s="81" t="n"/>
      <c r="T3203" s="81" t="n"/>
      <c r="U3203" s="81" t="n"/>
      <c r="V3203" s="81" t="n"/>
      <c r="W3203" s="43" t="n"/>
    </row>
    <row r="3204">
      <c r="A3204" s="43" t="inlineStr">
        <is>
          <t>N16a</t>
        </is>
      </c>
      <c r="B3204" s="43" t="inlineStr"/>
      <c r="C3204" s="43" t="inlineStr">
        <is>
          <t>节段21</t>
        </is>
      </c>
      <c r="D3204" s="43" t="inlineStr">
        <is>
          <t>Q355D</t>
        </is>
      </c>
      <c r="E3204" s="43" t="n">
        <v>7900</v>
      </c>
      <c r="F3204" s="43" t="n">
        <v>240</v>
      </c>
      <c r="G3204" s="43" t="n">
        <v>20</v>
      </c>
      <c r="H3204" s="79">
        <f>(E3204/1000)*(F3204/1000)*(G3204/1000)*7850</f>
        <v/>
      </c>
      <c r="I3204" s="43" t="n">
        <v>6</v>
      </c>
      <c r="J3204" s="80">
        <f>H3204*I3204</f>
        <v/>
      </c>
      <c r="K3204" s="43" t="inlineStr">
        <is>
          <t>来源页224</t>
        </is>
      </c>
      <c r="L3204" s="43">
        <f>A3204</f>
        <v/>
      </c>
      <c r="M3204" s="81" t="n"/>
      <c r="N3204" s="81" t="n"/>
      <c r="O3204" s="81" t="n"/>
      <c r="P3204" s="81" t="n"/>
      <c r="Q3204" s="81" t="n"/>
      <c r="R3204" s="81" t="n"/>
      <c r="S3204" s="81" t="n"/>
      <c r="T3204" s="81" t="n"/>
      <c r="U3204" s="81" t="n"/>
      <c r="V3204" s="81" t="n"/>
      <c r="W3204" s="43" t="n"/>
    </row>
    <row r="3205">
      <c r="A3205" s="43" t="inlineStr">
        <is>
          <t>N21α</t>
        </is>
      </c>
      <c r="B3205" s="43" t="inlineStr"/>
      <c r="C3205" s="43" t="inlineStr">
        <is>
          <t>节段21</t>
        </is>
      </c>
      <c r="D3205" s="43" t="inlineStr">
        <is>
          <t>Q355D</t>
        </is>
      </c>
      <c r="E3205" s="43" t="n">
        <v>7900</v>
      </c>
      <c r="F3205" s="43" t="n">
        <v>1850</v>
      </c>
      <c r="G3205" s="43" t="n">
        <v>20</v>
      </c>
      <c r="H3205" s="79">
        <f>(E3205/1000)*(F3205/1000)*(G3205/1000)*7850</f>
        <v/>
      </c>
      <c r="I3205" s="43" t="n">
        <v>1</v>
      </c>
      <c r="J3205" s="80">
        <f>H3205*I3205</f>
        <v/>
      </c>
      <c r="K3205" s="43" t="inlineStr">
        <is>
          <t>来源页224</t>
        </is>
      </c>
      <c r="L3205" s="43">
        <f>A3205</f>
        <v/>
      </c>
      <c r="M3205" s="81" t="n"/>
      <c r="N3205" s="81" t="n"/>
      <c r="O3205" s="81" t="n"/>
      <c r="P3205" s="81" t="n"/>
      <c r="Q3205" s="81" t="n"/>
      <c r="R3205" s="81" t="n"/>
      <c r="S3205" s="81" t="n"/>
      <c r="T3205" s="81" t="n"/>
      <c r="U3205" s="81" t="n"/>
      <c r="V3205" s="81" t="n"/>
      <c r="W3205" s="43" t="n"/>
    </row>
    <row r="3206">
      <c r="A3206" s="43" t="inlineStr">
        <is>
          <t>N21b</t>
        </is>
      </c>
      <c r="B3206" s="43" t="inlineStr"/>
      <c r="C3206" s="43" t="inlineStr">
        <is>
          <t>节段21</t>
        </is>
      </c>
      <c r="D3206" s="43" t="inlineStr">
        <is>
          <t>Q355D</t>
        </is>
      </c>
      <c r="E3206" s="43" t="n">
        <v>10100</v>
      </c>
      <c r="F3206" s="43" t="n">
        <v>1850</v>
      </c>
      <c r="G3206" s="43" t="n">
        <v>20</v>
      </c>
      <c r="H3206" s="79">
        <f>(E3206/1000)*(F3206/1000)*(G3206/1000)*7850</f>
        <v/>
      </c>
      <c r="I3206" s="43" t="n">
        <v>1</v>
      </c>
      <c r="J3206" s="80">
        <f>H3206*I3206</f>
        <v/>
      </c>
      <c r="K3206" s="43" t="inlineStr">
        <is>
          <t>来源页224</t>
        </is>
      </c>
      <c r="L3206" s="43">
        <f>A3206</f>
        <v/>
      </c>
      <c r="M3206" s="81" t="n"/>
      <c r="N3206" s="81" t="n"/>
      <c r="O3206" s="81" t="n"/>
      <c r="P3206" s="81" t="n"/>
      <c r="Q3206" s="81" t="n"/>
      <c r="R3206" s="81" t="n"/>
      <c r="S3206" s="81" t="n"/>
      <c r="T3206" s="81" t="n"/>
      <c r="U3206" s="81" t="n"/>
      <c r="V3206" s="81" t="n"/>
      <c r="W3206" s="43" t="n"/>
    </row>
    <row r="3207">
      <c r="A3207" s="43" t="inlineStr">
        <is>
          <t>N22a</t>
        </is>
      </c>
      <c r="B3207" s="43" t="inlineStr"/>
      <c r="C3207" s="43" t="inlineStr">
        <is>
          <t>节段21</t>
        </is>
      </c>
      <c r="D3207" s="43" t="inlineStr">
        <is>
          <t>Q355D</t>
        </is>
      </c>
      <c r="E3207" s="43" t="n"/>
      <c r="F3207" s="43" t="n"/>
      <c r="G3207" s="43" t="n">
        <v>20</v>
      </c>
      <c r="H3207" s="79">
        <f>(E3207/1000)*(F3207/1000)*(G3207/1000)*7850</f>
        <v/>
      </c>
      <c r="I3207" s="43" t="n">
        <v>1</v>
      </c>
      <c r="J3207" s="80">
        <f>H3207*I3207</f>
        <v/>
      </c>
      <c r="K3207" s="43" t="inlineStr">
        <is>
          <t>来源页224</t>
        </is>
      </c>
      <c r="L3207" s="43">
        <f>A3207</f>
        <v/>
      </c>
      <c r="M3207" s="81" t="n"/>
      <c r="N3207" s="81" t="n"/>
      <c r="O3207" s="81" t="n"/>
      <c r="P3207" s="81" t="n"/>
      <c r="Q3207" s="81" t="n"/>
      <c r="R3207" s="81" t="n"/>
      <c r="S3207" s="81" t="n"/>
      <c r="T3207" s="81" t="n"/>
      <c r="U3207" s="81" t="n"/>
      <c r="V3207" s="81" t="n"/>
      <c r="W3207" s="43" t="n"/>
    </row>
    <row r="3208">
      <c r="A3208" s="43" t="inlineStr">
        <is>
          <t>N22b</t>
        </is>
      </c>
      <c r="B3208" s="43" t="inlineStr"/>
      <c r="C3208" s="43" t="inlineStr">
        <is>
          <t>节段21</t>
        </is>
      </c>
      <c r="D3208" s="43" t="inlineStr">
        <is>
          <t>Q355D</t>
        </is>
      </c>
      <c r="E3208" s="43" t="n"/>
      <c r="F3208" s="43" t="n"/>
      <c r="G3208" s="43" t="n">
        <v>20</v>
      </c>
      <c r="H3208" s="79">
        <f>(E3208/1000)*(F3208/1000)*(G3208/1000)*7850</f>
        <v/>
      </c>
      <c r="I3208" s="43" t="n">
        <v>1</v>
      </c>
      <c r="J3208" s="80">
        <f>H3208*I3208</f>
        <v/>
      </c>
      <c r="K3208" s="43" t="inlineStr">
        <is>
          <t>来源页224</t>
        </is>
      </c>
      <c r="L3208" s="43">
        <f>A3208</f>
        <v/>
      </c>
      <c r="M3208" s="81" t="n"/>
      <c r="N3208" s="81" t="n"/>
      <c r="O3208" s="81" t="n"/>
      <c r="P3208" s="81" t="n"/>
      <c r="Q3208" s="81" t="n"/>
      <c r="R3208" s="81" t="n"/>
      <c r="S3208" s="81" t="n"/>
      <c r="T3208" s="81" t="n"/>
      <c r="U3208" s="81" t="n"/>
      <c r="V3208" s="81" t="n"/>
      <c r="W3208" s="43" t="n"/>
    </row>
    <row r="3209">
      <c r="A3209" s="43" t="inlineStr">
        <is>
          <t>N23</t>
        </is>
      </c>
      <c r="B3209" s="43" t="inlineStr"/>
      <c r="C3209" s="43" t="inlineStr">
        <is>
          <t>节段21</t>
        </is>
      </c>
      <c r="D3209" s="43" t="inlineStr">
        <is>
          <t>Q355D</t>
        </is>
      </c>
      <c r="E3209" s="43" t="n"/>
      <c r="F3209" s="43" t="n"/>
      <c r="G3209" s="43" t="n">
        <v>40</v>
      </c>
      <c r="H3209" s="79">
        <f>(E3209/1000)*(F3209/1000)*(G3209/1000)*7850</f>
        <v/>
      </c>
      <c r="I3209" s="43" t="n">
        <v>2</v>
      </c>
      <c r="J3209" s="80">
        <f>H3209*I3209</f>
        <v/>
      </c>
      <c r="K3209" s="43" t="inlineStr">
        <is>
          <t>Z35钢；来源页224</t>
        </is>
      </c>
      <c r="L3209" s="43">
        <f>A3209</f>
        <v/>
      </c>
      <c r="M3209" s="81" t="n"/>
      <c r="N3209" s="81" t="n"/>
      <c r="O3209" s="81" t="n"/>
      <c r="P3209" s="81" t="n"/>
      <c r="Q3209" s="81" t="n"/>
      <c r="R3209" s="81" t="n"/>
      <c r="S3209" s="81" t="n"/>
      <c r="T3209" s="81" t="n"/>
      <c r="U3209" s="81" t="n"/>
      <c r="V3209" s="81" t="n"/>
      <c r="W3209" s="43" t="n"/>
    </row>
    <row r="3210">
      <c r="A3210" s="43" t="inlineStr">
        <is>
          <t>N24</t>
        </is>
      </c>
      <c r="B3210" s="43" t="inlineStr"/>
      <c r="C3210" s="43" t="inlineStr">
        <is>
          <t>节段21</t>
        </is>
      </c>
      <c r="D3210" s="43" t="inlineStr">
        <is>
          <t>Q355D</t>
        </is>
      </c>
      <c r="E3210" s="43" t="n">
        <v>10300</v>
      </c>
      <c r="F3210" s="43" t="n">
        <v>1470</v>
      </c>
      <c r="G3210" s="43" t="n">
        <v>24</v>
      </c>
      <c r="H3210" s="79">
        <f>(E3210/1000)*(F3210/1000)*(G3210/1000)*7850</f>
        <v/>
      </c>
      <c r="I3210" s="43" t="n">
        <v>2</v>
      </c>
      <c r="J3210" s="80">
        <f>H3210*I3210</f>
        <v/>
      </c>
      <c r="K3210" s="43" t="inlineStr">
        <is>
          <t>来源页224</t>
        </is>
      </c>
      <c r="L3210" s="43">
        <f>A3210</f>
        <v/>
      </c>
      <c r="M3210" s="81" t="n"/>
      <c r="N3210" s="81" t="n"/>
      <c r="O3210" s="81" t="n"/>
      <c r="P3210" s="81" t="n"/>
      <c r="Q3210" s="81" t="n"/>
      <c r="R3210" s="81" t="n"/>
      <c r="S3210" s="81" t="n"/>
      <c r="T3210" s="81" t="n"/>
      <c r="U3210" s="81" t="n"/>
      <c r="V3210" s="81" t="n"/>
      <c r="W3210" s="43" t="n"/>
    </row>
    <row r="3211">
      <c r="A3211" s="43" t="inlineStr">
        <is>
          <t>N25</t>
        </is>
      </c>
      <c r="B3211" s="43" t="inlineStr"/>
      <c r="C3211" s="43" t="inlineStr">
        <is>
          <t>节段21</t>
        </is>
      </c>
      <c r="D3211" s="43" t="inlineStr">
        <is>
          <t>Q355D</t>
        </is>
      </c>
      <c r="E3211" s="43" t="n">
        <v>1450</v>
      </c>
      <c r="F3211" s="43" t="n">
        <v>1200</v>
      </c>
      <c r="G3211" s="43" t="n">
        <v>16</v>
      </c>
      <c r="H3211" s="79">
        <f>(E3211/1000)*(F3211/1000)*(G3211/1000)*7850</f>
        <v/>
      </c>
      <c r="I3211" s="43" t="n">
        <v>3</v>
      </c>
      <c r="J3211" s="80">
        <f>H3211*I3211</f>
        <v/>
      </c>
      <c r="K3211" s="43" t="inlineStr">
        <is>
          <t>来源页224</t>
        </is>
      </c>
      <c r="L3211" s="43">
        <f>A3211</f>
        <v/>
      </c>
      <c r="M3211" s="81" t="n"/>
      <c r="N3211" s="81" t="n"/>
      <c r="O3211" s="81" t="n"/>
      <c r="P3211" s="81" t="n"/>
      <c r="Q3211" s="81" t="n"/>
      <c r="R3211" s="81" t="n"/>
      <c r="S3211" s="81" t="n"/>
      <c r="T3211" s="81" t="n"/>
      <c r="U3211" s="81" t="n"/>
      <c r="V3211" s="81" t="n"/>
      <c r="W3211" s="43" t="n"/>
    </row>
    <row r="3212">
      <c r="A3212" s="43" t="inlineStr">
        <is>
          <t>N25a</t>
        </is>
      </c>
      <c r="B3212" s="43" t="inlineStr"/>
      <c r="C3212" s="43" t="inlineStr">
        <is>
          <t>节段21</t>
        </is>
      </c>
      <c r="D3212" s="43" t="inlineStr">
        <is>
          <t>Q355D</t>
        </is>
      </c>
      <c r="E3212" s="43" t="n">
        <v>1450</v>
      </c>
      <c r="F3212" s="43" t="n">
        <v>1200</v>
      </c>
      <c r="G3212" s="43" t="n">
        <v>16</v>
      </c>
      <c r="H3212" s="79">
        <f>(E3212/1000)*(F3212/1000)*(G3212/1000)*7850</f>
        <v/>
      </c>
      <c r="I3212" s="43" t="n">
        <v>2</v>
      </c>
      <c r="J3212" s="80">
        <f>H3212*I3212</f>
        <v/>
      </c>
      <c r="K3212" s="43" t="inlineStr">
        <is>
          <t>来源页224</t>
        </is>
      </c>
      <c r="L3212" s="43">
        <f>A3212</f>
        <v/>
      </c>
      <c r="M3212" s="81" t="n"/>
      <c r="N3212" s="81" t="n"/>
      <c r="O3212" s="81" t="n"/>
      <c r="P3212" s="81" t="n"/>
      <c r="Q3212" s="81" t="n"/>
      <c r="R3212" s="81" t="n"/>
      <c r="S3212" s="81" t="n"/>
      <c r="T3212" s="81" t="n"/>
      <c r="U3212" s="81" t="n"/>
      <c r="V3212" s="81" t="n"/>
      <c r="W3212" s="43" t="n"/>
    </row>
    <row r="3213">
      <c r="A3213" s="43" t="inlineStr">
        <is>
          <t>N25'</t>
        </is>
      </c>
      <c r="B3213" s="43" t="inlineStr"/>
      <c r="C3213" s="43" t="inlineStr">
        <is>
          <t>节段21</t>
        </is>
      </c>
      <c r="D3213" s="43" t="inlineStr">
        <is>
          <t>Q355D</t>
        </is>
      </c>
      <c r="E3213" s="43" t="n">
        <v>1657</v>
      </c>
      <c r="F3213" s="43" t="n">
        <v>200</v>
      </c>
      <c r="G3213" s="43" t="n">
        <v>16</v>
      </c>
      <c r="H3213" s="79">
        <f>(E3213/1000)*(F3213/1000)*(G3213/1000)*7850</f>
        <v/>
      </c>
      <c r="I3213" s="43" t="n">
        <v>3</v>
      </c>
      <c r="J3213" s="80">
        <f>H3213*I3213</f>
        <v/>
      </c>
      <c r="K3213" s="43" t="inlineStr">
        <is>
          <t>来源页224</t>
        </is>
      </c>
      <c r="L3213" s="43">
        <f>A3213</f>
        <v/>
      </c>
      <c r="M3213" s="81" t="n"/>
      <c r="N3213" s="81" t="n"/>
      <c r="O3213" s="81" t="n"/>
      <c r="P3213" s="81" t="n"/>
      <c r="Q3213" s="81" t="n"/>
      <c r="R3213" s="81" t="n"/>
      <c r="S3213" s="81" t="n"/>
      <c r="T3213" s="81" t="n"/>
      <c r="U3213" s="81" t="n"/>
      <c r="V3213" s="81" t="n"/>
      <c r="W3213" s="43" t="n"/>
    </row>
    <row r="3214">
      <c r="A3214" s="43" t="inlineStr">
        <is>
          <t>N26a</t>
        </is>
      </c>
      <c r="B3214" s="43" t="inlineStr"/>
      <c r="C3214" s="43" t="inlineStr">
        <is>
          <t>节段21</t>
        </is>
      </c>
      <c r="D3214" s="43" t="inlineStr">
        <is>
          <t>Q355D</t>
        </is>
      </c>
      <c r="E3214" s="43" t="n">
        <v>7900</v>
      </c>
      <c r="F3214" s="43" t="n">
        <v>240</v>
      </c>
      <c r="G3214" s="43" t="n">
        <v>20</v>
      </c>
      <c r="H3214" s="79">
        <f>(E3214/1000)*(F3214/1000)*(G3214/1000)*7850</f>
        <v/>
      </c>
      <c r="I3214" s="43" t="n">
        <v>4</v>
      </c>
      <c r="J3214" s="80">
        <f>H3214*I3214</f>
        <v/>
      </c>
      <c r="K3214" s="43" t="inlineStr">
        <is>
          <t>来源页224</t>
        </is>
      </c>
      <c r="L3214" s="43">
        <f>A3214</f>
        <v/>
      </c>
      <c r="M3214" s="81" t="n"/>
      <c r="N3214" s="81" t="n"/>
      <c r="O3214" s="81" t="n"/>
      <c r="P3214" s="81" t="n"/>
      <c r="Q3214" s="81" t="n"/>
      <c r="R3214" s="81" t="n"/>
      <c r="S3214" s="81" t="n"/>
      <c r="T3214" s="81" t="n"/>
      <c r="U3214" s="81" t="n"/>
      <c r="V3214" s="81" t="n"/>
      <c r="W3214" s="43" t="n"/>
    </row>
    <row r="3215">
      <c r="A3215" s="43" t="inlineStr">
        <is>
          <t>N26b</t>
        </is>
      </c>
      <c r="B3215" s="43" t="inlineStr"/>
      <c r="C3215" s="43" t="inlineStr">
        <is>
          <t>节段21</t>
        </is>
      </c>
      <c r="D3215" s="43" t="inlineStr">
        <is>
          <t>Q355D</t>
        </is>
      </c>
      <c r="E3215" s="43" t="n">
        <v>10100</v>
      </c>
      <c r="F3215" s="43" t="n">
        <v>240</v>
      </c>
      <c r="G3215" s="43" t="n">
        <v>20</v>
      </c>
      <c r="H3215" s="79">
        <f>(E3215/1000)*(F3215/1000)*(G3215/1000)*7850</f>
        <v/>
      </c>
      <c r="I3215" s="43" t="n">
        <v>4</v>
      </c>
      <c r="J3215" s="80">
        <f>H3215*I3215</f>
        <v/>
      </c>
      <c r="K3215" s="43" t="inlineStr">
        <is>
          <t>来源页224</t>
        </is>
      </c>
      <c r="L3215" s="43">
        <f>A3215</f>
        <v/>
      </c>
      <c r="M3215" s="81" t="n"/>
      <c r="N3215" s="81" t="n"/>
      <c r="O3215" s="81" t="n"/>
      <c r="P3215" s="81" t="n"/>
      <c r="Q3215" s="81" t="n"/>
      <c r="R3215" s="81" t="n"/>
      <c r="S3215" s="81" t="n"/>
      <c r="T3215" s="81" t="n"/>
      <c r="U3215" s="81" t="n"/>
      <c r="V3215" s="81" t="n"/>
      <c r="W3215" s="43" t="n"/>
    </row>
    <row r="3216">
      <c r="A3216" s="43" t="inlineStr">
        <is>
          <t>N26c</t>
        </is>
      </c>
      <c r="B3216" s="43" t="inlineStr"/>
      <c r="C3216" s="43" t="inlineStr">
        <is>
          <t>节段21</t>
        </is>
      </c>
      <c r="D3216" s="43" t="inlineStr">
        <is>
          <t>Q355D</t>
        </is>
      </c>
      <c r="E3216" s="43" t="n">
        <v>18000</v>
      </c>
      <c r="F3216" s="43" t="n">
        <v>170</v>
      </c>
      <c r="G3216" s="43" t="n">
        <v>14</v>
      </c>
      <c r="H3216" s="79">
        <f>(E3216/1000)*(F3216/1000)*(G3216/1000)*7850</f>
        <v/>
      </c>
      <c r="I3216" s="43" t="n">
        <v>1</v>
      </c>
      <c r="J3216" s="80">
        <f>H3216*I3216</f>
        <v/>
      </c>
      <c r="K3216" s="43" t="inlineStr">
        <is>
          <t>来源页224</t>
        </is>
      </c>
      <c r="L3216" s="43">
        <f>A3216</f>
        <v/>
      </c>
      <c r="M3216" s="81" t="n"/>
      <c r="N3216" s="81" t="n"/>
      <c r="O3216" s="81" t="n"/>
      <c r="P3216" s="81" t="n"/>
      <c r="Q3216" s="81" t="n"/>
      <c r="R3216" s="81" t="n"/>
      <c r="S3216" s="81" t="n"/>
      <c r="T3216" s="81" t="n"/>
      <c r="U3216" s="81" t="n"/>
      <c r="V3216" s="81" t="n"/>
      <c r="W3216" s="43" t="n"/>
    </row>
    <row r="3217">
      <c r="A3217" s="43" t="inlineStr">
        <is>
          <t>N31</t>
        </is>
      </c>
      <c r="B3217" s="43" t="inlineStr"/>
      <c r="C3217" s="43" t="inlineStr">
        <is>
          <t>节段21</t>
        </is>
      </c>
      <c r="D3217" s="43" t="inlineStr">
        <is>
          <t>Q355D</t>
        </is>
      </c>
      <c r="E3217" s="43" t="n">
        <v>8075</v>
      </c>
      <c r="F3217" s="43" t="n">
        <v>900</v>
      </c>
      <c r="G3217" s="43" t="n">
        <v>36</v>
      </c>
      <c r="H3217" s="79">
        <f>(E3217/1000)*(F3217/1000)*(G3217/1000)*7850</f>
        <v/>
      </c>
      <c r="I3217" s="43" t="n">
        <v>2</v>
      </c>
      <c r="J3217" s="80">
        <f>H3217*I3217</f>
        <v/>
      </c>
      <c r="K3217" s="43" t="inlineStr">
        <is>
          <t>来源页224</t>
        </is>
      </c>
      <c r="L3217" s="43">
        <f>A3217</f>
        <v/>
      </c>
      <c r="M3217" s="81" t="n"/>
      <c r="N3217" s="81" t="n"/>
      <c r="O3217" s="81" t="n"/>
      <c r="P3217" s="81" t="n"/>
      <c r="Q3217" s="81" t="n"/>
      <c r="R3217" s="81" t="n"/>
      <c r="S3217" s="81" t="n"/>
      <c r="T3217" s="81" t="n"/>
      <c r="U3217" s="81" t="n"/>
      <c r="V3217" s="81" t="n"/>
      <c r="W3217" s="43" t="n"/>
    </row>
    <row r="3218">
      <c r="A3218" s="43" t="inlineStr">
        <is>
          <t>N32</t>
        </is>
      </c>
      <c r="B3218" s="43" t="inlineStr"/>
      <c r="C3218" s="43" t="inlineStr">
        <is>
          <t>节段21</t>
        </is>
      </c>
      <c r="D3218" s="43" t="inlineStr">
        <is>
          <t>Q355D</t>
        </is>
      </c>
      <c r="E3218" s="43" t="n">
        <v>12975</v>
      </c>
      <c r="F3218" s="43" t="n">
        <v>1200</v>
      </c>
      <c r="G3218" s="43" t="n">
        <v>32</v>
      </c>
      <c r="H3218" s="79">
        <f>(E3218/1000)*(F3218/1000)*(G3218/1000)*7850</f>
        <v/>
      </c>
      <c r="I3218" s="43" t="n">
        <v>1</v>
      </c>
      <c r="J3218" s="80">
        <f>H3218*I3218</f>
        <v/>
      </c>
      <c r="K3218" s="43" t="inlineStr">
        <is>
          <t>来源页224</t>
        </is>
      </c>
      <c r="L3218" s="43">
        <f>A3218</f>
        <v/>
      </c>
      <c r="M3218" s="81" t="n"/>
      <c r="N3218" s="81" t="n"/>
      <c r="O3218" s="81" t="n"/>
      <c r="P3218" s="81" t="n"/>
      <c r="Q3218" s="81" t="n"/>
      <c r="R3218" s="81" t="n"/>
      <c r="S3218" s="81" t="n"/>
      <c r="T3218" s="81" t="n"/>
      <c r="U3218" s="81" t="n"/>
      <c r="V3218" s="81" t="n"/>
      <c r="W3218" s="43" t="n"/>
    </row>
    <row r="3219">
      <c r="A3219" s="43" t="inlineStr">
        <is>
          <t>N33</t>
        </is>
      </c>
      <c r="B3219" s="43" t="inlineStr"/>
      <c r="C3219" s="43" t="inlineStr">
        <is>
          <t>节段21</t>
        </is>
      </c>
      <c r="D3219" s="43" t="inlineStr">
        <is>
          <t>Q355D</t>
        </is>
      </c>
      <c r="E3219" s="43" t="n">
        <v>11575</v>
      </c>
      <c r="F3219" s="43" t="n">
        <v>240</v>
      </c>
      <c r="G3219" s="43" t="n">
        <v>24</v>
      </c>
      <c r="H3219" s="79">
        <f>(E3219/1000)*(F3219/1000)*(G3219/1000)*7850</f>
        <v/>
      </c>
      <c r="I3219" s="43" t="n">
        <v>2</v>
      </c>
      <c r="J3219" s="80">
        <f>H3219*I3219</f>
        <v/>
      </c>
      <c r="K3219" s="43" t="inlineStr">
        <is>
          <t>来源页224</t>
        </is>
      </c>
      <c r="L3219" s="43">
        <f>A3219</f>
        <v/>
      </c>
      <c r="M3219" s="81" t="n"/>
      <c r="N3219" s="81" t="n"/>
      <c r="O3219" s="81" t="n"/>
      <c r="P3219" s="81" t="n"/>
      <c r="Q3219" s="81" t="n"/>
      <c r="R3219" s="81" t="n"/>
      <c r="S3219" s="81" t="n"/>
      <c r="T3219" s="81" t="n"/>
      <c r="U3219" s="81" t="n"/>
      <c r="V3219" s="81" t="n"/>
      <c r="W3219" s="43" t="n"/>
    </row>
    <row r="3220">
      <c r="A3220" s="43" t="inlineStr">
        <is>
          <t>N41</t>
        </is>
      </c>
      <c r="B3220" s="43" t="inlineStr"/>
      <c r="C3220" s="43" t="inlineStr">
        <is>
          <t>节段21</t>
        </is>
      </c>
      <c r="D3220" s="43" t="inlineStr">
        <is>
          <t>Q355D</t>
        </is>
      </c>
      <c r="E3220" s="43" t="n">
        <v>4054</v>
      </c>
      <c r="F3220" s="43" t="n">
        <v>900</v>
      </c>
      <c r="G3220" s="43" t="n">
        <v>36</v>
      </c>
      <c r="H3220" s="79">
        <f>(E3220/1000)*(F3220/1000)*(G3220/1000)*7850</f>
        <v/>
      </c>
      <c r="I3220" s="43" t="n">
        <v>2</v>
      </c>
      <c r="J3220" s="80">
        <f>H3220*I3220</f>
        <v/>
      </c>
      <c r="K3220" s="43" t="inlineStr">
        <is>
          <t>来源页224</t>
        </is>
      </c>
      <c r="L3220" s="43">
        <f>A3220</f>
        <v/>
      </c>
      <c r="M3220" s="81" t="n"/>
      <c r="N3220" s="81" t="n"/>
      <c r="O3220" s="81" t="n"/>
      <c r="P3220" s="81" t="n"/>
      <c r="Q3220" s="81" t="n"/>
      <c r="R3220" s="81" t="n"/>
      <c r="S3220" s="81" t="n"/>
      <c r="T3220" s="81" t="n"/>
      <c r="U3220" s="81" t="n"/>
      <c r="V3220" s="81" t="n"/>
      <c r="W3220" s="43" t="n"/>
    </row>
    <row r="3221">
      <c r="A3221" s="43" t="inlineStr">
        <is>
          <t>N42</t>
        </is>
      </c>
      <c r="B3221" s="43" t="inlineStr"/>
      <c r="C3221" s="43" t="inlineStr">
        <is>
          <t>节段21</t>
        </is>
      </c>
      <c r="D3221" s="43" t="inlineStr">
        <is>
          <t>Q355D</t>
        </is>
      </c>
      <c r="E3221" s="43" t="n">
        <v>6404</v>
      </c>
      <c r="F3221" s="43" t="n">
        <v>1200</v>
      </c>
      <c r="G3221" s="43" t="n">
        <v>32</v>
      </c>
      <c r="H3221" s="79">
        <f>(E3221/1000)*(F3221/1000)*(G3221/1000)*7850</f>
        <v/>
      </c>
      <c r="I3221" s="43" t="n">
        <v>1</v>
      </c>
      <c r="J3221" s="80">
        <f>H3221*I3221</f>
        <v/>
      </c>
      <c r="K3221" s="43" t="inlineStr">
        <is>
          <t>来源页224</t>
        </is>
      </c>
      <c r="L3221" s="43">
        <f>A3221</f>
        <v/>
      </c>
      <c r="M3221" s="81" t="n"/>
      <c r="N3221" s="81" t="n"/>
      <c r="O3221" s="81" t="n"/>
      <c r="P3221" s="81" t="n"/>
      <c r="Q3221" s="81" t="n"/>
      <c r="R3221" s="81" t="n"/>
      <c r="S3221" s="81" t="n"/>
      <c r="T3221" s="81" t="n"/>
      <c r="U3221" s="81" t="n"/>
      <c r="V3221" s="81" t="n"/>
      <c r="W3221" s="43" t="n"/>
    </row>
    <row r="3222">
      <c r="A3222" s="43" t="inlineStr">
        <is>
          <t>N43</t>
        </is>
      </c>
      <c r="B3222" s="43" t="inlineStr"/>
      <c r="C3222" s="43" t="inlineStr">
        <is>
          <t>节段21</t>
        </is>
      </c>
      <c r="D3222" s="43" t="inlineStr">
        <is>
          <t>Q355D</t>
        </is>
      </c>
      <c r="E3222" s="43" t="n">
        <v>5704</v>
      </c>
      <c r="F3222" s="43" t="n">
        <v>240</v>
      </c>
      <c r="G3222" s="43" t="n">
        <v>24</v>
      </c>
      <c r="H3222" s="79">
        <f>(E3222/1000)*(F3222/1000)*(G3222/1000)*7850</f>
        <v/>
      </c>
      <c r="I3222" s="43" t="n">
        <v>2</v>
      </c>
      <c r="J3222" s="80">
        <f>H3222*I3222</f>
        <v/>
      </c>
      <c r="K3222" s="43" t="inlineStr">
        <is>
          <t>来源页224</t>
        </is>
      </c>
      <c r="L3222" s="43">
        <f>A3222</f>
        <v/>
      </c>
      <c r="M3222" s="81" t="n"/>
      <c r="N3222" s="81" t="n"/>
      <c r="O3222" s="81" t="n"/>
      <c r="P3222" s="81" t="n"/>
      <c r="Q3222" s="81" t="n"/>
      <c r="R3222" s="81" t="n"/>
      <c r="S3222" s="81" t="n"/>
      <c r="T3222" s="81" t="n"/>
      <c r="U3222" s="81" t="n"/>
      <c r="V3222" s="81" t="n"/>
      <c r="W3222" s="43" t="n"/>
    </row>
    <row r="3223">
      <c r="A3223" s="43" t="inlineStr">
        <is>
          <t>N51</t>
        </is>
      </c>
      <c r="B3223" s="43" t="inlineStr"/>
      <c r="C3223" s="43" t="inlineStr">
        <is>
          <t>节段21</t>
        </is>
      </c>
      <c r="D3223" s="43" t="inlineStr">
        <is>
          <t>Q355D</t>
        </is>
      </c>
      <c r="E3223" s="43" t="n">
        <v>3657</v>
      </c>
      <c r="F3223" s="43" t="n">
        <v>900</v>
      </c>
      <c r="G3223" s="43" t="n">
        <v>36</v>
      </c>
      <c r="H3223" s="79">
        <f>(E3223/1000)*(F3223/1000)*(G3223/1000)*7850</f>
        <v/>
      </c>
      <c r="I3223" s="43" t="n">
        <v>2</v>
      </c>
      <c r="J3223" s="80">
        <f>H3223*I3223</f>
        <v/>
      </c>
      <c r="K3223" s="43" t="inlineStr">
        <is>
          <t>来源页224</t>
        </is>
      </c>
      <c r="L3223" s="43">
        <f>A3223</f>
        <v/>
      </c>
      <c r="M3223" s="81" t="n"/>
      <c r="N3223" s="81" t="n"/>
      <c r="O3223" s="81" t="n"/>
      <c r="P3223" s="81" t="n"/>
      <c r="Q3223" s="81" t="n"/>
      <c r="R3223" s="81" t="n"/>
      <c r="S3223" s="81" t="n"/>
      <c r="T3223" s="81" t="n"/>
      <c r="U3223" s="81" t="n"/>
      <c r="V3223" s="81" t="n"/>
      <c r="W3223" s="43" t="n"/>
    </row>
    <row r="3224">
      <c r="A3224" s="43" t="inlineStr">
        <is>
          <t>N52</t>
        </is>
      </c>
      <c r="B3224" s="43" t="inlineStr"/>
      <c r="C3224" s="43" t="inlineStr">
        <is>
          <t>节段21</t>
        </is>
      </c>
      <c r="D3224" s="43" t="inlineStr">
        <is>
          <t>Q355D</t>
        </is>
      </c>
      <c r="E3224" s="43" t="n">
        <v>6257</v>
      </c>
      <c r="F3224" s="43" t="n">
        <v>1200</v>
      </c>
      <c r="G3224" s="43" t="n">
        <v>32</v>
      </c>
      <c r="H3224" s="79">
        <f>(E3224/1000)*(F3224/1000)*(G3224/1000)*7850</f>
        <v/>
      </c>
      <c r="I3224" s="43" t="n">
        <v>1</v>
      </c>
      <c r="J3224" s="80">
        <f>H3224*I3224</f>
        <v/>
      </c>
      <c r="K3224" s="43" t="inlineStr">
        <is>
          <t>来源页224</t>
        </is>
      </c>
      <c r="L3224" s="43">
        <f>A3224</f>
        <v/>
      </c>
      <c r="M3224" s="81" t="n"/>
      <c r="N3224" s="81" t="n"/>
      <c r="O3224" s="81" t="n"/>
      <c r="P3224" s="81" t="n"/>
      <c r="Q3224" s="81" t="n"/>
      <c r="R3224" s="81" t="n"/>
      <c r="S3224" s="81" t="n"/>
      <c r="T3224" s="81" t="n"/>
      <c r="U3224" s="81" t="n"/>
      <c r="V3224" s="81" t="n"/>
      <c r="W3224" s="43" t="n"/>
    </row>
    <row r="3225">
      <c r="A3225" s="43" t="inlineStr">
        <is>
          <t>N53</t>
        </is>
      </c>
      <c r="B3225" s="43" t="inlineStr"/>
      <c r="C3225" s="43" t="inlineStr">
        <is>
          <t>节段21</t>
        </is>
      </c>
      <c r="D3225" s="43" t="inlineStr">
        <is>
          <t>Q355D</t>
        </is>
      </c>
      <c r="E3225" s="43" t="n">
        <v>5557</v>
      </c>
      <c r="F3225" s="43" t="n">
        <v>240</v>
      </c>
      <c r="G3225" s="43" t="n">
        <v>24</v>
      </c>
      <c r="H3225" s="79">
        <f>(E3225/1000)*(F3225/1000)*(G3225/1000)*7850</f>
        <v/>
      </c>
      <c r="I3225" s="43" t="n">
        <v>2</v>
      </c>
      <c r="J3225" s="80">
        <f>H3225*I3225</f>
        <v/>
      </c>
      <c r="K3225" s="43" t="inlineStr">
        <is>
          <t>来源页224</t>
        </is>
      </c>
      <c r="L3225" s="43">
        <f>A3225</f>
        <v/>
      </c>
      <c r="M3225" s="81" t="n"/>
      <c r="N3225" s="81" t="n"/>
      <c r="O3225" s="81" t="n"/>
      <c r="P3225" s="81" t="n"/>
      <c r="Q3225" s="81" t="n"/>
      <c r="R3225" s="81" t="n"/>
      <c r="S3225" s="81" t="n"/>
      <c r="T3225" s="81" t="n"/>
      <c r="U3225" s="81" t="n"/>
      <c r="V3225" s="81" t="n"/>
      <c r="W3225" s="43" t="n"/>
    </row>
    <row r="3226">
      <c r="A3226" s="43" t="inlineStr">
        <is>
          <t>N54</t>
        </is>
      </c>
      <c r="B3226" s="43" t="inlineStr"/>
      <c r="C3226" s="43" t="inlineStr">
        <is>
          <t>节段21</t>
        </is>
      </c>
      <c r="D3226" s="43" t="inlineStr">
        <is>
          <t>Q355D</t>
        </is>
      </c>
      <c r="E3226" s="43" t="n">
        <v>904</v>
      </c>
      <c r="F3226" s="43" t="n">
        <v>1200</v>
      </c>
      <c r="G3226" s="43" t="n">
        <v>20</v>
      </c>
      <c r="H3226" s="79">
        <f>(E3226/1000)*(F3226/1000)*(G3226/1000)*7850</f>
        <v/>
      </c>
      <c r="I3226" s="43" t="n">
        <v>1</v>
      </c>
      <c r="J3226" s="80">
        <f>H3226*I3226</f>
        <v/>
      </c>
      <c r="K3226" s="43" t="inlineStr">
        <is>
          <t>来源页224</t>
        </is>
      </c>
      <c r="L3226" s="43">
        <f>A3226</f>
        <v/>
      </c>
      <c r="M3226" s="81" t="n"/>
      <c r="N3226" s="81" t="n"/>
      <c r="O3226" s="81" t="n"/>
      <c r="P3226" s="81" t="n"/>
      <c r="Q3226" s="81" t="n"/>
      <c r="R3226" s="81" t="n"/>
      <c r="S3226" s="81" t="n"/>
      <c r="T3226" s="81" t="n"/>
      <c r="U3226" s="81" t="n"/>
      <c r="V3226" s="81" t="n"/>
      <c r="W3226" s="43" t="n"/>
    </row>
    <row r="3227">
      <c r="A3227" s="43" t="inlineStr">
        <is>
          <t>N55</t>
        </is>
      </c>
      <c r="B3227" s="43" t="inlineStr"/>
      <c r="C3227" s="43" t="inlineStr">
        <is>
          <t>节段21</t>
        </is>
      </c>
      <c r="D3227" s="43" t="inlineStr">
        <is>
          <t>Q355D</t>
        </is>
      </c>
      <c r="E3227" s="43" t="n">
        <v>1114</v>
      </c>
      <c r="F3227" s="43" t="n">
        <v>1200</v>
      </c>
      <c r="G3227" s="43" t="n">
        <v>20</v>
      </c>
      <c r="H3227" s="79">
        <f>(E3227/1000)*(F3227/1000)*(G3227/1000)*7850</f>
        <v/>
      </c>
      <c r="I3227" s="43" t="n">
        <v>1</v>
      </c>
      <c r="J3227" s="80">
        <f>H3227*I3227</f>
        <v/>
      </c>
      <c r="K3227" s="43" t="inlineStr">
        <is>
          <t>来源页224</t>
        </is>
      </c>
      <c r="L3227" s="43">
        <f>A3227</f>
        <v/>
      </c>
      <c r="M3227" s="81" t="n"/>
      <c r="N3227" s="81" t="n"/>
      <c r="O3227" s="81" t="n"/>
      <c r="P3227" s="81" t="n"/>
      <c r="Q3227" s="81" t="n"/>
      <c r="R3227" s="81" t="n"/>
      <c r="S3227" s="81" t="n"/>
      <c r="T3227" s="81" t="n"/>
      <c r="U3227" s="81" t="n"/>
      <c r="V3227" s="81" t="n"/>
      <c r="W3227" s="43" t="n"/>
    </row>
    <row r="3228">
      <c r="A3228" s="43" t="inlineStr">
        <is>
          <t>N61</t>
        </is>
      </c>
      <c r="B3228" s="43" t="inlineStr"/>
      <c r="C3228" s="43" t="inlineStr">
        <is>
          <t>节段21</t>
        </is>
      </c>
      <c r="D3228" s="43" t="inlineStr">
        <is>
          <t>Q355D</t>
        </is>
      </c>
      <c r="E3228" s="43" t="n">
        <v>1580</v>
      </c>
      <c r="F3228" s="43" t="n">
        <v>610</v>
      </c>
      <c r="G3228" s="43" t="n">
        <v>14</v>
      </c>
      <c r="H3228" s="79">
        <f>(E3228/1000)*(F3228/1000)*(G3228/1000)*7850</f>
        <v/>
      </c>
      <c r="I3228" s="43" t="n">
        <v>3</v>
      </c>
      <c r="J3228" s="80">
        <f>H3228*I3228</f>
        <v/>
      </c>
      <c r="K3228" s="43" t="inlineStr">
        <is>
          <t>来源页224</t>
        </is>
      </c>
      <c r="L3228" s="43">
        <f>A3228</f>
        <v/>
      </c>
      <c r="M3228" s="81" t="n"/>
      <c r="N3228" s="81" t="n"/>
      <c r="O3228" s="81" t="n"/>
      <c r="P3228" s="81" t="n"/>
      <c r="Q3228" s="81" t="n"/>
      <c r="R3228" s="81" t="n"/>
      <c r="S3228" s="81" t="n"/>
      <c r="T3228" s="81" t="n"/>
      <c r="U3228" s="81" t="n"/>
      <c r="V3228" s="81" t="n"/>
      <c r="W3228" s="43" t="n"/>
    </row>
    <row r="3229">
      <c r="A3229" s="43" t="inlineStr">
        <is>
          <t>N61a</t>
        </is>
      </c>
      <c r="B3229" s="43" t="inlineStr"/>
      <c r="C3229" s="43" t="inlineStr">
        <is>
          <t>节段21</t>
        </is>
      </c>
      <c r="D3229" s="43" t="inlineStr">
        <is>
          <t>Q355D</t>
        </is>
      </c>
      <c r="E3229" s="43" t="n">
        <v>1580</v>
      </c>
      <c r="F3229" s="43" t="n">
        <v>630</v>
      </c>
      <c r="G3229" s="43" t="n">
        <v>14</v>
      </c>
      <c r="H3229" s="79">
        <f>(E3229/1000)*(F3229/1000)*(G3229/1000)*7850</f>
        <v/>
      </c>
      <c r="I3229" s="43" t="n">
        <v>3</v>
      </c>
      <c r="J3229" s="80">
        <f>H3229*I3229</f>
        <v/>
      </c>
      <c r="K3229" s="43" t="inlineStr">
        <is>
          <t>来源页224</t>
        </is>
      </c>
      <c r="L3229" s="43">
        <f>A3229</f>
        <v/>
      </c>
      <c r="M3229" s="81" t="n"/>
      <c r="N3229" s="81" t="n"/>
      <c r="O3229" s="81" t="n"/>
      <c r="P3229" s="81" t="n"/>
      <c r="Q3229" s="81" t="n"/>
      <c r="R3229" s="81" t="n"/>
      <c r="S3229" s="81" t="n"/>
      <c r="T3229" s="81" t="n"/>
      <c r="U3229" s="81" t="n"/>
      <c r="V3229" s="81" t="n"/>
      <c r="W3229" s="43" t="n"/>
    </row>
    <row r="3230">
      <c r="A3230" s="43" t="inlineStr">
        <is>
          <t>N62</t>
        </is>
      </c>
      <c r="B3230" s="43" t="inlineStr"/>
      <c r="C3230" s="43" t="inlineStr">
        <is>
          <t>节段21</t>
        </is>
      </c>
      <c r="D3230" s="43" t="inlineStr">
        <is>
          <t>Q355D</t>
        </is>
      </c>
      <c r="E3230" s="43" t="n"/>
      <c r="F3230" s="43" t="n"/>
      <c r="G3230" s="43" t="n">
        <v>24</v>
      </c>
      <c r="H3230" s="79">
        <f>(E3230/1000)*(F3230/1000)*(G3230/1000)*7850</f>
        <v/>
      </c>
      <c r="I3230" s="43" t="n">
        <v>3</v>
      </c>
      <c r="J3230" s="80">
        <f>H3230*I3230</f>
        <v/>
      </c>
      <c r="K3230" s="43" t="inlineStr">
        <is>
          <t>来源页224</t>
        </is>
      </c>
      <c r="L3230" s="43">
        <f>A3230</f>
        <v/>
      </c>
      <c r="M3230" s="81" t="n"/>
      <c r="N3230" s="81" t="n"/>
      <c r="O3230" s="81" t="n"/>
      <c r="P3230" s="81" t="n"/>
      <c r="Q3230" s="81" t="n"/>
      <c r="R3230" s="81" t="n"/>
      <c r="S3230" s="81" t="n"/>
      <c r="T3230" s="81" t="n"/>
      <c r="U3230" s="81" t="n"/>
      <c r="V3230" s="81" t="n"/>
      <c r="W3230" s="43" t="n"/>
    </row>
    <row r="3231">
      <c r="A3231" s="43" t="inlineStr">
        <is>
          <t>N62a</t>
        </is>
      </c>
      <c r="B3231" s="43" t="inlineStr"/>
      <c r="C3231" s="43" t="inlineStr">
        <is>
          <t>节段21</t>
        </is>
      </c>
      <c r="D3231" s="43" t="inlineStr">
        <is>
          <t>Q355D</t>
        </is>
      </c>
      <c r="E3231" s="43" t="n"/>
      <c r="F3231" s="43" t="n"/>
      <c r="G3231" s="43" t="n">
        <v>24</v>
      </c>
      <c r="H3231" s="79">
        <f>(E3231/1000)*(F3231/1000)*(G3231/1000)*7850</f>
        <v/>
      </c>
      <c r="I3231" s="43" t="n">
        <v>3</v>
      </c>
      <c r="J3231" s="80">
        <f>H3231*I3231</f>
        <v/>
      </c>
      <c r="K3231" s="43" t="inlineStr">
        <is>
          <t>来源页224</t>
        </is>
      </c>
      <c r="L3231" s="43">
        <f>A3231</f>
        <v/>
      </c>
      <c r="M3231" s="81" t="n"/>
      <c r="N3231" s="81" t="n"/>
      <c r="O3231" s="81" t="n"/>
      <c r="P3231" s="81" t="n"/>
      <c r="Q3231" s="81" t="n"/>
      <c r="R3231" s="81" t="n"/>
      <c r="S3231" s="81" t="n"/>
      <c r="T3231" s="81" t="n"/>
      <c r="U3231" s="81" t="n"/>
      <c r="V3231" s="81" t="n"/>
      <c r="W3231" s="43" t="n"/>
    </row>
    <row r="3232">
      <c r="A3232" s="43" t="inlineStr">
        <is>
          <t>N63</t>
        </is>
      </c>
      <c r="B3232" s="43" t="inlineStr"/>
      <c r="C3232" s="43" t="inlineStr">
        <is>
          <t>节段21</t>
        </is>
      </c>
      <c r="D3232" s="43" t="inlineStr">
        <is>
          <t>Q355D</t>
        </is>
      </c>
      <c r="E3232" s="43" t="n">
        <v>1450</v>
      </c>
      <c r="F3232" s="43" t="n">
        <v>610</v>
      </c>
      <c r="G3232" s="43" t="n">
        <v>14</v>
      </c>
      <c r="H3232" s="79">
        <f>(E3232/1000)*(F3232/1000)*(G3232/1000)*7850</f>
        <v/>
      </c>
      <c r="I3232" s="43" t="n">
        <v>3</v>
      </c>
      <c r="J3232" s="80">
        <f>H3232*I3232</f>
        <v/>
      </c>
      <c r="K3232" s="43" t="inlineStr">
        <is>
          <t>来源页224</t>
        </is>
      </c>
      <c r="L3232" s="43">
        <f>A3232</f>
        <v/>
      </c>
      <c r="M3232" s="81" t="n"/>
      <c r="N3232" s="81" t="n"/>
      <c r="O3232" s="81" t="n"/>
      <c r="P3232" s="81" t="n"/>
      <c r="Q3232" s="81" t="n"/>
      <c r="R3232" s="81" t="n"/>
      <c r="S3232" s="81" t="n"/>
      <c r="T3232" s="81" t="n"/>
      <c r="U3232" s="81" t="n"/>
      <c r="V3232" s="81" t="n"/>
      <c r="W3232" s="43" t="n"/>
    </row>
    <row r="3233">
      <c r="A3233" s="43" t="inlineStr">
        <is>
          <t>N63a</t>
        </is>
      </c>
      <c r="B3233" s="43" t="inlineStr"/>
      <c r="C3233" s="43" t="inlineStr">
        <is>
          <t>节段21</t>
        </is>
      </c>
      <c r="D3233" s="43" t="inlineStr">
        <is>
          <t>Q355D</t>
        </is>
      </c>
      <c r="E3233" s="43" t="n">
        <v>1450</v>
      </c>
      <c r="F3233" s="43" t="n">
        <v>626</v>
      </c>
      <c r="G3233" s="43" t="n">
        <v>14</v>
      </c>
      <c r="H3233" s="79">
        <f>(E3233/1000)*(F3233/1000)*(G3233/1000)*7850</f>
        <v/>
      </c>
      <c r="I3233" s="43" t="n">
        <v>3</v>
      </c>
      <c r="J3233" s="80">
        <f>H3233*I3233</f>
        <v/>
      </c>
      <c r="K3233" s="43" t="inlineStr">
        <is>
          <t>来源页224</t>
        </is>
      </c>
      <c r="L3233" s="43">
        <f>A3233</f>
        <v/>
      </c>
      <c r="M3233" s="81" t="n"/>
      <c r="N3233" s="81" t="n"/>
      <c r="O3233" s="81" t="n"/>
      <c r="P3233" s="81" t="n"/>
      <c r="Q3233" s="81" t="n"/>
      <c r="R3233" s="81" t="n"/>
      <c r="S3233" s="81" t="n"/>
      <c r="T3233" s="81" t="n"/>
      <c r="U3233" s="81" t="n"/>
      <c r="V3233" s="81" t="n"/>
      <c r="W3233" s="43" t="n"/>
    </row>
    <row r="3234">
      <c r="A3234" s="43" t="inlineStr">
        <is>
          <t>P1</t>
        </is>
      </c>
      <c r="B3234" s="43" t="inlineStr">
        <is>
          <t>上弦杆拼接</t>
        </is>
      </c>
      <c r="C3234" s="43" t="inlineStr">
        <is>
          <t>节段21~节段22</t>
        </is>
      </c>
      <c r="D3234" s="43" t="inlineStr">
        <is>
          <t>Q355D</t>
        </is>
      </c>
      <c r="E3234" s="43" t="n">
        <v>1020</v>
      </c>
      <c r="F3234" s="43" t="n">
        <v>1400</v>
      </c>
      <c r="G3234" s="43" t="n">
        <v>16</v>
      </c>
      <c r="H3234" s="79">
        <f>(E3234/1000)*(F3234/1000)*(G3234/1000)*7850</f>
        <v/>
      </c>
      <c r="I3234" s="43" t="n">
        <v>2</v>
      </c>
      <c r="J3234" s="80">
        <f>H3234*I3234</f>
        <v/>
      </c>
      <c r="K3234" s="43" t="inlineStr">
        <is>
          <t>来源页229</t>
        </is>
      </c>
      <c r="L3234" s="43">
        <f>A3234</f>
        <v/>
      </c>
      <c r="M3234" s="81" t="n"/>
      <c r="N3234" s="81" t="n"/>
      <c r="O3234" s="81" t="n"/>
      <c r="P3234" s="81" t="n"/>
      <c r="Q3234" s="81" t="n"/>
      <c r="R3234" s="81" t="n"/>
      <c r="S3234" s="81" t="n"/>
      <c r="T3234" s="81" t="n"/>
      <c r="U3234" s="81" t="n"/>
      <c r="V3234" s="81" t="n"/>
      <c r="W3234" s="43" t="n"/>
    </row>
    <row r="3235">
      <c r="A3235" s="43" t="inlineStr">
        <is>
          <t>P2</t>
        </is>
      </c>
      <c r="B3235" s="43" t="inlineStr">
        <is>
          <t>上弦杆拼接</t>
        </is>
      </c>
      <c r="C3235" s="43" t="inlineStr">
        <is>
          <t>节段21~节段22</t>
        </is>
      </c>
      <c r="D3235" s="43" t="inlineStr">
        <is>
          <t>Q355D</t>
        </is>
      </c>
      <c r="E3235" s="43" t="n">
        <v>1020</v>
      </c>
      <c r="F3235" s="43" t="n">
        <v>300</v>
      </c>
      <c r="G3235" s="43" t="n">
        <v>16</v>
      </c>
      <c r="H3235" s="79">
        <f>(E3235/1000)*(F3235/1000)*(G3235/1000)*7850</f>
        <v/>
      </c>
      <c r="I3235" s="43" t="n">
        <v>2</v>
      </c>
      <c r="J3235" s="80">
        <f>H3235*I3235</f>
        <v/>
      </c>
      <c r="K3235" s="43" t="inlineStr">
        <is>
          <t>来源页229</t>
        </is>
      </c>
      <c r="L3235" s="43">
        <f>A3235</f>
        <v/>
      </c>
      <c r="M3235" s="81" t="n"/>
      <c r="N3235" s="81" t="n"/>
      <c r="O3235" s="81" t="n"/>
      <c r="P3235" s="81" t="n"/>
      <c r="Q3235" s="81" t="n"/>
      <c r="R3235" s="81" t="n"/>
      <c r="S3235" s="81" t="n"/>
      <c r="T3235" s="81" t="n"/>
      <c r="U3235" s="81" t="n"/>
      <c r="V3235" s="81" t="n"/>
      <c r="W3235" s="43" t="n"/>
    </row>
    <row r="3236">
      <c r="A3236" s="43" t="inlineStr">
        <is>
          <t>P3</t>
        </is>
      </c>
      <c r="B3236" s="43" t="inlineStr">
        <is>
          <t>上弦杆拼接</t>
        </is>
      </c>
      <c r="C3236" s="43" t="inlineStr">
        <is>
          <t>节段21~节段22</t>
        </is>
      </c>
      <c r="D3236" s="43" t="inlineStr">
        <is>
          <t>Q355D</t>
        </is>
      </c>
      <c r="E3236" s="43" t="n">
        <v>1020</v>
      </c>
      <c r="F3236" s="43" t="n">
        <v>500</v>
      </c>
      <c r="G3236" s="43" t="n">
        <v>16</v>
      </c>
      <c r="H3236" s="79">
        <f>(E3236/1000)*(F3236/1000)*(G3236/1000)*7850</f>
        <v/>
      </c>
      <c r="I3236" s="43" t="n">
        <v>2</v>
      </c>
      <c r="J3236" s="80">
        <f>H3236*I3236</f>
        <v/>
      </c>
      <c r="K3236" s="43" t="inlineStr">
        <is>
          <t>来源页229</t>
        </is>
      </c>
      <c r="L3236" s="43">
        <f>A3236</f>
        <v/>
      </c>
      <c r="M3236" s="81" t="n"/>
      <c r="N3236" s="81" t="n"/>
      <c r="O3236" s="81" t="n"/>
      <c r="P3236" s="81" t="n"/>
      <c r="Q3236" s="81" t="n"/>
      <c r="R3236" s="81" t="n"/>
      <c r="S3236" s="81" t="n"/>
      <c r="T3236" s="81" t="n"/>
      <c r="U3236" s="81" t="n"/>
      <c r="V3236" s="81" t="n"/>
      <c r="W3236" s="43" t="n"/>
    </row>
    <row r="3237">
      <c r="A3237" s="43" t="inlineStr">
        <is>
          <t>P4</t>
        </is>
      </c>
      <c r="B3237" s="43" t="inlineStr">
        <is>
          <t>上弦杆拼接</t>
        </is>
      </c>
      <c r="C3237" s="43" t="inlineStr">
        <is>
          <t>节段21~节段22</t>
        </is>
      </c>
      <c r="D3237" s="43" t="inlineStr">
        <is>
          <t>Q355D</t>
        </is>
      </c>
      <c r="E3237" s="43" t="n">
        <v>1020</v>
      </c>
      <c r="F3237" s="43" t="n">
        <v>400</v>
      </c>
      <c r="G3237" s="43" t="n">
        <v>16</v>
      </c>
      <c r="H3237" s="79">
        <f>(E3237/1000)*(F3237/1000)*(G3237/1000)*7850</f>
        <v/>
      </c>
      <c r="I3237" s="43" t="n">
        <v>2</v>
      </c>
      <c r="J3237" s="80">
        <f>H3237*I3237</f>
        <v/>
      </c>
      <c r="K3237" s="43" t="inlineStr">
        <is>
          <t>来源页229</t>
        </is>
      </c>
      <c r="L3237" s="43">
        <f>A3237</f>
        <v/>
      </c>
      <c r="M3237" s="81" t="n"/>
      <c r="N3237" s="81" t="n"/>
      <c r="O3237" s="81" t="n"/>
      <c r="P3237" s="81" t="n"/>
      <c r="Q3237" s="81" t="n"/>
      <c r="R3237" s="81" t="n"/>
      <c r="S3237" s="81" t="n"/>
      <c r="T3237" s="81" t="n"/>
      <c r="U3237" s="81" t="n"/>
      <c r="V3237" s="81" t="n"/>
      <c r="W3237" s="43" t="n"/>
    </row>
    <row r="3238">
      <c r="A3238" s="43" t="inlineStr">
        <is>
          <t>P5</t>
        </is>
      </c>
      <c r="B3238" s="43" t="inlineStr">
        <is>
          <t>上弦杆拼接</t>
        </is>
      </c>
      <c r="C3238" s="43" t="inlineStr">
        <is>
          <t>节段21~节段22</t>
        </is>
      </c>
      <c r="D3238" s="43" t="inlineStr">
        <is>
          <t>Q355D</t>
        </is>
      </c>
      <c r="E3238" s="43" t="n">
        <v>1420</v>
      </c>
      <c r="F3238" s="43" t="n">
        <v>1100</v>
      </c>
      <c r="G3238" s="43" t="n">
        <v>28</v>
      </c>
      <c r="H3238" s="79">
        <f>(E3238/1000)*(F3238/1000)*(G3238/1000)*7850</f>
        <v/>
      </c>
      <c r="I3238" s="43" t="n">
        <v>1</v>
      </c>
      <c r="J3238" s="80">
        <f>H3238*I3238</f>
        <v/>
      </c>
      <c r="K3238" s="43" t="inlineStr">
        <is>
          <t>来源页229</t>
        </is>
      </c>
      <c r="L3238" s="43">
        <f>A3238</f>
        <v/>
      </c>
      <c r="M3238" s="81" t="n"/>
      <c r="N3238" s="81" t="n"/>
      <c r="O3238" s="81" t="n"/>
      <c r="P3238" s="81" t="n"/>
      <c r="Q3238" s="81" t="n"/>
      <c r="R3238" s="81" t="n"/>
      <c r="S3238" s="81" t="n"/>
      <c r="T3238" s="81" t="n"/>
      <c r="U3238" s="81" t="n"/>
      <c r="V3238" s="81" t="n"/>
      <c r="W3238" s="43" t="n"/>
    </row>
    <row r="3239">
      <c r="A3239" s="43" t="inlineStr">
        <is>
          <t>P6</t>
        </is>
      </c>
      <c r="B3239" s="43" t="inlineStr">
        <is>
          <t>上弦杆拼接</t>
        </is>
      </c>
      <c r="C3239" s="43" t="inlineStr">
        <is>
          <t>节段21~节段22</t>
        </is>
      </c>
      <c r="D3239" s="43" t="inlineStr">
        <is>
          <t>Q355D</t>
        </is>
      </c>
      <c r="E3239" s="43" t="n">
        <v>1420</v>
      </c>
      <c r="F3239" s="43" t="n">
        <v>400</v>
      </c>
      <c r="G3239" s="43" t="n">
        <v>28</v>
      </c>
      <c r="H3239" s="79">
        <f>(E3239/1000)*(F3239/1000)*(G3239/1000)*7850</f>
        <v/>
      </c>
      <c r="I3239" s="43" t="n">
        <v>2</v>
      </c>
      <c r="J3239" s="80">
        <f>H3239*I3239</f>
        <v/>
      </c>
      <c r="K3239" s="43" t="inlineStr">
        <is>
          <t>来源页229</t>
        </is>
      </c>
      <c r="L3239" s="43">
        <f>A3239</f>
        <v/>
      </c>
      <c r="M3239" s="81" t="n"/>
      <c r="N3239" s="81" t="n"/>
      <c r="O3239" s="81" t="n"/>
      <c r="P3239" s="81" t="n"/>
      <c r="Q3239" s="81" t="n"/>
      <c r="R3239" s="81" t="n"/>
      <c r="S3239" s="81" t="n"/>
      <c r="T3239" s="81" t="n"/>
      <c r="U3239" s="81" t="n"/>
      <c r="V3239" s="81" t="n"/>
      <c r="W3239" s="43" t="n"/>
    </row>
    <row r="3240">
      <c r="A3240" s="43" t="inlineStr">
        <is>
          <t>P7</t>
        </is>
      </c>
      <c r="B3240" s="43" t="inlineStr">
        <is>
          <t>上弦杆拼接</t>
        </is>
      </c>
      <c r="C3240" s="43" t="inlineStr">
        <is>
          <t>节段21~节段22</t>
        </is>
      </c>
      <c r="D3240" s="43" t="inlineStr">
        <is>
          <t>Q355D</t>
        </is>
      </c>
      <c r="E3240" s="43" t="n">
        <v>920</v>
      </c>
      <c r="F3240" s="43" t="n">
        <v>200</v>
      </c>
      <c r="G3240" s="43" t="n">
        <v>20</v>
      </c>
      <c r="H3240" s="79">
        <f>(E3240/1000)*(F3240/1000)*(G3240/1000)*7850</f>
        <v/>
      </c>
      <c r="I3240" s="43" t="n">
        <v>10</v>
      </c>
      <c r="J3240" s="80">
        <f>H3240*I3240</f>
        <v/>
      </c>
      <c r="K3240" s="43" t="inlineStr">
        <is>
          <t>来源页229</t>
        </is>
      </c>
      <c r="L3240" s="43">
        <f>A3240</f>
        <v/>
      </c>
      <c r="M3240" s="81" t="n"/>
      <c r="N3240" s="81" t="n"/>
      <c r="O3240" s="81" t="n"/>
      <c r="P3240" s="81" t="n"/>
      <c r="Q3240" s="81" t="n"/>
      <c r="R3240" s="81" t="n"/>
      <c r="S3240" s="81" t="n"/>
      <c r="T3240" s="81" t="n"/>
      <c r="U3240" s="81" t="n"/>
      <c r="V3240" s="81" t="n"/>
      <c r="W3240" s="43" t="n"/>
    </row>
    <row r="3241">
      <c r="A3241" s="43" t="inlineStr">
        <is>
          <t>P8</t>
        </is>
      </c>
      <c r="B3241" s="43" t="inlineStr">
        <is>
          <t>上弦杆拼接</t>
        </is>
      </c>
      <c r="C3241" s="43" t="inlineStr">
        <is>
          <t>节段21~节段22</t>
        </is>
      </c>
      <c r="D3241" s="43" t="inlineStr">
        <is>
          <t>Q355D</t>
        </is>
      </c>
      <c r="E3241" s="43" t="n">
        <v>500</v>
      </c>
      <c r="F3241" s="43" t="n">
        <v>1800</v>
      </c>
      <c r="G3241" s="43" t="n">
        <v>20</v>
      </c>
      <c r="H3241" s="79">
        <f>(E3241/1000)*(F3241/1000)*(G3241/1000)*7850</f>
        <v/>
      </c>
      <c r="I3241" s="43" t="n">
        <v>2</v>
      </c>
      <c r="J3241" s="80">
        <f>H3241*I3241</f>
        <v/>
      </c>
      <c r="K3241" s="43" t="inlineStr">
        <is>
          <t>来源页229</t>
        </is>
      </c>
      <c r="L3241" s="43">
        <f>A3241</f>
        <v/>
      </c>
      <c r="M3241" s="81" t="n"/>
      <c r="N3241" s="81" t="n"/>
      <c r="O3241" s="81" t="n"/>
      <c r="P3241" s="81" t="n"/>
      <c r="Q3241" s="81" t="n"/>
      <c r="R3241" s="81" t="n"/>
      <c r="S3241" s="81" t="n"/>
      <c r="T3241" s="81" t="n"/>
      <c r="U3241" s="81" t="n"/>
      <c r="V3241" s="81" t="n"/>
      <c r="W3241" s="43" t="n"/>
    </row>
    <row r="3242">
      <c r="A3242" s="43" t="inlineStr">
        <is>
          <t>M30高强螺栓</t>
        </is>
      </c>
      <c r="B3242" s="43" t="inlineStr">
        <is>
          <t>上弦杆拼接</t>
        </is>
      </c>
      <c r="C3242" s="43" t="inlineStr">
        <is>
          <t>节段21~节段22</t>
        </is>
      </c>
      <c r="D3242" s="43" t="inlineStr">
        <is>
          <t>10.9S</t>
        </is>
      </c>
      <c r="E3242" s="43" t="n"/>
      <c r="F3242" s="43" t="n"/>
      <c r="G3242" s="43" t="n"/>
      <c r="H3242" s="79">
        <f>(E3242/1000)*(F3242/1000)*(G3242/1000)*7850</f>
        <v/>
      </c>
      <c r="I3242" s="43" t="n">
        <v>380</v>
      </c>
      <c r="J3242" s="80">
        <f>H3242*I3242</f>
        <v/>
      </c>
      <c r="K3242" s="43" t="inlineStr">
        <is>
          <t>来源页229</t>
        </is>
      </c>
      <c r="L3242" s="43">
        <f>A3242</f>
        <v/>
      </c>
      <c r="M3242" s="81" t="n"/>
      <c r="N3242" s="81" t="n"/>
      <c r="O3242" s="81" t="n"/>
      <c r="P3242" s="81" t="n"/>
      <c r="Q3242" s="81" t="n"/>
      <c r="R3242" s="81" t="n"/>
      <c r="S3242" s="81" t="n"/>
      <c r="T3242" s="81" t="n"/>
      <c r="U3242" s="81" t="n"/>
      <c r="V3242" s="81" t="n"/>
      <c r="W3242" s="43" t="n"/>
    </row>
    <row r="3243">
      <c r="A3243" s="43" t="inlineStr">
        <is>
          <t>K1</t>
        </is>
      </c>
      <c r="B3243" s="43" t="inlineStr">
        <is>
          <t>下弦杆拼接</t>
        </is>
      </c>
      <c r="C3243" s="43" t="inlineStr">
        <is>
          <t>节段21~节段22</t>
        </is>
      </c>
      <c r="D3243" s="43" t="inlineStr">
        <is>
          <t>Q355D</t>
        </is>
      </c>
      <c r="E3243" s="43" t="n">
        <v>820</v>
      </c>
      <c r="F3243" s="43" t="n">
        <v>1300</v>
      </c>
      <c r="G3243" s="43" t="n">
        <v>20</v>
      </c>
      <c r="H3243" s="79">
        <f>(E3243/1000)*(F3243/1000)*(G3243/1000)*7850</f>
        <v/>
      </c>
      <c r="I3243" s="43" t="n">
        <v>2</v>
      </c>
      <c r="J3243" s="80">
        <f>H3243*I3243</f>
        <v/>
      </c>
      <c r="K3243" s="43" t="inlineStr">
        <is>
          <t>来源页229</t>
        </is>
      </c>
      <c r="L3243" s="43">
        <f>A3243</f>
        <v/>
      </c>
      <c r="M3243" s="81" t="n"/>
      <c r="N3243" s="81" t="n"/>
      <c r="O3243" s="81" t="n"/>
      <c r="P3243" s="81" t="n"/>
      <c r="Q3243" s="81" t="n"/>
      <c r="R3243" s="81" t="n"/>
      <c r="S3243" s="81" t="n"/>
      <c r="T3243" s="81" t="n"/>
      <c r="U3243" s="81" t="n"/>
      <c r="V3243" s="81" t="n"/>
      <c r="W3243" s="43" t="n"/>
    </row>
    <row r="3244">
      <c r="A3244" s="43" t="inlineStr">
        <is>
          <t>K2</t>
        </is>
      </c>
      <c r="B3244" s="43" t="inlineStr">
        <is>
          <t>下弦杆拼接</t>
        </is>
      </c>
      <c r="C3244" s="43" t="inlineStr">
        <is>
          <t>节段21~节段22</t>
        </is>
      </c>
      <c r="D3244" s="43" t="inlineStr">
        <is>
          <t>Q355D</t>
        </is>
      </c>
      <c r="E3244" s="43" t="n">
        <v>820</v>
      </c>
      <c r="F3244" s="43" t="n">
        <v>600</v>
      </c>
      <c r="G3244" s="43" t="n">
        <v>20</v>
      </c>
      <c r="H3244" s="79">
        <f>(E3244/1000)*(F3244/1000)*(G3244/1000)*7850</f>
        <v/>
      </c>
      <c r="I3244" s="43" t="n">
        <v>4</v>
      </c>
      <c r="J3244" s="80">
        <f>H3244*I3244</f>
        <v/>
      </c>
      <c r="K3244" s="43" t="inlineStr">
        <is>
          <t>来源页229</t>
        </is>
      </c>
      <c r="L3244" s="43">
        <f>A3244</f>
        <v/>
      </c>
      <c r="M3244" s="81" t="n"/>
      <c r="N3244" s="81" t="n"/>
      <c r="O3244" s="81" t="n"/>
      <c r="P3244" s="81" t="n"/>
      <c r="Q3244" s="81" t="n"/>
      <c r="R3244" s="81" t="n"/>
      <c r="S3244" s="81" t="n"/>
      <c r="T3244" s="81" t="n"/>
      <c r="U3244" s="81" t="n"/>
      <c r="V3244" s="81" t="n"/>
      <c r="W3244" s="43" t="n"/>
    </row>
    <row r="3245">
      <c r="A3245" s="43" t="inlineStr">
        <is>
          <t>K3</t>
        </is>
      </c>
      <c r="B3245" s="43" t="inlineStr">
        <is>
          <t>下弦杆拼接</t>
        </is>
      </c>
      <c r="C3245" s="43" t="inlineStr">
        <is>
          <t>节段21~节段22</t>
        </is>
      </c>
      <c r="D3245" s="43" t="inlineStr">
        <is>
          <t>Q355D</t>
        </is>
      </c>
      <c r="E3245" s="43" t="n">
        <v>1120</v>
      </c>
      <c r="F3245" s="43" t="n">
        <v>1100</v>
      </c>
      <c r="G3245" s="43" t="n">
        <v>32</v>
      </c>
      <c r="H3245" s="79">
        <f>(E3245/1000)*(F3245/1000)*(G3245/1000)*7850</f>
        <v/>
      </c>
      <c r="I3245" s="43" t="n">
        <v>1</v>
      </c>
      <c r="J3245" s="80">
        <f>H3245*I3245</f>
        <v/>
      </c>
      <c r="K3245" s="43" t="inlineStr">
        <is>
          <t>来源页229</t>
        </is>
      </c>
      <c r="L3245" s="43">
        <f>A3245</f>
        <v/>
      </c>
      <c r="M3245" s="81" t="n"/>
      <c r="N3245" s="81" t="n"/>
      <c r="O3245" s="81" t="n"/>
      <c r="P3245" s="81" t="n"/>
      <c r="Q3245" s="81" t="n"/>
      <c r="R3245" s="81" t="n"/>
      <c r="S3245" s="81" t="n"/>
      <c r="T3245" s="81" t="n"/>
      <c r="U3245" s="81" t="n"/>
      <c r="V3245" s="81" t="n"/>
      <c r="W3245" s="43" t="n"/>
    </row>
    <row r="3246">
      <c r="A3246" s="43" t="inlineStr">
        <is>
          <t>K4</t>
        </is>
      </c>
      <c r="B3246" s="43" t="inlineStr">
        <is>
          <t>下弦杆拼接</t>
        </is>
      </c>
      <c r="C3246" s="43" t="inlineStr">
        <is>
          <t>节段21~节段22</t>
        </is>
      </c>
      <c r="D3246" s="43" t="inlineStr">
        <is>
          <t>Q355D</t>
        </is>
      </c>
      <c r="E3246" s="43" t="n">
        <v>1120</v>
      </c>
      <c r="F3246" s="43" t="n">
        <v>400</v>
      </c>
      <c r="G3246" s="43" t="n">
        <v>32</v>
      </c>
      <c r="H3246" s="79">
        <f>(E3246/1000)*(F3246/1000)*(G3246/1000)*7850</f>
        <v/>
      </c>
      <c r="I3246" s="43" t="n">
        <v>2</v>
      </c>
      <c r="J3246" s="80">
        <f>H3246*I3246</f>
        <v/>
      </c>
      <c r="K3246" s="43" t="inlineStr">
        <is>
          <t>来源页229</t>
        </is>
      </c>
      <c r="L3246" s="43">
        <f>A3246</f>
        <v/>
      </c>
      <c r="M3246" s="81" t="n"/>
      <c r="N3246" s="81" t="n"/>
      <c r="O3246" s="81" t="n"/>
      <c r="P3246" s="81" t="n"/>
      <c r="Q3246" s="81" t="n"/>
      <c r="R3246" s="81" t="n"/>
      <c r="S3246" s="81" t="n"/>
      <c r="T3246" s="81" t="n"/>
      <c r="U3246" s="81" t="n"/>
      <c r="V3246" s="81" t="n"/>
      <c r="W3246" s="43" t="n"/>
    </row>
    <row r="3247">
      <c r="A3247" s="43" t="inlineStr">
        <is>
          <t>K6</t>
        </is>
      </c>
      <c r="B3247" s="43" t="inlineStr">
        <is>
          <t>下弦杆拼接</t>
        </is>
      </c>
      <c r="C3247" s="43" t="inlineStr">
        <is>
          <t>节段21~节段22</t>
        </is>
      </c>
      <c r="D3247" s="43" t="inlineStr">
        <is>
          <t>Q355D</t>
        </is>
      </c>
      <c r="E3247" s="43" t="n">
        <v>400</v>
      </c>
      <c r="F3247" s="43" t="n">
        <v>1700</v>
      </c>
      <c r="G3247" s="43" t="n">
        <v>16</v>
      </c>
      <c r="H3247" s="79">
        <f>(E3247/1000)*(F3247/1000)*(G3247/1000)*7850</f>
        <v/>
      </c>
      <c r="I3247" s="43" t="n">
        <v>2</v>
      </c>
      <c r="J3247" s="80">
        <f>H3247*I3247</f>
        <v/>
      </c>
      <c r="K3247" s="43" t="inlineStr">
        <is>
          <t>来源页229</t>
        </is>
      </c>
      <c r="L3247" s="43">
        <f>A3247</f>
        <v/>
      </c>
      <c r="M3247" s="81" t="n"/>
      <c r="N3247" s="81" t="n"/>
      <c r="O3247" s="81" t="n"/>
      <c r="P3247" s="81" t="n"/>
      <c r="Q3247" s="81" t="n"/>
      <c r="R3247" s="81" t="n"/>
      <c r="S3247" s="81" t="n"/>
      <c r="T3247" s="81" t="n"/>
      <c r="U3247" s="81" t="n"/>
      <c r="V3247" s="81" t="n"/>
      <c r="W3247" s="43" t="n"/>
    </row>
    <row r="3248">
      <c r="A3248" s="43" t="inlineStr">
        <is>
          <t>M30高强螺栓</t>
        </is>
      </c>
      <c r="B3248" s="43" t="inlineStr">
        <is>
          <t>下弦杆拼接</t>
        </is>
      </c>
      <c r="C3248" s="43" t="inlineStr">
        <is>
          <t>节段21~节段22</t>
        </is>
      </c>
      <c r="D3248" s="43" t="inlineStr">
        <is>
          <t>10.9S</t>
        </is>
      </c>
      <c r="E3248" s="43" t="n"/>
      <c r="F3248" s="43" t="n"/>
      <c r="G3248" s="43" t="n"/>
      <c r="H3248" s="79">
        <f>(E3248/1000)*(F3248/1000)*(G3248/1000)*7850</f>
        <v/>
      </c>
      <c r="I3248" s="43" t="n">
        <v>276</v>
      </c>
      <c r="J3248" s="80">
        <f>H3248*I3248</f>
        <v/>
      </c>
      <c r="K3248" s="43" t="inlineStr">
        <is>
          <t>来源页229</t>
        </is>
      </c>
      <c r="L3248" s="43">
        <f>A3248</f>
        <v/>
      </c>
      <c r="M3248" s="81" t="n"/>
      <c r="N3248" s="81" t="n"/>
      <c r="O3248" s="81" t="n"/>
      <c r="P3248" s="81" t="n"/>
      <c r="Q3248" s="81" t="n"/>
      <c r="R3248" s="81" t="n"/>
      <c r="S3248" s="81" t="n"/>
      <c r="T3248" s="81" t="n"/>
      <c r="U3248" s="81" t="n"/>
      <c r="V3248" s="81" t="n"/>
      <c r="W3248" s="43" t="n"/>
    </row>
    <row r="3249">
      <c r="A3249" s="43" t="inlineStr">
        <is>
          <t>L1</t>
        </is>
      </c>
      <c r="B3249" s="43" t="inlineStr">
        <is>
          <t>腹杆拼接</t>
        </is>
      </c>
      <c r="C3249" s="43" t="inlineStr">
        <is>
          <t>节段21~节段22</t>
        </is>
      </c>
      <c r="D3249" s="43" t="inlineStr">
        <is>
          <t>Q355D</t>
        </is>
      </c>
      <c r="E3249" s="43" t="n">
        <v>1320</v>
      </c>
      <c r="F3249" s="43" t="n">
        <v>900</v>
      </c>
      <c r="G3249" s="43" t="n">
        <v>28</v>
      </c>
      <c r="H3249" s="79">
        <f>(E3249/1000)*(F3249/1000)*(G3249/1000)*7850</f>
        <v/>
      </c>
      <c r="I3249" s="43" t="n">
        <v>2</v>
      </c>
      <c r="J3249" s="80">
        <f>H3249*I3249</f>
        <v/>
      </c>
      <c r="K3249" s="43" t="inlineStr">
        <is>
          <t>来源页229</t>
        </is>
      </c>
      <c r="L3249" s="43">
        <f>A3249</f>
        <v/>
      </c>
      <c r="M3249" s="81" t="n"/>
      <c r="N3249" s="81" t="n"/>
      <c r="O3249" s="81" t="n"/>
      <c r="P3249" s="81" t="n"/>
      <c r="Q3249" s="81" t="n"/>
      <c r="R3249" s="81" t="n"/>
      <c r="S3249" s="81" t="n"/>
      <c r="T3249" s="81" t="n"/>
      <c r="U3249" s="81" t="n"/>
      <c r="V3249" s="81" t="n"/>
      <c r="W3249" s="43" t="n"/>
    </row>
    <row r="3250">
      <c r="A3250" s="43" t="inlineStr">
        <is>
          <t>L2</t>
        </is>
      </c>
      <c r="B3250" s="43" t="inlineStr">
        <is>
          <t>腹杆拼接</t>
        </is>
      </c>
      <c r="C3250" s="43" t="inlineStr">
        <is>
          <t>节段21~节段22</t>
        </is>
      </c>
      <c r="D3250" s="43" t="inlineStr">
        <is>
          <t>Q355D</t>
        </is>
      </c>
      <c r="E3250" s="43" t="n">
        <v>1320</v>
      </c>
      <c r="F3250" s="43" t="n">
        <v>400</v>
      </c>
      <c r="G3250" s="43" t="n">
        <v>28</v>
      </c>
      <c r="H3250" s="79">
        <f>(E3250/1000)*(F3250/1000)*(G3250/1000)*7850</f>
        <v/>
      </c>
      <c r="I3250" s="43" t="n">
        <v>4</v>
      </c>
      <c r="J3250" s="80">
        <f>H3250*I3250</f>
        <v/>
      </c>
      <c r="K3250" s="43" t="inlineStr">
        <is>
          <t>来源页229</t>
        </is>
      </c>
      <c r="L3250" s="43">
        <f>A3250</f>
        <v/>
      </c>
      <c r="M3250" s="81" t="n"/>
      <c r="N3250" s="81" t="n"/>
      <c r="O3250" s="81" t="n"/>
      <c r="P3250" s="81" t="n"/>
      <c r="Q3250" s="81" t="n"/>
      <c r="R3250" s="81" t="n"/>
      <c r="S3250" s="81" t="n"/>
      <c r="T3250" s="81" t="n"/>
      <c r="U3250" s="81" t="n"/>
      <c r="V3250" s="81" t="n"/>
      <c r="W3250" s="43" t="n"/>
    </row>
    <row r="3251">
      <c r="A3251" s="43" t="inlineStr">
        <is>
          <t>L3</t>
        </is>
      </c>
      <c r="B3251" s="43" t="inlineStr">
        <is>
          <t>腹杆拼接</t>
        </is>
      </c>
      <c r="C3251" s="43" t="inlineStr">
        <is>
          <t>节段21~节段22</t>
        </is>
      </c>
      <c r="D3251" s="43" t="inlineStr">
        <is>
          <t>Q355D</t>
        </is>
      </c>
      <c r="E3251" s="43" t="n">
        <v>1320</v>
      </c>
      <c r="F3251" s="43" t="n">
        <v>500</v>
      </c>
      <c r="G3251" s="43" t="n">
        <v>28</v>
      </c>
      <c r="H3251" s="79">
        <f>(E3251/1000)*(F3251/1000)*(G3251/1000)*7850</f>
        <v/>
      </c>
      <c r="I3251" s="43" t="n">
        <v>4</v>
      </c>
      <c r="J3251" s="80">
        <f>H3251*I3251</f>
        <v/>
      </c>
      <c r="K3251" s="43" t="inlineStr">
        <is>
          <t>来源页229</t>
        </is>
      </c>
      <c r="L3251" s="43">
        <f>A3251</f>
        <v/>
      </c>
      <c r="M3251" s="81" t="n"/>
      <c r="N3251" s="81" t="n"/>
      <c r="O3251" s="81" t="n"/>
      <c r="P3251" s="81" t="n"/>
      <c r="Q3251" s="81" t="n"/>
      <c r="R3251" s="81" t="n"/>
      <c r="S3251" s="81" t="n"/>
      <c r="T3251" s="81" t="n"/>
      <c r="U3251" s="81" t="n"/>
      <c r="V3251" s="81" t="n"/>
      <c r="W3251" s="43" t="n"/>
    </row>
    <row r="3252">
      <c r="A3252" s="43" t="inlineStr">
        <is>
          <t>L4</t>
        </is>
      </c>
      <c r="B3252" s="43" t="inlineStr">
        <is>
          <t>腹杆拼接</t>
        </is>
      </c>
      <c r="C3252" s="43" t="inlineStr">
        <is>
          <t>节段21~节段22</t>
        </is>
      </c>
      <c r="D3252" s="43" t="inlineStr">
        <is>
          <t>Q355D</t>
        </is>
      </c>
      <c r="E3252" s="43" t="n">
        <v>820</v>
      </c>
      <c r="F3252" s="43" t="n">
        <v>200</v>
      </c>
      <c r="G3252" s="43" t="n">
        <v>20</v>
      </c>
      <c r="H3252" s="79">
        <f>(E3252/1000)*(F3252/1000)*(G3252/1000)*7850</f>
        <v/>
      </c>
      <c r="I3252" s="43" t="n">
        <v>4</v>
      </c>
      <c r="J3252" s="80">
        <f>H3252*I3252</f>
        <v/>
      </c>
      <c r="K3252" s="43" t="inlineStr">
        <is>
          <t>来源页229</t>
        </is>
      </c>
      <c r="L3252" s="43">
        <f>A3252</f>
        <v/>
      </c>
      <c r="M3252" s="81" t="n"/>
      <c r="N3252" s="81" t="n"/>
      <c r="O3252" s="81" t="n"/>
      <c r="P3252" s="81" t="n"/>
      <c r="Q3252" s="81" t="n"/>
      <c r="R3252" s="81" t="n"/>
      <c r="S3252" s="81" t="n"/>
      <c r="T3252" s="81" t="n"/>
      <c r="U3252" s="81" t="n"/>
      <c r="V3252" s="81" t="n"/>
      <c r="W3252" s="43" t="n"/>
    </row>
    <row r="3253">
      <c r="A3253" s="43" t="inlineStr">
        <is>
          <t>M30高强螺栓</t>
        </is>
      </c>
      <c r="B3253" s="43" t="inlineStr">
        <is>
          <t>腹杆拼接</t>
        </is>
      </c>
      <c r="C3253" s="43" t="inlineStr">
        <is>
          <t>节段21~节段22</t>
        </is>
      </c>
      <c r="D3253" s="43" t="inlineStr">
        <is>
          <t>10.9S</t>
        </is>
      </c>
      <c r="E3253" s="43" t="n"/>
      <c r="F3253" s="43" t="n"/>
      <c r="G3253" s="43" t="n"/>
      <c r="H3253" s="79">
        <f>(E3253/1000)*(F3253/1000)*(G3253/1000)*7850</f>
        <v/>
      </c>
      <c r="I3253" s="43" t="n">
        <v>507</v>
      </c>
      <c r="J3253" s="80">
        <f>H3253*I3253</f>
        <v/>
      </c>
      <c r="K3253" s="43" t="inlineStr">
        <is>
          <t>来源页229</t>
        </is>
      </c>
      <c r="L3253" s="43">
        <f>A3253</f>
        <v/>
      </c>
      <c r="M3253" s="81" t="n"/>
      <c r="N3253" s="81" t="n"/>
      <c r="O3253" s="81" t="n"/>
      <c r="P3253" s="81" t="n"/>
      <c r="Q3253" s="81" t="n"/>
      <c r="R3253" s="81" t="n"/>
      <c r="S3253" s="81" t="n"/>
      <c r="T3253" s="81" t="n"/>
      <c r="U3253" s="81" t="n"/>
      <c r="V3253" s="81" t="n"/>
      <c r="W3253" s="43" t="n"/>
    </row>
    <row r="3254">
      <c r="A3254" s="43" t="inlineStr">
        <is>
          <t>N11</t>
        </is>
      </c>
      <c r="B3254" s="43" t="inlineStr"/>
      <c r="C3254" s="43" t="inlineStr">
        <is>
          <t>节段22</t>
        </is>
      </c>
      <c r="D3254" s="43" t="inlineStr">
        <is>
          <t>Q355D</t>
        </is>
      </c>
      <c r="E3254" s="43" t="n"/>
      <c r="F3254" s="43" t="n"/>
      <c r="G3254" s="43" t="n">
        <v>20</v>
      </c>
      <c r="H3254" s="79">
        <f>(E3254/1000)*(F3254/1000)*(G3254/1000)*7850</f>
        <v/>
      </c>
      <c r="I3254" s="43" t="n">
        <v>1</v>
      </c>
      <c r="J3254" s="80">
        <f>H3254*I3254</f>
        <v/>
      </c>
      <c r="K3254" s="43" t="inlineStr">
        <is>
          <t>来源页230</t>
        </is>
      </c>
      <c r="L3254" s="43">
        <f>A3254</f>
        <v/>
      </c>
      <c r="M3254" s="81" t="n"/>
      <c r="N3254" s="81" t="n"/>
      <c r="O3254" s="81" t="n"/>
      <c r="P3254" s="81" t="n"/>
      <c r="Q3254" s="81" t="n"/>
      <c r="R3254" s="81" t="n"/>
      <c r="S3254" s="81" t="n"/>
      <c r="T3254" s="81" t="n"/>
      <c r="U3254" s="81" t="n"/>
      <c r="V3254" s="81" t="n"/>
      <c r="W3254" s="43" t="n"/>
    </row>
    <row r="3255">
      <c r="A3255" s="43" t="inlineStr">
        <is>
          <t>N12</t>
        </is>
      </c>
      <c r="B3255" s="43" t="inlineStr"/>
      <c r="C3255" s="43" t="inlineStr">
        <is>
          <t>节段22</t>
        </is>
      </c>
      <c r="D3255" s="43" t="inlineStr">
        <is>
          <t>Q355D</t>
        </is>
      </c>
      <c r="E3255" s="43" t="n">
        <v>23700</v>
      </c>
      <c r="F3255" s="43" t="n">
        <v>1200</v>
      </c>
      <c r="G3255" s="43" t="n">
        <v>20</v>
      </c>
      <c r="H3255" s="79">
        <f>(E3255/1000)*(F3255/1000)*(G3255/1000)*7850</f>
        <v/>
      </c>
      <c r="I3255" s="43" t="n">
        <v>1</v>
      </c>
      <c r="J3255" s="80">
        <f>H3255*I3255</f>
        <v/>
      </c>
      <c r="K3255" s="43" t="inlineStr">
        <is>
          <t>来源页230</t>
        </is>
      </c>
      <c r="L3255" s="43">
        <f>A3255</f>
        <v/>
      </c>
      <c r="M3255" s="81" t="n"/>
      <c r="N3255" s="81" t="n"/>
      <c r="O3255" s="81" t="n"/>
      <c r="P3255" s="81" t="n"/>
      <c r="Q3255" s="81" t="n"/>
      <c r="R3255" s="81" t="n"/>
      <c r="S3255" s="81" t="n"/>
      <c r="T3255" s="81" t="n"/>
      <c r="U3255" s="81" t="n"/>
      <c r="V3255" s="81" t="n"/>
      <c r="W3255" s="43" t="n"/>
    </row>
    <row r="3256">
      <c r="A3256" s="43" t="inlineStr">
        <is>
          <t>N13</t>
        </is>
      </c>
      <c r="B3256" s="43" t="inlineStr"/>
      <c r="C3256" s="43" t="inlineStr">
        <is>
          <t>节段22</t>
        </is>
      </c>
      <c r="D3256" s="43" t="inlineStr">
        <is>
          <t>Q355D</t>
        </is>
      </c>
      <c r="E3256" s="43" t="n"/>
      <c r="F3256" s="43" t="n"/>
      <c r="G3256" s="43" t="n">
        <v>20</v>
      </c>
      <c r="H3256" s="79">
        <f>(E3256/1000)*(F3256/1000)*(G3256/1000)*7850</f>
        <v/>
      </c>
      <c r="I3256" s="43" t="n">
        <v>2</v>
      </c>
      <c r="J3256" s="80">
        <f>H3256*I3256</f>
        <v/>
      </c>
      <c r="K3256" s="43" t="inlineStr">
        <is>
          <t>来源页230</t>
        </is>
      </c>
      <c r="L3256" s="43">
        <f>A3256</f>
        <v/>
      </c>
      <c r="M3256" s="81" t="n"/>
      <c r="N3256" s="81" t="n"/>
      <c r="O3256" s="81" t="n"/>
      <c r="P3256" s="81" t="n"/>
      <c r="Q3256" s="81" t="n"/>
      <c r="R3256" s="81" t="n"/>
      <c r="S3256" s="81" t="n"/>
      <c r="T3256" s="81" t="n"/>
      <c r="U3256" s="81" t="n"/>
      <c r="V3256" s="81" t="n"/>
      <c r="W3256" s="43" t="n"/>
    </row>
    <row r="3257">
      <c r="A3257" s="43" t="inlineStr">
        <is>
          <t>N14</t>
        </is>
      </c>
      <c r="B3257" s="43" t="inlineStr"/>
      <c r="C3257" s="43" t="inlineStr">
        <is>
          <t>节段22</t>
        </is>
      </c>
      <c r="D3257" s="43" t="inlineStr">
        <is>
          <t>Q355D</t>
        </is>
      </c>
      <c r="E3257" s="43" t="n"/>
      <c r="F3257" s="43" t="n"/>
      <c r="G3257" s="43" t="n">
        <v>28</v>
      </c>
      <c r="H3257" s="79">
        <f>(E3257/1000)*(F3257/1000)*(G3257/1000)*7850</f>
        <v/>
      </c>
      <c r="I3257" s="43" t="n">
        <v>2</v>
      </c>
      <c r="J3257" s="80">
        <f>H3257*I3257</f>
        <v/>
      </c>
      <c r="K3257" s="43" t="inlineStr">
        <is>
          <t>来源页230</t>
        </is>
      </c>
      <c r="L3257" s="43">
        <f>A3257</f>
        <v/>
      </c>
      <c r="M3257" s="81" t="n"/>
      <c r="N3257" s="81" t="n"/>
      <c r="O3257" s="81" t="n"/>
      <c r="P3257" s="81" t="n"/>
      <c r="Q3257" s="81" t="n"/>
      <c r="R3257" s="81" t="n"/>
      <c r="S3257" s="81" t="n"/>
      <c r="T3257" s="81" t="n"/>
      <c r="U3257" s="81" t="n"/>
      <c r="V3257" s="81" t="n"/>
      <c r="W3257" s="43" t="n"/>
    </row>
    <row r="3258">
      <c r="A3258" s="43" t="inlineStr">
        <is>
          <t>N14a</t>
        </is>
      </c>
      <c r="B3258" s="43" t="inlineStr"/>
      <c r="C3258" s="43" t="inlineStr">
        <is>
          <t>节段22</t>
        </is>
      </c>
      <c r="D3258" s="43" t="inlineStr">
        <is>
          <t>Q355D</t>
        </is>
      </c>
      <c r="E3258" s="43" t="n"/>
      <c r="F3258" s="43" t="n"/>
      <c r="G3258" s="43" t="n">
        <v>40</v>
      </c>
      <c r="H3258" s="79">
        <f>(E3258/1000)*(F3258/1000)*(G3258/1000)*7850</f>
        <v/>
      </c>
      <c r="I3258" s="43" t="n">
        <v>2</v>
      </c>
      <c r="J3258" s="80">
        <f>H3258*I3258</f>
        <v/>
      </c>
      <c r="K3258" s="43" t="inlineStr">
        <is>
          <t>来源页230</t>
        </is>
      </c>
      <c r="L3258" s="43">
        <f>A3258</f>
        <v/>
      </c>
      <c r="M3258" s="81" t="n"/>
      <c r="N3258" s="81" t="n"/>
      <c r="O3258" s="81" t="n"/>
      <c r="P3258" s="81" t="n"/>
      <c r="Q3258" s="81" t="n"/>
      <c r="R3258" s="81" t="n"/>
      <c r="S3258" s="81" t="n"/>
      <c r="T3258" s="81" t="n"/>
      <c r="U3258" s="81" t="n"/>
      <c r="V3258" s="81" t="n"/>
      <c r="W3258" s="43" t="n"/>
    </row>
    <row r="3259">
      <c r="A3259" s="43" t="inlineStr">
        <is>
          <t>N15b</t>
        </is>
      </c>
      <c r="B3259" s="43" t="inlineStr"/>
      <c r="C3259" s="43" t="inlineStr">
        <is>
          <t>节段22</t>
        </is>
      </c>
      <c r="D3259" s="43" t="inlineStr">
        <is>
          <t>Q355D</t>
        </is>
      </c>
      <c r="E3259" s="43" t="n">
        <v>1580</v>
      </c>
      <c r="F3259" s="43" t="n">
        <v>1200</v>
      </c>
      <c r="G3259" s="43" t="n">
        <v>16</v>
      </c>
      <c r="H3259" s="79">
        <f>(E3259/1000)*(F3259/1000)*(G3259/1000)*7850</f>
        <v/>
      </c>
      <c r="I3259" s="43" t="n">
        <v>3</v>
      </c>
      <c r="J3259" s="80">
        <f>H3259*I3259</f>
        <v/>
      </c>
      <c r="K3259" s="43" t="inlineStr">
        <is>
          <t>来源页230</t>
        </is>
      </c>
      <c r="L3259" s="43">
        <f>A3259</f>
        <v/>
      </c>
      <c r="M3259" s="81" t="n"/>
      <c r="N3259" s="81" t="n"/>
      <c r="O3259" s="81" t="n"/>
      <c r="P3259" s="81" t="n"/>
      <c r="Q3259" s="81" t="n"/>
      <c r="R3259" s="81" t="n"/>
      <c r="S3259" s="81" t="n"/>
      <c r="T3259" s="81" t="n"/>
      <c r="U3259" s="81" t="n"/>
      <c r="V3259" s="81" t="n"/>
      <c r="W3259" s="43" t="n"/>
    </row>
    <row r="3260">
      <c r="A3260" s="43" t="inlineStr">
        <is>
          <t>N15‘</t>
        </is>
      </c>
      <c r="B3260" s="43" t="inlineStr"/>
      <c r="C3260" s="43" t="inlineStr">
        <is>
          <t>节段22</t>
        </is>
      </c>
      <c r="D3260" s="43" t="inlineStr">
        <is>
          <t>Q355D</t>
        </is>
      </c>
      <c r="E3260" s="43" t="n">
        <v>1657</v>
      </c>
      <c r="F3260" s="43" t="n">
        <v>200</v>
      </c>
      <c r="G3260" s="43" t="n">
        <v>16</v>
      </c>
      <c r="H3260" s="79">
        <f>(E3260/1000)*(F3260/1000)*(G3260/1000)*7850</f>
        <v/>
      </c>
      <c r="I3260" s="43" t="n">
        <v>7</v>
      </c>
      <c r="J3260" s="80">
        <f>H3260*I3260</f>
        <v/>
      </c>
      <c r="K3260" s="43" t="inlineStr">
        <is>
          <t>来源页230</t>
        </is>
      </c>
      <c r="L3260" s="43">
        <f>A3260</f>
        <v/>
      </c>
      <c r="M3260" s="81" t="n"/>
      <c r="N3260" s="81" t="n"/>
      <c r="O3260" s="81" t="n"/>
      <c r="P3260" s="81" t="n"/>
      <c r="Q3260" s="81" t="n"/>
      <c r="R3260" s="81" t="n"/>
      <c r="S3260" s="81" t="n"/>
      <c r="T3260" s="81" t="n"/>
      <c r="U3260" s="81" t="n"/>
      <c r="V3260" s="81" t="n"/>
      <c r="W3260" s="43" t="n"/>
    </row>
    <row r="3261">
      <c r="A3261" s="43" t="inlineStr">
        <is>
          <t>N15b</t>
        </is>
      </c>
      <c r="B3261" s="43" t="inlineStr"/>
      <c r="C3261" s="43" t="inlineStr">
        <is>
          <t>节段22</t>
        </is>
      </c>
      <c r="D3261" s="43" t="inlineStr">
        <is>
          <t>Q355D</t>
        </is>
      </c>
      <c r="E3261" s="43" t="n">
        <v>1782</v>
      </c>
      <c r="F3261" s="43" t="n">
        <v>40</v>
      </c>
      <c r="G3261" s="43" t="n">
        <v>4</v>
      </c>
      <c r="H3261" s="79">
        <f>(E3261/1000)*(F3261/1000)*(G3261/1000)*7850</f>
        <v/>
      </c>
      <c r="I3261" s="43" t="n">
        <v>4</v>
      </c>
      <c r="J3261" s="80">
        <f>H3261*I3261</f>
        <v/>
      </c>
      <c r="K3261" s="43" t="inlineStr">
        <is>
          <t>来源页230</t>
        </is>
      </c>
      <c r="L3261" s="43">
        <f>A3261</f>
        <v/>
      </c>
      <c r="M3261" s="81" t="n"/>
      <c r="N3261" s="81" t="n"/>
      <c r="O3261" s="81" t="n"/>
      <c r="P3261" s="81" t="n"/>
      <c r="Q3261" s="81" t="n"/>
      <c r="R3261" s="81" t="n"/>
      <c r="S3261" s="81" t="n"/>
      <c r="T3261" s="81" t="n"/>
      <c r="U3261" s="81" t="n"/>
      <c r="V3261" s="81" t="n"/>
      <c r="W3261" s="43" t="n"/>
    </row>
    <row r="3262">
      <c r="A3262" s="43" t="inlineStr">
        <is>
          <t>N15c</t>
        </is>
      </c>
      <c r="B3262" s="43" t="inlineStr"/>
      <c r="C3262" s="43" t="inlineStr">
        <is>
          <t>节段22</t>
        </is>
      </c>
      <c r="D3262" s="43" t="inlineStr">
        <is>
          <t>Q355D</t>
        </is>
      </c>
      <c r="E3262" s="43" t="n">
        <v>600</v>
      </c>
      <c r="F3262" s="43" t="n">
        <v>400</v>
      </c>
      <c r="G3262" s="43" t="n">
        <v>16</v>
      </c>
      <c r="H3262" s="79">
        <f>(E3262/1000)*(F3262/1000)*(G3262/1000)*7850</f>
        <v/>
      </c>
      <c r="I3262" s="43" t="n">
        <v>4</v>
      </c>
      <c r="J3262" s="80">
        <f>H3262*I3262</f>
        <v/>
      </c>
      <c r="K3262" s="43" t="inlineStr">
        <is>
          <t>来源页230</t>
        </is>
      </c>
      <c r="L3262" s="43">
        <f>A3262</f>
        <v/>
      </c>
      <c r="M3262" s="81" t="n"/>
      <c r="N3262" s="81" t="n"/>
      <c r="O3262" s="81" t="n"/>
      <c r="P3262" s="81" t="n"/>
      <c r="Q3262" s="81" t="n"/>
      <c r="R3262" s="81" t="n"/>
      <c r="S3262" s="81" t="n"/>
      <c r="T3262" s="81" t="n"/>
      <c r="U3262" s="81" t="n"/>
      <c r="V3262" s="81" t="n"/>
      <c r="W3262" s="43" t="n"/>
    </row>
    <row r="3263">
      <c r="A3263" s="43" t="inlineStr">
        <is>
          <t>N16a</t>
        </is>
      </c>
      <c r="B3263" s="43" t="inlineStr"/>
      <c r="C3263" s="43" t="inlineStr">
        <is>
          <t>节段22</t>
        </is>
      </c>
      <c r="D3263" s="43" t="inlineStr">
        <is>
          <t>Q355D</t>
        </is>
      </c>
      <c r="E3263" s="43" t="n">
        <v>5651</v>
      </c>
      <c r="F3263" s="43" t="n">
        <v>240</v>
      </c>
      <c r="G3263" s="43" t="n">
        <v>20</v>
      </c>
      <c r="H3263" s="79">
        <f>(E3263/1000)*(F3263/1000)*(G3263/1000)*7850</f>
        <v/>
      </c>
      <c r="I3263" s="43" t="n">
        <v>4</v>
      </c>
      <c r="J3263" s="80">
        <f>H3263*I3263</f>
        <v/>
      </c>
      <c r="K3263" s="43" t="inlineStr">
        <is>
          <t>来源页230</t>
        </is>
      </c>
      <c r="L3263" s="43">
        <f>A3263</f>
        <v/>
      </c>
      <c r="M3263" s="81" t="n"/>
      <c r="N3263" s="81" t="n"/>
      <c r="O3263" s="81" t="n"/>
      <c r="P3263" s="81" t="n"/>
      <c r="Q3263" s="81" t="n"/>
      <c r="R3263" s="81" t="n"/>
      <c r="S3263" s="81" t="n"/>
      <c r="T3263" s="81" t="n"/>
      <c r="U3263" s="81" t="n"/>
      <c r="V3263" s="81" t="n"/>
      <c r="W3263" s="43" t="n"/>
    </row>
    <row r="3264">
      <c r="A3264" s="43" t="inlineStr">
        <is>
          <t>N16b</t>
        </is>
      </c>
      <c r="B3264" s="43" t="inlineStr"/>
      <c r="C3264" s="43" t="inlineStr">
        <is>
          <t>节段22</t>
        </is>
      </c>
      <c r="D3264" s="43" t="inlineStr">
        <is>
          <t>Q355D</t>
        </is>
      </c>
      <c r="E3264" s="43" t="n">
        <v>7700</v>
      </c>
      <c r="F3264" s="43" t="n">
        <v>240</v>
      </c>
      <c r="G3264" s="43" t="n">
        <v>20</v>
      </c>
      <c r="H3264" s="79">
        <f>(E3264/1000)*(F3264/1000)*(G3264/1000)*7850</f>
        <v/>
      </c>
      <c r="I3264" s="43" t="n">
        <v>4</v>
      </c>
      <c r="J3264" s="80">
        <f>H3264*I3264</f>
        <v/>
      </c>
      <c r="K3264" s="43" t="inlineStr">
        <is>
          <t>来源页230</t>
        </is>
      </c>
      <c r="L3264" s="43">
        <f>A3264</f>
        <v/>
      </c>
      <c r="M3264" s="81" t="n"/>
      <c r="N3264" s="81" t="n"/>
      <c r="O3264" s="81" t="n"/>
      <c r="P3264" s="81" t="n"/>
      <c r="Q3264" s="81" t="n"/>
      <c r="R3264" s="81" t="n"/>
      <c r="S3264" s="81" t="n"/>
      <c r="T3264" s="81" t="n"/>
      <c r="U3264" s="81" t="n"/>
      <c r="V3264" s="81" t="n"/>
      <c r="W3264" s="43" t="n"/>
    </row>
    <row r="3265">
      <c r="A3265" s="43" t="inlineStr">
        <is>
          <t>N16c</t>
        </is>
      </c>
      <c r="B3265" s="43" t="inlineStr"/>
      <c r="C3265" s="43" t="inlineStr">
        <is>
          <t>节段22</t>
        </is>
      </c>
      <c r="D3265" s="43" t="inlineStr">
        <is>
          <t>Q355D</t>
        </is>
      </c>
      <c r="E3265" s="43" t="n">
        <v>70300</v>
      </c>
      <c r="F3265" s="43" t="n">
        <v>240</v>
      </c>
      <c r="G3265" s="43" t="n">
        <v>20</v>
      </c>
      <c r="H3265" s="79">
        <f>(E3265/1000)*(F3265/1000)*(G3265/1000)*7850</f>
        <v/>
      </c>
      <c r="I3265" s="43" t="n">
        <v>4</v>
      </c>
      <c r="J3265" s="80">
        <f>H3265*I3265</f>
        <v/>
      </c>
      <c r="K3265" s="43" t="inlineStr">
        <is>
          <t>来源页230</t>
        </is>
      </c>
      <c r="L3265" s="43">
        <f>A3265</f>
        <v/>
      </c>
      <c r="M3265" s="81" t="n"/>
      <c r="N3265" s="81" t="n"/>
      <c r="O3265" s="81" t="n"/>
      <c r="P3265" s="81" t="n"/>
      <c r="Q3265" s="81" t="n"/>
      <c r="R3265" s="81" t="n"/>
      <c r="S3265" s="81" t="n"/>
      <c r="T3265" s="81" t="n"/>
      <c r="U3265" s="81" t="n"/>
      <c r="V3265" s="81" t="n"/>
      <c r="W3265" s="43" t="n"/>
    </row>
    <row r="3266">
      <c r="A3266" s="43" t="inlineStr">
        <is>
          <t>N16d</t>
        </is>
      </c>
      <c r="B3266" s="43" t="inlineStr"/>
      <c r="C3266" s="43" t="inlineStr">
        <is>
          <t>节段22</t>
        </is>
      </c>
      <c r="D3266" s="43" t="inlineStr">
        <is>
          <t>Q355D</t>
        </is>
      </c>
      <c r="E3266" s="43" t="n">
        <v>23650</v>
      </c>
      <c r="F3266" s="43" t="n">
        <v>240</v>
      </c>
      <c r="G3266" s="43" t="n">
        <v>20</v>
      </c>
      <c r="H3266" s="79">
        <f>(E3266/1000)*(F3266/1000)*(G3266/1000)*7850</f>
        <v/>
      </c>
      <c r="I3266" s="43" t="n">
        <v>1</v>
      </c>
      <c r="J3266" s="80">
        <f>H3266*I3266</f>
        <v/>
      </c>
      <c r="K3266" s="43" t="inlineStr">
        <is>
          <t>来源页230</t>
        </is>
      </c>
      <c r="L3266" s="43">
        <f>A3266</f>
        <v/>
      </c>
      <c r="M3266" s="81" t="n"/>
      <c r="N3266" s="81" t="n"/>
      <c r="O3266" s="81" t="n"/>
      <c r="P3266" s="81" t="n"/>
      <c r="Q3266" s="81" t="n"/>
      <c r="R3266" s="81" t="n"/>
      <c r="S3266" s="81" t="n"/>
      <c r="T3266" s="81" t="n"/>
      <c r="U3266" s="81" t="n"/>
      <c r="V3266" s="81" t="n"/>
      <c r="W3266" s="43" t="n"/>
    </row>
    <row r="3267">
      <c r="A3267" s="43" t="inlineStr">
        <is>
          <t>N16e</t>
        </is>
      </c>
      <c r="B3267" s="43" t="inlineStr"/>
      <c r="C3267" s="43" t="inlineStr">
        <is>
          <t>节段22</t>
        </is>
      </c>
      <c r="D3267" s="43" t="inlineStr">
        <is>
          <t>Q355D</t>
        </is>
      </c>
      <c r="E3267" s="43" t="n">
        <v>23650</v>
      </c>
      <c r="F3267" s="43" t="n">
        <v>240</v>
      </c>
      <c r="G3267" s="43" t="n">
        <v>20</v>
      </c>
      <c r="H3267" s="79">
        <f>(E3267/1000)*(F3267/1000)*(G3267/1000)*7850</f>
        <v/>
      </c>
      <c r="I3267" s="43" t="n">
        <v>1</v>
      </c>
      <c r="J3267" s="80">
        <f>H3267*I3267</f>
        <v/>
      </c>
      <c r="K3267" s="43" t="inlineStr">
        <is>
          <t>来源页230</t>
        </is>
      </c>
      <c r="L3267" s="43">
        <f>A3267</f>
        <v/>
      </c>
      <c r="M3267" s="81" t="n"/>
      <c r="N3267" s="81" t="n"/>
      <c r="O3267" s="81" t="n"/>
      <c r="P3267" s="81" t="n"/>
      <c r="Q3267" s="81" t="n"/>
      <c r="R3267" s="81" t="n"/>
      <c r="S3267" s="81" t="n"/>
      <c r="T3267" s="81" t="n"/>
      <c r="U3267" s="81" t="n"/>
      <c r="V3267" s="81" t="n"/>
      <c r="W3267" s="43" t="n"/>
    </row>
    <row r="3268">
      <c r="A3268" s="43" t="inlineStr">
        <is>
          <t>N21</t>
        </is>
      </c>
      <c r="B3268" s="43" t="inlineStr"/>
      <c r="C3268" s="43" t="inlineStr">
        <is>
          <t>节段22</t>
        </is>
      </c>
      <c r="D3268" s="43" t="inlineStr">
        <is>
          <t>Q355D</t>
        </is>
      </c>
      <c r="E3268" s="43" t="n">
        <v>4809</v>
      </c>
      <c r="F3268" s="43" t="n">
        <v>1850</v>
      </c>
      <c r="G3268" s="43" t="n">
        <v>20</v>
      </c>
      <c r="H3268" s="79">
        <f>(E3268/1000)*(F3268/1000)*(G3268/1000)*7850</f>
        <v/>
      </c>
      <c r="I3268" s="43" t="n">
        <v>1</v>
      </c>
      <c r="J3268" s="80">
        <f>H3268*I3268</f>
        <v/>
      </c>
      <c r="K3268" s="43" t="inlineStr">
        <is>
          <t>来源页230</t>
        </is>
      </c>
      <c r="L3268" s="43">
        <f>A3268</f>
        <v/>
      </c>
      <c r="M3268" s="81" t="n"/>
      <c r="N3268" s="81" t="n"/>
      <c r="O3268" s="81" t="n"/>
      <c r="P3268" s="81" t="n"/>
      <c r="Q3268" s="81" t="n"/>
      <c r="R3268" s="81" t="n"/>
      <c r="S3268" s="81" t="n"/>
      <c r="T3268" s="81" t="n"/>
      <c r="U3268" s="81" t="n"/>
      <c r="V3268" s="81" t="n"/>
      <c r="W3268" s="43" t="n"/>
    </row>
    <row r="3269">
      <c r="A3269" s="43" t="inlineStr">
        <is>
          <t>N21a</t>
        </is>
      </c>
      <c r="B3269" s="43" t="inlineStr"/>
      <c r="C3269" s="43" t="inlineStr">
        <is>
          <t>节段22</t>
        </is>
      </c>
      <c r="D3269" s="43" t="inlineStr">
        <is>
          <t>Q355D</t>
        </is>
      </c>
      <c r="E3269" s="43" t="n">
        <v>17804</v>
      </c>
      <c r="F3269" s="43" t="n">
        <v>1850</v>
      </c>
      <c r="G3269" s="43" t="n">
        <v>20</v>
      </c>
      <c r="H3269" s="79">
        <f>(E3269/1000)*(F3269/1000)*(G3269/1000)*7850</f>
        <v/>
      </c>
      <c r="I3269" s="43" t="n">
        <v>1</v>
      </c>
      <c r="J3269" s="80">
        <f>H3269*I3269</f>
        <v/>
      </c>
      <c r="K3269" s="43" t="inlineStr">
        <is>
          <t>来源页230</t>
        </is>
      </c>
      <c r="L3269" s="43">
        <f>A3269</f>
        <v/>
      </c>
      <c r="M3269" s="81" t="n"/>
      <c r="N3269" s="81" t="n"/>
      <c r="O3269" s="81" t="n"/>
      <c r="P3269" s="81" t="n"/>
      <c r="Q3269" s="81" t="n"/>
      <c r="R3269" s="81" t="n"/>
      <c r="S3269" s="81" t="n"/>
      <c r="T3269" s="81" t="n"/>
      <c r="U3269" s="81" t="n"/>
      <c r="V3269" s="81" t="n"/>
      <c r="W3269" s="43" t="n"/>
    </row>
    <row r="3270">
      <c r="A3270" s="43" t="inlineStr">
        <is>
          <t>N22</t>
        </is>
      </c>
      <c r="B3270" s="43" t="inlineStr"/>
      <c r="C3270" s="43" t="inlineStr">
        <is>
          <t>节段22</t>
        </is>
      </c>
      <c r="D3270" s="43" t="inlineStr">
        <is>
          <t>Q355D</t>
        </is>
      </c>
      <c r="E3270" s="43" t="n"/>
      <c r="F3270" s="43" t="n"/>
      <c r="G3270" s="43" t="n">
        <v>36</v>
      </c>
      <c r="H3270" s="79">
        <f>(E3270/1000)*(F3270/1000)*(G3270/1000)*7850</f>
        <v/>
      </c>
      <c r="I3270" s="43" t="n">
        <v>1</v>
      </c>
      <c r="J3270" s="80">
        <f>H3270*I3270</f>
        <v/>
      </c>
      <c r="K3270" s="43" t="inlineStr">
        <is>
          <t>来源页230</t>
        </is>
      </c>
      <c r="L3270" s="43">
        <f>A3270</f>
        <v/>
      </c>
      <c r="M3270" s="81" t="n"/>
      <c r="N3270" s="81" t="n"/>
      <c r="O3270" s="81" t="n"/>
      <c r="P3270" s="81" t="n"/>
      <c r="Q3270" s="81" t="n"/>
      <c r="R3270" s="81" t="n"/>
      <c r="S3270" s="81" t="n"/>
      <c r="T3270" s="81" t="n"/>
      <c r="U3270" s="81" t="n"/>
      <c r="V3270" s="81" t="n"/>
      <c r="W3270" s="43" t="n"/>
    </row>
    <row r="3271">
      <c r="A3271" s="43" t="inlineStr">
        <is>
          <t>N22a</t>
        </is>
      </c>
      <c r="B3271" s="43" t="inlineStr"/>
      <c r="C3271" s="43" t="inlineStr">
        <is>
          <t>节段22</t>
        </is>
      </c>
      <c r="D3271" s="43" t="inlineStr">
        <is>
          <t>Q355D</t>
        </is>
      </c>
      <c r="E3271" s="43" t="n"/>
      <c r="F3271" s="43" t="n"/>
      <c r="G3271" s="43" t="n">
        <v>20</v>
      </c>
      <c r="H3271" s="79">
        <f>(E3271/1000)*(F3271/1000)*(G3271/1000)*7850</f>
        <v/>
      </c>
      <c r="I3271" s="43" t="n">
        <v>1</v>
      </c>
      <c r="J3271" s="80">
        <f>H3271*I3271</f>
        <v/>
      </c>
      <c r="K3271" s="43" t="inlineStr">
        <is>
          <t>来源页230</t>
        </is>
      </c>
      <c r="L3271" s="43">
        <f>A3271</f>
        <v/>
      </c>
      <c r="M3271" s="81" t="n"/>
      <c r="N3271" s="81" t="n"/>
      <c r="O3271" s="81" t="n"/>
      <c r="P3271" s="81" t="n"/>
      <c r="Q3271" s="81" t="n"/>
      <c r="R3271" s="81" t="n"/>
      <c r="S3271" s="81" t="n"/>
      <c r="T3271" s="81" t="n"/>
      <c r="U3271" s="81" t="n"/>
      <c r="V3271" s="81" t="n"/>
      <c r="W3271" s="43" t="n"/>
    </row>
    <row r="3272">
      <c r="A3272" s="43" t="inlineStr">
        <is>
          <t>N23</t>
        </is>
      </c>
      <c r="B3272" s="43" t="inlineStr"/>
      <c r="C3272" s="43" t="inlineStr">
        <is>
          <t>节段22</t>
        </is>
      </c>
      <c r="D3272" s="43" t="inlineStr">
        <is>
          <t>Q355D</t>
        </is>
      </c>
      <c r="E3272" s="43" t="n">
        <v>10103</v>
      </c>
      <c r="F3272" s="43" t="n">
        <v>1470</v>
      </c>
      <c r="G3272" s="43" t="n">
        <v>24</v>
      </c>
      <c r="H3272" s="79">
        <f>(E3272/1000)*(F3272/1000)*(G3272/1000)*7850</f>
        <v/>
      </c>
      <c r="I3272" s="43" t="n">
        <v>2</v>
      </c>
      <c r="J3272" s="80">
        <f>H3272*I3272</f>
        <v/>
      </c>
      <c r="K3272" s="43" t="inlineStr">
        <is>
          <t>来源页230</t>
        </is>
      </c>
      <c r="L3272" s="43">
        <f>A3272</f>
        <v/>
      </c>
      <c r="M3272" s="81" t="n"/>
      <c r="N3272" s="81" t="n"/>
      <c r="O3272" s="81" t="n"/>
      <c r="P3272" s="81" t="n"/>
      <c r="Q3272" s="81" t="n"/>
      <c r="R3272" s="81" t="n"/>
      <c r="S3272" s="81" t="n"/>
      <c r="T3272" s="81" t="n"/>
      <c r="U3272" s="81" t="n"/>
      <c r="V3272" s="81" t="n"/>
      <c r="W3272" s="43" t="n"/>
    </row>
    <row r="3273">
      <c r="A3273" s="43" t="inlineStr">
        <is>
          <t>N24</t>
        </is>
      </c>
      <c r="B3273" s="43" t="inlineStr"/>
      <c r="C3273" s="43" t="inlineStr">
        <is>
          <t>节段22</t>
        </is>
      </c>
      <c r="D3273" s="43" t="inlineStr">
        <is>
          <t>Q355D</t>
        </is>
      </c>
      <c r="E3273" s="43" t="n"/>
      <c r="F3273" s="43" t="n"/>
      <c r="G3273" s="43" t="n">
        <v>40</v>
      </c>
      <c r="H3273" s="79">
        <f>(E3273/1000)*(F3273/1000)*(G3273/1000)*7850</f>
        <v/>
      </c>
      <c r="I3273" s="43" t="n">
        <v>2</v>
      </c>
      <c r="J3273" s="80">
        <f>H3273*I3273</f>
        <v/>
      </c>
      <c r="K3273" s="43" t="inlineStr">
        <is>
          <t>Z35钢；来源页230</t>
        </is>
      </c>
      <c r="L3273" s="43">
        <f>A3273</f>
        <v/>
      </c>
      <c r="M3273" s="81" t="n"/>
      <c r="N3273" s="81" t="n"/>
      <c r="O3273" s="81" t="n"/>
      <c r="P3273" s="81" t="n"/>
      <c r="Q3273" s="81" t="n"/>
      <c r="R3273" s="81" t="n"/>
      <c r="S3273" s="81" t="n"/>
      <c r="T3273" s="81" t="n"/>
      <c r="U3273" s="81" t="n"/>
      <c r="V3273" s="81" t="n"/>
      <c r="W3273" s="43" t="n"/>
    </row>
    <row r="3274">
      <c r="A3274" s="43" t="inlineStr">
        <is>
          <t>N24a</t>
        </is>
      </c>
      <c r="B3274" s="43" t="inlineStr"/>
      <c r="C3274" s="43" t="inlineStr">
        <is>
          <t>节段22</t>
        </is>
      </c>
      <c r="D3274" s="43" t="inlineStr">
        <is>
          <t>Q355D</t>
        </is>
      </c>
      <c r="E3274" s="43" t="n"/>
      <c r="F3274" s="43" t="n"/>
      <c r="G3274" s="43" t="n">
        <v>40</v>
      </c>
      <c r="H3274" s="79">
        <f>(E3274/1000)*(F3274/1000)*(G3274/1000)*7850</f>
        <v/>
      </c>
      <c r="I3274" s="43" t="n">
        <v>2</v>
      </c>
      <c r="J3274" s="80">
        <f>H3274*I3274</f>
        <v/>
      </c>
      <c r="K3274" s="43" t="inlineStr">
        <is>
          <t>Z35钢；来源页230</t>
        </is>
      </c>
      <c r="L3274" s="43">
        <f>A3274</f>
        <v/>
      </c>
      <c r="M3274" s="81" t="n"/>
      <c r="N3274" s="81" t="n"/>
      <c r="O3274" s="81" t="n"/>
      <c r="P3274" s="81" t="n"/>
      <c r="Q3274" s="81" t="n"/>
      <c r="R3274" s="81" t="n"/>
      <c r="S3274" s="81" t="n"/>
      <c r="T3274" s="81" t="n"/>
      <c r="U3274" s="81" t="n"/>
      <c r="V3274" s="81" t="n"/>
      <c r="W3274" s="43" t="n"/>
    </row>
    <row r="3275">
      <c r="A3275" s="43" t="inlineStr">
        <is>
          <t>N25</t>
        </is>
      </c>
      <c r="B3275" s="43" t="inlineStr"/>
      <c r="C3275" s="43" t="inlineStr">
        <is>
          <t>节段22</t>
        </is>
      </c>
      <c r="D3275" s="43" t="inlineStr">
        <is>
          <t>Q355D</t>
        </is>
      </c>
      <c r="E3275" s="43" t="n">
        <v>1450</v>
      </c>
      <c r="F3275" s="43" t="n">
        <v>1200</v>
      </c>
      <c r="G3275" s="43" t="n">
        <v>16</v>
      </c>
      <c r="H3275" s="79">
        <f>(E3275/1000)*(F3275/1000)*(G3275/1000)*7850</f>
        <v/>
      </c>
      <c r="I3275" s="43" t="n">
        <v>1</v>
      </c>
      <c r="J3275" s="80">
        <f>H3275*I3275</f>
        <v/>
      </c>
      <c r="K3275" s="43" t="inlineStr">
        <is>
          <t>来源页230</t>
        </is>
      </c>
      <c r="L3275" s="43">
        <f>A3275</f>
        <v/>
      </c>
      <c r="M3275" s="81" t="n"/>
      <c r="N3275" s="81" t="n"/>
      <c r="O3275" s="81" t="n"/>
      <c r="P3275" s="81" t="n"/>
      <c r="Q3275" s="81" t="n"/>
      <c r="R3275" s="81" t="n"/>
      <c r="S3275" s="81" t="n"/>
      <c r="T3275" s="81" t="n"/>
      <c r="U3275" s="81" t="n"/>
      <c r="V3275" s="81" t="n"/>
      <c r="W3275" s="43" t="n"/>
    </row>
    <row r="3276">
      <c r="A3276" s="43" t="inlineStr">
        <is>
          <t>N25'</t>
        </is>
      </c>
      <c r="B3276" s="43" t="inlineStr"/>
      <c r="C3276" s="43" t="inlineStr">
        <is>
          <t>节段22</t>
        </is>
      </c>
      <c r="D3276" s="43" t="inlineStr">
        <is>
          <t>Q355D</t>
        </is>
      </c>
      <c r="E3276" s="43" t="n">
        <v>1657</v>
      </c>
      <c r="F3276" s="43" t="n">
        <v>200</v>
      </c>
      <c r="G3276" s="43" t="n">
        <v>16</v>
      </c>
      <c r="H3276" s="79">
        <f>(E3276/1000)*(F3276/1000)*(G3276/1000)*7850</f>
        <v/>
      </c>
      <c r="I3276" s="43" t="n">
        <v>5</v>
      </c>
      <c r="J3276" s="80">
        <f>H3276*I3276</f>
        <v/>
      </c>
      <c r="K3276" s="43" t="inlineStr">
        <is>
          <t>来源页230</t>
        </is>
      </c>
      <c r="L3276" s="43">
        <f>A3276</f>
        <v/>
      </c>
      <c r="M3276" s="81" t="n"/>
      <c r="N3276" s="81" t="n"/>
      <c r="O3276" s="81" t="n"/>
      <c r="P3276" s="81" t="n"/>
      <c r="Q3276" s="81" t="n"/>
      <c r="R3276" s="81" t="n"/>
      <c r="S3276" s="81" t="n"/>
      <c r="T3276" s="81" t="n"/>
      <c r="U3276" s="81" t="n"/>
      <c r="V3276" s="81" t="n"/>
      <c r="W3276" s="43" t="n"/>
    </row>
    <row r="3277">
      <c r="A3277" s="43" t="inlineStr">
        <is>
          <t>N26a</t>
        </is>
      </c>
      <c r="B3277" s="43" t="inlineStr"/>
      <c r="C3277" s="43" t="inlineStr">
        <is>
          <t>节段22</t>
        </is>
      </c>
      <c r="D3277" s="43" t="inlineStr">
        <is>
          <t>Q355D</t>
        </is>
      </c>
      <c r="E3277" s="43" t="n">
        <v>2792</v>
      </c>
      <c r="F3277" s="43" t="n">
        <v>320</v>
      </c>
      <c r="G3277" s="43" t="n">
        <v>32</v>
      </c>
      <c r="H3277" s="79">
        <f>(E3277/1000)*(F3277/1000)*(G3277/1000)*7850</f>
        <v/>
      </c>
      <c r="I3277" s="43" t="n">
        <v>2</v>
      </c>
      <c r="J3277" s="80">
        <f>H3277*I3277</f>
        <v/>
      </c>
      <c r="K3277" s="43" t="inlineStr">
        <is>
          <t>来源页230</t>
        </is>
      </c>
      <c r="L3277" s="43">
        <f>A3277</f>
        <v/>
      </c>
      <c r="M3277" s="81" t="n"/>
      <c r="N3277" s="81" t="n"/>
      <c r="O3277" s="81" t="n"/>
      <c r="P3277" s="81" t="n"/>
      <c r="Q3277" s="81" t="n"/>
      <c r="R3277" s="81" t="n"/>
      <c r="S3277" s="81" t="n"/>
      <c r="T3277" s="81" t="n"/>
      <c r="U3277" s="81" t="n"/>
      <c r="V3277" s="81" t="n"/>
      <c r="W3277" s="43" t="n"/>
    </row>
    <row r="3278">
      <c r="A3278" s="43" t="inlineStr">
        <is>
          <t>N26b</t>
        </is>
      </c>
      <c r="B3278" s="43" t="inlineStr"/>
      <c r="C3278" s="43" t="inlineStr">
        <is>
          <t>节段22</t>
        </is>
      </c>
      <c r="D3278" s="43" t="inlineStr">
        <is>
          <t>Q355D</t>
        </is>
      </c>
      <c r="E3278" s="43" t="n">
        <v>10103</v>
      </c>
      <c r="F3278" s="43" t="n">
        <v>240</v>
      </c>
      <c r="G3278" s="43" t="n">
        <v>20</v>
      </c>
      <c r="H3278" s="79">
        <f>(E3278/1000)*(F3278/1000)*(G3278/1000)*7850</f>
        <v/>
      </c>
      <c r="I3278" s="43" t="n">
        <v>2</v>
      </c>
      <c r="J3278" s="80">
        <f>H3278*I3278</f>
        <v/>
      </c>
      <c r="K3278" s="43" t="inlineStr">
        <is>
          <t>来源页230</t>
        </is>
      </c>
      <c r="L3278" s="43">
        <f>A3278</f>
        <v/>
      </c>
      <c r="M3278" s="81" t="n"/>
      <c r="N3278" s="81" t="n"/>
      <c r="O3278" s="81" t="n"/>
      <c r="P3278" s="81" t="n"/>
      <c r="Q3278" s="81" t="n"/>
      <c r="R3278" s="81" t="n"/>
      <c r="S3278" s="81" t="n"/>
      <c r="T3278" s="81" t="n"/>
      <c r="U3278" s="81" t="n"/>
      <c r="V3278" s="81" t="n"/>
      <c r="W3278" s="43" t="n"/>
    </row>
    <row r="3279">
      <c r="A3279" s="43" t="inlineStr">
        <is>
          <t>N26c</t>
        </is>
      </c>
      <c r="B3279" s="43" t="inlineStr"/>
      <c r="C3279" s="43" t="inlineStr">
        <is>
          <t>节段22</t>
        </is>
      </c>
      <c r="D3279" s="43" t="inlineStr">
        <is>
          <t>Q355D</t>
        </is>
      </c>
      <c r="E3279" s="43" t="n">
        <v>7700</v>
      </c>
      <c r="F3279" s="43" t="n">
        <v>240</v>
      </c>
      <c r="G3279" s="43" t="n">
        <v>20</v>
      </c>
      <c r="H3279" s="79">
        <f>(E3279/1000)*(F3279/1000)*(G3279/1000)*7850</f>
        <v/>
      </c>
      <c r="I3279" s="43" t="n">
        <v>2</v>
      </c>
      <c r="J3279" s="80">
        <f>H3279*I3279</f>
        <v/>
      </c>
      <c r="K3279" s="43" t="inlineStr">
        <is>
          <t>来源页230</t>
        </is>
      </c>
      <c r="L3279" s="43">
        <f>A3279</f>
        <v/>
      </c>
      <c r="M3279" s="81" t="n"/>
      <c r="N3279" s="81" t="n"/>
      <c r="O3279" s="81" t="n"/>
      <c r="P3279" s="81" t="n"/>
      <c r="Q3279" s="81" t="n"/>
      <c r="R3279" s="81" t="n"/>
      <c r="S3279" s="81" t="n"/>
      <c r="T3279" s="81" t="n"/>
      <c r="U3279" s="81" t="n"/>
      <c r="V3279" s="81" t="n"/>
      <c r="W3279" s="43" t="n"/>
    </row>
    <row r="3280">
      <c r="A3280" s="43" t="inlineStr">
        <is>
          <t>N26d</t>
        </is>
      </c>
      <c r="B3280" s="43" t="inlineStr"/>
      <c r="C3280" s="43" t="inlineStr">
        <is>
          <t>节段22</t>
        </is>
      </c>
      <c r="D3280" s="43" t="inlineStr">
        <is>
          <t>Q355D</t>
        </is>
      </c>
      <c r="E3280" s="43" t="n">
        <v>17803</v>
      </c>
      <c r="F3280" s="43" t="n">
        <v>240</v>
      </c>
      <c r="G3280" s="43" t="n">
        <v>20</v>
      </c>
      <c r="H3280" s="79">
        <f>(E3280/1000)*(F3280/1000)*(G3280/1000)*7850</f>
        <v/>
      </c>
      <c r="I3280" s="43" t="n">
        <v>2</v>
      </c>
      <c r="J3280" s="80">
        <f>H3280*I3280</f>
        <v/>
      </c>
      <c r="K3280" s="43" t="inlineStr">
        <is>
          <t>来源页230</t>
        </is>
      </c>
      <c r="L3280" s="43">
        <f>A3280</f>
        <v/>
      </c>
      <c r="M3280" s="81" t="n"/>
      <c r="N3280" s="81" t="n"/>
      <c r="O3280" s="81" t="n"/>
      <c r="P3280" s="81" t="n"/>
      <c r="Q3280" s="81" t="n"/>
      <c r="R3280" s="81" t="n"/>
      <c r="S3280" s="81" t="n"/>
      <c r="T3280" s="81" t="n"/>
      <c r="U3280" s="81" t="n"/>
      <c r="V3280" s="81" t="n"/>
      <c r="W3280" s="43" t="n"/>
    </row>
    <row r="3281">
      <c r="A3281" s="43" t="inlineStr">
        <is>
          <t>N26d'</t>
        </is>
      </c>
      <c r="B3281" s="43" t="inlineStr"/>
      <c r="C3281" s="43" t="inlineStr">
        <is>
          <t>节段22</t>
        </is>
      </c>
      <c r="D3281" s="43" t="inlineStr">
        <is>
          <t>Q355D</t>
        </is>
      </c>
      <c r="E3281" s="43" t="n">
        <v>2983</v>
      </c>
      <c r="F3281" s="43" t="n">
        <v>320</v>
      </c>
      <c r="G3281" s="43" t="n">
        <v>32</v>
      </c>
      <c r="H3281" s="79">
        <f>(E3281/1000)*(F3281/1000)*(G3281/1000)*7850</f>
        <v/>
      </c>
      <c r="I3281" s="43" t="n">
        <v>2</v>
      </c>
      <c r="J3281" s="80">
        <f>H3281*I3281</f>
        <v/>
      </c>
      <c r="K3281" s="43" t="inlineStr">
        <is>
          <t>来源页230</t>
        </is>
      </c>
      <c r="L3281" s="43">
        <f>A3281</f>
        <v/>
      </c>
      <c r="M3281" s="81" t="n"/>
      <c r="N3281" s="81" t="n"/>
      <c r="O3281" s="81" t="n"/>
      <c r="P3281" s="81" t="n"/>
      <c r="Q3281" s="81" t="n"/>
      <c r="R3281" s="81" t="n"/>
      <c r="S3281" s="81" t="n"/>
      <c r="T3281" s="81" t="n"/>
      <c r="U3281" s="81" t="n"/>
      <c r="V3281" s="81" t="n"/>
      <c r="W3281" s="43" t="n"/>
    </row>
    <row r="3282">
      <c r="A3282" s="43" t="inlineStr">
        <is>
          <t>N26e</t>
        </is>
      </c>
      <c r="B3282" s="43" t="inlineStr"/>
      <c r="C3282" s="43" t="inlineStr">
        <is>
          <t>节段22</t>
        </is>
      </c>
      <c r="D3282" s="43" t="inlineStr">
        <is>
          <t>Q355D</t>
        </is>
      </c>
      <c r="E3282" s="43" t="n">
        <v>20592</v>
      </c>
      <c r="F3282" s="43" t="n">
        <v>170</v>
      </c>
      <c r="G3282" s="43" t="n">
        <v>14</v>
      </c>
      <c r="H3282" s="79">
        <f>(E3282/1000)*(F3282/1000)*(G3282/1000)*7850</f>
        <v/>
      </c>
      <c r="I3282" s="43" t="n">
        <v>1</v>
      </c>
      <c r="J3282" s="80">
        <f>H3282*I3282</f>
        <v/>
      </c>
      <c r="K3282" s="43" t="inlineStr">
        <is>
          <t>来源页230</t>
        </is>
      </c>
      <c r="L3282" s="43">
        <f>A3282</f>
        <v/>
      </c>
      <c r="M3282" s="81" t="n"/>
      <c r="N3282" s="81" t="n"/>
      <c r="O3282" s="81" t="n"/>
      <c r="P3282" s="81" t="n"/>
      <c r="Q3282" s="81" t="n"/>
      <c r="R3282" s="81" t="n"/>
      <c r="S3282" s="81" t="n"/>
      <c r="T3282" s="81" t="n"/>
      <c r="U3282" s="81" t="n"/>
      <c r="V3282" s="81" t="n"/>
      <c r="W3282" s="43" t="n"/>
    </row>
    <row r="3283">
      <c r="A3283" s="43" t="inlineStr">
        <is>
          <t>N31</t>
        </is>
      </c>
      <c r="B3283" s="43" t="inlineStr"/>
      <c r="C3283" s="43" t="inlineStr">
        <is>
          <t>节段22</t>
        </is>
      </c>
      <c r="D3283" s="43" t="inlineStr">
        <is>
          <t>Q355D</t>
        </is>
      </c>
      <c r="E3283" s="43" t="n">
        <v>11768</v>
      </c>
      <c r="F3283" s="43" t="n">
        <v>1200</v>
      </c>
      <c r="G3283" s="43" t="n">
        <v>36</v>
      </c>
      <c r="H3283" s="79">
        <f>(E3283/1000)*(F3283/1000)*(G3283/1000)*7850</f>
        <v/>
      </c>
      <c r="I3283" s="43" t="n">
        <v>1</v>
      </c>
      <c r="J3283" s="80">
        <f>H3283*I3283</f>
        <v/>
      </c>
      <c r="K3283" s="43" t="inlineStr">
        <is>
          <t>来源页230</t>
        </is>
      </c>
      <c r="L3283" s="43">
        <f>A3283</f>
        <v/>
      </c>
      <c r="M3283" s="81" t="n"/>
      <c r="N3283" s="81" t="n"/>
      <c r="O3283" s="81" t="n"/>
      <c r="P3283" s="81" t="n"/>
      <c r="Q3283" s="81" t="n"/>
      <c r="R3283" s="81" t="n"/>
      <c r="S3283" s="81" t="n"/>
      <c r="T3283" s="81" t="n"/>
      <c r="U3283" s="81" t="n"/>
      <c r="V3283" s="81" t="n"/>
      <c r="W3283" s="43" t="n"/>
    </row>
    <row r="3284">
      <c r="A3284" s="43" t="inlineStr">
        <is>
          <t>N31a</t>
        </is>
      </c>
      <c r="B3284" s="43" t="inlineStr"/>
      <c r="C3284" s="43" t="inlineStr">
        <is>
          <t>节段22</t>
        </is>
      </c>
      <c r="D3284" s="43" t="inlineStr">
        <is>
          <t>Q355D</t>
        </is>
      </c>
      <c r="E3284" s="43" t="n">
        <v>12368</v>
      </c>
      <c r="F3284" s="43" t="n">
        <v>1200</v>
      </c>
      <c r="G3284" s="43" t="n">
        <v>36</v>
      </c>
      <c r="H3284" s="79">
        <f>(E3284/1000)*(F3284/1000)*(G3284/1000)*7850</f>
        <v/>
      </c>
      <c r="I3284" s="43" t="n">
        <v>1</v>
      </c>
      <c r="J3284" s="80">
        <f>H3284*I3284</f>
        <v/>
      </c>
      <c r="K3284" s="43" t="inlineStr">
        <is>
          <t>来源页230</t>
        </is>
      </c>
      <c r="L3284" s="43">
        <f>A3284</f>
        <v/>
      </c>
      <c r="M3284" s="81" t="n"/>
      <c r="N3284" s="81" t="n"/>
      <c r="O3284" s="81" t="n"/>
      <c r="P3284" s="81" t="n"/>
      <c r="Q3284" s="81" t="n"/>
      <c r="R3284" s="81" t="n"/>
      <c r="S3284" s="81" t="n"/>
      <c r="T3284" s="81" t="n"/>
      <c r="U3284" s="81" t="n"/>
      <c r="V3284" s="81" t="n"/>
      <c r="W3284" s="43" t="n"/>
    </row>
    <row r="3285">
      <c r="A3285" s="43" t="inlineStr">
        <is>
          <t>N32</t>
        </is>
      </c>
      <c r="B3285" s="43" t="inlineStr"/>
      <c r="C3285" s="43" t="inlineStr">
        <is>
          <t>节段22</t>
        </is>
      </c>
      <c r="D3285" s="43" t="inlineStr">
        <is>
          <t>Q355D</t>
        </is>
      </c>
      <c r="E3285" s="43" t="n">
        <v>7568</v>
      </c>
      <c r="F3285" s="43" t="n">
        <v>1360</v>
      </c>
      <c r="G3285" s="43" t="n">
        <v>36</v>
      </c>
      <c r="H3285" s="79">
        <f>(E3285/1000)*(F3285/1000)*(G3285/1000)*7850</f>
        <v/>
      </c>
      <c r="I3285" s="43" t="n">
        <v>2</v>
      </c>
      <c r="J3285" s="80">
        <f>H3285*I3285</f>
        <v/>
      </c>
      <c r="K3285" s="43" t="inlineStr">
        <is>
          <t>来源页230</t>
        </is>
      </c>
      <c r="L3285" s="43">
        <f>A3285</f>
        <v/>
      </c>
      <c r="M3285" s="81" t="n"/>
      <c r="N3285" s="81" t="n"/>
      <c r="O3285" s="81" t="n"/>
      <c r="P3285" s="81" t="n"/>
      <c r="Q3285" s="81" t="n"/>
      <c r="R3285" s="81" t="n"/>
      <c r="S3285" s="81" t="n"/>
      <c r="T3285" s="81" t="n"/>
      <c r="U3285" s="81" t="n"/>
      <c r="V3285" s="81" t="n"/>
      <c r="W3285" s="43" t="n"/>
    </row>
    <row r="3286">
      <c r="A3286" s="43" t="inlineStr">
        <is>
          <t>N33</t>
        </is>
      </c>
      <c r="B3286" s="43" t="inlineStr"/>
      <c r="C3286" s="43" t="inlineStr">
        <is>
          <t>节段22</t>
        </is>
      </c>
      <c r="D3286" s="43" t="inlineStr">
        <is>
          <t>Q355D</t>
        </is>
      </c>
      <c r="E3286" s="43" t="n">
        <v>7568</v>
      </c>
      <c r="F3286" s="43" t="n">
        <v>320</v>
      </c>
      <c r="G3286" s="43" t="n">
        <v>32</v>
      </c>
      <c r="H3286" s="79">
        <f>(E3286/1000)*(F3286/1000)*(G3286/1000)*7850</f>
        <v/>
      </c>
      <c r="I3286" s="43" t="n">
        <v>2</v>
      </c>
      <c r="J3286" s="80">
        <f>H3286*I3286</f>
        <v/>
      </c>
      <c r="K3286" s="43" t="inlineStr">
        <is>
          <t>来源页230</t>
        </is>
      </c>
      <c r="L3286" s="43">
        <f>A3286</f>
        <v/>
      </c>
      <c r="M3286" s="81" t="n"/>
      <c r="N3286" s="81" t="n"/>
      <c r="O3286" s="81" t="n"/>
      <c r="P3286" s="81" t="n"/>
      <c r="Q3286" s="81" t="n"/>
      <c r="R3286" s="81" t="n"/>
      <c r="S3286" s="81" t="n"/>
      <c r="T3286" s="81" t="n"/>
      <c r="U3286" s="81" t="n"/>
      <c r="V3286" s="81" t="n"/>
      <c r="W3286" s="43" t="n"/>
    </row>
    <row r="3287">
      <c r="A3287" s="43" t="inlineStr">
        <is>
          <t>N33a</t>
        </is>
      </c>
      <c r="B3287" s="43" t="inlineStr"/>
      <c r="C3287" s="43" t="inlineStr">
        <is>
          <t>节段22</t>
        </is>
      </c>
      <c r="D3287" s="43" t="inlineStr">
        <is>
          <t>Q355D</t>
        </is>
      </c>
      <c r="E3287" s="43" t="n">
        <v>10368</v>
      </c>
      <c r="F3287" s="43" t="n">
        <v>320</v>
      </c>
      <c r="G3287" s="43" t="n">
        <v>32</v>
      </c>
      <c r="H3287" s="79">
        <f>(E3287/1000)*(F3287/1000)*(G3287/1000)*7850</f>
        <v/>
      </c>
      <c r="I3287" s="43" t="n">
        <v>1</v>
      </c>
      <c r="J3287" s="80">
        <f>H3287*I3287</f>
        <v/>
      </c>
      <c r="K3287" s="43" t="inlineStr">
        <is>
          <t>来源页230</t>
        </is>
      </c>
      <c r="L3287" s="43">
        <f>A3287</f>
        <v/>
      </c>
      <c r="M3287" s="81" t="n"/>
      <c r="N3287" s="81" t="n"/>
      <c r="O3287" s="81" t="n"/>
      <c r="P3287" s="81" t="n"/>
      <c r="Q3287" s="81" t="n"/>
      <c r="R3287" s="81" t="n"/>
      <c r="S3287" s="81" t="n"/>
      <c r="T3287" s="81" t="n"/>
      <c r="U3287" s="81" t="n"/>
      <c r="V3287" s="81" t="n"/>
      <c r="W3287" s="43" t="n"/>
    </row>
    <row r="3288">
      <c r="A3288" s="43" t="inlineStr">
        <is>
          <t>N33b</t>
        </is>
      </c>
      <c r="B3288" s="43" t="inlineStr"/>
      <c r="C3288" s="43" t="inlineStr">
        <is>
          <t>节段22</t>
        </is>
      </c>
      <c r="D3288" s="43" t="inlineStr">
        <is>
          <t>Q355D</t>
        </is>
      </c>
      <c r="E3288" s="43" t="n">
        <v>10968</v>
      </c>
      <c r="F3288" s="43" t="n">
        <v>320</v>
      </c>
      <c r="G3288" s="43" t="n">
        <v>32</v>
      </c>
      <c r="H3288" s="79">
        <f>(E3288/1000)*(F3288/1000)*(G3288/1000)*7850</f>
        <v/>
      </c>
      <c r="I3288" s="43" t="n">
        <v>1</v>
      </c>
      <c r="J3288" s="80">
        <f>H3288*I3288</f>
        <v/>
      </c>
      <c r="K3288" s="43" t="inlineStr">
        <is>
          <t>来源页230</t>
        </is>
      </c>
      <c r="L3288" s="43">
        <f>A3288</f>
        <v/>
      </c>
      <c r="M3288" s="81" t="n"/>
      <c r="N3288" s="81" t="n"/>
      <c r="O3288" s="81" t="n"/>
      <c r="P3288" s="81" t="n"/>
      <c r="Q3288" s="81" t="n"/>
      <c r="R3288" s="81" t="n"/>
      <c r="S3288" s="81" t="n"/>
      <c r="T3288" s="81" t="n"/>
      <c r="U3288" s="81" t="n"/>
      <c r="V3288" s="81" t="n"/>
      <c r="W3288" s="43" t="n"/>
    </row>
    <row r="3289">
      <c r="A3289" s="43" t="inlineStr">
        <is>
          <t>N34</t>
        </is>
      </c>
      <c r="B3289" s="43" t="inlineStr"/>
      <c r="C3289" s="43" t="inlineStr">
        <is>
          <t>节段22</t>
        </is>
      </c>
      <c r="D3289" s="43" t="inlineStr">
        <is>
          <t>Q355D</t>
        </is>
      </c>
      <c r="E3289" s="43" t="n">
        <v>1200</v>
      </c>
      <c r="F3289" s="43" t="n">
        <v>1200</v>
      </c>
      <c r="G3289" s="43" t="n">
        <v>16</v>
      </c>
      <c r="H3289" s="79">
        <f>(E3289/1000)*(F3289/1000)*(G3289/1000)*7850</f>
        <v/>
      </c>
      <c r="I3289" s="43" t="n">
        <v>3</v>
      </c>
      <c r="J3289" s="80">
        <f>H3289*I3289</f>
        <v/>
      </c>
      <c r="K3289" s="43" t="inlineStr">
        <is>
          <t>来源页230</t>
        </is>
      </c>
      <c r="L3289" s="43">
        <f>A3289</f>
        <v/>
      </c>
      <c r="M3289" s="81" t="n"/>
      <c r="N3289" s="81" t="n"/>
      <c r="O3289" s="81" t="n"/>
      <c r="P3289" s="81" t="n"/>
      <c r="Q3289" s="81" t="n"/>
      <c r="R3289" s="81" t="n"/>
      <c r="S3289" s="81" t="n"/>
      <c r="T3289" s="81" t="n"/>
      <c r="U3289" s="81" t="n"/>
      <c r="V3289" s="81" t="n"/>
      <c r="W3289" s="43" t="n"/>
    </row>
    <row r="3290">
      <c r="A3290" s="43" t="inlineStr">
        <is>
          <t>N41</t>
        </is>
      </c>
      <c r="B3290" s="43" t="inlineStr"/>
      <c r="C3290" s="43" t="inlineStr">
        <is>
          <t>节段22</t>
        </is>
      </c>
      <c r="D3290" s="43" t="inlineStr">
        <is>
          <t>Q355D</t>
        </is>
      </c>
      <c r="E3290" s="43" t="n">
        <v>11917</v>
      </c>
      <c r="F3290" s="43" t="n">
        <v>1200</v>
      </c>
      <c r="G3290" s="43" t="n">
        <v>36</v>
      </c>
      <c r="H3290" s="79">
        <f>(E3290/1000)*(F3290/1000)*(G3290/1000)*7850</f>
        <v/>
      </c>
      <c r="I3290" s="43" t="n">
        <v>1</v>
      </c>
      <c r="J3290" s="80">
        <f>H3290*I3290</f>
        <v/>
      </c>
      <c r="K3290" s="43" t="inlineStr">
        <is>
          <t>来源页230</t>
        </is>
      </c>
      <c r="L3290" s="43">
        <f>A3290</f>
        <v/>
      </c>
      <c r="M3290" s="81" t="n"/>
      <c r="N3290" s="81" t="n"/>
      <c r="O3290" s="81" t="n"/>
      <c r="P3290" s="81" t="n"/>
      <c r="Q3290" s="81" t="n"/>
      <c r="R3290" s="81" t="n"/>
      <c r="S3290" s="81" t="n"/>
      <c r="T3290" s="81" t="n"/>
      <c r="U3290" s="81" t="n"/>
      <c r="V3290" s="81" t="n"/>
      <c r="W3290" s="43" t="n"/>
    </row>
    <row r="3291">
      <c r="A3291" s="43" t="inlineStr">
        <is>
          <t>N41a</t>
        </is>
      </c>
      <c r="B3291" s="43" t="inlineStr"/>
      <c r="C3291" s="43" t="inlineStr">
        <is>
          <t>节段22</t>
        </is>
      </c>
      <c r="D3291" s="43" t="inlineStr">
        <is>
          <t>Q355D</t>
        </is>
      </c>
      <c r="E3291" s="43" t="n">
        <v>12317</v>
      </c>
      <c r="F3291" s="43" t="n">
        <v>1200</v>
      </c>
      <c r="G3291" s="43" t="n">
        <v>36</v>
      </c>
      <c r="H3291" s="79">
        <f>(E3291/1000)*(F3291/1000)*(G3291/1000)*7850</f>
        <v/>
      </c>
      <c r="I3291" s="43" t="n">
        <v>1</v>
      </c>
      <c r="J3291" s="80">
        <f>H3291*I3291</f>
        <v/>
      </c>
      <c r="K3291" s="43" t="inlineStr">
        <is>
          <t>来源页230</t>
        </is>
      </c>
      <c r="L3291" s="43">
        <f>A3291</f>
        <v/>
      </c>
      <c r="M3291" s="81" t="n"/>
      <c r="N3291" s="81" t="n"/>
      <c r="O3291" s="81" t="n"/>
      <c r="P3291" s="81" t="n"/>
      <c r="Q3291" s="81" t="n"/>
      <c r="R3291" s="81" t="n"/>
      <c r="S3291" s="81" t="n"/>
      <c r="T3291" s="81" t="n"/>
      <c r="U3291" s="81" t="n"/>
      <c r="V3291" s="81" t="n"/>
      <c r="W3291" s="43" t="n"/>
    </row>
    <row r="3292">
      <c r="A3292" s="43" t="inlineStr">
        <is>
          <t>N42</t>
        </is>
      </c>
      <c r="B3292" s="43" t="inlineStr"/>
      <c r="C3292" s="43" t="inlineStr">
        <is>
          <t>节段22</t>
        </is>
      </c>
      <c r="D3292" s="43" t="inlineStr">
        <is>
          <t>Q355D</t>
        </is>
      </c>
      <c r="E3292" s="43" t="n">
        <v>7717</v>
      </c>
      <c r="F3292" s="43" t="n">
        <v>1360</v>
      </c>
      <c r="G3292" s="43" t="n">
        <v>36</v>
      </c>
      <c r="H3292" s="79">
        <f>(E3292/1000)*(F3292/1000)*(G3292/1000)*7850</f>
        <v/>
      </c>
      <c r="I3292" s="43" t="n">
        <v>2</v>
      </c>
      <c r="J3292" s="80">
        <f>H3292*I3292</f>
        <v/>
      </c>
      <c r="K3292" s="43" t="inlineStr">
        <is>
          <t>来源页230</t>
        </is>
      </c>
      <c r="L3292" s="43">
        <f>A3292</f>
        <v/>
      </c>
      <c r="M3292" s="81" t="n"/>
      <c r="N3292" s="81" t="n"/>
      <c r="O3292" s="81" t="n"/>
      <c r="P3292" s="81" t="n"/>
      <c r="Q3292" s="81" t="n"/>
      <c r="R3292" s="81" t="n"/>
      <c r="S3292" s="81" t="n"/>
      <c r="T3292" s="81" t="n"/>
      <c r="U3292" s="81" t="n"/>
      <c r="V3292" s="81" t="n"/>
      <c r="W3292" s="43" t="n"/>
    </row>
    <row r="3293">
      <c r="A3293" s="43" t="inlineStr">
        <is>
          <t>N43</t>
        </is>
      </c>
      <c r="B3293" s="43" t="inlineStr"/>
      <c r="C3293" s="43" t="inlineStr">
        <is>
          <t>节段22</t>
        </is>
      </c>
      <c r="D3293" s="43" t="inlineStr">
        <is>
          <t>Q355D</t>
        </is>
      </c>
      <c r="E3293" s="43" t="n">
        <v>7717</v>
      </c>
      <c r="F3293" s="43" t="n">
        <v>320</v>
      </c>
      <c r="G3293" s="43" t="n">
        <v>32</v>
      </c>
      <c r="H3293" s="79">
        <f>(E3293/1000)*(F3293/1000)*(G3293/1000)*7850</f>
        <v/>
      </c>
      <c r="I3293" s="43" t="n">
        <v>2</v>
      </c>
      <c r="J3293" s="80">
        <f>H3293*I3293</f>
        <v/>
      </c>
      <c r="K3293" s="43" t="inlineStr">
        <is>
          <t>来源页230</t>
        </is>
      </c>
      <c r="L3293" s="43">
        <f>A3293</f>
        <v/>
      </c>
      <c r="M3293" s="81" t="n"/>
      <c r="N3293" s="81" t="n"/>
      <c r="O3293" s="81" t="n"/>
      <c r="P3293" s="81" t="n"/>
      <c r="Q3293" s="81" t="n"/>
      <c r="R3293" s="81" t="n"/>
      <c r="S3293" s="81" t="n"/>
      <c r="T3293" s="81" t="n"/>
      <c r="U3293" s="81" t="n"/>
      <c r="V3293" s="81" t="n"/>
      <c r="W3293" s="43" t="n"/>
    </row>
    <row r="3294">
      <c r="A3294" s="43" t="inlineStr">
        <is>
          <t>N43a</t>
        </is>
      </c>
      <c r="B3294" s="43" t="inlineStr"/>
      <c r="C3294" s="43" t="inlineStr">
        <is>
          <t>节段22</t>
        </is>
      </c>
      <c r="D3294" s="43" t="inlineStr">
        <is>
          <t>Q355D</t>
        </is>
      </c>
      <c r="E3294" s="43" t="n">
        <v>11217</v>
      </c>
      <c r="F3294" s="43" t="n">
        <v>320</v>
      </c>
      <c r="G3294" s="43" t="n">
        <v>32</v>
      </c>
      <c r="H3294" s="79">
        <f>(E3294/1000)*(F3294/1000)*(G3294/1000)*7850</f>
        <v/>
      </c>
      <c r="I3294" s="43" t="n">
        <v>1</v>
      </c>
      <c r="J3294" s="80">
        <f>H3294*I3294</f>
        <v/>
      </c>
      <c r="K3294" s="43" t="inlineStr">
        <is>
          <t>来源页230</t>
        </is>
      </c>
      <c r="L3294" s="43">
        <f>A3294</f>
        <v/>
      </c>
      <c r="M3294" s="81" t="n"/>
      <c r="N3294" s="81" t="n"/>
      <c r="O3294" s="81" t="n"/>
      <c r="P3294" s="81" t="n"/>
      <c r="Q3294" s="81" t="n"/>
      <c r="R3294" s="81" t="n"/>
      <c r="S3294" s="81" t="n"/>
      <c r="T3294" s="81" t="n"/>
      <c r="U3294" s="81" t="n"/>
      <c r="V3294" s="81" t="n"/>
      <c r="W3294" s="43" t="n"/>
    </row>
    <row r="3295">
      <c r="A3295" s="43" t="inlineStr">
        <is>
          <t>N43b</t>
        </is>
      </c>
      <c r="B3295" s="43" t="inlineStr"/>
      <c r="C3295" s="43" t="inlineStr">
        <is>
          <t>节段22</t>
        </is>
      </c>
      <c r="D3295" s="43" t="inlineStr">
        <is>
          <t>Q355D</t>
        </is>
      </c>
      <c r="E3295" s="43" t="n">
        <v>11617</v>
      </c>
      <c r="F3295" s="43" t="n">
        <v>320</v>
      </c>
      <c r="G3295" s="43" t="n">
        <v>32</v>
      </c>
      <c r="H3295" s="79">
        <f>(E3295/1000)*(F3295/1000)*(G3295/1000)*7850</f>
        <v/>
      </c>
      <c r="I3295" s="43" t="n">
        <v>1</v>
      </c>
      <c r="J3295" s="80">
        <f>H3295*I3295</f>
        <v/>
      </c>
      <c r="K3295" s="43" t="inlineStr">
        <is>
          <t>来源页230</t>
        </is>
      </c>
      <c r="L3295" s="43">
        <f>A3295</f>
        <v/>
      </c>
      <c r="M3295" s="81" t="n"/>
      <c r="N3295" s="81" t="n"/>
      <c r="O3295" s="81" t="n"/>
      <c r="P3295" s="81" t="n"/>
      <c r="Q3295" s="81" t="n"/>
      <c r="R3295" s="81" t="n"/>
      <c r="S3295" s="81" t="n"/>
      <c r="T3295" s="81" t="n"/>
      <c r="U3295" s="81" t="n"/>
      <c r="V3295" s="81" t="n"/>
      <c r="W3295" s="43" t="n"/>
    </row>
    <row r="3296">
      <c r="A3296" s="43" t="inlineStr">
        <is>
          <t>N44</t>
        </is>
      </c>
      <c r="B3296" s="43" t="inlineStr"/>
      <c r="C3296" s="43" t="inlineStr">
        <is>
          <t>节段22</t>
        </is>
      </c>
      <c r="D3296" s="43" t="inlineStr">
        <is>
          <t>Q355D</t>
        </is>
      </c>
      <c r="E3296" s="43" t="n">
        <v>1200</v>
      </c>
      <c r="F3296" s="43" t="n">
        <v>1200</v>
      </c>
      <c r="G3296" s="43" t="n">
        <v>16</v>
      </c>
      <c r="H3296" s="79">
        <f>(E3296/1000)*(F3296/1000)*(G3296/1000)*7850</f>
        <v/>
      </c>
      <c r="I3296" s="43" t="n">
        <v>3</v>
      </c>
      <c r="J3296" s="80">
        <f>H3296*I3296</f>
        <v/>
      </c>
      <c r="K3296" s="43" t="inlineStr">
        <is>
          <t>来源页230</t>
        </is>
      </c>
      <c r="L3296" s="43">
        <f>A3296</f>
        <v/>
      </c>
      <c r="M3296" s="81" t="n"/>
      <c r="N3296" s="81" t="n"/>
      <c r="O3296" s="81" t="n"/>
      <c r="P3296" s="81" t="n"/>
      <c r="Q3296" s="81" t="n"/>
      <c r="R3296" s="81" t="n"/>
      <c r="S3296" s="81" t="n"/>
      <c r="T3296" s="81" t="n"/>
      <c r="U3296" s="81" t="n"/>
      <c r="V3296" s="81" t="n"/>
      <c r="W3296" s="43" t="n"/>
    </row>
    <row r="3297">
      <c r="A3297" s="43" t="inlineStr">
        <is>
          <t>N51</t>
        </is>
      </c>
      <c r="B3297" s="43" t="inlineStr"/>
      <c r="C3297" s="43" t="inlineStr">
        <is>
          <t>节段22</t>
        </is>
      </c>
      <c r="D3297" s="43" t="inlineStr">
        <is>
          <t>Q355D</t>
        </is>
      </c>
      <c r="E3297" s="43" t="n">
        <v>10637</v>
      </c>
      <c r="F3297" s="43" t="n">
        <v>1200</v>
      </c>
      <c r="G3297" s="43" t="n">
        <v>20</v>
      </c>
      <c r="H3297" s="79">
        <f>(E3297/1000)*(F3297/1000)*(G3297/1000)*7850</f>
        <v/>
      </c>
      <c r="I3297" s="43" t="n">
        <v>1</v>
      </c>
      <c r="J3297" s="80">
        <f>H3297*I3297</f>
        <v/>
      </c>
      <c r="K3297" s="43" t="inlineStr">
        <is>
          <t>来源页230</t>
        </is>
      </c>
      <c r="L3297" s="43">
        <f>A3297</f>
        <v/>
      </c>
      <c r="M3297" s="81" t="n"/>
      <c r="N3297" s="81" t="n"/>
      <c r="O3297" s="81" t="n"/>
      <c r="P3297" s="81" t="n"/>
      <c r="Q3297" s="81" t="n"/>
      <c r="R3297" s="81" t="n"/>
      <c r="S3297" s="81" t="n"/>
      <c r="T3297" s="81" t="n"/>
      <c r="U3297" s="81" t="n"/>
      <c r="V3297" s="81" t="n"/>
      <c r="W3297" s="43" t="n"/>
    </row>
    <row r="3298">
      <c r="A3298" s="43" t="inlineStr">
        <is>
          <t>N51a</t>
        </is>
      </c>
      <c r="B3298" s="43" t="inlineStr"/>
      <c r="C3298" s="43" t="inlineStr">
        <is>
          <t>节段22</t>
        </is>
      </c>
      <c r="D3298" s="43" t="inlineStr">
        <is>
          <t>Q355D</t>
        </is>
      </c>
      <c r="E3298" s="43" t="n">
        <v>9087</v>
      </c>
      <c r="F3298" s="43" t="n">
        <v>1200</v>
      </c>
      <c r="G3298" s="43" t="n">
        <v>20</v>
      </c>
      <c r="H3298" s="79">
        <f>(E3298/1000)*(F3298/1000)*(G3298/1000)*7850</f>
        <v/>
      </c>
      <c r="I3298" s="43" t="n">
        <v>1</v>
      </c>
      <c r="J3298" s="80">
        <f>H3298*I3298</f>
        <v/>
      </c>
      <c r="K3298" s="43" t="inlineStr">
        <is>
          <t>来源页230</t>
        </is>
      </c>
      <c r="L3298" s="43">
        <f>A3298</f>
        <v/>
      </c>
      <c r="M3298" s="81" t="n"/>
      <c r="N3298" s="81" t="n"/>
      <c r="O3298" s="81" t="n"/>
      <c r="P3298" s="81" t="n"/>
      <c r="Q3298" s="81" t="n"/>
      <c r="R3298" s="81" t="n"/>
      <c r="S3298" s="81" t="n"/>
      <c r="T3298" s="81" t="n"/>
      <c r="U3298" s="81" t="n"/>
      <c r="V3298" s="81" t="n"/>
      <c r="W3298" s="43" t="n"/>
    </row>
    <row r="3299">
      <c r="A3299" s="43" t="inlineStr">
        <is>
          <t>N52</t>
        </is>
      </c>
      <c r="B3299" s="43" t="inlineStr"/>
      <c r="C3299" s="43" t="inlineStr">
        <is>
          <t>节段22</t>
        </is>
      </c>
      <c r="D3299" s="43" t="inlineStr">
        <is>
          <t>Q355D</t>
        </is>
      </c>
      <c r="E3299" s="43" t="n">
        <v>6737</v>
      </c>
      <c r="F3299" s="43" t="n">
        <v>1500</v>
      </c>
      <c r="G3299" s="43" t="n">
        <v>20</v>
      </c>
      <c r="H3299" s="79">
        <f>(E3299/1000)*(F3299/1000)*(G3299/1000)*7850</f>
        <v/>
      </c>
      <c r="I3299" s="43" t="n">
        <v>2</v>
      </c>
      <c r="J3299" s="80">
        <f>H3299*I3299</f>
        <v/>
      </c>
      <c r="K3299" s="43" t="inlineStr">
        <is>
          <t>来源页230</t>
        </is>
      </c>
      <c r="L3299" s="43">
        <f>A3299</f>
        <v/>
      </c>
      <c r="M3299" s="81" t="n"/>
      <c r="N3299" s="81" t="n"/>
      <c r="O3299" s="81" t="n"/>
      <c r="P3299" s="81" t="n"/>
      <c r="Q3299" s="81" t="n"/>
      <c r="R3299" s="81" t="n"/>
      <c r="S3299" s="81" t="n"/>
      <c r="T3299" s="81" t="n"/>
      <c r="U3299" s="81" t="n"/>
      <c r="V3299" s="81" t="n"/>
      <c r="W3299" s="43" t="n"/>
    </row>
    <row r="3300">
      <c r="A3300" s="43" t="inlineStr">
        <is>
          <t>N54</t>
        </is>
      </c>
      <c r="B3300" s="43" t="inlineStr"/>
      <c r="C3300" s="43" t="inlineStr">
        <is>
          <t>节段22</t>
        </is>
      </c>
      <c r="D3300" s="43" t="inlineStr">
        <is>
          <t>Q355D</t>
        </is>
      </c>
      <c r="E3300" s="43" t="n">
        <v>1400</v>
      </c>
      <c r="F3300" s="43" t="n">
        <v>1200</v>
      </c>
      <c r="G3300" s="43" t="n">
        <v>16</v>
      </c>
      <c r="H3300" s="79">
        <f>(E3300/1000)*(F3300/1000)*(G3300/1000)*7850</f>
        <v/>
      </c>
      <c r="I3300" s="43" t="n">
        <v>3</v>
      </c>
      <c r="J3300" s="80">
        <f>H3300*I3300</f>
        <v/>
      </c>
      <c r="K3300" s="43" t="inlineStr">
        <is>
          <t>来源页230</t>
        </is>
      </c>
      <c r="L3300" s="43">
        <f>A3300</f>
        <v/>
      </c>
      <c r="M3300" s="81" t="n"/>
      <c r="N3300" s="81" t="n"/>
      <c r="O3300" s="81" t="n"/>
      <c r="P3300" s="81" t="n"/>
      <c r="Q3300" s="81" t="n"/>
      <c r="R3300" s="81" t="n"/>
      <c r="S3300" s="81" t="n"/>
      <c r="T3300" s="81" t="n"/>
      <c r="U3300" s="81" t="n"/>
      <c r="V3300" s="81" t="n"/>
      <c r="W3300" s="43" t="n"/>
    </row>
    <row r="3301">
      <c r="A3301" s="43" t="inlineStr">
        <is>
          <t>N53</t>
        </is>
      </c>
      <c r="B3301" s="43" t="inlineStr"/>
      <c r="C3301" s="43" t="inlineStr">
        <is>
          <t>节段22</t>
        </is>
      </c>
      <c r="D3301" s="43" t="inlineStr">
        <is>
          <t>Q355D</t>
        </is>
      </c>
      <c r="E3301" s="43" t="n">
        <v>6737</v>
      </c>
      <c r="F3301" s="43" t="n">
        <v>190</v>
      </c>
      <c r="G3301" s="43" t="n">
        <v>16</v>
      </c>
      <c r="H3301" s="79">
        <f>(E3301/1000)*(F3301/1000)*(G3301/1000)*7850</f>
        <v/>
      </c>
      <c r="I3301" s="43" t="n">
        <v>2</v>
      </c>
      <c r="J3301" s="80">
        <f>H3301*I3301</f>
        <v/>
      </c>
      <c r="K3301" s="43" t="inlineStr">
        <is>
          <t>来源页230</t>
        </is>
      </c>
      <c r="L3301" s="43">
        <f>A3301</f>
        <v/>
      </c>
      <c r="M3301" s="81" t="n"/>
      <c r="N3301" s="81" t="n"/>
      <c r="O3301" s="81" t="n"/>
      <c r="P3301" s="81" t="n"/>
      <c r="Q3301" s="81" t="n"/>
      <c r="R3301" s="81" t="n"/>
      <c r="S3301" s="81" t="n"/>
      <c r="T3301" s="81" t="n"/>
      <c r="U3301" s="81" t="n"/>
      <c r="V3301" s="81" t="n"/>
      <c r="W3301" s="43" t="n"/>
    </row>
    <row r="3302">
      <c r="A3302" s="43" t="inlineStr">
        <is>
          <t>N53a</t>
        </is>
      </c>
      <c r="B3302" s="43" t="inlineStr"/>
      <c r="C3302" s="43" t="inlineStr">
        <is>
          <t>节段22</t>
        </is>
      </c>
      <c r="D3302" s="43" t="inlineStr">
        <is>
          <t>Q355D</t>
        </is>
      </c>
      <c r="E3302" s="43" t="n">
        <v>9237</v>
      </c>
      <c r="F3302" s="43" t="n">
        <v>190</v>
      </c>
      <c r="G3302" s="43" t="n">
        <v>16</v>
      </c>
      <c r="H3302" s="79">
        <f>(E3302/1000)*(F3302/1000)*(G3302/1000)*7850</f>
        <v/>
      </c>
      <c r="I3302" s="43" t="n">
        <v>1</v>
      </c>
      <c r="J3302" s="80">
        <f>H3302*I3302</f>
        <v/>
      </c>
      <c r="K3302" s="43" t="inlineStr">
        <is>
          <t>来源页230</t>
        </is>
      </c>
      <c r="L3302" s="43">
        <f>A3302</f>
        <v/>
      </c>
      <c r="M3302" s="81" t="n"/>
      <c r="N3302" s="81" t="n"/>
      <c r="O3302" s="81" t="n"/>
      <c r="P3302" s="81" t="n"/>
      <c r="Q3302" s="81" t="n"/>
      <c r="R3302" s="81" t="n"/>
      <c r="S3302" s="81" t="n"/>
      <c r="T3302" s="81" t="n"/>
      <c r="U3302" s="81" t="n"/>
      <c r="V3302" s="81" t="n"/>
      <c r="W3302" s="43" t="n"/>
    </row>
    <row r="3303">
      <c r="A3303" s="43" t="inlineStr">
        <is>
          <t>N53b</t>
        </is>
      </c>
      <c r="B3303" s="43" t="inlineStr"/>
      <c r="C3303" s="43" t="inlineStr">
        <is>
          <t>节段22</t>
        </is>
      </c>
      <c r="D3303" s="43" t="inlineStr">
        <is>
          <t>Q355D</t>
        </is>
      </c>
      <c r="E3303" s="43" t="n">
        <v>7687</v>
      </c>
      <c r="F3303" s="43" t="n">
        <v>190</v>
      </c>
      <c r="G3303" s="43" t="n">
        <v>16</v>
      </c>
      <c r="H3303" s="79">
        <f>(E3303/1000)*(F3303/1000)*(G3303/1000)*7850</f>
        <v/>
      </c>
      <c r="I3303" s="43" t="n">
        <v>1</v>
      </c>
      <c r="J3303" s="80">
        <f>H3303*I3303</f>
        <v/>
      </c>
      <c r="K3303" s="43" t="inlineStr">
        <is>
          <t>来源页230</t>
        </is>
      </c>
      <c r="L3303" s="43">
        <f>A3303</f>
        <v/>
      </c>
      <c r="M3303" s="81" t="n"/>
      <c r="N3303" s="81" t="n"/>
      <c r="O3303" s="81" t="n"/>
      <c r="P3303" s="81" t="n"/>
      <c r="Q3303" s="81" t="n"/>
      <c r="R3303" s="81" t="n"/>
      <c r="S3303" s="81" t="n"/>
      <c r="T3303" s="81" t="n"/>
      <c r="U3303" s="81" t="n"/>
      <c r="V3303" s="81" t="n"/>
      <c r="W3303" s="43" t="n"/>
    </row>
    <row r="3304">
      <c r="A3304" s="43" t="inlineStr"/>
      <c r="B3304" s="43" t="inlineStr"/>
      <c r="C3304" s="43" t="inlineStr">
        <is>
          <t>节段22</t>
        </is>
      </c>
      <c r="D3304" s="43" t="inlineStr">
        <is>
          <t>Q355D</t>
        </is>
      </c>
      <c r="E3304" s="43" t="n"/>
      <c r="F3304" s="43" t="n"/>
      <c r="G3304" s="43" t="n">
        <v>80</v>
      </c>
      <c r="H3304" s="79">
        <f>(E3304/1000)*(F3304/1000)*(G3304/1000)*7850</f>
        <v/>
      </c>
      <c r="I3304" s="43" t="n">
        <v>2</v>
      </c>
      <c r="J3304" s="80">
        <f>H3304*I3304</f>
        <v/>
      </c>
      <c r="K3304" s="43" t="inlineStr">
        <is>
          <t>来源页230</t>
        </is>
      </c>
      <c r="L3304" s="43">
        <f>A3304</f>
        <v/>
      </c>
      <c r="M3304" s="81" t="n"/>
      <c r="N3304" s="81" t="n"/>
      <c r="O3304" s="81" t="n"/>
      <c r="P3304" s="81" t="n"/>
      <c r="Q3304" s="81" t="n"/>
      <c r="R3304" s="81" t="n"/>
      <c r="S3304" s="81" t="n"/>
      <c r="T3304" s="81" t="n"/>
      <c r="U3304" s="81" t="n"/>
      <c r="V3304" s="81" t="n"/>
      <c r="W3304" s="43" t="n"/>
    </row>
    <row r="3305">
      <c r="A3305" s="43" t="inlineStr"/>
      <c r="B3305" s="43" t="inlineStr"/>
      <c r="C3305" s="43" t="inlineStr">
        <is>
          <t>节段22</t>
        </is>
      </c>
      <c r="D3305" s="43" t="inlineStr">
        <is>
          <t>Q355D</t>
        </is>
      </c>
      <c r="E3305" s="43" t="n"/>
      <c r="F3305" s="43" t="n"/>
      <c r="G3305" s="43" t="n">
        <v>40</v>
      </c>
      <c r="H3305" s="79">
        <f>(E3305/1000)*(F3305/1000)*(G3305/1000)*7850</f>
        <v/>
      </c>
      <c r="I3305" s="43" t="n">
        <v>2</v>
      </c>
      <c r="J3305" s="80">
        <f>H3305*I3305</f>
        <v/>
      </c>
      <c r="K3305" s="43" t="inlineStr">
        <is>
          <t>来源页230</t>
        </is>
      </c>
      <c r="L3305" s="43">
        <f>A3305</f>
        <v/>
      </c>
      <c r="M3305" s="81" t="n"/>
      <c r="N3305" s="81" t="n"/>
      <c r="O3305" s="81" t="n"/>
      <c r="P3305" s="81" t="n"/>
      <c r="Q3305" s="81" t="n"/>
      <c r="R3305" s="81" t="n"/>
      <c r="S3305" s="81" t="n"/>
      <c r="T3305" s="81" t="n"/>
      <c r="U3305" s="81" t="n"/>
      <c r="V3305" s="81" t="n"/>
      <c r="W3305" s="43" t="n"/>
    </row>
    <row r="3306">
      <c r="A3306" s="43" t="inlineStr"/>
      <c r="B3306" s="43" t="inlineStr"/>
      <c r="C3306" s="43" t="inlineStr">
        <is>
          <t>节段22</t>
        </is>
      </c>
      <c r="D3306" s="43" t="inlineStr">
        <is>
          <t>Q355D</t>
        </is>
      </c>
      <c r="E3306" s="43" t="n"/>
      <c r="F3306" s="43" t="n"/>
      <c r="G3306" s="43" t="n">
        <v>36</v>
      </c>
      <c r="H3306" s="79">
        <f>(E3306/1000)*(F3306/1000)*(G3306/1000)*7850</f>
        <v/>
      </c>
      <c r="I3306" s="43" t="n">
        <v>2</v>
      </c>
      <c r="J3306" s="80">
        <f>H3306*I3306</f>
        <v/>
      </c>
      <c r="K3306" s="43" t="inlineStr">
        <is>
          <t>来源页230</t>
        </is>
      </c>
      <c r="L3306" s="43">
        <f>A3306</f>
        <v/>
      </c>
      <c r="M3306" s="81" t="n"/>
      <c r="N3306" s="81" t="n"/>
      <c r="O3306" s="81" t="n"/>
      <c r="P3306" s="81" t="n"/>
      <c r="Q3306" s="81" t="n"/>
      <c r="R3306" s="81" t="n"/>
      <c r="S3306" s="81" t="n"/>
      <c r="T3306" s="81" t="n"/>
      <c r="U3306" s="81" t="n"/>
      <c r="V3306" s="81" t="n"/>
      <c r="W3306" s="43" t="n"/>
    </row>
    <row r="3307">
      <c r="A3307" s="43" t="inlineStr"/>
      <c r="B3307" s="43" t="inlineStr"/>
      <c r="C3307" s="43" t="inlineStr">
        <is>
          <t>节段22</t>
        </is>
      </c>
      <c r="D3307" s="43" t="inlineStr">
        <is>
          <t>Q355D</t>
        </is>
      </c>
      <c r="E3307" s="43" t="n"/>
      <c r="F3307" s="43" t="n"/>
      <c r="G3307" s="43" t="n">
        <v>32</v>
      </c>
      <c r="H3307" s="79">
        <f>(E3307/1000)*(F3307/1000)*(G3307/1000)*7850</f>
        <v/>
      </c>
      <c r="I3307" s="43" t="n">
        <v>2</v>
      </c>
      <c r="J3307" s="80">
        <f>H3307*I3307</f>
        <v/>
      </c>
      <c r="K3307" s="43" t="inlineStr">
        <is>
          <t>来源页230</t>
        </is>
      </c>
      <c r="L3307" s="43">
        <f>A3307</f>
        <v/>
      </c>
      <c r="M3307" s="81" t="n"/>
      <c r="N3307" s="81" t="n"/>
      <c r="O3307" s="81" t="n"/>
      <c r="P3307" s="81" t="n"/>
      <c r="Q3307" s="81" t="n"/>
      <c r="R3307" s="81" t="n"/>
      <c r="S3307" s="81" t="n"/>
      <c r="T3307" s="81" t="n"/>
      <c r="U3307" s="81" t="n"/>
      <c r="V3307" s="81" t="n"/>
      <c r="W3307" s="43" t="n"/>
    </row>
    <row r="3308">
      <c r="A3308" s="43" t="inlineStr"/>
      <c r="B3308" s="43" t="inlineStr"/>
      <c r="C3308" s="43" t="inlineStr">
        <is>
          <t>节段22</t>
        </is>
      </c>
      <c r="D3308" s="43" t="inlineStr">
        <is>
          <t>Q355D</t>
        </is>
      </c>
      <c r="E3308" s="43" t="n"/>
      <c r="F3308" s="43" t="n"/>
      <c r="G3308" s="43" t="n">
        <v>28</v>
      </c>
      <c r="H3308" s="79">
        <f>(E3308/1000)*(F3308/1000)*(G3308/1000)*7850</f>
        <v/>
      </c>
      <c r="I3308" s="43" t="n">
        <v>2</v>
      </c>
      <c r="J3308" s="80">
        <f>H3308*I3308</f>
        <v/>
      </c>
      <c r="K3308" s="43" t="inlineStr">
        <is>
          <t>来源页230</t>
        </is>
      </c>
      <c r="L3308" s="43">
        <f>A3308</f>
        <v/>
      </c>
      <c r="M3308" s="81" t="n"/>
      <c r="N3308" s="81" t="n"/>
      <c r="O3308" s="81" t="n"/>
      <c r="P3308" s="81" t="n"/>
      <c r="Q3308" s="81" t="n"/>
      <c r="R3308" s="81" t="n"/>
      <c r="S3308" s="81" t="n"/>
      <c r="T3308" s="81" t="n"/>
      <c r="U3308" s="81" t="n"/>
      <c r="V3308" s="81" t="n"/>
      <c r="W3308" s="43" t="n"/>
    </row>
    <row r="3309">
      <c r="A3309" s="43" t="inlineStr"/>
      <c r="B3309" s="43" t="inlineStr"/>
      <c r="C3309" s="43" t="inlineStr">
        <is>
          <t>节段22</t>
        </is>
      </c>
      <c r="D3309" s="43" t="inlineStr">
        <is>
          <t>Q355D</t>
        </is>
      </c>
      <c r="E3309" s="43" t="n"/>
      <c r="F3309" s="43" t="n"/>
      <c r="G3309" s="43" t="n">
        <v>24</v>
      </c>
      <c r="H3309" s="79">
        <f>(E3309/1000)*(F3309/1000)*(G3309/1000)*7850</f>
        <v/>
      </c>
      <c r="I3309" s="43" t="n">
        <v>2</v>
      </c>
      <c r="J3309" s="80">
        <f>H3309*I3309</f>
        <v/>
      </c>
      <c r="K3309" s="43" t="inlineStr">
        <is>
          <t>来源页230</t>
        </is>
      </c>
      <c r="L3309" s="43">
        <f>A3309</f>
        <v/>
      </c>
      <c r="M3309" s="81" t="n"/>
      <c r="N3309" s="81" t="n"/>
      <c r="O3309" s="81" t="n"/>
      <c r="P3309" s="81" t="n"/>
      <c r="Q3309" s="81" t="n"/>
      <c r="R3309" s="81" t="n"/>
      <c r="S3309" s="81" t="n"/>
      <c r="T3309" s="81" t="n"/>
      <c r="U3309" s="81" t="n"/>
      <c r="V3309" s="81" t="n"/>
      <c r="W3309" s="43" t="n"/>
    </row>
    <row r="3310">
      <c r="A3310" s="43" t="inlineStr"/>
      <c r="B3310" s="43" t="inlineStr"/>
      <c r="C3310" s="43" t="inlineStr">
        <is>
          <t>节段22</t>
        </is>
      </c>
      <c r="D3310" s="43" t="inlineStr">
        <is>
          <t>Q355D</t>
        </is>
      </c>
      <c r="E3310" s="43" t="n"/>
      <c r="F3310" s="43" t="n"/>
      <c r="G3310" s="43" t="n">
        <v>20</v>
      </c>
      <c r="H3310" s="79">
        <f>(E3310/1000)*(F3310/1000)*(G3310/1000)*7850</f>
        <v/>
      </c>
      <c r="I3310" s="43" t="n">
        <v>2</v>
      </c>
      <c r="J3310" s="80">
        <f>H3310*I3310</f>
        <v/>
      </c>
      <c r="K3310" s="43" t="inlineStr">
        <is>
          <t>来源页230</t>
        </is>
      </c>
      <c r="L3310" s="43">
        <f>A3310</f>
        <v/>
      </c>
      <c r="M3310" s="81" t="n"/>
      <c r="N3310" s="81" t="n"/>
      <c r="O3310" s="81" t="n"/>
      <c r="P3310" s="81" t="n"/>
      <c r="Q3310" s="81" t="n"/>
      <c r="R3310" s="81" t="n"/>
      <c r="S3310" s="81" t="n"/>
      <c r="T3310" s="81" t="n"/>
      <c r="U3310" s="81" t="n"/>
      <c r="V3310" s="81" t="n"/>
      <c r="W3310" s="43" t="n"/>
    </row>
    <row r="3311">
      <c r="A3311" s="43" t="inlineStr"/>
      <c r="B3311" s="43" t="inlineStr"/>
      <c r="C3311" s="43" t="inlineStr">
        <is>
          <t>节段22</t>
        </is>
      </c>
      <c r="D3311" s="43" t="inlineStr">
        <is>
          <t>Q355D</t>
        </is>
      </c>
      <c r="E3311" s="43" t="n"/>
      <c r="F3311" s="43" t="n"/>
      <c r="G3311" s="43" t="n">
        <v>16</v>
      </c>
      <c r="H3311" s="79">
        <f>(E3311/1000)*(F3311/1000)*(G3311/1000)*7850</f>
        <v/>
      </c>
      <c r="I3311" s="43" t="n">
        <v>2</v>
      </c>
      <c r="J3311" s="80">
        <f>H3311*I3311</f>
        <v/>
      </c>
      <c r="K3311" s="43" t="inlineStr">
        <is>
          <t>来源页230</t>
        </is>
      </c>
      <c r="L3311" s="43">
        <f>A3311</f>
        <v/>
      </c>
      <c r="M3311" s="81" t="n"/>
      <c r="N3311" s="81" t="n"/>
      <c r="O3311" s="81" t="n"/>
      <c r="P3311" s="81" t="n"/>
      <c r="Q3311" s="81" t="n"/>
      <c r="R3311" s="81" t="n"/>
      <c r="S3311" s="81" t="n"/>
      <c r="T3311" s="81" t="n"/>
      <c r="U3311" s="81" t="n"/>
      <c r="V3311" s="81" t="n"/>
      <c r="W3311" s="43" t="n"/>
    </row>
    <row r="3312">
      <c r="A3312" s="43" t="inlineStr"/>
      <c r="B3312" s="43" t="inlineStr"/>
      <c r="C3312" s="43" t="inlineStr">
        <is>
          <t>节段22</t>
        </is>
      </c>
      <c r="D3312" s="43" t="inlineStr">
        <is>
          <t>Q355D</t>
        </is>
      </c>
      <c r="E3312" s="43" t="n"/>
      <c r="F3312" s="43" t="n"/>
      <c r="G3312" s="43" t="n">
        <v>14</v>
      </c>
      <c r="H3312" s="79">
        <f>(E3312/1000)*(F3312/1000)*(G3312/1000)*7850</f>
        <v/>
      </c>
      <c r="I3312" s="43" t="n">
        <v>2</v>
      </c>
      <c r="J3312" s="80">
        <f>H3312*I3312</f>
        <v/>
      </c>
      <c r="K3312" s="43" t="inlineStr">
        <is>
          <t>来源页230</t>
        </is>
      </c>
      <c r="L3312" s="43">
        <f>A3312</f>
        <v/>
      </c>
      <c r="M3312" s="81" t="n"/>
      <c r="N3312" s="81" t="n"/>
      <c r="O3312" s="81" t="n"/>
      <c r="P3312" s="81" t="n"/>
      <c r="Q3312" s="81" t="n"/>
      <c r="R3312" s="81" t="n"/>
      <c r="S3312" s="81" t="n"/>
      <c r="T3312" s="81" t="n"/>
      <c r="U3312" s="81" t="n"/>
      <c r="V3312" s="81" t="n"/>
      <c r="W3312" s="43" t="n"/>
    </row>
    <row r="3313">
      <c r="A3313" s="43" t="inlineStr"/>
      <c r="B3313" s="43" t="inlineStr"/>
      <c r="C3313" s="43" t="inlineStr">
        <is>
          <t>节段22</t>
        </is>
      </c>
      <c r="D3313" s="43" t="inlineStr">
        <is>
          <t>Q355D</t>
        </is>
      </c>
      <c r="E3313" s="43" t="n"/>
      <c r="F3313" s="43" t="n"/>
      <c r="G3313" s="43" t="n">
        <v>4</v>
      </c>
      <c r="H3313" s="79">
        <f>(E3313/1000)*(F3313/1000)*(G3313/1000)*7850</f>
        <v/>
      </c>
      <c r="I3313" s="43" t="n">
        <v>2</v>
      </c>
      <c r="J3313" s="80">
        <f>H3313*I3313</f>
        <v/>
      </c>
      <c r="K3313" s="43" t="inlineStr">
        <is>
          <t>来源页230</t>
        </is>
      </c>
      <c r="L3313" s="43">
        <f>A3313</f>
        <v/>
      </c>
      <c r="M3313" s="81" t="n"/>
      <c r="N3313" s="81" t="n"/>
      <c r="O3313" s="81" t="n"/>
      <c r="P3313" s="81" t="n"/>
      <c r="Q3313" s="81" t="n"/>
      <c r="R3313" s="81" t="n"/>
      <c r="S3313" s="81" t="n"/>
      <c r="T3313" s="81" t="n"/>
      <c r="U3313" s="81" t="n"/>
      <c r="V3313" s="81" t="n"/>
      <c r="W3313" s="43" t="n"/>
    </row>
    <row r="3314">
      <c r="A3314" s="43" t="inlineStr"/>
      <c r="B3314" s="43" t="inlineStr"/>
      <c r="C3314" s="43" t="inlineStr">
        <is>
          <t>节段22</t>
        </is>
      </c>
      <c r="D3314" s="43" t="inlineStr">
        <is>
          <t>Q355D</t>
        </is>
      </c>
      <c r="E3314" s="43" t="n"/>
      <c r="F3314" s="43" t="n"/>
      <c r="G3314" s="43" t="n"/>
      <c r="H3314" s="79">
        <f>(E3314/1000)*(F3314/1000)*(G3314/1000)*7850</f>
        <v/>
      </c>
      <c r="I3314" s="43" t="n">
        <v>2</v>
      </c>
      <c r="J3314" s="80">
        <f>H3314*I3314</f>
        <v/>
      </c>
      <c r="K3314" s="43" t="inlineStr">
        <is>
          <t>来源页230</t>
        </is>
      </c>
      <c r="L3314" s="43">
        <f>A3314</f>
        <v/>
      </c>
      <c r="M3314" s="81" t="n"/>
      <c r="N3314" s="81" t="n"/>
      <c r="O3314" s="81" t="n"/>
      <c r="P3314" s="81" t="n"/>
      <c r="Q3314" s="81" t="n"/>
      <c r="R3314" s="81" t="n"/>
      <c r="S3314" s="81" t="n"/>
      <c r="T3314" s="81" t="n"/>
      <c r="U3314" s="81" t="n"/>
      <c r="V3314" s="81" t="n"/>
      <c r="W3314" s="43" t="n"/>
    </row>
    <row r="3315">
      <c r="A3315" s="43" t="inlineStr"/>
      <c r="B3315" s="43" t="inlineStr"/>
      <c r="C3315" s="43" t="inlineStr">
        <is>
          <t>节段22</t>
        </is>
      </c>
      <c r="D3315" s="43" t="inlineStr">
        <is>
          <t>Q355D</t>
        </is>
      </c>
      <c r="E3315" s="43" t="n"/>
      <c r="F3315" s="43" t="n"/>
      <c r="G3315" s="43" t="n"/>
      <c r="H3315" s="79">
        <f>(E3315/1000)*(F3315/1000)*(G3315/1000)*7850</f>
        <v/>
      </c>
      <c r="I3315" s="43" t="n">
        <v>2</v>
      </c>
      <c r="J3315" s="80">
        <f>H3315*I3315</f>
        <v/>
      </c>
      <c r="K3315" s="43" t="inlineStr">
        <is>
          <t>来源页230</t>
        </is>
      </c>
      <c r="L3315" s="43">
        <f>A3315</f>
        <v/>
      </c>
      <c r="M3315" s="81" t="n"/>
      <c r="N3315" s="81" t="n"/>
      <c r="O3315" s="81" t="n"/>
      <c r="P3315" s="81" t="n"/>
      <c r="Q3315" s="81" t="n"/>
      <c r="R3315" s="81" t="n"/>
      <c r="S3315" s="81" t="n"/>
      <c r="T3315" s="81" t="n"/>
      <c r="U3315" s="81" t="n"/>
      <c r="V3315" s="81" t="n"/>
      <c r="W3315" s="43" t="n"/>
    </row>
    <row r="3316">
      <c r="A3316" s="43" t="inlineStr">
        <is>
          <t>T1</t>
        </is>
      </c>
      <c r="B3316" s="43" t="inlineStr"/>
      <c r="C3316" s="43" t="inlineStr"/>
      <c r="D3316" s="43" t="inlineStr">
        <is>
          <t>Q355D</t>
        </is>
      </c>
      <c r="E3316" s="43" t="n">
        <v>17503</v>
      </c>
      <c r="F3316" s="43" t="n">
        <v>600</v>
      </c>
      <c r="G3316" s="43" t="n">
        <v>20</v>
      </c>
      <c r="H3316" s="79">
        <f>(E3316/1000)*(F3316/1000)*(G3316/1000)*7850</f>
        <v/>
      </c>
      <c r="I3316" s="43" t="n">
        <v>228</v>
      </c>
      <c r="J3316" s="80">
        <f>H3316*I3316</f>
        <v/>
      </c>
      <c r="K3316" s="43" t="inlineStr">
        <is>
          <t>来源页233,237</t>
        </is>
      </c>
      <c r="L3316" s="43">
        <f>A3316</f>
        <v/>
      </c>
      <c r="M3316" s="81" t="n"/>
      <c r="N3316" s="81" t="n"/>
      <c r="O3316" s="81" t="n"/>
      <c r="P3316" s="81" t="n"/>
      <c r="Q3316" s="81" t="n"/>
      <c r="R3316" s="81" t="n"/>
      <c r="S3316" s="81" t="n"/>
      <c r="T3316" s="81" t="n"/>
      <c r="U3316" s="81" t="n"/>
      <c r="V3316" s="81" t="n"/>
      <c r="W3316" s="43" t="n"/>
    </row>
    <row r="3317">
      <c r="A3317" s="43" t="inlineStr">
        <is>
          <t>T2</t>
        </is>
      </c>
      <c r="B3317" s="43" t="inlineStr"/>
      <c r="C3317" s="43" t="inlineStr"/>
      <c r="D3317" s="43" t="inlineStr">
        <is>
          <t>Q355D</t>
        </is>
      </c>
      <c r="E3317" s="43" t="n">
        <v>17500</v>
      </c>
      <c r="F3317" s="43" t="n">
        <v>1955</v>
      </c>
      <c r="G3317" s="43" t="n">
        <v>14</v>
      </c>
      <c r="H3317" s="79">
        <f>(E3317/1000)*(F3317/1000)*(G3317/1000)*7850</f>
        <v/>
      </c>
      <c r="I3317" s="43" t="n">
        <v>228</v>
      </c>
      <c r="J3317" s="80">
        <f>H3317*I3317</f>
        <v/>
      </c>
      <c r="K3317" s="43" t="inlineStr">
        <is>
          <t>A=31.01；来源页233,237</t>
        </is>
      </c>
      <c r="L3317" s="43">
        <f>A3317</f>
        <v/>
      </c>
      <c r="M3317" s="81" t="n"/>
      <c r="N3317" s="81" t="n"/>
      <c r="O3317" s="81" t="n"/>
      <c r="P3317" s="81" t="n"/>
      <c r="Q3317" s="81" t="n"/>
      <c r="R3317" s="81" t="n"/>
      <c r="S3317" s="81" t="n"/>
      <c r="T3317" s="81" t="n"/>
      <c r="U3317" s="81" t="n"/>
      <c r="V3317" s="81" t="n"/>
      <c r="W3317" s="43" t="n"/>
    </row>
    <row r="3318">
      <c r="A3318" s="43" t="inlineStr">
        <is>
          <t>T3</t>
        </is>
      </c>
      <c r="B3318" s="43" t="inlineStr"/>
      <c r="C3318" s="43" t="inlineStr"/>
      <c r="D3318" s="43" t="inlineStr">
        <is>
          <t>Q355D</t>
        </is>
      </c>
      <c r="E3318" s="43" t="n">
        <v>17500</v>
      </c>
      <c r="F3318" s="43" t="n">
        <v>700</v>
      </c>
      <c r="G3318" s="43" t="n">
        <v>24</v>
      </c>
      <c r="H3318" s="79">
        <f>(E3318/1000)*(F3318/1000)*(G3318/1000)*7850</f>
        <v/>
      </c>
      <c r="I3318" s="43" t="n">
        <v>228</v>
      </c>
      <c r="J3318" s="80">
        <f>H3318*I3318</f>
        <v/>
      </c>
      <c r="K3318" s="43" t="inlineStr">
        <is>
          <t>来源页233,237</t>
        </is>
      </c>
      <c r="L3318" s="43">
        <f>A3318</f>
        <v/>
      </c>
      <c r="M3318" s="81" t="n"/>
      <c r="N3318" s="81" t="n"/>
      <c r="O3318" s="81" t="n"/>
      <c r="P3318" s="81" t="n"/>
      <c r="Q3318" s="81" t="n"/>
      <c r="R3318" s="81" t="n"/>
      <c r="S3318" s="81" t="n"/>
      <c r="T3318" s="81" t="n"/>
      <c r="U3318" s="81" t="n"/>
      <c r="V3318" s="81" t="n"/>
      <c r="W3318" s="43" t="n"/>
    </row>
    <row r="3319">
      <c r="A3319" s="43" t="inlineStr">
        <is>
          <t>T4</t>
        </is>
      </c>
      <c r="B3319" s="43" t="inlineStr"/>
      <c r="C3319" s="43" t="inlineStr"/>
      <c r="D3319" s="43" t="inlineStr">
        <is>
          <t>Q355D</t>
        </is>
      </c>
      <c r="E3319" s="43" t="n">
        <v>1510</v>
      </c>
      <c r="F3319" s="43" t="n">
        <v>150</v>
      </c>
      <c r="G3319" s="43" t="n">
        <v>12</v>
      </c>
      <c r="H3319" s="79">
        <f>(E3319/1000)*(F3319/1000)*(G3319/1000)*7850</f>
        <v/>
      </c>
      <c r="I3319" s="43" t="n">
        <v>4560</v>
      </c>
      <c r="J3319" s="80">
        <f>H3319*I3319</f>
        <v/>
      </c>
      <c r="K3319" s="43" t="inlineStr">
        <is>
          <t>A=0.21；来源页233,237</t>
        </is>
      </c>
      <c r="L3319" s="43">
        <f>A3319</f>
        <v/>
      </c>
      <c r="M3319" s="81" t="n"/>
      <c r="N3319" s="81" t="n"/>
      <c r="O3319" s="81" t="n"/>
      <c r="P3319" s="81" t="n"/>
      <c r="Q3319" s="81" t="n"/>
      <c r="R3319" s="81" t="n"/>
      <c r="S3319" s="81" t="n"/>
      <c r="T3319" s="81" t="n"/>
      <c r="U3319" s="81" t="n"/>
      <c r="V3319" s="81" t="n"/>
      <c r="W3319" s="43" t="n"/>
    </row>
    <row r="3320">
      <c r="A3320" s="43" t="inlineStr">
        <is>
          <t>T4a</t>
        </is>
      </c>
      <c r="B3320" s="43" t="inlineStr"/>
      <c r="C3320" s="43" t="inlineStr"/>
      <c r="D3320" s="43" t="inlineStr">
        <is>
          <t>Q355D</t>
        </is>
      </c>
      <c r="E3320" s="43" t="n">
        <v>1632</v>
      </c>
      <c r="F3320" s="43" t="n">
        <v>293</v>
      </c>
      <c r="G3320" s="43" t="n">
        <v>12</v>
      </c>
      <c r="H3320" s="79">
        <f>(E3320/1000)*(F3320/1000)*(G3320/1000)*7850</f>
        <v/>
      </c>
      <c r="I3320" s="43" t="n">
        <v>456</v>
      </c>
      <c r="J3320" s="80">
        <f>H3320*I3320</f>
        <v/>
      </c>
      <c r="K3320" s="43" t="inlineStr">
        <is>
          <t>A=0.33；来源页233,237</t>
        </is>
      </c>
      <c r="L3320" s="43">
        <f>A3320</f>
        <v/>
      </c>
      <c r="M3320" s="81" t="n"/>
      <c r="N3320" s="81" t="n"/>
      <c r="O3320" s="81" t="n"/>
      <c r="P3320" s="81" t="n"/>
      <c r="Q3320" s="81" t="n"/>
      <c r="R3320" s="81" t="n"/>
      <c r="S3320" s="81" t="n"/>
      <c r="T3320" s="81" t="n"/>
      <c r="U3320" s="81" t="n"/>
      <c r="V3320" s="81" t="n"/>
      <c r="W3320" s="43" t="n"/>
    </row>
    <row r="3321">
      <c r="A3321" s="43" t="inlineStr">
        <is>
          <t>T5</t>
        </is>
      </c>
      <c r="B3321" s="43" t="inlineStr"/>
      <c r="C3321" s="43" t="inlineStr"/>
      <c r="D3321" s="43" t="inlineStr">
        <is>
          <t>Q355D</t>
        </is>
      </c>
      <c r="E3321" s="43" t="n">
        <v>2380</v>
      </c>
      <c r="F3321" s="43" t="n">
        <v>600</v>
      </c>
      <c r="G3321" s="43" t="n">
        <v>12</v>
      </c>
      <c r="H3321" s="79">
        <f>(E3321/1000)*(F3321/1000)*(G3321/1000)*7850</f>
        <v/>
      </c>
      <c r="I3321" s="43" t="n">
        <v>202</v>
      </c>
      <c r="J3321" s="80">
        <f>H3321*I3321</f>
        <v/>
      </c>
      <c r="K3321" s="43" t="inlineStr">
        <is>
          <t>来源页233,237</t>
        </is>
      </c>
      <c r="L3321" s="43">
        <f>A3321</f>
        <v/>
      </c>
      <c r="M3321" s="81" t="n"/>
      <c r="N3321" s="81" t="n"/>
      <c r="O3321" s="81" t="n"/>
      <c r="P3321" s="81" t="n"/>
      <c r="Q3321" s="81" t="n"/>
      <c r="R3321" s="81" t="n"/>
      <c r="S3321" s="81" t="n"/>
      <c r="T3321" s="81" t="n"/>
      <c r="U3321" s="81" t="n"/>
      <c r="V3321" s="81" t="n"/>
      <c r="W3321" s="43" t="n"/>
    </row>
    <row r="3322">
      <c r="A3322" s="43" t="inlineStr">
        <is>
          <t>T5a</t>
        </is>
      </c>
      <c r="B3322" s="43" t="inlineStr"/>
      <c r="C3322" s="43" t="inlineStr"/>
      <c r="D3322" s="43" t="inlineStr">
        <is>
          <t>Q355D</t>
        </is>
      </c>
      <c r="E3322" s="43" t="n">
        <v>2180</v>
      </c>
      <c r="F3322" s="43" t="n">
        <v>600</v>
      </c>
      <c r="G3322" s="43" t="n">
        <v>12</v>
      </c>
      <c r="H3322" s="79">
        <f>(E3322/1000)*(F3322/1000)*(G3322/1000)*7850</f>
        <v/>
      </c>
      <c r="I3322" s="43" t="n">
        <v>20</v>
      </c>
      <c r="J3322" s="80">
        <f>H3322*I3322</f>
        <v/>
      </c>
      <c r="K3322" s="43" t="inlineStr">
        <is>
          <t>来源页233,237</t>
        </is>
      </c>
      <c r="L3322" s="43">
        <f>A3322</f>
        <v/>
      </c>
      <c r="M3322" s="81" t="n"/>
      <c r="N3322" s="81" t="n"/>
      <c r="O3322" s="81" t="n"/>
      <c r="P3322" s="81" t="n"/>
      <c r="Q3322" s="81" t="n"/>
      <c r="R3322" s="81" t="n"/>
      <c r="S3322" s="81" t="n"/>
      <c r="T3322" s="81" t="n"/>
      <c r="U3322" s="81" t="n"/>
      <c r="V3322" s="81" t="n"/>
      <c r="W3322" s="43" t="n"/>
    </row>
    <row r="3323">
      <c r="A3323" s="43" t="inlineStr">
        <is>
          <t>T5b</t>
        </is>
      </c>
      <c r="B3323" s="43" t="inlineStr"/>
      <c r="C3323" s="43" t="inlineStr"/>
      <c r="D3323" s="43" t="inlineStr">
        <is>
          <t>Q355D</t>
        </is>
      </c>
      <c r="E3323" s="43" t="n">
        <v>1880</v>
      </c>
      <c r="F3323" s="43" t="n">
        <v>600</v>
      </c>
      <c r="G3323" s="43" t="n">
        <v>12</v>
      </c>
      <c r="H3323" s="79">
        <f>(E3323/1000)*(F3323/1000)*(G3323/1000)*7850</f>
        <v/>
      </c>
      <c r="I3323" s="43" t="n">
        <v>4</v>
      </c>
      <c r="J3323" s="80">
        <f>H3323*I3323</f>
        <v/>
      </c>
      <c r="K3323" s="43" t="inlineStr">
        <is>
          <t>来源页233,237</t>
        </is>
      </c>
      <c r="L3323" s="43">
        <f>A3323</f>
        <v/>
      </c>
      <c r="M3323" s="81" t="n"/>
      <c r="N3323" s="81" t="n"/>
      <c r="O3323" s="81" t="n"/>
      <c r="P3323" s="81" t="n"/>
      <c r="Q3323" s="81" t="n"/>
      <c r="R3323" s="81" t="n"/>
      <c r="S3323" s="81" t="n"/>
      <c r="T3323" s="81" t="n"/>
      <c r="U3323" s="81" t="n"/>
      <c r="V3323" s="81" t="n"/>
      <c r="W3323" s="43" t="n"/>
    </row>
    <row r="3324">
      <c r="A3324" s="43" t="inlineStr">
        <is>
          <t>T5c</t>
        </is>
      </c>
      <c r="B3324" s="43" t="inlineStr"/>
      <c r="C3324" s="43" t="inlineStr"/>
      <c r="D3324" s="43" t="inlineStr">
        <is>
          <t>Q355D</t>
        </is>
      </c>
      <c r="E3324" s="43" t="n">
        <v>1472</v>
      </c>
      <c r="F3324" s="43" t="n">
        <v>600</v>
      </c>
      <c r="G3324" s="43" t="n">
        <v>12</v>
      </c>
      <c r="H3324" s="79">
        <f>(E3324/1000)*(F3324/1000)*(G3324/1000)*7850</f>
        <v/>
      </c>
      <c r="I3324" s="43" t="n">
        <v>4</v>
      </c>
      <c r="J3324" s="80">
        <f>H3324*I3324</f>
        <v/>
      </c>
      <c r="K3324" s="43" t="inlineStr">
        <is>
          <t>来源页233,237</t>
        </is>
      </c>
      <c r="L3324" s="43">
        <f>A3324</f>
        <v/>
      </c>
      <c r="M3324" s="81" t="n"/>
      <c r="N3324" s="81" t="n"/>
      <c r="O3324" s="81" t="n"/>
      <c r="P3324" s="81" t="n"/>
      <c r="Q3324" s="81" t="n"/>
      <c r="R3324" s="81" t="n"/>
      <c r="S3324" s="81" t="n"/>
      <c r="T3324" s="81" t="n"/>
      <c r="U3324" s="81" t="n"/>
      <c r="V3324" s="81" t="n"/>
      <c r="W3324" s="43" t="n"/>
    </row>
    <row r="3325">
      <c r="A3325" s="43" t="inlineStr">
        <is>
          <t>T6</t>
        </is>
      </c>
      <c r="B3325" s="43" t="inlineStr"/>
      <c r="C3325" s="43" t="inlineStr"/>
      <c r="D3325" s="43" t="inlineStr">
        <is>
          <t>Q355D</t>
        </is>
      </c>
      <c r="E3325" s="43" t="n">
        <v>2380</v>
      </c>
      <c r="F3325" s="43" t="n">
        <v>500</v>
      </c>
      <c r="G3325" s="43" t="n">
        <v>12</v>
      </c>
      <c r="H3325" s="79">
        <f>(E3325/1000)*(F3325/1000)*(G3325/1000)*7850</f>
        <v/>
      </c>
      <c r="I3325" s="43" t="n">
        <v>202</v>
      </c>
      <c r="J3325" s="80">
        <f>H3325*I3325</f>
        <v/>
      </c>
      <c r="K3325" s="43" t="inlineStr">
        <is>
          <t>来源页233,237</t>
        </is>
      </c>
      <c r="L3325" s="43">
        <f>A3325</f>
        <v/>
      </c>
      <c r="M3325" s="81" t="n"/>
      <c r="N3325" s="81" t="n"/>
      <c r="O3325" s="81" t="n"/>
      <c r="P3325" s="81" t="n"/>
      <c r="Q3325" s="81" t="n"/>
      <c r="R3325" s="81" t="n"/>
      <c r="S3325" s="81" t="n"/>
      <c r="T3325" s="81" t="n"/>
      <c r="U3325" s="81" t="n"/>
      <c r="V3325" s="81" t="n"/>
      <c r="W3325" s="43" t="n"/>
    </row>
    <row r="3326">
      <c r="A3326" s="43" t="inlineStr">
        <is>
          <t>T6a</t>
        </is>
      </c>
      <c r="B3326" s="43" t="inlineStr"/>
      <c r="C3326" s="43" t="inlineStr"/>
      <c r="D3326" s="43" t="inlineStr">
        <is>
          <t>Q355D</t>
        </is>
      </c>
      <c r="E3326" s="43" t="n">
        <v>2180</v>
      </c>
      <c r="F3326" s="43" t="n">
        <v>500</v>
      </c>
      <c r="G3326" s="43" t="n">
        <v>12</v>
      </c>
      <c r="H3326" s="79">
        <f>(E3326/1000)*(F3326/1000)*(G3326/1000)*7850</f>
        <v/>
      </c>
      <c r="I3326" s="43" t="n">
        <v>20</v>
      </c>
      <c r="J3326" s="80">
        <f>H3326*I3326</f>
        <v/>
      </c>
      <c r="K3326" s="43" t="inlineStr">
        <is>
          <t>来源页233,237</t>
        </is>
      </c>
      <c r="L3326" s="43">
        <f>A3326</f>
        <v/>
      </c>
      <c r="M3326" s="81" t="n"/>
      <c r="N3326" s="81" t="n"/>
      <c r="O3326" s="81" t="n"/>
      <c r="P3326" s="81" t="n"/>
      <c r="Q3326" s="81" t="n"/>
      <c r="R3326" s="81" t="n"/>
      <c r="S3326" s="81" t="n"/>
      <c r="T3326" s="81" t="n"/>
      <c r="U3326" s="81" t="n"/>
      <c r="V3326" s="81" t="n"/>
      <c r="W3326" s="43" t="n"/>
    </row>
    <row r="3327">
      <c r="A3327" s="43" t="inlineStr">
        <is>
          <t>T6b</t>
        </is>
      </c>
      <c r="B3327" s="43" t="inlineStr"/>
      <c r="C3327" s="43" t="inlineStr"/>
      <c r="D3327" s="43" t="inlineStr">
        <is>
          <t>Q355D</t>
        </is>
      </c>
      <c r="E3327" s="43" t="n">
        <v>1880</v>
      </c>
      <c r="F3327" s="43" t="n">
        <v>500</v>
      </c>
      <c r="G3327" s="43" t="n">
        <v>12</v>
      </c>
      <c r="H3327" s="79">
        <f>(E3327/1000)*(F3327/1000)*(G3327/1000)*7850</f>
        <v/>
      </c>
      <c r="I3327" s="43" t="n">
        <v>4</v>
      </c>
      <c r="J3327" s="80">
        <f>H3327*I3327</f>
        <v/>
      </c>
      <c r="K3327" s="43" t="inlineStr">
        <is>
          <t>来源页233,237</t>
        </is>
      </c>
      <c r="L3327" s="43">
        <f>A3327</f>
        <v/>
      </c>
      <c r="M3327" s="81" t="n"/>
      <c r="N3327" s="81" t="n"/>
      <c r="O3327" s="81" t="n"/>
      <c r="P3327" s="81" t="n"/>
      <c r="Q3327" s="81" t="n"/>
      <c r="R3327" s="81" t="n"/>
      <c r="S3327" s="81" t="n"/>
      <c r="T3327" s="81" t="n"/>
      <c r="U3327" s="81" t="n"/>
      <c r="V3327" s="81" t="n"/>
      <c r="W3327" s="43" t="n"/>
    </row>
    <row r="3328">
      <c r="A3328" s="43" t="inlineStr">
        <is>
          <t>T6c</t>
        </is>
      </c>
      <c r="B3328" s="43" t="inlineStr"/>
      <c r="C3328" s="43" t="inlineStr"/>
      <c r="D3328" s="43" t="inlineStr">
        <is>
          <t>Q355D</t>
        </is>
      </c>
      <c r="E3328" s="43" t="n">
        <v>1472</v>
      </c>
      <c r="F3328" s="43" t="n">
        <v>500</v>
      </c>
      <c r="G3328" s="43" t="n">
        <v>12</v>
      </c>
      <c r="H3328" s="79">
        <f>(E3328/1000)*(F3328/1000)*(G3328/1000)*7850</f>
        <v/>
      </c>
      <c r="I3328" s="43" t="n">
        <v>4</v>
      </c>
      <c r="J3328" s="80">
        <f>H3328*I3328</f>
        <v/>
      </c>
      <c r="K3328" s="43" t="inlineStr">
        <is>
          <t>来源页233,237</t>
        </is>
      </c>
      <c r="L3328" s="43">
        <f>A3328</f>
        <v/>
      </c>
      <c r="M3328" s="81" t="n"/>
      <c r="N3328" s="81" t="n"/>
      <c r="O3328" s="81" t="n"/>
      <c r="P3328" s="81" t="n"/>
      <c r="Q3328" s="81" t="n"/>
      <c r="R3328" s="81" t="n"/>
      <c r="S3328" s="81" t="n"/>
      <c r="T3328" s="81" t="n"/>
      <c r="U3328" s="81" t="n"/>
      <c r="V3328" s="81" t="n"/>
      <c r="W3328" s="43" t="n"/>
    </row>
    <row r="3329">
      <c r="A3329" s="43" t="inlineStr">
        <is>
          <t>T7</t>
        </is>
      </c>
      <c r="B3329" s="43" t="inlineStr"/>
      <c r="C3329" s="43" t="inlineStr"/>
      <c r="D3329" s="43" t="inlineStr">
        <is>
          <t>Q355D</t>
        </is>
      </c>
      <c r="E3329" s="43" t="n">
        <v>2380</v>
      </c>
      <c r="F3329" s="43" t="n">
        <v>300</v>
      </c>
      <c r="G3329" s="43" t="n">
        <v>12</v>
      </c>
      <c r="H3329" s="79">
        <f>(E3329/1000)*(F3329/1000)*(G3329/1000)*7850</f>
        <v/>
      </c>
      <c r="I3329" s="43" t="n">
        <v>202</v>
      </c>
      <c r="J3329" s="80">
        <f>H3329*I3329</f>
        <v/>
      </c>
      <c r="K3329" s="43" t="inlineStr">
        <is>
          <t>来源页233,237</t>
        </is>
      </c>
      <c r="L3329" s="43">
        <f>A3329</f>
        <v/>
      </c>
      <c r="M3329" s="81" t="n"/>
      <c r="N3329" s="81" t="n"/>
      <c r="O3329" s="81" t="n"/>
      <c r="P3329" s="81" t="n"/>
      <c r="Q3329" s="81" t="n"/>
      <c r="R3329" s="81" t="n"/>
      <c r="S3329" s="81" t="n"/>
      <c r="T3329" s="81" t="n"/>
      <c r="U3329" s="81" t="n"/>
      <c r="V3329" s="81" t="n"/>
      <c r="W3329" s="43" t="n"/>
    </row>
    <row r="3330">
      <c r="A3330" s="43" t="inlineStr">
        <is>
          <t>T7a</t>
        </is>
      </c>
      <c r="B3330" s="43" t="inlineStr"/>
      <c r="C3330" s="43" t="inlineStr"/>
      <c r="D3330" s="43" t="inlineStr">
        <is>
          <t>Q355D</t>
        </is>
      </c>
      <c r="E3330" s="43" t="n">
        <v>2180</v>
      </c>
      <c r="F3330" s="43" t="n">
        <v>300</v>
      </c>
      <c r="G3330" s="43" t="n">
        <v>12</v>
      </c>
      <c r="H3330" s="79">
        <f>(E3330/1000)*(F3330/1000)*(G3330/1000)*7850</f>
        <v/>
      </c>
      <c r="I3330" s="43" t="n">
        <v>20</v>
      </c>
      <c r="J3330" s="80">
        <f>H3330*I3330</f>
        <v/>
      </c>
      <c r="K3330" s="43" t="inlineStr">
        <is>
          <t>来源页233,237</t>
        </is>
      </c>
      <c r="L3330" s="43">
        <f>A3330</f>
        <v/>
      </c>
      <c r="M3330" s="81" t="n"/>
      <c r="N3330" s="81" t="n"/>
      <c r="O3330" s="81" t="n"/>
      <c r="P3330" s="81" t="n"/>
      <c r="Q3330" s="81" t="n"/>
      <c r="R3330" s="81" t="n"/>
      <c r="S3330" s="81" t="n"/>
      <c r="T3330" s="81" t="n"/>
      <c r="U3330" s="81" t="n"/>
      <c r="V3330" s="81" t="n"/>
      <c r="W3330" s="43" t="n"/>
    </row>
    <row r="3331">
      <c r="A3331" s="43" t="inlineStr">
        <is>
          <t>T7b</t>
        </is>
      </c>
      <c r="B3331" s="43" t="inlineStr"/>
      <c r="C3331" s="43" t="inlineStr"/>
      <c r="D3331" s="43" t="inlineStr">
        <is>
          <t>Q355D</t>
        </is>
      </c>
      <c r="E3331" s="43" t="n">
        <v>1880</v>
      </c>
      <c r="F3331" s="43" t="n">
        <v>300</v>
      </c>
      <c r="G3331" s="43" t="n">
        <v>12</v>
      </c>
      <c r="H3331" s="79">
        <f>(E3331/1000)*(F3331/1000)*(G3331/1000)*7850</f>
        <v/>
      </c>
      <c r="I3331" s="43" t="n">
        <v>4</v>
      </c>
      <c r="J3331" s="80">
        <f>H3331*I3331</f>
        <v/>
      </c>
      <c r="K3331" s="43" t="inlineStr">
        <is>
          <t>来源页233,237</t>
        </is>
      </c>
      <c r="L3331" s="43">
        <f>A3331</f>
        <v/>
      </c>
      <c r="M3331" s="81" t="n"/>
      <c r="N3331" s="81" t="n"/>
      <c r="O3331" s="81" t="n"/>
      <c r="P3331" s="81" t="n"/>
      <c r="Q3331" s="81" t="n"/>
      <c r="R3331" s="81" t="n"/>
      <c r="S3331" s="81" t="n"/>
      <c r="T3331" s="81" t="n"/>
      <c r="U3331" s="81" t="n"/>
      <c r="V3331" s="81" t="n"/>
      <c r="W3331" s="43" t="n"/>
    </row>
    <row r="3332">
      <c r="A3332" s="43" t="inlineStr">
        <is>
          <t>T7c</t>
        </is>
      </c>
      <c r="B3332" s="43" t="inlineStr"/>
      <c r="C3332" s="43" t="inlineStr"/>
      <c r="D3332" s="43" t="inlineStr">
        <is>
          <t>Q355D</t>
        </is>
      </c>
      <c r="E3332" s="43" t="n">
        <v>1472</v>
      </c>
      <c r="F3332" s="43" t="n">
        <v>300</v>
      </c>
      <c r="G3332" s="43" t="n">
        <v>12</v>
      </c>
      <c r="H3332" s="79">
        <f>(E3332/1000)*(F3332/1000)*(G3332/1000)*7850</f>
        <v/>
      </c>
      <c r="I3332" s="43" t="n">
        <v>4</v>
      </c>
      <c r="J3332" s="80">
        <f>H3332*I3332</f>
        <v/>
      </c>
      <c r="K3332" s="43" t="inlineStr">
        <is>
          <t>来源页233,237</t>
        </is>
      </c>
      <c r="L3332" s="43">
        <f>A3332</f>
        <v/>
      </c>
      <c r="M3332" s="81" t="n"/>
      <c r="N3332" s="81" t="n"/>
      <c r="O3332" s="81" t="n"/>
      <c r="P3332" s="81" t="n"/>
      <c r="Q3332" s="81" t="n"/>
      <c r="R3332" s="81" t="n"/>
      <c r="S3332" s="81" t="n"/>
      <c r="T3332" s="81" t="n"/>
      <c r="U3332" s="81" t="n"/>
      <c r="V3332" s="81" t="n"/>
      <c r="W3332" s="43" t="n"/>
    </row>
    <row r="3333">
      <c r="A3333" s="43" t="inlineStr">
        <is>
          <t>T21</t>
        </is>
      </c>
      <c r="B3333" s="43" t="inlineStr"/>
      <c r="C3333" s="43" t="inlineStr"/>
      <c r="D3333" s="43" t="inlineStr">
        <is>
          <t>Q355D</t>
        </is>
      </c>
      <c r="E3333" s="43" t="n">
        <v>17503</v>
      </c>
      <c r="F3333" s="43" t="n">
        <v>1758</v>
      </c>
      <c r="G3333" s="43" t="n">
        <v>20</v>
      </c>
      <c r="H3333" s="79">
        <f>(E3333/1000)*(F3333/1000)*(G3333/1000)*7850</f>
        <v/>
      </c>
      <c r="I3333" s="43" t="n">
        <v>4</v>
      </c>
      <c r="J3333" s="80">
        <f>H3333*I3333</f>
        <v/>
      </c>
      <c r="K3333" s="43" t="inlineStr">
        <is>
          <t>A=26.43；来源页233,237</t>
        </is>
      </c>
      <c r="L3333" s="43">
        <f>A3333</f>
        <v/>
      </c>
      <c r="M3333" s="81" t="n"/>
      <c r="N3333" s="81" t="n"/>
      <c r="O3333" s="81" t="n"/>
      <c r="P3333" s="81" t="n"/>
      <c r="Q3333" s="81" t="n"/>
      <c r="R3333" s="81" t="n"/>
      <c r="S3333" s="81" t="n"/>
      <c r="T3333" s="81" t="n"/>
      <c r="U3333" s="81" t="n"/>
      <c r="V3333" s="81" t="n"/>
      <c r="W3333" s="43" t="n"/>
    </row>
    <row r="3334">
      <c r="A3334" s="43" t="inlineStr">
        <is>
          <t>T22</t>
        </is>
      </c>
      <c r="B3334" s="43" t="inlineStr"/>
      <c r="C3334" s="43" t="inlineStr"/>
      <c r="D3334" s="43" t="inlineStr">
        <is>
          <t>Q355D</t>
        </is>
      </c>
      <c r="E3334" s="43" t="n">
        <v>17500</v>
      </c>
      <c r="F3334" s="43" t="n">
        <v>1955</v>
      </c>
      <c r="G3334" s="43" t="n">
        <v>20</v>
      </c>
      <c r="H3334" s="79">
        <f>(E3334/1000)*(F3334/1000)*(G3334/1000)*7850</f>
        <v/>
      </c>
      <c r="I3334" s="43" t="n">
        <v>4</v>
      </c>
      <c r="J3334" s="80">
        <f>H3334*I3334</f>
        <v/>
      </c>
      <c r="K3334" s="43" t="inlineStr">
        <is>
          <t>A=31.01；来源页233,237</t>
        </is>
      </c>
      <c r="L3334" s="43">
        <f>A3334</f>
        <v/>
      </c>
      <c r="M3334" s="81" t="n"/>
      <c r="N3334" s="81" t="n"/>
      <c r="O3334" s="81" t="n"/>
      <c r="P3334" s="81" t="n"/>
      <c r="Q3334" s="81" t="n"/>
      <c r="R3334" s="81" t="n"/>
      <c r="S3334" s="81" t="n"/>
      <c r="T3334" s="81" t="n"/>
      <c r="U3334" s="81" t="n"/>
      <c r="V3334" s="81" t="n"/>
      <c r="W3334" s="43" t="n"/>
    </row>
    <row r="3335">
      <c r="A3335" s="43" t="inlineStr">
        <is>
          <t>T22'</t>
        </is>
      </c>
      <c r="B3335" s="43" t="inlineStr"/>
      <c r="C3335" s="43" t="inlineStr"/>
      <c r="D3335" s="43" t="inlineStr">
        <is>
          <t>Q355D</t>
        </is>
      </c>
      <c r="E3335" s="43" t="n">
        <v>17500</v>
      </c>
      <c r="F3335" s="43" t="n">
        <v>1955</v>
      </c>
      <c r="G3335" s="43" t="n">
        <v>20</v>
      </c>
      <c r="H3335" s="79">
        <f>(E3335/1000)*(F3335/1000)*(G3335/1000)*7850</f>
        <v/>
      </c>
      <c r="I3335" s="43" t="n">
        <v>4</v>
      </c>
      <c r="J3335" s="80">
        <f>H3335*I3335</f>
        <v/>
      </c>
      <c r="K3335" s="43" t="inlineStr">
        <is>
          <t>A=30.56；来源页233,237</t>
        </is>
      </c>
      <c r="L3335" s="43">
        <f>A3335</f>
        <v/>
      </c>
      <c r="M3335" s="81" t="n"/>
      <c r="N3335" s="81" t="n"/>
      <c r="O3335" s="81" t="n"/>
      <c r="P3335" s="81" t="n"/>
      <c r="Q3335" s="81" t="n"/>
      <c r="R3335" s="81" t="n"/>
      <c r="S3335" s="81" t="n"/>
      <c r="T3335" s="81" t="n"/>
      <c r="U3335" s="81" t="n"/>
      <c r="V3335" s="81" t="n"/>
      <c r="W3335" s="43" t="n"/>
    </row>
    <row r="3336">
      <c r="A3336" s="43" t="inlineStr">
        <is>
          <t>T23</t>
        </is>
      </c>
      <c r="B3336" s="43" t="inlineStr"/>
      <c r="C3336" s="43" t="inlineStr"/>
      <c r="D3336" s="43" t="inlineStr">
        <is>
          <t>Q355D</t>
        </is>
      </c>
      <c r="E3336" s="43" t="n">
        <v>17500</v>
      </c>
      <c r="F3336" s="43" t="n">
        <v>1500</v>
      </c>
      <c r="G3336" s="43" t="n">
        <v>24</v>
      </c>
      <c r="H3336" s="79">
        <f>(E3336/1000)*(F3336/1000)*(G3336/1000)*7850</f>
        <v/>
      </c>
      <c r="I3336" s="43" t="n">
        <v>4</v>
      </c>
      <c r="J3336" s="80">
        <f>H3336*I3336</f>
        <v/>
      </c>
      <c r="K3336" s="43" t="inlineStr">
        <is>
          <t>来源页233,237</t>
        </is>
      </c>
      <c r="L3336" s="43">
        <f>A3336</f>
        <v/>
      </c>
      <c r="M3336" s="81" t="n"/>
      <c r="N3336" s="81" t="n"/>
      <c r="O3336" s="81" t="n"/>
      <c r="P3336" s="81" t="n"/>
      <c r="Q3336" s="81" t="n"/>
      <c r="R3336" s="81" t="n"/>
      <c r="S3336" s="81" t="n"/>
      <c r="T3336" s="81" t="n"/>
      <c r="U3336" s="81" t="n"/>
      <c r="V3336" s="81" t="n"/>
      <c r="W3336" s="43" t="n"/>
    </row>
    <row r="3337">
      <c r="A3337" s="43" t="inlineStr">
        <is>
          <t>T24</t>
        </is>
      </c>
      <c r="B3337" s="43" t="inlineStr"/>
      <c r="C3337" s="43" t="inlineStr"/>
      <c r="D3337" s="43" t="inlineStr">
        <is>
          <t>Q355D</t>
        </is>
      </c>
      <c r="E3337" s="43" t="n">
        <v>1510</v>
      </c>
      <c r="F3337" s="43" t="n">
        <v>220</v>
      </c>
      <c r="G3337" s="43" t="n">
        <v>16</v>
      </c>
      <c r="H3337" s="79">
        <f>(E3337/1000)*(F3337/1000)*(G3337/1000)*7850</f>
        <v/>
      </c>
      <c r="I3337" s="43" t="n">
        <v>48</v>
      </c>
      <c r="J3337" s="80">
        <f>H3337*I3337</f>
        <v/>
      </c>
      <c r="K3337" s="43" t="inlineStr">
        <is>
          <t>A=0.31；来源页233,237</t>
        </is>
      </c>
      <c r="L3337" s="43">
        <f>A3337</f>
        <v/>
      </c>
      <c r="M3337" s="81" t="n"/>
      <c r="N3337" s="81" t="n"/>
      <c r="O3337" s="81" t="n"/>
      <c r="P3337" s="81" t="n"/>
      <c r="Q3337" s="81" t="n"/>
      <c r="R3337" s="81" t="n"/>
      <c r="S3337" s="81" t="n"/>
      <c r="T3337" s="81" t="n"/>
      <c r="U3337" s="81" t="n"/>
      <c r="V3337" s="81" t="n"/>
      <c r="W3337" s="43" t="n"/>
    </row>
    <row r="3338">
      <c r="A3338" s="43" t="inlineStr">
        <is>
          <t>T25</t>
        </is>
      </c>
      <c r="B3338" s="43" t="inlineStr"/>
      <c r="C3338" s="43" t="inlineStr"/>
      <c r="D3338" s="43" t="inlineStr">
        <is>
          <t>Q355D</t>
        </is>
      </c>
      <c r="E3338" s="43" t="n">
        <v>1396</v>
      </c>
      <c r="F3338" s="43" t="n">
        <v>1782</v>
      </c>
      <c r="G3338" s="43" t="n">
        <v>12</v>
      </c>
      <c r="H3338" s="79">
        <f>(E3338/1000)*(F3338/1000)*(G3338/1000)*7850</f>
        <v/>
      </c>
      <c r="I3338" s="43" t="n">
        <v>20</v>
      </c>
      <c r="J3338" s="80">
        <f>H3338*I3338</f>
        <v/>
      </c>
      <c r="K3338" s="43" t="inlineStr">
        <is>
          <t>A=2.23；来源页233,237</t>
        </is>
      </c>
      <c r="L3338" s="43">
        <f>A3338</f>
        <v/>
      </c>
      <c r="M3338" s="81" t="n"/>
      <c r="N3338" s="81" t="n"/>
      <c r="O3338" s="81" t="n"/>
      <c r="P3338" s="81" t="n"/>
      <c r="Q3338" s="81" t="n"/>
      <c r="R3338" s="81" t="n"/>
      <c r="S3338" s="81" t="n"/>
      <c r="T3338" s="81" t="n"/>
      <c r="U3338" s="81" t="n"/>
      <c r="V3338" s="81" t="n"/>
      <c r="W3338" s="43" t="n"/>
    </row>
    <row r="3339">
      <c r="A3339" s="43" t="inlineStr">
        <is>
          <t>T26</t>
        </is>
      </c>
      <c r="B3339" s="43" t="inlineStr"/>
      <c r="C3339" s="43" t="inlineStr"/>
      <c r="D3339" s="43" t="inlineStr">
        <is>
          <t>Q355D</t>
        </is>
      </c>
      <c r="E3339" s="43" t="n">
        <v>2018</v>
      </c>
      <c r="F3339" s="43" t="n">
        <v>160</v>
      </c>
      <c r="G3339" s="43" t="n">
        <v>12</v>
      </c>
      <c r="H3339" s="79">
        <f>(E3339/1000)*(F3339/1000)*(G3339/1000)*7850</f>
        <v/>
      </c>
      <c r="I3339" s="43" t="n">
        <v>20</v>
      </c>
      <c r="J3339" s="80">
        <f>H3339*I3339</f>
        <v/>
      </c>
      <c r="K3339" s="43" t="inlineStr">
        <is>
          <t>来源页233,237</t>
        </is>
      </c>
      <c r="L3339" s="43">
        <f>A3339</f>
        <v/>
      </c>
      <c r="M3339" s="81" t="n"/>
      <c r="N3339" s="81" t="n"/>
      <c r="O3339" s="81" t="n"/>
      <c r="P3339" s="81" t="n"/>
      <c r="Q3339" s="81" t="n"/>
      <c r="R3339" s="81" t="n"/>
      <c r="S3339" s="81" t="n"/>
      <c r="T3339" s="81" t="n"/>
      <c r="U3339" s="81" t="n"/>
      <c r="V3339" s="81" t="n"/>
      <c r="W3339" s="43" t="n"/>
    </row>
    <row r="3340">
      <c r="A3340" s="43" t="inlineStr">
        <is>
          <t>T27</t>
        </is>
      </c>
      <c r="B3340" s="43" t="inlineStr"/>
      <c r="C3340" s="43" t="inlineStr"/>
      <c r="D3340" s="43" t="inlineStr">
        <is>
          <t>Q355D</t>
        </is>
      </c>
      <c r="E3340" s="43" t="n">
        <v>784</v>
      </c>
      <c r="F3340" s="43" t="n">
        <v>292</v>
      </c>
      <c r="G3340" s="43" t="n">
        <v>12</v>
      </c>
      <c r="H3340" s="79">
        <f>(E3340/1000)*(F3340/1000)*(G3340/1000)*7850</f>
        <v/>
      </c>
      <c r="I3340" s="43" t="n">
        <v>4</v>
      </c>
      <c r="J3340" s="80">
        <f>H3340*I3340</f>
        <v/>
      </c>
      <c r="K3340" s="43" t="inlineStr">
        <is>
          <t>A=0.2；来源页233,237</t>
        </is>
      </c>
      <c r="L3340" s="43">
        <f>A3340</f>
        <v/>
      </c>
      <c r="M3340" s="81" t="n"/>
      <c r="N3340" s="81" t="n"/>
      <c r="O3340" s="81" t="n"/>
      <c r="P3340" s="81" t="n"/>
      <c r="Q3340" s="81" t="n"/>
      <c r="R3340" s="81" t="n"/>
      <c r="S3340" s="81" t="n"/>
      <c r="T3340" s="81" t="n"/>
      <c r="U3340" s="81" t="n"/>
      <c r="V3340" s="81" t="n"/>
      <c r="W3340" s="43" t="n"/>
    </row>
    <row r="3341">
      <c r="A3341" s="43" t="inlineStr">
        <is>
          <t>T30</t>
        </is>
      </c>
      <c r="B3341" s="43" t="inlineStr"/>
      <c r="C3341" s="43" t="inlineStr"/>
      <c r="D3341" s="43" t="inlineStr">
        <is>
          <t>Q355D</t>
        </is>
      </c>
      <c r="E3341" s="43" t="n">
        <v>1374</v>
      </c>
      <c r="F3341" s="43" t="n">
        <v>300</v>
      </c>
      <c r="G3341" s="43" t="n">
        <v>14</v>
      </c>
      <c r="H3341" s="79">
        <f>(E3341/1000)*(F3341/1000)*(G3341/1000)*7850</f>
        <v/>
      </c>
      <c r="I3341" s="43" t="n">
        <v>236</v>
      </c>
      <c r="J3341" s="80">
        <f>H3341*I3341</f>
        <v/>
      </c>
      <c r="K3341" s="43" t="inlineStr">
        <is>
          <t>来源页233,237</t>
        </is>
      </c>
      <c r="L3341" s="43">
        <f>A3341</f>
        <v/>
      </c>
      <c r="M3341" s="81" t="n"/>
      <c r="N3341" s="81" t="n"/>
      <c r="O3341" s="81" t="n"/>
      <c r="P3341" s="81" t="n"/>
      <c r="Q3341" s="81" t="n"/>
      <c r="R3341" s="81" t="n"/>
      <c r="S3341" s="81" t="n"/>
      <c r="T3341" s="81" t="n"/>
      <c r="U3341" s="81" t="n"/>
      <c r="V3341" s="81" t="n"/>
      <c r="W3341" s="43" t="n"/>
    </row>
    <row r="3342">
      <c r="A3342" s="43" t="inlineStr">
        <is>
          <t>T50</t>
        </is>
      </c>
      <c r="B3342" s="43" t="inlineStr"/>
      <c r="C3342" s="43" t="inlineStr"/>
      <c r="D3342" s="43" t="inlineStr">
        <is>
          <t>Q355D</t>
        </is>
      </c>
      <c r="E3342" s="43" t="n">
        <v>400</v>
      </c>
      <c r="F3342" s="43" t="n">
        <v>330</v>
      </c>
      <c r="G3342" s="43" t="n">
        <v>12</v>
      </c>
      <c r="H3342" s="79">
        <f>(E3342/1000)*(F3342/1000)*(G3342/1000)*7850</f>
        <v/>
      </c>
      <c r="I3342" s="43" t="n">
        <v>920</v>
      </c>
      <c r="J3342" s="80">
        <f>H3342*I3342</f>
        <v/>
      </c>
      <c r="K3342" s="43" t="inlineStr">
        <is>
          <t>来源页233,237</t>
        </is>
      </c>
      <c r="L3342" s="43">
        <f>A3342</f>
        <v/>
      </c>
      <c r="M3342" s="81" t="n"/>
      <c r="N3342" s="81" t="n"/>
      <c r="O3342" s="81" t="n"/>
      <c r="P3342" s="81" t="n"/>
      <c r="Q3342" s="81" t="n"/>
      <c r="R3342" s="81" t="n"/>
      <c r="S3342" s="81" t="n"/>
      <c r="T3342" s="81" t="n"/>
      <c r="U3342" s="81" t="n"/>
      <c r="V3342" s="81" t="n"/>
      <c r="W3342" s="43" t="n"/>
    </row>
    <row r="3343">
      <c r="A3343" s="43" t="inlineStr">
        <is>
          <t>T60</t>
        </is>
      </c>
      <c r="B3343" s="43" t="inlineStr"/>
      <c r="C3343" s="43" t="inlineStr"/>
      <c r="D3343" s="43" t="inlineStr">
        <is>
          <t>Q355D</t>
        </is>
      </c>
      <c r="E3343" s="43" t="n">
        <v>1840</v>
      </c>
      <c r="F3343" s="43" t="n">
        <v>340</v>
      </c>
      <c r="G3343" s="43" t="n">
        <v>10</v>
      </c>
      <c r="H3343" s="79">
        <f>(E3343/1000)*(F3343/1000)*(G3343/1000)*7850</f>
        <v/>
      </c>
      <c r="I3343" s="43" t="n">
        <v>456</v>
      </c>
      <c r="J3343" s="80">
        <f>H3343*I3343</f>
        <v/>
      </c>
      <c r="K3343" s="43" t="inlineStr">
        <is>
          <t>来源页233,237</t>
        </is>
      </c>
      <c r="L3343" s="43">
        <f>A3343</f>
        <v/>
      </c>
      <c r="M3343" s="81" t="n"/>
      <c r="N3343" s="81" t="n"/>
      <c r="O3343" s="81" t="n"/>
      <c r="P3343" s="81" t="n"/>
      <c r="Q3343" s="81" t="n"/>
      <c r="R3343" s="81" t="n"/>
      <c r="S3343" s="81" t="n"/>
      <c r="T3343" s="81" t="n"/>
      <c r="U3343" s="81" t="n"/>
      <c r="V3343" s="81" t="n"/>
      <c r="W3343" s="43" t="n"/>
    </row>
    <row r="3344">
      <c r="A3344" s="43" t="inlineStr">
        <is>
          <t>T61</t>
        </is>
      </c>
      <c r="B3344" s="43" t="inlineStr"/>
      <c r="C3344" s="43" t="inlineStr"/>
      <c r="D3344" s="43" t="inlineStr">
        <is>
          <t>Q355D</t>
        </is>
      </c>
      <c r="E3344" s="43" t="n">
        <v>1440</v>
      </c>
      <c r="F3344" s="43" t="n">
        <v>340</v>
      </c>
      <c r="G3344" s="43" t="n">
        <v>10</v>
      </c>
      <c r="H3344" s="79">
        <f>(E3344/1000)*(F3344/1000)*(G3344/1000)*7850</f>
        <v/>
      </c>
      <c r="I3344" s="43" t="n">
        <v>456</v>
      </c>
      <c r="J3344" s="80">
        <f>H3344*I3344</f>
        <v/>
      </c>
      <c r="K3344" s="43" t="inlineStr">
        <is>
          <t>来源页233,237</t>
        </is>
      </c>
      <c r="L3344" s="43">
        <f>A3344</f>
        <v/>
      </c>
      <c r="M3344" s="81" t="n"/>
      <c r="N3344" s="81" t="n"/>
      <c r="O3344" s="81" t="n"/>
      <c r="P3344" s="81" t="n"/>
      <c r="Q3344" s="81" t="n"/>
      <c r="R3344" s="81" t="n"/>
      <c r="S3344" s="81" t="n"/>
      <c r="T3344" s="81" t="n"/>
      <c r="U3344" s="81" t="n"/>
      <c r="V3344" s="81" t="n"/>
      <c r="W3344" s="43" t="n"/>
    </row>
    <row r="3345">
      <c r="A3345" s="43" t="inlineStr">
        <is>
          <t>T62</t>
        </is>
      </c>
      <c r="B3345" s="43" t="inlineStr"/>
      <c r="C3345" s="43" t="inlineStr"/>
      <c r="D3345" s="43" t="inlineStr">
        <is>
          <t>Q355D</t>
        </is>
      </c>
      <c r="E3345" s="43" t="n">
        <v>1840</v>
      </c>
      <c r="F3345" s="43" t="n">
        <v>340</v>
      </c>
      <c r="G3345" s="43" t="n">
        <v>14</v>
      </c>
      <c r="H3345" s="79">
        <f>(E3345/1000)*(F3345/1000)*(G3345/1000)*7850</f>
        <v/>
      </c>
      <c r="I3345" s="43" t="n">
        <v>16</v>
      </c>
      <c r="J3345" s="80">
        <f>H3345*I3345</f>
        <v/>
      </c>
      <c r="K3345" s="43" t="inlineStr">
        <is>
          <t>来源页233,237</t>
        </is>
      </c>
      <c r="L3345" s="43">
        <f>A3345</f>
        <v/>
      </c>
      <c r="M3345" s="81" t="n"/>
      <c r="N3345" s="81" t="n"/>
      <c r="O3345" s="81" t="n"/>
      <c r="P3345" s="81" t="n"/>
      <c r="Q3345" s="81" t="n"/>
      <c r="R3345" s="81" t="n"/>
      <c r="S3345" s="81" t="n"/>
      <c r="T3345" s="81" t="n"/>
      <c r="U3345" s="81" t="n"/>
      <c r="V3345" s="81" t="n"/>
      <c r="W3345" s="43" t="n"/>
    </row>
    <row r="3346">
      <c r="A3346" s="43" t="inlineStr">
        <is>
          <t>T63</t>
        </is>
      </c>
      <c r="B3346" s="43" t="inlineStr"/>
      <c r="C3346" s="43" t="inlineStr"/>
      <c r="D3346" s="43" t="inlineStr">
        <is>
          <t>Q355D</t>
        </is>
      </c>
      <c r="E3346" s="43" t="n">
        <v>1440</v>
      </c>
      <c r="F3346" s="43" t="n">
        <v>340</v>
      </c>
      <c r="G3346" s="43" t="n">
        <v>14</v>
      </c>
      <c r="H3346" s="79">
        <f>(E3346/1000)*(F3346/1000)*(G3346/1000)*7850</f>
        <v/>
      </c>
      <c r="I3346" s="43" t="n">
        <v>16</v>
      </c>
      <c r="J3346" s="80">
        <f>H3346*I3346</f>
        <v/>
      </c>
      <c r="K3346" s="43" t="inlineStr">
        <is>
          <t>来源页233,237</t>
        </is>
      </c>
      <c r="L3346" s="43">
        <f>A3346</f>
        <v/>
      </c>
      <c r="M3346" s="81" t="n"/>
      <c r="N3346" s="81" t="n"/>
      <c r="O3346" s="81" t="n"/>
      <c r="P3346" s="81" t="n"/>
      <c r="Q3346" s="81" t="n"/>
      <c r="R3346" s="81" t="n"/>
      <c r="S3346" s="81" t="n"/>
      <c r="T3346" s="81" t="n"/>
      <c r="U3346" s="81" t="n"/>
      <c r="V3346" s="81" t="n"/>
      <c r="W3346" s="43" t="n"/>
    </row>
    <row r="3347">
      <c r="A3347" s="43" t="inlineStr">
        <is>
          <t>D1</t>
        </is>
      </c>
      <c r="B3347" s="43" t="inlineStr"/>
      <c r="C3347" s="43" t="inlineStr"/>
      <c r="D3347" s="43" t="inlineStr">
        <is>
          <t>Q355D</t>
        </is>
      </c>
      <c r="E3347" s="43" t="n">
        <v>17503</v>
      </c>
      <c r="F3347" s="43" t="n">
        <v>343160</v>
      </c>
      <c r="G3347" s="43" t="n">
        <v>14</v>
      </c>
      <c r="H3347" s="79">
        <f>(E3347/1000)*(F3347/1000)*(G3347/1000)*7850</f>
        <v/>
      </c>
      <c r="I3347" s="43" t="n">
        <v>2</v>
      </c>
      <c r="J3347" s="80">
        <f>H3347*I3347</f>
        <v/>
      </c>
      <c r="K3347" s="43" t="inlineStr">
        <is>
          <t>来源页233,237</t>
        </is>
      </c>
      <c r="L3347" s="43">
        <f>A3347</f>
        <v/>
      </c>
      <c r="M3347" s="81" t="n"/>
      <c r="N3347" s="81" t="n"/>
      <c r="O3347" s="81" t="n"/>
      <c r="P3347" s="81" t="n"/>
      <c r="Q3347" s="81" t="n"/>
      <c r="R3347" s="81" t="n"/>
      <c r="S3347" s="81" t="n"/>
      <c r="T3347" s="81" t="n"/>
      <c r="U3347" s="81" t="n"/>
      <c r="V3347" s="81" t="n"/>
      <c r="W3347" s="43" t="n"/>
    </row>
    <row r="3348">
      <c r="A3348" s="43" t="inlineStr">
        <is>
          <t>D2</t>
        </is>
      </c>
      <c r="B3348" s="43" t="inlineStr"/>
      <c r="C3348" s="43" t="inlineStr"/>
      <c r="D3348" s="43" t="inlineStr">
        <is>
          <t>Q355D</t>
        </is>
      </c>
      <c r="E3348" s="43" t="n">
        <v>17500</v>
      </c>
      <c r="F3348" s="43" t="n">
        <v>1800</v>
      </c>
      <c r="G3348" s="43" t="n">
        <v>14</v>
      </c>
      <c r="H3348" s="79">
        <f>(E3348/1000)*(F3348/1000)*(G3348/1000)*7850</f>
        <v/>
      </c>
      <c r="I3348" s="43" t="n">
        <v>222</v>
      </c>
      <c r="J3348" s="80">
        <f>H3348*I3348</f>
        <v/>
      </c>
      <c r="K3348" s="43" t="inlineStr">
        <is>
          <t>A=28.41；来源页233,237</t>
        </is>
      </c>
      <c r="L3348" s="43">
        <f>A3348</f>
        <v/>
      </c>
      <c r="M3348" s="81" t="n"/>
      <c r="N3348" s="81" t="n"/>
      <c r="O3348" s="81" t="n"/>
      <c r="P3348" s="81" t="n"/>
      <c r="Q3348" s="81" t="n"/>
      <c r="R3348" s="81" t="n"/>
      <c r="S3348" s="81" t="n"/>
      <c r="T3348" s="81" t="n"/>
      <c r="U3348" s="81" t="n"/>
      <c r="V3348" s="81" t="n"/>
      <c r="W3348" s="43" t="n"/>
    </row>
    <row r="3349">
      <c r="A3349" s="43" t="inlineStr">
        <is>
          <t>D2a</t>
        </is>
      </c>
      <c r="B3349" s="43" t="inlineStr"/>
      <c r="C3349" s="43" t="inlineStr"/>
      <c r="D3349" s="43" t="inlineStr">
        <is>
          <t>Q355D</t>
        </is>
      </c>
      <c r="E3349" s="43" t="n">
        <v>13800</v>
      </c>
      <c r="F3349" s="43" t="n">
        <v>1761</v>
      </c>
      <c r="G3349" s="43" t="n">
        <v>20</v>
      </c>
      <c r="H3349" s="79">
        <f>(E3349/1000)*(F3349/1000)*(G3349/1000)*7850</f>
        <v/>
      </c>
      <c r="I3349" s="43" t="n">
        <v>12</v>
      </c>
      <c r="J3349" s="80">
        <f>H3349*I3349</f>
        <v/>
      </c>
      <c r="K3349" s="43" t="inlineStr">
        <is>
          <t>A=21.94；来源页233,237</t>
        </is>
      </c>
      <c r="L3349" s="43">
        <f>A3349</f>
        <v/>
      </c>
      <c r="M3349" s="81" t="n"/>
      <c r="N3349" s="81" t="n"/>
      <c r="O3349" s="81" t="n"/>
      <c r="P3349" s="81" t="n"/>
      <c r="Q3349" s="81" t="n"/>
      <c r="R3349" s="81" t="n"/>
      <c r="S3349" s="81" t="n"/>
      <c r="T3349" s="81" t="n"/>
      <c r="U3349" s="81" t="n"/>
      <c r="V3349" s="81" t="n"/>
      <c r="W3349" s="43" t="n"/>
    </row>
    <row r="3350">
      <c r="A3350" s="43" t="inlineStr">
        <is>
          <t>D2a'</t>
        </is>
      </c>
      <c r="B3350" s="43" t="inlineStr"/>
      <c r="C3350" s="43" t="inlineStr"/>
      <c r="D3350" s="43" t="inlineStr">
        <is>
          <t>Q355D</t>
        </is>
      </c>
      <c r="E3350" s="43" t="n">
        <v>13800</v>
      </c>
      <c r="F3350" s="43" t="n">
        <v>1761</v>
      </c>
      <c r="G3350" s="43" t="n">
        <v>20</v>
      </c>
      <c r="H3350" s="79">
        <f>(E3350/1000)*(F3350/1000)*(G3350/1000)*7850</f>
        <v/>
      </c>
      <c r="I3350" s="43" t="n">
        <v>8</v>
      </c>
      <c r="J3350" s="80">
        <f>H3350*I3350</f>
        <v/>
      </c>
      <c r="K3350" s="43" t="inlineStr">
        <is>
          <t>A=22.4；来源页233,237</t>
        </is>
      </c>
      <c r="L3350" s="43">
        <f>A3350</f>
        <v/>
      </c>
      <c r="M3350" s="81" t="n"/>
      <c r="N3350" s="81" t="n"/>
      <c r="O3350" s="81" t="n"/>
      <c r="P3350" s="81" t="n"/>
      <c r="Q3350" s="81" t="n"/>
      <c r="R3350" s="81" t="n"/>
      <c r="S3350" s="81" t="n"/>
      <c r="T3350" s="81" t="n"/>
      <c r="U3350" s="81" t="n"/>
      <c r="V3350" s="81" t="n"/>
      <c r="W3350" s="43" t="n"/>
    </row>
    <row r="3351">
      <c r="A3351" s="43" t="inlineStr">
        <is>
          <t>D2b</t>
        </is>
      </c>
      <c r="B3351" s="43" t="inlineStr"/>
      <c r="C3351" s="43" t="inlineStr"/>
      <c r="D3351" s="43" t="inlineStr">
        <is>
          <t>Q355D</t>
        </is>
      </c>
      <c r="E3351" s="43" t="n">
        <v>1740</v>
      </c>
      <c r="F3351" s="43" t="n">
        <v>1485</v>
      </c>
      <c r="G3351" s="43" t="n">
        <v>28</v>
      </c>
      <c r="H3351" s="79">
        <f>(E3351/1000)*(F3351/1000)*(G3351/1000)*7850</f>
        <v/>
      </c>
      <c r="I3351" s="43" t="n">
        <v>8</v>
      </c>
      <c r="J3351" s="80">
        <f>H3351*I3351</f>
        <v/>
      </c>
      <c r="K3351" s="43" t="inlineStr">
        <is>
          <t>A=2.56；来源页233,237</t>
        </is>
      </c>
      <c r="L3351" s="43">
        <f>A3351</f>
        <v/>
      </c>
      <c r="M3351" s="81" t="n"/>
      <c r="N3351" s="81" t="n"/>
      <c r="O3351" s="81" t="n"/>
      <c r="P3351" s="81" t="n"/>
      <c r="Q3351" s="81" t="n"/>
      <c r="R3351" s="81" t="n"/>
      <c r="S3351" s="81" t="n"/>
      <c r="T3351" s="81" t="n"/>
      <c r="U3351" s="81" t="n"/>
      <c r="V3351" s="81" t="n"/>
      <c r="W3351" s="43" t="n"/>
    </row>
    <row r="3352">
      <c r="A3352" s="43" t="inlineStr">
        <is>
          <t>D2c</t>
        </is>
      </c>
      <c r="B3352" s="43" t="inlineStr"/>
      <c r="C3352" s="43" t="inlineStr"/>
      <c r="D3352" s="43" t="inlineStr">
        <is>
          <t>Q355D</t>
        </is>
      </c>
      <c r="E3352" s="43" t="n">
        <v>1940</v>
      </c>
      <c r="F3352" s="43" t="n">
        <v>1800</v>
      </c>
      <c r="G3352" s="43" t="n">
        <v>28</v>
      </c>
      <c r="H3352" s="79">
        <f>(E3352/1000)*(F3352/1000)*(G3352/1000)*7850</f>
        <v/>
      </c>
      <c r="I3352" s="43" t="n">
        <v>8</v>
      </c>
      <c r="J3352" s="80">
        <f>H3352*I3352</f>
        <v/>
      </c>
      <c r="K3352" s="43" t="inlineStr">
        <is>
          <t>A=3.46；来源页233,237</t>
        </is>
      </c>
      <c r="L3352" s="43">
        <f>A3352</f>
        <v/>
      </c>
      <c r="M3352" s="81" t="n"/>
      <c r="N3352" s="81" t="n"/>
      <c r="O3352" s="81" t="n"/>
      <c r="P3352" s="81" t="n"/>
      <c r="Q3352" s="81" t="n"/>
      <c r="R3352" s="81" t="n"/>
      <c r="S3352" s="81" t="n"/>
      <c r="T3352" s="81" t="n"/>
      <c r="U3352" s="81" t="n"/>
      <c r="V3352" s="81" t="n"/>
      <c r="W3352" s="43" t="n"/>
    </row>
    <row r="3353">
      <c r="A3353" s="43" t="inlineStr">
        <is>
          <t>D2d</t>
        </is>
      </c>
      <c r="B3353" s="43" t="inlineStr"/>
      <c r="C3353" s="43" t="inlineStr"/>
      <c r="D3353" s="43" t="inlineStr">
        <is>
          <t>Q355D</t>
        </is>
      </c>
      <c r="E3353" s="43" t="n">
        <v>1740</v>
      </c>
      <c r="F3353" s="43" t="n">
        <v>1485</v>
      </c>
      <c r="G3353" s="43" t="n">
        <v>60</v>
      </c>
      <c r="H3353" s="79">
        <f>(E3353/1000)*(F3353/1000)*(G3353/1000)*7850</f>
        <v/>
      </c>
      <c r="I3353" s="43" t="n">
        <v>8</v>
      </c>
      <c r="J3353" s="80">
        <f>H3353*I3353</f>
        <v/>
      </c>
      <c r="K3353" s="43" t="inlineStr">
        <is>
          <t>A=2.56；来源页233,237</t>
        </is>
      </c>
      <c r="L3353" s="43">
        <f>A3353</f>
        <v/>
      </c>
      <c r="M3353" s="81" t="n"/>
      <c r="N3353" s="81" t="n"/>
      <c r="O3353" s="81" t="n"/>
      <c r="P3353" s="81" t="n"/>
      <c r="Q3353" s="81" t="n"/>
      <c r="R3353" s="81" t="n"/>
      <c r="S3353" s="81" t="n"/>
      <c r="T3353" s="81" t="n"/>
      <c r="U3353" s="81" t="n"/>
      <c r="V3353" s="81" t="n"/>
      <c r="W3353" s="43" t="n"/>
    </row>
    <row r="3354">
      <c r="A3354" s="43" t="inlineStr">
        <is>
          <t>D2e</t>
        </is>
      </c>
      <c r="B3354" s="43" t="inlineStr"/>
      <c r="C3354" s="43" t="inlineStr"/>
      <c r="D3354" s="43" t="inlineStr">
        <is>
          <t>Q355D</t>
        </is>
      </c>
      <c r="E3354" s="43" t="n">
        <v>1940</v>
      </c>
      <c r="F3354" s="43" t="n">
        <v>1800</v>
      </c>
      <c r="G3354" s="43" t="n">
        <v>44</v>
      </c>
      <c r="H3354" s="79">
        <f>(E3354/1000)*(F3354/1000)*(G3354/1000)*7850</f>
        <v/>
      </c>
      <c r="I3354" s="43" t="n">
        <v>8</v>
      </c>
      <c r="J3354" s="80">
        <f>H3354*I3354</f>
        <v/>
      </c>
      <c r="K3354" s="43" t="inlineStr">
        <is>
          <t>A=3.46；来源页233,237</t>
        </is>
      </c>
      <c r="L3354" s="43">
        <f>A3354</f>
        <v/>
      </c>
      <c r="M3354" s="81" t="n"/>
      <c r="N3354" s="81" t="n"/>
      <c r="O3354" s="81" t="n"/>
      <c r="P3354" s="81" t="n"/>
      <c r="Q3354" s="81" t="n"/>
      <c r="R3354" s="81" t="n"/>
      <c r="S3354" s="81" t="n"/>
      <c r="T3354" s="81" t="n"/>
      <c r="U3354" s="81" t="n"/>
      <c r="V3354" s="81" t="n"/>
      <c r="W3354" s="43" t="n"/>
    </row>
    <row r="3355">
      <c r="A3355" s="43" t="inlineStr">
        <is>
          <t>D3</t>
        </is>
      </c>
      <c r="B3355" s="43" t="inlineStr"/>
      <c r="C3355" s="43" t="inlineStr"/>
      <c r="D3355" s="43" t="inlineStr">
        <is>
          <t>Q355D</t>
        </is>
      </c>
      <c r="E3355" s="43" t="n">
        <v>17500</v>
      </c>
      <c r="F3355" s="43" t="n">
        <v>600</v>
      </c>
      <c r="G3355" s="43" t="n">
        <v>24</v>
      </c>
      <c r="H3355" s="79">
        <f>(E3355/1000)*(F3355/1000)*(G3355/1000)*7850</f>
        <v/>
      </c>
      <c r="I3355" s="43" t="n">
        <v>222</v>
      </c>
      <c r="J3355" s="80">
        <f>H3355*I3355</f>
        <v/>
      </c>
      <c r="K3355" s="43" t="inlineStr">
        <is>
          <t>来源页233,237</t>
        </is>
      </c>
      <c r="L3355" s="43">
        <f>A3355</f>
        <v/>
      </c>
      <c r="M3355" s="81" t="n"/>
      <c r="N3355" s="81" t="n"/>
      <c r="O3355" s="81" t="n"/>
      <c r="P3355" s="81" t="n"/>
      <c r="Q3355" s="81" t="n"/>
      <c r="R3355" s="81" t="n"/>
      <c r="S3355" s="81" t="n"/>
      <c r="T3355" s="81" t="n"/>
      <c r="U3355" s="81" t="n"/>
      <c r="V3355" s="81" t="n"/>
      <c r="W3355" s="43" t="n"/>
    </row>
    <row r="3356">
      <c r="A3356" s="43" t="inlineStr">
        <is>
          <t>D3a</t>
        </is>
      </c>
      <c r="B3356" s="43" t="inlineStr"/>
      <c r="C3356" s="43" t="inlineStr"/>
      <c r="D3356" s="43" t="inlineStr">
        <is>
          <t>Q355D</t>
        </is>
      </c>
      <c r="E3356" s="43" t="n">
        <v>17500</v>
      </c>
      <c r="F3356" s="43" t="n">
        <v>2160</v>
      </c>
      <c r="G3356" s="43" t="n">
        <v>24</v>
      </c>
      <c r="H3356" s="79">
        <f>(E3356/1000)*(F3356/1000)*(G3356/1000)*7850</f>
        <v/>
      </c>
      <c r="I3356" s="43" t="n">
        <v>4</v>
      </c>
      <c r="J3356" s="80">
        <f>H3356*I3356</f>
        <v/>
      </c>
      <c r="K3356" s="43" t="inlineStr">
        <is>
          <t>来源页233,237</t>
        </is>
      </c>
      <c r="L3356" s="43">
        <f>A3356</f>
        <v/>
      </c>
      <c r="M3356" s="81" t="n"/>
      <c r="N3356" s="81" t="n"/>
      <c r="O3356" s="81" t="n"/>
      <c r="P3356" s="81" t="n"/>
      <c r="Q3356" s="81" t="n"/>
      <c r="R3356" s="81" t="n"/>
      <c r="S3356" s="81" t="n"/>
      <c r="T3356" s="81" t="n"/>
      <c r="U3356" s="81" t="n"/>
      <c r="V3356" s="81" t="n"/>
      <c r="W3356" s="43" t="n"/>
    </row>
    <row r="3357">
      <c r="A3357" s="43" t="inlineStr">
        <is>
          <t>D3a'</t>
        </is>
      </c>
      <c r="B3357" s="43" t="inlineStr"/>
      <c r="C3357" s="43" t="inlineStr"/>
      <c r="D3357" s="43" t="inlineStr">
        <is>
          <t>Q355D</t>
        </is>
      </c>
      <c r="E3357" s="43" t="n">
        <v>17350</v>
      </c>
      <c r="F3357" s="43" t="n">
        <v>2160</v>
      </c>
      <c r="G3357" s="43" t="n">
        <v>24</v>
      </c>
      <c r="H3357" s="79">
        <f>(E3357/1000)*(F3357/1000)*(G3357/1000)*7850</f>
        <v/>
      </c>
      <c r="I3357" s="43" t="n">
        <v>4</v>
      </c>
      <c r="J3357" s="80">
        <f>H3357*I3357</f>
        <v/>
      </c>
      <c r="K3357" s="43" t="inlineStr">
        <is>
          <t>来源页233,237</t>
        </is>
      </c>
      <c r="L3357" s="43">
        <f>A3357</f>
        <v/>
      </c>
      <c r="M3357" s="81" t="n"/>
      <c r="N3357" s="81" t="n"/>
      <c r="O3357" s="81" t="n"/>
      <c r="P3357" s="81" t="n"/>
      <c r="Q3357" s="81" t="n"/>
      <c r="R3357" s="81" t="n"/>
      <c r="S3357" s="81" t="n"/>
      <c r="T3357" s="81" t="n"/>
      <c r="U3357" s="81" t="n"/>
      <c r="V3357" s="81" t="n"/>
      <c r="W3357" s="43" t="n"/>
    </row>
    <row r="3358">
      <c r="A3358" s="43" t="inlineStr">
        <is>
          <t>D4</t>
        </is>
      </c>
      <c r="B3358" s="43" t="inlineStr"/>
      <c r="C3358" s="43" t="inlineStr"/>
      <c r="D3358" s="43" t="inlineStr">
        <is>
          <t>Q355D</t>
        </is>
      </c>
      <c r="E3358" s="43" t="n">
        <v>1240</v>
      </c>
      <c r="F3358" s="43" t="n">
        <v>150</v>
      </c>
      <c r="G3358" s="43" t="n">
        <v>12</v>
      </c>
      <c r="H3358" s="79">
        <f>(E3358/1000)*(F3358/1000)*(G3358/1000)*7850</f>
        <v/>
      </c>
      <c r="I3358" s="43" t="n">
        <v>4440</v>
      </c>
      <c r="J3358" s="80">
        <f>H3358*I3358</f>
        <v/>
      </c>
      <c r="K3358" s="43" t="inlineStr">
        <is>
          <t>来源页233,237</t>
        </is>
      </c>
      <c r="L3358" s="43">
        <f>A3358</f>
        <v/>
      </c>
      <c r="M3358" s="81" t="n"/>
      <c r="N3358" s="81" t="n"/>
      <c r="O3358" s="81" t="n"/>
      <c r="P3358" s="81" t="n"/>
      <c r="Q3358" s="81" t="n"/>
      <c r="R3358" s="81" t="n"/>
      <c r="S3358" s="81" t="n"/>
      <c r="T3358" s="81" t="n"/>
      <c r="U3358" s="81" t="n"/>
      <c r="V3358" s="81" t="n"/>
      <c r="W3358" s="43" t="n"/>
    </row>
    <row r="3359">
      <c r="A3359" s="43" t="inlineStr">
        <is>
          <t>D4a</t>
        </is>
      </c>
      <c r="B3359" s="43" t="inlineStr"/>
      <c r="C3359" s="43" t="inlineStr"/>
      <c r="D3359" s="43" t="inlineStr">
        <is>
          <t>Q355D</t>
        </is>
      </c>
      <c r="E3359" s="43" t="n">
        <v>1640</v>
      </c>
      <c r="F3359" s="43" t="n">
        <v>1780</v>
      </c>
      <c r="G3359" s="43" t="n">
        <v>12</v>
      </c>
      <c r="H3359" s="79">
        <f>(E3359/1000)*(F3359/1000)*(G3359/1000)*7850</f>
        <v/>
      </c>
      <c r="I3359" s="43" t="n">
        <v>40</v>
      </c>
      <c r="J3359" s="80">
        <f>H3359*I3359</f>
        <v/>
      </c>
      <c r="K3359" s="43" t="inlineStr">
        <is>
          <t>A=2.66；来源页233,237</t>
        </is>
      </c>
      <c r="L3359" s="43">
        <f>A3359</f>
        <v/>
      </c>
      <c r="M3359" s="81" t="n"/>
      <c r="N3359" s="81" t="n"/>
      <c r="O3359" s="81" t="n"/>
      <c r="P3359" s="81" t="n"/>
      <c r="Q3359" s="81" t="n"/>
      <c r="R3359" s="81" t="n"/>
      <c r="S3359" s="81" t="n"/>
      <c r="T3359" s="81" t="n"/>
      <c r="U3359" s="81" t="n"/>
      <c r="V3359" s="81" t="n"/>
      <c r="W3359" s="43" t="n"/>
    </row>
    <row r="3360">
      <c r="A3360" s="43" t="inlineStr">
        <is>
          <t>D4b</t>
        </is>
      </c>
      <c r="B3360" s="43" t="inlineStr"/>
      <c r="C3360" s="43" t="inlineStr"/>
      <c r="D3360" s="43" t="inlineStr">
        <is>
          <t>Q355D</t>
        </is>
      </c>
      <c r="E3360" s="43" t="n">
        <v>1640</v>
      </c>
      <c r="F3360" s="43" t="n">
        <v>880</v>
      </c>
      <c r="G3360" s="43" t="n">
        <v>12</v>
      </c>
      <c r="H3360" s="79">
        <f>(E3360/1000)*(F3360/1000)*(G3360/1000)*7850</f>
        <v/>
      </c>
      <c r="I3360" s="43" t="n">
        <v>80</v>
      </c>
      <c r="J3360" s="80">
        <f>H3360*I3360</f>
        <v/>
      </c>
      <c r="K3360" s="43" t="inlineStr">
        <is>
          <t>A=1.18；来源页233,237</t>
        </is>
      </c>
      <c r="L3360" s="43">
        <f>A3360</f>
        <v/>
      </c>
      <c r="M3360" s="81" t="n"/>
      <c r="N3360" s="81" t="n"/>
      <c r="O3360" s="81" t="n"/>
      <c r="P3360" s="81" t="n"/>
      <c r="Q3360" s="81" t="n"/>
      <c r="R3360" s="81" t="n"/>
      <c r="S3360" s="81" t="n"/>
      <c r="T3360" s="81" t="n"/>
      <c r="U3360" s="81" t="n"/>
      <c r="V3360" s="81" t="n"/>
      <c r="W3360" s="43" t="n"/>
    </row>
    <row r="3361">
      <c r="A3361" s="43" t="inlineStr">
        <is>
          <t>D5</t>
        </is>
      </c>
      <c r="B3361" s="43" t="inlineStr"/>
      <c r="C3361" s="43" t="inlineStr"/>
      <c r="D3361" s="43" t="inlineStr">
        <is>
          <t>Q355D</t>
        </is>
      </c>
      <c r="E3361" s="43" t="n">
        <v>284</v>
      </c>
      <c r="F3361" s="43" t="n">
        <v>272</v>
      </c>
      <c r="G3361" s="43" t="n">
        <v>4</v>
      </c>
      <c r="H3361" s="79">
        <f>(E3361/1000)*(F3361/1000)*(G3361/1000)*7850</f>
        <v/>
      </c>
      <c r="I3361" s="43" t="n">
        <v>2052</v>
      </c>
      <c r="J3361" s="80">
        <f>H3361*I3361</f>
        <v/>
      </c>
      <c r="K3361" s="43" t="inlineStr">
        <is>
          <t>A=0.06；来源页233,237</t>
        </is>
      </c>
      <c r="L3361" s="43">
        <f>A3361</f>
        <v/>
      </c>
      <c r="M3361" s="81" t="n"/>
      <c r="N3361" s="81" t="n"/>
      <c r="O3361" s="81" t="n"/>
      <c r="P3361" s="81" t="n"/>
      <c r="Q3361" s="81" t="n"/>
      <c r="R3361" s="81" t="n"/>
      <c r="S3361" s="81" t="n"/>
      <c r="T3361" s="81" t="n"/>
      <c r="U3361" s="81" t="n"/>
      <c r="V3361" s="81" t="n"/>
      <c r="W3361" s="43" t="n"/>
    </row>
    <row r="3362">
      <c r="A3362" s="43" t="inlineStr">
        <is>
          <t>DL</t>
        </is>
      </c>
      <c r="B3362" s="43" t="inlineStr"/>
      <c r="C3362" s="43" t="inlineStr"/>
      <c r="D3362" s="43" t="inlineStr">
        <is>
          <t>Q355D</t>
        </is>
      </c>
      <c r="E3362" s="43" t="n">
        <v>342042</v>
      </c>
      <c r="F3362" s="43" t="n">
        <v>170</v>
      </c>
      <c r="G3362" s="43" t="n">
        <v>14</v>
      </c>
      <c r="H3362" s="79">
        <f>(E3362/1000)*(F3362/1000)*(G3362/1000)*7850</f>
        <v/>
      </c>
      <c r="I3362" s="43" t="n">
        <v>6</v>
      </c>
      <c r="J3362" s="80">
        <f>H3362*I3362</f>
        <v/>
      </c>
      <c r="K3362" s="43" t="inlineStr">
        <is>
          <t>来源页233,237</t>
        </is>
      </c>
      <c r="L3362" s="43">
        <f>A3362</f>
        <v/>
      </c>
      <c r="M3362" s="81" t="n"/>
      <c r="N3362" s="81" t="n"/>
      <c r="O3362" s="81" t="n"/>
      <c r="P3362" s="81" t="n"/>
      <c r="Q3362" s="81" t="n"/>
      <c r="R3362" s="81" t="n"/>
      <c r="S3362" s="81" t="n"/>
      <c r="T3362" s="81" t="n"/>
      <c r="U3362" s="81" t="n"/>
      <c r="V3362" s="81" t="n"/>
      <c r="W3362" s="43" t="n"/>
    </row>
    <row r="3363">
      <c r="A3363" s="43" t="inlineStr">
        <is>
          <t>DU</t>
        </is>
      </c>
      <c r="B3363" s="43" t="inlineStr"/>
      <c r="C3363" s="43" t="inlineStr"/>
      <c r="D3363" s="43" t="inlineStr">
        <is>
          <t>Q355D</t>
        </is>
      </c>
      <c r="E3363" s="43" t="n">
        <v>342042</v>
      </c>
      <c r="F3363" s="43" t="n">
        <v>710</v>
      </c>
      <c r="G3363" s="43" t="n">
        <v>8</v>
      </c>
      <c r="H3363" s="79">
        <f>(E3363/1000)*(F3363/1000)*(G3363/1000)*7850</f>
        <v/>
      </c>
      <c r="I3363" s="43" t="n">
        <v>54</v>
      </c>
      <c r="J3363" s="80">
        <f>H3363*I3363</f>
        <v/>
      </c>
      <c r="K3363" s="43" t="inlineStr">
        <is>
          <t>来源页233,237</t>
        </is>
      </c>
      <c r="L3363" s="43">
        <f>A3363</f>
        <v/>
      </c>
      <c r="M3363" s="81" t="n"/>
      <c r="N3363" s="81" t="n"/>
      <c r="O3363" s="81" t="n"/>
      <c r="P3363" s="81" t="n"/>
      <c r="Q3363" s="81" t="n"/>
      <c r="R3363" s="81" t="n"/>
      <c r="S3363" s="81" t="n"/>
      <c r="T3363" s="81" t="n"/>
      <c r="U3363" s="81" t="n"/>
      <c r="V3363" s="81" t="n"/>
      <c r="W3363" s="43" t="n"/>
    </row>
    <row r="3364">
      <c r="A3364" s="43" t="inlineStr">
        <is>
          <t>D7</t>
        </is>
      </c>
      <c r="B3364" s="43" t="inlineStr"/>
      <c r="C3364" s="43" t="inlineStr"/>
      <c r="D3364" s="43" t="inlineStr">
        <is>
          <t>Q355D</t>
        </is>
      </c>
      <c r="E3364" s="43" t="n">
        <v>16191</v>
      </c>
      <c r="F3364" s="43" t="n">
        <v>200</v>
      </c>
      <c r="G3364" s="43" t="n">
        <v>16</v>
      </c>
      <c r="H3364" s="79">
        <f>(E3364/1000)*(F3364/1000)*(G3364/1000)*7850</f>
        <v/>
      </c>
      <c r="I3364" s="43" t="n">
        <v>8</v>
      </c>
      <c r="J3364" s="80">
        <f>H3364*I3364</f>
        <v/>
      </c>
      <c r="K3364" s="43" t="inlineStr">
        <is>
          <t>来源页233,237</t>
        </is>
      </c>
      <c r="L3364" s="43">
        <f>A3364</f>
        <v/>
      </c>
      <c r="M3364" s="81" t="n"/>
      <c r="N3364" s="81" t="n"/>
      <c r="O3364" s="81" t="n"/>
      <c r="P3364" s="81" t="n"/>
      <c r="Q3364" s="81" t="n"/>
      <c r="R3364" s="81" t="n"/>
      <c r="S3364" s="81" t="n"/>
      <c r="T3364" s="81" t="n"/>
      <c r="U3364" s="81" t="n"/>
      <c r="V3364" s="81" t="n"/>
      <c r="W3364" s="43" t="n"/>
    </row>
    <row r="3365">
      <c r="A3365" s="43" t="inlineStr">
        <is>
          <t>D7a</t>
        </is>
      </c>
      <c r="B3365" s="43" t="inlineStr"/>
      <c r="C3365" s="43" t="inlineStr"/>
      <c r="D3365" s="43" t="inlineStr">
        <is>
          <t>Q355D</t>
        </is>
      </c>
      <c r="E3365" s="43" t="n">
        <v>17500</v>
      </c>
      <c r="F3365" s="43" t="n">
        <v>200</v>
      </c>
      <c r="G3365" s="43" t="n">
        <v>16</v>
      </c>
      <c r="H3365" s="79">
        <f>(E3365/1000)*(F3365/1000)*(G3365/1000)*7850</f>
        <v/>
      </c>
      <c r="I3365" s="43" t="n">
        <v>4</v>
      </c>
      <c r="J3365" s="80">
        <f>H3365*I3365</f>
        <v/>
      </c>
      <c r="K3365" s="43" t="inlineStr">
        <is>
          <t>来源页233,237</t>
        </is>
      </c>
      <c r="L3365" s="43">
        <f>A3365</f>
        <v/>
      </c>
      <c r="M3365" s="81" t="n"/>
      <c r="N3365" s="81" t="n"/>
      <c r="O3365" s="81" t="n"/>
      <c r="P3365" s="81" t="n"/>
      <c r="Q3365" s="81" t="n"/>
      <c r="R3365" s="81" t="n"/>
      <c r="S3365" s="81" t="n"/>
      <c r="T3365" s="81" t="n"/>
      <c r="U3365" s="81" t="n"/>
      <c r="V3365" s="81" t="n"/>
      <c r="W3365" s="43" t="n"/>
    </row>
    <row r="3366">
      <c r="A3366" s="43" t="inlineStr">
        <is>
          <t>D8</t>
        </is>
      </c>
      <c r="B3366" s="43" t="inlineStr"/>
      <c r="C3366" s="43" t="inlineStr"/>
      <c r="D3366" s="43" t="inlineStr">
        <is>
          <t>Q355D</t>
        </is>
      </c>
      <c r="E3366" s="43" t="n">
        <v>2018</v>
      </c>
      <c r="F3366" s="43" t="n">
        <v>160</v>
      </c>
      <c r="G3366" s="43" t="n">
        <v>12</v>
      </c>
      <c r="H3366" s="79">
        <f>(E3366/1000)*(F3366/1000)*(G3366/1000)*7850</f>
        <v/>
      </c>
      <c r="I3366" s="43" t="n">
        <v>120</v>
      </c>
      <c r="J3366" s="80">
        <f>H3366*I3366</f>
        <v/>
      </c>
      <c r="K3366" s="43" t="inlineStr">
        <is>
          <t>来源页233,237</t>
        </is>
      </c>
      <c r="L3366" s="43">
        <f>A3366</f>
        <v/>
      </c>
      <c r="M3366" s="81" t="n"/>
      <c r="N3366" s="81" t="n"/>
      <c r="O3366" s="81" t="n"/>
      <c r="P3366" s="81" t="n"/>
      <c r="Q3366" s="81" t="n"/>
      <c r="R3366" s="81" t="n"/>
      <c r="S3366" s="81" t="n"/>
      <c r="T3366" s="81" t="n"/>
      <c r="U3366" s="81" t="n"/>
      <c r="V3366" s="81" t="n"/>
      <c r="W3366" s="43" t="n"/>
    </row>
    <row r="3367">
      <c r="A3367" s="43" t="inlineStr">
        <is>
          <t>D9</t>
        </is>
      </c>
      <c r="B3367" s="43" t="inlineStr"/>
      <c r="C3367" s="43" t="inlineStr"/>
      <c r="D3367" s="43" t="inlineStr">
        <is>
          <t>Q355D</t>
        </is>
      </c>
      <c r="E3367" s="43" t="n">
        <v>450</v>
      </c>
      <c r="F3367" s="43" t="n">
        <v>392</v>
      </c>
      <c r="G3367" s="43" t="n">
        <v>14</v>
      </c>
      <c r="H3367" s="79">
        <f>(E3367/1000)*(F3367/1000)*(G3367/1000)*7850</f>
        <v/>
      </c>
      <c r="I3367" s="43" t="n">
        <v>72</v>
      </c>
      <c r="J3367" s="80">
        <f>H3367*I3367</f>
        <v/>
      </c>
      <c r="K3367" s="43" t="inlineStr">
        <is>
          <t>A=0.09；来源页233,237</t>
        </is>
      </c>
      <c r="L3367" s="43">
        <f>A3367</f>
        <v/>
      </c>
      <c r="M3367" s="81" t="n"/>
      <c r="N3367" s="81" t="n"/>
      <c r="O3367" s="81" t="n"/>
      <c r="P3367" s="81" t="n"/>
      <c r="Q3367" s="81" t="n"/>
      <c r="R3367" s="81" t="n"/>
      <c r="S3367" s="81" t="n"/>
      <c r="T3367" s="81" t="n"/>
      <c r="U3367" s="81" t="n"/>
      <c r="V3367" s="81" t="n"/>
      <c r="W3367" s="43" t="n"/>
    </row>
    <row r="3368">
      <c r="A3368" s="43" t="inlineStr">
        <is>
          <t>D10</t>
        </is>
      </c>
      <c r="B3368" s="43" t="inlineStr"/>
      <c r="C3368" s="43" t="inlineStr"/>
      <c r="D3368" s="43" t="inlineStr">
        <is>
          <t>Q355D</t>
        </is>
      </c>
      <c r="E3368" s="43" t="n">
        <v>800</v>
      </c>
      <c r="F3368" s="43" t="n">
        <v>166</v>
      </c>
      <c r="G3368" s="43" t="n">
        <v>28</v>
      </c>
      <c r="H3368" s="79">
        <f>(E3368/1000)*(F3368/1000)*(G3368/1000)*7850</f>
        <v/>
      </c>
      <c r="I3368" s="43" t="n">
        <v>64</v>
      </c>
      <c r="J3368" s="80">
        <f>H3368*I3368</f>
        <v/>
      </c>
      <c r="K3368" s="43" t="inlineStr">
        <is>
          <t>A=0.12；来源页233,237</t>
        </is>
      </c>
      <c r="L3368" s="43">
        <f>A3368</f>
        <v/>
      </c>
      <c r="M3368" s="81" t="n"/>
      <c r="N3368" s="81" t="n"/>
      <c r="O3368" s="81" t="n"/>
      <c r="P3368" s="81" t="n"/>
      <c r="Q3368" s="81" t="n"/>
      <c r="R3368" s="81" t="n"/>
      <c r="S3368" s="81" t="n"/>
      <c r="T3368" s="81" t="n"/>
      <c r="U3368" s="81" t="n"/>
      <c r="V3368" s="81" t="n"/>
      <c r="W3368" s="43" t="n"/>
    </row>
    <row r="3369">
      <c r="A3369" s="43" t="inlineStr">
        <is>
          <t>D10'</t>
        </is>
      </c>
      <c r="B3369" s="43" t="inlineStr"/>
      <c r="C3369" s="43" t="inlineStr"/>
      <c r="D3369" s="43" t="inlineStr">
        <is>
          <t>Q355D</t>
        </is>
      </c>
      <c r="E3369" s="43" t="n">
        <v>800</v>
      </c>
      <c r="F3369" s="43" t="n">
        <v>160</v>
      </c>
      <c r="G3369" s="43" t="n">
        <v>28</v>
      </c>
      <c r="H3369" s="79">
        <f>(E3369/1000)*(F3369/1000)*(G3369/1000)*7850</f>
        <v/>
      </c>
      <c r="I3369" s="43" t="n">
        <v>72</v>
      </c>
      <c r="J3369" s="80">
        <f>H3369*I3369</f>
        <v/>
      </c>
      <c r="K3369" s="43" t="inlineStr">
        <is>
          <t>A=0.12；来源页233,237</t>
        </is>
      </c>
      <c r="L3369" s="43">
        <f>A3369</f>
        <v/>
      </c>
      <c r="M3369" s="81" t="n"/>
      <c r="N3369" s="81" t="n"/>
      <c r="O3369" s="81" t="n"/>
      <c r="P3369" s="81" t="n"/>
      <c r="Q3369" s="81" t="n"/>
      <c r="R3369" s="81" t="n"/>
      <c r="S3369" s="81" t="n"/>
      <c r="T3369" s="81" t="n"/>
      <c r="U3369" s="81" t="n"/>
      <c r="V3369" s="81" t="n"/>
      <c r="W3369" s="43" t="n"/>
    </row>
    <row r="3370">
      <c r="A3370" s="43" t="inlineStr">
        <is>
          <t>D10"'</t>
        </is>
      </c>
      <c r="B3370" s="43" t="inlineStr"/>
      <c r="C3370" s="43" t="inlineStr"/>
      <c r="D3370" s="43" t="inlineStr">
        <is>
          <t>Q355D</t>
        </is>
      </c>
      <c r="E3370" s="43" t="n">
        <v>800</v>
      </c>
      <c r="F3370" s="43" t="n">
        <v>158</v>
      </c>
      <c r="G3370" s="43" t="n">
        <v>28</v>
      </c>
      <c r="H3370" s="79">
        <f>(E3370/1000)*(F3370/1000)*(G3370/1000)*7850</f>
        <v/>
      </c>
      <c r="I3370" s="43" t="n">
        <v>72</v>
      </c>
      <c r="J3370" s="80">
        <f>H3370*I3370</f>
        <v/>
      </c>
      <c r="K3370" s="43" t="inlineStr">
        <is>
          <t>A=0.12；来源页233,237</t>
        </is>
      </c>
      <c r="L3370" s="43">
        <f>A3370</f>
        <v/>
      </c>
      <c r="M3370" s="81" t="n"/>
      <c r="N3370" s="81" t="n"/>
      <c r="O3370" s="81" t="n"/>
      <c r="P3370" s="81" t="n"/>
      <c r="Q3370" s="81" t="n"/>
      <c r="R3370" s="81" t="n"/>
      <c r="S3370" s="81" t="n"/>
      <c r="T3370" s="81" t="n"/>
      <c r="U3370" s="81" t="n"/>
      <c r="V3370" s="81" t="n"/>
      <c r="W3370" s="43" t="n"/>
    </row>
    <row r="3371">
      <c r="A3371" s="43" t="inlineStr">
        <is>
          <t>D20</t>
        </is>
      </c>
      <c r="B3371" s="43" t="inlineStr"/>
      <c r="C3371" s="43" t="inlineStr"/>
      <c r="D3371" s="43" t="inlineStr">
        <is>
          <t>Q355D</t>
        </is>
      </c>
      <c r="E3371" s="43" t="n">
        <v>600</v>
      </c>
      <c r="F3371" s="43" t="n">
        <v>360</v>
      </c>
      <c r="G3371" s="43" t="n">
        <v>50</v>
      </c>
      <c r="H3371" s="79">
        <f>(E3371/1000)*(F3371/1000)*(G3371/1000)*7850</f>
        <v/>
      </c>
      <c r="I3371" s="43" t="n">
        <v>16</v>
      </c>
      <c r="J3371" s="80">
        <f>H3371*I3371</f>
        <v/>
      </c>
      <c r="K3371" s="43" t="inlineStr">
        <is>
          <t>来源页233,237</t>
        </is>
      </c>
      <c r="L3371" s="43">
        <f>A3371</f>
        <v/>
      </c>
      <c r="M3371" s="81" t="n"/>
      <c r="N3371" s="81" t="n"/>
      <c r="O3371" s="81" t="n"/>
      <c r="P3371" s="81" t="n"/>
      <c r="Q3371" s="81" t="n"/>
      <c r="R3371" s="81" t="n"/>
      <c r="S3371" s="81" t="n"/>
      <c r="T3371" s="81" t="n"/>
      <c r="U3371" s="81" t="n"/>
      <c r="V3371" s="81" t="n"/>
      <c r="W3371" s="43" t="n"/>
    </row>
    <row r="3372">
      <c r="A3372" s="43" t="inlineStr">
        <is>
          <t>D30</t>
        </is>
      </c>
      <c r="B3372" s="43" t="inlineStr"/>
      <c r="C3372" s="43" t="inlineStr"/>
      <c r="D3372" s="43" t="inlineStr">
        <is>
          <t>Q355D</t>
        </is>
      </c>
      <c r="E3372" s="43" t="n">
        <v>900</v>
      </c>
      <c r="F3372" s="43" t="n">
        <v>360</v>
      </c>
      <c r="G3372" s="43" t="n">
        <v>50</v>
      </c>
      <c r="H3372" s="79">
        <f>(E3372/1000)*(F3372/1000)*(G3372/1000)*7850</f>
        <v/>
      </c>
      <c r="I3372" s="43" t="n">
        <v>24</v>
      </c>
      <c r="J3372" s="80">
        <f>H3372*I3372</f>
        <v/>
      </c>
      <c r="K3372" s="43" t="inlineStr">
        <is>
          <t>来源页233,237</t>
        </is>
      </c>
      <c r="L3372" s="43">
        <f>A3372</f>
        <v/>
      </c>
      <c r="M3372" s="81" t="n"/>
      <c r="N3372" s="81" t="n"/>
      <c r="O3372" s="81" t="n"/>
      <c r="P3372" s="81" t="n"/>
      <c r="Q3372" s="81" t="n"/>
      <c r="R3372" s="81" t="n"/>
      <c r="S3372" s="81" t="n"/>
      <c r="T3372" s="81" t="n"/>
      <c r="U3372" s="81" t="n"/>
      <c r="V3372" s="81" t="n"/>
      <c r="W3372" s="43" t="n"/>
    </row>
    <row r="3373">
      <c r="A3373" s="43" t="inlineStr">
        <is>
          <t>D60</t>
        </is>
      </c>
      <c r="B3373" s="43" t="inlineStr"/>
      <c r="C3373" s="43" t="inlineStr"/>
      <c r="D3373" s="43" t="inlineStr">
        <is>
          <t>Q355D</t>
        </is>
      </c>
      <c r="E3373" s="43" t="n">
        <v>1680</v>
      </c>
      <c r="F3373" s="43" t="n">
        <v>340</v>
      </c>
      <c r="G3373" s="43" t="n">
        <v>10</v>
      </c>
      <c r="H3373" s="79">
        <f>(E3373/1000)*(F3373/1000)*(G3373/1000)*7850</f>
        <v/>
      </c>
      <c r="I3373" s="43" t="n">
        <v>444</v>
      </c>
      <c r="J3373" s="80">
        <f>H3373*I3373</f>
        <v/>
      </c>
      <c r="K3373" s="43" t="inlineStr">
        <is>
          <t>来源页233,237</t>
        </is>
      </c>
      <c r="L3373" s="43">
        <f>A3373</f>
        <v/>
      </c>
      <c r="M3373" s="81" t="n"/>
      <c r="N3373" s="81" t="n"/>
      <c r="O3373" s="81" t="n"/>
      <c r="P3373" s="81" t="n"/>
      <c r="Q3373" s="81" t="n"/>
      <c r="R3373" s="81" t="n"/>
      <c r="S3373" s="81" t="n"/>
      <c r="T3373" s="81" t="n"/>
      <c r="U3373" s="81" t="n"/>
      <c r="V3373" s="81" t="n"/>
      <c r="W3373" s="43" t="n"/>
    </row>
    <row r="3374">
      <c r="A3374" s="43" t="inlineStr">
        <is>
          <t>D61</t>
        </is>
      </c>
      <c r="B3374" s="43" t="inlineStr"/>
      <c r="C3374" s="43" t="inlineStr"/>
      <c r="D3374" s="43" t="inlineStr">
        <is>
          <t>Q355D</t>
        </is>
      </c>
      <c r="E3374" s="43" t="n">
        <v>1280</v>
      </c>
      <c r="F3374" s="43" t="n">
        <v>340</v>
      </c>
      <c r="G3374" s="43" t="n">
        <v>10</v>
      </c>
      <c r="H3374" s="79">
        <f>(E3374/1000)*(F3374/1000)*(G3374/1000)*7850</f>
        <v/>
      </c>
      <c r="I3374" s="43" t="n">
        <v>444</v>
      </c>
      <c r="J3374" s="80">
        <f>H3374*I3374</f>
        <v/>
      </c>
      <c r="K3374" s="43" t="inlineStr">
        <is>
          <t>来源页233,237</t>
        </is>
      </c>
      <c r="L3374" s="43">
        <f>A3374</f>
        <v/>
      </c>
      <c r="M3374" s="81" t="n"/>
      <c r="N3374" s="81" t="n"/>
      <c r="O3374" s="81" t="n"/>
      <c r="P3374" s="81" t="n"/>
      <c r="Q3374" s="81" t="n"/>
      <c r="R3374" s="81" t="n"/>
      <c r="S3374" s="81" t="n"/>
      <c r="T3374" s="81" t="n"/>
      <c r="U3374" s="81" t="n"/>
      <c r="V3374" s="81" t="n"/>
      <c r="W3374" s="43" t="n"/>
    </row>
    <row r="3375">
      <c r="A3375" s="43" t="inlineStr">
        <is>
          <t>D70</t>
        </is>
      </c>
      <c r="B3375" s="43" t="inlineStr"/>
      <c r="C3375" s="43" t="inlineStr"/>
      <c r="D3375" s="43" t="inlineStr">
        <is>
          <t>Q355D</t>
        </is>
      </c>
      <c r="E3375" s="43" t="n">
        <v>697</v>
      </c>
      <c r="F3375" s="43" t="n">
        <v>60</v>
      </c>
      <c r="G3375" s="43" t="n">
        <v>6</v>
      </c>
      <c r="H3375" s="79">
        <f>(E3375/1000)*(F3375/1000)*(G3375/1000)*7850</f>
        <v/>
      </c>
      <c r="I3375" s="43" t="n">
        <v>2052</v>
      </c>
      <c r="J3375" s="80">
        <f>H3375*I3375</f>
        <v/>
      </c>
      <c r="K3375" s="43" t="inlineStr">
        <is>
          <t>来源页233,237</t>
        </is>
      </c>
      <c r="L3375" s="43">
        <f>A3375</f>
        <v/>
      </c>
      <c r="M3375" s="81" t="n"/>
      <c r="N3375" s="81" t="n"/>
      <c r="O3375" s="81" t="n"/>
      <c r="P3375" s="81" t="n"/>
      <c r="Q3375" s="81" t="n"/>
      <c r="R3375" s="81" t="n"/>
      <c r="S3375" s="81" t="n"/>
      <c r="T3375" s="81" t="n"/>
      <c r="U3375" s="81" t="n"/>
      <c r="V3375" s="81" t="n"/>
      <c r="W3375" s="43" t="n"/>
    </row>
    <row r="3376">
      <c r="A3376" s="43" t="inlineStr">
        <is>
          <t>N1</t>
        </is>
      </c>
      <c r="B3376" s="43" t="inlineStr"/>
      <c r="C3376" s="43" t="inlineStr"/>
      <c r="D3376" s="43" t="inlineStr">
        <is>
          <t>Q355B</t>
        </is>
      </c>
      <c r="E3376" s="43" t="n">
        <v>200</v>
      </c>
      <c r="F3376" s="43" t="n">
        <v>560</v>
      </c>
      <c r="G3376" s="43" t="n">
        <v>16</v>
      </c>
      <c r="H3376" s="79">
        <f>(E3376/1000)*(F3376/1000)*(G3376/1000)*7850</f>
        <v/>
      </c>
      <c r="I3376" s="43" t="n">
        <v>1</v>
      </c>
      <c r="J3376" s="80">
        <f>H3376*I3376</f>
        <v/>
      </c>
      <c r="K3376" s="43" t="inlineStr">
        <is>
          <t>来源页323</t>
        </is>
      </c>
      <c r="L3376" s="43">
        <f>A3376</f>
        <v/>
      </c>
      <c r="M3376" s="81" t="n"/>
      <c r="N3376" s="81" t="n"/>
      <c r="O3376" s="81" t="n"/>
      <c r="P3376" s="81" t="n"/>
      <c r="Q3376" s="81" t="n"/>
      <c r="R3376" s="81" t="n"/>
      <c r="S3376" s="81" t="n"/>
      <c r="T3376" s="81" t="n"/>
      <c r="U3376" s="81" t="n"/>
      <c r="V3376" s="81" t="n"/>
      <c r="W3376" s="43" t="n"/>
    </row>
    <row r="3377">
      <c r="A3377" s="43" t="inlineStr">
        <is>
          <t>N2</t>
        </is>
      </c>
      <c r="B3377" s="43" t="inlineStr"/>
      <c r="C3377" s="43" t="inlineStr"/>
      <c r="D3377" s="43" t="inlineStr">
        <is>
          <t>Q355B</t>
        </is>
      </c>
      <c r="E3377" s="43" t="n">
        <v>250</v>
      </c>
      <c r="F3377" s="43" t="n">
        <v>560</v>
      </c>
      <c r="G3377" s="43" t="n">
        <v>16</v>
      </c>
      <c r="H3377" s="79">
        <f>(E3377/1000)*(F3377/1000)*(G3377/1000)*7850</f>
        <v/>
      </c>
      <c r="I3377" s="43" t="n">
        <v>1</v>
      </c>
      <c r="J3377" s="80">
        <f>H3377*I3377</f>
        <v/>
      </c>
      <c r="K3377" s="43" t="inlineStr">
        <is>
          <t>来源页323</t>
        </is>
      </c>
      <c r="L3377" s="43">
        <f>A3377</f>
        <v/>
      </c>
      <c r="M3377" s="81" t="n"/>
      <c r="N3377" s="81" t="n"/>
      <c r="O3377" s="81" t="n"/>
      <c r="P3377" s="81" t="n"/>
      <c r="Q3377" s="81" t="n"/>
      <c r="R3377" s="81" t="n"/>
      <c r="S3377" s="81" t="n"/>
      <c r="T3377" s="81" t="n"/>
      <c r="U3377" s="81" t="n"/>
      <c r="V3377" s="81" t="n"/>
      <c r="W3377" s="43" t="n"/>
    </row>
    <row r="3378">
      <c r="A3378" s="43" t="inlineStr">
        <is>
          <t>N4</t>
        </is>
      </c>
      <c r="B3378" s="43" t="inlineStr"/>
      <c r="C3378" s="43" t="inlineStr"/>
      <c r="D3378" s="43" t="inlineStr">
        <is>
          <t>Q355B</t>
        </is>
      </c>
      <c r="E3378" s="43" t="n">
        <v>200</v>
      </c>
      <c r="F3378" s="43" t="n">
        <v>400</v>
      </c>
      <c r="G3378" s="43" t="n">
        <v>16</v>
      </c>
      <c r="H3378" s="79">
        <f>(E3378/1000)*(F3378/1000)*(G3378/1000)*7850</f>
        <v/>
      </c>
      <c r="I3378" s="43" t="n">
        <v>1</v>
      </c>
      <c r="J3378" s="80">
        <f>H3378*I3378</f>
        <v/>
      </c>
      <c r="K3378" s="43" t="inlineStr">
        <is>
          <t>来源页323</t>
        </is>
      </c>
      <c r="L3378" s="43">
        <f>A3378</f>
        <v/>
      </c>
      <c r="M3378" s="81" t="n"/>
      <c r="N3378" s="81" t="n"/>
      <c r="O3378" s="81" t="n"/>
      <c r="P3378" s="81" t="n"/>
      <c r="Q3378" s="81" t="n"/>
      <c r="R3378" s="81" t="n"/>
      <c r="S3378" s="81" t="n"/>
      <c r="T3378" s="81" t="n"/>
      <c r="U3378" s="81" t="n"/>
      <c r="V3378" s="81" t="n"/>
      <c r="W3378" s="43" t="n"/>
    </row>
    <row r="3379">
      <c r="A3379" s="43" t="inlineStr">
        <is>
          <t>N5</t>
        </is>
      </c>
      <c r="B3379" s="43" t="inlineStr"/>
      <c r="C3379" s="43" t="inlineStr"/>
      <c r="D3379" s="43" t="inlineStr">
        <is>
          <t>Q355B</t>
        </is>
      </c>
      <c r="E3379" s="43" t="n">
        <v>250</v>
      </c>
      <c r="F3379" s="43" t="n">
        <v>400</v>
      </c>
      <c r="G3379" s="43" t="n">
        <v>16</v>
      </c>
      <c r="H3379" s="79">
        <f>(E3379/1000)*(F3379/1000)*(G3379/1000)*7850</f>
        <v/>
      </c>
      <c r="I3379" s="43" t="n">
        <v>1</v>
      </c>
      <c r="J3379" s="80">
        <f>H3379*I3379</f>
        <v/>
      </c>
      <c r="K3379" s="43" t="inlineStr">
        <is>
          <t>来源页323</t>
        </is>
      </c>
      <c r="L3379" s="43">
        <f>A3379</f>
        <v/>
      </c>
      <c r="M3379" s="81" t="n"/>
      <c r="N3379" s="81" t="n"/>
      <c r="O3379" s="81" t="n"/>
      <c r="P3379" s="81" t="n"/>
      <c r="Q3379" s="81" t="n"/>
      <c r="R3379" s="81" t="n"/>
      <c r="S3379" s="81" t="n"/>
      <c r="T3379" s="81" t="n"/>
      <c r="U3379" s="81" t="n"/>
      <c r="V3379" s="81" t="n"/>
      <c r="W3379" s="43" t="n"/>
    </row>
    <row r="3380">
      <c r="A3380" s="43" t="inlineStr"/>
      <c r="B3380" s="43" t="inlineStr"/>
      <c r="C3380" s="43" t="inlineStr">
        <is>
          <t>节段02</t>
        </is>
      </c>
      <c r="D3380" s="43" t="inlineStr">
        <is>
          <t>Q355D</t>
        </is>
      </c>
      <c r="E3380" s="43" t="n"/>
      <c r="F3380" s="43" t="n"/>
      <c r="G3380" s="43" t="n"/>
      <c r="H3380" s="79">
        <f>(E3380/1000)*(F3380/1000)*(G3380/1000)*7850</f>
        <v/>
      </c>
      <c r="I3380" s="43" t="n"/>
      <c r="J3380" s="80">
        <f>H3380*I3380</f>
        <v/>
      </c>
      <c r="K3380" s="43" t="inlineStr">
        <is>
          <t>来源页53；校验incomplete</t>
        </is>
      </c>
      <c r="L3380" s="43">
        <f>A3380</f>
        <v/>
      </c>
      <c r="M3380" s="81" t="n"/>
      <c r="N3380" s="81" t="n"/>
      <c r="O3380" s="81" t="n"/>
      <c r="P3380" s="81" t="n"/>
      <c r="Q3380" s="81" t="n"/>
      <c r="R3380" s="81" t="n"/>
      <c r="S3380" s="81" t="n"/>
      <c r="T3380" s="81" t="n"/>
      <c r="U3380" s="81" t="n"/>
      <c r="V3380" s="81" t="n"/>
      <c r="W3380" s="43" t="n"/>
    </row>
    <row r="3381">
      <c r="A3381" s="43" t="inlineStr"/>
      <c r="B3381" s="43" t="inlineStr"/>
      <c r="C3381" s="43" t="inlineStr">
        <is>
          <t>节段02</t>
        </is>
      </c>
      <c r="D3381" s="43" t="inlineStr">
        <is>
          <t>Q355D</t>
        </is>
      </c>
      <c r="E3381" s="43" t="n"/>
      <c r="F3381" s="43" t="n"/>
      <c r="G3381" s="43" t="n"/>
      <c r="H3381" s="79">
        <f>(E3381/1000)*(F3381/1000)*(G3381/1000)*7850</f>
        <v/>
      </c>
      <c r="I3381" s="43" t="n"/>
      <c r="J3381" s="80">
        <f>H3381*I3381</f>
        <v/>
      </c>
      <c r="K3381" s="43" t="inlineStr">
        <is>
          <t>来源页53；校验incomplete</t>
        </is>
      </c>
      <c r="L3381" s="43">
        <f>A3381</f>
        <v/>
      </c>
      <c r="M3381" s="81" t="n"/>
      <c r="N3381" s="81" t="n"/>
      <c r="O3381" s="81" t="n"/>
      <c r="P3381" s="81" t="n"/>
      <c r="Q3381" s="81" t="n"/>
      <c r="R3381" s="81" t="n"/>
      <c r="S3381" s="81" t="n"/>
      <c r="T3381" s="81" t="n"/>
      <c r="U3381" s="81" t="n"/>
      <c r="V3381" s="81" t="n"/>
      <c r="W3381" s="43" t="n"/>
    </row>
    <row r="3382">
      <c r="A3382" s="43" t="inlineStr"/>
      <c r="B3382" s="43" t="inlineStr"/>
      <c r="C3382" s="43" t="inlineStr">
        <is>
          <t>节段02</t>
        </is>
      </c>
      <c r="D3382" s="43" t="inlineStr">
        <is>
          <t>Q355D</t>
        </is>
      </c>
      <c r="E3382" s="43" t="n"/>
      <c r="F3382" s="43" t="n"/>
      <c r="G3382" s="43" t="n"/>
      <c r="H3382" s="79">
        <f>(E3382/1000)*(F3382/1000)*(G3382/1000)*7850</f>
        <v/>
      </c>
      <c r="I3382" s="43" t="n"/>
      <c r="J3382" s="80">
        <f>H3382*I3382</f>
        <v/>
      </c>
      <c r="K3382" s="43" t="inlineStr">
        <is>
          <t>来源页53；校验incomplete</t>
        </is>
      </c>
      <c r="L3382" s="43">
        <f>A3382</f>
        <v/>
      </c>
      <c r="M3382" s="81" t="n"/>
      <c r="N3382" s="81" t="n"/>
      <c r="O3382" s="81" t="n"/>
      <c r="P3382" s="81" t="n"/>
      <c r="Q3382" s="81" t="n"/>
      <c r="R3382" s="81" t="n"/>
      <c r="S3382" s="81" t="n"/>
      <c r="T3382" s="81" t="n"/>
      <c r="U3382" s="81" t="n"/>
      <c r="V3382" s="81" t="n"/>
      <c r="W3382" s="43" t="n"/>
    </row>
    <row r="3383">
      <c r="A3383" s="43" t="inlineStr"/>
      <c r="B3383" s="43" t="inlineStr"/>
      <c r="C3383" s="43" t="inlineStr">
        <is>
          <t>节段03</t>
        </is>
      </c>
      <c r="D3383" s="43" t="inlineStr">
        <is>
          <t>Q355D</t>
        </is>
      </c>
      <c r="E3383" s="43" t="n"/>
      <c r="F3383" s="43" t="n"/>
      <c r="G3383" s="43" t="n"/>
      <c r="H3383" s="79">
        <f>(E3383/1000)*(F3383/1000)*(G3383/1000)*7850</f>
        <v/>
      </c>
      <c r="I3383" s="43" t="n"/>
      <c r="J3383" s="80">
        <f>H3383*I3383</f>
        <v/>
      </c>
      <c r="K3383" s="43" t="inlineStr">
        <is>
          <t>来源页57；校验incomplete</t>
        </is>
      </c>
      <c r="L3383" s="43">
        <f>A3383</f>
        <v/>
      </c>
      <c r="M3383" s="81" t="n"/>
      <c r="N3383" s="81" t="n"/>
      <c r="O3383" s="81" t="n"/>
      <c r="P3383" s="81" t="n"/>
      <c r="Q3383" s="81" t="n"/>
      <c r="R3383" s="81" t="n"/>
      <c r="S3383" s="81" t="n"/>
      <c r="T3383" s="81" t="n"/>
      <c r="U3383" s="81" t="n"/>
      <c r="V3383" s="81" t="n"/>
      <c r="W3383" s="43" t="n"/>
    </row>
    <row r="3384">
      <c r="A3384" s="43" t="inlineStr"/>
      <c r="B3384" s="43" t="inlineStr"/>
      <c r="C3384" s="43" t="inlineStr">
        <is>
          <t>节段03</t>
        </is>
      </c>
      <c r="D3384" s="43" t="inlineStr">
        <is>
          <t>Q355D</t>
        </is>
      </c>
      <c r="E3384" s="43" t="n"/>
      <c r="F3384" s="43" t="n"/>
      <c r="G3384" s="43" t="n"/>
      <c r="H3384" s="79">
        <f>(E3384/1000)*(F3384/1000)*(G3384/1000)*7850</f>
        <v/>
      </c>
      <c r="I3384" s="43" t="n"/>
      <c r="J3384" s="80">
        <f>H3384*I3384</f>
        <v/>
      </c>
      <c r="K3384" s="43" t="inlineStr">
        <is>
          <t>来源页57；校验incomplete</t>
        </is>
      </c>
      <c r="L3384" s="43">
        <f>A3384</f>
        <v/>
      </c>
      <c r="M3384" s="81" t="n"/>
      <c r="N3384" s="81" t="n"/>
      <c r="O3384" s="81" t="n"/>
      <c r="P3384" s="81" t="n"/>
      <c r="Q3384" s="81" t="n"/>
      <c r="R3384" s="81" t="n"/>
      <c r="S3384" s="81" t="n"/>
      <c r="T3384" s="81" t="n"/>
      <c r="U3384" s="81" t="n"/>
      <c r="V3384" s="81" t="n"/>
      <c r="W3384" s="43" t="n"/>
    </row>
    <row r="3385">
      <c r="A3385" s="43" t="inlineStr"/>
      <c r="B3385" s="43" t="inlineStr"/>
      <c r="C3385" s="43" t="inlineStr">
        <is>
          <t>节段03</t>
        </is>
      </c>
      <c r="D3385" s="43" t="inlineStr">
        <is>
          <t>Q355D</t>
        </is>
      </c>
      <c r="E3385" s="43" t="n"/>
      <c r="F3385" s="43" t="n"/>
      <c r="G3385" s="43" t="n"/>
      <c r="H3385" s="79">
        <f>(E3385/1000)*(F3385/1000)*(G3385/1000)*7850</f>
        <v/>
      </c>
      <c r="I3385" s="43" t="n"/>
      <c r="J3385" s="80">
        <f>H3385*I3385</f>
        <v/>
      </c>
      <c r="K3385" s="43" t="inlineStr">
        <is>
          <t>来源页57；校验incomplete</t>
        </is>
      </c>
      <c r="L3385" s="43">
        <f>A3385</f>
        <v/>
      </c>
      <c r="M3385" s="81" t="n"/>
      <c r="N3385" s="81" t="n"/>
      <c r="O3385" s="81" t="n"/>
      <c r="P3385" s="81" t="n"/>
      <c r="Q3385" s="81" t="n"/>
      <c r="R3385" s="81" t="n"/>
      <c r="S3385" s="81" t="n"/>
      <c r="T3385" s="81" t="n"/>
      <c r="U3385" s="81" t="n"/>
      <c r="V3385" s="81" t="n"/>
      <c r="W3385" s="43" t="n"/>
    </row>
    <row r="3386">
      <c r="A3386" s="43" t="inlineStr"/>
      <c r="B3386" s="43" t="inlineStr"/>
      <c r="C3386" s="43" t="inlineStr">
        <is>
          <t>节段04</t>
        </is>
      </c>
      <c r="D3386" s="43" t="inlineStr">
        <is>
          <t>Q355D</t>
        </is>
      </c>
      <c r="E3386" s="43" t="n"/>
      <c r="F3386" s="43" t="n"/>
      <c r="G3386" s="43" t="n"/>
      <c r="H3386" s="79">
        <f>(E3386/1000)*(F3386/1000)*(G3386/1000)*7850</f>
        <v/>
      </c>
      <c r="I3386" s="43" t="n"/>
      <c r="J3386" s="80">
        <f>H3386*I3386</f>
        <v/>
      </c>
      <c r="K3386" s="43" t="inlineStr">
        <is>
          <t>来源页61；校验incomplete</t>
        </is>
      </c>
      <c r="L3386" s="43">
        <f>A3386</f>
        <v/>
      </c>
      <c r="M3386" s="81" t="n"/>
      <c r="N3386" s="81" t="n"/>
      <c r="O3386" s="81" t="n"/>
      <c r="P3386" s="81" t="n"/>
      <c r="Q3386" s="81" t="n"/>
      <c r="R3386" s="81" t="n"/>
      <c r="S3386" s="81" t="n"/>
      <c r="T3386" s="81" t="n"/>
      <c r="U3386" s="81" t="n"/>
      <c r="V3386" s="81" t="n"/>
      <c r="W3386" s="43" t="n"/>
    </row>
    <row r="3387">
      <c r="A3387" s="43" t="inlineStr"/>
      <c r="B3387" s="43" t="inlineStr"/>
      <c r="C3387" s="43" t="inlineStr">
        <is>
          <t>节段04</t>
        </is>
      </c>
      <c r="D3387" s="43" t="inlineStr">
        <is>
          <t>Q355D</t>
        </is>
      </c>
      <c r="E3387" s="43" t="n"/>
      <c r="F3387" s="43" t="n"/>
      <c r="G3387" s="43" t="n"/>
      <c r="H3387" s="79">
        <f>(E3387/1000)*(F3387/1000)*(G3387/1000)*7850</f>
        <v/>
      </c>
      <c r="I3387" s="43" t="n"/>
      <c r="J3387" s="80">
        <f>H3387*I3387</f>
        <v/>
      </c>
      <c r="K3387" s="43" t="inlineStr">
        <is>
          <t>来源页61；校验incomplete</t>
        </is>
      </c>
      <c r="L3387" s="43">
        <f>A3387</f>
        <v/>
      </c>
      <c r="M3387" s="81" t="n"/>
      <c r="N3387" s="81" t="n"/>
      <c r="O3387" s="81" t="n"/>
      <c r="P3387" s="81" t="n"/>
      <c r="Q3387" s="81" t="n"/>
      <c r="R3387" s="81" t="n"/>
      <c r="S3387" s="81" t="n"/>
      <c r="T3387" s="81" t="n"/>
      <c r="U3387" s="81" t="n"/>
      <c r="V3387" s="81" t="n"/>
      <c r="W3387" s="43" t="n"/>
    </row>
    <row r="3388">
      <c r="A3388" s="43" t="inlineStr"/>
      <c r="B3388" s="43" t="inlineStr"/>
      <c r="C3388" s="43" t="inlineStr">
        <is>
          <t>节段04</t>
        </is>
      </c>
      <c r="D3388" s="43" t="inlineStr">
        <is>
          <t>Q355D</t>
        </is>
      </c>
      <c r="E3388" s="43" t="n"/>
      <c r="F3388" s="43" t="n"/>
      <c r="G3388" s="43" t="n"/>
      <c r="H3388" s="79">
        <f>(E3388/1000)*(F3388/1000)*(G3388/1000)*7850</f>
        <v/>
      </c>
      <c r="I3388" s="43" t="n"/>
      <c r="J3388" s="80">
        <f>H3388*I3388</f>
        <v/>
      </c>
      <c r="K3388" s="43" t="inlineStr">
        <is>
          <t>来源页61；校验incomplete</t>
        </is>
      </c>
      <c r="L3388" s="43">
        <f>A3388</f>
        <v/>
      </c>
      <c r="M3388" s="81" t="n"/>
      <c r="N3388" s="81" t="n"/>
      <c r="O3388" s="81" t="n"/>
      <c r="P3388" s="81" t="n"/>
      <c r="Q3388" s="81" t="n"/>
      <c r="R3388" s="81" t="n"/>
      <c r="S3388" s="81" t="n"/>
      <c r="T3388" s="81" t="n"/>
      <c r="U3388" s="81" t="n"/>
      <c r="V3388" s="81" t="n"/>
      <c r="W3388" s="43" t="n"/>
    </row>
    <row r="3389">
      <c r="A3389" s="43" t="inlineStr"/>
      <c r="B3389" s="43" t="inlineStr"/>
      <c r="C3389" s="43" t="inlineStr">
        <is>
          <t>节段05</t>
        </is>
      </c>
      <c r="D3389" s="43" t="inlineStr">
        <is>
          <t>Q355D</t>
        </is>
      </c>
      <c r="E3389" s="43" t="n"/>
      <c r="F3389" s="43" t="n"/>
      <c r="G3389" s="43" t="n"/>
      <c r="H3389" s="79">
        <f>(E3389/1000)*(F3389/1000)*(G3389/1000)*7850</f>
        <v/>
      </c>
      <c r="I3389" s="43" t="n"/>
      <c r="J3389" s="80">
        <f>H3389*I3389</f>
        <v/>
      </c>
      <c r="K3389" s="43" t="inlineStr">
        <is>
          <t>来源页65；校验incomplete</t>
        </is>
      </c>
      <c r="L3389" s="43">
        <f>A3389</f>
        <v/>
      </c>
      <c r="M3389" s="81" t="n"/>
      <c r="N3389" s="81" t="n"/>
      <c r="O3389" s="81" t="n"/>
      <c r="P3389" s="81" t="n"/>
      <c r="Q3389" s="81" t="n"/>
      <c r="R3389" s="81" t="n"/>
      <c r="S3389" s="81" t="n"/>
      <c r="T3389" s="81" t="n"/>
      <c r="U3389" s="81" t="n"/>
      <c r="V3389" s="81" t="n"/>
      <c r="W3389" s="43" t="n"/>
    </row>
    <row r="3390">
      <c r="A3390" s="43" t="inlineStr"/>
      <c r="B3390" s="43" t="inlineStr"/>
      <c r="C3390" s="43" t="inlineStr">
        <is>
          <t>节段4~节段5</t>
        </is>
      </c>
      <c r="D3390" s="43" t="inlineStr">
        <is>
          <t>Q355D</t>
        </is>
      </c>
      <c r="E3390" s="43" t="n"/>
      <c r="F3390" s="43" t="n"/>
      <c r="G3390" s="43" t="n">
        <v>36</v>
      </c>
      <c r="H3390" s="79">
        <f>(E3390/1000)*(F3390/1000)*(G3390/1000)*7850</f>
        <v/>
      </c>
      <c r="I3390" s="43" t="n"/>
      <c r="J3390" s="80">
        <f>H3390*I3390</f>
        <v/>
      </c>
      <c r="K3390" s="43" t="inlineStr">
        <is>
          <t>来源页65；校验incomplete</t>
        </is>
      </c>
      <c r="L3390" s="43">
        <f>A3390</f>
        <v/>
      </c>
      <c r="M3390" s="81" t="n"/>
      <c r="N3390" s="81" t="n"/>
      <c r="O3390" s="81" t="n"/>
      <c r="P3390" s="81" t="n"/>
      <c r="Q3390" s="81" t="n"/>
      <c r="R3390" s="81" t="n"/>
      <c r="S3390" s="81" t="n"/>
      <c r="T3390" s="81" t="n"/>
      <c r="U3390" s="81" t="n"/>
      <c r="V3390" s="81" t="n"/>
      <c r="W3390" s="43" t="n"/>
    </row>
    <row r="3391">
      <c r="A3391" s="43" t="inlineStr"/>
      <c r="B3391" s="43" t="inlineStr"/>
      <c r="C3391" s="43" t="inlineStr">
        <is>
          <t>节段4~节段5</t>
        </is>
      </c>
      <c r="D3391" s="43" t="inlineStr">
        <is>
          <t>Q355D</t>
        </is>
      </c>
      <c r="E3391" s="43" t="n"/>
      <c r="F3391" s="43" t="n"/>
      <c r="G3391" s="43" t="n">
        <v>32</v>
      </c>
      <c r="H3391" s="79">
        <f>(E3391/1000)*(F3391/1000)*(G3391/1000)*7850</f>
        <v/>
      </c>
      <c r="I3391" s="43" t="n"/>
      <c r="J3391" s="80">
        <f>H3391*I3391</f>
        <v/>
      </c>
      <c r="K3391" s="43" t="inlineStr">
        <is>
          <t>来源页65；校验incomplete</t>
        </is>
      </c>
      <c r="L3391" s="43">
        <f>A3391</f>
        <v/>
      </c>
      <c r="M3391" s="81" t="n"/>
      <c r="N3391" s="81" t="n"/>
      <c r="O3391" s="81" t="n"/>
      <c r="P3391" s="81" t="n"/>
      <c r="Q3391" s="81" t="n"/>
      <c r="R3391" s="81" t="n"/>
      <c r="S3391" s="81" t="n"/>
      <c r="T3391" s="81" t="n"/>
      <c r="U3391" s="81" t="n"/>
      <c r="V3391" s="81" t="n"/>
      <c r="W3391" s="43" t="n"/>
    </row>
    <row r="3392">
      <c r="A3392" s="43" t="inlineStr"/>
      <c r="B3392" s="43" t="inlineStr"/>
      <c r="C3392" s="43" t="inlineStr">
        <is>
          <t>节段4~节段5</t>
        </is>
      </c>
      <c r="D3392" s="43" t="inlineStr">
        <is>
          <t>Q355D</t>
        </is>
      </c>
      <c r="E3392" s="43" t="n"/>
      <c r="F3392" s="43" t="n"/>
      <c r="G3392" s="43" t="n">
        <v>28</v>
      </c>
      <c r="H3392" s="79">
        <f>(E3392/1000)*(F3392/1000)*(G3392/1000)*7850</f>
        <v/>
      </c>
      <c r="I3392" s="43" t="n"/>
      <c r="J3392" s="80">
        <f>H3392*I3392</f>
        <v/>
      </c>
      <c r="K3392" s="43" t="inlineStr">
        <is>
          <t>来源页65；校验incomplete</t>
        </is>
      </c>
      <c r="L3392" s="43">
        <f>A3392</f>
        <v/>
      </c>
      <c r="M3392" s="81" t="n"/>
      <c r="N3392" s="81" t="n"/>
      <c r="O3392" s="81" t="n"/>
      <c r="P3392" s="81" t="n"/>
      <c r="Q3392" s="81" t="n"/>
      <c r="R3392" s="81" t="n"/>
      <c r="S3392" s="81" t="n"/>
      <c r="T3392" s="81" t="n"/>
      <c r="U3392" s="81" t="n"/>
      <c r="V3392" s="81" t="n"/>
      <c r="W3392" s="43" t="n"/>
    </row>
    <row r="3393">
      <c r="A3393" s="43" t="inlineStr"/>
      <c r="B3393" s="43" t="inlineStr"/>
      <c r="C3393" s="43" t="inlineStr">
        <is>
          <t>节段4~节段5</t>
        </is>
      </c>
      <c r="D3393" s="43" t="inlineStr">
        <is>
          <t>Q355D</t>
        </is>
      </c>
      <c r="E3393" s="43" t="n"/>
      <c r="F3393" s="43" t="n"/>
      <c r="G3393" s="43" t="n">
        <v>24</v>
      </c>
      <c r="H3393" s="79">
        <f>(E3393/1000)*(F3393/1000)*(G3393/1000)*7850</f>
        <v/>
      </c>
      <c r="I3393" s="43" t="n"/>
      <c r="J3393" s="80">
        <f>H3393*I3393</f>
        <v/>
      </c>
      <c r="K3393" s="43" t="inlineStr">
        <is>
          <t>来源页65；校验incomplete</t>
        </is>
      </c>
      <c r="L3393" s="43">
        <f>A3393</f>
        <v/>
      </c>
      <c r="M3393" s="81" t="n"/>
      <c r="N3393" s="81" t="n"/>
      <c r="O3393" s="81" t="n"/>
      <c r="P3393" s="81" t="n"/>
      <c r="Q3393" s="81" t="n"/>
      <c r="R3393" s="81" t="n"/>
      <c r="S3393" s="81" t="n"/>
      <c r="T3393" s="81" t="n"/>
      <c r="U3393" s="81" t="n"/>
      <c r="V3393" s="81" t="n"/>
      <c r="W3393" s="43" t="n"/>
    </row>
    <row r="3394">
      <c r="A3394" s="43" t="inlineStr"/>
      <c r="B3394" s="43" t="inlineStr"/>
      <c r="C3394" s="43" t="inlineStr">
        <is>
          <t>节段4~节段5</t>
        </is>
      </c>
      <c r="D3394" s="43" t="inlineStr">
        <is>
          <t>Q355D</t>
        </is>
      </c>
      <c r="E3394" s="43" t="n"/>
      <c r="F3394" s="43" t="n"/>
      <c r="G3394" s="43" t="n">
        <v>20</v>
      </c>
      <c r="H3394" s="79">
        <f>(E3394/1000)*(F3394/1000)*(G3394/1000)*7850</f>
        <v/>
      </c>
      <c r="I3394" s="43" t="n"/>
      <c r="J3394" s="80">
        <f>H3394*I3394</f>
        <v/>
      </c>
      <c r="K3394" s="43" t="inlineStr">
        <is>
          <t>来源页65；校验incomplete</t>
        </is>
      </c>
      <c r="L3394" s="43">
        <f>A3394</f>
        <v/>
      </c>
      <c r="M3394" s="81" t="n"/>
      <c r="N3394" s="81" t="n"/>
      <c r="O3394" s="81" t="n"/>
      <c r="P3394" s="81" t="n"/>
      <c r="Q3394" s="81" t="n"/>
      <c r="R3394" s="81" t="n"/>
      <c r="S3394" s="81" t="n"/>
      <c r="T3394" s="81" t="n"/>
      <c r="U3394" s="81" t="n"/>
      <c r="V3394" s="81" t="n"/>
      <c r="W3394" s="43" t="n"/>
    </row>
    <row r="3395">
      <c r="A3395" s="43" t="inlineStr"/>
      <c r="B3395" s="43" t="inlineStr"/>
      <c r="C3395" s="43" t="inlineStr">
        <is>
          <t>节段4~节段5</t>
        </is>
      </c>
      <c r="D3395" s="43" t="inlineStr">
        <is>
          <t>Q355D</t>
        </is>
      </c>
      <c r="E3395" s="43" t="n"/>
      <c r="F3395" s="43" t="n"/>
      <c r="G3395" s="43" t="n">
        <v>16</v>
      </c>
      <c r="H3395" s="79">
        <f>(E3395/1000)*(F3395/1000)*(G3395/1000)*7850</f>
        <v/>
      </c>
      <c r="I3395" s="43" t="n"/>
      <c r="J3395" s="80">
        <f>H3395*I3395</f>
        <v/>
      </c>
      <c r="K3395" s="43" t="inlineStr">
        <is>
          <t>来源页65；校验incomplete</t>
        </is>
      </c>
      <c r="L3395" s="43">
        <f>A3395</f>
        <v/>
      </c>
      <c r="M3395" s="81" t="n"/>
      <c r="N3395" s="81" t="n"/>
      <c r="O3395" s="81" t="n"/>
      <c r="P3395" s="81" t="n"/>
      <c r="Q3395" s="81" t="n"/>
      <c r="R3395" s="81" t="n"/>
      <c r="S3395" s="81" t="n"/>
      <c r="T3395" s="81" t="n"/>
      <c r="U3395" s="81" t="n"/>
      <c r="V3395" s="81" t="n"/>
      <c r="W3395" s="43" t="n"/>
    </row>
    <row r="3396">
      <c r="A3396" s="43" t="inlineStr"/>
      <c r="B3396" s="43" t="inlineStr"/>
      <c r="C3396" s="43" t="inlineStr">
        <is>
          <t>节段4~节段5</t>
        </is>
      </c>
      <c r="D3396" s="43" t="inlineStr">
        <is>
          <t>Q355D</t>
        </is>
      </c>
      <c r="E3396" s="43" t="n"/>
      <c r="F3396" s="43" t="n"/>
      <c r="G3396" s="43" t="n">
        <v>8</v>
      </c>
      <c r="H3396" s="79">
        <f>(E3396/1000)*(F3396/1000)*(G3396/1000)*7850</f>
        <v/>
      </c>
      <c r="I3396" s="43" t="n"/>
      <c r="J3396" s="80">
        <f>H3396*I3396</f>
        <v/>
      </c>
      <c r="K3396" s="43" t="inlineStr">
        <is>
          <t>来源页65；校验incomplete</t>
        </is>
      </c>
      <c r="L3396" s="43">
        <f>A3396</f>
        <v/>
      </c>
      <c r="M3396" s="81" t="n"/>
      <c r="N3396" s="81" t="n"/>
      <c r="O3396" s="81" t="n"/>
      <c r="P3396" s="81" t="n"/>
      <c r="Q3396" s="81" t="n"/>
      <c r="R3396" s="81" t="n"/>
      <c r="S3396" s="81" t="n"/>
      <c r="T3396" s="81" t="n"/>
      <c r="U3396" s="81" t="n"/>
      <c r="V3396" s="81" t="n"/>
      <c r="W3396" s="43" t="n"/>
    </row>
    <row r="3397">
      <c r="A3397" s="43" t="inlineStr"/>
      <c r="B3397" s="43" t="inlineStr"/>
      <c r="C3397" s="43" t="inlineStr">
        <is>
          <t>节段4~节段5</t>
        </is>
      </c>
      <c r="D3397" s="43" t="inlineStr">
        <is>
          <t>10.9S高强螺栓</t>
        </is>
      </c>
      <c r="E3397" s="43" t="n"/>
      <c r="F3397" s="43" t="n"/>
      <c r="G3397" s="43" t="n"/>
      <c r="H3397" s="79">
        <f>(E3397/1000)*(F3397/1000)*(G3397/1000)*7850</f>
        <v/>
      </c>
      <c r="I3397" s="43" t="n"/>
      <c r="J3397" s="80">
        <f>H3397*I3397</f>
        <v/>
      </c>
      <c r="K3397" s="43" t="inlineStr">
        <is>
          <t>来源页65；校验incomplete</t>
        </is>
      </c>
      <c r="L3397" s="43">
        <f>A3397</f>
        <v/>
      </c>
      <c r="M3397" s="81" t="n"/>
      <c r="N3397" s="81" t="n"/>
      <c r="O3397" s="81" t="n"/>
      <c r="P3397" s="81" t="n"/>
      <c r="Q3397" s="81" t="n"/>
      <c r="R3397" s="81" t="n"/>
      <c r="S3397" s="81" t="n"/>
      <c r="T3397" s="81" t="n"/>
      <c r="U3397" s="81" t="n"/>
      <c r="V3397" s="81" t="n"/>
      <c r="W3397" s="43" t="n"/>
    </row>
    <row r="3398">
      <c r="A3398" s="43" t="inlineStr"/>
      <c r="B3398" s="43" t="inlineStr"/>
      <c r="C3398" s="43" t="inlineStr">
        <is>
          <t>节段4~节段5</t>
        </is>
      </c>
      <c r="D3398" s="43" t="inlineStr">
        <is>
          <t>10.9S高强螺栓</t>
        </is>
      </c>
      <c r="E3398" s="43" t="n"/>
      <c r="F3398" s="43" t="n"/>
      <c r="G3398" s="43" t="n"/>
      <c r="H3398" s="79">
        <f>(E3398/1000)*(F3398/1000)*(G3398/1000)*7850</f>
        <v/>
      </c>
      <c r="I3398" s="43" t="n"/>
      <c r="J3398" s="80">
        <f>H3398*I3398</f>
        <v/>
      </c>
      <c r="K3398" s="43" t="inlineStr">
        <is>
          <t>来源页65；校验incomplete</t>
        </is>
      </c>
      <c r="L3398" s="43">
        <f>A3398</f>
        <v/>
      </c>
      <c r="M3398" s="81" t="n"/>
      <c r="N3398" s="81" t="n"/>
      <c r="O3398" s="81" t="n"/>
      <c r="P3398" s="81" t="n"/>
      <c r="Q3398" s="81" t="n"/>
      <c r="R3398" s="81" t="n"/>
      <c r="S3398" s="81" t="n"/>
      <c r="T3398" s="81" t="n"/>
      <c r="U3398" s="81" t="n"/>
      <c r="V3398" s="81" t="n"/>
      <c r="W3398" s="43" t="n"/>
    </row>
    <row r="3399">
      <c r="A3399" s="43" t="inlineStr">
        <is>
          <t>3664.1</t>
        </is>
      </c>
      <c r="B3399" s="43" t="inlineStr">
        <is>
          <t>t=16</t>
        </is>
      </c>
      <c r="C3399" s="43" t="inlineStr"/>
      <c r="D3399" s="43" t="inlineStr">
        <is>
          <t>3664.1</t>
        </is>
      </c>
      <c r="E3399" s="43" t="n"/>
      <c r="F3399" s="43" t="n"/>
      <c r="G3399" s="43" t="n"/>
      <c r="H3399" s="79">
        <f>(E3399/1000)*(F3399/1000)*(G3399/1000)*7850</f>
        <v/>
      </c>
      <c r="I3399" s="43" t="inlineStr">
        <is>
          <t>t=44</t>
        </is>
      </c>
      <c r="J3399" s="80">
        <f>H3399*I3399</f>
        <v/>
      </c>
      <c r="K3399" s="43" t="inlineStr">
        <is>
          <t>1129.4；来源页69；校验incomplete</t>
        </is>
      </c>
      <c r="L3399" s="43">
        <f>A3399</f>
        <v/>
      </c>
      <c r="M3399" s="81" t="n"/>
      <c r="N3399" s="81" t="n"/>
      <c r="O3399" s="81" t="n"/>
      <c r="P3399" s="81" t="n"/>
      <c r="Q3399" s="81" t="n"/>
      <c r="R3399" s="81" t="n"/>
      <c r="S3399" s="81" t="n"/>
      <c r="T3399" s="81" t="n"/>
      <c r="U3399" s="81" t="n"/>
      <c r="V3399" s="81" t="n"/>
      <c r="W3399" s="43" t="n"/>
    </row>
    <row r="3400">
      <c r="A3400" s="43" t="inlineStr">
        <is>
          <t>560.4</t>
        </is>
      </c>
      <c r="B3400" s="43" t="inlineStr">
        <is>
          <t>t=14</t>
        </is>
      </c>
      <c r="C3400" s="43" t="inlineStr"/>
      <c r="D3400" s="43" t="inlineStr">
        <is>
          <t>560.4</t>
        </is>
      </c>
      <c r="E3400" s="43" t="n"/>
      <c r="F3400" s="43" t="n"/>
      <c r="G3400" s="43" t="n"/>
      <c r="H3400" s="79">
        <f>(E3400/1000)*(F3400/1000)*(G3400/1000)*7850</f>
        <v/>
      </c>
      <c r="I3400" s="43" t="inlineStr">
        <is>
          <t>t=40</t>
        </is>
      </c>
      <c r="J3400" s="80">
        <f>H3400*I3400</f>
        <v/>
      </c>
      <c r="K3400" s="43" t="inlineStr">
        <is>
          <t>3887.2；来源页69；校验incomplete</t>
        </is>
      </c>
      <c r="L3400" s="43">
        <f>A3400</f>
        <v/>
      </c>
      <c r="M3400" s="81" t="n"/>
      <c r="N3400" s="81" t="n"/>
      <c r="O3400" s="81" t="n"/>
      <c r="P3400" s="81" t="n"/>
      <c r="Q3400" s="81" t="n"/>
      <c r="R3400" s="81" t="n"/>
      <c r="S3400" s="81" t="n"/>
      <c r="T3400" s="81" t="n"/>
      <c r="U3400" s="81" t="n"/>
      <c r="V3400" s="81" t="n"/>
      <c r="W3400" s="43" t="n"/>
    </row>
    <row r="3401">
      <c r="A3401" s="43" t="inlineStr">
        <is>
          <t>7931.6</t>
        </is>
      </c>
      <c r="B3401" s="43" t="inlineStr">
        <is>
          <t>t=40</t>
        </is>
      </c>
      <c r="C3401" s="43" t="inlineStr"/>
      <c r="D3401" s="43" t="inlineStr">
        <is>
          <t>7931.6</t>
        </is>
      </c>
      <c r="E3401" s="43" t="n"/>
      <c r="F3401" s="43" t="n"/>
      <c r="G3401" s="43" t="n"/>
      <c r="H3401" s="79">
        <f>(E3401/1000)*(F3401/1000)*(G3401/1000)*7850</f>
        <v/>
      </c>
      <c r="I3401" s="43" t="inlineStr">
        <is>
          <t>合计</t>
        </is>
      </c>
      <c r="J3401" s="80">
        <f>H3401*I3401</f>
        <v/>
      </c>
      <c r="K3401" s="43" t="inlineStr">
        <is>
          <t>5619.6；来源页69；校验incomplete</t>
        </is>
      </c>
      <c r="L3401" s="43">
        <f>A3401</f>
        <v/>
      </c>
      <c r="M3401" s="81" t="n"/>
      <c r="N3401" s="81" t="n"/>
      <c r="O3401" s="81" t="n"/>
      <c r="P3401" s="81" t="n"/>
      <c r="Q3401" s="81" t="n"/>
      <c r="R3401" s="81" t="n"/>
      <c r="S3401" s="81" t="n"/>
      <c r="T3401" s="81" t="n"/>
      <c r="U3401" s="81" t="n"/>
      <c r="V3401" s="81" t="n"/>
      <c r="W3401" s="43" t="n"/>
    </row>
    <row r="3402">
      <c r="A3402" s="43" t="inlineStr">
        <is>
          <t>14717.8</t>
        </is>
      </c>
      <c r="B3402" s="43" t="inlineStr">
        <is>
          <t>t=36</t>
        </is>
      </c>
      <c r="C3402" s="43" t="inlineStr"/>
      <c r="D3402" s="43" t="inlineStr">
        <is>
          <t>14717.8</t>
        </is>
      </c>
      <c r="E3402" s="43" t="n"/>
      <c r="F3402" s="43" t="n"/>
      <c r="G3402" s="43" t="n"/>
      <c r="H3402" s="79">
        <f>(E3402/1000)*(F3402/1000)*(G3402/1000)*7850</f>
        <v/>
      </c>
      <c r="I3402" s="43" t="inlineStr">
        <is>
          <t>t=44</t>
        </is>
      </c>
      <c r="J3402" s="80">
        <f>H3402*I3402</f>
        <v/>
      </c>
      <c r="K3402" s="43" t="inlineStr">
        <is>
          <t>825.4；来源页69；校验incomplete</t>
        </is>
      </c>
      <c r="L3402" s="43">
        <f>A3402</f>
        <v/>
      </c>
      <c r="M3402" s="81" t="n"/>
      <c r="N3402" s="81" t="n"/>
      <c r="O3402" s="81" t="n"/>
      <c r="P3402" s="81" t="n"/>
      <c r="Q3402" s="81" t="n"/>
      <c r="R3402" s="81" t="n"/>
      <c r="S3402" s="81" t="n"/>
      <c r="T3402" s="81" t="n"/>
      <c r="U3402" s="81" t="n"/>
      <c r="V3402" s="81" t="n"/>
      <c r="W3402" s="43" t="n"/>
    </row>
    <row r="3403">
      <c r="A3403" s="43" t="inlineStr">
        <is>
          <t>5219.7</t>
        </is>
      </c>
      <c r="B3403" s="43" t="inlineStr">
        <is>
          <t>t=32</t>
        </is>
      </c>
      <c r="C3403" s="43" t="inlineStr"/>
      <c r="D3403" s="43" t="inlineStr">
        <is>
          <t>5219.7</t>
        </is>
      </c>
      <c r="E3403" s="43" t="n"/>
      <c r="F3403" s="43" t="n"/>
      <c r="G3403" s="43" t="n"/>
      <c r="H3403" s="79">
        <f>(E3403/1000)*(F3403/1000)*(G3403/1000)*7850</f>
        <v/>
      </c>
      <c r="I3403" s="43" t="inlineStr">
        <is>
          <t>t=32</t>
        </is>
      </c>
      <c r="J3403" s="80">
        <f>H3403*I3403</f>
        <v/>
      </c>
      <c r="K3403" s="43" t="inlineStr">
        <is>
          <t>535；来源页69；校验incomplete</t>
        </is>
      </c>
      <c r="L3403" s="43">
        <f>A3403</f>
        <v/>
      </c>
      <c r="M3403" s="81" t="n"/>
      <c r="N3403" s="81" t="n"/>
      <c r="O3403" s="81" t="n"/>
      <c r="P3403" s="81" t="n"/>
      <c r="Q3403" s="81" t="n"/>
      <c r="R3403" s="81" t="n"/>
      <c r="S3403" s="81" t="n"/>
      <c r="T3403" s="81" t="n"/>
      <c r="U3403" s="81" t="n"/>
      <c r="V3403" s="81" t="n"/>
      <c r="W3403" s="43" t="n"/>
    </row>
    <row r="3404">
      <c r="A3404" s="43" t="inlineStr">
        <is>
          <t>897.4</t>
        </is>
      </c>
      <c r="B3404" s="43" t="inlineStr">
        <is>
          <t>t=24</t>
        </is>
      </c>
      <c r="C3404" s="43" t="inlineStr"/>
      <c r="D3404" s="43" t="inlineStr">
        <is>
          <t>897.4</t>
        </is>
      </c>
      <c r="E3404" s="43" t="n"/>
      <c r="F3404" s="43" t="n"/>
      <c r="G3404" s="43" t="n"/>
      <c r="H3404" s="79">
        <f>(E3404/1000)*(F3404/1000)*(G3404/1000)*7850</f>
        <v/>
      </c>
      <c r="I3404" s="43" t="inlineStr">
        <is>
          <t>t=28</t>
        </is>
      </c>
      <c r="J3404" s="80">
        <f>H3404*I3404</f>
        <v/>
      </c>
      <c r="K3404" s="43" t="inlineStr">
        <is>
          <t>608.9；来源页69；校验incomplete</t>
        </is>
      </c>
      <c r="L3404" s="43">
        <f>A3404</f>
        <v/>
      </c>
      <c r="M3404" s="81" t="n"/>
      <c r="N3404" s="81" t="n"/>
      <c r="O3404" s="81" t="n"/>
      <c r="P3404" s="81" t="n"/>
      <c r="Q3404" s="81" t="n"/>
      <c r="R3404" s="81" t="n"/>
      <c r="S3404" s="81" t="n"/>
      <c r="T3404" s="81" t="n"/>
      <c r="U3404" s="81" t="n"/>
      <c r="V3404" s="81" t="n"/>
      <c r="W3404" s="43" t="n"/>
    </row>
    <row r="3405">
      <c r="A3405" s="43" t="inlineStr">
        <is>
          <t>904.5</t>
        </is>
      </c>
      <c r="B3405" s="43" t="inlineStr">
        <is>
          <t>t=16</t>
        </is>
      </c>
      <c r="C3405" s="43" t="inlineStr"/>
      <c r="D3405" s="43" t="inlineStr">
        <is>
          <t>904.5</t>
        </is>
      </c>
      <c r="E3405" s="43" t="n"/>
      <c r="F3405" s="43" t="n"/>
      <c r="G3405" s="43" t="n"/>
      <c r="H3405" s="79">
        <f>(E3405/1000)*(F3405/1000)*(G3405/1000)*7850</f>
        <v/>
      </c>
      <c r="I3405" s="43" t="inlineStr">
        <is>
          <t>t=24</t>
        </is>
      </c>
      <c r="J3405" s="80">
        <f>H3405*I3405</f>
        <v/>
      </c>
      <c r="K3405" s="43" t="inlineStr">
        <is>
          <t>1541；来源页69；校验incomplete</t>
        </is>
      </c>
      <c r="L3405" s="43">
        <f>A3405</f>
        <v/>
      </c>
      <c r="M3405" s="81" t="n"/>
      <c r="N3405" s="81" t="n"/>
      <c r="O3405" s="81" t="n"/>
      <c r="P3405" s="81" t="n"/>
      <c r="Q3405" s="81" t="n"/>
      <c r="R3405" s="81" t="n"/>
      <c r="S3405" s="81" t="n"/>
      <c r="T3405" s="81" t="n"/>
      <c r="U3405" s="81" t="n"/>
      <c r="V3405" s="81" t="n"/>
      <c r="W3405" s="43" t="n"/>
    </row>
    <row r="3406">
      <c r="A3406" s="43" t="inlineStr">
        <is>
          <t>2488.4</t>
        </is>
      </c>
      <c r="B3406" s="43" t="inlineStr">
        <is>
          <t>t=14</t>
        </is>
      </c>
      <c r="C3406" s="43" t="inlineStr"/>
      <c r="D3406" s="43" t="inlineStr">
        <is>
          <t>2488.4</t>
        </is>
      </c>
      <c r="E3406" s="43" t="n"/>
      <c r="F3406" s="43" t="n"/>
      <c r="G3406" s="43" t="n"/>
      <c r="H3406" s="79">
        <f>(E3406/1000)*(F3406/1000)*(G3406/1000)*7850</f>
        <v/>
      </c>
      <c r="I3406" s="43" t="inlineStr">
        <is>
          <t>t=20</t>
        </is>
      </c>
      <c r="J3406" s="80">
        <f>H3406*I3406</f>
        <v/>
      </c>
      <c r="K3406" s="43" t="inlineStr">
        <is>
          <t>1058；来源页69；校验incomplete</t>
        </is>
      </c>
      <c r="L3406" s="43">
        <f>A3406</f>
        <v/>
      </c>
      <c r="M3406" s="81" t="n"/>
      <c r="N3406" s="81" t="n"/>
      <c r="O3406" s="81" t="n"/>
      <c r="P3406" s="81" t="n"/>
      <c r="Q3406" s="81" t="n"/>
      <c r="R3406" s="81" t="n"/>
      <c r="S3406" s="81" t="n"/>
      <c r="T3406" s="81" t="n"/>
      <c r="U3406" s="81" t="n"/>
      <c r="V3406" s="81" t="n"/>
      <c r="W3406" s="43" t="n"/>
    </row>
    <row r="3407">
      <c r="A3407" s="43" t="inlineStr">
        <is>
          <t>2214.0</t>
        </is>
      </c>
      <c r="B3407" s="43" t="inlineStr">
        <is>
          <t>焊缝重(1.5%)</t>
        </is>
      </c>
      <c r="C3407" s="43" t="inlineStr"/>
      <c r="D3407" s="43" t="inlineStr">
        <is>
          <t>2214.0</t>
        </is>
      </c>
      <c r="E3407" s="43" t="n"/>
      <c r="F3407" s="43" t="n"/>
      <c r="G3407" s="43" t="n"/>
      <c r="H3407" s="79">
        <f>(E3407/1000)*(F3407/1000)*(G3407/1000)*7850</f>
        <v/>
      </c>
      <c r="I3407" s="43" t="inlineStr">
        <is>
          <t>t=14</t>
        </is>
      </c>
      <c r="J3407" s="80">
        <f>H3407*I3407</f>
        <v/>
      </c>
      <c r="K3407" s="43" t="inlineStr">
        <is>
          <t>118.8；来源页69；校验incomplete</t>
        </is>
      </c>
      <c r="L3407" s="43">
        <f>A3407</f>
        <v/>
      </c>
      <c r="M3407" s="81" t="n"/>
      <c r="N3407" s="81" t="n"/>
      <c r="O3407" s="81" t="n"/>
      <c r="P3407" s="81" t="n"/>
      <c r="Q3407" s="81" t="n"/>
      <c r="R3407" s="81" t="n"/>
      <c r="S3407" s="81" t="n"/>
      <c r="T3407" s="81" t="n"/>
      <c r="U3407" s="81" t="n"/>
      <c r="V3407" s="81" t="n"/>
      <c r="W3407" s="43" t="n"/>
    </row>
    <row r="3408">
      <c r="A3408" s="43" t="inlineStr">
        <is>
          <t>411.5</t>
        </is>
      </c>
      <c r="B3408" s="43" t="inlineStr">
        <is>
          <t>内表面涂装（m2)</t>
        </is>
      </c>
      <c r="C3408" s="43" t="inlineStr"/>
      <c r="D3408" s="43" t="inlineStr">
        <is>
          <t>411.5</t>
        </is>
      </c>
      <c r="E3408" s="43" t="n"/>
      <c r="F3408" s="43" t="n"/>
      <c r="G3408" s="43" t="n"/>
      <c r="H3408" s="79">
        <f>(E3408/1000)*(F3408/1000)*(G3408/1000)*7850</f>
        <v/>
      </c>
      <c r="I3408" s="43" t="inlineStr">
        <is>
          <t>t=8</t>
        </is>
      </c>
      <c r="J3408" s="80">
        <f>H3408*I3408</f>
        <v/>
      </c>
      <c r="K3408" s="43" t="inlineStr">
        <is>
          <t>38.3；来源页69；校验incomplete</t>
        </is>
      </c>
      <c r="L3408" s="43">
        <f>A3408</f>
        <v/>
      </c>
      <c r="M3408" s="81" t="n"/>
      <c r="N3408" s="81" t="n"/>
      <c r="O3408" s="81" t="n"/>
      <c r="P3408" s="81" t="n"/>
      <c r="Q3408" s="81" t="n"/>
      <c r="R3408" s="81" t="n"/>
      <c r="S3408" s="81" t="n"/>
      <c r="T3408" s="81" t="n"/>
      <c r="U3408" s="81" t="n"/>
      <c r="V3408" s="81" t="n"/>
      <c r="W3408" s="43" t="n"/>
    </row>
    <row r="3409">
      <c r="A3409" s="43" t="inlineStr"/>
      <c r="B3409" s="43" t="inlineStr"/>
      <c r="C3409" s="43" t="inlineStr"/>
      <c r="D3409" s="43" t="inlineStr">
        <is>
          <t>Q420D</t>
        </is>
      </c>
      <c r="E3409" s="43" t="n"/>
      <c r="F3409" s="43" t="n"/>
      <c r="G3409" s="43" t="n">
        <v>100</v>
      </c>
      <c r="H3409" s="79">
        <f>(E3409/1000)*(F3409/1000)*(G3409/1000)*7850</f>
        <v/>
      </c>
      <c r="I3409" s="43" t="n">
        <v>5824</v>
      </c>
      <c r="J3409" s="80">
        <f>H3409*I3409</f>
        <v/>
      </c>
      <c r="K3409" s="43" t="inlineStr">
        <is>
          <t>来源页74；校验incomplete</t>
        </is>
      </c>
      <c r="L3409" s="43">
        <f>A3409</f>
        <v/>
      </c>
      <c r="M3409" s="81" t="n"/>
      <c r="N3409" s="81" t="n"/>
      <c r="O3409" s="81" t="n"/>
      <c r="P3409" s="81" t="n"/>
      <c r="Q3409" s="81" t="n"/>
      <c r="R3409" s="81" t="n"/>
      <c r="S3409" s="81" t="n"/>
      <c r="T3409" s="81" t="n"/>
      <c r="U3409" s="81" t="n"/>
      <c r="V3409" s="81" t="n"/>
      <c r="W3409" s="43" t="n"/>
    </row>
    <row r="3410">
      <c r="A3410" s="43" t="inlineStr"/>
      <c r="B3410" s="43" t="inlineStr"/>
      <c r="C3410" s="43" t="inlineStr"/>
      <c r="D3410" s="43" t="inlineStr">
        <is>
          <t>Q420D</t>
        </is>
      </c>
      <c r="E3410" s="43" t="n"/>
      <c r="F3410" s="43" t="n"/>
      <c r="G3410" s="43" t="n">
        <v>48</v>
      </c>
      <c r="H3410" s="79">
        <f>(E3410/1000)*(F3410/1000)*(G3410/1000)*7850</f>
        <v/>
      </c>
      <c r="I3410" s="43" t="n">
        <v>5824</v>
      </c>
      <c r="J3410" s="80">
        <f>H3410*I3410</f>
        <v/>
      </c>
      <c r="K3410" s="43" t="inlineStr">
        <is>
          <t>来源页74；校验incomplete</t>
        </is>
      </c>
      <c r="L3410" s="43">
        <f>A3410</f>
        <v/>
      </c>
      <c r="M3410" s="81" t="n"/>
      <c r="N3410" s="81" t="n"/>
      <c r="O3410" s="81" t="n"/>
      <c r="P3410" s="81" t="n"/>
      <c r="Q3410" s="81" t="n"/>
      <c r="R3410" s="81" t="n"/>
      <c r="S3410" s="81" t="n"/>
      <c r="T3410" s="81" t="n"/>
      <c r="U3410" s="81" t="n"/>
      <c r="V3410" s="81" t="n"/>
      <c r="W3410" s="43" t="n"/>
    </row>
    <row r="3411">
      <c r="A3411" s="43" t="inlineStr"/>
      <c r="B3411" s="43" t="inlineStr"/>
      <c r="C3411" s="43" t="inlineStr"/>
      <c r="D3411" s="43" t="inlineStr">
        <is>
          <t>Q420D</t>
        </is>
      </c>
      <c r="E3411" s="43" t="n"/>
      <c r="F3411" s="43" t="n"/>
      <c r="G3411" s="43" t="n">
        <v>44</v>
      </c>
      <c r="H3411" s="79">
        <f>(E3411/1000)*(F3411/1000)*(G3411/1000)*7850</f>
        <v/>
      </c>
      <c r="I3411" s="43" t="n">
        <v>5824</v>
      </c>
      <c r="J3411" s="80">
        <f>H3411*I3411</f>
        <v/>
      </c>
      <c r="K3411" s="43" t="inlineStr">
        <is>
          <t>来源页74；校验incomplete</t>
        </is>
      </c>
      <c r="L3411" s="43">
        <f>A3411</f>
        <v/>
      </c>
      <c r="M3411" s="81" t="n"/>
      <c r="N3411" s="81" t="n"/>
      <c r="O3411" s="81" t="n"/>
      <c r="P3411" s="81" t="n"/>
      <c r="Q3411" s="81" t="n"/>
      <c r="R3411" s="81" t="n"/>
      <c r="S3411" s="81" t="n"/>
      <c r="T3411" s="81" t="n"/>
      <c r="U3411" s="81" t="n"/>
      <c r="V3411" s="81" t="n"/>
      <c r="W3411" s="43" t="n"/>
    </row>
    <row r="3412">
      <c r="A3412" s="43" t="inlineStr"/>
      <c r="B3412" s="43" t="inlineStr"/>
      <c r="C3412" s="43" t="inlineStr"/>
      <c r="D3412" s="43" t="inlineStr">
        <is>
          <t>Q420D</t>
        </is>
      </c>
      <c r="E3412" s="43" t="n"/>
      <c r="F3412" s="43" t="n"/>
      <c r="G3412" s="43" t="n">
        <v>40</v>
      </c>
      <c r="H3412" s="79">
        <f>(E3412/1000)*(F3412/1000)*(G3412/1000)*7850</f>
        <v/>
      </c>
      <c r="I3412" s="43" t="n">
        <v>5824</v>
      </c>
      <c r="J3412" s="80">
        <f>H3412*I3412</f>
        <v/>
      </c>
      <c r="K3412" s="43" t="inlineStr">
        <is>
          <t>来源页74；校验incomplete</t>
        </is>
      </c>
      <c r="L3412" s="43">
        <f>A3412</f>
        <v/>
      </c>
      <c r="M3412" s="81" t="n"/>
      <c r="N3412" s="81" t="n"/>
      <c r="O3412" s="81" t="n"/>
      <c r="P3412" s="81" t="n"/>
      <c r="Q3412" s="81" t="n"/>
      <c r="R3412" s="81" t="n"/>
      <c r="S3412" s="81" t="n"/>
      <c r="T3412" s="81" t="n"/>
      <c r="U3412" s="81" t="n"/>
      <c r="V3412" s="81" t="n"/>
      <c r="W3412" s="43" t="n"/>
    </row>
    <row r="3413">
      <c r="A3413" s="43" t="inlineStr"/>
      <c r="B3413" s="43" t="inlineStr"/>
      <c r="C3413" s="43" t="inlineStr"/>
      <c r="D3413" s="43" t="inlineStr">
        <is>
          <t>Q420D</t>
        </is>
      </c>
      <c r="E3413" s="43" t="n"/>
      <c r="F3413" s="43" t="n"/>
      <c r="G3413" s="43" t="n">
        <v>32</v>
      </c>
      <c r="H3413" s="79">
        <f>(E3413/1000)*(F3413/1000)*(G3413/1000)*7850</f>
        <v/>
      </c>
      <c r="I3413" s="43" t="n">
        <v>5824</v>
      </c>
      <c r="J3413" s="80">
        <f>H3413*I3413</f>
        <v/>
      </c>
      <c r="K3413" s="43" t="inlineStr">
        <is>
          <t>来源页74；校验incomplete</t>
        </is>
      </c>
      <c r="L3413" s="43">
        <f>A3413</f>
        <v/>
      </c>
      <c r="M3413" s="81" t="n"/>
      <c r="N3413" s="81" t="n"/>
      <c r="O3413" s="81" t="n"/>
      <c r="P3413" s="81" t="n"/>
      <c r="Q3413" s="81" t="n"/>
      <c r="R3413" s="81" t="n"/>
      <c r="S3413" s="81" t="n"/>
      <c r="T3413" s="81" t="n"/>
      <c r="U3413" s="81" t="n"/>
      <c r="V3413" s="81" t="n"/>
      <c r="W3413" s="43" t="n"/>
    </row>
    <row r="3414">
      <c r="A3414" s="43" t="inlineStr"/>
      <c r="B3414" s="43" t="inlineStr"/>
      <c r="C3414" s="43" t="inlineStr"/>
      <c r="D3414" s="43" t="inlineStr">
        <is>
          <t>Q420D</t>
        </is>
      </c>
      <c r="E3414" s="43" t="n"/>
      <c r="F3414" s="43" t="n"/>
      <c r="G3414" s="43" t="n">
        <v>16</v>
      </c>
      <c r="H3414" s="79">
        <f>(E3414/1000)*(F3414/1000)*(G3414/1000)*7850</f>
        <v/>
      </c>
      <c r="I3414" s="43" t="n">
        <v>5824</v>
      </c>
      <c r="J3414" s="80">
        <f>H3414*I3414</f>
        <v/>
      </c>
      <c r="K3414" s="43" t="inlineStr">
        <is>
          <t>来源页74；校验incomplete</t>
        </is>
      </c>
      <c r="L3414" s="43">
        <f>A3414</f>
        <v/>
      </c>
      <c r="M3414" s="81" t="n"/>
      <c r="N3414" s="81" t="n"/>
      <c r="O3414" s="81" t="n"/>
      <c r="P3414" s="81" t="n"/>
      <c r="Q3414" s="81" t="n"/>
      <c r="R3414" s="81" t="n"/>
      <c r="S3414" s="81" t="n"/>
      <c r="T3414" s="81" t="n"/>
      <c r="U3414" s="81" t="n"/>
      <c r="V3414" s="81" t="n"/>
      <c r="W3414" s="43" t="n"/>
    </row>
    <row r="3415">
      <c r="A3415" s="43" t="inlineStr"/>
      <c r="B3415" s="43" t="inlineStr"/>
      <c r="C3415" s="43" t="inlineStr"/>
      <c r="D3415" s="43" t="inlineStr">
        <is>
          <t>Q420D</t>
        </is>
      </c>
      <c r="E3415" s="43" t="n"/>
      <c r="F3415" s="43" t="n"/>
      <c r="G3415" s="43" t="n">
        <v>14</v>
      </c>
      <c r="H3415" s="79">
        <f>(E3415/1000)*(F3415/1000)*(G3415/1000)*7850</f>
        <v/>
      </c>
      <c r="I3415" s="43" t="n">
        <v>5824</v>
      </c>
      <c r="J3415" s="80">
        <f>H3415*I3415</f>
        <v/>
      </c>
      <c r="K3415" s="43" t="inlineStr">
        <is>
          <t>来源页74；校验incomplete</t>
        </is>
      </c>
      <c r="L3415" s="43">
        <f>A3415</f>
        <v/>
      </c>
      <c r="M3415" s="81" t="n"/>
      <c r="N3415" s="81" t="n"/>
      <c r="O3415" s="81" t="n"/>
      <c r="P3415" s="81" t="n"/>
      <c r="Q3415" s="81" t="n"/>
      <c r="R3415" s="81" t="n"/>
      <c r="S3415" s="81" t="n"/>
      <c r="T3415" s="81" t="n"/>
      <c r="U3415" s="81" t="n"/>
      <c r="V3415" s="81" t="n"/>
      <c r="W3415" s="43" t="n"/>
    </row>
    <row r="3416">
      <c r="A3416" s="43" t="inlineStr"/>
      <c r="B3416" s="43" t="inlineStr"/>
      <c r="C3416" s="43" t="inlineStr"/>
      <c r="D3416" s="43" t="inlineStr">
        <is>
          <t>Q420D</t>
        </is>
      </c>
      <c r="E3416" s="43" t="n"/>
      <c r="F3416" s="43" t="n"/>
      <c r="G3416" s="43" t="n">
        <v>4</v>
      </c>
      <c r="H3416" s="79">
        <f>(E3416/1000)*(F3416/1000)*(G3416/1000)*7850</f>
        <v/>
      </c>
      <c r="I3416" s="43" t="n">
        <v>5824</v>
      </c>
      <c r="J3416" s="80">
        <f>H3416*I3416</f>
        <v/>
      </c>
      <c r="K3416" s="43" t="inlineStr">
        <is>
          <t>来源页74；校验incomplete</t>
        </is>
      </c>
      <c r="L3416" s="43">
        <f>A3416</f>
        <v/>
      </c>
      <c r="M3416" s="81" t="n"/>
      <c r="N3416" s="81" t="n"/>
      <c r="O3416" s="81" t="n"/>
      <c r="P3416" s="81" t="n"/>
      <c r="Q3416" s="81" t="n"/>
      <c r="R3416" s="81" t="n"/>
      <c r="S3416" s="81" t="n"/>
      <c r="T3416" s="81" t="n"/>
      <c r="U3416" s="81" t="n"/>
      <c r="V3416" s="81" t="n"/>
      <c r="W3416" s="43" t="n"/>
    </row>
    <row r="3417">
      <c r="A3417" s="43" t="inlineStr"/>
      <c r="B3417" s="43" t="inlineStr"/>
      <c r="C3417" s="43" t="inlineStr"/>
      <c r="D3417" s="43" t="inlineStr">
        <is>
          <t>Q355D</t>
        </is>
      </c>
      <c r="E3417" s="43" t="n"/>
      <c r="F3417" s="43" t="n"/>
      <c r="G3417" s="43" t="n">
        <v>32</v>
      </c>
      <c r="H3417" s="79">
        <f>(E3417/1000)*(F3417/1000)*(G3417/1000)*7850</f>
        <v/>
      </c>
      <c r="I3417" s="43" t="n">
        <v>5824</v>
      </c>
      <c r="J3417" s="80">
        <f>H3417*I3417</f>
        <v/>
      </c>
      <c r="K3417" s="43" t="inlineStr">
        <is>
          <t>来源页74；校验incomplete</t>
        </is>
      </c>
      <c r="L3417" s="43">
        <f>A3417</f>
        <v/>
      </c>
      <c r="M3417" s="81" t="n"/>
      <c r="N3417" s="81" t="n"/>
      <c r="O3417" s="81" t="n"/>
      <c r="P3417" s="81" t="n"/>
      <c r="Q3417" s="81" t="n"/>
      <c r="R3417" s="81" t="n"/>
      <c r="S3417" s="81" t="n"/>
      <c r="T3417" s="81" t="n"/>
      <c r="U3417" s="81" t="n"/>
      <c r="V3417" s="81" t="n"/>
      <c r="W3417" s="43" t="n"/>
    </row>
    <row r="3418">
      <c r="A3418" s="43" t="inlineStr"/>
      <c r="B3418" s="43" t="inlineStr"/>
      <c r="C3418" s="43" t="inlineStr"/>
      <c r="D3418" s="43" t="inlineStr">
        <is>
          <t>Q355D</t>
        </is>
      </c>
      <c r="E3418" s="43" t="n"/>
      <c r="F3418" s="43" t="n"/>
      <c r="G3418" s="43" t="n">
        <v>24</v>
      </c>
      <c r="H3418" s="79">
        <f>(E3418/1000)*(F3418/1000)*(G3418/1000)*7850</f>
        <v/>
      </c>
      <c r="I3418" s="43" t="n">
        <v>5824</v>
      </c>
      <c r="J3418" s="80">
        <f>H3418*I3418</f>
        <v/>
      </c>
      <c r="K3418" s="43" t="inlineStr">
        <is>
          <t>来源页74；校验incomplete</t>
        </is>
      </c>
      <c r="L3418" s="43">
        <f>A3418</f>
        <v/>
      </c>
      <c r="M3418" s="81" t="n"/>
      <c r="N3418" s="81" t="n"/>
      <c r="O3418" s="81" t="n"/>
      <c r="P3418" s="81" t="n"/>
      <c r="Q3418" s="81" t="n"/>
      <c r="R3418" s="81" t="n"/>
      <c r="S3418" s="81" t="n"/>
      <c r="T3418" s="81" t="n"/>
      <c r="U3418" s="81" t="n"/>
      <c r="V3418" s="81" t="n"/>
      <c r="W3418" s="43" t="n"/>
    </row>
    <row r="3419">
      <c r="A3419" s="43" t="inlineStr"/>
      <c r="B3419" s="43" t="inlineStr"/>
      <c r="C3419" s="43" t="inlineStr"/>
      <c r="D3419" s="43" t="inlineStr">
        <is>
          <t>Q355D</t>
        </is>
      </c>
      <c r="E3419" s="43" t="n"/>
      <c r="F3419" s="43" t="n"/>
      <c r="G3419" s="43" t="n">
        <v>14</v>
      </c>
      <c r="H3419" s="79">
        <f>(E3419/1000)*(F3419/1000)*(G3419/1000)*7850</f>
        <v/>
      </c>
      <c r="I3419" s="43" t="n">
        <v>5824</v>
      </c>
      <c r="J3419" s="80">
        <f>H3419*I3419</f>
        <v/>
      </c>
      <c r="K3419" s="43" t="inlineStr">
        <is>
          <t>来源页74；校验incomplete</t>
        </is>
      </c>
      <c r="L3419" s="43">
        <f>A3419</f>
        <v/>
      </c>
      <c r="M3419" s="81" t="n"/>
      <c r="N3419" s="81" t="n"/>
      <c r="O3419" s="81" t="n"/>
      <c r="P3419" s="81" t="n"/>
      <c r="Q3419" s="81" t="n"/>
      <c r="R3419" s="81" t="n"/>
      <c r="S3419" s="81" t="n"/>
      <c r="T3419" s="81" t="n"/>
      <c r="U3419" s="81" t="n"/>
      <c r="V3419" s="81" t="n"/>
      <c r="W3419" s="43" t="n"/>
    </row>
    <row r="3420">
      <c r="A3420" s="43" t="inlineStr"/>
      <c r="B3420" s="43" t="inlineStr"/>
      <c r="C3420" s="43" t="inlineStr"/>
      <c r="D3420" s="43" t="inlineStr">
        <is>
          <t>Q355D</t>
        </is>
      </c>
      <c r="E3420" s="43" t="n"/>
      <c r="F3420" s="43" t="n"/>
      <c r="G3420" s="43" t="n"/>
      <c r="H3420" s="79">
        <f>(E3420/1000)*(F3420/1000)*(G3420/1000)*7850</f>
        <v/>
      </c>
      <c r="I3420" s="43" t="n">
        <v>5824</v>
      </c>
      <c r="J3420" s="80">
        <f>H3420*I3420</f>
        <v/>
      </c>
      <c r="K3420" s="43" t="inlineStr">
        <is>
          <t>来源页74；校验incomplete</t>
        </is>
      </c>
      <c r="L3420" s="43">
        <f>A3420</f>
        <v/>
      </c>
      <c r="M3420" s="81" t="n"/>
      <c r="N3420" s="81" t="n"/>
      <c r="O3420" s="81" t="n"/>
      <c r="P3420" s="81" t="n"/>
      <c r="Q3420" s="81" t="n"/>
      <c r="R3420" s="81" t="n"/>
      <c r="S3420" s="81" t="n"/>
      <c r="T3420" s="81" t="n"/>
      <c r="U3420" s="81" t="n"/>
      <c r="V3420" s="81" t="n"/>
      <c r="W3420" s="43" t="n"/>
    </row>
    <row r="3421">
      <c r="A3421" s="43" t="inlineStr"/>
      <c r="B3421" s="43" t="inlineStr"/>
      <c r="C3421" s="43" t="inlineStr"/>
      <c r="D3421" s="43" t="inlineStr">
        <is>
          <t>Q355D</t>
        </is>
      </c>
      <c r="E3421" s="43" t="n"/>
      <c r="F3421" s="43" t="n"/>
      <c r="G3421" s="43" t="n"/>
      <c r="H3421" s="79">
        <f>(E3421/1000)*(F3421/1000)*(G3421/1000)*7850</f>
        <v/>
      </c>
      <c r="I3421" s="43" t="n">
        <v>5824</v>
      </c>
      <c r="J3421" s="80">
        <f>H3421*I3421</f>
        <v/>
      </c>
      <c r="K3421" s="43" t="inlineStr">
        <is>
          <t>来源页74；校验incomplete</t>
        </is>
      </c>
      <c r="L3421" s="43">
        <f>A3421</f>
        <v/>
      </c>
      <c r="M3421" s="81" t="n"/>
      <c r="N3421" s="81" t="n"/>
      <c r="O3421" s="81" t="n"/>
      <c r="P3421" s="81" t="n"/>
      <c r="Q3421" s="81" t="n"/>
      <c r="R3421" s="81" t="n"/>
      <c r="S3421" s="81" t="n"/>
      <c r="T3421" s="81" t="n"/>
      <c r="U3421" s="81" t="n"/>
      <c r="V3421" s="81" t="n"/>
      <c r="W3421" s="43" t="n"/>
    </row>
    <row r="3422">
      <c r="A3422" s="43" t="inlineStr"/>
      <c r="B3422" s="43" t="inlineStr"/>
      <c r="C3422" s="43" t="inlineStr"/>
      <c r="D3422" s="43" t="inlineStr">
        <is>
          <t>Q420D</t>
        </is>
      </c>
      <c r="E3422" s="43" t="n"/>
      <c r="F3422" s="43" t="n"/>
      <c r="G3422" s="43" t="n">
        <v>48</v>
      </c>
      <c r="H3422" s="79">
        <f>(E3422/1000)*(F3422/1000)*(G3422/1000)*7850</f>
        <v/>
      </c>
      <c r="I3422" s="43" t="n">
        <v>11032</v>
      </c>
      <c r="J3422" s="80">
        <f>H3422*I3422</f>
        <v/>
      </c>
      <c r="K3422" s="43" t="inlineStr">
        <is>
          <t>来源页78；校验incomplete</t>
        </is>
      </c>
      <c r="L3422" s="43">
        <f>A3422</f>
        <v/>
      </c>
      <c r="M3422" s="81" t="n"/>
      <c r="N3422" s="81" t="n"/>
      <c r="O3422" s="81" t="n"/>
      <c r="P3422" s="81" t="n"/>
      <c r="Q3422" s="81" t="n"/>
      <c r="R3422" s="81" t="n"/>
      <c r="S3422" s="81" t="n"/>
      <c r="T3422" s="81" t="n"/>
      <c r="U3422" s="81" t="n"/>
      <c r="V3422" s="81" t="n"/>
      <c r="W3422" s="43" t="n"/>
    </row>
    <row r="3423">
      <c r="A3423" s="43" t="inlineStr"/>
      <c r="B3423" s="43" t="inlineStr"/>
      <c r="C3423" s="43" t="inlineStr"/>
      <c r="D3423" s="43" t="inlineStr">
        <is>
          <t>Q420D</t>
        </is>
      </c>
      <c r="E3423" s="43" t="n"/>
      <c r="F3423" s="43" t="n"/>
      <c r="G3423" s="43" t="n">
        <v>44</v>
      </c>
      <c r="H3423" s="79">
        <f>(E3423/1000)*(F3423/1000)*(G3423/1000)*7850</f>
        <v/>
      </c>
      <c r="I3423" s="43" t="n">
        <v>11032</v>
      </c>
      <c r="J3423" s="80">
        <f>H3423*I3423</f>
        <v/>
      </c>
      <c r="K3423" s="43" t="inlineStr">
        <is>
          <t>来源页78；校验incomplete</t>
        </is>
      </c>
      <c r="L3423" s="43">
        <f>A3423</f>
        <v/>
      </c>
      <c r="M3423" s="81" t="n"/>
      <c r="N3423" s="81" t="n"/>
      <c r="O3423" s="81" t="n"/>
      <c r="P3423" s="81" t="n"/>
      <c r="Q3423" s="81" t="n"/>
      <c r="R3423" s="81" t="n"/>
      <c r="S3423" s="81" t="n"/>
      <c r="T3423" s="81" t="n"/>
      <c r="U3423" s="81" t="n"/>
      <c r="V3423" s="81" t="n"/>
      <c r="W3423" s="43" t="n"/>
    </row>
    <row r="3424">
      <c r="A3424" s="43" t="inlineStr"/>
      <c r="B3424" s="43" t="inlineStr"/>
      <c r="C3424" s="43" t="inlineStr"/>
      <c r="D3424" s="43" t="inlineStr">
        <is>
          <t>Q420D</t>
        </is>
      </c>
      <c r="E3424" s="43" t="n"/>
      <c r="F3424" s="43" t="n"/>
      <c r="G3424" s="43" t="n">
        <v>40</v>
      </c>
      <c r="H3424" s="79">
        <f>(E3424/1000)*(F3424/1000)*(G3424/1000)*7850</f>
        <v/>
      </c>
      <c r="I3424" s="43" t="n">
        <v>11032</v>
      </c>
      <c r="J3424" s="80">
        <f>H3424*I3424</f>
        <v/>
      </c>
      <c r="K3424" s="43" t="inlineStr">
        <is>
          <t>来源页78；校验incomplete</t>
        </is>
      </c>
      <c r="L3424" s="43">
        <f>A3424</f>
        <v/>
      </c>
      <c r="M3424" s="81" t="n"/>
      <c r="N3424" s="81" t="n"/>
      <c r="O3424" s="81" t="n"/>
      <c r="P3424" s="81" t="n"/>
      <c r="Q3424" s="81" t="n"/>
      <c r="R3424" s="81" t="n"/>
      <c r="S3424" s="81" t="n"/>
      <c r="T3424" s="81" t="n"/>
      <c r="U3424" s="81" t="n"/>
      <c r="V3424" s="81" t="n"/>
      <c r="W3424" s="43" t="n"/>
    </row>
    <row r="3425">
      <c r="A3425" s="43" t="inlineStr"/>
      <c r="B3425" s="43" t="inlineStr"/>
      <c r="C3425" s="43" t="inlineStr"/>
      <c r="D3425" s="43" t="inlineStr">
        <is>
          <t>Q420D</t>
        </is>
      </c>
      <c r="E3425" s="43" t="n"/>
      <c r="F3425" s="43" t="n"/>
      <c r="G3425" s="43" t="n">
        <v>32</v>
      </c>
      <c r="H3425" s="79">
        <f>(E3425/1000)*(F3425/1000)*(G3425/1000)*7850</f>
        <v/>
      </c>
      <c r="I3425" s="43" t="n">
        <v>11032</v>
      </c>
      <c r="J3425" s="80">
        <f>H3425*I3425</f>
        <v/>
      </c>
      <c r="K3425" s="43" t="inlineStr">
        <is>
          <t>来源页78；校验incomplete</t>
        </is>
      </c>
      <c r="L3425" s="43">
        <f>A3425</f>
        <v/>
      </c>
      <c r="M3425" s="81" t="n"/>
      <c r="N3425" s="81" t="n"/>
      <c r="O3425" s="81" t="n"/>
      <c r="P3425" s="81" t="n"/>
      <c r="Q3425" s="81" t="n"/>
      <c r="R3425" s="81" t="n"/>
      <c r="S3425" s="81" t="n"/>
      <c r="T3425" s="81" t="n"/>
      <c r="U3425" s="81" t="n"/>
      <c r="V3425" s="81" t="n"/>
      <c r="W3425" s="43" t="n"/>
    </row>
    <row r="3426">
      <c r="A3426" s="43" t="inlineStr"/>
      <c r="B3426" s="43" t="inlineStr"/>
      <c r="C3426" s="43" t="inlineStr"/>
      <c r="D3426" s="43" t="inlineStr">
        <is>
          <t>Q355D</t>
        </is>
      </c>
      <c r="E3426" s="43" t="n"/>
      <c r="F3426" s="43" t="n"/>
      <c r="G3426" s="43" t="n">
        <v>40</v>
      </c>
      <c r="H3426" s="79">
        <f>(E3426/1000)*(F3426/1000)*(G3426/1000)*7850</f>
        <v/>
      </c>
      <c r="I3426" s="43" t="n">
        <v>11032</v>
      </c>
      <c r="J3426" s="80">
        <f>H3426*I3426</f>
        <v/>
      </c>
      <c r="K3426" s="43" t="inlineStr">
        <is>
          <t>来源页78；校验incomplete</t>
        </is>
      </c>
      <c r="L3426" s="43">
        <f>A3426</f>
        <v/>
      </c>
      <c r="M3426" s="81" t="n"/>
      <c r="N3426" s="81" t="n"/>
      <c r="O3426" s="81" t="n"/>
      <c r="P3426" s="81" t="n"/>
      <c r="Q3426" s="81" t="n"/>
      <c r="R3426" s="81" t="n"/>
      <c r="S3426" s="81" t="n"/>
      <c r="T3426" s="81" t="n"/>
      <c r="U3426" s="81" t="n"/>
      <c r="V3426" s="81" t="n"/>
      <c r="W3426" s="43" t="n"/>
    </row>
    <row r="3427">
      <c r="A3427" s="43" t="inlineStr"/>
      <c r="B3427" s="43" t="inlineStr"/>
      <c r="C3427" s="43" t="inlineStr"/>
      <c r="D3427" s="43" t="inlineStr">
        <is>
          <t>Q355D</t>
        </is>
      </c>
      <c r="E3427" s="43" t="n"/>
      <c r="F3427" s="43" t="n"/>
      <c r="G3427" s="43" t="n">
        <v>36</v>
      </c>
      <c r="H3427" s="79">
        <f>(E3427/1000)*(F3427/1000)*(G3427/1000)*7850</f>
        <v/>
      </c>
      <c r="I3427" s="43" t="n">
        <v>11032</v>
      </c>
      <c r="J3427" s="80">
        <f>H3427*I3427</f>
        <v/>
      </c>
      <c r="K3427" s="43" t="inlineStr">
        <is>
          <t>来源页78；校验incomplete</t>
        </is>
      </c>
      <c r="L3427" s="43">
        <f>A3427</f>
        <v/>
      </c>
      <c r="M3427" s="81" t="n"/>
      <c r="N3427" s="81" t="n"/>
      <c r="O3427" s="81" t="n"/>
      <c r="P3427" s="81" t="n"/>
      <c r="Q3427" s="81" t="n"/>
      <c r="R3427" s="81" t="n"/>
      <c r="S3427" s="81" t="n"/>
      <c r="T3427" s="81" t="n"/>
      <c r="U3427" s="81" t="n"/>
      <c r="V3427" s="81" t="n"/>
      <c r="W3427" s="43" t="n"/>
    </row>
    <row r="3428">
      <c r="A3428" s="43" t="inlineStr"/>
      <c r="B3428" s="43" t="inlineStr"/>
      <c r="C3428" s="43" t="inlineStr"/>
      <c r="D3428" s="43" t="inlineStr">
        <is>
          <t>Q355D</t>
        </is>
      </c>
      <c r="E3428" s="43" t="n"/>
      <c r="F3428" s="43" t="n"/>
      <c r="G3428" s="43" t="n">
        <v>32</v>
      </c>
      <c r="H3428" s="79">
        <f>(E3428/1000)*(F3428/1000)*(G3428/1000)*7850</f>
        <v/>
      </c>
      <c r="I3428" s="43" t="n">
        <v>11032</v>
      </c>
      <c r="J3428" s="80">
        <f>H3428*I3428</f>
        <v/>
      </c>
      <c r="K3428" s="43" t="inlineStr">
        <is>
          <t>来源页78；校验incomplete</t>
        </is>
      </c>
      <c r="L3428" s="43">
        <f>A3428</f>
        <v/>
      </c>
      <c r="M3428" s="81" t="n"/>
      <c r="N3428" s="81" t="n"/>
      <c r="O3428" s="81" t="n"/>
      <c r="P3428" s="81" t="n"/>
      <c r="Q3428" s="81" t="n"/>
      <c r="R3428" s="81" t="n"/>
      <c r="S3428" s="81" t="n"/>
      <c r="T3428" s="81" t="n"/>
      <c r="U3428" s="81" t="n"/>
      <c r="V3428" s="81" t="n"/>
      <c r="W3428" s="43" t="n"/>
    </row>
    <row r="3429">
      <c r="A3429" s="43" t="inlineStr"/>
      <c r="B3429" s="43" t="inlineStr"/>
      <c r="C3429" s="43" t="inlineStr"/>
      <c r="D3429" s="43" t="inlineStr">
        <is>
          <t>Q355D</t>
        </is>
      </c>
      <c r="E3429" s="43" t="n"/>
      <c r="F3429" s="43" t="n"/>
      <c r="G3429" s="43" t="n">
        <v>24</v>
      </c>
      <c r="H3429" s="79">
        <f>(E3429/1000)*(F3429/1000)*(G3429/1000)*7850</f>
        <v/>
      </c>
      <c r="I3429" s="43" t="n">
        <v>11032</v>
      </c>
      <c r="J3429" s="80">
        <f>H3429*I3429</f>
        <v/>
      </c>
      <c r="K3429" s="43" t="inlineStr">
        <is>
          <t>来源页78；校验incomplete</t>
        </is>
      </c>
      <c r="L3429" s="43">
        <f>A3429</f>
        <v/>
      </c>
      <c r="M3429" s="81" t="n"/>
      <c r="N3429" s="81" t="n"/>
      <c r="O3429" s="81" t="n"/>
      <c r="P3429" s="81" t="n"/>
      <c r="Q3429" s="81" t="n"/>
      <c r="R3429" s="81" t="n"/>
      <c r="S3429" s="81" t="n"/>
      <c r="T3429" s="81" t="n"/>
      <c r="U3429" s="81" t="n"/>
      <c r="V3429" s="81" t="n"/>
      <c r="W3429" s="43" t="n"/>
    </row>
    <row r="3430">
      <c r="A3430" s="43" t="inlineStr"/>
      <c r="B3430" s="43" t="inlineStr"/>
      <c r="C3430" s="43" t="inlineStr"/>
      <c r="D3430" s="43" t="inlineStr">
        <is>
          <t>Q355D</t>
        </is>
      </c>
      <c r="E3430" s="43" t="n"/>
      <c r="F3430" s="43" t="n"/>
      <c r="G3430" s="43" t="n">
        <v>16</v>
      </c>
      <c r="H3430" s="79">
        <f>(E3430/1000)*(F3430/1000)*(G3430/1000)*7850</f>
        <v/>
      </c>
      <c r="I3430" s="43" t="n">
        <v>11032</v>
      </c>
      <c r="J3430" s="80">
        <f>H3430*I3430</f>
        <v/>
      </c>
      <c r="K3430" s="43" t="inlineStr">
        <is>
          <t>来源页78；校验incomplete</t>
        </is>
      </c>
      <c r="L3430" s="43">
        <f>A3430</f>
        <v/>
      </c>
      <c r="M3430" s="81" t="n"/>
      <c r="N3430" s="81" t="n"/>
      <c r="O3430" s="81" t="n"/>
      <c r="P3430" s="81" t="n"/>
      <c r="Q3430" s="81" t="n"/>
      <c r="R3430" s="81" t="n"/>
      <c r="S3430" s="81" t="n"/>
      <c r="T3430" s="81" t="n"/>
      <c r="U3430" s="81" t="n"/>
      <c r="V3430" s="81" t="n"/>
      <c r="W3430" s="43" t="n"/>
    </row>
    <row r="3431">
      <c r="A3431" s="43" t="inlineStr"/>
      <c r="B3431" s="43" t="inlineStr"/>
      <c r="C3431" s="43" t="inlineStr"/>
      <c r="D3431" s="43" t="inlineStr">
        <is>
          <t>Q355D</t>
        </is>
      </c>
      <c r="E3431" s="43" t="n"/>
      <c r="F3431" s="43" t="n"/>
      <c r="G3431" s="43" t="n">
        <v>14</v>
      </c>
      <c r="H3431" s="79">
        <f>(E3431/1000)*(F3431/1000)*(G3431/1000)*7850</f>
        <v/>
      </c>
      <c r="I3431" s="43" t="n">
        <v>11032</v>
      </c>
      <c r="J3431" s="80">
        <f>H3431*I3431</f>
        <v/>
      </c>
      <c r="K3431" s="43" t="inlineStr">
        <is>
          <t>来源页78；校验incomplete</t>
        </is>
      </c>
      <c r="L3431" s="43">
        <f>A3431</f>
        <v/>
      </c>
      <c r="M3431" s="81" t="n"/>
      <c r="N3431" s="81" t="n"/>
      <c r="O3431" s="81" t="n"/>
      <c r="P3431" s="81" t="n"/>
      <c r="Q3431" s="81" t="n"/>
      <c r="R3431" s="81" t="n"/>
      <c r="S3431" s="81" t="n"/>
      <c r="T3431" s="81" t="n"/>
      <c r="U3431" s="81" t="n"/>
      <c r="V3431" s="81" t="n"/>
      <c r="W3431" s="43" t="n"/>
    </row>
    <row r="3432">
      <c r="A3432" s="43" t="inlineStr"/>
      <c r="B3432" s="43" t="inlineStr"/>
      <c r="C3432" s="43" t="inlineStr"/>
      <c r="D3432" s="43" t="inlineStr">
        <is>
          <t>Q355D</t>
        </is>
      </c>
      <c r="E3432" s="43" t="n"/>
      <c r="F3432" s="43" t="n"/>
      <c r="G3432" s="43" t="n">
        <v>4</v>
      </c>
      <c r="H3432" s="79">
        <f>(E3432/1000)*(F3432/1000)*(G3432/1000)*7850</f>
        <v/>
      </c>
      <c r="I3432" s="43" t="n">
        <v>11032</v>
      </c>
      <c r="J3432" s="80">
        <f>H3432*I3432</f>
        <v/>
      </c>
      <c r="K3432" s="43" t="inlineStr">
        <is>
          <t>来源页78；校验incomplete</t>
        </is>
      </c>
      <c r="L3432" s="43">
        <f>A3432</f>
        <v/>
      </c>
      <c r="M3432" s="81" t="n"/>
      <c r="N3432" s="81" t="n"/>
      <c r="O3432" s="81" t="n"/>
      <c r="P3432" s="81" t="n"/>
      <c r="Q3432" s="81" t="n"/>
      <c r="R3432" s="81" t="n"/>
      <c r="S3432" s="81" t="n"/>
      <c r="T3432" s="81" t="n"/>
      <c r="U3432" s="81" t="n"/>
      <c r="V3432" s="81" t="n"/>
      <c r="W3432" s="43" t="n"/>
    </row>
    <row r="3433">
      <c r="A3433" s="43" t="inlineStr"/>
      <c r="B3433" s="43" t="inlineStr">
        <is>
          <t>焊缝重1.5%</t>
        </is>
      </c>
      <c r="C3433" s="43" t="inlineStr">
        <is>
          <t>节段09</t>
        </is>
      </c>
      <c r="D3433" s="43" t="inlineStr">
        <is>
          <t>Q355D</t>
        </is>
      </c>
      <c r="E3433" s="43" t="n"/>
      <c r="F3433" s="43" t="n"/>
      <c r="G3433" s="43" t="n"/>
      <c r="H3433" s="79">
        <f>(E3433/1000)*(F3433/1000)*(G3433/1000)*7850</f>
        <v/>
      </c>
      <c r="I3433" s="43" t="n"/>
      <c r="J3433" s="80">
        <f>H3433*I3433</f>
        <v/>
      </c>
      <c r="K3433" s="43" t="inlineStr">
        <is>
          <t>来源页82；校验incomplete</t>
        </is>
      </c>
      <c r="L3433" s="43">
        <f>A3433</f>
        <v/>
      </c>
      <c r="M3433" s="81" t="n"/>
      <c r="N3433" s="81" t="n"/>
      <c r="O3433" s="81" t="n"/>
      <c r="P3433" s="81" t="n"/>
      <c r="Q3433" s="81" t="n"/>
      <c r="R3433" s="81" t="n"/>
      <c r="S3433" s="81" t="n"/>
      <c r="T3433" s="81" t="n"/>
      <c r="U3433" s="81" t="n"/>
      <c r="V3433" s="81" t="n"/>
      <c r="W3433" s="43" t="n"/>
    </row>
    <row r="3434">
      <c r="A3434" s="43" t="inlineStr">
        <is>
          <t>N34</t>
        </is>
      </c>
      <c r="B3434" s="43" t="inlineStr">
        <is>
          <t>斜腹杆</t>
        </is>
      </c>
      <c r="C3434" s="43" t="inlineStr">
        <is>
          <t>节段10</t>
        </is>
      </c>
      <c r="D3434" s="43" t="inlineStr">
        <is>
          <t>Q355D</t>
        </is>
      </c>
      <c r="E3434" s="43" t="n">
        <v>1200</v>
      </c>
      <c r="F3434" s="43" t="n">
        <v>1200</v>
      </c>
      <c r="G3434" s="43" t="n">
        <v>16</v>
      </c>
      <c r="H3434" s="79">
        <f>(E3434/1000)*(F3434/1000)*(G3434/1000)*7850</f>
        <v/>
      </c>
      <c r="I3434" s="43" t="inlineStr">
        <is>
          <t>了</t>
        </is>
      </c>
      <c r="J3434" s="80">
        <f>H3434*I3434</f>
        <v/>
      </c>
      <c r="K3434" s="43" t="inlineStr">
        <is>
          <t>来源页86；校验incomplete</t>
        </is>
      </c>
      <c r="L3434" s="43">
        <f>A3434</f>
        <v/>
      </c>
      <c r="M3434" s="81" t="n"/>
      <c r="N3434" s="81" t="n"/>
      <c r="O3434" s="81" t="n"/>
      <c r="P3434" s="81" t="n"/>
      <c r="Q3434" s="81" t="n"/>
      <c r="R3434" s="81" t="n"/>
      <c r="S3434" s="81" t="n"/>
      <c r="T3434" s="81" t="n"/>
      <c r="U3434" s="81" t="n"/>
      <c r="V3434" s="81" t="n"/>
      <c r="W3434" s="43" t="n"/>
    </row>
    <row r="3435">
      <c r="A3435" s="43" t="inlineStr"/>
      <c r="B3435" s="43" t="inlineStr">
        <is>
          <t>焊缝重1.5%</t>
        </is>
      </c>
      <c r="C3435" s="43" t="inlineStr">
        <is>
          <t>节段10</t>
        </is>
      </c>
      <c r="D3435" s="43" t="inlineStr">
        <is>
          <t>Q355D</t>
        </is>
      </c>
      <c r="E3435" s="43" t="n"/>
      <c r="F3435" s="43" t="n"/>
      <c r="G3435" s="43" t="n"/>
      <c r="H3435" s="79">
        <f>(E3435/1000)*(F3435/1000)*(G3435/1000)*7850</f>
        <v/>
      </c>
      <c r="I3435" s="43" t="n"/>
      <c r="J3435" s="80">
        <f>H3435*I3435</f>
        <v/>
      </c>
      <c r="K3435" s="43" t="inlineStr">
        <is>
          <t>来源页86；校验incomplete</t>
        </is>
      </c>
      <c r="L3435" s="43">
        <f>A3435</f>
        <v/>
      </c>
      <c r="M3435" s="81" t="n"/>
      <c r="N3435" s="81" t="n"/>
      <c r="O3435" s="81" t="n"/>
      <c r="P3435" s="81" t="n"/>
      <c r="Q3435" s="81" t="n"/>
      <c r="R3435" s="81" t="n"/>
      <c r="S3435" s="81" t="n"/>
      <c r="T3435" s="81" t="n"/>
      <c r="U3435" s="81" t="n"/>
      <c r="V3435" s="81" t="n"/>
      <c r="W3435" s="43" t="n"/>
    </row>
    <row r="3436">
      <c r="A3436" s="43" t="inlineStr"/>
      <c r="B3436" s="43" t="inlineStr">
        <is>
          <t>焊缝重1.5%</t>
        </is>
      </c>
      <c r="C3436" s="43" t="inlineStr">
        <is>
          <t>节段11</t>
        </is>
      </c>
      <c r="D3436" s="43" t="inlineStr">
        <is>
          <t>Q355D</t>
        </is>
      </c>
      <c r="E3436" s="43" t="n"/>
      <c r="F3436" s="43" t="n"/>
      <c r="G3436" s="43" t="n"/>
      <c r="H3436" s="79">
        <f>(E3436/1000)*(F3436/1000)*(G3436/1000)*7850</f>
        <v/>
      </c>
      <c r="I3436" s="43" t="n"/>
      <c r="J3436" s="80">
        <f>H3436*I3436</f>
        <v/>
      </c>
      <c r="K3436" s="43" t="inlineStr">
        <is>
          <t>来源页90；校验incomplete</t>
        </is>
      </c>
      <c r="L3436" s="43">
        <f>A3436</f>
        <v/>
      </c>
      <c r="M3436" s="81" t="n"/>
      <c r="N3436" s="81" t="n"/>
      <c r="O3436" s="81" t="n"/>
      <c r="P3436" s="81" t="n"/>
      <c r="Q3436" s="81" t="n"/>
      <c r="R3436" s="81" t="n"/>
      <c r="S3436" s="81" t="n"/>
      <c r="T3436" s="81" t="n"/>
      <c r="U3436" s="81" t="n"/>
      <c r="V3436" s="81" t="n"/>
      <c r="W3436" s="43" t="n"/>
    </row>
    <row r="3437">
      <c r="A3437" s="43" t="inlineStr"/>
      <c r="B3437" s="43" t="inlineStr">
        <is>
          <t>焊缝重1.5%</t>
        </is>
      </c>
      <c r="C3437" s="43" t="inlineStr">
        <is>
          <t>节段12</t>
        </is>
      </c>
      <c r="D3437" s="43" t="inlineStr">
        <is>
          <t>Q355D</t>
        </is>
      </c>
      <c r="E3437" s="43" t="n"/>
      <c r="F3437" s="43" t="n"/>
      <c r="G3437" s="43" t="n"/>
      <c r="H3437" s="79">
        <f>(E3437/1000)*(F3437/1000)*(G3437/1000)*7850</f>
        <v/>
      </c>
      <c r="I3437" s="43" t="n"/>
      <c r="J3437" s="80">
        <f>H3437*I3437</f>
        <v/>
      </c>
      <c r="K3437" s="43" t="inlineStr">
        <is>
          <t>来源页94；校验incomplete</t>
        </is>
      </c>
      <c r="L3437" s="43">
        <f>A3437</f>
        <v/>
      </c>
      <c r="M3437" s="81" t="n"/>
      <c r="N3437" s="81" t="n"/>
      <c r="O3437" s="81" t="n"/>
      <c r="P3437" s="81" t="n"/>
      <c r="Q3437" s="81" t="n"/>
      <c r="R3437" s="81" t="n"/>
      <c r="S3437" s="81" t="n"/>
      <c r="T3437" s="81" t="n"/>
      <c r="U3437" s="81" t="n"/>
      <c r="V3437" s="81" t="n"/>
      <c r="W3437" s="43" t="n"/>
    </row>
    <row r="3438">
      <c r="A3438" s="43" t="inlineStr"/>
      <c r="B3438" s="43" t="inlineStr">
        <is>
          <t>焊缝重1.5%</t>
        </is>
      </c>
      <c r="C3438" s="43" t="inlineStr">
        <is>
          <t>节段13</t>
        </is>
      </c>
      <c r="D3438" s="43" t="inlineStr">
        <is>
          <t>Q355D</t>
        </is>
      </c>
      <c r="E3438" s="43" t="n"/>
      <c r="F3438" s="43" t="n"/>
      <c r="G3438" s="43" t="n"/>
      <c r="H3438" s="79">
        <f>(E3438/1000)*(F3438/1000)*(G3438/1000)*7850</f>
        <v/>
      </c>
      <c r="I3438" s="43" t="n"/>
      <c r="J3438" s="80">
        <f>H3438*I3438</f>
        <v/>
      </c>
      <c r="K3438" s="43" t="inlineStr">
        <is>
          <t>来源页98；校验incomplete</t>
        </is>
      </c>
      <c r="L3438" s="43">
        <f>A3438</f>
        <v/>
      </c>
      <c r="M3438" s="81" t="n"/>
      <c r="N3438" s="81" t="n"/>
      <c r="O3438" s="81" t="n"/>
      <c r="P3438" s="81" t="n"/>
      <c r="Q3438" s="81" t="n"/>
      <c r="R3438" s="81" t="n"/>
      <c r="S3438" s="81" t="n"/>
      <c r="T3438" s="81" t="n"/>
      <c r="U3438" s="81" t="n"/>
      <c r="V3438" s="81" t="n"/>
      <c r="W3438" s="43" t="n"/>
    </row>
    <row r="3439">
      <c r="A3439" s="43" t="inlineStr">
        <is>
          <t>N31</t>
        </is>
      </c>
      <c r="B3439" s="43" t="inlineStr">
        <is>
          <t>斜腹杆</t>
        </is>
      </c>
      <c r="C3439" s="43" t="inlineStr">
        <is>
          <t>节段14</t>
        </is>
      </c>
      <c r="D3439" s="43" t="inlineStr">
        <is>
          <t>Q355D</t>
        </is>
      </c>
      <c r="E3439" s="43" t="n">
        <v>11383</v>
      </c>
      <c r="F3439" s="43" t="n">
        <v>1200</v>
      </c>
      <c r="G3439" s="43" t="n">
        <v>36</v>
      </c>
      <c r="H3439" s="79">
        <f>(E3439/1000)*(F3439/1000)*(G3439/1000)*7850</f>
        <v/>
      </c>
      <c r="I3439" s="43" t="n"/>
      <c r="J3439" s="80">
        <f>H3439*I3439</f>
        <v/>
      </c>
      <c r="K3439" s="43" t="inlineStr">
        <is>
          <t>来源页102；校验incomplete</t>
        </is>
      </c>
      <c r="L3439" s="43">
        <f>A3439</f>
        <v/>
      </c>
      <c r="M3439" s="81" t="n"/>
      <c r="N3439" s="81" t="n"/>
      <c r="O3439" s="81" t="n"/>
      <c r="P3439" s="81" t="n"/>
      <c r="Q3439" s="81" t="n"/>
      <c r="R3439" s="81" t="n"/>
      <c r="S3439" s="81" t="n"/>
      <c r="T3439" s="81" t="n"/>
      <c r="U3439" s="81" t="n"/>
      <c r="V3439" s="81" t="n"/>
      <c r="W3439" s="43" t="n"/>
    </row>
    <row r="3440">
      <c r="A3440" s="43" t="inlineStr">
        <is>
          <t>N51α</t>
        </is>
      </c>
      <c r="B3440" s="43" t="inlineStr">
        <is>
          <t>节点板加劲</t>
        </is>
      </c>
      <c r="C3440" s="43" t="inlineStr">
        <is>
          <t>节段14</t>
        </is>
      </c>
      <c r="D3440" s="43" t="inlineStr">
        <is>
          <t>Q355D</t>
        </is>
      </c>
      <c r="E3440" s="43" t="n">
        <v>5483</v>
      </c>
      <c r="F3440" s="43" t="n">
        <v>1200</v>
      </c>
      <c r="G3440" s="43" t="n">
        <v>36</v>
      </c>
      <c r="H3440" s="79">
        <f>(E3440/1000)*(F3440/1000)*(G3440/1000)*7850</f>
        <v/>
      </c>
      <c r="I3440" s="43" t="n"/>
      <c r="J3440" s="80">
        <f>H3440*I3440</f>
        <v/>
      </c>
      <c r="K3440" s="43" t="inlineStr">
        <is>
          <t>来源页102；校验incomplete</t>
        </is>
      </c>
      <c r="L3440" s="43">
        <f>A3440</f>
        <v/>
      </c>
      <c r="M3440" s="81" t="n"/>
      <c r="N3440" s="81" t="n"/>
      <c r="O3440" s="81" t="n"/>
      <c r="P3440" s="81" t="n"/>
      <c r="Q3440" s="81" t="n"/>
      <c r="R3440" s="81" t="n"/>
      <c r="S3440" s="81" t="n"/>
      <c r="T3440" s="81" t="n"/>
      <c r="U3440" s="81" t="n"/>
      <c r="V3440" s="81" t="n"/>
      <c r="W3440" s="43" t="n"/>
    </row>
    <row r="3441">
      <c r="A3441" s="43" t="inlineStr"/>
      <c r="B3441" s="43" t="inlineStr">
        <is>
          <t>焊缝重1.5%</t>
        </is>
      </c>
      <c r="C3441" s="43" t="inlineStr">
        <is>
          <t>节段14</t>
        </is>
      </c>
      <c r="D3441" s="43" t="inlineStr">
        <is>
          <t>Q355D</t>
        </is>
      </c>
      <c r="E3441" s="43" t="n"/>
      <c r="F3441" s="43" t="n"/>
      <c r="G3441" s="43" t="n"/>
      <c r="H3441" s="79">
        <f>(E3441/1000)*(F3441/1000)*(G3441/1000)*7850</f>
        <v/>
      </c>
      <c r="I3441" s="43" t="n"/>
      <c r="J3441" s="80">
        <f>H3441*I3441</f>
        <v/>
      </c>
      <c r="K3441" s="43" t="inlineStr">
        <is>
          <t>来源页102；校验incomplete</t>
        </is>
      </c>
      <c r="L3441" s="43">
        <f>A3441</f>
        <v/>
      </c>
      <c r="M3441" s="81" t="n"/>
      <c r="N3441" s="81" t="n"/>
      <c r="O3441" s="81" t="n"/>
      <c r="P3441" s="81" t="n"/>
      <c r="Q3441" s="81" t="n"/>
      <c r="R3441" s="81" t="n"/>
      <c r="S3441" s="81" t="n"/>
      <c r="T3441" s="81" t="n"/>
      <c r="U3441" s="81" t="n"/>
      <c r="V3441" s="81" t="n"/>
      <c r="W3441" s="43" t="n"/>
    </row>
    <row r="3442">
      <c r="A3442" s="43" t="inlineStr"/>
      <c r="B3442" s="43" t="inlineStr"/>
      <c r="C3442" s="43" t="inlineStr"/>
      <c r="D3442" s="43" t="inlineStr">
        <is>
          <t>Q420D</t>
        </is>
      </c>
      <c r="E3442" s="43" t="n"/>
      <c r="F3442" s="43" t="n"/>
      <c r="G3442" s="43" t="n">
        <v>48</v>
      </c>
      <c r="H3442" s="79">
        <f>(E3442/1000)*(F3442/1000)*(G3442/1000)*7850</f>
        <v/>
      </c>
      <c r="I3442" s="43" t="n">
        <v>19375</v>
      </c>
      <c r="J3442" s="80">
        <f>H3442*I3442</f>
        <v/>
      </c>
      <c r="K3442" s="43" t="inlineStr">
        <is>
          <t>来源页106；校验incomplete</t>
        </is>
      </c>
      <c r="L3442" s="43">
        <f>A3442</f>
        <v/>
      </c>
      <c r="M3442" s="81" t="n"/>
      <c r="N3442" s="81" t="n"/>
      <c r="O3442" s="81" t="n"/>
      <c r="P3442" s="81" t="n"/>
      <c r="Q3442" s="81" t="n"/>
      <c r="R3442" s="81" t="n"/>
      <c r="S3442" s="81" t="n"/>
      <c r="T3442" s="81" t="n"/>
      <c r="U3442" s="81" t="n"/>
      <c r="V3442" s="81" t="n"/>
      <c r="W3442" s="43" t="n"/>
    </row>
    <row r="3443">
      <c r="A3443" s="43" t="inlineStr"/>
      <c r="B3443" s="43" t="inlineStr"/>
      <c r="C3443" s="43" t="inlineStr"/>
      <c r="D3443" s="43" t="inlineStr">
        <is>
          <t>Q420D</t>
        </is>
      </c>
      <c r="E3443" s="43" t="n"/>
      <c r="F3443" s="43" t="n"/>
      <c r="G3443" s="43" t="n">
        <v>40</v>
      </c>
      <c r="H3443" s="79">
        <f>(E3443/1000)*(F3443/1000)*(G3443/1000)*7850</f>
        <v/>
      </c>
      <c r="I3443" s="43" t="n">
        <v>19375</v>
      </c>
      <c r="J3443" s="80">
        <f>H3443*I3443</f>
        <v/>
      </c>
      <c r="K3443" s="43" t="inlineStr">
        <is>
          <t>来源页106；校验incomplete</t>
        </is>
      </c>
      <c r="L3443" s="43">
        <f>A3443</f>
        <v/>
      </c>
      <c r="M3443" s="81" t="n"/>
      <c r="N3443" s="81" t="n"/>
      <c r="O3443" s="81" t="n"/>
      <c r="P3443" s="81" t="n"/>
      <c r="Q3443" s="81" t="n"/>
      <c r="R3443" s="81" t="n"/>
      <c r="S3443" s="81" t="n"/>
      <c r="T3443" s="81" t="n"/>
      <c r="U3443" s="81" t="n"/>
      <c r="V3443" s="81" t="n"/>
      <c r="W3443" s="43" t="n"/>
    </row>
    <row r="3444">
      <c r="A3444" s="43" t="inlineStr"/>
      <c r="B3444" s="43" t="inlineStr"/>
      <c r="C3444" s="43" t="inlineStr"/>
      <c r="D3444" s="43" t="inlineStr">
        <is>
          <t>Q420D</t>
        </is>
      </c>
      <c r="E3444" s="43" t="n"/>
      <c r="F3444" s="43" t="n"/>
      <c r="G3444" s="43" t="n">
        <v>32</v>
      </c>
      <c r="H3444" s="79">
        <f>(E3444/1000)*(F3444/1000)*(G3444/1000)*7850</f>
        <v/>
      </c>
      <c r="I3444" s="43" t="n">
        <v>19375</v>
      </c>
      <c r="J3444" s="80">
        <f>H3444*I3444</f>
        <v/>
      </c>
      <c r="K3444" s="43" t="inlineStr">
        <is>
          <t>来源页106；校验incomplete</t>
        </is>
      </c>
      <c r="L3444" s="43">
        <f>A3444</f>
        <v/>
      </c>
      <c r="M3444" s="81" t="n"/>
      <c r="N3444" s="81" t="n"/>
      <c r="O3444" s="81" t="n"/>
      <c r="P3444" s="81" t="n"/>
      <c r="Q3444" s="81" t="n"/>
      <c r="R3444" s="81" t="n"/>
      <c r="S3444" s="81" t="n"/>
      <c r="T3444" s="81" t="n"/>
      <c r="U3444" s="81" t="n"/>
      <c r="V3444" s="81" t="n"/>
      <c r="W3444" s="43" t="n"/>
    </row>
    <row r="3445">
      <c r="A3445" s="43" t="inlineStr"/>
      <c r="B3445" s="43" t="inlineStr"/>
      <c r="C3445" s="43" t="inlineStr"/>
      <c r="D3445" s="43" t="inlineStr">
        <is>
          <t>Q355D</t>
        </is>
      </c>
      <c r="E3445" s="43" t="n"/>
      <c r="F3445" s="43" t="n"/>
      <c r="G3445" s="43" t="n">
        <v>48</v>
      </c>
      <c r="H3445" s="79">
        <f>(E3445/1000)*(F3445/1000)*(G3445/1000)*7850</f>
        <v/>
      </c>
      <c r="I3445" s="43" t="n">
        <v>19375</v>
      </c>
      <c r="J3445" s="80">
        <f>H3445*I3445</f>
        <v/>
      </c>
      <c r="K3445" s="43" t="inlineStr">
        <is>
          <t>来源页106；校验incomplete</t>
        </is>
      </c>
      <c r="L3445" s="43">
        <f>A3445</f>
        <v/>
      </c>
      <c r="M3445" s="81" t="n"/>
      <c r="N3445" s="81" t="n"/>
      <c r="O3445" s="81" t="n"/>
      <c r="P3445" s="81" t="n"/>
      <c r="Q3445" s="81" t="n"/>
      <c r="R3445" s="81" t="n"/>
      <c r="S3445" s="81" t="n"/>
      <c r="T3445" s="81" t="n"/>
      <c r="U3445" s="81" t="n"/>
      <c r="V3445" s="81" t="n"/>
      <c r="W3445" s="43" t="n"/>
    </row>
    <row r="3446">
      <c r="A3446" s="43" t="inlineStr"/>
      <c r="B3446" s="43" t="inlineStr"/>
      <c r="C3446" s="43" t="inlineStr"/>
      <c r="D3446" s="43" t="inlineStr">
        <is>
          <t>Q355D</t>
        </is>
      </c>
      <c r="E3446" s="43" t="n"/>
      <c r="F3446" s="43" t="n"/>
      <c r="G3446" s="43" t="n">
        <v>44</v>
      </c>
      <c r="H3446" s="79">
        <f>(E3446/1000)*(F3446/1000)*(G3446/1000)*7850</f>
        <v/>
      </c>
      <c r="I3446" s="43" t="n">
        <v>19375</v>
      </c>
      <c r="J3446" s="80">
        <f>H3446*I3446</f>
        <v/>
      </c>
      <c r="K3446" s="43" t="inlineStr">
        <is>
          <t>来源页106；校验incomplete</t>
        </is>
      </c>
      <c r="L3446" s="43">
        <f>A3446</f>
        <v/>
      </c>
      <c r="M3446" s="81" t="n"/>
      <c r="N3446" s="81" t="n"/>
      <c r="O3446" s="81" t="n"/>
      <c r="P3446" s="81" t="n"/>
      <c r="Q3446" s="81" t="n"/>
      <c r="R3446" s="81" t="n"/>
      <c r="S3446" s="81" t="n"/>
      <c r="T3446" s="81" t="n"/>
      <c r="U3446" s="81" t="n"/>
      <c r="V3446" s="81" t="n"/>
      <c r="W3446" s="43" t="n"/>
    </row>
    <row r="3447">
      <c r="A3447" s="43" t="inlineStr"/>
      <c r="B3447" s="43" t="inlineStr"/>
      <c r="C3447" s="43" t="inlineStr"/>
      <c r="D3447" s="43" t="inlineStr">
        <is>
          <t>Q355D</t>
        </is>
      </c>
      <c r="E3447" s="43" t="n"/>
      <c r="F3447" s="43" t="n"/>
      <c r="G3447" s="43" t="n">
        <v>36</v>
      </c>
      <c r="H3447" s="79">
        <f>(E3447/1000)*(F3447/1000)*(G3447/1000)*7850</f>
        <v/>
      </c>
      <c r="I3447" s="43" t="n">
        <v>19375</v>
      </c>
      <c r="J3447" s="80">
        <f>H3447*I3447</f>
        <v/>
      </c>
      <c r="K3447" s="43" t="inlineStr">
        <is>
          <t>来源页106；校验incomplete</t>
        </is>
      </c>
      <c r="L3447" s="43">
        <f>A3447</f>
        <v/>
      </c>
      <c r="M3447" s="81" t="n"/>
      <c r="N3447" s="81" t="n"/>
      <c r="O3447" s="81" t="n"/>
      <c r="P3447" s="81" t="n"/>
      <c r="Q3447" s="81" t="n"/>
      <c r="R3447" s="81" t="n"/>
      <c r="S3447" s="81" t="n"/>
      <c r="T3447" s="81" t="n"/>
      <c r="U3447" s="81" t="n"/>
      <c r="V3447" s="81" t="n"/>
      <c r="W3447" s="43" t="n"/>
    </row>
    <row r="3448">
      <c r="A3448" s="43" t="inlineStr"/>
      <c r="B3448" s="43" t="inlineStr"/>
      <c r="C3448" s="43" t="inlineStr"/>
      <c r="D3448" s="43" t="inlineStr">
        <is>
          <t>Q355D</t>
        </is>
      </c>
      <c r="E3448" s="43" t="n"/>
      <c r="F3448" s="43" t="n"/>
      <c r="G3448" s="43" t="n">
        <v>32</v>
      </c>
      <c r="H3448" s="79">
        <f>(E3448/1000)*(F3448/1000)*(G3448/1000)*7850</f>
        <v/>
      </c>
      <c r="I3448" s="43" t="n">
        <v>19375</v>
      </c>
      <c r="J3448" s="80">
        <f>H3448*I3448</f>
        <v/>
      </c>
      <c r="K3448" s="43" t="inlineStr">
        <is>
          <t>来源页106；校验incomplete</t>
        </is>
      </c>
      <c r="L3448" s="43">
        <f>A3448</f>
        <v/>
      </c>
      <c r="M3448" s="81" t="n"/>
      <c r="N3448" s="81" t="n"/>
      <c r="O3448" s="81" t="n"/>
      <c r="P3448" s="81" t="n"/>
      <c r="Q3448" s="81" t="n"/>
      <c r="R3448" s="81" t="n"/>
      <c r="S3448" s="81" t="n"/>
      <c r="T3448" s="81" t="n"/>
      <c r="U3448" s="81" t="n"/>
      <c r="V3448" s="81" t="n"/>
      <c r="W3448" s="43" t="n"/>
    </row>
    <row r="3449">
      <c r="A3449" s="43" t="inlineStr"/>
      <c r="B3449" s="43" t="inlineStr"/>
      <c r="C3449" s="43" t="inlineStr"/>
      <c r="D3449" s="43" t="inlineStr">
        <is>
          <t>Q355D</t>
        </is>
      </c>
      <c r="E3449" s="43" t="n"/>
      <c r="F3449" s="43" t="n"/>
      <c r="G3449" s="43" t="n">
        <v>24</v>
      </c>
      <c r="H3449" s="79">
        <f>(E3449/1000)*(F3449/1000)*(G3449/1000)*7850</f>
        <v/>
      </c>
      <c r="I3449" s="43" t="n">
        <v>19375</v>
      </c>
      <c r="J3449" s="80">
        <f>H3449*I3449</f>
        <v/>
      </c>
      <c r="K3449" s="43" t="inlineStr">
        <is>
          <t>来源页106；校验incomplete</t>
        </is>
      </c>
      <c r="L3449" s="43">
        <f>A3449</f>
        <v/>
      </c>
      <c r="M3449" s="81" t="n"/>
      <c r="N3449" s="81" t="n"/>
      <c r="O3449" s="81" t="n"/>
      <c r="P3449" s="81" t="n"/>
      <c r="Q3449" s="81" t="n"/>
      <c r="R3449" s="81" t="n"/>
      <c r="S3449" s="81" t="n"/>
      <c r="T3449" s="81" t="n"/>
      <c r="U3449" s="81" t="n"/>
      <c r="V3449" s="81" t="n"/>
      <c r="W3449" s="43" t="n"/>
    </row>
    <row r="3450">
      <c r="A3450" s="43" t="inlineStr"/>
      <c r="B3450" s="43" t="inlineStr"/>
      <c r="C3450" s="43" t="inlineStr"/>
      <c r="D3450" s="43" t="inlineStr">
        <is>
          <t>Q355D</t>
        </is>
      </c>
      <c r="E3450" s="43" t="n"/>
      <c r="F3450" s="43" t="n"/>
      <c r="G3450" s="43" t="n">
        <v>16</v>
      </c>
      <c r="H3450" s="79">
        <f>(E3450/1000)*(F3450/1000)*(G3450/1000)*7850</f>
        <v/>
      </c>
      <c r="I3450" s="43" t="n">
        <v>19375</v>
      </c>
      <c r="J3450" s="80">
        <f>H3450*I3450</f>
        <v/>
      </c>
      <c r="K3450" s="43" t="inlineStr">
        <is>
          <t>来源页106；校验incomplete</t>
        </is>
      </c>
      <c r="L3450" s="43">
        <f>A3450</f>
        <v/>
      </c>
      <c r="M3450" s="81" t="n"/>
      <c r="N3450" s="81" t="n"/>
      <c r="O3450" s="81" t="n"/>
      <c r="P3450" s="81" t="n"/>
      <c r="Q3450" s="81" t="n"/>
      <c r="R3450" s="81" t="n"/>
      <c r="S3450" s="81" t="n"/>
      <c r="T3450" s="81" t="n"/>
      <c r="U3450" s="81" t="n"/>
      <c r="V3450" s="81" t="n"/>
      <c r="W3450" s="43" t="n"/>
    </row>
    <row r="3451">
      <c r="A3451" s="43" t="inlineStr"/>
      <c r="B3451" s="43" t="inlineStr"/>
      <c r="C3451" s="43" t="inlineStr"/>
      <c r="D3451" s="43" t="inlineStr">
        <is>
          <t>Q355D</t>
        </is>
      </c>
      <c r="E3451" s="43" t="n"/>
      <c r="F3451" s="43" t="n"/>
      <c r="G3451" s="43" t="n">
        <v>14</v>
      </c>
      <c r="H3451" s="79">
        <f>(E3451/1000)*(F3451/1000)*(G3451/1000)*7850</f>
        <v/>
      </c>
      <c r="I3451" s="43" t="n">
        <v>19375</v>
      </c>
      <c r="J3451" s="80">
        <f>H3451*I3451</f>
        <v/>
      </c>
      <c r="K3451" s="43" t="inlineStr">
        <is>
          <t>来源页106；校验incomplete</t>
        </is>
      </c>
      <c r="L3451" s="43">
        <f>A3451</f>
        <v/>
      </c>
      <c r="M3451" s="81" t="n"/>
      <c r="N3451" s="81" t="n"/>
      <c r="O3451" s="81" t="n"/>
      <c r="P3451" s="81" t="n"/>
      <c r="Q3451" s="81" t="n"/>
      <c r="R3451" s="81" t="n"/>
      <c r="S3451" s="81" t="n"/>
      <c r="T3451" s="81" t="n"/>
      <c r="U3451" s="81" t="n"/>
      <c r="V3451" s="81" t="n"/>
      <c r="W3451" s="43" t="n"/>
    </row>
    <row r="3452">
      <c r="A3452" s="43" t="inlineStr"/>
      <c r="B3452" s="43" t="inlineStr"/>
      <c r="C3452" s="43" t="inlineStr"/>
      <c r="D3452" s="43" t="inlineStr">
        <is>
          <t>Q355D</t>
        </is>
      </c>
      <c r="E3452" s="43" t="n"/>
      <c r="F3452" s="43" t="n"/>
      <c r="G3452" s="43" t="n">
        <v>4</v>
      </c>
      <c r="H3452" s="79">
        <f>(E3452/1000)*(F3452/1000)*(G3452/1000)*7850</f>
        <v/>
      </c>
      <c r="I3452" s="43" t="n">
        <v>19375</v>
      </c>
      <c r="J3452" s="80">
        <f>H3452*I3452</f>
        <v/>
      </c>
      <c r="K3452" s="43" t="inlineStr">
        <is>
          <t>来源页106；校验incomplete</t>
        </is>
      </c>
      <c r="L3452" s="43">
        <f>A3452</f>
        <v/>
      </c>
      <c r="M3452" s="81" t="n"/>
      <c r="N3452" s="81" t="n"/>
      <c r="O3452" s="81" t="n"/>
      <c r="P3452" s="81" t="n"/>
      <c r="Q3452" s="81" t="n"/>
      <c r="R3452" s="81" t="n"/>
      <c r="S3452" s="81" t="n"/>
      <c r="T3452" s="81" t="n"/>
      <c r="U3452" s="81" t="n"/>
      <c r="V3452" s="81" t="n"/>
      <c r="W3452" s="43" t="n"/>
    </row>
    <row r="3453">
      <c r="A3453" s="43" t="inlineStr"/>
      <c r="B3453" s="43" t="inlineStr"/>
      <c r="C3453" s="43" t="inlineStr"/>
      <c r="D3453" s="43" t="inlineStr">
        <is>
          <t>Q355D</t>
        </is>
      </c>
      <c r="E3453" s="43" t="n"/>
      <c r="F3453" s="43" t="n"/>
      <c r="G3453" s="43" t="n"/>
      <c r="H3453" s="79">
        <f>(E3453/1000)*(F3453/1000)*(G3453/1000)*7850</f>
        <v/>
      </c>
      <c r="I3453" s="43" t="n">
        <v>19375</v>
      </c>
      <c r="J3453" s="80">
        <f>H3453*I3453</f>
        <v/>
      </c>
      <c r="K3453" s="43" t="inlineStr">
        <is>
          <t>来源页106；校验incomplete</t>
        </is>
      </c>
      <c r="L3453" s="43">
        <f>A3453</f>
        <v/>
      </c>
      <c r="M3453" s="81" t="n"/>
      <c r="N3453" s="81" t="n"/>
      <c r="O3453" s="81" t="n"/>
      <c r="P3453" s="81" t="n"/>
      <c r="Q3453" s="81" t="n"/>
      <c r="R3453" s="81" t="n"/>
      <c r="S3453" s="81" t="n"/>
      <c r="T3453" s="81" t="n"/>
      <c r="U3453" s="81" t="n"/>
      <c r="V3453" s="81" t="n"/>
      <c r="W3453" s="43" t="n"/>
    </row>
    <row r="3454">
      <c r="A3454" s="43" t="inlineStr"/>
      <c r="B3454" s="43" t="inlineStr"/>
      <c r="C3454" s="43" t="inlineStr"/>
      <c r="D3454" s="43" t="inlineStr">
        <is>
          <t>Q355D</t>
        </is>
      </c>
      <c r="E3454" s="43" t="n"/>
      <c r="F3454" s="43" t="n"/>
      <c r="G3454" s="43" t="n"/>
      <c r="H3454" s="79">
        <f>(E3454/1000)*(F3454/1000)*(G3454/1000)*7850</f>
        <v/>
      </c>
      <c r="I3454" s="43" t="n">
        <v>19375</v>
      </c>
      <c r="J3454" s="80">
        <f>H3454*I3454</f>
        <v/>
      </c>
      <c r="K3454" s="43" t="inlineStr">
        <is>
          <t>来源页106；校验incomplete</t>
        </is>
      </c>
      <c r="L3454" s="43">
        <f>A3454</f>
        <v/>
      </c>
      <c r="M3454" s="81" t="n"/>
      <c r="N3454" s="81" t="n"/>
      <c r="O3454" s="81" t="n"/>
      <c r="P3454" s="81" t="n"/>
      <c r="Q3454" s="81" t="n"/>
      <c r="R3454" s="81" t="n"/>
      <c r="S3454" s="81" t="n"/>
      <c r="T3454" s="81" t="n"/>
      <c r="U3454" s="81" t="n"/>
      <c r="V3454" s="81" t="n"/>
      <c r="W3454" s="43" t="n"/>
    </row>
    <row r="3455">
      <c r="A3455" s="43" t="inlineStr"/>
      <c r="B3455" s="43" t="inlineStr"/>
      <c r="C3455" s="43" t="inlineStr"/>
      <c r="D3455" s="43" t="inlineStr">
        <is>
          <t>Q355D</t>
        </is>
      </c>
      <c r="E3455" s="43" t="n"/>
      <c r="F3455" s="43" t="n"/>
      <c r="G3455" s="43" t="n"/>
      <c r="H3455" s="79">
        <f>(E3455/1000)*(F3455/1000)*(G3455/1000)*7850</f>
        <v/>
      </c>
      <c r="I3455" s="43" t="n">
        <v>19375</v>
      </c>
      <c r="J3455" s="80">
        <f>H3455*I3455</f>
        <v/>
      </c>
      <c r="K3455" s="43" t="inlineStr">
        <is>
          <t>来源页106；校验incomplete</t>
        </is>
      </c>
      <c r="L3455" s="43">
        <f>A3455</f>
        <v/>
      </c>
      <c r="M3455" s="81" t="n"/>
      <c r="N3455" s="81" t="n"/>
      <c r="O3455" s="81" t="n"/>
      <c r="P3455" s="81" t="n"/>
      <c r="Q3455" s="81" t="n"/>
      <c r="R3455" s="81" t="n"/>
      <c r="S3455" s="81" t="n"/>
      <c r="T3455" s="81" t="n"/>
      <c r="U3455" s="81" t="n"/>
      <c r="V3455" s="81" t="n"/>
      <c r="W3455" s="43" t="n"/>
    </row>
    <row r="3456">
      <c r="A3456" s="43" t="inlineStr"/>
      <c r="B3456" s="43" t="inlineStr">
        <is>
          <t>焊缝重1.5%</t>
        </is>
      </c>
      <c r="C3456" s="43" t="inlineStr">
        <is>
          <t>节段15</t>
        </is>
      </c>
      <c r="D3456" s="43" t="inlineStr">
        <is>
          <t>Q355D</t>
        </is>
      </c>
      <c r="E3456" s="43" t="n"/>
      <c r="F3456" s="43" t="n"/>
      <c r="G3456" s="43" t="n"/>
      <c r="H3456" s="79">
        <f>(E3456/1000)*(F3456/1000)*(G3456/1000)*7850</f>
        <v/>
      </c>
      <c r="I3456" s="43" t="n"/>
      <c r="J3456" s="80">
        <f>H3456*I3456</f>
        <v/>
      </c>
      <c r="K3456" s="43" t="inlineStr">
        <is>
          <t>来源页106；校验incomplete</t>
        </is>
      </c>
      <c r="L3456" s="43">
        <f>A3456</f>
        <v/>
      </c>
      <c r="M3456" s="81" t="n"/>
      <c r="N3456" s="81" t="n"/>
      <c r="O3456" s="81" t="n"/>
      <c r="P3456" s="81" t="n"/>
      <c r="Q3456" s="81" t="n"/>
      <c r="R3456" s="81" t="n"/>
      <c r="S3456" s="81" t="n"/>
      <c r="T3456" s="81" t="n"/>
      <c r="U3456" s="81" t="n"/>
      <c r="V3456" s="81" t="n"/>
      <c r="W3456" s="43" t="n"/>
    </row>
    <row r="3457">
      <c r="A3457" s="43" t="inlineStr">
        <is>
          <t>N43b</t>
        </is>
      </c>
      <c r="B3457" s="43" t="inlineStr">
        <is>
          <t>斜腹杆</t>
        </is>
      </c>
      <c r="C3457" s="43" t="inlineStr">
        <is>
          <t>节段16</t>
        </is>
      </c>
      <c r="D3457" s="43" t="inlineStr">
        <is>
          <t>Q420D</t>
        </is>
      </c>
      <c r="E3457" s="43" t="n">
        <v>4929</v>
      </c>
      <c r="F3457" s="43" t="n">
        <v>320</v>
      </c>
      <c r="G3457" s="43" t="n">
        <v>32</v>
      </c>
      <c r="H3457" s="79">
        <f>(E3457/1000)*(F3457/1000)*(G3457/1000)*7850</f>
        <v/>
      </c>
      <c r="I3457" s="43" t="n"/>
      <c r="J3457" s="80">
        <f>H3457*I3457</f>
        <v/>
      </c>
      <c r="K3457" s="43" t="inlineStr">
        <is>
          <t>来源页110；校验incomplete</t>
        </is>
      </c>
      <c r="L3457" s="43">
        <f>A3457</f>
        <v/>
      </c>
      <c r="M3457" s="81" t="n"/>
      <c r="N3457" s="81" t="n"/>
      <c r="O3457" s="81" t="n"/>
      <c r="P3457" s="81" t="n"/>
      <c r="Q3457" s="81" t="n"/>
      <c r="R3457" s="81" t="n"/>
      <c r="S3457" s="81" t="n"/>
      <c r="T3457" s="81" t="n"/>
      <c r="U3457" s="81" t="n"/>
      <c r="V3457" s="81" t="n"/>
      <c r="W3457" s="43" t="n"/>
    </row>
    <row r="3458">
      <c r="A3458" s="43" t="inlineStr"/>
      <c r="B3458" s="43" t="inlineStr">
        <is>
          <t>焊缝重1.5%</t>
        </is>
      </c>
      <c r="C3458" s="43" t="inlineStr">
        <is>
          <t>节段19</t>
        </is>
      </c>
      <c r="D3458" s="43" t="inlineStr">
        <is>
          <t>Q355D</t>
        </is>
      </c>
      <c r="E3458" s="43" t="n"/>
      <c r="F3458" s="43" t="n"/>
      <c r="G3458" s="43" t="n"/>
      <c r="H3458" s="79">
        <f>(E3458/1000)*(F3458/1000)*(G3458/1000)*7850</f>
        <v/>
      </c>
      <c r="I3458" s="43" t="n"/>
      <c r="J3458" s="80">
        <f>H3458*I3458</f>
        <v/>
      </c>
      <c r="K3458" s="43" t="inlineStr">
        <is>
          <t>来源页123；校验incomplete</t>
        </is>
      </c>
      <c r="L3458" s="43">
        <f>A3458</f>
        <v/>
      </c>
      <c r="M3458" s="81" t="n"/>
      <c r="N3458" s="81" t="n"/>
      <c r="O3458" s="81" t="n"/>
      <c r="P3458" s="81" t="n"/>
      <c r="Q3458" s="81" t="n"/>
      <c r="R3458" s="81" t="n"/>
      <c r="S3458" s="81" t="n"/>
      <c r="T3458" s="81" t="n"/>
      <c r="U3458" s="81" t="n"/>
      <c r="V3458" s="81" t="n"/>
      <c r="W3458" s="43" t="n"/>
    </row>
    <row r="3459">
      <c r="A3459" s="43" t="inlineStr">
        <is>
          <t>Q355D</t>
        </is>
      </c>
      <c r="B3459" s="43" t="inlineStr">
        <is>
          <t>t=32</t>
        </is>
      </c>
      <c r="C3459" s="43" t="inlineStr"/>
      <c r="D3459" s="43" t="inlineStr">
        <is>
          <t>7121.6</t>
        </is>
      </c>
      <c r="E3459" s="43" t="n"/>
      <c r="F3459" s="43" t="n"/>
      <c r="G3459" s="43" t="n"/>
      <c r="H3459" s="79">
        <f>(E3459/1000)*(F3459/1000)*(G3459/1000)*7850</f>
        <v/>
      </c>
      <c r="I3459" s="43" t="n"/>
      <c r="J3459" s="80">
        <f>H3459*I3459</f>
        <v/>
      </c>
      <c r="K3459" s="43" t="inlineStr">
        <is>
          <t>535；来源页127；校验incomplete</t>
        </is>
      </c>
      <c r="L3459" s="43">
        <f>A3459</f>
        <v/>
      </c>
      <c r="M3459" s="81" t="n"/>
      <c r="N3459" s="81" t="n"/>
      <c r="O3459" s="81" t="n"/>
      <c r="P3459" s="81" t="n"/>
      <c r="Q3459" s="81" t="n"/>
      <c r="R3459" s="81" t="n"/>
      <c r="S3459" s="81" t="n"/>
      <c r="T3459" s="81" t="n"/>
      <c r="U3459" s="81" t="n"/>
      <c r="V3459" s="81" t="n"/>
      <c r="W3459" s="43" t="n"/>
    </row>
    <row r="3460">
      <c r="A3460" s="43" t="inlineStr">
        <is>
          <t>Q355D</t>
        </is>
      </c>
      <c r="B3460" s="43" t="inlineStr">
        <is>
          <t>t=24</t>
        </is>
      </c>
      <c r="C3460" s="43" t="inlineStr"/>
      <c r="D3460" s="43" t="inlineStr">
        <is>
          <t>7951</t>
        </is>
      </c>
      <c r="E3460" s="43" t="n"/>
      <c r="F3460" s="43" t="n"/>
      <c r="G3460" s="43" t="n"/>
      <c r="H3460" s="79">
        <f>(E3460/1000)*(F3460/1000)*(G3460/1000)*7850</f>
        <v/>
      </c>
      <c r="I3460" s="43" t="n"/>
      <c r="J3460" s="80">
        <f>H3460*I3460</f>
        <v/>
      </c>
      <c r="K3460" s="43" t="inlineStr">
        <is>
          <t>2163.1；来源页127；校验incomplete</t>
        </is>
      </c>
      <c r="L3460" s="43">
        <f>A3460</f>
        <v/>
      </c>
      <c r="M3460" s="81" t="n"/>
      <c r="N3460" s="81" t="n"/>
      <c r="O3460" s="81" t="n"/>
      <c r="P3460" s="81" t="n"/>
      <c r="Q3460" s="81" t="n"/>
      <c r="R3460" s="81" t="n"/>
      <c r="S3460" s="81" t="n"/>
      <c r="T3460" s="81" t="n"/>
      <c r="U3460" s="81" t="n"/>
      <c r="V3460" s="81" t="n"/>
      <c r="W3460" s="43" t="n"/>
    </row>
    <row r="3461">
      <c r="A3461" s="43" t="inlineStr">
        <is>
          <t>Q355D</t>
        </is>
      </c>
      <c r="B3461" s="43" t="inlineStr">
        <is>
          <t>t=20</t>
        </is>
      </c>
      <c r="C3461" s="43" t="inlineStr"/>
      <c r="D3461" s="43" t="inlineStr">
        <is>
          <t>27397</t>
        </is>
      </c>
      <c r="E3461" s="43" t="n"/>
      <c r="F3461" s="43" t="n"/>
      <c r="G3461" s="43" t="n"/>
      <c r="H3461" s="79">
        <f>(E3461/1000)*(F3461/1000)*(G3461/1000)*7850</f>
        <v/>
      </c>
      <c r="I3461" s="43" t="n"/>
      <c r="J3461" s="80">
        <f>H3461*I3461</f>
        <v/>
      </c>
      <c r="K3461" s="43" t="inlineStr">
        <is>
          <t>1956.8；来源页127；校验incomplete</t>
        </is>
      </c>
      <c r="L3461" s="43">
        <f>A3461</f>
        <v/>
      </c>
      <c r="M3461" s="81" t="n"/>
      <c r="N3461" s="81" t="n"/>
      <c r="O3461" s="81" t="n"/>
      <c r="P3461" s="81" t="n"/>
      <c r="Q3461" s="81" t="n"/>
      <c r="R3461" s="81" t="n"/>
      <c r="S3461" s="81" t="n"/>
      <c r="T3461" s="81" t="n"/>
      <c r="U3461" s="81" t="n"/>
      <c r="V3461" s="81" t="n"/>
      <c r="W3461" s="43" t="n"/>
    </row>
    <row r="3462">
      <c r="A3462" s="43" t="inlineStr">
        <is>
          <t>Q355D</t>
        </is>
      </c>
      <c r="B3462" s="43" t="inlineStr">
        <is>
          <t>t=16</t>
        </is>
      </c>
      <c r="C3462" s="43" t="inlineStr"/>
      <c r="D3462" s="43" t="inlineStr">
        <is>
          <t>3423.8</t>
        </is>
      </c>
      <c r="E3462" s="43" t="n"/>
      <c r="F3462" s="43" t="n"/>
      <c r="G3462" s="43" t="n"/>
      <c r="H3462" s="79">
        <f>(E3462/1000)*(F3462/1000)*(G3462/1000)*7850</f>
        <v/>
      </c>
      <c r="I3462" s="43" t="n"/>
      <c r="J3462" s="80">
        <f>H3462*I3462</f>
        <v/>
      </c>
      <c r="K3462" s="43" t="inlineStr">
        <is>
          <t>871.8；来源页127；校验incomplete</t>
        </is>
      </c>
      <c r="L3462" s="43">
        <f>A3462</f>
        <v/>
      </c>
      <c r="M3462" s="81" t="n"/>
      <c r="N3462" s="81" t="n"/>
      <c r="O3462" s="81" t="n"/>
      <c r="P3462" s="81" t="n"/>
      <c r="Q3462" s="81" t="n"/>
      <c r="R3462" s="81" t="n"/>
      <c r="S3462" s="81" t="n"/>
      <c r="T3462" s="81" t="n"/>
      <c r="U3462" s="81" t="n"/>
      <c r="V3462" s="81" t="n"/>
      <c r="W3462" s="43" t="n"/>
    </row>
    <row r="3463">
      <c r="A3463" s="43" t="inlineStr">
        <is>
          <t>Q355D</t>
        </is>
      </c>
      <c r="B3463" s="43" t="inlineStr">
        <is>
          <t>t=14</t>
        </is>
      </c>
      <c r="C3463" s="43" t="inlineStr"/>
      <c r="D3463" s="43" t="inlineStr">
        <is>
          <t>3130.2</t>
        </is>
      </c>
      <c r="E3463" s="43" t="n"/>
      <c r="F3463" s="43" t="n"/>
      <c r="G3463" s="43" t="n"/>
      <c r="H3463" s="79">
        <f>(E3463/1000)*(F3463/1000)*(G3463/1000)*7850</f>
        <v/>
      </c>
      <c r="I3463" s="43" t="n"/>
      <c r="J3463" s="80">
        <f>H3463*I3463</f>
        <v/>
      </c>
      <c r="K3463" s="43" t="inlineStr">
        <is>
          <t>5526.7；来源页127；校验incomplete</t>
        </is>
      </c>
      <c r="L3463" s="43">
        <f>A3463</f>
        <v/>
      </c>
      <c r="M3463" s="81" t="n"/>
      <c r="N3463" s="81" t="n"/>
      <c r="O3463" s="81" t="n"/>
      <c r="P3463" s="81" t="n"/>
      <c r="Q3463" s="81" t="n"/>
      <c r="R3463" s="81" t="n"/>
      <c r="S3463" s="81" t="n"/>
      <c r="T3463" s="81" t="n"/>
      <c r="U3463" s="81" t="n"/>
      <c r="V3463" s="81" t="n"/>
      <c r="W3463" s="43" t="n"/>
    </row>
    <row r="3464">
      <c r="A3464" s="43" t="inlineStr">
        <is>
          <t>Q355D</t>
        </is>
      </c>
      <c r="B3464" s="43" t="inlineStr">
        <is>
          <t>t=4</t>
        </is>
      </c>
      <c r="C3464" s="43" t="inlineStr"/>
      <c r="D3464" s="43" t="inlineStr">
        <is>
          <t>20</t>
        </is>
      </c>
      <c r="E3464" s="43" t="n"/>
      <c r="F3464" s="43" t="n"/>
      <c r="G3464" s="43" t="n"/>
      <c r="H3464" s="79">
        <f>(E3464/1000)*(F3464/1000)*(G3464/1000)*7850</f>
        <v/>
      </c>
      <c r="I3464" s="43" t="n"/>
      <c r="J3464" s="80">
        <f>H3464*I3464</f>
        <v/>
      </c>
      <c r="K3464" s="43" t="inlineStr">
        <is>
          <t>2234.9；来源页127；校验incomplete</t>
        </is>
      </c>
      <c r="L3464" s="43">
        <f>A3464</f>
        <v/>
      </c>
      <c r="M3464" s="81" t="n"/>
      <c r="N3464" s="81" t="n"/>
      <c r="O3464" s="81" t="n"/>
      <c r="P3464" s="81" t="n"/>
      <c r="Q3464" s="81" t="n"/>
      <c r="R3464" s="81" t="n"/>
      <c r="S3464" s="81" t="n"/>
      <c r="T3464" s="81" t="n"/>
      <c r="U3464" s="81" t="n"/>
      <c r="V3464" s="81" t="n"/>
      <c r="W3464" s="43" t="n"/>
    </row>
    <row r="3465">
      <c r="A3465" s="43" t="inlineStr">
        <is>
          <t>Q355D</t>
        </is>
      </c>
      <c r="B3465" s="43" t="inlineStr">
        <is>
          <t>焊缝重（1.5%)</t>
        </is>
      </c>
      <c r="C3465" s="43" t="inlineStr"/>
      <c r="D3465" s="43" t="inlineStr">
        <is>
          <t>1248.3</t>
        </is>
      </c>
      <c r="E3465" s="43" t="n"/>
      <c r="F3465" s="43" t="n"/>
      <c r="G3465" s="43" t="n"/>
      <c r="H3465" s="79">
        <f>(E3465/1000)*(F3465/1000)*(G3465/1000)*7850</f>
        <v/>
      </c>
      <c r="I3465" s="43" t="n"/>
      <c r="J3465" s="80">
        <f>H3465*I3465</f>
        <v/>
      </c>
      <c r="K3465" s="43" t="inlineStr">
        <is>
          <t>31.4；来源页127；校验incomplete</t>
        </is>
      </c>
      <c r="L3465" s="43">
        <f>A3465</f>
        <v/>
      </c>
      <c r="M3465" s="81" t="n"/>
      <c r="N3465" s="81" t="n"/>
      <c r="O3465" s="81" t="n"/>
      <c r="P3465" s="81" t="n"/>
      <c r="Q3465" s="81" t="n"/>
      <c r="R3465" s="81" t="n"/>
      <c r="S3465" s="81" t="n"/>
      <c r="T3465" s="81" t="n"/>
      <c r="U3465" s="81" t="n"/>
      <c r="V3465" s="81" t="n"/>
      <c r="W3465" s="43" t="n"/>
    </row>
    <row r="3466">
      <c r="A3466" s="43" t="inlineStr"/>
      <c r="B3466" s="43" t="inlineStr">
        <is>
          <t>焊缝重1.5%</t>
        </is>
      </c>
      <c r="C3466" s="43" t="inlineStr">
        <is>
          <t>节段20</t>
        </is>
      </c>
      <c r="D3466" s="43" t="inlineStr">
        <is>
          <t>Q355D</t>
        </is>
      </c>
      <c r="E3466" s="43" t="n"/>
      <c r="F3466" s="43" t="n"/>
      <c r="G3466" s="43" t="n"/>
      <c r="H3466" s="79">
        <f>(E3466/1000)*(F3466/1000)*(G3466/1000)*7850</f>
        <v/>
      </c>
      <c r="I3466" s="43" t="n"/>
      <c r="J3466" s="80">
        <f>H3466*I3466</f>
        <v/>
      </c>
      <c r="K3466" s="43" t="inlineStr">
        <is>
          <t>来源页127；校验incomplete</t>
        </is>
      </c>
      <c r="L3466" s="43">
        <f>A3466</f>
        <v/>
      </c>
      <c r="M3466" s="81" t="n"/>
      <c r="N3466" s="81" t="n"/>
      <c r="O3466" s="81" t="n"/>
      <c r="P3466" s="81" t="n"/>
      <c r="Q3466" s="81" t="n"/>
      <c r="R3466" s="81" t="n"/>
      <c r="S3466" s="81" t="n"/>
      <c r="T3466" s="81" t="n"/>
      <c r="U3466" s="81" t="n"/>
      <c r="V3466" s="81" t="n"/>
      <c r="W3466" s="43" t="n"/>
    </row>
    <row r="3467">
      <c r="A3467" s="43" t="inlineStr"/>
      <c r="B3467" s="43" t="inlineStr">
        <is>
          <t>焊缝重1.5%</t>
        </is>
      </c>
      <c r="C3467" s="43" t="inlineStr">
        <is>
          <t>节段21</t>
        </is>
      </c>
      <c r="D3467" s="43" t="inlineStr">
        <is>
          <t>Q355D</t>
        </is>
      </c>
      <c r="E3467" s="43" t="n"/>
      <c r="F3467" s="43" t="n"/>
      <c r="G3467" s="43" t="n"/>
      <c r="H3467" s="79">
        <f>(E3467/1000)*(F3467/1000)*(G3467/1000)*7850</f>
        <v/>
      </c>
      <c r="I3467" s="43" t="n"/>
      <c r="J3467" s="80">
        <f>H3467*I3467</f>
        <v/>
      </c>
      <c r="K3467" s="43" t="inlineStr">
        <is>
          <t>来源页131；校验incomplete</t>
        </is>
      </c>
      <c r="L3467" s="43">
        <f>A3467</f>
        <v/>
      </c>
      <c r="M3467" s="81" t="n"/>
      <c r="N3467" s="81" t="n"/>
      <c r="O3467" s="81" t="n"/>
      <c r="P3467" s="81" t="n"/>
      <c r="Q3467" s="81" t="n"/>
      <c r="R3467" s="81" t="n"/>
      <c r="S3467" s="81" t="n"/>
      <c r="T3467" s="81" t="n"/>
      <c r="U3467" s="81" t="n"/>
      <c r="V3467" s="81" t="n"/>
      <c r="W3467" s="43" t="n"/>
    </row>
    <row r="3468">
      <c r="A3468" s="43" t="inlineStr">
        <is>
          <t>N53</t>
        </is>
      </c>
      <c r="B3468" s="43" t="inlineStr"/>
      <c r="C3468" s="43" t="inlineStr">
        <is>
          <t>节段05</t>
        </is>
      </c>
      <c r="D3468" s="43" t="inlineStr">
        <is>
          <t>Q355D</t>
        </is>
      </c>
      <c r="E3468" s="43" t="n">
        <v>4225</v>
      </c>
      <c r="F3468" s="43" t="n">
        <v>320</v>
      </c>
      <c r="G3468" s="43" t="n">
        <v>32</v>
      </c>
      <c r="H3468" s="79">
        <f>(E3468/1000)*(F3468/1000)*(G3468/1000)*7850</f>
        <v/>
      </c>
      <c r="I3468" s="43" t="n"/>
      <c r="J3468" s="80">
        <f>H3468*I3468</f>
        <v/>
      </c>
      <c r="K3468" s="43" t="inlineStr">
        <is>
          <t>来源页158；校验incomplete</t>
        </is>
      </c>
      <c r="L3468" s="43">
        <f>A3468</f>
        <v/>
      </c>
      <c r="M3468" s="81" t="n"/>
      <c r="N3468" s="81" t="n"/>
      <c r="O3468" s="81" t="n"/>
      <c r="P3468" s="81" t="n"/>
      <c r="Q3468" s="81" t="n"/>
      <c r="R3468" s="81" t="n"/>
      <c r="S3468" s="81" t="n"/>
      <c r="T3468" s="81" t="n"/>
      <c r="U3468" s="81" t="n"/>
      <c r="V3468" s="81" t="n"/>
      <c r="W3468" s="43" t="n"/>
    </row>
    <row r="3469">
      <c r="A3469" s="43" t="inlineStr"/>
      <c r="B3469" s="43" t="inlineStr"/>
      <c r="C3469" s="43" t="inlineStr">
        <is>
          <t>节段4~节段5</t>
        </is>
      </c>
      <c r="D3469" s="43" t="inlineStr">
        <is>
          <t>Q355D</t>
        </is>
      </c>
      <c r="E3469" s="43" t="n"/>
      <c r="F3469" s="43" t="n"/>
      <c r="G3469" s="43" t="n">
        <v>44</v>
      </c>
      <c r="H3469" s="79">
        <f>(E3469/1000)*(F3469/1000)*(G3469/1000)*7850</f>
        <v/>
      </c>
      <c r="I3469" s="43" t="n">
        <v>1650</v>
      </c>
      <c r="J3469" s="80">
        <f>H3469*I3469</f>
        <v/>
      </c>
      <c r="K3469" s="43" t="inlineStr">
        <is>
          <t>来源页158；校验incomplete</t>
        </is>
      </c>
      <c r="L3469" s="43">
        <f>A3469</f>
        <v/>
      </c>
      <c r="M3469" s="81" t="n"/>
      <c r="N3469" s="81" t="n"/>
      <c r="O3469" s="81" t="n"/>
      <c r="P3469" s="81" t="n"/>
      <c r="Q3469" s="81" t="n"/>
      <c r="R3469" s="81" t="n"/>
      <c r="S3469" s="81" t="n"/>
      <c r="T3469" s="81" t="n"/>
      <c r="U3469" s="81" t="n"/>
      <c r="V3469" s="81" t="n"/>
      <c r="W3469" s="43" t="n"/>
    </row>
    <row r="3470">
      <c r="A3470" s="43" t="inlineStr"/>
      <c r="B3470" s="43" t="inlineStr"/>
      <c r="C3470" s="43" t="inlineStr">
        <is>
          <t>节段4~节段5</t>
        </is>
      </c>
      <c r="D3470" s="43" t="inlineStr">
        <is>
          <t>Q355D</t>
        </is>
      </c>
      <c r="E3470" s="43" t="n"/>
      <c r="F3470" s="43" t="n"/>
      <c r="G3470" s="43" t="n">
        <v>32</v>
      </c>
      <c r="H3470" s="79">
        <f>(E3470/1000)*(F3470/1000)*(G3470/1000)*7850</f>
        <v/>
      </c>
      <c r="I3470" s="43" t="n">
        <v>1650</v>
      </c>
      <c r="J3470" s="80">
        <f>H3470*I3470</f>
        <v/>
      </c>
      <c r="K3470" s="43" t="inlineStr">
        <is>
          <t>来源页158；校验incomplete</t>
        </is>
      </c>
      <c r="L3470" s="43">
        <f>A3470</f>
        <v/>
      </c>
      <c r="M3470" s="81" t="n"/>
      <c r="N3470" s="81" t="n"/>
      <c r="O3470" s="81" t="n"/>
      <c r="P3470" s="81" t="n"/>
      <c r="Q3470" s="81" t="n"/>
      <c r="R3470" s="81" t="n"/>
      <c r="S3470" s="81" t="n"/>
      <c r="T3470" s="81" t="n"/>
      <c r="U3470" s="81" t="n"/>
      <c r="V3470" s="81" t="n"/>
      <c r="W3470" s="43" t="n"/>
    </row>
    <row r="3471">
      <c r="A3471" s="43" t="inlineStr"/>
      <c r="B3471" s="43" t="inlineStr"/>
      <c r="C3471" s="43" t="inlineStr">
        <is>
          <t>节段4~节段5</t>
        </is>
      </c>
      <c r="D3471" s="43" t="inlineStr">
        <is>
          <t>Q355D</t>
        </is>
      </c>
      <c r="E3471" s="43" t="n"/>
      <c r="F3471" s="43" t="n"/>
      <c r="G3471" s="43" t="n">
        <v>28</v>
      </c>
      <c r="H3471" s="79">
        <f>(E3471/1000)*(F3471/1000)*(G3471/1000)*7850</f>
        <v/>
      </c>
      <c r="I3471" s="43" t="n">
        <v>1650</v>
      </c>
      <c r="J3471" s="80">
        <f>H3471*I3471</f>
        <v/>
      </c>
      <c r="K3471" s="43" t="inlineStr">
        <is>
          <t>来源页158；校验incomplete</t>
        </is>
      </c>
      <c r="L3471" s="43">
        <f>A3471</f>
        <v/>
      </c>
      <c r="M3471" s="81" t="n"/>
      <c r="N3471" s="81" t="n"/>
      <c r="O3471" s="81" t="n"/>
      <c r="P3471" s="81" t="n"/>
      <c r="Q3471" s="81" t="n"/>
      <c r="R3471" s="81" t="n"/>
      <c r="S3471" s="81" t="n"/>
      <c r="T3471" s="81" t="n"/>
      <c r="U3471" s="81" t="n"/>
      <c r="V3471" s="81" t="n"/>
      <c r="W3471" s="43" t="n"/>
    </row>
    <row r="3472">
      <c r="A3472" s="43" t="inlineStr"/>
      <c r="B3472" s="43" t="inlineStr"/>
      <c r="C3472" s="43" t="inlineStr">
        <is>
          <t>节段4~节段5</t>
        </is>
      </c>
      <c r="D3472" s="43" t="inlineStr">
        <is>
          <t>Q355D</t>
        </is>
      </c>
      <c r="E3472" s="43" t="n"/>
      <c r="F3472" s="43" t="n"/>
      <c r="G3472" s="43" t="n">
        <v>24</v>
      </c>
      <c r="H3472" s="79">
        <f>(E3472/1000)*(F3472/1000)*(G3472/1000)*7850</f>
        <v/>
      </c>
      <c r="I3472" s="43" t="n">
        <v>1650</v>
      </c>
      <c r="J3472" s="80">
        <f>H3472*I3472</f>
        <v/>
      </c>
      <c r="K3472" s="43" t="inlineStr">
        <is>
          <t>来源页158；校验incomplete</t>
        </is>
      </c>
      <c r="L3472" s="43">
        <f>A3472</f>
        <v/>
      </c>
      <c r="M3472" s="81" t="n"/>
      <c r="N3472" s="81" t="n"/>
      <c r="O3472" s="81" t="n"/>
      <c r="P3472" s="81" t="n"/>
      <c r="Q3472" s="81" t="n"/>
      <c r="R3472" s="81" t="n"/>
      <c r="S3472" s="81" t="n"/>
      <c r="T3472" s="81" t="n"/>
      <c r="U3472" s="81" t="n"/>
      <c r="V3472" s="81" t="n"/>
      <c r="W3472" s="43" t="n"/>
    </row>
    <row r="3473">
      <c r="A3473" s="43" t="inlineStr"/>
      <c r="B3473" s="43" t="inlineStr"/>
      <c r="C3473" s="43" t="inlineStr">
        <is>
          <t>节段4~节段5</t>
        </is>
      </c>
      <c r="D3473" s="43" t="inlineStr">
        <is>
          <t>Q355D</t>
        </is>
      </c>
      <c r="E3473" s="43" t="n"/>
      <c r="F3473" s="43" t="n"/>
      <c r="G3473" s="43" t="n">
        <v>20</v>
      </c>
      <c r="H3473" s="79">
        <f>(E3473/1000)*(F3473/1000)*(G3473/1000)*7850</f>
        <v/>
      </c>
      <c r="I3473" s="43" t="n">
        <v>1650</v>
      </c>
      <c r="J3473" s="80">
        <f>H3473*I3473</f>
        <v/>
      </c>
      <c r="K3473" s="43" t="inlineStr">
        <is>
          <t>来源页158；校验incomplete</t>
        </is>
      </c>
      <c r="L3473" s="43">
        <f>A3473</f>
        <v/>
      </c>
      <c r="M3473" s="81" t="n"/>
      <c r="N3473" s="81" t="n"/>
      <c r="O3473" s="81" t="n"/>
      <c r="P3473" s="81" t="n"/>
      <c r="Q3473" s="81" t="n"/>
      <c r="R3473" s="81" t="n"/>
      <c r="S3473" s="81" t="n"/>
      <c r="T3473" s="81" t="n"/>
      <c r="U3473" s="81" t="n"/>
      <c r="V3473" s="81" t="n"/>
      <c r="W3473" s="43" t="n"/>
    </row>
    <row r="3474">
      <c r="A3474" s="43" t="inlineStr"/>
      <c r="B3474" s="43" t="inlineStr"/>
      <c r="C3474" s="43" t="inlineStr">
        <is>
          <t>节段4~节段5</t>
        </is>
      </c>
      <c r="D3474" s="43" t="inlineStr">
        <is>
          <t>Q355D</t>
        </is>
      </c>
      <c r="E3474" s="43" t="n"/>
      <c r="F3474" s="43" t="n"/>
      <c r="G3474" s="43" t="n">
        <v>16</v>
      </c>
      <c r="H3474" s="79">
        <f>(E3474/1000)*(F3474/1000)*(G3474/1000)*7850</f>
        <v/>
      </c>
      <c r="I3474" s="43" t="n">
        <v>1650</v>
      </c>
      <c r="J3474" s="80">
        <f>H3474*I3474</f>
        <v/>
      </c>
      <c r="K3474" s="43" t="inlineStr">
        <is>
          <t>来源页158；校验incomplete</t>
        </is>
      </c>
      <c r="L3474" s="43">
        <f>A3474</f>
        <v/>
      </c>
      <c r="M3474" s="81" t="n"/>
      <c r="N3474" s="81" t="n"/>
      <c r="O3474" s="81" t="n"/>
      <c r="P3474" s="81" t="n"/>
      <c r="Q3474" s="81" t="n"/>
      <c r="R3474" s="81" t="n"/>
      <c r="S3474" s="81" t="n"/>
      <c r="T3474" s="81" t="n"/>
      <c r="U3474" s="81" t="n"/>
      <c r="V3474" s="81" t="n"/>
      <c r="W3474" s="43" t="n"/>
    </row>
    <row r="3475">
      <c r="A3475" s="43" t="inlineStr"/>
      <c r="B3475" s="43" t="inlineStr"/>
      <c r="C3475" s="43" t="inlineStr">
        <is>
          <t>节段4~节段5</t>
        </is>
      </c>
      <c r="D3475" s="43" t="inlineStr">
        <is>
          <t>10.9S高强螺栓</t>
        </is>
      </c>
      <c r="E3475" s="43" t="n"/>
      <c r="F3475" s="43" t="n"/>
      <c r="G3475" s="43" t="n"/>
      <c r="H3475" s="79">
        <f>(E3475/1000)*(F3475/1000)*(G3475/1000)*7850</f>
        <v/>
      </c>
      <c r="I3475" s="43" t="n">
        <v>1650</v>
      </c>
      <c r="J3475" s="80">
        <f>H3475*I3475</f>
        <v/>
      </c>
      <c r="K3475" s="43" t="inlineStr">
        <is>
          <t>来源页158；校验incomplete</t>
        </is>
      </c>
      <c r="L3475" s="43">
        <f>A3475</f>
        <v/>
      </c>
      <c r="M3475" s="81" t="n"/>
      <c r="N3475" s="81" t="n"/>
      <c r="O3475" s="81" t="n"/>
      <c r="P3475" s="81" t="n"/>
      <c r="Q3475" s="81" t="n"/>
      <c r="R3475" s="81" t="n"/>
      <c r="S3475" s="81" t="n"/>
      <c r="T3475" s="81" t="n"/>
      <c r="U3475" s="81" t="n"/>
      <c r="V3475" s="81" t="n"/>
      <c r="W3475" s="43" t="n"/>
    </row>
    <row r="3476">
      <c r="A3476" s="43" t="inlineStr"/>
      <c r="B3476" s="43" t="inlineStr"/>
      <c r="C3476" s="43" t="inlineStr">
        <is>
          <t>节段4~节段5</t>
        </is>
      </c>
      <c r="D3476" s="43" t="inlineStr">
        <is>
          <t>10.9S高强螺栓</t>
        </is>
      </c>
      <c r="E3476" s="43" t="n"/>
      <c r="F3476" s="43" t="n"/>
      <c r="G3476" s="43" t="n"/>
      <c r="H3476" s="79">
        <f>(E3476/1000)*(F3476/1000)*(G3476/1000)*7850</f>
        <v/>
      </c>
      <c r="I3476" s="43" t="n">
        <v>1650</v>
      </c>
      <c r="J3476" s="80">
        <f>H3476*I3476</f>
        <v/>
      </c>
      <c r="K3476" s="43" t="inlineStr">
        <is>
          <t>来源页158；校验incomplete</t>
        </is>
      </c>
      <c r="L3476" s="43">
        <f>A3476</f>
        <v/>
      </c>
      <c r="M3476" s="81" t="n"/>
      <c r="N3476" s="81" t="n"/>
      <c r="O3476" s="81" t="n"/>
      <c r="P3476" s="81" t="n"/>
      <c r="Q3476" s="81" t="n"/>
      <c r="R3476" s="81" t="n"/>
      <c r="S3476" s="81" t="n"/>
      <c r="T3476" s="81" t="n"/>
      <c r="U3476" s="81" t="n"/>
      <c r="V3476" s="81" t="n"/>
      <c r="W3476" s="43" t="n"/>
    </row>
    <row r="3477">
      <c r="A3477" s="43" t="inlineStr">
        <is>
          <t>N15</t>
        </is>
      </c>
      <c r="B3477" s="43" t="inlineStr"/>
      <c r="C3477" s="43" t="inlineStr">
        <is>
          <t>节段07</t>
        </is>
      </c>
      <c r="D3477" s="43" t="inlineStr">
        <is>
          <t>Q420D</t>
        </is>
      </c>
      <c r="E3477" s="43" t="n">
        <v>1560</v>
      </c>
      <c r="F3477" s="43" t="n">
        <v>1200</v>
      </c>
      <c r="G3477" s="43" t="n">
        <v>16</v>
      </c>
      <c r="H3477" s="79">
        <f>(E3477/1000)*(F3477/1000)*(G3477/1000)*7850</f>
        <v/>
      </c>
      <c r="I3477" s="43" t="inlineStr">
        <is>
          <t>了</t>
        </is>
      </c>
      <c r="J3477" s="80">
        <f>H3477*I3477</f>
        <v/>
      </c>
      <c r="K3477" s="43" t="inlineStr">
        <is>
          <t>来源页167；校验incomplete</t>
        </is>
      </c>
      <c r="L3477" s="43">
        <f>A3477</f>
        <v/>
      </c>
      <c r="M3477" s="81" t="n"/>
      <c r="N3477" s="81" t="n"/>
      <c r="O3477" s="81" t="n"/>
      <c r="P3477" s="81" t="n"/>
      <c r="Q3477" s="81" t="n"/>
      <c r="R3477" s="81" t="n"/>
      <c r="S3477" s="81" t="n"/>
      <c r="T3477" s="81" t="n"/>
      <c r="U3477" s="81" t="n"/>
      <c r="V3477" s="81" t="n"/>
      <c r="W3477" s="43" t="n"/>
    </row>
    <row r="3478">
      <c r="A3478" s="43" t="inlineStr">
        <is>
          <t>N25</t>
        </is>
      </c>
      <c r="B3478" s="43" t="inlineStr"/>
      <c r="C3478" s="43" t="inlineStr">
        <is>
          <t>节段07</t>
        </is>
      </c>
      <c r="D3478" s="43" t="inlineStr">
        <is>
          <t>Q420D</t>
        </is>
      </c>
      <c r="E3478" s="43" t="n">
        <v>1450</v>
      </c>
      <c r="F3478" s="43" t="n">
        <v>1200</v>
      </c>
      <c r="G3478" s="43" t="n">
        <v>16</v>
      </c>
      <c r="H3478" s="79">
        <f>(E3478/1000)*(F3478/1000)*(G3478/1000)*7850</f>
        <v/>
      </c>
      <c r="I3478" s="43" t="inlineStr">
        <is>
          <t>了</t>
        </is>
      </c>
      <c r="J3478" s="80">
        <f>H3478*I3478</f>
        <v/>
      </c>
      <c r="K3478" s="43" t="inlineStr">
        <is>
          <t>来源页167；校验incomplete</t>
        </is>
      </c>
      <c r="L3478" s="43">
        <f>A3478</f>
        <v/>
      </c>
      <c r="M3478" s="81" t="n"/>
      <c r="N3478" s="81" t="n"/>
      <c r="O3478" s="81" t="n"/>
      <c r="P3478" s="81" t="n"/>
      <c r="Q3478" s="81" t="n"/>
      <c r="R3478" s="81" t="n"/>
      <c r="S3478" s="81" t="n"/>
      <c r="T3478" s="81" t="n"/>
      <c r="U3478" s="81" t="n"/>
      <c r="V3478" s="81" t="n"/>
      <c r="W3478" s="43" t="n"/>
    </row>
    <row r="3479">
      <c r="A3479" s="43" t="inlineStr">
        <is>
          <t>N25'</t>
        </is>
      </c>
      <c r="B3479" s="43" t="inlineStr"/>
      <c r="C3479" s="43" t="inlineStr">
        <is>
          <t>节段07</t>
        </is>
      </c>
      <c r="D3479" s="43" t="inlineStr">
        <is>
          <t>Q420D</t>
        </is>
      </c>
      <c r="E3479" s="43" t="n">
        <v>1657</v>
      </c>
      <c r="F3479" s="43" t="n">
        <v>200</v>
      </c>
      <c r="G3479" s="43" t="n">
        <v>16</v>
      </c>
      <c r="H3479" s="79">
        <f>(E3479/1000)*(F3479/1000)*(G3479/1000)*7850</f>
        <v/>
      </c>
      <c r="I3479" s="43" t="inlineStr">
        <is>
          <t>了</t>
        </is>
      </c>
      <c r="J3479" s="80">
        <f>H3479*I3479</f>
        <v/>
      </c>
      <c r="K3479" s="43" t="inlineStr">
        <is>
          <t>来源页167；校验incomplete</t>
        </is>
      </c>
      <c r="L3479" s="43">
        <f>A3479</f>
        <v/>
      </c>
      <c r="M3479" s="81" t="n"/>
      <c r="N3479" s="81" t="n"/>
      <c r="O3479" s="81" t="n"/>
      <c r="P3479" s="81" t="n"/>
      <c r="Q3479" s="81" t="n"/>
      <c r="R3479" s="81" t="n"/>
      <c r="S3479" s="81" t="n"/>
      <c r="T3479" s="81" t="n"/>
      <c r="U3479" s="81" t="n"/>
      <c r="V3479" s="81" t="n"/>
      <c r="W3479" s="43" t="n"/>
    </row>
    <row r="3480">
      <c r="A3480" s="43" t="inlineStr">
        <is>
          <t>N34</t>
        </is>
      </c>
      <c r="B3480" s="43" t="inlineStr"/>
      <c r="C3480" s="43" t="inlineStr">
        <is>
          <t>节段07</t>
        </is>
      </c>
      <c r="D3480" s="43" t="inlineStr">
        <is>
          <t>Q420D</t>
        </is>
      </c>
      <c r="E3480" s="43" t="n">
        <v>1200</v>
      </c>
      <c r="F3480" s="43" t="n">
        <v>1600</v>
      </c>
      <c r="G3480" s="43" t="n">
        <v>16</v>
      </c>
      <c r="H3480" s="79">
        <f>(E3480/1000)*(F3480/1000)*(G3480/1000)*7850</f>
        <v/>
      </c>
      <c r="I3480" s="43" t="inlineStr">
        <is>
          <t>C</t>
        </is>
      </c>
      <c r="J3480" s="80">
        <f>H3480*I3480</f>
        <v/>
      </c>
      <c r="K3480" s="43" t="inlineStr">
        <is>
          <t>来源页167；校验incomplete</t>
        </is>
      </c>
      <c r="L3480" s="43">
        <f>A3480</f>
        <v/>
      </c>
      <c r="M3480" s="81" t="n"/>
      <c r="N3480" s="81" t="n"/>
      <c r="O3480" s="81" t="n"/>
      <c r="P3480" s="81" t="n"/>
      <c r="Q3480" s="81" t="n"/>
      <c r="R3480" s="81" t="n"/>
      <c r="S3480" s="81" t="n"/>
      <c r="T3480" s="81" t="n"/>
      <c r="U3480" s="81" t="n"/>
      <c r="V3480" s="81" t="n"/>
      <c r="W3480" s="43" t="n"/>
    </row>
    <row r="3481">
      <c r="A3481" s="43" t="inlineStr">
        <is>
          <t>N61</t>
        </is>
      </c>
      <c r="B3481" s="43" t="inlineStr"/>
      <c r="C3481" s="43" t="inlineStr">
        <is>
          <t>节段07</t>
        </is>
      </c>
      <c r="D3481" s="43" t="inlineStr">
        <is>
          <t>Q355D</t>
        </is>
      </c>
      <c r="E3481" s="43" t="n">
        <v>1560</v>
      </c>
      <c r="F3481" s="43" t="n">
        <v>606</v>
      </c>
      <c r="G3481" s="43" t="n">
        <v>14</v>
      </c>
      <c r="H3481" s="79">
        <f>(E3481/1000)*(F3481/1000)*(G3481/1000)*7850</f>
        <v/>
      </c>
      <c r="I3481" s="43" t="inlineStr">
        <is>
          <t>了</t>
        </is>
      </c>
      <c r="J3481" s="80">
        <f>H3481*I3481</f>
        <v/>
      </c>
      <c r="K3481" s="43" t="inlineStr">
        <is>
          <t>来源页167；校验incomplete</t>
        </is>
      </c>
      <c r="L3481" s="43">
        <f>A3481</f>
        <v/>
      </c>
      <c r="M3481" s="81" t="n"/>
      <c r="N3481" s="81" t="n"/>
      <c r="O3481" s="81" t="n"/>
      <c r="P3481" s="81" t="n"/>
      <c r="Q3481" s="81" t="n"/>
      <c r="R3481" s="81" t="n"/>
      <c r="S3481" s="81" t="n"/>
      <c r="T3481" s="81" t="n"/>
      <c r="U3481" s="81" t="n"/>
      <c r="V3481" s="81" t="n"/>
      <c r="W3481" s="43" t="n"/>
    </row>
    <row r="3482">
      <c r="A3482" s="43" t="inlineStr">
        <is>
          <t>N62</t>
        </is>
      </c>
      <c r="B3482" s="43" t="inlineStr"/>
      <c r="C3482" s="43" t="inlineStr">
        <is>
          <t>节段07</t>
        </is>
      </c>
      <c r="D3482" s="43" t="inlineStr">
        <is>
          <t>Q355D</t>
        </is>
      </c>
      <c r="E3482" s="43" t="n"/>
      <c r="F3482" s="43" t="n"/>
      <c r="G3482" s="43" t="n">
        <v>24</v>
      </c>
      <c r="H3482" s="79">
        <f>(E3482/1000)*(F3482/1000)*(G3482/1000)*7850</f>
        <v/>
      </c>
      <c r="I3482" s="43" t="inlineStr">
        <is>
          <t>了</t>
        </is>
      </c>
      <c r="J3482" s="80">
        <f>H3482*I3482</f>
        <v/>
      </c>
      <c r="K3482" s="43" t="inlineStr">
        <is>
          <t>来源页167；校验incomplete</t>
        </is>
      </c>
      <c r="L3482" s="43">
        <f>A3482</f>
        <v/>
      </c>
      <c r="M3482" s="81" t="n"/>
      <c r="N3482" s="81" t="n"/>
      <c r="O3482" s="81" t="n"/>
      <c r="P3482" s="81" t="n"/>
      <c r="Q3482" s="81" t="n"/>
      <c r="R3482" s="81" t="n"/>
      <c r="S3482" s="81" t="n"/>
      <c r="T3482" s="81" t="n"/>
      <c r="U3482" s="81" t="n"/>
      <c r="V3482" s="81" t="n"/>
      <c r="W3482" s="43" t="n"/>
    </row>
    <row r="3483">
      <c r="A3483" s="43" t="inlineStr"/>
      <c r="B3483" s="43" t="inlineStr">
        <is>
          <t>下弦杆拼接</t>
        </is>
      </c>
      <c r="C3483" s="43" t="inlineStr">
        <is>
          <t>节段7~节段8</t>
        </is>
      </c>
      <c r="D3483" s="43" t="inlineStr">
        <is>
          <t>Q420D</t>
        </is>
      </c>
      <c r="E3483" s="43" t="n">
        <v>1520</v>
      </c>
      <c r="F3483" s="43" t="n">
        <v>400</v>
      </c>
      <c r="G3483" s="43" t="n">
        <v>36</v>
      </c>
      <c r="H3483" s="79">
        <f>(E3483/1000)*(F3483/1000)*(G3483/1000)*7850</f>
        <v/>
      </c>
      <c r="I3483" s="43" t="n"/>
      <c r="J3483" s="80">
        <f>H3483*I3483</f>
        <v/>
      </c>
      <c r="K3483" s="43" t="inlineStr">
        <is>
          <t>来源页170；校验incomplete</t>
        </is>
      </c>
      <c r="L3483" s="43">
        <f>A3483</f>
        <v/>
      </c>
      <c r="M3483" s="81" t="n"/>
      <c r="N3483" s="81" t="n"/>
      <c r="O3483" s="81" t="n"/>
      <c r="P3483" s="81" t="n"/>
      <c r="Q3483" s="81" t="n"/>
      <c r="R3483" s="81" t="n"/>
      <c r="S3483" s="81" t="n"/>
      <c r="T3483" s="81" t="n"/>
      <c r="U3483" s="81" t="n"/>
      <c r="V3483" s="81" t="n"/>
      <c r="W3483" s="43" t="n"/>
    </row>
    <row r="3484">
      <c r="A3484" s="43" t="inlineStr"/>
      <c r="B3484" s="43" t="inlineStr"/>
      <c r="C3484" s="43" t="inlineStr"/>
      <c r="D3484" s="43" t="inlineStr">
        <is>
          <t>Q420D</t>
        </is>
      </c>
      <c r="E3484" s="43" t="n"/>
      <c r="F3484" s="43" t="n"/>
      <c r="G3484" s="43" t="n">
        <v>48</v>
      </c>
      <c r="H3484" s="79">
        <f>(E3484/1000)*(F3484/1000)*(G3484/1000)*7850</f>
        <v/>
      </c>
      <c r="I3484" s="43" t="n">
        <v>2177</v>
      </c>
      <c r="J3484" s="80">
        <f>H3484*I3484</f>
        <v/>
      </c>
      <c r="K3484" s="43" t="inlineStr">
        <is>
          <t>来源页171；校验incomplete</t>
        </is>
      </c>
      <c r="L3484" s="43">
        <f>A3484</f>
        <v/>
      </c>
      <c r="M3484" s="81" t="n"/>
      <c r="N3484" s="81" t="n"/>
      <c r="O3484" s="81" t="n"/>
      <c r="P3484" s="81" t="n"/>
      <c r="Q3484" s="81" t="n"/>
      <c r="R3484" s="81" t="n"/>
      <c r="S3484" s="81" t="n"/>
      <c r="T3484" s="81" t="n"/>
      <c r="U3484" s="81" t="n"/>
      <c r="V3484" s="81" t="n"/>
      <c r="W3484" s="43" t="n"/>
    </row>
    <row r="3485">
      <c r="A3485" s="43" t="inlineStr"/>
      <c r="B3485" s="43" t="inlineStr"/>
      <c r="C3485" s="43" t="inlineStr"/>
      <c r="D3485" s="43" t="inlineStr">
        <is>
          <t>Q420D</t>
        </is>
      </c>
      <c r="E3485" s="43" t="n"/>
      <c r="F3485" s="43" t="n"/>
      <c r="G3485" s="43" t="n">
        <v>44</v>
      </c>
      <c r="H3485" s="79">
        <f>(E3485/1000)*(F3485/1000)*(G3485/1000)*7850</f>
        <v/>
      </c>
      <c r="I3485" s="43" t="n">
        <v>2177</v>
      </c>
      <c r="J3485" s="80">
        <f>H3485*I3485</f>
        <v/>
      </c>
      <c r="K3485" s="43" t="inlineStr">
        <is>
          <t>来源页171；校验incomplete</t>
        </is>
      </c>
      <c r="L3485" s="43">
        <f>A3485</f>
        <v/>
      </c>
      <c r="M3485" s="81" t="n"/>
      <c r="N3485" s="81" t="n"/>
      <c r="O3485" s="81" t="n"/>
      <c r="P3485" s="81" t="n"/>
      <c r="Q3485" s="81" t="n"/>
      <c r="R3485" s="81" t="n"/>
      <c r="S3485" s="81" t="n"/>
      <c r="T3485" s="81" t="n"/>
      <c r="U3485" s="81" t="n"/>
      <c r="V3485" s="81" t="n"/>
      <c r="W3485" s="43" t="n"/>
    </row>
    <row r="3486">
      <c r="A3486" s="43" t="inlineStr"/>
      <c r="B3486" s="43" t="inlineStr"/>
      <c r="C3486" s="43" t="inlineStr"/>
      <c r="D3486" s="43" t="inlineStr">
        <is>
          <t>Q420D</t>
        </is>
      </c>
      <c r="E3486" s="43" t="n"/>
      <c r="F3486" s="43" t="n"/>
      <c r="G3486" s="43" t="n">
        <v>40</v>
      </c>
      <c r="H3486" s="79">
        <f>(E3486/1000)*(F3486/1000)*(G3486/1000)*7850</f>
        <v/>
      </c>
      <c r="I3486" s="43" t="n">
        <v>2177</v>
      </c>
      <c r="J3486" s="80">
        <f>H3486*I3486</f>
        <v/>
      </c>
      <c r="K3486" s="43" t="inlineStr">
        <is>
          <t>来源页171；校验incomplete</t>
        </is>
      </c>
      <c r="L3486" s="43">
        <f>A3486</f>
        <v/>
      </c>
      <c r="M3486" s="81" t="n"/>
      <c r="N3486" s="81" t="n"/>
      <c r="O3486" s="81" t="n"/>
      <c r="P3486" s="81" t="n"/>
      <c r="Q3486" s="81" t="n"/>
      <c r="R3486" s="81" t="n"/>
      <c r="S3486" s="81" t="n"/>
      <c r="T3486" s="81" t="n"/>
      <c r="U3486" s="81" t="n"/>
      <c r="V3486" s="81" t="n"/>
      <c r="W3486" s="43" t="n"/>
    </row>
    <row r="3487">
      <c r="A3487" s="43" t="inlineStr"/>
      <c r="B3487" s="43" t="inlineStr"/>
      <c r="C3487" s="43" t="inlineStr"/>
      <c r="D3487" s="43" t="inlineStr">
        <is>
          <t>Q420D</t>
        </is>
      </c>
      <c r="E3487" s="43" t="n"/>
      <c r="F3487" s="43" t="n"/>
      <c r="G3487" s="43" t="n">
        <v>36</v>
      </c>
      <c r="H3487" s="79">
        <f>(E3487/1000)*(F3487/1000)*(G3487/1000)*7850</f>
        <v/>
      </c>
      <c r="I3487" s="43" t="n">
        <v>2177</v>
      </c>
      <c r="J3487" s="80">
        <f>H3487*I3487</f>
        <v/>
      </c>
      <c r="K3487" s="43" t="inlineStr">
        <is>
          <t>来源页171；校验incomplete</t>
        </is>
      </c>
      <c r="L3487" s="43">
        <f>A3487</f>
        <v/>
      </c>
      <c r="M3487" s="81" t="n"/>
      <c r="N3487" s="81" t="n"/>
      <c r="O3487" s="81" t="n"/>
      <c r="P3487" s="81" t="n"/>
      <c r="Q3487" s="81" t="n"/>
      <c r="R3487" s="81" t="n"/>
      <c r="S3487" s="81" t="n"/>
      <c r="T3487" s="81" t="n"/>
      <c r="U3487" s="81" t="n"/>
      <c r="V3487" s="81" t="n"/>
      <c r="W3487" s="43" t="n"/>
    </row>
    <row r="3488">
      <c r="A3488" s="43" t="inlineStr"/>
      <c r="B3488" s="43" t="inlineStr"/>
      <c r="C3488" s="43" t="inlineStr"/>
      <c r="D3488" s="43" t="inlineStr">
        <is>
          <t>Q420D</t>
        </is>
      </c>
      <c r="E3488" s="43" t="n"/>
      <c r="F3488" s="43" t="n"/>
      <c r="G3488" s="43" t="n">
        <v>32</v>
      </c>
      <c r="H3488" s="79">
        <f>(E3488/1000)*(F3488/1000)*(G3488/1000)*7850</f>
        <v/>
      </c>
      <c r="I3488" s="43" t="n">
        <v>2177</v>
      </c>
      <c r="J3488" s="80">
        <f>H3488*I3488</f>
        <v/>
      </c>
      <c r="K3488" s="43" t="inlineStr">
        <is>
          <t>来源页171；校验incomplete</t>
        </is>
      </c>
      <c r="L3488" s="43">
        <f>A3488</f>
        <v/>
      </c>
      <c r="M3488" s="81" t="n"/>
      <c r="N3488" s="81" t="n"/>
      <c r="O3488" s="81" t="n"/>
      <c r="P3488" s="81" t="n"/>
      <c r="Q3488" s="81" t="n"/>
      <c r="R3488" s="81" t="n"/>
      <c r="S3488" s="81" t="n"/>
      <c r="T3488" s="81" t="n"/>
      <c r="U3488" s="81" t="n"/>
      <c r="V3488" s="81" t="n"/>
      <c r="W3488" s="43" t="n"/>
    </row>
    <row r="3489">
      <c r="A3489" s="43" t="inlineStr"/>
      <c r="B3489" s="43" t="inlineStr"/>
      <c r="C3489" s="43" t="inlineStr"/>
      <c r="D3489" s="43" t="inlineStr">
        <is>
          <t>Q420D</t>
        </is>
      </c>
      <c r="E3489" s="43" t="n"/>
      <c r="F3489" s="43" t="n"/>
      <c r="G3489" s="43" t="n">
        <v>28</v>
      </c>
      <c r="H3489" s="79">
        <f>(E3489/1000)*(F3489/1000)*(G3489/1000)*7850</f>
        <v/>
      </c>
      <c r="I3489" s="43" t="n">
        <v>2177</v>
      </c>
      <c r="J3489" s="80">
        <f>H3489*I3489</f>
        <v/>
      </c>
      <c r="K3489" s="43" t="inlineStr">
        <is>
          <t>来源页171；校验incomplete</t>
        </is>
      </c>
      <c r="L3489" s="43">
        <f>A3489</f>
        <v/>
      </c>
      <c r="M3489" s="81" t="n"/>
      <c r="N3489" s="81" t="n"/>
      <c r="O3489" s="81" t="n"/>
      <c r="P3489" s="81" t="n"/>
      <c r="Q3489" s="81" t="n"/>
      <c r="R3489" s="81" t="n"/>
      <c r="S3489" s="81" t="n"/>
      <c r="T3489" s="81" t="n"/>
      <c r="U3489" s="81" t="n"/>
      <c r="V3489" s="81" t="n"/>
      <c r="W3489" s="43" t="n"/>
    </row>
    <row r="3490">
      <c r="A3490" s="43" t="inlineStr"/>
      <c r="B3490" s="43" t="inlineStr"/>
      <c r="C3490" s="43" t="inlineStr"/>
      <c r="D3490" s="43" t="inlineStr">
        <is>
          <t>Q420D</t>
        </is>
      </c>
      <c r="E3490" s="43" t="n"/>
      <c r="F3490" s="43" t="n"/>
      <c r="G3490" s="43" t="n">
        <v>24</v>
      </c>
      <c r="H3490" s="79">
        <f>(E3490/1000)*(F3490/1000)*(G3490/1000)*7850</f>
        <v/>
      </c>
      <c r="I3490" s="43" t="n">
        <v>2177</v>
      </c>
      <c r="J3490" s="80">
        <f>H3490*I3490</f>
        <v/>
      </c>
      <c r="K3490" s="43" t="inlineStr">
        <is>
          <t>来源页171；校验incomplete</t>
        </is>
      </c>
      <c r="L3490" s="43">
        <f>A3490</f>
        <v/>
      </c>
      <c r="M3490" s="81" t="n"/>
      <c r="N3490" s="81" t="n"/>
      <c r="O3490" s="81" t="n"/>
      <c r="P3490" s="81" t="n"/>
      <c r="Q3490" s="81" t="n"/>
      <c r="R3490" s="81" t="n"/>
      <c r="S3490" s="81" t="n"/>
      <c r="T3490" s="81" t="n"/>
      <c r="U3490" s="81" t="n"/>
      <c r="V3490" s="81" t="n"/>
      <c r="W3490" s="43" t="n"/>
    </row>
    <row r="3491">
      <c r="A3491" s="43" t="inlineStr"/>
      <c r="B3491" s="43" t="inlineStr"/>
      <c r="C3491" s="43" t="inlineStr"/>
      <c r="D3491" s="43" t="inlineStr">
        <is>
          <t>Q420D</t>
        </is>
      </c>
      <c r="E3491" s="43" t="n"/>
      <c r="F3491" s="43" t="n"/>
      <c r="G3491" s="43" t="n">
        <v>4</v>
      </c>
      <c r="H3491" s="79">
        <f>(E3491/1000)*(F3491/1000)*(G3491/1000)*7850</f>
        <v/>
      </c>
      <c r="I3491" s="43" t="n">
        <v>2177</v>
      </c>
      <c r="J3491" s="80">
        <f>H3491*I3491</f>
        <v/>
      </c>
      <c r="K3491" s="43" t="inlineStr">
        <is>
          <t>来源页171；校验incomplete</t>
        </is>
      </c>
      <c r="L3491" s="43">
        <f>A3491</f>
        <v/>
      </c>
      <c r="M3491" s="81" t="n"/>
      <c r="N3491" s="81" t="n"/>
      <c r="O3491" s="81" t="n"/>
      <c r="P3491" s="81" t="n"/>
      <c r="Q3491" s="81" t="n"/>
      <c r="R3491" s="81" t="n"/>
      <c r="S3491" s="81" t="n"/>
      <c r="T3491" s="81" t="n"/>
      <c r="U3491" s="81" t="n"/>
      <c r="V3491" s="81" t="n"/>
      <c r="W3491" s="43" t="n"/>
    </row>
    <row r="3492">
      <c r="A3492" s="43" t="inlineStr"/>
      <c r="B3492" s="43" t="inlineStr"/>
      <c r="C3492" s="43" t="inlineStr"/>
      <c r="D3492" s="43" t="inlineStr">
        <is>
          <t>10.9S高强螺栓</t>
        </is>
      </c>
      <c r="E3492" s="43" t="n"/>
      <c r="F3492" s="43" t="n"/>
      <c r="G3492" s="43" t="n"/>
      <c r="H3492" s="79">
        <f>(E3492/1000)*(F3492/1000)*(G3492/1000)*7850</f>
        <v/>
      </c>
      <c r="I3492" s="43" t="n">
        <v>2177</v>
      </c>
      <c r="J3492" s="80">
        <f>H3492*I3492</f>
        <v/>
      </c>
      <c r="K3492" s="43" t="inlineStr">
        <is>
          <t>来源页171；校验incomplete</t>
        </is>
      </c>
      <c r="L3492" s="43">
        <f>A3492</f>
        <v/>
      </c>
      <c r="M3492" s="81" t="n"/>
      <c r="N3492" s="81" t="n"/>
      <c r="O3492" s="81" t="n"/>
      <c r="P3492" s="81" t="n"/>
      <c r="Q3492" s="81" t="n"/>
      <c r="R3492" s="81" t="n"/>
      <c r="S3492" s="81" t="n"/>
      <c r="T3492" s="81" t="n"/>
      <c r="U3492" s="81" t="n"/>
      <c r="V3492" s="81" t="n"/>
      <c r="W3492" s="43" t="n"/>
    </row>
    <row r="3493">
      <c r="A3493" s="43" t="inlineStr"/>
      <c r="B3493" s="43" t="inlineStr"/>
      <c r="C3493" s="43" t="inlineStr"/>
      <c r="D3493" s="43" t="inlineStr">
        <is>
          <t>10.9S高强螺栓</t>
        </is>
      </c>
      <c r="E3493" s="43" t="n"/>
      <c r="F3493" s="43" t="n"/>
      <c r="G3493" s="43" t="n"/>
      <c r="H3493" s="79">
        <f>(E3493/1000)*(F3493/1000)*(G3493/1000)*7850</f>
        <v/>
      </c>
      <c r="I3493" s="43" t="n">
        <v>2177</v>
      </c>
      <c r="J3493" s="80">
        <f>H3493*I3493</f>
        <v/>
      </c>
      <c r="K3493" s="43" t="inlineStr">
        <is>
          <t>来源页171；校验incomplete</t>
        </is>
      </c>
      <c r="L3493" s="43">
        <f>A3493</f>
        <v/>
      </c>
      <c r="M3493" s="81" t="n"/>
      <c r="N3493" s="81" t="n"/>
      <c r="O3493" s="81" t="n"/>
      <c r="P3493" s="81" t="n"/>
      <c r="Q3493" s="81" t="n"/>
      <c r="R3493" s="81" t="n"/>
      <c r="S3493" s="81" t="n"/>
      <c r="T3493" s="81" t="n"/>
      <c r="U3493" s="81" t="n"/>
      <c r="V3493" s="81" t="n"/>
      <c r="W3493" s="43" t="n"/>
    </row>
    <row r="3494">
      <c r="A3494" s="43" t="inlineStr">
        <is>
          <t>Q355D</t>
        </is>
      </c>
      <c r="B3494" s="43" t="inlineStr">
        <is>
          <t>t=44</t>
        </is>
      </c>
      <c r="C3494" s="43" t="inlineStr"/>
      <c r="D3494" s="43" t="inlineStr">
        <is>
          <t>14308.8</t>
        </is>
      </c>
      <c r="E3494" s="43" t="n"/>
      <c r="F3494" s="43" t="n"/>
      <c r="G3494" s="43" t="n"/>
      <c r="H3494" s="79">
        <f>(E3494/1000)*(F3494/1000)*(G3494/1000)*7850</f>
        <v/>
      </c>
      <c r="I3494" s="43" t="n"/>
      <c r="J3494" s="80">
        <f>H3494*I3494</f>
        <v/>
      </c>
      <c r="K3494" s="43" t="inlineStr">
        <is>
          <t>825.4；来源页195；校验incomplete</t>
        </is>
      </c>
      <c r="L3494" s="43">
        <f>A3494</f>
        <v/>
      </c>
      <c r="M3494" s="81" t="n"/>
      <c r="N3494" s="81" t="n"/>
      <c r="O3494" s="81" t="n"/>
      <c r="P3494" s="81" t="n"/>
      <c r="Q3494" s="81" t="n"/>
      <c r="R3494" s="81" t="n"/>
      <c r="S3494" s="81" t="n"/>
      <c r="T3494" s="81" t="n"/>
      <c r="U3494" s="81" t="n"/>
      <c r="V3494" s="81" t="n"/>
      <c r="W3494" s="43" t="n"/>
    </row>
    <row r="3495">
      <c r="A3495" s="43" t="inlineStr">
        <is>
          <t>Q355D</t>
        </is>
      </c>
      <c r="B3495" s="43" t="inlineStr">
        <is>
          <t>t=36</t>
        </is>
      </c>
      <c r="C3495" s="43" t="inlineStr"/>
      <c r="D3495" s="43" t="inlineStr">
        <is>
          <t>26931.8</t>
        </is>
      </c>
      <c r="E3495" s="43" t="n"/>
      <c r="F3495" s="43" t="n"/>
      <c r="G3495" s="43" t="n"/>
      <c r="H3495" s="79">
        <f>(E3495/1000)*(F3495/1000)*(G3495/1000)*7850</f>
        <v/>
      </c>
      <c r="I3495" s="43" t="n"/>
      <c r="J3495" s="80">
        <f>H3495*I3495</f>
        <v/>
      </c>
      <c r="K3495" s="43" t="inlineStr">
        <is>
          <t>709.4；来源页195；校验incomplete</t>
        </is>
      </c>
      <c r="L3495" s="43">
        <f>A3495</f>
        <v/>
      </c>
      <c r="M3495" s="81" t="n"/>
      <c r="N3495" s="81" t="n"/>
      <c r="O3495" s="81" t="n"/>
      <c r="P3495" s="81" t="n"/>
      <c r="Q3495" s="81" t="n"/>
      <c r="R3495" s="81" t="n"/>
      <c r="S3495" s="81" t="n"/>
      <c r="T3495" s="81" t="n"/>
      <c r="U3495" s="81" t="n"/>
      <c r="V3495" s="81" t="n"/>
      <c r="W3495" s="43" t="n"/>
    </row>
    <row r="3496">
      <c r="A3496" s="43" t="inlineStr">
        <is>
          <t>Q355D</t>
        </is>
      </c>
      <c r="B3496" s="43" t="inlineStr">
        <is>
          <t>t=32</t>
        </is>
      </c>
      <c r="C3496" s="43" t="inlineStr"/>
      <c r="D3496" s="43" t="inlineStr">
        <is>
          <t>12600</t>
        </is>
      </c>
      <c r="E3496" s="43" t="n"/>
      <c r="F3496" s="43" t="n"/>
      <c r="G3496" s="43" t="n"/>
      <c r="H3496" s="79">
        <f>(E3496/1000)*(F3496/1000)*(G3496/1000)*7850</f>
        <v/>
      </c>
      <c r="I3496" s="43" t="n"/>
      <c r="J3496" s="80">
        <f>H3496*I3496</f>
        <v/>
      </c>
      <c r="K3496" s="43" t="inlineStr">
        <is>
          <t>1202.4；来源页195；校验incomplete</t>
        </is>
      </c>
      <c r="L3496" s="43">
        <f>A3496</f>
        <v/>
      </c>
      <c r="M3496" s="81" t="n"/>
      <c r="N3496" s="81" t="n"/>
      <c r="O3496" s="81" t="n"/>
      <c r="P3496" s="81" t="n"/>
      <c r="Q3496" s="81" t="n"/>
      <c r="R3496" s="81" t="n"/>
      <c r="S3496" s="81" t="n"/>
      <c r="T3496" s="81" t="n"/>
      <c r="U3496" s="81" t="n"/>
      <c r="V3496" s="81" t="n"/>
      <c r="W3496" s="43" t="n"/>
    </row>
    <row r="3497">
      <c r="A3497" s="43" t="inlineStr">
        <is>
          <t>Q355D</t>
        </is>
      </c>
      <c r="B3497" s="43" t="inlineStr">
        <is>
          <t>t=28</t>
        </is>
      </c>
      <c r="C3497" s="43" t="inlineStr"/>
      <c r="D3497" s="43" t="inlineStr">
        <is>
          <t>5288.4</t>
        </is>
      </c>
      <c r="E3497" s="43" t="n"/>
      <c r="F3497" s="43" t="n"/>
      <c r="G3497" s="43" t="n"/>
      <c r="H3497" s="79">
        <f>(E3497/1000)*(F3497/1000)*(G3497/1000)*7850</f>
        <v/>
      </c>
      <c r="I3497" s="43" t="n"/>
      <c r="J3497" s="80">
        <f>H3497*I3497</f>
        <v/>
      </c>
      <c r="K3497" s="43" t="inlineStr">
        <is>
          <t>3504；来源页195；校验incomplete</t>
        </is>
      </c>
      <c r="L3497" s="43">
        <f>A3497</f>
        <v/>
      </c>
      <c r="M3497" s="81" t="n"/>
      <c r="N3497" s="81" t="n"/>
      <c r="O3497" s="81" t="n"/>
      <c r="P3497" s="81" t="n"/>
      <c r="Q3497" s="81" t="n"/>
      <c r="R3497" s="81" t="n"/>
      <c r="S3497" s="81" t="n"/>
      <c r="T3497" s="81" t="n"/>
      <c r="U3497" s="81" t="n"/>
      <c r="V3497" s="81" t="n"/>
      <c r="W3497" s="43" t="n"/>
    </row>
    <row r="3498">
      <c r="A3498" s="43" t="inlineStr">
        <is>
          <t>Q355D</t>
        </is>
      </c>
      <c r="B3498" s="43" t="inlineStr">
        <is>
          <t>t=24</t>
        </is>
      </c>
      <c r="C3498" s="43" t="inlineStr"/>
      <c r="D3498" s="43" t="inlineStr">
        <is>
          <t>9858.5</t>
        </is>
      </c>
      <c r="E3498" s="43" t="n"/>
      <c r="F3498" s="43" t="n"/>
      <c r="G3498" s="43" t="n"/>
      <c r="H3498" s="79">
        <f>(E3498/1000)*(F3498/1000)*(G3498/1000)*7850</f>
        <v/>
      </c>
      <c r="I3498" s="43" t="n"/>
      <c r="J3498" s="80">
        <f>H3498*I3498</f>
        <v/>
      </c>
      <c r="K3498" s="43" t="inlineStr">
        <is>
          <t>452.8；来源页195；校验incomplete</t>
        </is>
      </c>
      <c r="L3498" s="43">
        <f>A3498</f>
        <v/>
      </c>
      <c r="M3498" s="81" t="n"/>
      <c r="N3498" s="81" t="n"/>
      <c r="O3498" s="81" t="n"/>
      <c r="P3498" s="81" t="n"/>
      <c r="Q3498" s="81" t="n"/>
      <c r="R3498" s="81" t="n"/>
      <c r="S3498" s="81" t="n"/>
      <c r="T3498" s="81" t="n"/>
      <c r="U3498" s="81" t="n"/>
      <c r="V3498" s="81" t="n"/>
      <c r="W3498" s="43" t="n"/>
    </row>
    <row r="3499">
      <c r="A3499" s="43" t="inlineStr">
        <is>
          <t>Q355D</t>
        </is>
      </c>
      <c r="B3499" s="43" t="inlineStr">
        <is>
          <t>t=20</t>
        </is>
      </c>
      <c r="C3499" s="43" t="inlineStr"/>
      <c r="D3499" s="43" t="inlineStr">
        <is>
          <t>11970.3</t>
        </is>
      </c>
      <c r="E3499" s="43" t="n"/>
      <c r="F3499" s="43" t="n"/>
      <c r="G3499" s="43" t="n"/>
      <c r="H3499" s="79">
        <f>(E3499/1000)*(F3499/1000)*(G3499/1000)*7850</f>
        <v/>
      </c>
      <c r="I3499" s="43" t="n"/>
      <c r="J3499" s="80">
        <f>H3499*I3499</f>
        <v/>
      </c>
      <c r="K3499" s="43" t="inlineStr">
        <is>
          <t>203.4；来源页195；校验incomplete</t>
        </is>
      </c>
      <c r="L3499" s="43">
        <f>A3499</f>
        <v/>
      </c>
      <c r="M3499" s="81" t="n"/>
      <c r="N3499" s="81" t="n"/>
      <c r="O3499" s="81" t="n"/>
      <c r="P3499" s="81" t="n"/>
      <c r="Q3499" s="81" t="n"/>
      <c r="R3499" s="81" t="n"/>
      <c r="S3499" s="81" t="n"/>
      <c r="T3499" s="81" t="n"/>
      <c r="U3499" s="81" t="n"/>
      <c r="V3499" s="81" t="n"/>
      <c r="W3499" s="43" t="n"/>
    </row>
    <row r="3500">
      <c r="A3500" s="43" t="inlineStr">
        <is>
          <t>Q355D</t>
        </is>
      </c>
      <c r="B3500" s="43" t="inlineStr">
        <is>
          <t>t=16</t>
        </is>
      </c>
      <c r="C3500" s="43" t="inlineStr"/>
      <c r="D3500" s="43" t="inlineStr">
        <is>
          <t>3920.6</t>
        </is>
      </c>
      <c r="E3500" s="43" t="n"/>
      <c r="F3500" s="43" t="n"/>
      <c r="G3500" s="43" t="n"/>
      <c r="H3500" s="79">
        <f>(E3500/1000)*(F3500/1000)*(G3500/1000)*7850</f>
        <v/>
      </c>
      <c r="I3500" s="43" t="n"/>
      <c r="J3500" s="80">
        <f>H3500*I3500</f>
        <v/>
      </c>
      <c r="K3500" s="43" t="inlineStr">
        <is>
          <t>106.8；来源页195；校验incomplete</t>
        </is>
      </c>
      <c r="L3500" s="43">
        <f>A3500</f>
        <v/>
      </c>
      <c r="M3500" s="81" t="n"/>
      <c r="N3500" s="81" t="n"/>
      <c r="O3500" s="81" t="n"/>
      <c r="P3500" s="81" t="n"/>
      <c r="Q3500" s="81" t="n"/>
      <c r="R3500" s="81" t="n"/>
      <c r="S3500" s="81" t="n"/>
      <c r="T3500" s="81" t="n"/>
      <c r="U3500" s="81" t="n"/>
      <c r="V3500" s="81" t="n"/>
      <c r="W3500" s="43" t="n"/>
    </row>
    <row r="3501">
      <c r="A3501" s="43" t="inlineStr">
        <is>
          <t>Q355D</t>
        </is>
      </c>
      <c r="B3501" s="43" t="inlineStr">
        <is>
          <t>t=14</t>
        </is>
      </c>
      <c r="C3501" s="43" t="inlineStr"/>
      <c r="D3501" s="43" t="inlineStr">
        <is>
          <t>1296.7</t>
        </is>
      </c>
      <c r="E3501" s="43" t="n"/>
      <c r="F3501" s="43" t="n"/>
      <c r="G3501" s="43" t="n"/>
      <c r="H3501" s="79">
        <f>(E3501/1000)*(F3501/1000)*(G3501/1000)*7850</f>
        <v/>
      </c>
      <c r="I3501" s="43" t="n"/>
      <c r="J3501" s="80">
        <f>H3501*I3501</f>
        <v/>
      </c>
      <c r="K3501" s="43" t="inlineStr">
        <is>
          <t>46.8；来源页195；校验incomplete</t>
        </is>
      </c>
      <c r="L3501" s="43">
        <f>A3501</f>
        <v/>
      </c>
      <c r="M3501" s="81" t="n"/>
      <c r="N3501" s="81" t="n"/>
      <c r="O3501" s="81" t="n"/>
      <c r="P3501" s="81" t="n"/>
      <c r="Q3501" s="81" t="n"/>
      <c r="R3501" s="81" t="n"/>
      <c r="S3501" s="81" t="n"/>
      <c r="T3501" s="81" t="n"/>
      <c r="U3501" s="81" t="n"/>
      <c r="V3501" s="81" t="n"/>
      <c r="W3501" s="43" t="n"/>
    </row>
    <row r="3502">
      <c r="A3502" s="43" t="inlineStr">
        <is>
          <t>Q355D</t>
        </is>
      </c>
      <c r="B3502" s="43" t="inlineStr">
        <is>
          <t>t=4</t>
        </is>
      </c>
      <c r="C3502" s="43" t="inlineStr"/>
      <c r="D3502" s="43" t="inlineStr">
        <is>
          <t>8.8</t>
        </is>
      </c>
      <c r="E3502" s="43" t="n"/>
      <c r="F3502" s="43" t="n"/>
      <c r="G3502" s="43" t="n"/>
      <c r="H3502" s="79">
        <f>(E3502/1000)*(F3502/1000)*(G3502/1000)*7850</f>
        <v/>
      </c>
      <c r="I3502" s="43" t="n"/>
      <c r="J3502" s="80">
        <f>H3502*I3502</f>
        <v/>
      </c>
      <c r="K3502" s="43" t="inlineStr">
        <is>
          <t>7051.0；来源页195；校验incomplete</t>
        </is>
      </c>
      <c r="L3502" s="43">
        <f>A3502</f>
        <v/>
      </c>
      <c r="M3502" s="81" t="n"/>
      <c r="N3502" s="81" t="n"/>
      <c r="O3502" s="81" t="n"/>
      <c r="P3502" s="81" t="n"/>
      <c r="Q3502" s="81" t="n"/>
      <c r="R3502" s="81" t="n"/>
      <c r="S3502" s="81" t="n"/>
      <c r="T3502" s="81" t="n"/>
      <c r="U3502" s="81" t="n"/>
      <c r="V3502" s="81" t="n"/>
      <c r="W3502" s="43" t="n"/>
    </row>
    <row r="3503">
      <c r="A3503" s="43" t="inlineStr"/>
      <c r="B3503" s="43" t="inlineStr">
        <is>
          <t>焊缝重(1.5%)</t>
        </is>
      </c>
      <c r="C3503" s="43" t="inlineStr"/>
      <c r="D3503" s="43" t="inlineStr">
        <is>
          <t>1534.4</t>
        </is>
      </c>
      <c r="E3503" s="43" t="n"/>
      <c r="F3503" s="43" t="n"/>
      <c r="G3503" s="43" t="n"/>
      <c r="H3503" s="79">
        <f>(E3503/1000)*(F3503/1000)*(G3503/1000)*7850</f>
        <v/>
      </c>
      <c r="I3503" s="43" t="n"/>
      <c r="J3503" s="80">
        <f>H3503*I3503</f>
        <v/>
      </c>
      <c r="K3503" s="43" t="inlineStr">
        <is>
          <t>2452.2；来源页195；校验incomplete</t>
        </is>
      </c>
      <c r="L3503" s="43">
        <f>A3503</f>
        <v/>
      </c>
      <c r="M3503" s="81" t="n"/>
      <c r="N3503" s="81" t="n"/>
      <c r="O3503" s="81" t="n"/>
      <c r="P3503" s="81" t="n"/>
      <c r="Q3503" s="81" t="n"/>
      <c r="R3503" s="81" t="n"/>
      <c r="S3503" s="81" t="n"/>
      <c r="T3503" s="81" t="n"/>
      <c r="U3503" s="81" t="n"/>
      <c r="V3503" s="81" t="n"/>
      <c r="W3503" s="43" t="n"/>
    </row>
    <row r="3504">
      <c r="A3504" s="43" t="inlineStr">
        <is>
          <t>Q355D</t>
        </is>
      </c>
      <c r="B3504" s="43" t="inlineStr">
        <is>
          <t>焊缝重(1.5%)</t>
        </is>
      </c>
      <c r="C3504" s="43" t="inlineStr"/>
      <c r="D3504" s="43" t="inlineStr">
        <is>
          <t>103826.7</t>
        </is>
      </c>
      <c r="E3504" s="43" t="n"/>
      <c r="F3504" s="43" t="n"/>
      <c r="G3504" s="43" t="n"/>
      <c r="H3504" s="79">
        <f>(E3504/1000)*(F3504/1000)*(G3504/1000)*7850</f>
        <v/>
      </c>
      <c r="I3504" s="43" t="n"/>
      <c r="J3504" s="80">
        <f>H3504*I3504</f>
        <v/>
      </c>
      <c r="K3504" s="43" t="inlineStr">
        <is>
          <t>37.2；来源页195；校验incomplete</t>
        </is>
      </c>
      <c r="L3504" s="43">
        <f>A3504</f>
        <v/>
      </c>
      <c r="M3504" s="81" t="n"/>
      <c r="N3504" s="81" t="n"/>
      <c r="O3504" s="81" t="n"/>
      <c r="P3504" s="81" t="n"/>
      <c r="Q3504" s="81" t="n"/>
      <c r="R3504" s="81" t="n"/>
      <c r="S3504" s="81" t="n"/>
      <c r="T3504" s="81" t="n"/>
      <c r="U3504" s="81" t="n"/>
      <c r="V3504" s="81" t="n"/>
      <c r="W3504" s="43" t="n"/>
    </row>
    <row r="3505">
      <c r="A3505" s="43" t="inlineStr">
        <is>
          <t>N25</t>
        </is>
      </c>
      <c r="B3505" s="43" t="inlineStr"/>
      <c r="C3505" s="43" t="inlineStr">
        <is>
          <t>节段17</t>
        </is>
      </c>
      <c r="D3505" s="43" t="inlineStr">
        <is>
          <t>Q420D</t>
        </is>
      </c>
      <c r="E3505" s="43" t="n">
        <v>1450</v>
      </c>
      <c r="F3505" s="43" t="n">
        <v>1200</v>
      </c>
      <c r="G3505" s="43" t="n">
        <v>16</v>
      </c>
      <c r="H3505" s="79">
        <f>(E3505/1000)*(F3505/1000)*(G3505/1000)*7850</f>
        <v/>
      </c>
      <c r="I3505" s="43" t="inlineStr">
        <is>
          <t>了</t>
        </is>
      </c>
      <c r="J3505" s="80">
        <f>H3505*I3505</f>
        <v/>
      </c>
      <c r="K3505" s="43" t="inlineStr">
        <is>
          <t>来源页208；校验incomplete</t>
        </is>
      </c>
      <c r="L3505" s="43">
        <f>A3505</f>
        <v/>
      </c>
      <c r="M3505" s="81" t="n"/>
      <c r="N3505" s="81" t="n"/>
      <c r="O3505" s="81" t="n"/>
      <c r="P3505" s="81" t="n"/>
      <c r="Q3505" s="81" t="n"/>
      <c r="R3505" s="81" t="n"/>
      <c r="S3505" s="81" t="n"/>
      <c r="T3505" s="81" t="n"/>
      <c r="U3505" s="81" t="n"/>
      <c r="V3505" s="81" t="n"/>
      <c r="W3505" s="43" t="n"/>
    </row>
    <row r="3506">
      <c r="A3506" s="43" t="inlineStr">
        <is>
          <t>N25'</t>
        </is>
      </c>
      <c r="B3506" s="43" t="inlineStr"/>
      <c r="C3506" s="43" t="inlineStr">
        <is>
          <t>节段17</t>
        </is>
      </c>
      <c r="D3506" s="43" t="inlineStr">
        <is>
          <t>Q420D</t>
        </is>
      </c>
      <c r="E3506" s="43" t="n">
        <v>1657</v>
      </c>
      <c r="F3506" s="43" t="n">
        <v>200</v>
      </c>
      <c r="G3506" s="43" t="n">
        <v>16</v>
      </c>
      <c r="H3506" s="79">
        <f>(E3506/1000)*(F3506/1000)*(G3506/1000)*7850</f>
        <v/>
      </c>
      <c r="I3506" s="43" t="inlineStr">
        <is>
          <t>了</t>
        </is>
      </c>
      <c r="J3506" s="80">
        <f>H3506*I3506</f>
        <v/>
      </c>
      <c r="K3506" s="43" t="inlineStr">
        <is>
          <t>来源页208；校验incomplete</t>
        </is>
      </c>
      <c r="L3506" s="43">
        <f>A3506</f>
        <v/>
      </c>
      <c r="M3506" s="81" t="n"/>
      <c r="N3506" s="81" t="n"/>
      <c r="O3506" s="81" t="n"/>
      <c r="P3506" s="81" t="n"/>
      <c r="Q3506" s="81" t="n"/>
      <c r="R3506" s="81" t="n"/>
      <c r="S3506" s="81" t="n"/>
      <c r="T3506" s="81" t="n"/>
      <c r="U3506" s="81" t="n"/>
      <c r="V3506" s="81" t="n"/>
      <c r="W3506" s="43" t="n"/>
    </row>
    <row r="3507">
      <c r="A3507" s="43" t="inlineStr">
        <is>
          <t>N61</t>
        </is>
      </c>
      <c r="B3507" s="43" t="inlineStr"/>
      <c r="C3507" s="43" t="inlineStr">
        <is>
          <t>节段17</t>
        </is>
      </c>
      <c r="D3507" s="43" t="inlineStr">
        <is>
          <t>Q355D</t>
        </is>
      </c>
      <c r="E3507" s="43" t="n">
        <v>1560</v>
      </c>
      <c r="F3507" s="43" t="n">
        <v>606</v>
      </c>
      <c r="G3507" s="43" t="n">
        <v>14</v>
      </c>
      <c r="H3507" s="79">
        <f>(E3507/1000)*(F3507/1000)*(G3507/1000)*7850</f>
        <v/>
      </c>
      <c r="I3507" s="43" t="inlineStr">
        <is>
          <t>了</t>
        </is>
      </c>
      <c r="J3507" s="80">
        <f>H3507*I3507</f>
        <v/>
      </c>
      <c r="K3507" s="43" t="inlineStr">
        <is>
          <t>来源页208；校验incomplete</t>
        </is>
      </c>
      <c r="L3507" s="43">
        <f>A3507</f>
        <v/>
      </c>
      <c r="M3507" s="81" t="n"/>
      <c r="N3507" s="81" t="n"/>
      <c r="O3507" s="81" t="n"/>
      <c r="P3507" s="81" t="n"/>
      <c r="Q3507" s="81" t="n"/>
      <c r="R3507" s="81" t="n"/>
      <c r="S3507" s="81" t="n"/>
      <c r="T3507" s="81" t="n"/>
      <c r="U3507" s="81" t="n"/>
      <c r="V3507" s="81" t="n"/>
      <c r="W3507" s="43" t="n"/>
    </row>
    <row r="3508">
      <c r="A3508" s="43" t="inlineStr">
        <is>
          <t>N61a</t>
        </is>
      </c>
      <c r="B3508" s="43" t="inlineStr"/>
      <c r="C3508" s="43" t="inlineStr">
        <is>
          <t>节段17</t>
        </is>
      </c>
      <c r="D3508" s="43" t="inlineStr">
        <is>
          <t>Q355D</t>
        </is>
      </c>
      <c r="E3508" s="43" t="n">
        <v>1560</v>
      </c>
      <c r="F3508" s="43" t="n">
        <v>602</v>
      </c>
      <c r="G3508" s="43" t="n">
        <v>14</v>
      </c>
      <c r="H3508" s="79">
        <f>(E3508/1000)*(F3508/1000)*(G3508/1000)*7850</f>
        <v/>
      </c>
      <c r="I3508" s="43" t="inlineStr">
        <is>
          <t>乙</t>
        </is>
      </c>
      <c r="J3508" s="80">
        <f>H3508*I3508</f>
        <v/>
      </c>
      <c r="K3508" s="43" t="inlineStr">
        <is>
          <t>来源页208；校验incomplete</t>
        </is>
      </c>
      <c r="L3508" s="43">
        <f>A3508</f>
        <v/>
      </c>
      <c r="M3508" s="81" t="n"/>
      <c r="N3508" s="81" t="n"/>
      <c r="O3508" s="81" t="n"/>
      <c r="P3508" s="81" t="n"/>
      <c r="Q3508" s="81" t="n"/>
      <c r="R3508" s="81" t="n"/>
      <c r="S3508" s="81" t="n"/>
      <c r="T3508" s="81" t="n"/>
      <c r="U3508" s="81" t="n"/>
      <c r="V3508" s="81" t="n"/>
      <c r="W3508" s="43" t="n"/>
    </row>
    <row r="3509">
      <c r="A3509" s="43" t="inlineStr"/>
      <c r="B3509" s="43" t="inlineStr">
        <is>
          <t>上弦杆拼接</t>
        </is>
      </c>
      <c r="C3509" s="43" t="inlineStr">
        <is>
          <t>节段18~节段19</t>
        </is>
      </c>
      <c r="D3509" s="43" t="inlineStr">
        <is>
          <t>Q355D</t>
        </is>
      </c>
      <c r="E3509" s="43" t="n">
        <v>1220</v>
      </c>
      <c r="F3509" s="43" t="n">
        <v>500</v>
      </c>
      <c r="G3509" s="43" t="n">
        <v>28</v>
      </c>
      <c r="H3509" s="79">
        <f>(E3509/1000)*(F3509/1000)*(G3509/1000)*7850</f>
        <v/>
      </c>
      <c r="I3509" s="43" t="n"/>
      <c r="J3509" s="80">
        <f>H3509*I3509</f>
        <v/>
      </c>
      <c r="K3509" s="43" t="inlineStr">
        <is>
          <t>来源页215；校验incomplete</t>
        </is>
      </c>
      <c r="L3509" s="43">
        <f>A3509</f>
        <v/>
      </c>
      <c r="M3509" s="81" t="n"/>
      <c r="N3509" s="81" t="n"/>
      <c r="O3509" s="81" t="n"/>
      <c r="P3509" s="81" t="n"/>
      <c r="Q3509" s="81" t="n"/>
      <c r="R3509" s="81" t="n"/>
      <c r="S3509" s="81" t="n"/>
      <c r="T3509" s="81" t="n"/>
      <c r="U3509" s="81" t="n"/>
      <c r="V3509" s="81" t="n"/>
      <c r="W3509" s="43" t="n"/>
    </row>
    <row r="3510">
      <c r="A3510" s="43" t="inlineStr">
        <is>
          <t>N21b</t>
        </is>
      </c>
      <c r="B3510" s="43" t="inlineStr"/>
      <c r="C3510" s="43" t="inlineStr">
        <is>
          <t>节段19</t>
        </is>
      </c>
      <c r="D3510" s="43" t="inlineStr">
        <is>
          <t>Q355D</t>
        </is>
      </c>
      <c r="E3510" s="43" t="n">
        <v>7100</v>
      </c>
      <c r="F3510" s="43" t="n">
        <v>1850</v>
      </c>
      <c r="G3510" s="43" t="n">
        <v>20</v>
      </c>
      <c r="H3510" s="79">
        <f>(E3510/1000)*(F3510/1000)*(G3510/1000)*7850</f>
        <v/>
      </c>
      <c r="I3510" s="43" t="n"/>
      <c r="J3510" s="80">
        <f>H3510*I3510</f>
        <v/>
      </c>
      <c r="K3510" s="43" t="inlineStr">
        <is>
          <t>来源页216；校验incomplete</t>
        </is>
      </c>
      <c r="L3510" s="43">
        <f>A3510</f>
        <v/>
      </c>
      <c r="M3510" s="81" t="n"/>
      <c r="N3510" s="81" t="n"/>
      <c r="O3510" s="81" t="n"/>
      <c r="P3510" s="81" t="n"/>
      <c r="Q3510" s="81" t="n"/>
      <c r="R3510" s="81" t="n"/>
      <c r="S3510" s="81" t="n"/>
      <c r="T3510" s="81" t="n"/>
      <c r="U3510" s="81" t="n"/>
      <c r="V3510" s="81" t="n"/>
      <c r="W3510" s="43" t="n"/>
    </row>
    <row r="3511">
      <c r="A3511" s="43" t="inlineStr">
        <is>
          <t>N31a</t>
        </is>
      </c>
      <c r="B3511" s="43" t="inlineStr"/>
      <c r="C3511" s="43" t="inlineStr">
        <is>
          <t>节段19</t>
        </is>
      </c>
      <c r="D3511" s="43" t="inlineStr">
        <is>
          <t>Q355D</t>
        </is>
      </c>
      <c r="E3511" s="43" t="n">
        <v>11618</v>
      </c>
      <c r="F3511" s="43" t="n">
        <v>1200</v>
      </c>
      <c r="G3511" s="43" t="n">
        <v>36</v>
      </c>
      <c r="H3511" s="79">
        <f>(E3511/1000)*(F3511/1000)*(G3511/1000)*7850</f>
        <v/>
      </c>
      <c r="I3511" s="43" t="n"/>
      <c r="J3511" s="80">
        <f>H3511*I3511</f>
        <v/>
      </c>
      <c r="K3511" s="43" t="inlineStr">
        <is>
          <t>来源页216；校验incomplete</t>
        </is>
      </c>
      <c r="L3511" s="43">
        <f>A3511</f>
        <v/>
      </c>
      <c r="M3511" s="81" t="n"/>
      <c r="N3511" s="81" t="n"/>
      <c r="O3511" s="81" t="n"/>
      <c r="P3511" s="81" t="n"/>
      <c r="Q3511" s="81" t="n"/>
      <c r="R3511" s="81" t="n"/>
      <c r="S3511" s="81" t="n"/>
      <c r="T3511" s="81" t="n"/>
      <c r="U3511" s="81" t="n"/>
      <c r="V3511" s="81" t="n"/>
      <c r="W3511" s="43" t="n"/>
    </row>
    <row r="3512">
      <c r="A3512" s="43" t="inlineStr">
        <is>
          <t>N51</t>
        </is>
      </c>
      <c r="B3512" s="43" t="inlineStr"/>
      <c r="C3512" s="43" t="inlineStr">
        <is>
          <t>节段19</t>
        </is>
      </c>
      <c r="D3512" s="43" t="inlineStr">
        <is>
          <t>Q355D</t>
        </is>
      </c>
      <c r="E3512" s="43" t="n">
        <v>5829</v>
      </c>
      <c r="F3512" s="43" t="n">
        <v>1200</v>
      </c>
      <c r="G3512" s="43" t="n">
        <v>36</v>
      </c>
      <c r="H3512" s="79">
        <f>(E3512/1000)*(F3512/1000)*(G3512/1000)*7850</f>
        <v/>
      </c>
      <c r="I3512" s="43" t="n"/>
      <c r="J3512" s="80">
        <f>H3512*I3512</f>
        <v/>
      </c>
      <c r="K3512" s="43" t="inlineStr">
        <is>
          <t>来源页216；校验incomplete</t>
        </is>
      </c>
      <c r="L3512" s="43">
        <f>A3512</f>
        <v/>
      </c>
      <c r="M3512" s="81" t="n"/>
      <c r="N3512" s="81" t="n"/>
      <c r="O3512" s="81" t="n"/>
      <c r="P3512" s="81" t="n"/>
      <c r="Q3512" s="81" t="n"/>
      <c r="R3512" s="81" t="n"/>
      <c r="S3512" s="81" t="n"/>
      <c r="T3512" s="81" t="n"/>
      <c r="U3512" s="81" t="n"/>
      <c r="V3512" s="81" t="n"/>
      <c r="W3512" s="43" t="n"/>
    </row>
    <row r="3513">
      <c r="A3513" s="43" t="inlineStr"/>
      <c r="B3513" s="43" t="inlineStr"/>
      <c r="C3513" s="43" t="inlineStr"/>
      <c r="D3513" s="43" t="inlineStr">
        <is>
          <t>Q355D</t>
        </is>
      </c>
      <c r="E3513" s="43" t="n"/>
      <c r="F3513" s="43" t="n"/>
      <c r="G3513" s="43" t="n"/>
      <c r="H3513" s="79">
        <f>(E3513/1000)*(F3513/1000)*(G3513/1000)*7850</f>
        <v/>
      </c>
      <c r="I3513" s="43" t="n"/>
      <c r="J3513" s="80">
        <f>H3513*I3513</f>
        <v/>
      </c>
      <c r="K3513" s="43" t="inlineStr">
        <is>
          <t>来源页233,237；校验incomplete</t>
        </is>
      </c>
      <c r="L3513" s="43">
        <f>A3513</f>
        <v/>
      </c>
      <c r="M3513" s="81" t="n"/>
      <c r="N3513" s="81" t="n"/>
      <c r="O3513" s="81" t="n"/>
      <c r="P3513" s="81" t="n"/>
      <c r="Q3513" s="81" t="n"/>
      <c r="R3513" s="81" t="n"/>
      <c r="S3513" s="81" t="n"/>
      <c r="T3513" s="81" t="n"/>
      <c r="U3513" s="81" t="n"/>
      <c r="V3513" s="81" t="n"/>
      <c r="W3513" s="43" t="n"/>
    </row>
    <row r="3514">
      <c r="A3514" s="43" t="inlineStr"/>
      <c r="B3514" s="43" t="inlineStr"/>
      <c r="C3514" s="43" t="inlineStr"/>
      <c r="D3514" s="43" t="inlineStr">
        <is>
          <t>Q355D</t>
        </is>
      </c>
      <c r="E3514" s="43" t="n"/>
      <c r="F3514" s="43" t="n"/>
      <c r="G3514" s="43" t="n"/>
      <c r="H3514" s="79">
        <f>(E3514/1000)*(F3514/1000)*(G3514/1000)*7850</f>
        <v/>
      </c>
      <c r="I3514" s="43" t="n"/>
      <c r="J3514" s="80">
        <f>H3514*I3514</f>
        <v/>
      </c>
      <c r="K3514" s="43" t="inlineStr">
        <is>
          <t>来源页233,237；校验incomplete</t>
        </is>
      </c>
      <c r="L3514" s="43">
        <f>A3514</f>
        <v/>
      </c>
      <c r="M3514" s="81" t="n"/>
      <c r="N3514" s="81" t="n"/>
      <c r="O3514" s="81" t="n"/>
      <c r="P3514" s="81" t="n"/>
      <c r="Q3514" s="81" t="n"/>
      <c r="R3514" s="81" t="n"/>
      <c r="S3514" s="81" t="n"/>
      <c r="T3514" s="81" t="n"/>
      <c r="U3514" s="81" t="n"/>
      <c r="V3514" s="81" t="n"/>
      <c r="W3514" s="43" t="n"/>
    </row>
    <row r="3515">
      <c r="A3515" s="43" t="inlineStr"/>
      <c r="B3515" s="43" t="inlineStr"/>
      <c r="C3515" s="43" t="inlineStr"/>
      <c r="D3515" s="43" t="inlineStr">
        <is>
          <t>Q355D</t>
        </is>
      </c>
      <c r="E3515" s="43" t="n"/>
      <c r="F3515" s="43" t="n"/>
      <c r="G3515" s="43" t="n"/>
      <c r="H3515" s="79">
        <f>(E3515/1000)*(F3515/1000)*(G3515/1000)*7850</f>
        <v/>
      </c>
      <c r="I3515" s="43" t="n"/>
      <c r="J3515" s="80">
        <f>H3515*I3515</f>
        <v/>
      </c>
      <c r="K3515" s="43" t="inlineStr">
        <is>
          <t>来源页233,237；校验incomplete</t>
        </is>
      </c>
      <c r="L3515" s="43">
        <f>A3515</f>
        <v/>
      </c>
      <c r="M3515" s="81" t="n"/>
      <c r="N3515" s="81" t="n"/>
      <c r="O3515" s="81" t="n"/>
      <c r="P3515" s="81" t="n"/>
      <c r="Q3515" s="81" t="n"/>
      <c r="R3515" s="81" t="n"/>
      <c r="S3515" s="81" t="n"/>
      <c r="T3515" s="81" t="n"/>
      <c r="U3515" s="81" t="n"/>
      <c r="V3515" s="81" t="n"/>
      <c r="W3515" s="43" t="n"/>
    </row>
    <row r="3516">
      <c r="A3516" s="43" t="inlineStr"/>
      <c r="B3516" s="43" t="inlineStr"/>
      <c r="C3516" s="43" t="inlineStr"/>
      <c r="D3516" s="43" t="inlineStr">
        <is>
          <t>Q355D</t>
        </is>
      </c>
      <c r="E3516" s="43" t="n"/>
      <c r="F3516" s="43" t="n"/>
      <c r="G3516" s="43" t="n"/>
      <c r="H3516" s="79">
        <f>(E3516/1000)*(F3516/1000)*(G3516/1000)*7850</f>
        <v/>
      </c>
      <c r="I3516" s="43" t="n"/>
      <c r="J3516" s="80">
        <f>H3516*I3516</f>
        <v/>
      </c>
      <c r="K3516" s="43" t="inlineStr">
        <is>
          <t>来源页233,237；校验incomplete</t>
        </is>
      </c>
      <c r="L3516" s="43">
        <f>A3516</f>
        <v/>
      </c>
      <c r="M3516" s="81" t="n"/>
      <c r="N3516" s="81" t="n"/>
      <c r="O3516" s="81" t="n"/>
      <c r="P3516" s="81" t="n"/>
      <c r="Q3516" s="81" t="n"/>
      <c r="R3516" s="81" t="n"/>
      <c r="S3516" s="81" t="n"/>
      <c r="T3516" s="81" t="n"/>
      <c r="U3516" s="81" t="n"/>
      <c r="V3516" s="81" t="n"/>
      <c r="W3516" s="43" t="n"/>
    </row>
    <row r="3517">
      <c r="A3517" s="43" t="inlineStr"/>
      <c r="B3517" s="43" t="inlineStr"/>
      <c r="C3517" s="43" t="inlineStr"/>
      <c r="D3517" s="43" t="inlineStr">
        <is>
          <t>Q355D</t>
        </is>
      </c>
      <c r="E3517" s="43" t="n"/>
      <c r="F3517" s="43" t="n"/>
      <c r="G3517" s="43" t="n"/>
      <c r="H3517" s="79">
        <f>(E3517/1000)*(F3517/1000)*(G3517/1000)*7850</f>
        <v/>
      </c>
      <c r="I3517" s="43" t="n"/>
      <c r="J3517" s="80">
        <f>H3517*I3517</f>
        <v/>
      </c>
      <c r="K3517" s="43" t="inlineStr">
        <is>
          <t>来源页233,237；校验incomplete</t>
        </is>
      </c>
      <c r="L3517" s="43">
        <f>A3517</f>
        <v/>
      </c>
      <c r="M3517" s="81" t="n"/>
      <c r="N3517" s="81" t="n"/>
      <c r="O3517" s="81" t="n"/>
      <c r="P3517" s="81" t="n"/>
      <c r="Q3517" s="81" t="n"/>
      <c r="R3517" s="81" t="n"/>
      <c r="S3517" s="81" t="n"/>
      <c r="T3517" s="81" t="n"/>
      <c r="U3517" s="81" t="n"/>
      <c r="V3517" s="81" t="n"/>
      <c r="W3517" s="43" t="n"/>
    </row>
    <row r="3518">
      <c r="A3518" s="43" t="inlineStr"/>
      <c r="B3518" s="43" t="inlineStr"/>
      <c r="C3518" s="43" t="inlineStr"/>
      <c r="D3518" s="43" t="inlineStr">
        <is>
          <t>Q355D</t>
        </is>
      </c>
      <c r="E3518" s="43" t="n"/>
      <c r="F3518" s="43" t="n"/>
      <c r="G3518" s="43" t="n"/>
      <c r="H3518" s="79">
        <f>(E3518/1000)*(F3518/1000)*(G3518/1000)*7850</f>
        <v/>
      </c>
      <c r="I3518" s="43" t="n"/>
      <c r="J3518" s="80">
        <f>H3518*I3518</f>
        <v/>
      </c>
      <c r="K3518" s="43" t="inlineStr">
        <is>
          <t>来源页233,237；校验incomplete</t>
        </is>
      </c>
      <c r="L3518" s="43">
        <f>A3518</f>
        <v/>
      </c>
      <c r="M3518" s="81" t="n"/>
      <c r="N3518" s="81" t="n"/>
      <c r="O3518" s="81" t="n"/>
      <c r="P3518" s="81" t="n"/>
      <c r="Q3518" s="81" t="n"/>
      <c r="R3518" s="81" t="n"/>
      <c r="S3518" s="81" t="n"/>
      <c r="T3518" s="81" t="n"/>
      <c r="U3518" s="81" t="n"/>
      <c r="V3518" s="81" t="n"/>
      <c r="W3518" s="43" t="n"/>
    </row>
    <row r="3519">
      <c r="A3519" s="43" t="inlineStr"/>
      <c r="B3519" s="43" t="inlineStr"/>
      <c r="C3519" s="43" t="inlineStr"/>
      <c r="D3519" s="43" t="inlineStr">
        <is>
          <t>Q355D</t>
        </is>
      </c>
      <c r="E3519" s="43" t="n"/>
      <c r="F3519" s="43" t="n"/>
      <c r="G3519" s="43" t="n"/>
      <c r="H3519" s="79">
        <f>(E3519/1000)*(F3519/1000)*(G3519/1000)*7850</f>
        <v/>
      </c>
      <c r="I3519" s="43" t="n"/>
      <c r="J3519" s="80">
        <f>H3519*I3519</f>
        <v/>
      </c>
      <c r="K3519" s="43" t="inlineStr">
        <is>
          <t>来源页233,237；校验incomplete</t>
        </is>
      </c>
      <c r="L3519" s="43">
        <f>A3519</f>
        <v/>
      </c>
      <c r="M3519" s="81" t="n"/>
      <c r="N3519" s="81" t="n"/>
      <c r="O3519" s="81" t="n"/>
      <c r="P3519" s="81" t="n"/>
      <c r="Q3519" s="81" t="n"/>
      <c r="R3519" s="81" t="n"/>
      <c r="S3519" s="81" t="n"/>
      <c r="T3519" s="81" t="n"/>
      <c r="U3519" s="81" t="n"/>
      <c r="V3519" s="81" t="n"/>
      <c r="W3519" s="43" t="n"/>
    </row>
    <row r="3520">
      <c r="A3520" s="43" t="inlineStr"/>
      <c r="B3520" s="43" t="inlineStr"/>
      <c r="C3520" s="43" t="inlineStr"/>
      <c r="D3520" s="43" t="inlineStr">
        <is>
          <t>Q355D</t>
        </is>
      </c>
      <c r="E3520" s="43" t="n"/>
      <c r="F3520" s="43" t="n"/>
      <c r="G3520" s="43" t="n"/>
      <c r="H3520" s="79">
        <f>(E3520/1000)*(F3520/1000)*(G3520/1000)*7850</f>
        <v/>
      </c>
      <c r="I3520" s="43" t="n"/>
      <c r="J3520" s="80">
        <f>H3520*I3520</f>
        <v/>
      </c>
      <c r="K3520" s="43" t="inlineStr">
        <is>
          <t>来源页233,237；校验incomplete</t>
        </is>
      </c>
      <c r="L3520" s="43">
        <f>A3520</f>
        <v/>
      </c>
      <c r="M3520" s="81" t="n"/>
      <c r="N3520" s="81" t="n"/>
      <c r="O3520" s="81" t="n"/>
      <c r="P3520" s="81" t="n"/>
      <c r="Q3520" s="81" t="n"/>
      <c r="R3520" s="81" t="n"/>
      <c r="S3520" s="81" t="n"/>
      <c r="T3520" s="81" t="n"/>
      <c r="U3520" s="81" t="n"/>
      <c r="V3520" s="81" t="n"/>
      <c r="W3520" s="43" t="n"/>
    </row>
    <row r="3521">
      <c r="A3521" s="43" t="inlineStr"/>
      <c r="B3521" s="43" t="inlineStr"/>
      <c r="C3521" s="43" t="inlineStr"/>
      <c r="D3521" s="43" t="inlineStr">
        <is>
          <t>Q355D</t>
        </is>
      </c>
      <c r="E3521" s="43" t="n"/>
      <c r="F3521" s="43" t="n"/>
      <c r="G3521" s="43" t="n"/>
      <c r="H3521" s="79">
        <f>(E3521/1000)*(F3521/1000)*(G3521/1000)*7850</f>
        <v/>
      </c>
      <c r="I3521" s="43" t="n"/>
      <c r="J3521" s="80">
        <f>H3521*I3521</f>
        <v/>
      </c>
      <c r="K3521" s="43" t="inlineStr">
        <is>
          <t>来源页233,237；校验incomplete</t>
        </is>
      </c>
      <c r="L3521" s="43">
        <f>A3521</f>
        <v/>
      </c>
      <c r="M3521" s="81" t="n"/>
      <c r="N3521" s="81" t="n"/>
      <c r="O3521" s="81" t="n"/>
      <c r="P3521" s="81" t="n"/>
      <c r="Q3521" s="81" t="n"/>
      <c r="R3521" s="81" t="n"/>
      <c r="S3521" s="81" t="n"/>
      <c r="T3521" s="81" t="n"/>
      <c r="U3521" s="81" t="n"/>
      <c r="V3521" s="81" t="n"/>
      <c r="W3521" s="43" t="n"/>
    </row>
    <row r="3522">
      <c r="A3522" s="43" t="inlineStr"/>
      <c r="B3522" s="43" t="inlineStr"/>
      <c r="C3522" s="43" t="inlineStr"/>
      <c r="D3522" s="43" t="inlineStr">
        <is>
          <t>Q355D</t>
        </is>
      </c>
      <c r="E3522" s="43" t="n"/>
      <c r="F3522" s="43" t="n"/>
      <c r="G3522" s="43" t="n">
        <v>60</v>
      </c>
      <c r="H3522" s="79">
        <f>(E3522/1000)*(F3522/1000)*(G3522/1000)*7850</f>
        <v/>
      </c>
      <c r="I3522" s="43" t="n"/>
      <c r="J3522" s="80">
        <f>H3522*I3522</f>
        <v/>
      </c>
      <c r="K3522" s="43" t="inlineStr">
        <is>
          <t>来源页237；校验incomplete</t>
        </is>
      </c>
      <c r="L3522" s="43">
        <f>A3522</f>
        <v/>
      </c>
      <c r="M3522" s="81" t="n"/>
      <c r="N3522" s="81" t="n"/>
      <c r="O3522" s="81" t="n"/>
      <c r="P3522" s="81" t="n"/>
      <c r="Q3522" s="81" t="n"/>
      <c r="R3522" s="81" t="n"/>
      <c r="S3522" s="81" t="n"/>
      <c r="T3522" s="81" t="n"/>
      <c r="U3522" s="81" t="n"/>
      <c r="V3522" s="81" t="n"/>
      <c r="W3522" s="43" t="n"/>
    </row>
    <row r="3523">
      <c r="A3523" s="43" t="inlineStr"/>
      <c r="B3523" s="43" t="inlineStr"/>
      <c r="C3523" s="43" t="inlineStr"/>
      <c r="D3523" s="43" t="inlineStr">
        <is>
          <t>Q355D</t>
        </is>
      </c>
      <c r="E3523" s="43" t="n"/>
      <c r="F3523" s="43" t="n"/>
      <c r="G3523" s="43" t="n">
        <v>50</v>
      </c>
      <c r="H3523" s="79">
        <f>(E3523/1000)*(F3523/1000)*(G3523/1000)*7850</f>
        <v/>
      </c>
      <c r="I3523" s="43" t="n"/>
      <c r="J3523" s="80">
        <f>H3523*I3523</f>
        <v/>
      </c>
      <c r="K3523" s="43" t="inlineStr">
        <is>
          <t>来源页237；校验incomplete</t>
        </is>
      </c>
      <c r="L3523" s="43">
        <f>A3523</f>
        <v/>
      </c>
      <c r="M3523" s="81" t="n"/>
      <c r="N3523" s="81" t="n"/>
      <c r="O3523" s="81" t="n"/>
      <c r="P3523" s="81" t="n"/>
      <c r="Q3523" s="81" t="n"/>
      <c r="R3523" s="81" t="n"/>
      <c r="S3523" s="81" t="n"/>
      <c r="T3523" s="81" t="n"/>
      <c r="U3523" s="81" t="n"/>
      <c r="V3523" s="81" t="n"/>
      <c r="W3523" s="43" t="n"/>
    </row>
    <row r="3524">
      <c r="A3524" s="43" t="inlineStr"/>
      <c r="B3524" s="43" t="inlineStr"/>
      <c r="C3524" s="43" t="inlineStr"/>
      <c r="D3524" s="43" t="inlineStr">
        <is>
          <t>Q355D</t>
        </is>
      </c>
      <c r="E3524" s="43" t="n"/>
      <c r="F3524" s="43" t="n"/>
      <c r="G3524" s="43" t="n">
        <v>44</v>
      </c>
      <c r="H3524" s="79">
        <f>(E3524/1000)*(F3524/1000)*(G3524/1000)*7850</f>
        <v/>
      </c>
      <c r="I3524" s="43" t="n"/>
      <c r="J3524" s="80">
        <f>H3524*I3524</f>
        <v/>
      </c>
      <c r="K3524" s="43" t="inlineStr">
        <is>
          <t>来源页237；校验incomplete</t>
        </is>
      </c>
      <c r="L3524" s="43">
        <f>A3524</f>
        <v/>
      </c>
      <c r="M3524" s="81" t="n"/>
      <c r="N3524" s="81" t="n"/>
      <c r="O3524" s="81" t="n"/>
      <c r="P3524" s="81" t="n"/>
      <c r="Q3524" s="81" t="n"/>
      <c r="R3524" s="81" t="n"/>
      <c r="S3524" s="81" t="n"/>
      <c r="T3524" s="81" t="n"/>
      <c r="U3524" s="81" t="n"/>
      <c r="V3524" s="81" t="n"/>
      <c r="W3524" s="43" t="n"/>
    </row>
    <row r="3525">
      <c r="A3525" s="43" t="inlineStr"/>
      <c r="B3525" s="43" t="inlineStr"/>
      <c r="C3525" s="43" t="inlineStr"/>
      <c r="D3525" s="43" t="inlineStr">
        <is>
          <t>Q355D</t>
        </is>
      </c>
      <c r="E3525" s="43" t="n"/>
      <c r="F3525" s="43" t="n"/>
      <c r="G3525" s="43" t="n">
        <v>28</v>
      </c>
      <c r="H3525" s="79">
        <f>(E3525/1000)*(F3525/1000)*(G3525/1000)*7850</f>
        <v/>
      </c>
      <c r="I3525" s="43" t="n"/>
      <c r="J3525" s="80">
        <f>H3525*I3525</f>
        <v/>
      </c>
      <c r="K3525" s="43" t="inlineStr">
        <is>
          <t>来源页237；校验incomplete</t>
        </is>
      </c>
      <c r="L3525" s="43">
        <f>A3525</f>
        <v/>
      </c>
      <c r="M3525" s="81" t="n"/>
      <c r="N3525" s="81" t="n"/>
      <c r="O3525" s="81" t="n"/>
      <c r="P3525" s="81" t="n"/>
      <c r="Q3525" s="81" t="n"/>
      <c r="R3525" s="81" t="n"/>
      <c r="S3525" s="81" t="n"/>
      <c r="T3525" s="81" t="n"/>
      <c r="U3525" s="81" t="n"/>
      <c r="V3525" s="81" t="n"/>
      <c r="W3525" s="43" t="n"/>
    </row>
    <row r="3526">
      <c r="A3526" s="43" t="inlineStr"/>
      <c r="B3526" s="43" t="inlineStr"/>
      <c r="C3526" s="43" t="inlineStr"/>
      <c r="D3526" s="43" t="inlineStr">
        <is>
          <t>Q355D</t>
        </is>
      </c>
      <c r="E3526" s="43" t="n"/>
      <c r="F3526" s="43" t="n"/>
      <c r="G3526" s="43" t="n">
        <v>24</v>
      </c>
      <c r="H3526" s="79">
        <f>(E3526/1000)*(F3526/1000)*(G3526/1000)*7850</f>
        <v/>
      </c>
      <c r="I3526" s="43" t="n"/>
      <c r="J3526" s="80">
        <f>H3526*I3526</f>
        <v/>
      </c>
      <c r="K3526" s="43" t="inlineStr">
        <is>
          <t>来源页237；校验incomplete</t>
        </is>
      </c>
      <c r="L3526" s="43">
        <f>A3526</f>
        <v/>
      </c>
      <c r="M3526" s="81" t="n"/>
      <c r="N3526" s="81" t="n"/>
      <c r="O3526" s="81" t="n"/>
      <c r="P3526" s="81" t="n"/>
      <c r="Q3526" s="81" t="n"/>
      <c r="R3526" s="81" t="n"/>
      <c r="S3526" s="81" t="n"/>
      <c r="T3526" s="81" t="n"/>
      <c r="U3526" s="81" t="n"/>
      <c r="V3526" s="81" t="n"/>
      <c r="W3526" s="43" t="n"/>
    </row>
    <row r="3527">
      <c r="A3527" s="43" t="inlineStr"/>
      <c r="B3527" s="43" t="inlineStr"/>
      <c r="C3527" s="43" t="inlineStr"/>
      <c r="D3527" s="43" t="inlineStr">
        <is>
          <t>Q355D</t>
        </is>
      </c>
      <c r="E3527" s="43" t="n"/>
      <c r="F3527" s="43" t="n"/>
      <c r="G3527" s="43" t="n">
        <v>20</v>
      </c>
      <c r="H3527" s="79">
        <f>(E3527/1000)*(F3527/1000)*(G3527/1000)*7850</f>
        <v/>
      </c>
      <c r="I3527" s="43" t="n"/>
      <c r="J3527" s="80">
        <f>H3527*I3527</f>
        <v/>
      </c>
      <c r="K3527" s="43" t="inlineStr">
        <is>
          <t>来源页237；校验incomplete</t>
        </is>
      </c>
      <c r="L3527" s="43">
        <f>A3527</f>
        <v/>
      </c>
      <c r="M3527" s="81" t="n"/>
      <c r="N3527" s="81" t="n"/>
      <c r="O3527" s="81" t="n"/>
      <c r="P3527" s="81" t="n"/>
      <c r="Q3527" s="81" t="n"/>
      <c r="R3527" s="81" t="n"/>
      <c r="S3527" s="81" t="n"/>
      <c r="T3527" s="81" t="n"/>
      <c r="U3527" s="81" t="n"/>
      <c r="V3527" s="81" t="n"/>
      <c r="W3527" s="43" t="n"/>
    </row>
    <row r="3528">
      <c r="A3528" s="43" t="inlineStr"/>
      <c r="B3528" s="43" t="inlineStr"/>
      <c r="C3528" s="43" t="inlineStr"/>
      <c r="D3528" s="43" t="inlineStr">
        <is>
          <t>Q355D</t>
        </is>
      </c>
      <c r="E3528" s="43" t="n"/>
      <c r="F3528" s="43" t="n"/>
      <c r="G3528" s="43" t="n">
        <v>16</v>
      </c>
      <c r="H3528" s="79">
        <f>(E3528/1000)*(F3528/1000)*(G3528/1000)*7850</f>
        <v/>
      </c>
      <c r="I3528" s="43" t="n"/>
      <c r="J3528" s="80">
        <f>H3528*I3528</f>
        <v/>
      </c>
      <c r="K3528" s="43" t="inlineStr">
        <is>
          <t>来源页237；校验incomplete</t>
        </is>
      </c>
      <c r="L3528" s="43">
        <f>A3528</f>
        <v/>
      </c>
      <c r="M3528" s="81" t="n"/>
      <c r="N3528" s="81" t="n"/>
      <c r="O3528" s="81" t="n"/>
      <c r="P3528" s="81" t="n"/>
      <c r="Q3528" s="81" t="n"/>
      <c r="R3528" s="81" t="n"/>
      <c r="S3528" s="81" t="n"/>
      <c r="T3528" s="81" t="n"/>
      <c r="U3528" s="81" t="n"/>
      <c r="V3528" s="81" t="n"/>
      <c r="W3528" s="43" t="n"/>
    </row>
    <row r="3529">
      <c r="A3529" s="43" t="inlineStr"/>
      <c r="B3529" s="43" t="inlineStr"/>
      <c r="C3529" s="43" t="inlineStr"/>
      <c r="D3529" s="43" t="inlineStr">
        <is>
          <t>Q355D</t>
        </is>
      </c>
      <c r="E3529" s="43" t="n"/>
      <c r="F3529" s="43" t="n"/>
      <c r="G3529" s="43" t="n">
        <v>14</v>
      </c>
      <c r="H3529" s="79">
        <f>(E3529/1000)*(F3529/1000)*(G3529/1000)*7850</f>
        <v/>
      </c>
      <c r="I3529" s="43" t="n"/>
      <c r="J3529" s="80">
        <f>H3529*I3529</f>
        <v/>
      </c>
      <c r="K3529" s="43" t="inlineStr">
        <is>
          <t>来源页237；校验incomplete</t>
        </is>
      </c>
      <c r="L3529" s="43">
        <f>A3529</f>
        <v/>
      </c>
      <c r="M3529" s="81" t="n"/>
      <c r="N3529" s="81" t="n"/>
      <c r="O3529" s="81" t="n"/>
      <c r="P3529" s="81" t="n"/>
      <c r="Q3529" s="81" t="n"/>
      <c r="R3529" s="81" t="n"/>
      <c r="S3529" s="81" t="n"/>
      <c r="T3529" s="81" t="n"/>
      <c r="U3529" s="81" t="n"/>
      <c r="V3529" s="81" t="n"/>
      <c r="W3529" s="43" t="n"/>
    </row>
    <row r="3530">
      <c r="A3530" s="43" t="inlineStr"/>
      <c r="B3530" s="43" t="inlineStr"/>
      <c r="C3530" s="43" t="inlineStr"/>
      <c r="D3530" s="43" t="inlineStr">
        <is>
          <t>Q355D</t>
        </is>
      </c>
      <c r="E3530" s="43" t="n"/>
      <c r="F3530" s="43" t="n"/>
      <c r="G3530" s="43" t="n">
        <v>12</v>
      </c>
      <c r="H3530" s="79">
        <f>(E3530/1000)*(F3530/1000)*(G3530/1000)*7850</f>
        <v/>
      </c>
      <c r="I3530" s="43" t="n"/>
      <c r="J3530" s="80">
        <f>H3530*I3530</f>
        <v/>
      </c>
      <c r="K3530" s="43" t="inlineStr">
        <is>
          <t>来源页237；校验incomplete</t>
        </is>
      </c>
      <c r="L3530" s="43">
        <f>A3530</f>
        <v/>
      </c>
      <c r="M3530" s="81" t="n"/>
      <c r="N3530" s="81" t="n"/>
      <c r="O3530" s="81" t="n"/>
      <c r="P3530" s="81" t="n"/>
      <c r="Q3530" s="81" t="n"/>
      <c r="R3530" s="81" t="n"/>
      <c r="S3530" s="81" t="n"/>
      <c r="T3530" s="81" t="n"/>
      <c r="U3530" s="81" t="n"/>
      <c r="V3530" s="81" t="n"/>
      <c r="W3530" s="43" t="n"/>
    </row>
    <row r="3531">
      <c r="A3531" s="43" t="inlineStr"/>
      <c r="B3531" s="43" t="inlineStr"/>
      <c r="C3531" s="43" t="inlineStr"/>
      <c r="D3531" s="43" t="inlineStr">
        <is>
          <t>Q355D</t>
        </is>
      </c>
      <c r="E3531" s="43" t="n"/>
      <c r="F3531" s="43" t="n"/>
      <c r="G3531" s="43" t="n">
        <v>10</v>
      </c>
      <c r="H3531" s="79">
        <f>(E3531/1000)*(F3531/1000)*(G3531/1000)*7850</f>
        <v/>
      </c>
      <c r="I3531" s="43" t="n"/>
      <c r="J3531" s="80">
        <f>H3531*I3531</f>
        <v/>
      </c>
      <c r="K3531" s="43" t="inlineStr">
        <is>
          <t>来源页237；校验incomplete</t>
        </is>
      </c>
      <c r="L3531" s="43">
        <f>A3531</f>
        <v/>
      </c>
      <c r="M3531" s="81" t="n"/>
      <c r="N3531" s="81" t="n"/>
      <c r="O3531" s="81" t="n"/>
      <c r="P3531" s="81" t="n"/>
      <c r="Q3531" s="81" t="n"/>
      <c r="R3531" s="81" t="n"/>
      <c r="S3531" s="81" t="n"/>
      <c r="T3531" s="81" t="n"/>
      <c r="U3531" s="81" t="n"/>
      <c r="V3531" s="81" t="n"/>
      <c r="W3531" s="43" t="n"/>
    </row>
    <row r="3532">
      <c r="A3532" s="43" t="inlineStr"/>
      <c r="B3532" s="43" t="inlineStr"/>
      <c r="C3532" s="43" t="inlineStr"/>
      <c r="D3532" s="43" t="inlineStr">
        <is>
          <t>Q355D</t>
        </is>
      </c>
      <c r="E3532" s="43" t="n"/>
      <c r="F3532" s="43" t="n"/>
      <c r="G3532" s="43" t="n">
        <v>8</v>
      </c>
      <c r="H3532" s="79">
        <f>(E3532/1000)*(F3532/1000)*(G3532/1000)*7850</f>
        <v/>
      </c>
      <c r="I3532" s="43" t="n"/>
      <c r="J3532" s="80">
        <f>H3532*I3532</f>
        <v/>
      </c>
      <c r="K3532" s="43" t="inlineStr">
        <is>
          <t>来源页237；校验incomplete</t>
        </is>
      </c>
      <c r="L3532" s="43">
        <f>A3532</f>
        <v/>
      </c>
      <c r="M3532" s="81" t="n"/>
      <c r="N3532" s="81" t="n"/>
      <c r="O3532" s="81" t="n"/>
      <c r="P3532" s="81" t="n"/>
      <c r="Q3532" s="81" t="n"/>
      <c r="R3532" s="81" t="n"/>
      <c r="S3532" s="81" t="n"/>
      <c r="T3532" s="81" t="n"/>
      <c r="U3532" s="81" t="n"/>
      <c r="V3532" s="81" t="n"/>
      <c r="W3532" s="43" t="n"/>
    </row>
    <row r="3533">
      <c r="A3533" s="43" t="inlineStr"/>
      <c r="B3533" s="43" t="inlineStr"/>
      <c r="C3533" s="43" t="inlineStr"/>
      <c r="D3533" s="43" t="inlineStr">
        <is>
          <t>Q355D</t>
        </is>
      </c>
      <c r="E3533" s="43" t="n"/>
      <c r="F3533" s="43" t="n"/>
      <c r="G3533" s="43" t="n">
        <v>6</v>
      </c>
      <c r="H3533" s="79">
        <f>(E3533/1000)*(F3533/1000)*(G3533/1000)*7850</f>
        <v/>
      </c>
      <c r="I3533" s="43" t="n"/>
      <c r="J3533" s="80">
        <f>H3533*I3533</f>
        <v/>
      </c>
      <c r="K3533" s="43" t="inlineStr">
        <is>
          <t>来源页237；校验incomplete</t>
        </is>
      </c>
      <c r="L3533" s="43">
        <f>A3533</f>
        <v/>
      </c>
      <c r="M3533" s="81" t="n"/>
      <c r="N3533" s="81" t="n"/>
      <c r="O3533" s="81" t="n"/>
      <c r="P3533" s="81" t="n"/>
      <c r="Q3533" s="81" t="n"/>
      <c r="R3533" s="81" t="n"/>
      <c r="S3533" s="81" t="n"/>
      <c r="T3533" s="81" t="n"/>
      <c r="U3533" s="81" t="n"/>
      <c r="V3533" s="81" t="n"/>
      <c r="W3533" s="43" t="n"/>
    </row>
    <row r="3534">
      <c r="A3534" s="43" t="inlineStr"/>
      <c r="B3534" s="43" t="inlineStr"/>
      <c r="C3534" s="43" t="inlineStr"/>
      <c r="D3534" s="43" t="inlineStr">
        <is>
          <t>Q355D</t>
        </is>
      </c>
      <c r="E3534" s="43" t="n"/>
      <c r="F3534" s="43" t="n"/>
      <c r="G3534" s="43" t="n">
        <v>4</v>
      </c>
      <c r="H3534" s="79">
        <f>(E3534/1000)*(F3534/1000)*(G3534/1000)*7850</f>
        <v/>
      </c>
      <c r="I3534" s="43" t="n"/>
      <c r="J3534" s="80">
        <f>H3534*I3534</f>
        <v/>
      </c>
      <c r="K3534" s="43" t="inlineStr">
        <is>
          <t>来源页237；校验incomplete</t>
        </is>
      </c>
      <c r="L3534" s="43">
        <f>A3534</f>
        <v/>
      </c>
      <c r="M3534" s="81" t="n"/>
      <c r="N3534" s="81" t="n"/>
      <c r="O3534" s="81" t="n"/>
      <c r="P3534" s="81" t="n"/>
      <c r="Q3534" s="81" t="n"/>
      <c r="R3534" s="81" t="n"/>
      <c r="S3534" s="81" t="n"/>
      <c r="T3534" s="81" t="n"/>
      <c r="U3534" s="81" t="n"/>
      <c r="V3534" s="81" t="n"/>
      <c r="W3534" s="43" t="n"/>
    </row>
    <row r="3535">
      <c r="A3535" s="43" t="inlineStr"/>
      <c r="B3535" s="43" t="inlineStr"/>
      <c r="C3535" s="43" t="inlineStr"/>
      <c r="D3535" s="43" t="inlineStr">
        <is>
          <t>Q355D</t>
        </is>
      </c>
      <c r="E3535" s="43" t="n"/>
      <c r="F3535" s="43" t="n"/>
      <c r="G3535" s="43" t="n"/>
      <c r="H3535" s="79">
        <f>(E3535/1000)*(F3535/1000)*(G3535/1000)*7850</f>
        <v/>
      </c>
      <c r="I3535" s="43" t="n"/>
      <c r="J3535" s="80">
        <f>H3535*I3535</f>
        <v/>
      </c>
      <c r="K3535" s="43" t="inlineStr">
        <is>
          <t>来源页237；校验incomplete</t>
        </is>
      </c>
      <c r="L3535" s="43">
        <f>A3535</f>
        <v/>
      </c>
      <c r="M3535" s="81" t="n"/>
      <c r="N3535" s="81" t="n"/>
      <c r="O3535" s="81" t="n"/>
      <c r="P3535" s="81" t="n"/>
      <c r="Q3535" s="81" t="n"/>
      <c r="R3535" s="81" t="n"/>
      <c r="S3535" s="81" t="n"/>
      <c r="T3535" s="81" t="n"/>
      <c r="U3535" s="81" t="n"/>
      <c r="V3535" s="81" t="n"/>
      <c r="W3535" s="43" t="n"/>
    </row>
    <row r="3536">
      <c r="A3536" s="43" t="inlineStr"/>
      <c r="B3536" s="43" t="inlineStr"/>
      <c r="C3536" s="43" t="inlineStr"/>
      <c r="D3536" s="43" t="inlineStr">
        <is>
          <t>Q355D</t>
        </is>
      </c>
      <c r="E3536" s="43" t="n"/>
      <c r="F3536" s="43" t="n"/>
      <c r="G3536" s="43" t="n"/>
      <c r="H3536" s="79">
        <f>(E3536/1000)*(F3536/1000)*(G3536/1000)*7850</f>
        <v/>
      </c>
      <c r="I3536" s="43" t="n"/>
      <c r="J3536" s="80">
        <f>H3536*I3536</f>
        <v/>
      </c>
      <c r="K3536" s="43" t="inlineStr">
        <is>
          <t>来源页237；校验incomplete</t>
        </is>
      </c>
      <c r="L3536" s="43">
        <f>A3536</f>
        <v/>
      </c>
      <c r="M3536" s="81" t="n"/>
      <c r="N3536" s="81" t="n"/>
      <c r="O3536" s="81" t="n"/>
      <c r="P3536" s="81" t="n"/>
      <c r="Q3536" s="81" t="n"/>
      <c r="R3536" s="81" t="n"/>
      <c r="S3536" s="81" t="n"/>
      <c r="T3536" s="81" t="n"/>
      <c r="U3536" s="81" t="n"/>
      <c r="V3536" s="81" t="n"/>
      <c r="W3536" s="43" t="n"/>
    </row>
    <row r="3537">
      <c r="A3537" s="43" t="inlineStr"/>
      <c r="B3537" s="43" t="inlineStr"/>
      <c r="C3537" s="43" t="inlineStr"/>
      <c r="D3537" s="43" t="inlineStr">
        <is>
          <t>Q355D</t>
        </is>
      </c>
      <c r="E3537" s="43" t="n"/>
      <c r="F3537" s="43" t="n"/>
      <c r="G3537" s="43" t="n"/>
      <c r="H3537" s="79">
        <f>(E3537/1000)*(F3537/1000)*(G3537/1000)*7850</f>
        <v/>
      </c>
      <c r="I3537" s="43" t="n"/>
      <c r="J3537" s="80">
        <f>H3537*I3537</f>
        <v/>
      </c>
      <c r="K3537" s="43" t="inlineStr">
        <is>
          <t>来源页237；校验incomplete</t>
        </is>
      </c>
      <c r="L3537" s="43">
        <f>A3537</f>
        <v/>
      </c>
      <c r="M3537" s="81" t="n"/>
      <c r="N3537" s="81" t="n"/>
      <c r="O3537" s="81" t="n"/>
      <c r="P3537" s="81" t="n"/>
      <c r="Q3537" s="81" t="n"/>
      <c r="R3537" s="81" t="n"/>
      <c r="S3537" s="81" t="n"/>
      <c r="T3537" s="81" t="n"/>
      <c r="U3537" s="81" t="n"/>
      <c r="V3537" s="81" t="n"/>
      <c r="W3537" s="43" t="n"/>
    </row>
    <row r="3538">
      <c r="A3538" s="43" t="inlineStr"/>
      <c r="B3538" s="43" t="inlineStr"/>
      <c r="C3538" s="43" t="inlineStr"/>
      <c r="D3538" s="43" t="inlineStr">
        <is>
          <t>Q355D</t>
        </is>
      </c>
      <c r="E3538" s="43" t="n"/>
      <c r="F3538" s="43" t="n"/>
      <c r="G3538" s="43" t="n"/>
      <c r="H3538" s="79">
        <f>(E3538/1000)*(F3538/1000)*(G3538/1000)*7850</f>
        <v/>
      </c>
      <c r="I3538" s="43" t="n"/>
      <c r="J3538" s="80">
        <f>H3538*I3538</f>
        <v/>
      </c>
      <c r="K3538" s="43" t="inlineStr">
        <is>
          <t>来源页237；校验incomplete</t>
        </is>
      </c>
      <c r="L3538" s="43">
        <f>A3538</f>
        <v/>
      </c>
      <c r="M3538" s="81" t="n"/>
      <c r="N3538" s="81" t="n"/>
      <c r="O3538" s="81" t="n"/>
      <c r="P3538" s="81" t="n"/>
      <c r="Q3538" s="81" t="n"/>
      <c r="R3538" s="81" t="n"/>
      <c r="S3538" s="81" t="n"/>
      <c r="T3538" s="81" t="n"/>
      <c r="U3538" s="81" t="n"/>
      <c r="V3538" s="81" t="n"/>
      <c r="W3538" s="43" t="n"/>
    </row>
    <row r="3539">
      <c r="A3539" s="43" t="inlineStr"/>
      <c r="B3539" s="43" t="inlineStr"/>
      <c r="C3539" s="43" t="inlineStr"/>
      <c r="D3539" s="43" t="inlineStr">
        <is>
          <t>Q355D</t>
        </is>
      </c>
      <c r="E3539" s="43" t="n"/>
      <c r="F3539" s="43" t="n"/>
      <c r="G3539" s="43" t="n"/>
      <c r="H3539" s="79">
        <f>(E3539/1000)*(F3539/1000)*(G3539/1000)*7850</f>
        <v/>
      </c>
      <c r="I3539" s="43" t="n"/>
      <c r="J3539" s="80">
        <f>H3539*I3539</f>
        <v/>
      </c>
      <c r="K3539" s="43" t="inlineStr">
        <is>
          <t>来源页237；校验incomplete</t>
        </is>
      </c>
      <c r="L3539" s="43">
        <f>A3539</f>
        <v/>
      </c>
      <c r="M3539" s="81" t="n"/>
      <c r="N3539" s="81" t="n"/>
      <c r="O3539" s="81" t="n"/>
      <c r="P3539" s="81" t="n"/>
      <c r="Q3539" s="81" t="n"/>
      <c r="R3539" s="81" t="n"/>
      <c r="S3539" s="81" t="n"/>
      <c r="T3539" s="81" t="n"/>
      <c r="U3539" s="81" t="n"/>
      <c r="V3539" s="81" t="n"/>
      <c r="W3539" s="43" t="n"/>
    </row>
    <row r="3540">
      <c r="A3540" s="43" t="inlineStr"/>
      <c r="B3540" s="43" t="inlineStr">
        <is>
          <t>A1类桥面板</t>
        </is>
      </c>
      <c r="C3540" s="43" t="inlineStr"/>
      <c r="D3540" s="43" t="inlineStr"/>
      <c r="E3540" s="43" t="n">
        <v>9.19</v>
      </c>
      <c r="F3540" s="43" t="n">
        <v>2.68</v>
      </c>
      <c r="G3540" s="43" t="n">
        <v>0.18</v>
      </c>
      <c r="H3540" s="79">
        <f>(E3540/1000)*(F3540/1000)*(G3540/1000)*7850</f>
        <v/>
      </c>
      <c r="I3540" s="43" t="n">
        <v>404</v>
      </c>
      <c r="J3540" s="80">
        <f>H3540*I3540</f>
        <v/>
      </c>
      <c r="K3540" s="43" t="inlineStr">
        <is>
          <t>来源页244；校验incomplete</t>
        </is>
      </c>
      <c r="L3540" s="43">
        <f>A3540</f>
        <v/>
      </c>
      <c r="M3540" s="81" t="n"/>
      <c r="N3540" s="81" t="n"/>
      <c r="O3540" s="81" t="n"/>
      <c r="P3540" s="81" t="n"/>
      <c r="Q3540" s="81" t="n"/>
      <c r="R3540" s="81" t="n"/>
      <c r="S3540" s="81" t="n"/>
      <c r="T3540" s="81" t="n"/>
      <c r="U3540" s="81" t="n"/>
      <c r="V3540" s="81" t="n"/>
      <c r="W3540" s="43" t="n"/>
    </row>
    <row r="3541">
      <c r="A3541" s="43" t="inlineStr"/>
      <c r="B3541" s="43" t="inlineStr">
        <is>
          <t>A2类桥面板</t>
        </is>
      </c>
      <c r="C3541" s="43" t="inlineStr"/>
      <c r="D3541" s="43" t="inlineStr"/>
      <c r="E3541" s="43" t="n">
        <v>9.19</v>
      </c>
      <c r="F3541" s="43" t="n">
        <v>2.48</v>
      </c>
      <c r="G3541" s="43" t="n">
        <v>0.18</v>
      </c>
      <c r="H3541" s="79">
        <f>(E3541/1000)*(F3541/1000)*(G3541/1000)*7850</f>
        <v/>
      </c>
      <c r="I3541" s="43" t="n">
        <v>40</v>
      </c>
      <c r="J3541" s="80">
        <f>H3541*I3541</f>
        <v/>
      </c>
      <c r="K3541" s="43" t="inlineStr">
        <is>
          <t>来源页244；校验incomplete</t>
        </is>
      </c>
      <c r="L3541" s="43">
        <f>A3541</f>
        <v/>
      </c>
      <c r="M3541" s="81" t="n"/>
      <c r="N3541" s="81" t="n"/>
      <c r="O3541" s="81" t="n"/>
      <c r="P3541" s="81" t="n"/>
      <c r="Q3541" s="81" t="n"/>
      <c r="R3541" s="81" t="n"/>
      <c r="S3541" s="81" t="n"/>
      <c r="T3541" s="81" t="n"/>
      <c r="U3541" s="81" t="n"/>
      <c r="V3541" s="81" t="n"/>
      <c r="W3541" s="43" t="n"/>
    </row>
    <row r="3542">
      <c r="A3542" s="43" t="inlineStr"/>
      <c r="B3542" s="43" t="inlineStr">
        <is>
          <t>A3类桥面板</t>
        </is>
      </c>
      <c r="C3542" s="43" t="inlineStr"/>
      <c r="D3542" s="43" t="inlineStr"/>
      <c r="E3542" s="43" t="n">
        <v>9.19</v>
      </c>
      <c r="F3542" s="43" t="n">
        <v>2.18</v>
      </c>
      <c r="G3542" s="43" t="n">
        <v>0.18</v>
      </c>
      <c r="H3542" s="79">
        <f>(E3542/1000)*(F3542/1000)*(G3542/1000)*7850</f>
        <v/>
      </c>
      <c r="I3542" s="43" t="n">
        <v>16</v>
      </c>
      <c r="J3542" s="80">
        <f>H3542*I3542</f>
        <v/>
      </c>
      <c r="K3542" s="43" t="inlineStr">
        <is>
          <t>来源页244；校验incomplete</t>
        </is>
      </c>
      <c r="L3542" s="43">
        <f>A3542</f>
        <v/>
      </c>
      <c r="M3542" s="81" t="n"/>
      <c r="N3542" s="81" t="n"/>
      <c r="O3542" s="81" t="n"/>
      <c r="P3542" s="81" t="n"/>
      <c r="Q3542" s="81" t="n"/>
      <c r="R3542" s="81" t="n"/>
      <c r="S3542" s="81" t="n"/>
      <c r="T3542" s="81" t="n"/>
      <c r="U3542" s="81" t="n"/>
      <c r="V3542" s="81" t="n"/>
      <c r="W3542" s="43" t="n"/>
    </row>
    <row r="3543">
      <c r="A3543" s="43" t="inlineStr"/>
      <c r="B3543" s="43" t="inlineStr"/>
      <c r="C3543" s="43" t="inlineStr"/>
      <c r="D3543" s="43" t="inlineStr">
        <is>
          <t>厚度8mm</t>
        </is>
      </c>
      <c r="E3543" s="43" t="n"/>
      <c r="F3543" s="43" t="n"/>
      <c r="G3543" s="43" t="n"/>
      <c r="H3543" s="79">
        <f>(E3543/1000)*(F3543/1000)*(G3543/1000)*7850</f>
        <v/>
      </c>
      <c r="I3543" s="43" t="n">
        <v>458</v>
      </c>
      <c r="J3543" s="80">
        <f>H3543*I3543</f>
        <v/>
      </c>
      <c r="K3543" s="43" t="inlineStr">
        <is>
          <t>含腹板、柱帽；来源页313；校验incomplete</t>
        </is>
      </c>
      <c r="L3543" s="43">
        <f>A3543</f>
        <v/>
      </c>
      <c r="M3543" s="81" t="n"/>
      <c r="N3543" s="81" t="n"/>
      <c r="O3543" s="81" t="n"/>
      <c r="P3543" s="81" t="n"/>
      <c r="Q3543" s="81" t="n"/>
      <c r="R3543" s="81" t="n"/>
      <c r="S3543" s="81" t="n"/>
      <c r="T3543" s="81" t="n"/>
      <c r="U3543" s="81" t="n"/>
      <c r="V3543" s="81" t="n"/>
      <c r="W3543" s="43" t="n"/>
    </row>
    <row r="3544">
      <c r="A3544" s="43" t="inlineStr"/>
      <c r="B3544" s="43" t="inlineStr"/>
      <c r="C3544" s="43" t="inlineStr"/>
      <c r="D3544" s="43" t="inlineStr">
        <is>
          <t>405x500x22</t>
        </is>
      </c>
      <c r="E3544" s="43" t="n"/>
      <c r="F3544" s="43" t="n"/>
      <c r="G3544" s="43" t="n"/>
      <c r="H3544" s="79">
        <f>(E3544/1000)*(F3544/1000)*(G3544/1000)*7850</f>
        <v/>
      </c>
      <c r="I3544" s="43" t="n">
        <v>458</v>
      </c>
      <c r="J3544" s="80">
        <f>H3544*I3544</f>
        <v/>
      </c>
      <c r="K3544" s="43" t="inlineStr">
        <is>
          <t>来源页313；校验incomplete</t>
        </is>
      </c>
      <c r="L3544" s="43">
        <f>A3544</f>
        <v/>
      </c>
      <c r="M3544" s="81" t="n"/>
      <c r="N3544" s="81" t="n"/>
      <c r="O3544" s="81" t="n"/>
      <c r="P3544" s="81" t="n"/>
      <c r="Q3544" s="81" t="n"/>
      <c r="R3544" s="81" t="n"/>
      <c r="S3544" s="81" t="n"/>
      <c r="T3544" s="81" t="n"/>
      <c r="U3544" s="81" t="n"/>
      <c r="V3544" s="81" t="n"/>
      <c r="W3544" s="43" t="n"/>
    </row>
    <row r="3545">
      <c r="A3545" s="43" t="inlineStr"/>
      <c r="B3545" s="43" t="inlineStr"/>
      <c r="C3545" s="43" t="inlineStr"/>
      <c r="D3545" s="43" t="inlineStr">
        <is>
          <t>405x500x87</t>
        </is>
      </c>
      <c r="E3545" s="43" t="n"/>
      <c r="F3545" s="43" t="n"/>
      <c r="G3545" s="43" t="n"/>
      <c r="H3545" s="79">
        <f>(E3545/1000)*(F3545/1000)*(G3545/1000)*7850</f>
        <v/>
      </c>
      <c r="I3545" s="43" t="n">
        <v>458</v>
      </c>
      <c r="J3545" s="80">
        <f>H3545*I3545</f>
        <v/>
      </c>
      <c r="K3545" s="43" t="inlineStr">
        <is>
          <t>来源页313；校验incomplete</t>
        </is>
      </c>
      <c r="L3545" s="43">
        <f>A3545</f>
        <v/>
      </c>
      <c r="M3545" s="81" t="n"/>
      <c r="N3545" s="81" t="n"/>
      <c r="O3545" s="81" t="n"/>
      <c r="P3545" s="81" t="n"/>
      <c r="Q3545" s="81" t="n"/>
      <c r="R3545" s="81" t="n"/>
      <c r="S3545" s="81" t="n"/>
      <c r="T3545" s="81" t="n"/>
      <c r="U3545" s="81" t="n"/>
      <c r="V3545" s="81" t="n"/>
      <c r="W3545" s="43" t="n"/>
    </row>
    <row r="3546">
      <c r="A3546" s="43" t="inlineStr"/>
      <c r="B3546" s="43" t="inlineStr"/>
      <c r="C3546" s="43" t="inlineStr"/>
      <c r="D3546" s="43" t="inlineStr">
        <is>
          <t>厚度8mm</t>
        </is>
      </c>
      <c r="E3546" s="43" t="n"/>
      <c r="F3546" s="43" t="n"/>
      <c r="G3546" s="43" t="n"/>
      <c r="H3546" s="79">
        <f>(E3546/1000)*(F3546/1000)*(G3546/1000)*7850</f>
        <v/>
      </c>
      <c r="I3546" s="43" t="n">
        <v>458</v>
      </c>
      <c r="J3546" s="80">
        <f>H3546*I3546</f>
        <v/>
      </c>
      <c r="K3546" s="43" t="inlineStr">
        <is>
          <t>设立于立柱底端；来源页313；校验incomplete</t>
        </is>
      </c>
      <c r="L3546" s="43">
        <f>A3546</f>
        <v/>
      </c>
      <c r="M3546" s="81" t="n"/>
      <c r="N3546" s="81" t="n"/>
      <c r="O3546" s="81" t="n"/>
      <c r="P3546" s="81" t="n"/>
      <c r="Q3546" s="81" t="n"/>
      <c r="R3546" s="81" t="n"/>
      <c r="S3546" s="81" t="n"/>
      <c r="T3546" s="81" t="n"/>
      <c r="U3546" s="81" t="n"/>
      <c r="V3546" s="81" t="n"/>
      <c r="W3546" s="43" t="n"/>
    </row>
    <row r="3547">
      <c r="A3547" s="43" t="inlineStr"/>
      <c r="B3547" s="43" t="inlineStr"/>
      <c r="C3547" s="43" t="inlineStr"/>
      <c r="D3547" s="43" t="inlineStr">
        <is>
          <t>厚度8mm</t>
        </is>
      </c>
      <c r="E3547" s="43" t="n"/>
      <c r="F3547" s="43" t="n"/>
      <c r="G3547" s="43" t="n"/>
      <c r="H3547" s="79">
        <f>(E3547/1000)*(F3547/1000)*(G3547/1000)*7850</f>
        <v/>
      </c>
      <c r="I3547" s="43" t="n">
        <v>916</v>
      </c>
      <c r="J3547" s="80">
        <f>H3547*I3547</f>
        <v/>
      </c>
      <c r="K3547" s="43" t="inlineStr">
        <is>
          <t>设立于立柱底端；来源页313；校验incomplete</t>
        </is>
      </c>
      <c r="L3547" s="43">
        <f>A3547</f>
        <v/>
      </c>
      <c r="M3547" s="81" t="n"/>
      <c r="N3547" s="81" t="n"/>
      <c r="O3547" s="81" t="n"/>
      <c r="P3547" s="81" t="n"/>
      <c r="Q3547" s="81" t="n"/>
      <c r="R3547" s="81" t="n"/>
      <c r="S3547" s="81" t="n"/>
      <c r="T3547" s="81" t="n"/>
      <c r="U3547" s="81" t="n"/>
      <c r="V3547" s="81" t="n"/>
      <c r="W3547" s="43" t="n"/>
    </row>
    <row r="3548">
      <c r="A3548" s="43" t="inlineStr"/>
      <c r="B3548" s="43" t="inlineStr"/>
      <c r="C3548" s="43" t="inlineStr"/>
      <c r="D3548" s="43" t="inlineStr">
        <is>
          <t>厚度6mm</t>
        </is>
      </c>
      <c r="E3548" s="43" t="n"/>
      <c r="F3548" s="43" t="n"/>
      <c r="G3548" s="43" t="n"/>
      <c r="H3548" s="79">
        <f>(E3548/1000)*(F3548/1000)*(G3548/1000)*7850</f>
        <v/>
      </c>
      <c r="I3548" s="43" t="n">
        <v>458</v>
      </c>
      <c r="J3548" s="80">
        <f>H3548*I3548</f>
        <v/>
      </c>
      <c r="K3548" s="43" t="inlineStr">
        <is>
          <t>来源页313；校验incomplete</t>
        </is>
      </c>
      <c r="L3548" s="43">
        <f>A3548</f>
        <v/>
      </c>
      <c r="M3548" s="81" t="n"/>
      <c r="N3548" s="81" t="n"/>
      <c r="O3548" s="81" t="n"/>
      <c r="P3548" s="81" t="n"/>
      <c r="Q3548" s="81" t="n"/>
      <c r="R3548" s="81" t="n"/>
      <c r="S3548" s="81" t="n"/>
      <c r="T3548" s="81" t="n"/>
      <c r="U3548" s="81" t="n"/>
      <c r="V3548" s="81" t="n"/>
      <c r="W3548" s="43" t="n"/>
    </row>
    <row r="3549">
      <c r="A3549" s="43" t="inlineStr"/>
      <c r="B3549" s="43" t="inlineStr"/>
      <c r="C3549" s="43" t="inlineStr"/>
      <c r="D3549" s="43" t="inlineStr">
        <is>
          <t>厚度6mm</t>
        </is>
      </c>
      <c r="E3549" s="43" t="n"/>
      <c r="F3549" s="43" t="n"/>
      <c r="G3549" s="43" t="n"/>
      <c r="H3549" s="79">
        <f>(E3549/1000)*(F3549/1000)*(G3549/1000)*7850</f>
        <v/>
      </c>
      <c r="I3549" s="43" t="n">
        <v>458</v>
      </c>
      <c r="J3549" s="80">
        <f>H3549*I3549</f>
        <v/>
      </c>
      <c r="K3549" s="43" t="inlineStr">
        <is>
          <t>来源页313；校验incomplete</t>
        </is>
      </c>
      <c r="L3549" s="43">
        <f>A3549</f>
        <v/>
      </c>
      <c r="M3549" s="81" t="n"/>
      <c r="N3549" s="81" t="n"/>
      <c r="O3549" s="81" t="n"/>
      <c r="P3549" s="81" t="n"/>
      <c r="Q3549" s="81" t="n"/>
      <c r="R3549" s="81" t="n"/>
      <c r="S3549" s="81" t="n"/>
      <c r="T3549" s="81" t="n"/>
      <c r="U3549" s="81" t="n"/>
      <c r="V3549" s="81" t="n"/>
      <c r="W3549" s="43" t="n"/>
    </row>
    <row r="3550">
      <c r="A3550" s="43" t="inlineStr"/>
      <c r="B3550" s="43" t="inlineStr"/>
      <c r="C3550" s="43" t="inlineStr"/>
      <c r="D3550" s="43" t="inlineStr">
        <is>
          <t>厚度6mm</t>
        </is>
      </c>
      <c r="E3550" s="43" t="n"/>
      <c r="F3550" s="43" t="n"/>
      <c r="G3550" s="43" t="n"/>
      <c r="H3550" s="79">
        <f>(E3550/1000)*(F3550/1000)*(G3550/1000)*7850</f>
        <v/>
      </c>
      <c r="I3550" s="43" t="n">
        <v>458</v>
      </c>
      <c r="J3550" s="80">
        <f>H3550*I3550</f>
        <v/>
      </c>
      <c r="K3550" s="43" t="inlineStr">
        <is>
          <t>来源页313；校验incomplete</t>
        </is>
      </c>
      <c r="L3550" s="43">
        <f>A3550</f>
        <v/>
      </c>
      <c r="M3550" s="81" t="n"/>
      <c r="N3550" s="81" t="n"/>
      <c r="O3550" s="81" t="n"/>
      <c r="P3550" s="81" t="n"/>
      <c r="Q3550" s="81" t="n"/>
      <c r="R3550" s="81" t="n"/>
      <c r="S3550" s="81" t="n"/>
      <c r="T3550" s="81" t="n"/>
      <c r="U3550" s="81" t="n"/>
      <c r="V3550" s="81" t="n"/>
      <c r="W3550" s="43" t="n"/>
    </row>
    <row r="3551">
      <c r="A3551" s="43" t="inlineStr"/>
      <c r="B3551" s="43" t="inlineStr"/>
      <c r="C3551" s="43" t="inlineStr"/>
      <c r="D3551" s="43" t="inlineStr">
        <is>
          <t>厚度6mm</t>
        </is>
      </c>
      <c r="E3551" s="43" t="n"/>
      <c r="F3551" s="43" t="n"/>
      <c r="G3551" s="43" t="n"/>
      <c r="H3551" s="79">
        <f>(E3551/1000)*(F3551/1000)*(G3551/1000)*7850</f>
        <v/>
      </c>
      <c r="I3551" s="43" t="n">
        <v>458</v>
      </c>
      <c r="J3551" s="80">
        <f>H3551*I3551</f>
        <v/>
      </c>
      <c r="K3551" s="43" t="inlineStr">
        <is>
          <t>来源页313；校验incomplete</t>
        </is>
      </c>
      <c r="L3551" s="43">
        <f>A3551</f>
        <v/>
      </c>
      <c r="M3551" s="81" t="n"/>
      <c r="N3551" s="81" t="n"/>
      <c r="O3551" s="81" t="n"/>
      <c r="P3551" s="81" t="n"/>
      <c r="Q3551" s="81" t="n"/>
      <c r="R3551" s="81" t="n"/>
      <c r="S3551" s="81" t="n"/>
      <c r="T3551" s="81" t="n"/>
      <c r="U3551" s="81" t="n"/>
      <c r="V3551" s="81" t="n"/>
      <c r="W3551" s="43" t="n"/>
    </row>
    <row r="3552">
      <c r="A3552" s="43" t="inlineStr"/>
      <c r="B3552" s="43" t="inlineStr"/>
      <c r="C3552" s="43" t="inlineStr"/>
      <c r="D3552" s="43" t="inlineStr">
        <is>
          <t>Φ159x4x7490</t>
        </is>
      </c>
      <c r="E3552" s="43" t="n"/>
      <c r="F3552" s="43" t="n"/>
      <c r="G3552" s="43" t="n"/>
      <c r="H3552" s="79">
        <f>(E3552/1000)*(F3552/1000)*(G3552/1000)*7850</f>
        <v/>
      </c>
      <c r="I3552" s="43" t="n">
        <v>90</v>
      </c>
      <c r="J3552" s="80">
        <f>H3552*I3552</f>
        <v/>
      </c>
      <c r="K3552" s="43" t="inlineStr">
        <is>
          <t>含托架1 (横梁端)；来源页313；校验incomplete</t>
        </is>
      </c>
      <c r="L3552" s="43">
        <f>A3552</f>
        <v/>
      </c>
      <c r="M3552" s="81" t="n"/>
      <c r="N3552" s="81" t="n"/>
      <c r="O3552" s="81" t="n"/>
      <c r="P3552" s="81" t="n"/>
      <c r="Q3552" s="81" t="n"/>
      <c r="R3552" s="81" t="n"/>
      <c r="S3552" s="81" t="n"/>
      <c r="T3552" s="81" t="n"/>
      <c r="U3552" s="81" t="n"/>
      <c r="V3552" s="81" t="n"/>
      <c r="W3552" s="43" t="n"/>
    </row>
    <row r="3553">
      <c r="A3553" s="43" t="inlineStr"/>
      <c r="B3553" s="43" t="inlineStr"/>
      <c r="C3553" s="43" t="inlineStr"/>
      <c r="D3553" s="43" t="inlineStr">
        <is>
          <t>Φ159x6x7490</t>
        </is>
      </c>
      <c r="E3553" s="43" t="n"/>
      <c r="F3553" s="43" t="n"/>
      <c r="G3553" s="43" t="n"/>
      <c r="H3553" s="79">
        <f>(E3553/1000)*(F3553/1000)*(G3553/1000)*7850</f>
        <v/>
      </c>
      <c r="I3553" s="43" t="n">
        <v>90</v>
      </c>
      <c r="J3553" s="80">
        <f>H3553*I3553</f>
        <v/>
      </c>
      <c r="K3553" s="43" t="inlineStr">
        <is>
          <t>含托架2(横梁端)；来源页313；校验incomplete</t>
        </is>
      </c>
      <c r="L3553" s="43">
        <f>A3553</f>
        <v/>
      </c>
      <c r="M3553" s="81" t="n"/>
      <c r="N3553" s="81" t="n"/>
      <c r="O3553" s="81" t="n"/>
      <c r="P3553" s="81" t="n"/>
      <c r="Q3553" s="81" t="n"/>
      <c r="R3553" s="81" t="n"/>
      <c r="S3553" s="81" t="n"/>
      <c r="T3553" s="81" t="n"/>
      <c r="U3553" s="81" t="n"/>
      <c r="V3553" s="81" t="n"/>
      <c r="W3553" s="43" t="n"/>
    </row>
    <row r="3554">
      <c r="A3554" s="43" t="inlineStr"/>
      <c r="B3554" s="43" t="inlineStr"/>
      <c r="C3554" s="43" t="inlineStr"/>
      <c r="D3554" s="43" t="inlineStr">
        <is>
          <t>Φ159x8x7490</t>
        </is>
      </c>
      <c r="E3554" s="43" t="n"/>
      <c r="F3554" s="43" t="n"/>
      <c r="G3554" s="43" t="n"/>
      <c r="H3554" s="79">
        <f>(E3554/1000)*(F3554/1000)*(G3554/1000)*7850</f>
        <v/>
      </c>
      <c r="I3554" s="43" t="n">
        <v>90</v>
      </c>
      <c r="J3554" s="80">
        <f>H3554*I3554</f>
        <v/>
      </c>
      <c r="K3554" s="43" t="inlineStr">
        <is>
          <t>含托架3(横梁端)；来源页313；校验incomplete</t>
        </is>
      </c>
      <c r="L3554" s="43">
        <f>A3554</f>
        <v/>
      </c>
      <c r="M3554" s="81" t="n"/>
      <c r="N3554" s="81" t="n"/>
      <c r="O3554" s="81" t="n"/>
      <c r="P3554" s="81" t="n"/>
      <c r="Q3554" s="81" t="n"/>
      <c r="R3554" s="81" t="n"/>
      <c r="S3554" s="81" t="n"/>
      <c r="T3554" s="81" t="n"/>
      <c r="U3554" s="81" t="n"/>
      <c r="V3554" s="81" t="n"/>
      <c r="W3554" s="43" t="n"/>
    </row>
    <row r="3555">
      <c r="A3555" s="43" t="inlineStr"/>
      <c r="B3555" s="43" t="inlineStr"/>
      <c r="C3555" s="43" t="inlineStr"/>
      <c r="D3555" s="43" t="inlineStr">
        <is>
          <t>Φ159x8x7490</t>
        </is>
      </c>
      <c r="E3555" s="43" t="n"/>
      <c r="F3555" s="43" t="n"/>
      <c r="G3555" s="43" t="n"/>
      <c r="H3555" s="79">
        <f>(E3555/1000)*(F3555/1000)*(G3555/1000)*7850</f>
        <v/>
      </c>
      <c r="I3555" s="43" t="n">
        <v>90</v>
      </c>
      <c r="J3555" s="80">
        <f>H3555*I3555</f>
        <v/>
      </c>
      <c r="K3555" s="43" t="inlineStr">
        <is>
          <t>含托架4(横梁端)；来源页313；校验incomplete</t>
        </is>
      </c>
      <c r="L3555" s="43">
        <f>A3555</f>
        <v/>
      </c>
      <c r="M3555" s="81" t="n"/>
      <c r="N3555" s="81" t="n"/>
      <c r="O3555" s="81" t="n"/>
      <c r="P3555" s="81" t="n"/>
      <c r="Q3555" s="81" t="n"/>
      <c r="R3555" s="81" t="n"/>
      <c r="S3555" s="81" t="n"/>
      <c r="T3555" s="81" t="n"/>
      <c r="U3555" s="81" t="n"/>
      <c r="V3555" s="81" t="n"/>
      <c r="W3555" s="43" t="n"/>
    </row>
    <row r="3556">
      <c r="A3556" s="43" t="inlineStr"/>
      <c r="B3556" s="43" t="inlineStr"/>
      <c r="C3556" s="43" t="inlineStr"/>
      <c r="D3556" s="43" t="inlineStr">
        <is>
          <t>Q355C</t>
        </is>
      </c>
      <c r="E3556" s="43" t="n"/>
      <c r="F3556" s="43" t="n"/>
      <c r="G3556" s="43" t="n"/>
      <c r="H3556" s="79">
        <f>(E3556/1000)*(F3556/1000)*(G3556/1000)*7850</f>
        <v/>
      </c>
      <c r="I3556" s="43" t="n">
        <v>4</v>
      </c>
      <c r="J3556" s="80">
        <f>H3556*I3556</f>
        <v/>
      </c>
      <c r="K3556" s="43" t="inlineStr">
        <is>
          <t>含托架1 (横梁端)；来源页313；校验incomplete</t>
        </is>
      </c>
      <c r="L3556" s="43">
        <f>A3556</f>
        <v/>
      </c>
      <c r="M3556" s="81" t="n"/>
      <c r="N3556" s="81" t="n"/>
      <c r="O3556" s="81" t="n"/>
      <c r="P3556" s="81" t="n"/>
      <c r="Q3556" s="81" t="n"/>
      <c r="R3556" s="81" t="n"/>
      <c r="S3556" s="81" t="n"/>
      <c r="T3556" s="81" t="n"/>
      <c r="U3556" s="81" t="n"/>
      <c r="V3556" s="81" t="n"/>
      <c r="W3556" s="43" t="n"/>
    </row>
    <row r="3557">
      <c r="A3557" s="43" t="inlineStr"/>
      <c r="B3557" s="43" t="inlineStr"/>
      <c r="C3557" s="43" t="inlineStr"/>
      <c r="D3557" s="43" t="inlineStr">
        <is>
          <t>Φ159x6x2750</t>
        </is>
      </c>
      <c r="E3557" s="43" t="n"/>
      <c r="F3557" s="43" t="n"/>
      <c r="G3557" s="43" t="n"/>
      <c r="H3557" s="79">
        <f>(E3557/1000)*(F3557/1000)*(G3557/1000)*7850</f>
        <v/>
      </c>
      <c r="I3557" s="43" t="n">
        <v>4</v>
      </c>
      <c r="J3557" s="80">
        <f>H3557*I3557</f>
        <v/>
      </c>
      <c r="K3557" s="43" t="inlineStr">
        <is>
          <t>含托架2(横梁端)；来源页313；校验incomplete</t>
        </is>
      </c>
      <c r="L3557" s="43">
        <f>A3557</f>
        <v/>
      </c>
      <c r="M3557" s="81" t="n"/>
      <c r="N3557" s="81" t="n"/>
      <c r="O3557" s="81" t="n"/>
      <c r="P3557" s="81" t="n"/>
      <c r="Q3557" s="81" t="n"/>
      <c r="R3557" s="81" t="n"/>
      <c r="S3557" s="81" t="n"/>
      <c r="T3557" s="81" t="n"/>
      <c r="U3557" s="81" t="n"/>
      <c r="V3557" s="81" t="n"/>
      <c r="W3557" s="43" t="n"/>
    </row>
    <row r="3558">
      <c r="A3558" s="43" t="inlineStr"/>
      <c r="B3558" s="43" t="inlineStr"/>
      <c r="C3558" s="43" t="inlineStr"/>
      <c r="D3558" s="43" t="inlineStr">
        <is>
          <t>Φ159x8x2750</t>
        </is>
      </c>
      <c r="E3558" s="43" t="n"/>
      <c r="F3558" s="43" t="n"/>
      <c r="G3558" s="43" t="n"/>
      <c r="H3558" s="79">
        <f>(E3558/1000)*(F3558/1000)*(G3558/1000)*7850</f>
        <v/>
      </c>
      <c r="I3558" s="43" t="n">
        <v>4</v>
      </c>
      <c r="J3558" s="80">
        <f>H3558*I3558</f>
        <v/>
      </c>
      <c r="K3558" s="43" t="inlineStr">
        <is>
          <t>含托架3(横梁端）；来源页313；校验incomplete</t>
        </is>
      </c>
      <c r="L3558" s="43">
        <f>A3558</f>
        <v/>
      </c>
      <c r="M3558" s="81" t="n"/>
      <c r="N3558" s="81" t="n"/>
      <c r="O3558" s="81" t="n"/>
      <c r="P3558" s="81" t="n"/>
      <c r="Q3558" s="81" t="n"/>
      <c r="R3558" s="81" t="n"/>
      <c r="S3558" s="81" t="n"/>
      <c r="T3558" s="81" t="n"/>
      <c r="U3558" s="81" t="n"/>
      <c r="V3558" s="81" t="n"/>
      <c r="W3558" s="43" t="n"/>
    </row>
    <row r="3559">
      <c r="A3559" s="43" t="inlineStr"/>
      <c r="B3559" s="43" t="inlineStr"/>
      <c r="C3559" s="43" t="inlineStr"/>
      <c r="D3559" s="43" t="inlineStr">
        <is>
          <t>Φ159x8x2750</t>
        </is>
      </c>
      <c r="E3559" s="43" t="n"/>
      <c r="F3559" s="43" t="n"/>
      <c r="G3559" s="43" t="n"/>
      <c r="H3559" s="79">
        <f>(E3559/1000)*(F3559/1000)*(G3559/1000)*7850</f>
        <v/>
      </c>
      <c r="I3559" s="43" t="n">
        <v>4</v>
      </c>
      <c r="J3559" s="80">
        <f>H3559*I3559</f>
        <v/>
      </c>
      <c r="K3559" s="43" t="inlineStr">
        <is>
          <t>含托架4(横梁端)；来源页313；校验incomplete</t>
        </is>
      </c>
      <c r="L3559" s="43">
        <f>A3559</f>
        <v/>
      </c>
      <c r="M3559" s="81" t="n"/>
      <c r="N3559" s="81" t="n"/>
      <c r="O3559" s="81" t="n"/>
      <c r="P3559" s="81" t="n"/>
      <c r="Q3559" s="81" t="n"/>
      <c r="R3559" s="81" t="n"/>
      <c r="S3559" s="81" t="n"/>
      <c r="T3559" s="81" t="n"/>
      <c r="U3559" s="81" t="n"/>
      <c r="V3559" s="81" t="n"/>
      <c r="W3559" s="43" t="n"/>
    </row>
    <row r="3560">
      <c r="A3560" s="43" t="inlineStr"/>
      <c r="B3560" s="43" t="inlineStr"/>
      <c r="C3560" s="43" t="inlineStr"/>
      <c r="D3560" s="43" t="inlineStr">
        <is>
          <t>Φ146x6x500</t>
        </is>
      </c>
      <c r="E3560" s="43" t="n"/>
      <c r="F3560" s="43" t="n"/>
      <c r="G3560" s="43" t="n"/>
      <c r="H3560" s="79">
        <f>(E3560/1000)*(F3560/1000)*(G3560/1000)*7850</f>
        <v/>
      </c>
      <c r="I3560" s="43" t="n">
        <v>92</v>
      </c>
      <c r="J3560" s="80">
        <f>H3560*I3560</f>
        <v/>
      </c>
      <c r="K3560" s="43" t="inlineStr">
        <is>
          <t>来源页313；校验incomplete</t>
        </is>
      </c>
      <c r="L3560" s="43">
        <f>A3560</f>
        <v/>
      </c>
      <c r="M3560" s="81" t="n"/>
      <c r="N3560" s="81" t="n"/>
      <c r="O3560" s="81" t="n"/>
      <c r="P3560" s="81" t="n"/>
      <c r="Q3560" s="81" t="n"/>
      <c r="R3560" s="81" t="n"/>
      <c r="S3560" s="81" t="n"/>
      <c r="T3560" s="81" t="n"/>
      <c r="U3560" s="81" t="n"/>
      <c r="V3560" s="81" t="n"/>
      <c r="W3560" s="43" t="n"/>
    </row>
    <row r="3561">
      <c r="A3561" s="43" t="inlineStr"/>
      <c r="B3561" s="43" t="inlineStr"/>
      <c r="C3561" s="43" t="inlineStr"/>
      <c r="D3561" s="43" t="inlineStr">
        <is>
          <t>Φ140x9x500</t>
        </is>
      </c>
      <c r="E3561" s="43" t="n"/>
      <c r="F3561" s="43" t="n"/>
      <c r="G3561" s="43" t="n"/>
      <c r="H3561" s="79">
        <f>(E3561/1000)*(F3561/1000)*(G3561/1000)*7850</f>
        <v/>
      </c>
      <c r="I3561" s="43" t="n">
        <v>92</v>
      </c>
      <c r="J3561" s="80">
        <f>H3561*I3561</f>
        <v/>
      </c>
      <c r="K3561" s="43" t="inlineStr">
        <is>
          <t>来源页313；校验incomplete</t>
        </is>
      </c>
      <c r="L3561" s="43">
        <f>A3561</f>
        <v/>
      </c>
      <c r="M3561" s="81" t="n"/>
      <c r="N3561" s="81" t="n"/>
      <c r="O3561" s="81" t="n"/>
      <c r="P3561" s="81" t="n"/>
      <c r="Q3561" s="81" t="n"/>
      <c r="R3561" s="81" t="n"/>
      <c r="S3561" s="81" t="n"/>
      <c r="T3561" s="81" t="n"/>
      <c r="U3561" s="81" t="n"/>
      <c r="V3561" s="81" t="n"/>
      <c r="W3561" s="43" t="n"/>
    </row>
    <row r="3562">
      <c r="A3562" s="43" t="inlineStr"/>
      <c r="B3562" s="43" t="inlineStr"/>
      <c r="C3562" s="43" t="inlineStr"/>
      <c r="D3562" s="43" t="inlineStr">
        <is>
          <t>Φ133x15x500</t>
        </is>
      </c>
      <c r="E3562" s="43" t="n"/>
      <c r="F3562" s="43" t="n"/>
      <c r="G3562" s="43" t="n"/>
      <c r="H3562" s="79">
        <f>(E3562/1000)*(F3562/1000)*(G3562/1000)*7850</f>
        <v/>
      </c>
      <c r="I3562" s="43" t="n">
        <v>184</v>
      </c>
      <c r="J3562" s="80">
        <f>H3562*I3562</f>
        <v/>
      </c>
      <c r="K3562" s="43" t="inlineStr">
        <is>
          <t>来源页313；校验incomplete</t>
        </is>
      </c>
      <c r="L3562" s="43">
        <f>A3562</f>
        <v/>
      </c>
      <c r="M3562" s="81" t="n"/>
      <c r="N3562" s="81" t="n"/>
      <c r="O3562" s="81" t="n"/>
      <c r="P3562" s="81" t="n"/>
      <c r="Q3562" s="81" t="n"/>
      <c r="R3562" s="81" t="n"/>
      <c r="S3562" s="81" t="n"/>
      <c r="T3562" s="81" t="n"/>
      <c r="U3562" s="81" t="n"/>
      <c r="V3562" s="81" t="n"/>
      <c r="W3562" s="43" t="n"/>
    </row>
    <row r="3563">
      <c r="A3563" s="43" t="inlineStr"/>
      <c r="B3563" s="43" t="inlineStr"/>
      <c r="C3563" s="43" t="inlineStr"/>
      <c r="D3563" s="43" t="inlineStr">
        <is>
          <t>厚度4.5mm</t>
        </is>
      </c>
      <c r="E3563" s="43" t="n"/>
      <c r="F3563" s="43" t="n"/>
      <c r="G3563" s="43" t="n"/>
      <c r="H3563" s="79">
        <f>(E3563/1000)*(F3563/1000)*(G3563/1000)*7850</f>
        <v/>
      </c>
      <c r="I3563" s="43" t="n">
        <v>368</v>
      </c>
      <c r="J3563" s="80">
        <f>H3563*I3563</f>
        <v/>
      </c>
      <c r="K3563" s="43" t="inlineStr">
        <is>
          <t>来源页313；校验incomplete</t>
        </is>
      </c>
      <c r="L3563" s="43">
        <f>A3563</f>
        <v/>
      </c>
      <c r="M3563" s="81" t="n"/>
      <c r="N3563" s="81" t="n"/>
      <c r="O3563" s="81" t="n"/>
      <c r="P3563" s="81" t="n"/>
      <c r="Q3563" s="81" t="n"/>
      <c r="R3563" s="81" t="n"/>
      <c r="S3563" s="81" t="n"/>
      <c r="T3563" s="81" t="n"/>
      <c r="U3563" s="81" t="n"/>
      <c r="V3563" s="81" t="n"/>
      <c r="W3563" s="43" t="n"/>
    </row>
    <row r="3564">
      <c r="A3564" s="43" t="inlineStr"/>
      <c r="B3564" s="43" t="inlineStr"/>
      <c r="C3564" s="43" t="inlineStr"/>
      <c r="D3564" s="43" t="inlineStr">
        <is>
          <t>720x8x1200</t>
        </is>
      </c>
      <c r="E3564" s="43" t="n"/>
      <c r="F3564" s="43" t="n"/>
      <c r="G3564" s="43" t="n"/>
      <c r="H3564" s="79">
        <f>(E3564/1000)*(F3564/1000)*(G3564/1000)*7850</f>
        <v/>
      </c>
      <c r="I3564" s="43" t="n">
        <v>4</v>
      </c>
      <c r="J3564" s="80">
        <f>H3564*I3564</f>
        <v/>
      </c>
      <c r="K3564" s="43" t="inlineStr">
        <is>
          <t>来源页313；校验incomplete</t>
        </is>
      </c>
      <c r="L3564" s="43">
        <f>A3564</f>
        <v/>
      </c>
      <c r="M3564" s="81" t="n"/>
      <c r="N3564" s="81" t="n"/>
      <c r="O3564" s="81" t="n"/>
      <c r="P3564" s="81" t="n"/>
      <c r="Q3564" s="81" t="n"/>
      <c r="R3564" s="81" t="n"/>
      <c r="S3564" s="81" t="n"/>
      <c r="T3564" s="81" t="n"/>
      <c r="U3564" s="81" t="n"/>
      <c r="V3564" s="81" t="n"/>
      <c r="W3564" s="43" t="n"/>
    </row>
    <row r="3565">
      <c r="A3565" s="43" t="inlineStr"/>
      <c r="B3565" s="43" t="inlineStr"/>
      <c r="C3565" s="43" t="inlineStr"/>
      <c r="D3565" s="43" t="inlineStr">
        <is>
          <t>600x8x150</t>
        </is>
      </c>
      <c r="E3565" s="43" t="n"/>
      <c r="F3565" s="43" t="n"/>
      <c r="G3565" s="43" t="n"/>
      <c r="H3565" s="79">
        <f>(E3565/1000)*(F3565/1000)*(G3565/1000)*7850</f>
        <v/>
      </c>
      <c r="I3565" s="43" t="n">
        <v>458</v>
      </c>
      <c r="J3565" s="80">
        <f>H3565*I3565</f>
        <v/>
      </c>
      <c r="K3565" s="43" t="inlineStr">
        <is>
          <t>来源页313；校验incomplete</t>
        </is>
      </c>
      <c r="L3565" s="43">
        <f>A3565</f>
        <v/>
      </c>
      <c r="M3565" s="81" t="n"/>
      <c r="N3565" s="81" t="n"/>
      <c r="O3565" s="81" t="n"/>
      <c r="P3565" s="81" t="n"/>
      <c r="Q3565" s="81" t="n"/>
      <c r="R3565" s="81" t="n"/>
      <c r="S3565" s="81" t="n"/>
      <c r="T3565" s="81" t="n"/>
      <c r="U3565" s="81" t="n"/>
      <c r="V3565" s="81" t="n"/>
      <c r="W3565" s="43" t="n"/>
    </row>
    <row r="3566">
      <c r="A3566" s="43" t="inlineStr"/>
      <c r="B3566" s="43" t="inlineStr"/>
      <c r="C3566" s="43" t="inlineStr"/>
      <c r="D3566" s="43" t="inlineStr">
        <is>
          <t>464x8×142</t>
        </is>
      </c>
      <c r="E3566" s="43" t="n"/>
      <c r="F3566" s="43" t="n"/>
      <c r="G3566" s="43" t="n"/>
      <c r="H3566" s="79">
        <f>(E3566/1000)*(F3566/1000)*(G3566/1000)*7850</f>
        <v/>
      </c>
      <c r="I3566" s="43" t="n">
        <v>452</v>
      </c>
      <c r="J3566" s="80">
        <f>H3566*I3566</f>
        <v/>
      </c>
      <c r="K3566" s="43" t="inlineStr">
        <is>
          <t>来源页313；校验incomplete</t>
        </is>
      </c>
      <c r="L3566" s="43">
        <f>A3566</f>
        <v/>
      </c>
      <c r="M3566" s="81" t="n"/>
      <c r="N3566" s="81" t="n"/>
      <c r="O3566" s="81" t="n"/>
      <c r="P3566" s="81" t="n"/>
      <c r="Q3566" s="81" t="n"/>
      <c r="R3566" s="81" t="n"/>
      <c r="S3566" s="81" t="n"/>
      <c r="T3566" s="81" t="n"/>
      <c r="U3566" s="81" t="n"/>
      <c r="V3566" s="81" t="n"/>
      <c r="W3566" s="43" t="n"/>
    </row>
    <row r="3567">
      <c r="A3567" s="43" t="inlineStr"/>
      <c r="B3567" s="43" t="inlineStr"/>
      <c r="C3567" s="43" t="inlineStr"/>
      <c r="D3567" s="43" t="inlineStr">
        <is>
          <t>480x8x150</t>
        </is>
      </c>
      <c r="E3567" s="43" t="n"/>
      <c r="F3567" s="43" t="n"/>
      <c r="G3567" s="43" t="n"/>
      <c r="H3567" s="79">
        <f>(E3567/1000)*(F3567/1000)*(G3567/1000)*7850</f>
        <v/>
      </c>
      <c r="I3567" s="43" t="n">
        <v>904</v>
      </c>
      <c r="J3567" s="80">
        <f>H3567*I3567</f>
        <v/>
      </c>
      <c r="K3567" s="43" t="inlineStr">
        <is>
          <t>来源页313；校验incomplete</t>
        </is>
      </c>
      <c r="L3567" s="43">
        <f>A3567</f>
        <v/>
      </c>
      <c r="M3567" s="81" t="n"/>
      <c r="N3567" s="81" t="n"/>
      <c r="O3567" s="81" t="n"/>
      <c r="P3567" s="81" t="n"/>
      <c r="Q3567" s="81" t="n"/>
      <c r="R3567" s="81" t="n"/>
      <c r="S3567" s="81" t="n"/>
      <c r="T3567" s="81" t="n"/>
      <c r="U3567" s="81" t="n"/>
      <c r="V3567" s="81" t="n"/>
      <c r="W3567" s="43" t="n"/>
    </row>
    <row r="3568">
      <c r="A3568" s="43" t="inlineStr"/>
      <c r="B3568" s="43" t="inlineStr"/>
      <c r="C3568" s="43" t="inlineStr"/>
      <c r="D3568" s="43" t="inlineStr">
        <is>
          <t>10.9级</t>
        </is>
      </c>
      <c r="E3568" s="43" t="n"/>
      <c r="F3568" s="43" t="n"/>
      <c r="G3568" s="43" t="n"/>
      <c r="H3568" s="79">
        <f>(E3568/1000)*(F3568/1000)*(G3568/1000)*7850</f>
        <v/>
      </c>
      <c r="I3568" s="43" t="n">
        <v>3664</v>
      </c>
      <c r="J3568" s="80">
        <f>H3568*I3568</f>
        <v/>
      </c>
      <c r="K3568" s="43" t="inlineStr">
        <is>
          <t>六角头；来源页313；校验incomplete</t>
        </is>
      </c>
      <c r="L3568" s="43">
        <f>A3568</f>
        <v/>
      </c>
      <c r="M3568" s="81" t="n"/>
      <c r="N3568" s="81" t="n"/>
      <c r="O3568" s="81" t="n"/>
      <c r="P3568" s="81" t="n"/>
      <c r="Q3568" s="81" t="n"/>
      <c r="R3568" s="81" t="n"/>
      <c r="S3568" s="81" t="n"/>
      <c r="T3568" s="81" t="n"/>
      <c r="U3568" s="81" t="n"/>
      <c r="V3568" s="81" t="n"/>
      <c r="W3568" s="43" t="n"/>
    </row>
    <row r="3569">
      <c r="A3569" s="43" t="inlineStr"/>
      <c r="B3569" s="43" t="inlineStr"/>
      <c r="C3569" s="43" t="inlineStr"/>
      <c r="D3569" s="43" t="inlineStr">
        <is>
          <t>8.8级</t>
        </is>
      </c>
      <c r="E3569" s="43" t="n"/>
      <c r="F3569" s="43" t="n"/>
      <c r="G3569" s="43" t="n"/>
      <c r="H3569" s="79">
        <f>(E3569/1000)*(F3569/1000)*(G3569/1000)*7850</f>
        <v/>
      </c>
      <c r="I3569" s="43" t="n">
        <v>2748</v>
      </c>
      <c r="J3569" s="80">
        <f>H3569*I3569</f>
        <v/>
      </c>
      <c r="K3569" s="43" t="inlineStr">
        <is>
          <t>六角头；来源页313；校验incomplete</t>
        </is>
      </c>
      <c r="L3569" s="43">
        <f>A3569</f>
        <v/>
      </c>
      <c r="M3569" s="81" t="n"/>
      <c r="N3569" s="81" t="n"/>
      <c r="O3569" s="81" t="n"/>
      <c r="P3569" s="81" t="n"/>
      <c r="Q3569" s="81" t="n"/>
      <c r="R3569" s="81" t="n"/>
      <c r="S3569" s="81" t="n"/>
      <c r="T3569" s="81" t="n"/>
      <c r="U3569" s="81" t="n"/>
      <c r="V3569" s="81" t="n"/>
      <c r="W3569" s="43" t="n"/>
    </row>
    <row r="3570">
      <c r="A3570" s="43" t="inlineStr"/>
      <c r="B3570" s="43" t="inlineStr"/>
      <c r="C3570" s="43" t="inlineStr"/>
      <c r="D3570" s="43" t="inlineStr">
        <is>
          <t>8.8级</t>
        </is>
      </c>
      <c r="E3570" s="43" t="n"/>
      <c r="F3570" s="43" t="n"/>
      <c r="G3570" s="43" t="n"/>
      <c r="H3570" s="79">
        <f>(E3570/1000)*(F3570/1000)*(G3570/1000)*7850</f>
        <v/>
      </c>
      <c r="I3570" s="43" t="n">
        <v>458</v>
      </c>
      <c r="J3570" s="80">
        <f>H3570*I3570</f>
        <v/>
      </c>
      <c r="K3570" s="43" t="inlineStr">
        <is>
          <t>六角头；来源页313；校验incomplete</t>
        </is>
      </c>
      <c r="L3570" s="43">
        <f>A3570</f>
        <v/>
      </c>
      <c r="M3570" s="81" t="n"/>
      <c r="N3570" s="81" t="n"/>
      <c r="O3570" s="81" t="n"/>
      <c r="P3570" s="81" t="n"/>
      <c r="Q3570" s="81" t="n"/>
      <c r="R3570" s="81" t="n"/>
      <c r="S3570" s="81" t="n"/>
      <c r="T3570" s="81" t="n"/>
      <c r="U3570" s="81" t="n"/>
      <c r="V3570" s="81" t="n"/>
      <c r="W3570" s="43" t="n"/>
    </row>
    <row r="3571">
      <c r="A3571" s="43" t="inlineStr"/>
      <c r="B3571" s="43" t="inlineStr"/>
      <c r="C3571" s="43" t="inlineStr"/>
      <c r="D3571" s="43" t="inlineStr">
        <is>
          <t>8.8级</t>
        </is>
      </c>
      <c r="E3571" s="43" t="n"/>
      <c r="F3571" s="43" t="n"/>
      <c r="G3571" s="43" t="n"/>
      <c r="H3571" s="79">
        <f>(E3571/1000)*(F3571/1000)*(G3571/1000)*7850</f>
        <v/>
      </c>
      <c r="I3571" s="43" t="n">
        <v>1472</v>
      </c>
      <c r="J3571" s="80">
        <f>H3571*I3571</f>
        <v/>
      </c>
      <c r="K3571" s="43" t="inlineStr">
        <is>
          <t>蘑菇头；来源页313；校验incomplete</t>
        </is>
      </c>
      <c r="L3571" s="43">
        <f>A3571</f>
        <v/>
      </c>
      <c r="M3571" s="81" t="n"/>
      <c r="N3571" s="81" t="n"/>
      <c r="O3571" s="81" t="n"/>
      <c r="P3571" s="81" t="n"/>
      <c r="Q3571" s="81" t="n"/>
      <c r="R3571" s="81" t="n"/>
      <c r="S3571" s="81" t="n"/>
      <c r="T3571" s="81" t="n"/>
      <c r="U3571" s="81" t="n"/>
      <c r="V3571" s="81" t="n"/>
      <c r="W3571" s="43" t="n"/>
    </row>
    <row r="3572">
      <c r="A3572" s="43" t="inlineStr"/>
      <c r="B3572" s="43" t="inlineStr"/>
      <c r="C3572" s="43" t="inlineStr"/>
      <c r="D3572" s="43" t="inlineStr">
        <is>
          <t>氯丁橡胶</t>
        </is>
      </c>
      <c r="E3572" s="43" t="n"/>
      <c r="F3572" s="43" t="n"/>
      <c r="G3572" s="43" t="n"/>
      <c r="H3572" s="79">
        <f>(E3572/1000)*(F3572/1000)*(G3572/1000)*7850</f>
        <v/>
      </c>
      <c r="I3572" s="43" t="n">
        <v>458</v>
      </c>
      <c r="J3572" s="80">
        <f>H3572*I3572</f>
        <v/>
      </c>
      <c r="K3572" s="43" t="inlineStr">
        <is>
          <t>来源页313；校验incomplete</t>
        </is>
      </c>
      <c r="L3572" s="43">
        <f>A3572</f>
        <v/>
      </c>
      <c r="M3572" s="81" t="n"/>
      <c r="N3572" s="81" t="n"/>
      <c r="O3572" s="81" t="n"/>
      <c r="P3572" s="81" t="n"/>
      <c r="Q3572" s="81" t="n"/>
      <c r="R3572" s="81" t="n"/>
      <c r="S3572" s="81" t="n"/>
      <c r="T3572" s="81" t="n"/>
      <c r="U3572" s="81" t="n"/>
      <c r="V3572" s="81" t="n"/>
      <c r="W3572" s="43" t="n"/>
    </row>
    <row r="3573">
      <c r="A3573" s="43" t="inlineStr"/>
      <c r="B3573" s="43" t="inlineStr"/>
      <c r="C3573" s="43" t="inlineStr"/>
      <c r="D3573" s="43" t="inlineStr">
        <is>
          <t>氯丁橡胶</t>
        </is>
      </c>
      <c r="E3573" s="43" t="n"/>
      <c r="F3573" s="43" t="n"/>
      <c r="G3573" s="43" t="n"/>
      <c r="H3573" s="79">
        <f>(E3573/1000)*(F3573/1000)*(G3573/1000)*7850</f>
        <v/>
      </c>
      <c r="I3573" s="43" t="n">
        <v>458</v>
      </c>
      <c r="J3573" s="80">
        <f>H3573*I3573</f>
        <v/>
      </c>
      <c r="K3573" s="43" t="inlineStr">
        <is>
          <t>来源页313；校验incomplete</t>
        </is>
      </c>
      <c r="L3573" s="43">
        <f>A3573</f>
        <v/>
      </c>
      <c r="M3573" s="81" t="n"/>
      <c r="N3573" s="81" t="n"/>
      <c r="O3573" s="81" t="n"/>
      <c r="P3573" s="81" t="n"/>
      <c r="Q3573" s="81" t="n"/>
      <c r="R3573" s="81" t="n"/>
      <c r="S3573" s="81" t="n"/>
      <c r="T3573" s="81" t="n"/>
      <c r="U3573" s="81" t="n"/>
      <c r="V3573" s="81" t="n"/>
      <c r="W3573" s="43" t="n"/>
    </row>
    <row r="3574">
      <c r="A3574" s="43" t="inlineStr"/>
      <c r="B3574" s="43" t="inlineStr"/>
      <c r="C3574" s="43" t="inlineStr"/>
      <c r="D3574" s="43" t="inlineStr">
        <is>
          <t>氯丁橡胶</t>
        </is>
      </c>
      <c r="E3574" s="43" t="n"/>
      <c r="F3574" s="43" t="n"/>
      <c r="G3574" s="43" t="n"/>
      <c r="H3574" s="79">
        <f>(E3574/1000)*(F3574/1000)*(G3574/1000)*7850</f>
        <v/>
      </c>
      <c r="I3574" s="43" t="n">
        <v>458</v>
      </c>
      <c r="J3574" s="80">
        <f>H3574*I3574</f>
        <v/>
      </c>
      <c r="K3574" s="43" t="inlineStr">
        <is>
          <t>来源页313；校验incomplete</t>
        </is>
      </c>
      <c r="L3574" s="43">
        <f>A3574</f>
        <v/>
      </c>
      <c r="M3574" s="81" t="n"/>
      <c r="N3574" s="81" t="n"/>
      <c r="O3574" s="81" t="n"/>
      <c r="P3574" s="81" t="n"/>
      <c r="Q3574" s="81" t="n"/>
      <c r="R3574" s="81" t="n"/>
      <c r="S3574" s="81" t="n"/>
      <c r="T3574" s="81" t="n"/>
      <c r="U3574" s="81" t="n"/>
      <c r="V3574" s="81" t="n"/>
      <c r="W3574" s="43" t="n"/>
    </row>
    <row r="3575">
      <c r="A3575" s="43" t="inlineStr"/>
      <c r="B3575" s="43" t="inlineStr"/>
      <c r="C3575" s="43" t="inlineStr"/>
      <c r="D3575" s="43" t="inlineStr">
        <is>
          <t>氯丁橡胶</t>
        </is>
      </c>
      <c r="E3575" s="43" t="n"/>
      <c r="F3575" s="43" t="n"/>
      <c r="G3575" s="43" t="n"/>
      <c r="H3575" s="79">
        <f>(E3575/1000)*(F3575/1000)*(G3575/1000)*7850</f>
        <v/>
      </c>
      <c r="I3575" s="43" t="n">
        <v>458</v>
      </c>
      <c r="J3575" s="80">
        <f>H3575*I3575</f>
        <v/>
      </c>
      <c r="K3575" s="43" t="inlineStr">
        <is>
          <t>来源页313；校验incomplete</t>
        </is>
      </c>
      <c r="L3575" s="43">
        <f>A3575</f>
        <v/>
      </c>
      <c r="M3575" s="81" t="n"/>
      <c r="N3575" s="81" t="n"/>
      <c r="O3575" s="81" t="n"/>
      <c r="P3575" s="81" t="n"/>
      <c r="Q3575" s="81" t="n"/>
      <c r="R3575" s="81" t="n"/>
      <c r="S3575" s="81" t="n"/>
      <c r="T3575" s="81" t="n"/>
      <c r="U3575" s="81" t="n"/>
      <c r="V3575" s="81" t="n"/>
      <c r="W3575" s="43" t="n"/>
    </row>
    <row r="3576">
      <c r="A3576" s="43" t="inlineStr"/>
      <c r="B3576" s="43" t="inlineStr"/>
      <c r="C3576" s="43" t="inlineStr"/>
      <c r="D3576" s="43" t="inlineStr">
        <is>
          <t>氯丁橡胶</t>
        </is>
      </c>
      <c r="E3576" s="43" t="n"/>
      <c r="F3576" s="43" t="n"/>
      <c r="G3576" s="43" t="n"/>
      <c r="H3576" s="79">
        <f>(E3576/1000)*(F3576/1000)*(G3576/1000)*7850</f>
        <v/>
      </c>
      <c r="I3576" s="43" t="n">
        <v>458</v>
      </c>
      <c r="J3576" s="80">
        <f>H3576*I3576</f>
        <v/>
      </c>
      <c r="K3576" s="43" t="inlineStr">
        <is>
          <t>来源页313；校验incomplete</t>
        </is>
      </c>
      <c r="L3576" s="43">
        <f>A3576</f>
        <v/>
      </c>
      <c r="M3576" s="81" t="n"/>
      <c r="N3576" s="81" t="n"/>
      <c r="O3576" s="81" t="n"/>
      <c r="P3576" s="81" t="n"/>
      <c r="Q3576" s="81" t="n"/>
      <c r="R3576" s="81" t="n"/>
      <c r="S3576" s="81" t="n"/>
      <c r="T3576" s="81" t="n"/>
      <c r="U3576" s="81" t="n"/>
      <c r="V3576" s="81" t="n"/>
      <c r="W3576" s="43" t="n"/>
    </row>
    <row r="3577">
      <c r="A3577" s="43" t="inlineStr"/>
      <c r="B3577" s="43" t="inlineStr"/>
      <c r="C3577" s="43" t="inlineStr"/>
      <c r="D3577" s="43" t="inlineStr">
        <is>
          <t>氯丁橡胶</t>
        </is>
      </c>
      <c r="E3577" s="43" t="n"/>
      <c r="F3577" s="43" t="n"/>
      <c r="G3577" s="43" t="n"/>
      <c r="H3577" s="79">
        <f>(E3577/1000)*(F3577/1000)*(G3577/1000)*7850</f>
        <v/>
      </c>
      <c r="I3577" s="43" t="n">
        <v>184</v>
      </c>
      <c r="J3577" s="80">
        <f>H3577*I3577</f>
        <v/>
      </c>
      <c r="K3577" s="43" t="inlineStr">
        <is>
          <t>来源页313；校验incomplete</t>
        </is>
      </c>
      <c r="L3577" s="43">
        <f>A3577</f>
        <v/>
      </c>
      <c r="M3577" s="81" t="n"/>
      <c r="N3577" s="81" t="n"/>
      <c r="O3577" s="81" t="n"/>
      <c r="P3577" s="81" t="n"/>
      <c r="Q3577" s="81" t="n"/>
      <c r="R3577" s="81" t="n"/>
      <c r="S3577" s="81" t="n"/>
      <c r="T3577" s="81" t="n"/>
      <c r="U3577" s="81" t="n"/>
      <c r="V3577" s="81" t="n"/>
      <c r="W3577" s="43" t="n"/>
    </row>
    <row r="3578">
      <c r="A3578" s="43" t="inlineStr"/>
      <c r="B3578" s="43" t="inlineStr"/>
      <c r="C3578" s="43" t="inlineStr"/>
      <c r="D3578" s="43" t="inlineStr">
        <is>
          <t>氯丁橡胶</t>
        </is>
      </c>
      <c r="E3578" s="43" t="n"/>
      <c r="F3578" s="43" t="n"/>
      <c r="G3578" s="43" t="n"/>
      <c r="H3578" s="79">
        <f>(E3578/1000)*(F3578/1000)*(G3578/1000)*7850</f>
        <v/>
      </c>
      <c r="I3578" s="43" t="n">
        <v>184</v>
      </c>
      <c r="J3578" s="80">
        <f>H3578*I3578</f>
        <v/>
      </c>
      <c r="K3578" s="43" t="inlineStr">
        <is>
          <t>来源页313；校验incomplete</t>
        </is>
      </c>
      <c r="L3578" s="43">
        <f>A3578</f>
        <v/>
      </c>
      <c r="M3578" s="81" t="n"/>
      <c r="N3578" s="81" t="n"/>
      <c r="O3578" s="81" t="n"/>
      <c r="P3578" s="81" t="n"/>
      <c r="Q3578" s="81" t="n"/>
      <c r="R3578" s="81" t="n"/>
      <c r="S3578" s="81" t="n"/>
      <c r="T3578" s="81" t="n"/>
      <c r="U3578" s="81" t="n"/>
      <c r="V3578" s="81" t="n"/>
      <c r="W3578" s="43" t="n"/>
    </row>
    <row r="3579">
      <c r="A3579" s="43" t="inlineStr"/>
      <c r="B3579" s="43" t="inlineStr"/>
      <c r="C3579" s="43" t="inlineStr"/>
      <c r="D3579" s="43" t="inlineStr">
        <is>
          <t>氯丁橡胶</t>
        </is>
      </c>
      <c r="E3579" s="43" t="n"/>
      <c r="F3579" s="43" t="n"/>
      <c r="G3579" s="43" t="n"/>
      <c r="H3579" s="79">
        <f>(E3579/1000)*(F3579/1000)*(G3579/1000)*7850</f>
        <v/>
      </c>
      <c r="I3579" s="43" t="n">
        <v>368</v>
      </c>
      <c r="J3579" s="80">
        <f>H3579*I3579</f>
        <v/>
      </c>
      <c r="K3579" s="43" t="inlineStr">
        <is>
          <t>来源页313；校验incomplete</t>
        </is>
      </c>
      <c r="L3579" s="43">
        <f>A3579</f>
        <v/>
      </c>
      <c r="M3579" s="81" t="n"/>
      <c r="N3579" s="81" t="n"/>
      <c r="O3579" s="81" t="n"/>
      <c r="P3579" s="81" t="n"/>
      <c r="Q3579" s="81" t="n"/>
      <c r="R3579" s="81" t="n"/>
      <c r="S3579" s="81" t="n"/>
      <c r="T3579" s="81" t="n"/>
      <c r="U3579" s="81" t="n"/>
      <c r="V3579" s="81" t="n"/>
      <c r="W3579" s="43" t="n"/>
    </row>
    <row r="3580">
      <c r="A3580" s="43" t="inlineStr"/>
      <c r="B3580" s="43" t="inlineStr"/>
      <c r="C3580" s="43" t="inlineStr"/>
      <c r="D3580" s="43" t="inlineStr">
        <is>
          <t>氯丁橡胶</t>
        </is>
      </c>
      <c r="E3580" s="43" t="n"/>
      <c r="F3580" s="43" t="n"/>
      <c r="G3580" s="43" t="n"/>
      <c r="H3580" s="79">
        <f>(E3580/1000)*(F3580/1000)*(G3580/1000)*7850</f>
        <v/>
      </c>
      <c r="I3580" s="43" t="n">
        <v>184</v>
      </c>
      <c r="J3580" s="80">
        <f>H3580*I3580</f>
        <v/>
      </c>
      <c r="K3580" s="43" t="inlineStr">
        <is>
          <t>来源页313；校验incomplete</t>
        </is>
      </c>
      <c r="L3580" s="43">
        <f>A3580</f>
        <v/>
      </c>
      <c r="M3580" s="81" t="n"/>
      <c r="N3580" s="81" t="n"/>
      <c r="O3580" s="81" t="n"/>
      <c r="P3580" s="81" t="n"/>
      <c r="Q3580" s="81" t="n"/>
      <c r="R3580" s="81" t="n"/>
      <c r="S3580" s="81" t="n"/>
      <c r="T3580" s="81" t="n"/>
      <c r="U3580" s="81" t="n"/>
      <c r="V3580" s="81" t="n"/>
      <c r="W3580" s="43" t="n"/>
    </row>
    <row r="3581">
      <c r="A3581" s="43" t="inlineStr"/>
      <c r="B3581" s="43" t="inlineStr"/>
      <c r="C3581" s="43" t="inlineStr"/>
      <c r="D3581" s="43" t="inlineStr">
        <is>
          <t>氯丁橡胶</t>
        </is>
      </c>
      <c r="E3581" s="43" t="n"/>
      <c r="F3581" s="43" t="n"/>
      <c r="G3581" s="43" t="n"/>
      <c r="H3581" s="79">
        <f>(E3581/1000)*(F3581/1000)*(G3581/1000)*7850</f>
        <v/>
      </c>
      <c r="I3581" s="43" t="n">
        <v>184</v>
      </c>
      <c r="J3581" s="80">
        <f>H3581*I3581</f>
        <v/>
      </c>
      <c r="K3581" s="43" t="inlineStr">
        <is>
          <t>来源页313；校验incomplete</t>
        </is>
      </c>
      <c r="L3581" s="43">
        <f>A3581</f>
        <v/>
      </c>
      <c r="M3581" s="81" t="n"/>
      <c r="N3581" s="81" t="n"/>
      <c r="O3581" s="81" t="n"/>
      <c r="P3581" s="81" t="n"/>
      <c r="Q3581" s="81" t="n"/>
      <c r="R3581" s="81" t="n"/>
      <c r="S3581" s="81" t="n"/>
      <c r="T3581" s="81" t="n"/>
      <c r="U3581" s="81" t="n"/>
      <c r="V3581" s="81" t="n"/>
      <c r="W3581" s="43" t="n"/>
    </row>
    <row r="3582">
      <c r="A3582" s="43" t="inlineStr"/>
      <c r="B3582" s="43" t="inlineStr"/>
      <c r="C3582" s="43" t="inlineStr"/>
      <c r="D3582" s="43" t="inlineStr">
        <is>
          <t>氯丁橡胶</t>
        </is>
      </c>
      <c r="E3582" s="43" t="n"/>
      <c r="F3582" s="43" t="n"/>
      <c r="G3582" s="43" t="n"/>
      <c r="H3582" s="79">
        <f>(E3582/1000)*(F3582/1000)*(G3582/1000)*7850</f>
        <v/>
      </c>
      <c r="I3582" s="43" t="n">
        <v>368</v>
      </c>
      <c r="J3582" s="80">
        <f>H3582*I3582</f>
        <v/>
      </c>
      <c r="K3582" s="43" t="inlineStr">
        <is>
          <t>来源页313；校验incomplete</t>
        </is>
      </c>
      <c r="L3582" s="43">
        <f>A3582</f>
        <v/>
      </c>
      <c r="M3582" s="81" t="n"/>
      <c r="N3582" s="81" t="n"/>
      <c r="O3582" s="81" t="n"/>
      <c r="P3582" s="81" t="n"/>
      <c r="Q3582" s="81" t="n"/>
      <c r="R3582" s="81" t="n"/>
      <c r="S3582" s="81" t="n"/>
      <c r="T3582" s="81" t="n"/>
      <c r="U3582" s="81" t="n"/>
      <c r="V3582" s="81" t="n"/>
      <c r="W3582" s="43" t="n"/>
    </row>
    <row r="3583">
      <c r="A3583" s="43" t="inlineStr"/>
      <c r="B3583" s="43" t="inlineStr"/>
      <c r="C3583" s="43" t="inlineStr"/>
      <c r="D3583" s="43" t="inlineStr">
        <is>
          <t>厚度8mm</t>
        </is>
      </c>
      <c r="E3583" s="43" t="n"/>
      <c r="F3583" s="43" t="n"/>
      <c r="G3583" s="43" t="n"/>
      <c r="H3583" s="79">
        <f>(E3583/1000)*(F3583/1000)*(G3583/1000)*7850</f>
        <v/>
      </c>
      <c r="I3583" s="43" t="n">
        <v>458</v>
      </c>
      <c r="J3583" s="80">
        <f>H3583*I3583</f>
        <v/>
      </c>
      <c r="K3583" s="43" t="inlineStr">
        <is>
          <t>含腹板、柱帽；来源页313；校验incomplete</t>
        </is>
      </c>
      <c r="L3583" s="43">
        <f>A3583</f>
        <v/>
      </c>
      <c r="M3583" s="81" t="n"/>
      <c r="N3583" s="81" t="n"/>
      <c r="O3583" s="81" t="n"/>
      <c r="P3583" s="81" t="n"/>
      <c r="Q3583" s="81" t="n"/>
      <c r="R3583" s="81" t="n"/>
      <c r="S3583" s="81" t="n"/>
      <c r="T3583" s="81" t="n"/>
      <c r="U3583" s="81" t="n"/>
      <c r="V3583" s="81" t="n"/>
      <c r="W3583" s="43" t="n"/>
    </row>
    <row r="3584">
      <c r="A3584" s="43" t="inlineStr"/>
      <c r="B3584" s="43" t="inlineStr"/>
      <c r="C3584" s="43" t="inlineStr"/>
      <c r="D3584" s="43" t="inlineStr">
        <is>
          <t>405x500x22</t>
        </is>
      </c>
      <c r="E3584" s="43" t="n"/>
      <c r="F3584" s="43" t="n"/>
      <c r="G3584" s="43" t="n"/>
      <c r="H3584" s="79">
        <f>(E3584/1000)*(F3584/1000)*(G3584/1000)*7850</f>
        <v/>
      </c>
      <c r="I3584" s="43" t="n">
        <v>458</v>
      </c>
      <c r="J3584" s="80">
        <f>H3584*I3584</f>
        <v/>
      </c>
      <c r="K3584" s="43" t="inlineStr">
        <is>
          <t>来源页313；校验incomplete</t>
        </is>
      </c>
      <c r="L3584" s="43">
        <f>A3584</f>
        <v/>
      </c>
      <c r="M3584" s="81" t="n"/>
      <c r="N3584" s="81" t="n"/>
      <c r="O3584" s="81" t="n"/>
      <c r="P3584" s="81" t="n"/>
      <c r="Q3584" s="81" t="n"/>
      <c r="R3584" s="81" t="n"/>
      <c r="S3584" s="81" t="n"/>
      <c r="T3584" s="81" t="n"/>
      <c r="U3584" s="81" t="n"/>
      <c r="V3584" s="81" t="n"/>
      <c r="W3584" s="43" t="n"/>
    </row>
    <row r="3585">
      <c r="A3585" s="43" t="inlineStr"/>
      <c r="B3585" s="43" t="inlineStr"/>
      <c r="C3585" s="43" t="inlineStr"/>
      <c r="D3585" s="43" t="inlineStr">
        <is>
          <t>405x500x20</t>
        </is>
      </c>
      <c r="E3585" s="43" t="n"/>
      <c r="F3585" s="43" t="n"/>
      <c r="G3585" s="43" t="n"/>
      <c r="H3585" s="79">
        <f>(E3585/1000)*(F3585/1000)*(G3585/1000)*7850</f>
        <v/>
      </c>
      <c r="I3585" s="43" t="n">
        <v>458</v>
      </c>
      <c r="J3585" s="80">
        <f>H3585*I3585</f>
        <v/>
      </c>
      <c r="K3585" s="43" t="inlineStr">
        <is>
          <t>来源页313；校验incomplete</t>
        </is>
      </c>
      <c r="L3585" s="43">
        <f>A3585</f>
        <v/>
      </c>
      <c r="M3585" s="81" t="n"/>
      <c r="N3585" s="81" t="n"/>
      <c r="O3585" s="81" t="n"/>
      <c r="P3585" s="81" t="n"/>
      <c r="Q3585" s="81" t="n"/>
      <c r="R3585" s="81" t="n"/>
      <c r="S3585" s="81" t="n"/>
      <c r="T3585" s="81" t="n"/>
      <c r="U3585" s="81" t="n"/>
      <c r="V3585" s="81" t="n"/>
      <c r="W3585" s="43" t="n"/>
    </row>
    <row r="3586">
      <c r="A3586" s="43" t="inlineStr"/>
      <c r="B3586" s="43" t="inlineStr"/>
      <c r="C3586" s="43" t="inlineStr"/>
      <c r="D3586" s="43" t="inlineStr">
        <is>
          <t>厚度8mm</t>
        </is>
      </c>
      <c r="E3586" s="43" t="n"/>
      <c r="F3586" s="43" t="n"/>
      <c r="G3586" s="43" t="n"/>
      <c r="H3586" s="79">
        <f>(E3586/1000)*(F3586/1000)*(G3586/1000)*7850</f>
        <v/>
      </c>
      <c r="I3586" s="43" t="n">
        <v>916</v>
      </c>
      <c r="J3586" s="80">
        <f>H3586*I3586</f>
        <v/>
      </c>
      <c r="K3586" s="43" t="inlineStr">
        <is>
          <t>设立于立柱底端；来源页313；校验incomplete</t>
        </is>
      </c>
      <c r="L3586" s="43">
        <f>A3586</f>
        <v/>
      </c>
      <c r="M3586" s="81" t="n"/>
      <c r="N3586" s="81" t="n"/>
      <c r="O3586" s="81" t="n"/>
      <c r="P3586" s="81" t="n"/>
      <c r="Q3586" s="81" t="n"/>
      <c r="R3586" s="81" t="n"/>
      <c r="S3586" s="81" t="n"/>
      <c r="T3586" s="81" t="n"/>
      <c r="U3586" s="81" t="n"/>
      <c r="V3586" s="81" t="n"/>
      <c r="W3586" s="43" t="n"/>
    </row>
    <row r="3587">
      <c r="A3587" s="43" t="inlineStr"/>
      <c r="B3587" s="43" t="inlineStr"/>
      <c r="C3587" s="43" t="inlineStr"/>
      <c r="D3587" s="43" t="inlineStr">
        <is>
          <t>厚度8mm</t>
        </is>
      </c>
      <c r="E3587" s="43" t="n"/>
      <c r="F3587" s="43" t="n"/>
      <c r="G3587" s="43" t="n"/>
      <c r="H3587" s="79">
        <f>(E3587/1000)*(F3587/1000)*(G3587/1000)*7850</f>
        <v/>
      </c>
      <c r="I3587" s="43" t="n">
        <v>2748</v>
      </c>
      <c r="J3587" s="80">
        <f>H3587*I3587</f>
        <v/>
      </c>
      <c r="K3587" s="43" t="inlineStr">
        <is>
          <t>设立于立柱底端；来源页313；校验incomplete</t>
        </is>
      </c>
      <c r="L3587" s="43">
        <f>A3587</f>
        <v/>
      </c>
      <c r="M3587" s="81" t="n"/>
      <c r="N3587" s="81" t="n"/>
      <c r="O3587" s="81" t="n"/>
      <c r="P3587" s="81" t="n"/>
      <c r="Q3587" s="81" t="n"/>
      <c r="R3587" s="81" t="n"/>
      <c r="S3587" s="81" t="n"/>
      <c r="T3587" s="81" t="n"/>
      <c r="U3587" s="81" t="n"/>
      <c r="V3587" s="81" t="n"/>
      <c r="W3587" s="43" t="n"/>
    </row>
    <row r="3588">
      <c r="A3588" s="43" t="inlineStr"/>
      <c r="B3588" s="43" t="inlineStr"/>
      <c r="C3588" s="43" t="inlineStr"/>
      <c r="D3588" s="43" t="inlineStr">
        <is>
          <t>厚度8mm</t>
        </is>
      </c>
      <c r="E3588" s="43" t="n"/>
      <c r="F3588" s="43" t="n"/>
      <c r="G3588" s="43" t="n"/>
      <c r="H3588" s="79">
        <f>(E3588/1000)*(F3588/1000)*(G3588/1000)*7850</f>
        <v/>
      </c>
      <c r="I3588" s="43" t="n">
        <v>458</v>
      </c>
      <c r="J3588" s="80">
        <f>H3588*I3588</f>
        <v/>
      </c>
      <c r="K3588" s="43" t="inlineStr">
        <is>
          <t>来源页313；校验incomplete</t>
        </is>
      </c>
      <c r="L3588" s="43">
        <f>A3588</f>
        <v/>
      </c>
      <c r="M3588" s="81" t="n"/>
      <c r="N3588" s="81" t="n"/>
      <c r="O3588" s="81" t="n"/>
      <c r="P3588" s="81" t="n"/>
      <c r="Q3588" s="81" t="n"/>
      <c r="R3588" s="81" t="n"/>
      <c r="S3588" s="81" t="n"/>
      <c r="T3588" s="81" t="n"/>
      <c r="U3588" s="81" t="n"/>
      <c r="V3588" s="81" t="n"/>
      <c r="W3588" s="43" t="n"/>
    </row>
    <row r="3589">
      <c r="A3589" s="43" t="inlineStr"/>
      <c r="B3589" s="43" t="inlineStr"/>
      <c r="C3589" s="43" t="inlineStr"/>
      <c r="D3589" s="43" t="inlineStr">
        <is>
          <t>厚度8mm</t>
        </is>
      </c>
      <c r="E3589" s="43" t="n"/>
      <c r="F3589" s="43" t="n"/>
      <c r="G3589" s="43" t="n"/>
      <c r="H3589" s="79">
        <f>(E3589/1000)*(F3589/1000)*(G3589/1000)*7850</f>
        <v/>
      </c>
      <c r="I3589" s="43" t="n">
        <v>458</v>
      </c>
      <c r="J3589" s="80">
        <f>H3589*I3589</f>
        <v/>
      </c>
      <c r="K3589" s="43" t="inlineStr">
        <is>
          <t>来源页313；校验incomplete</t>
        </is>
      </c>
      <c r="L3589" s="43">
        <f>A3589</f>
        <v/>
      </c>
      <c r="M3589" s="81" t="n"/>
      <c r="N3589" s="81" t="n"/>
      <c r="O3589" s="81" t="n"/>
      <c r="P3589" s="81" t="n"/>
      <c r="Q3589" s="81" t="n"/>
      <c r="R3589" s="81" t="n"/>
      <c r="S3589" s="81" t="n"/>
      <c r="T3589" s="81" t="n"/>
      <c r="U3589" s="81" t="n"/>
      <c r="V3589" s="81" t="n"/>
      <c r="W3589" s="43" t="n"/>
    </row>
    <row r="3590">
      <c r="A3590" s="43" t="inlineStr"/>
      <c r="B3590" s="43" t="inlineStr"/>
      <c r="C3590" s="43" t="inlineStr"/>
      <c r="D3590" s="43" t="inlineStr">
        <is>
          <t>厚度8mm</t>
        </is>
      </c>
      <c r="E3590" s="43" t="n"/>
      <c r="F3590" s="43" t="n"/>
      <c r="G3590" s="43" t="n"/>
      <c r="H3590" s="79">
        <f>(E3590/1000)*(F3590/1000)*(G3590/1000)*7850</f>
        <v/>
      </c>
      <c r="I3590" s="43" t="n">
        <v>458</v>
      </c>
      <c r="J3590" s="80">
        <f>H3590*I3590</f>
        <v/>
      </c>
      <c r="K3590" s="43" t="inlineStr">
        <is>
          <t>来源页313；校验incomplete</t>
        </is>
      </c>
      <c r="L3590" s="43">
        <f>A3590</f>
        <v/>
      </c>
      <c r="M3590" s="81" t="n"/>
      <c r="N3590" s="81" t="n"/>
      <c r="O3590" s="81" t="n"/>
      <c r="P3590" s="81" t="n"/>
      <c r="Q3590" s="81" t="n"/>
      <c r="R3590" s="81" t="n"/>
      <c r="S3590" s="81" t="n"/>
      <c r="T3590" s="81" t="n"/>
      <c r="U3590" s="81" t="n"/>
      <c r="V3590" s="81" t="n"/>
      <c r="W3590" s="43" t="n"/>
    </row>
    <row r="3591">
      <c r="A3591" s="43" t="inlineStr"/>
      <c r="B3591" s="43" t="inlineStr"/>
      <c r="C3591" s="43" t="inlineStr"/>
      <c r="D3591" s="43" t="inlineStr">
        <is>
          <t>厚度8mm</t>
        </is>
      </c>
      <c r="E3591" s="43" t="n"/>
      <c r="F3591" s="43" t="n"/>
      <c r="G3591" s="43" t="n"/>
      <c r="H3591" s="79">
        <f>(E3591/1000)*(F3591/1000)*(G3591/1000)*7850</f>
        <v/>
      </c>
      <c r="I3591" s="43" t="n">
        <v>458</v>
      </c>
      <c r="J3591" s="80">
        <f>H3591*I3591</f>
        <v/>
      </c>
      <c r="K3591" s="43" t="inlineStr">
        <is>
          <t>来源页313；校验incomplete</t>
        </is>
      </c>
      <c r="L3591" s="43">
        <f>A3591</f>
        <v/>
      </c>
      <c r="M3591" s="81" t="n"/>
      <c r="N3591" s="81" t="n"/>
      <c r="O3591" s="81" t="n"/>
      <c r="P3591" s="81" t="n"/>
      <c r="Q3591" s="81" t="n"/>
      <c r="R3591" s="81" t="n"/>
      <c r="S3591" s="81" t="n"/>
      <c r="T3591" s="81" t="n"/>
      <c r="U3591" s="81" t="n"/>
      <c r="V3591" s="81" t="n"/>
      <c r="W3591" s="43" t="n"/>
    </row>
    <row r="3592">
      <c r="A3592" s="43" t="inlineStr"/>
      <c r="B3592" s="43" t="inlineStr"/>
      <c r="C3592" s="43" t="inlineStr"/>
      <c r="D3592" s="43" t="inlineStr">
        <is>
          <t>Q550</t>
        </is>
      </c>
      <c r="E3592" s="43" t="n"/>
      <c r="F3592" s="43" t="n"/>
      <c r="G3592" s="43" t="n"/>
      <c r="H3592" s="79">
        <f>(E3592/1000)*(F3592/1000)*(G3592/1000)*7850</f>
        <v/>
      </c>
      <c r="I3592" s="43" t="n">
        <v>90</v>
      </c>
      <c r="J3592" s="80">
        <f>H3592*I3592</f>
        <v/>
      </c>
      <c r="K3592" s="43" t="inlineStr">
        <is>
          <t>含托架1 (横梁端)；来源页313；校验incomplete</t>
        </is>
      </c>
      <c r="L3592" s="43">
        <f>A3592</f>
        <v/>
      </c>
      <c r="M3592" s="81" t="n"/>
      <c r="N3592" s="81" t="n"/>
      <c r="O3592" s="81" t="n"/>
      <c r="P3592" s="81" t="n"/>
      <c r="Q3592" s="81" t="n"/>
      <c r="R3592" s="81" t="n"/>
      <c r="S3592" s="81" t="n"/>
      <c r="T3592" s="81" t="n"/>
      <c r="U3592" s="81" t="n"/>
      <c r="V3592" s="81" t="n"/>
      <c r="W3592" s="43" t="n"/>
    </row>
    <row r="3593">
      <c r="A3593" s="43" t="inlineStr"/>
      <c r="B3593" s="43" t="inlineStr"/>
      <c r="C3593" s="43" t="inlineStr"/>
      <c r="D3593" s="43" t="inlineStr">
        <is>
          <t>Φ159x4x7490</t>
        </is>
      </c>
      <c r="E3593" s="43" t="n"/>
      <c r="F3593" s="43" t="n"/>
      <c r="G3593" s="43" t="n"/>
      <c r="H3593" s="79">
        <f>(E3593/1000)*(F3593/1000)*(G3593/1000)*7850</f>
        <v/>
      </c>
      <c r="I3593" s="43" t="n">
        <v>90</v>
      </c>
      <c r="J3593" s="80">
        <f>H3593*I3593</f>
        <v/>
      </c>
      <c r="K3593" s="43" t="inlineStr">
        <is>
          <t>含托架2 (横梁端)；来源页313；校验incomplete</t>
        </is>
      </c>
      <c r="L3593" s="43">
        <f>A3593</f>
        <v/>
      </c>
      <c r="M3593" s="81" t="n"/>
      <c r="N3593" s="81" t="n"/>
      <c r="O3593" s="81" t="n"/>
      <c r="P3593" s="81" t="n"/>
      <c r="Q3593" s="81" t="n"/>
      <c r="R3593" s="81" t="n"/>
      <c r="S3593" s="81" t="n"/>
      <c r="T3593" s="81" t="n"/>
      <c r="U3593" s="81" t="n"/>
      <c r="V3593" s="81" t="n"/>
      <c r="W3593" s="43" t="n"/>
    </row>
    <row r="3594">
      <c r="A3594" s="43" t="inlineStr"/>
      <c r="B3594" s="43" t="inlineStr"/>
      <c r="C3594" s="43" t="inlineStr"/>
      <c r="D3594" s="43" t="inlineStr">
        <is>
          <t>Φ159x8x7490</t>
        </is>
      </c>
      <c r="E3594" s="43" t="n"/>
      <c r="F3594" s="43" t="n"/>
      <c r="G3594" s="43" t="n"/>
      <c r="H3594" s="79">
        <f>(E3594/1000)*(F3594/1000)*(G3594/1000)*7850</f>
        <v/>
      </c>
      <c r="I3594" s="43" t="n">
        <v>90</v>
      </c>
      <c r="J3594" s="80">
        <f>H3594*I3594</f>
        <v/>
      </c>
      <c r="K3594" s="43" t="inlineStr">
        <is>
          <t>含托架3(横梁端)；来源页313；校验incomplete</t>
        </is>
      </c>
      <c r="L3594" s="43">
        <f>A3594</f>
        <v/>
      </c>
      <c r="M3594" s="81" t="n"/>
      <c r="N3594" s="81" t="n"/>
      <c r="O3594" s="81" t="n"/>
      <c r="P3594" s="81" t="n"/>
      <c r="Q3594" s="81" t="n"/>
      <c r="R3594" s="81" t="n"/>
      <c r="S3594" s="81" t="n"/>
      <c r="T3594" s="81" t="n"/>
      <c r="U3594" s="81" t="n"/>
      <c r="V3594" s="81" t="n"/>
      <c r="W3594" s="43" t="n"/>
    </row>
    <row r="3595">
      <c r="A3595" s="43" t="inlineStr"/>
      <c r="B3595" s="43" t="inlineStr"/>
      <c r="C3595" s="43" t="inlineStr"/>
      <c r="D3595" s="43" t="inlineStr">
        <is>
          <t>Φ159x8x7490</t>
        </is>
      </c>
      <c r="E3595" s="43" t="n"/>
      <c r="F3595" s="43" t="n"/>
      <c r="G3595" s="43" t="n"/>
      <c r="H3595" s="79">
        <f>(E3595/1000)*(F3595/1000)*(G3595/1000)*7850</f>
        <v/>
      </c>
      <c r="I3595" s="43" t="n">
        <v>90</v>
      </c>
      <c r="J3595" s="80">
        <f>H3595*I3595</f>
        <v/>
      </c>
      <c r="K3595" s="43" t="inlineStr">
        <is>
          <t>含托架4(横梁端)；来源页313；校验incomplete</t>
        </is>
      </c>
      <c r="L3595" s="43">
        <f>A3595</f>
        <v/>
      </c>
      <c r="M3595" s="81" t="n"/>
      <c r="N3595" s="81" t="n"/>
      <c r="O3595" s="81" t="n"/>
      <c r="P3595" s="81" t="n"/>
      <c r="Q3595" s="81" t="n"/>
      <c r="R3595" s="81" t="n"/>
      <c r="S3595" s="81" t="n"/>
      <c r="T3595" s="81" t="n"/>
      <c r="U3595" s="81" t="n"/>
      <c r="V3595" s="81" t="n"/>
      <c r="W3595" s="43" t="n"/>
    </row>
    <row r="3596">
      <c r="A3596" s="43" t="inlineStr"/>
      <c r="B3596" s="43" t="inlineStr"/>
      <c r="C3596" s="43" t="inlineStr"/>
      <c r="D3596" s="43" t="inlineStr">
        <is>
          <t>Φ159x4x2750</t>
        </is>
      </c>
      <c r="E3596" s="43" t="n"/>
      <c r="F3596" s="43" t="n"/>
      <c r="G3596" s="43" t="n"/>
      <c r="H3596" s="79">
        <f>(E3596/1000)*(F3596/1000)*(G3596/1000)*7850</f>
        <v/>
      </c>
      <c r="I3596" s="43" t="n">
        <v>4</v>
      </c>
      <c r="J3596" s="80">
        <f>H3596*I3596</f>
        <v/>
      </c>
      <c r="K3596" s="43" t="inlineStr">
        <is>
          <t>含托架1(横梁端)；来源页313；校验incomplete</t>
        </is>
      </c>
      <c r="L3596" s="43">
        <f>A3596</f>
        <v/>
      </c>
      <c r="M3596" s="81" t="n"/>
      <c r="N3596" s="81" t="n"/>
      <c r="O3596" s="81" t="n"/>
      <c r="P3596" s="81" t="n"/>
      <c r="Q3596" s="81" t="n"/>
      <c r="R3596" s="81" t="n"/>
      <c r="S3596" s="81" t="n"/>
      <c r="T3596" s="81" t="n"/>
      <c r="U3596" s="81" t="n"/>
      <c r="V3596" s="81" t="n"/>
      <c r="W3596" s="43" t="n"/>
    </row>
    <row r="3597">
      <c r="A3597" s="43" t="inlineStr"/>
      <c r="B3597" s="43" t="inlineStr"/>
      <c r="C3597" s="43" t="inlineStr"/>
      <c r="D3597" s="43" t="inlineStr">
        <is>
          <t>Φ159x4x2750</t>
        </is>
      </c>
      <c r="E3597" s="43" t="n"/>
      <c r="F3597" s="43" t="n"/>
      <c r="G3597" s="43" t="n"/>
      <c r="H3597" s="79">
        <f>(E3597/1000)*(F3597/1000)*(G3597/1000)*7850</f>
        <v/>
      </c>
      <c r="I3597" s="43" t="n">
        <v>4</v>
      </c>
      <c r="J3597" s="80">
        <f>H3597*I3597</f>
        <v/>
      </c>
      <c r="K3597" s="43" t="inlineStr">
        <is>
          <t>含托架2（横梁端）；来源页313；校验incomplete</t>
        </is>
      </c>
      <c r="L3597" s="43">
        <f>A3597</f>
        <v/>
      </c>
      <c r="M3597" s="81" t="n"/>
      <c r="N3597" s="81" t="n"/>
      <c r="O3597" s="81" t="n"/>
      <c r="P3597" s="81" t="n"/>
      <c r="Q3597" s="81" t="n"/>
      <c r="R3597" s="81" t="n"/>
      <c r="S3597" s="81" t="n"/>
      <c r="T3597" s="81" t="n"/>
      <c r="U3597" s="81" t="n"/>
      <c r="V3597" s="81" t="n"/>
      <c r="W3597" s="43" t="n"/>
    </row>
    <row r="3598">
      <c r="A3598" s="43" t="inlineStr"/>
      <c r="B3598" s="43" t="inlineStr"/>
      <c r="C3598" s="43" t="inlineStr"/>
      <c r="D3598" s="43" t="inlineStr">
        <is>
          <t>Φ159x8x2750</t>
        </is>
      </c>
      <c r="E3598" s="43" t="n"/>
      <c r="F3598" s="43" t="n"/>
      <c r="G3598" s="43" t="n"/>
      <c r="H3598" s="79">
        <f>(E3598/1000)*(F3598/1000)*(G3598/1000)*7850</f>
        <v/>
      </c>
      <c r="I3598" s="43" t="n">
        <v>4</v>
      </c>
      <c r="J3598" s="80">
        <f>H3598*I3598</f>
        <v/>
      </c>
      <c r="K3598" s="43" t="inlineStr">
        <is>
          <t>含托架3(横梁端)；来源页313；校验incomplete</t>
        </is>
      </c>
      <c r="L3598" s="43">
        <f>A3598</f>
        <v/>
      </c>
      <c r="M3598" s="81" t="n"/>
      <c r="N3598" s="81" t="n"/>
      <c r="O3598" s="81" t="n"/>
      <c r="P3598" s="81" t="n"/>
      <c r="Q3598" s="81" t="n"/>
      <c r="R3598" s="81" t="n"/>
      <c r="S3598" s="81" t="n"/>
      <c r="T3598" s="81" t="n"/>
      <c r="U3598" s="81" t="n"/>
      <c r="V3598" s="81" t="n"/>
      <c r="W3598" s="43" t="n"/>
    </row>
    <row r="3599">
      <c r="A3599" s="43" t="inlineStr"/>
      <c r="B3599" s="43" t="inlineStr"/>
      <c r="C3599" s="43" t="inlineStr"/>
      <c r="D3599" s="43" t="inlineStr">
        <is>
          <t>Φ159x8x2750</t>
        </is>
      </c>
      <c r="E3599" s="43" t="n"/>
      <c r="F3599" s="43" t="n"/>
      <c r="G3599" s="43" t="n"/>
      <c r="H3599" s="79">
        <f>(E3599/1000)*(F3599/1000)*(G3599/1000)*7850</f>
        <v/>
      </c>
      <c r="I3599" s="43" t="n">
        <v>4</v>
      </c>
      <c r="J3599" s="80">
        <f>H3599*I3599</f>
        <v/>
      </c>
      <c r="K3599" s="43" t="inlineStr">
        <is>
          <t>含托架4(横梁端)；来源页313；校验incomplete</t>
        </is>
      </c>
      <c r="L3599" s="43">
        <f>A3599</f>
        <v/>
      </c>
      <c r="M3599" s="81" t="n"/>
      <c r="N3599" s="81" t="n"/>
      <c r="O3599" s="81" t="n"/>
      <c r="P3599" s="81" t="n"/>
      <c r="Q3599" s="81" t="n"/>
      <c r="R3599" s="81" t="n"/>
      <c r="S3599" s="81" t="n"/>
      <c r="T3599" s="81" t="n"/>
      <c r="U3599" s="81" t="n"/>
      <c r="V3599" s="81" t="n"/>
      <c r="W3599" s="43" t="n"/>
    </row>
    <row r="3600">
      <c r="A3600" s="43" t="inlineStr"/>
      <c r="B3600" s="43" t="inlineStr"/>
      <c r="C3600" s="43" t="inlineStr"/>
      <c r="D3600" s="43" t="inlineStr">
        <is>
          <t>Φ146x6x674</t>
        </is>
      </c>
      <c r="E3600" s="43" t="n"/>
      <c r="F3600" s="43" t="n"/>
      <c r="G3600" s="43" t="n"/>
      <c r="H3600" s="79">
        <f>(E3600/1000)*(F3600/1000)*(G3600/1000)*7850</f>
        <v/>
      </c>
      <c r="I3600" s="43" t="n">
        <v>184</v>
      </c>
      <c r="J3600" s="80">
        <f>H3600*I3600</f>
        <v/>
      </c>
      <c r="K3600" s="43" t="inlineStr">
        <is>
          <t>来源页313；校验incomplete</t>
        </is>
      </c>
      <c r="L3600" s="43">
        <f>A3600</f>
        <v/>
      </c>
      <c r="M3600" s="81" t="n"/>
      <c r="N3600" s="81" t="n"/>
      <c r="O3600" s="81" t="n"/>
      <c r="P3600" s="81" t="n"/>
      <c r="Q3600" s="81" t="n"/>
      <c r="R3600" s="81" t="n"/>
      <c r="S3600" s="81" t="n"/>
      <c r="T3600" s="81" t="n"/>
      <c r="U3600" s="81" t="n"/>
      <c r="V3600" s="81" t="n"/>
      <c r="W3600" s="43" t="n"/>
    </row>
    <row r="3601">
      <c r="A3601" s="43" t="inlineStr"/>
      <c r="B3601" s="43" t="inlineStr"/>
      <c r="C3601" s="43" t="inlineStr"/>
      <c r="D3601" s="43" t="inlineStr">
        <is>
          <t>Φ133x15x674</t>
        </is>
      </c>
      <c r="E3601" s="43" t="n"/>
      <c r="F3601" s="43" t="n"/>
      <c r="G3601" s="43" t="n"/>
      <c r="H3601" s="79">
        <f>(E3601/1000)*(F3601/1000)*(G3601/1000)*7850</f>
        <v/>
      </c>
      <c r="I3601" s="43" t="n">
        <v>184</v>
      </c>
      <c r="J3601" s="80">
        <f>H3601*I3601</f>
        <v/>
      </c>
      <c r="K3601" s="43" t="inlineStr">
        <is>
          <t>来源页313；校验incomplete</t>
        </is>
      </c>
      <c r="L3601" s="43">
        <f>A3601</f>
        <v/>
      </c>
      <c r="M3601" s="81" t="n"/>
      <c r="N3601" s="81" t="n"/>
      <c r="O3601" s="81" t="n"/>
      <c r="P3601" s="81" t="n"/>
      <c r="Q3601" s="81" t="n"/>
      <c r="R3601" s="81" t="n"/>
      <c r="S3601" s="81" t="n"/>
      <c r="T3601" s="81" t="n"/>
      <c r="U3601" s="81" t="n"/>
      <c r="V3601" s="81" t="n"/>
      <c r="W3601" s="43" t="n"/>
    </row>
    <row r="3602">
      <c r="A3602" s="43" t="inlineStr"/>
      <c r="B3602" s="43" t="inlineStr"/>
      <c r="C3602" s="43" t="inlineStr"/>
      <c r="D3602" s="43" t="inlineStr">
        <is>
          <t>10.9级</t>
        </is>
      </c>
      <c r="E3602" s="43" t="n"/>
      <c r="F3602" s="43" t="n"/>
      <c r="G3602" s="43" t="n"/>
      <c r="H3602" s="79">
        <f>(E3602/1000)*(F3602/1000)*(G3602/1000)*7850</f>
        <v/>
      </c>
      <c r="I3602" s="43" t="n">
        <v>1832</v>
      </c>
      <c r="J3602" s="80">
        <f>H3602*I3602</f>
        <v/>
      </c>
      <c r="K3602" s="43" t="inlineStr">
        <is>
          <t>六角头；来源页313；校验incomplete</t>
        </is>
      </c>
      <c r="L3602" s="43">
        <f>A3602</f>
        <v/>
      </c>
      <c r="M3602" s="81" t="n"/>
      <c r="N3602" s="81" t="n"/>
      <c r="O3602" s="81" t="n"/>
      <c r="P3602" s="81" t="n"/>
      <c r="Q3602" s="81" t="n"/>
      <c r="R3602" s="81" t="n"/>
      <c r="S3602" s="81" t="n"/>
      <c r="T3602" s="81" t="n"/>
      <c r="U3602" s="81" t="n"/>
      <c r="V3602" s="81" t="n"/>
      <c r="W3602" s="43" t="n"/>
    </row>
    <row r="3603">
      <c r="A3603" s="43" t="inlineStr"/>
      <c r="B3603" s="43" t="inlineStr"/>
      <c r="C3603" s="43" t="inlineStr"/>
      <c r="D3603" s="43" t="inlineStr">
        <is>
          <t>8.8级</t>
        </is>
      </c>
      <c r="E3603" s="43" t="n"/>
      <c r="F3603" s="43" t="n"/>
      <c r="G3603" s="43" t="n"/>
      <c r="H3603" s="79">
        <f>(E3603/1000)*(F3603/1000)*(G3603/1000)*7850</f>
        <v/>
      </c>
      <c r="I3603" s="43" t="n">
        <v>1832</v>
      </c>
      <c r="J3603" s="80">
        <f>H3603*I3603</f>
        <v/>
      </c>
      <c r="K3603" s="43" t="inlineStr">
        <is>
          <t>六角头；来源页313；校验incomplete</t>
        </is>
      </c>
      <c r="L3603" s="43">
        <f>A3603</f>
        <v/>
      </c>
      <c r="M3603" s="81" t="n"/>
      <c r="N3603" s="81" t="n"/>
      <c r="O3603" s="81" t="n"/>
      <c r="P3603" s="81" t="n"/>
      <c r="Q3603" s="81" t="n"/>
      <c r="R3603" s="81" t="n"/>
      <c r="S3603" s="81" t="n"/>
      <c r="T3603" s="81" t="n"/>
      <c r="U3603" s="81" t="n"/>
      <c r="V3603" s="81" t="n"/>
      <c r="W3603" s="43" t="n"/>
    </row>
    <row r="3604">
      <c r="A3604" s="43" t="inlineStr"/>
      <c r="B3604" s="43" t="inlineStr"/>
      <c r="C3604" s="43" t="inlineStr"/>
      <c r="D3604" s="43" t="inlineStr">
        <is>
          <t>8.8级</t>
        </is>
      </c>
      <c r="E3604" s="43" t="n"/>
      <c r="F3604" s="43" t="n"/>
      <c r="G3604" s="43" t="n"/>
      <c r="H3604" s="79">
        <f>(E3604/1000)*(F3604/1000)*(G3604/1000)*7850</f>
        <v/>
      </c>
      <c r="I3604" s="43" t="n">
        <v>916</v>
      </c>
      <c r="J3604" s="80">
        <f>H3604*I3604</f>
        <v/>
      </c>
      <c r="K3604" s="43" t="inlineStr">
        <is>
          <t>六角头；来源页313；校验incomplete</t>
        </is>
      </c>
      <c r="L3604" s="43">
        <f>A3604</f>
        <v/>
      </c>
      <c r="M3604" s="81" t="n"/>
      <c r="N3604" s="81" t="n"/>
      <c r="O3604" s="81" t="n"/>
      <c r="P3604" s="81" t="n"/>
      <c r="Q3604" s="81" t="n"/>
      <c r="R3604" s="81" t="n"/>
      <c r="S3604" s="81" t="n"/>
      <c r="T3604" s="81" t="n"/>
      <c r="U3604" s="81" t="n"/>
      <c r="V3604" s="81" t="n"/>
      <c r="W3604" s="43" t="n"/>
    </row>
    <row r="3605">
      <c r="A3605" s="43" t="inlineStr"/>
      <c r="B3605" s="43" t="inlineStr"/>
      <c r="C3605" s="43" t="inlineStr"/>
      <c r="D3605" s="43" t="inlineStr">
        <is>
          <t>10.9级</t>
        </is>
      </c>
      <c r="E3605" s="43" t="n"/>
      <c r="F3605" s="43" t="n"/>
      <c r="G3605" s="43" t="n"/>
      <c r="H3605" s="79">
        <f>(E3605/1000)*(F3605/1000)*(G3605/1000)*7850</f>
        <v/>
      </c>
      <c r="I3605" s="43" t="n">
        <v>2208</v>
      </c>
      <c r="J3605" s="80">
        <f>H3605*I3605</f>
        <v/>
      </c>
      <c r="K3605" s="43" t="inlineStr">
        <is>
          <t>蘑菇头；来源页313；校验incomplete</t>
        </is>
      </c>
      <c r="L3605" s="43">
        <f>A3605</f>
        <v/>
      </c>
      <c r="M3605" s="81" t="n"/>
      <c r="N3605" s="81" t="n"/>
      <c r="O3605" s="81" t="n"/>
      <c r="P3605" s="81" t="n"/>
      <c r="Q3605" s="81" t="n"/>
      <c r="R3605" s="81" t="n"/>
      <c r="S3605" s="81" t="n"/>
      <c r="T3605" s="81" t="n"/>
      <c r="U3605" s="81" t="n"/>
      <c r="V3605" s="81" t="n"/>
      <c r="W3605" s="43" t="n"/>
    </row>
    <row r="3606">
      <c r="A3606" s="43" t="inlineStr"/>
      <c r="B3606" s="43" t="inlineStr"/>
      <c r="C3606" s="43" t="inlineStr"/>
      <c r="D3606" s="43" t="inlineStr">
        <is>
          <t>HRB400</t>
        </is>
      </c>
      <c r="E3606" s="43" t="n"/>
      <c r="F3606" s="43" t="n"/>
      <c r="G3606" s="43" t="n"/>
      <c r="H3606" s="79">
        <f>(E3606/1000)*(F3606/1000)*(G3606/1000)*7850</f>
        <v/>
      </c>
      <c r="I3606" s="43" t="n">
        <v>1832</v>
      </c>
      <c r="J3606" s="80">
        <f>H3606*I3606</f>
        <v/>
      </c>
      <c r="K3606" s="43" t="inlineStr">
        <is>
          <t>来源页313；校验incomplete</t>
        </is>
      </c>
      <c r="L3606" s="43">
        <f>A3606</f>
        <v/>
      </c>
      <c r="M3606" s="81" t="n"/>
      <c r="N3606" s="81" t="n"/>
      <c r="O3606" s="81" t="n"/>
      <c r="P3606" s="81" t="n"/>
      <c r="Q3606" s="81" t="n"/>
      <c r="R3606" s="81" t="n"/>
      <c r="S3606" s="81" t="n"/>
      <c r="T3606" s="81" t="n"/>
      <c r="U3606" s="81" t="n"/>
      <c r="V3606" s="81" t="n"/>
      <c r="W3606" s="43" t="n"/>
    </row>
    <row r="3607">
      <c r="A3607" s="43" t="inlineStr"/>
      <c r="B3607" s="43" t="inlineStr"/>
      <c r="C3607" s="43" t="inlineStr"/>
      <c r="D3607" s="43" t="inlineStr">
        <is>
          <t>HRB400</t>
        </is>
      </c>
      <c r="E3607" s="43" t="n"/>
      <c r="F3607" s="43" t="n"/>
      <c r="G3607" s="43" t="n"/>
      <c r="H3607" s="79">
        <f>(E3607/1000)*(F3607/1000)*(G3607/1000)*7850</f>
        <v/>
      </c>
      <c r="I3607" s="43" t="n">
        <v>24</v>
      </c>
      <c r="J3607" s="80">
        <f>H3607*I3607</f>
        <v/>
      </c>
      <c r="K3607" s="43" t="inlineStr">
        <is>
          <t>来源页313；校验incomplete</t>
        </is>
      </c>
      <c r="L3607" s="43">
        <f>A3607</f>
        <v/>
      </c>
      <c r="M3607" s="81" t="n"/>
      <c r="N3607" s="81" t="n"/>
      <c r="O3607" s="81" t="n"/>
      <c r="P3607" s="81" t="n"/>
      <c r="Q3607" s="81" t="n"/>
      <c r="R3607" s="81" t="n"/>
      <c r="S3607" s="81" t="n"/>
      <c r="T3607" s="81" t="n"/>
      <c r="U3607" s="81" t="n"/>
      <c r="V3607" s="81" t="n"/>
      <c r="W3607" s="43" t="n"/>
    </row>
    <row r="3608">
      <c r="A3608" s="43" t="inlineStr"/>
      <c r="B3608" s="43" t="inlineStr"/>
      <c r="C3608" s="43" t="inlineStr"/>
      <c r="D3608" s="43" t="inlineStr">
        <is>
          <t>C50</t>
        </is>
      </c>
      <c r="E3608" s="43" t="n"/>
      <c r="F3608" s="43" t="n"/>
      <c r="G3608" s="43" t="n"/>
      <c r="H3608" s="79">
        <f>(E3608/1000)*(F3608/1000)*(G3608/1000)*7850</f>
        <v/>
      </c>
      <c r="I3608" s="43" t="n">
        <v>68.8</v>
      </c>
      <c r="J3608" s="80">
        <f>H3608*I3608</f>
        <v/>
      </c>
      <c r="K3608" s="43" t="inlineStr">
        <is>
          <t>来源页313；校验incomplete</t>
        </is>
      </c>
      <c r="L3608" s="43">
        <f>A3608</f>
        <v/>
      </c>
      <c r="M3608" s="81" t="n"/>
      <c r="N3608" s="81" t="n"/>
      <c r="O3608" s="81" t="n"/>
      <c r="P3608" s="81" t="n"/>
      <c r="Q3608" s="81" t="n"/>
      <c r="R3608" s="81" t="n"/>
      <c r="S3608" s="81" t="n"/>
      <c r="T3608" s="81" t="n"/>
      <c r="U3608" s="81" t="n"/>
      <c r="V3608" s="81" t="n"/>
      <c r="W3608" s="43" t="n"/>
    </row>
    <row r="3609">
      <c r="A3609" s="43" t="inlineStr"/>
      <c r="B3609" s="43" t="inlineStr"/>
      <c r="C3609" s="43" t="inlineStr"/>
      <c r="D3609" s="43" t="inlineStr">
        <is>
          <t>天然橡胶</t>
        </is>
      </c>
      <c r="E3609" s="43" t="n"/>
      <c r="F3609" s="43" t="n"/>
      <c r="G3609" s="43" t="n"/>
      <c r="H3609" s="79">
        <f>(E3609/1000)*(F3609/1000)*(G3609/1000)*7850</f>
        <v/>
      </c>
      <c r="I3609" s="43" t="n">
        <v>458</v>
      </c>
      <c r="J3609" s="80">
        <f>H3609*I3609</f>
        <v/>
      </c>
      <c r="K3609" s="43" t="inlineStr">
        <is>
          <t>来源页313；校验incomplete</t>
        </is>
      </c>
      <c r="L3609" s="43">
        <f>A3609</f>
        <v/>
      </c>
      <c r="M3609" s="81" t="n"/>
      <c r="N3609" s="81" t="n"/>
      <c r="O3609" s="81" t="n"/>
      <c r="P3609" s="81" t="n"/>
      <c r="Q3609" s="81" t="n"/>
      <c r="R3609" s="81" t="n"/>
      <c r="S3609" s="81" t="n"/>
      <c r="T3609" s="81" t="n"/>
      <c r="U3609" s="81" t="n"/>
      <c r="V3609" s="81" t="n"/>
      <c r="W3609" s="43" t="n"/>
    </row>
    <row r="3610">
      <c r="A3610" s="43" t="inlineStr"/>
      <c r="B3610" s="43" t="inlineStr"/>
      <c r="C3610" s="43" t="inlineStr"/>
      <c r="D3610" s="43" t="inlineStr">
        <is>
          <t>三元乙丙橡胶</t>
        </is>
      </c>
      <c r="E3610" s="43" t="n"/>
      <c r="F3610" s="43" t="n"/>
      <c r="G3610" s="43" t="n"/>
      <c r="H3610" s="79">
        <f>(E3610/1000)*(F3610/1000)*(G3610/1000)*7850</f>
        <v/>
      </c>
      <c r="I3610" s="43" t="n">
        <v>458</v>
      </c>
      <c r="J3610" s="80">
        <f>H3610*I3610</f>
        <v/>
      </c>
      <c r="K3610" s="43" t="inlineStr">
        <is>
          <t>来源页313；校验incomplete</t>
        </is>
      </c>
      <c r="L3610" s="43">
        <f>A3610</f>
        <v/>
      </c>
      <c r="M3610" s="81" t="n"/>
      <c r="N3610" s="81" t="n"/>
      <c r="O3610" s="81" t="n"/>
      <c r="P3610" s="81" t="n"/>
      <c r="Q3610" s="81" t="n"/>
      <c r="R3610" s="81" t="n"/>
      <c r="S3610" s="81" t="n"/>
      <c r="T3610" s="81" t="n"/>
      <c r="U3610" s="81" t="n"/>
      <c r="V3610" s="81" t="n"/>
      <c r="W3610" s="43" t="n"/>
    </row>
    <row r="3611">
      <c r="A3611" s="43" t="inlineStr"/>
      <c r="B3611" s="43" t="inlineStr"/>
      <c r="C3611" s="43" t="inlineStr"/>
      <c r="D3611" s="43" t="inlineStr">
        <is>
          <t>三元乙丙橡胶</t>
        </is>
      </c>
      <c r="E3611" s="43" t="n"/>
      <c r="F3611" s="43" t="n"/>
      <c r="G3611" s="43" t="n"/>
      <c r="H3611" s="79">
        <f>(E3611/1000)*(F3611/1000)*(G3611/1000)*7850</f>
        <v/>
      </c>
      <c r="I3611" s="43" t="n">
        <v>458</v>
      </c>
      <c r="J3611" s="80">
        <f>H3611*I3611</f>
        <v/>
      </c>
      <c r="K3611" s="43" t="inlineStr">
        <is>
          <t>来源页313；校验incomplete</t>
        </is>
      </c>
      <c r="L3611" s="43">
        <f>A3611</f>
        <v/>
      </c>
      <c r="M3611" s="81" t="n"/>
      <c r="N3611" s="81" t="n"/>
      <c r="O3611" s="81" t="n"/>
      <c r="P3611" s="81" t="n"/>
      <c r="Q3611" s="81" t="n"/>
      <c r="R3611" s="81" t="n"/>
      <c r="S3611" s="81" t="n"/>
      <c r="T3611" s="81" t="n"/>
      <c r="U3611" s="81" t="n"/>
      <c r="V3611" s="81" t="n"/>
      <c r="W3611" s="43" t="n"/>
    </row>
    <row r="3612">
      <c r="A3612" s="43" t="inlineStr"/>
      <c r="B3612" s="43" t="inlineStr"/>
      <c r="C3612" s="43" t="inlineStr"/>
      <c r="D3612" s="43" t="inlineStr">
        <is>
          <t>三元乙丙橡胶</t>
        </is>
      </c>
      <c r="E3612" s="43" t="n"/>
      <c r="F3612" s="43" t="n"/>
      <c r="G3612" s="43" t="n"/>
      <c r="H3612" s="79">
        <f>(E3612/1000)*(F3612/1000)*(G3612/1000)*7850</f>
        <v/>
      </c>
      <c r="I3612" s="43" t="n">
        <v>458</v>
      </c>
      <c r="J3612" s="80">
        <f>H3612*I3612</f>
        <v/>
      </c>
      <c r="K3612" s="43" t="inlineStr">
        <is>
          <t>来源页313；校验incomplete</t>
        </is>
      </c>
      <c r="L3612" s="43">
        <f>A3612</f>
        <v/>
      </c>
      <c r="M3612" s="81" t="n"/>
      <c r="N3612" s="81" t="n"/>
      <c r="O3612" s="81" t="n"/>
      <c r="P3612" s="81" t="n"/>
      <c r="Q3612" s="81" t="n"/>
      <c r="R3612" s="81" t="n"/>
      <c r="S3612" s="81" t="n"/>
      <c r="T3612" s="81" t="n"/>
      <c r="U3612" s="81" t="n"/>
      <c r="V3612" s="81" t="n"/>
      <c r="W3612" s="43" t="n"/>
    </row>
    <row r="3613">
      <c r="A3613" s="43" t="inlineStr"/>
      <c r="B3613" s="43" t="inlineStr"/>
      <c r="C3613" s="43" t="inlineStr"/>
      <c r="D3613" s="43" t="inlineStr">
        <is>
          <t>三元乙丙橡胶</t>
        </is>
      </c>
      <c r="E3613" s="43" t="n"/>
      <c r="F3613" s="43" t="n"/>
      <c r="G3613" s="43" t="n"/>
      <c r="H3613" s="79">
        <f>(E3613/1000)*(F3613/1000)*(G3613/1000)*7850</f>
        <v/>
      </c>
      <c r="I3613" s="43" t="n">
        <v>458</v>
      </c>
      <c r="J3613" s="80">
        <f>H3613*I3613</f>
        <v/>
      </c>
      <c r="K3613" s="43" t="inlineStr">
        <is>
          <t>来源页313；校验incomplete</t>
        </is>
      </c>
      <c r="L3613" s="43">
        <f>A3613</f>
        <v/>
      </c>
      <c r="M3613" s="81" t="n"/>
      <c r="N3613" s="81" t="n"/>
      <c r="O3613" s="81" t="n"/>
      <c r="P3613" s="81" t="n"/>
      <c r="Q3613" s="81" t="n"/>
      <c r="R3613" s="81" t="n"/>
      <c r="S3613" s="81" t="n"/>
      <c r="T3613" s="81" t="n"/>
      <c r="U3613" s="81" t="n"/>
      <c r="V3613" s="81" t="n"/>
      <c r="W3613" s="43" t="n"/>
    </row>
    <row r="3614">
      <c r="A3614" s="43" t="inlineStr"/>
      <c r="B3614" s="43" t="inlineStr"/>
      <c r="C3614" s="43" t="inlineStr"/>
      <c r="D3614" s="43" t="inlineStr">
        <is>
          <t>三元乙丙橡胶</t>
        </is>
      </c>
      <c r="E3614" s="43" t="n"/>
      <c r="F3614" s="43" t="n"/>
      <c r="G3614" s="43" t="n"/>
      <c r="H3614" s="79">
        <f>(E3614/1000)*(F3614/1000)*(G3614/1000)*7850</f>
        <v/>
      </c>
      <c r="I3614" s="43" t="n">
        <v>368</v>
      </c>
      <c r="J3614" s="80">
        <f>H3614*I3614</f>
        <v/>
      </c>
      <c r="K3614" s="43" t="inlineStr">
        <is>
          <t>来源页313；校验incomplete</t>
        </is>
      </c>
      <c r="L3614" s="43">
        <f>A3614</f>
        <v/>
      </c>
      <c r="M3614" s="81" t="n"/>
      <c r="N3614" s="81" t="n"/>
      <c r="O3614" s="81" t="n"/>
      <c r="P3614" s="81" t="n"/>
      <c r="Q3614" s="81" t="n"/>
      <c r="R3614" s="81" t="n"/>
      <c r="S3614" s="81" t="n"/>
      <c r="T3614" s="81" t="n"/>
      <c r="U3614" s="81" t="n"/>
      <c r="V3614" s="81" t="n"/>
      <c r="W3614" s="43" t="n"/>
    </row>
    <row r="3615">
      <c r="A3615" s="43" t="inlineStr"/>
      <c r="B3615" s="43" t="inlineStr"/>
      <c r="C3615" s="43" t="inlineStr"/>
      <c r="D3615" s="43" t="inlineStr">
        <is>
          <t>三元乙丙橡胶</t>
        </is>
      </c>
      <c r="E3615" s="43" t="n"/>
      <c r="F3615" s="43" t="n"/>
      <c r="G3615" s="43" t="n"/>
      <c r="H3615" s="79">
        <f>(E3615/1000)*(F3615/1000)*(G3615/1000)*7850</f>
        <v/>
      </c>
      <c r="I3615" s="43" t="n">
        <v>368</v>
      </c>
      <c r="J3615" s="80">
        <f>H3615*I3615</f>
        <v/>
      </c>
      <c r="K3615" s="43" t="inlineStr">
        <is>
          <t>来源页313；校验incomplete</t>
        </is>
      </c>
      <c r="L3615" s="43">
        <f>A3615</f>
        <v/>
      </c>
      <c r="M3615" s="81" t="n"/>
      <c r="N3615" s="81" t="n"/>
      <c r="O3615" s="81" t="n"/>
      <c r="P3615" s="81" t="n"/>
      <c r="Q3615" s="81" t="n"/>
      <c r="R3615" s="81" t="n"/>
      <c r="S3615" s="81" t="n"/>
      <c r="T3615" s="81" t="n"/>
      <c r="U3615" s="81" t="n"/>
      <c r="V3615" s="81" t="n"/>
      <c r="W3615" s="43" t="n"/>
    </row>
    <row r="3616">
      <c r="A3616" s="43" t="inlineStr"/>
      <c r="B3616" s="43" t="inlineStr"/>
      <c r="C3616" s="43" t="inlineStr"/>
      <c r="D3616" s="43" t="inlineStr">
        <is>
          <t>三元乙丙橡胶</t>
        </is>
      </c>
      <c r="E3616" s="43" t="n"/>
      <c r="F3616" s="43" t="n"/>
      <c r="G3616" s="43" t="n"/>
      <c r="H3616" s="79">
        <f>(E3616/1000)*(F3616/1000)*(G3616/1000)*7850</f>
        <v/>
      </c>
      <c r="I3616" s="43" t="n">
        <v>368</v>
      </c>
      <c r="J3616" s="80">
        <f>H3616*I3616</f>
        <v/>
      </c>
      <c r="K3616" s="43" t="inlineStr">
        <is>
          <t>来源页313；校验incomplete</t>
        </is>
      </c>
      <c r="L3616" s="43">
        <f>A3616</f>
        <v/>
      </c>
      <c r="M3616" s="81" t="n"/>
      <c r="N3616" s="81" t="n"/>
      <c r="O3616" s="81" t="n"/>
      <c r="P3616" s="81" t="n"/>
      <c r="Q3616" s="81" t="n"/>
      <c r="R3616" s="81" t="n"/>
      <c r="S3616" s="81" t="n"/>
      <c r="T3616" s="81" t="n"/>
      <c r="U3616" s="81" t="n"/>
      <c r="V3616" s="81" t="n"/>
      <c r="W3616" s="43" t="n"/>
    </row>
    <row r="3617">
      <c r="A3617" s="43" t="inlineStr"/>
      <c r="B3617" s="43" t="inlineStr"/>
      <c r="C3617" s="43" t="inlineStr"/>
      <c r="D3617" s="43" t="inlineStr">
        <is>
          <t>三元乙丙橡胶</t>
        </is>
      </c>
      <c r="E3617" s="43" t="n"/>
      <c r="F3617" s="43" t="n"/>
      <c r="G3617" s="43" t="n"/>
      <c r="H3617" s="79">
        <f>(E3617/1000)*(F3617/1000)*(G3617/1000)*7850</f>
        <v/>
      </c>
      <c r="I3617" s="43" t="n">
        <v>368</v>
      </c>
      <c r="J3617" s="80">
        <f>H3617*I3617</f>
        <v/>
      </c>
      <c r="K3617" s="43" t="inlineStr">
        <is>
          <t>来源页313；校验incomplete</t>
        </is>
      </c>
      <c r="L3617" s="43">
        <f>A3617</f>
        <v/>
      </c>
      <c r="M3617" s="81" t="n"/>
      <c r="N3617" s="81" t="n"/>
      <c r="O3617" s="81" t="n"/>
      <c r="P3617" s="81" t="n"/>
      <c r="Q3617" s="81" t="n"/>
      <c r="R3617" s="81" t="n"/>
      <c r="S3617" s="81" t="n"/>
      <c r="T3617" s="81" t="n"/>
      <c r="U3617" s="81" t="n"/>
      <c r="V3617" s="81" t="n"/>
      <c r="W3617" s="43" t="n"/>
    </row>
    <row r="3618">
      <c r="A3618" s="43" t="inlineStr">
        <is>
          <t>1</t>
        </is>
      </c>
      <c r="B3618" s="43" t="inlineStr"/>
      <c r="C3618" s="43" t="inlineStr"/>
      <c r="D3618" s="43" t="inlineStr"/>
      <c r="E3618" s="43" t="n">
        <v>3200</v>
      </c>
      <c r="F3618" s="43" t="n"/>
      <c r="G3618" s="43" t="n"/>
      <c r="H3618" s="79">
        <f>(E3618/1000)*(F3618/1000)*(G3618/1000)*7850</f>
        <v/>
      </c>
      <c r="I3618" s="43" t="n">
        <v>1</v>
      </c>
      <c r="J3618" s="80">
        <f>H3618*I3618</f>
        <v/>
      </c>
      <c r="K3618" s="43" t="inlineStr">
        <is>
          <t>来源页314；校验incomplete</t>
        </is>
      </c>
      <c r="L3618" s="43">
        <f>A3618</f>
        <v/>
      </c>
      <c r="M3618" s="81" t="n"/>
      <c r="N3618" s="81" t="n"/>
      <c r="O3618" s="81" t="n"/>
      <c r="P3618" s="81" t="n"/>
      <c r="Q3618" s="81" t="n"/>
      <c r="R3618" s="81" t="n"/>
      <c r="S3618" s="81" t="n"/>
      <c r="T3618" s="81" t="n"/>
      <c r="U3618" s="81" t="n"/>
      <c r="V3618" s="81" t="n"/>
      <c r="W3618" s="43" t="n"/>
    </row>
    <row r="3619">
      <c r="A3619" s="43" t="inlineStr">
        <is>
          <t>2</t>
        </is>
      </c>
      <c r="B3619" s="43" t="inlineStr"/>
      <c r="C3619" s="43" t="inlineStr"/>
      <c r="D3619" s="43" t="inlineStr"/>
      <c r="E3619" s="43" t="n">
        <v>998</v>
      </c>
      <c r="F3619" s="43" t="n"/>
      <c r="G3619" s="43" t="n"/>
      <c r="H3619" s="79">
        <f>(E3619/1000)*(F3619/1000)*(G3619/1000)*7850</f>
        <v/>
      </c>
      <c r="I3619" s="43" t="n">
        <v>2</v>
      </c>
      <c r="J3619" s="80">
        <f>H3619*I3619</f>
        <v/>
      </c>
      <c r="K3619" s="43" t="inlineStr">
        <is>
          <t>来源页314；校验incomplete</t>
        </is>
      </c>
      <c r="L3619" s="43">
        <f>A3619</f>
        <v/>
      </c>
      <c r="M3619" s="81" t="n"/>
      <c r="N3619" s="81" t="n"/>
      <c r="O3619" s="81" t="n"/>
      <c r="P3619" s="81" t="n"/>
      <c r="Q3619" s="81" t="n"/>
      <c r="R3619" s="81" t="n"/>
      <c r="S3619" s="81" t="n"/>
      <c r="T3619" s="81" t="n"/>
      <c r="U3619" s="81" t="n"/>
      <c r="V3619" s="81" t="n"/>
      <c r="W3619" s="43" t="n"/>
    </row>
    <row r="3620">
      <c r="A3620" s="43" t="inlineStr">
        <is>
          <t>3</t>
        </is>
      </c>
      <c r="B3620" s="43" t="inlineStr"/>
      <c r="C3620" s="43" t="inlineStr"/>
      <c r="D3620" s="43" t="inlineStr"/>
      <c r="E3620" s="43" t="n">
        <v>2930</v>
      </c>
      <c r="F3620" s="43" t="n"/>
      <c r="G3620" s="43" t="n"/>
      <c r="H3620" s="79">
        <f>(E3620/1000)*(F3620/1000)*(G3620/1000)*7850</f>
        <v/>
      </c>
      <c r="I3620" s="43" t="n">
        <v>2</v>
      </c>
      <c r="J3620" s="80">
        <f>H3620*I3620</f>
        <v/>
      </c>
      <c r="K3620" s="43" t="inlineStr">
        <is>
          <t>来源页314；校验incomplete</t>
        </is>
      </c>
      <c r="L3620" s="43">
        <f>A3620</f>
        <v/>
      </c>
      <c r="M3620" s="81" t="n"/>
      <c r="N3620" s="81" t="n"/>
      <c r="O3620" s="81" t="n"/>
      <c r="P3620" s="81" t="n"/>
      <c r="Q3620" s="81" t="n"/>
      <c r="R3620" s="81" t="n"/>
      <c r="S3620" s="81" t="n"/>
      <c r="T3620" s="81" t="n"/>
      <c r="U3620" s="81" t="n"/>
      <c r="V3620" s="81" t="n"/>
      <c r="W3620" s="43" t="n"/>
    </row>
    <row r="3621">
      <c r="A3621" s="43" t="inlineStr">
        <is>
          <t>4</t>
        </is>
      </c>
      <c r="B3621" s="43" t="inlineStr"/>
      <c r="C3621" s="43" t="inlineStr"/>
      <c r="D3621" s="43" t="inlineStr"/>
      <c r="E3621" s="43" t="n">
        <v>656</v>
      </c>
      <c r="F3621" s="43" t="n"/>
      <c r="G3621" s="43" t="n"/>
      <c r="H3621" s="79">
        <f>(E3621/1000)*(F3621/1000)*(G3621/1000)*7850</f>
        <v/>
      </c>
      <c r="I3621" s="43" t="n">
        <v>19</v>
      </c>
      <c r="J3621" s="80">
        <f>H3621*I3621</f>
        <v/>
      </c>
      <c r="K3621" s="43" t="inlineStr">
        <is>
          <t>来源页314；校验incomplete</t>
        </is>
      </c>
      <c r="L3621" s="43">
        <f>A3621</f>
        <v/>
      </c>
      <c r="M3621" s="81" t="n"/>
      <c r="N3621" s="81" t="n"/>
      <c r="O3621" s="81" t="n"/>
      <c r="P3621" s="81" t="n"/>
      <c r="Q3621" s="81" t="n"/>
      <c r="R3621" s="81" t="n"/>
      <c r="S3621" s="81" t="n"/>
      <c r="T3621" s="81" t="n"/>
      <c r="U3621" s="81" t="n"/>
      <c r="V3621" s="81" t="n"/>
      <c r="W3621" s="43" t="n"/>
    </row>
    <row r="3622">
      <c r="A3622" s="43" t="inlineStr">
        <is>
          <t>5</t>
        </is>
      </c>
      <c r="B3622" s="43" t="inlineStr"/>
      <c r="C3622" s="43" t="inlineStr"/>
      <c r="D3622" s="43" t="inlineStr"/>
      <c r="E3622" s="43" t="n"/>
      <c r="F3622" s="43" t="n"/>
      <c r="G3622" s="43" t="n"/>
      <c r="H3622" s="79">
        <f>(E3622/1000)*(F3622/1000)*(G3622/1000)*7850</f>
        <v/>
      </c>
      <c r="I3622" s="43" t="n">
        <v>2</v>
      </c>
      <c r="J3622" s="80">
        <f>H3622*I3622</f>
        <v/>
      </c>
      <c r="K3622" s="43" t="inlineStr">
        <is>
          <t>来源页314；校验incomplete</t>
        </is>
      </c>
      <c r="L3622" s="43">
        <f>A3622</f>
        <v/>
      </c>
      <c r="M3622" s="81" t="n"/>
      <c r="N3622" s="81" t="n"/>
      <c r="O3622" s="81" t="n"/>
      <c r="P3622" s="81" t="n"/>
      <c r="Q3622" s="81" t="n"/>
      <c r="R3622" s="81" t="n"/>
      <c r="S3622" s="81" t="n"/>
      <c r="T3622" s="81" t="n"/>
      <c r="U3622" s="81" t="n"/>
      <c r="V3622" s="81" t="n"/>
      <c r="W3622" s="43" t="n"/>
    </row>
    <row r="3623">
      <c r="A3623" s="43" t="inlineStr">
        <is>
          <t>9</t>
        </is>
      </c>
      <c r="B3623" s="43" t="inlineStr"/>
      <c r="C3623" s="43" t="inlineStr"/>
      <c r="D3623" s="43" t="inlineStr"/>
      <c r="E3623" s="43" t="n">
        <v>998</v>
      </c>
      <c r="F3623" s="43" t="n"/>
      <c r="G3623" s="43" t="n"/>
      <c r="H3623" s="79">
        <f>(E3623/1000)*(F3623/1000)*(G3623/1000)*7850</f>
        <v/>
      </c>
      <c r="I3623" s="43" t="n">
        <v>2</v>
      </c>
      <c r="J3623" s="80">
        <f>H3623*I3623</f>
        <v/>
      </c>
      <c r="K3623" s="43" t="inlineStr">
        <is>
          <t>来源页314；校验incomplete</t>
        </is>
      </c>
      <c r="L3623" s="43">
        <f>A3623</f>
        <v/>
      </c>
      <c r="M3623" s="81" t="n"/>
      <c r="N3623" s="81" t="n"/>
      <c r="O3623" s="81" t="n"/>
      <c r="P3623" s="81" t="n"/>
      <c r="Q3623" s="81" t="n"/>
      <c r="R3623" s="81" t="n"/>
      <c r="S3623" s="81" t="n"/>
      <c r="T3623" s="81" t="n"/>
      <c r="U3623" s="81" t="n"/>
      <c r="V3623" s="81" t="n"/>
      <c r="W3623" s="43" t="n"/>
    </row>
    <row r="3624">
      <c r="A3624" s="43" t="inlineStr">
        <is>
          <t>7</t>
        </is>
      </c>
      <c r="B3624" s="43" t="inlineStr"/>
      <c r="C3624" s="43" t="inlineStr"/>
      <c r="D3624" s="43" t="inlineStr"/>
      <c r="E3624" s="43" t="n">
        <v>3200</v>
      </c>
      <c r="F3624" s="43" t="n"/>
      <c r="G3624" s="43" t="n"/>
      <c r="H3624" s="79">
        <f>(E3624/1000)*(F3624/1000)*(G3624/1000)*7850</f>
        <v/>
      </c>
      <c r="I3624" s="43" t="n">
        <v>4</v>
      </c>
      <c r="J3624" s="80">
        <f>H3624*I3624</f>
        <v/>
      </c>
      <c r="K3624" s="43" t="inlineStr">
        <is>
          <t>来源页314；校验incomplete</t>
        </is>
      </c>
      <c r="L3624" s="43">
        <f>A3624</f>
        <v/>
      </c>
      <c r="M3624" s="81" t="n"/>
      <c r="N3624" s="81" t="n"/>
      <c r="O3624" s="81" t="n"/>
      <c r="P3624" s="81" t="n"/>
      <c r="Q3624" s="81" t="n"/>
      <c r="R3624" s="81" t="n"/>
      <c r="S3624" s="81" t="n"/>
      <c r="T3624" s="81" t="n"/>
      <c r="U3624" s="81" t="n"/>
      <c r="V3624" s="81" t="n"/>
      <c r="W3624" s="43" t="n"/>
    </row>
    <row r="3625">
      <c r="A3625" s="43" t="inlineStr">
        <is>
          <t>8</t>
        </is>
      </c>
      <c r="B3625" s="43" t="inlineStr"/>
      <c r="C3625" s="43" t="inlineStr"/>
      <c r="D3625" s="43" t="inlineStr"/>
      <c r="E3625" s="43" t="n">
        <v>1010</v>
      </c>
      <c r="F3625" s="43" t="n"/>
      <c r="G3625" s="43" t="n"/>
      <c r="H3625" s="79">
        <f>(E3625/1000)*(F3625/1000)*(G3625/1000)*7850</f>
        <v/>
      </c>
      <c r="I3625" s="43" t="n">
        <v>22</v>
      </c>
      <c r="J3625" s="80">
        <f>H3625*I3625</f>
        <v/>
      </c>
      <c r="K3625" s="43" t="inlineStr">
        <is>
          <t>来源页314；校验incomplete</t>
        </is>
      </c>
      <c r="L3625" s="43">
        <f>A3625</f>
        <v/>
      </c>
      <c r="M3625" s="81" t="n"/>
      <c r="N3625" s="81" t="n"/>
      <c r="O3625" s="81" t="n"/>
      <c r="P3625" s="81" t="n"/>
      <c r="Q3625" s="81" t="n"/>
      <c r="R3625" s="81" t="n"/>
      <c r="S3625" s="81" t="n"/>
      <c r="T3625" s="81" t="n"/>
      <c r="U3625" s="81" t="n"/>
      <c r="V3625" s="81" t="n"/>
      <c r="W3625" s="43" t="n"/>
    </row>
    <row r="3626">
      <c r="A3626" s="43" t="inlineStr">
        <is>
          <t>9</t>
        </is>
      </c>
      <c r="B3626" s="43" t="inlineStr"/>
      <c r="C3626" s="43" t="inlineStr"/>
      <c r="D3626" s="43" t="inlineStr"/>
      <c r="E3626" s="43" t="n">
        <v>130</v>
      </c>
      <c r="F3626" s="43" t="n">
        <v>130</v>
      </c>
      <c r="G3626" s="43" t="n">
        <v>10</v>
      </c>
      <c r="H3626" s="79">
        <f>(E3626/1000)*(F3626/1000)*(G3626/1000)*7850</f>
        <v/>
      </c>
      <c r="I3626" s="43" t="n">
        <v>2</v>
      </c>
      <c r="J3626" s="80">
        <f>H3626*I3626</f>
        <v/>
      </c>
      <c r="K3626" s="43" t="inlineStr">
        <is>
          <t>来源页314；校验incomplete</t>
        </is>
      </c>
      <c r="L3626" s="43">
        <f>A3626</f>
        <v/>
      </c>
      <c r="M3626" s="81" t="n"/>
      <c r="N3626" s="81" t="n"/>
      <c r="O3626" s="81" t="n"/>
      <c r="P3626" s="81" t="n"/>
      <c r="Q3626" s="81" t="n"/>
      <c r="R3626" s="81" t="n"/>
      <c r="S3626" s="81" t="n"/>
      <c r="T3626" s="81" t="n"/>
      <c r="U3626" s="81" t="n"/>
      <c r="V3626" s="81" t="n"/>
      <c r="W3626" s="43" t="n"/>
    </row>
    <row r="3627">
      <c r="A3627" s="43" t="inlineStr">
        <is>
          <t>10</t>
        </is>
      </c>
      <c r="B3627" s="43" t="inlineStr"/>
      <c r="C3627" s="43" t="inlineStr"/>
      <c r="D3627" s="43" t="inlineStr"/>
      <c r="E3627" s="43" t="n">
        <v>462</v>
      </c>
      <c r="F3627" s="43" t="n"/>
      <c r="G3627" s="43" t="n"/>
      <c r="H3627" s="79">
        <f>(E3627/1000)*(F3627/1000)*(G3627/1000)*7850</f>
        <v/>
      </c>
      <c r="I3627" s="43" t="n">
        <v>4</v>
      </c>
      <c r="J3627" s="80">
        <f>H3627*I3627</f>
        <v/>
      </c>
      <c r="K3627" s="43" t="inlineStr">
        <is>
          <t>来源页314；校验incomplete</t>
        </is>
      </c>
      <c r="L3627" s="43">
        <f>A3627</f>
        <v/>
      </c>
      <c r="M3627" s="81" t="n"/>
      <c r="N3627" s="81" t="n"/>
      <c r="O3627" s="81" t="n"/>
      <c r="P3627" s="81" t="n"/>
      <c r="Q3627" s="81" t="n"/>
      <c r="R3627" s="81" t="n"/>
      <c r="S3627" s="81" t="n"/>
      <c r="T3627" s="81" t="n"/>
      <c r="U3627" s="81" t="n"/>
      <c r="V3627" s="81" t="n"/>
      <c r="W3627" s="43" t="n"/>
    </row>
    <row r="3628">
      <c r="A3628" s="43" t="inlineStr"/>
      <c r="B3628" s="43" t="inlineStr">
        <is>
          <t>预埋钢板</t>
        </is>
      </c>
      <c r="C3628" s="43" t="inlineStr"/>
      <c r="D3628" s="43" t="inlineStr">
        <is>
          <t>Q355C</t>
        </is>
      </c>
      <c r="E3628" s="43" t="n">
        <v>500</v>
      </c>
      <c r="F3628" s="43" t="n">
        <v>500</v>
      </c>
      <c r="G3628" s="43" t="n">
        <v>10</v>
      </c>
      <c r="H3628" s="79">
        <f>(E3628/1000)*(F3628/1000)*(G3628/1000)*7850</f>
        <v/>
      </c>
      <c r="I3628" s="43" t="n">
        <v>16</v>
      </c>
      <c r="J3628" s="80">
        <f>H3628*I3628</f>
        <v/>
      </c>
      <c r="K3628" s="43" t="inlineStr">
        <is>
          <t>来源页316；校验incomplete</t>
        </is>
      </c>
      <c r="L3628" s="43">
        <f>A3628</f>
        <v/>
      </c>
      <c r="M3628" s="81" t="n"/>
      <c r="N3628" s="81" t="n"/>
      <c r="O3628" s="81" t="n"/>
      <c r="P3628" s="81" t="n"/>
      <c r="Q3628" s="81" t="n"/>
      <c r="R3628" s="81" t="n"/>
      <c r="S3628" s="81" t="n"/>
      <c r="T3628" s="81" t="n"/>
      <c r="U3628" s="81" t="n"/>
      <c r="V3628" s="81" t="n"/>
      <c r="W3628" s="43" t="n"/>
    </row>
    <row r="3629">
      <c r="A3629" s="43" t="inlineStr"/>
      <c r="B3629" s="43" t="inlineStr">
        <is>
          <t>M22不锈钢螺栓1</t>
        </is>
      </c>
      <c r="C3629" s="43" t="inlineStr"/>
      <c r="D3629" s="43" t="inlineStr">
        <is>
          <t>10.9级</t>
        </is>
      </c>
      <c r="E3629" s="43" t="n"/>
      <c r="F3629" s="43" t="n"/>
      <c r="G3629" s="43" t="n"/>
      <c r="H3629" s="79">
        <f>(E3629/1000)*(F3629/1000)*(G3629/1000)*7850</f>
        <v/>
      </c>
      <c r="I3629" s="43" t="inlineStr">
        <is>
          <t>32(套)</t>
        </is>
      </c>
      <c r="J3629" s="80">
        <f>H3629*I3629</f>
        <v/>
      </c>
      <c r="K3629" s="43" t="inlineStr">
        <is>
          <t>来源页316；校验incomplete</t>
        </is>
      </c>
      <c r="L3629" s="43">
        <f>A3629</f>
        <v/>
      </c>
      <c r="M3629" s="81" t="n"/>
      <c r="N3629" s="81" t="n"/>
      <c r="O3629" s="81" t="n"/>
      <c r="P3629" s="81" t="n"/>
      <c r="Q3629" s="81" t="n"/>
      <c r="R3629" s="81" t="n"/>
      <c r="S3629" s="81" t="n"/>
      <c r="T3629" s="81" t="n"/>
      <c r="U3629" s="81" t="n"/>
      <c r="V3629" s="81" t="n"/>
      <c r="W3629" s="43" t="n"/>
    </row>
    <row r="3630">
      <c r="A3630" s="43" t="inlineStr"/>
      <c r="B3630" s="43" t="inlineStr">
        <is>
          <t>M22不锈钢螺栓2</t>
        </is>
      </c>
      <c r="C3630" s="43" t="inlineStr"/>
      <c r="D3630" s="43" t="inlineStr">
        <is>
          <t>10.9级</t>
        </is>
      </c>
      <c r="E3630" s="43" t="n"/>
      <c r="F3630" s="43" t="n"/>
      <c r="G3630" s="43" t="n"/>
      <c r="H3630" s="79">
        <f>(E3630/1000)*(F3630/1000)*(G3630/1000)*7850</f>
        <v/>
      </c>
      <c r="I3630" s="43" t="inlineStr">
        <is>
          <t>32(套)</t>
        </is>
      </c>
      <c r="J3630" s="80">
        <f>H3630*I3630</f>
        <v/>
      </c>
      <c r="K3630" s="43" t="inlineStr">
        <is>
          <t>来源页316；校验incomplete</t>
        </is>
      </c>
      <c r="L3630" s="43">
        <f>A3630</f>
        <v/>
      </c>
      <c r="M3630" s="81" t="n"/>
      <c r="N3630" s="81" t="n"/>
      <c r="O3630" s="81" t="n"/>
      <c r="P3630" s="81" t="n"/>
      <c r="Q3630" s="81" t="n"/>
      <c r="R3630" s="81" t="n"/>
      <c r="S3630" s="81" t="n"/>
      <c r="T3630" s="81" t="n"/>
      <c r="U3630" s="81" t="n"/>
      <c r="V3630" s="81" t="n"/>
      <c r="W3630" s="43" t="n"/>
    </row>
    <row r="3631">
      <c r="A3631" s="43" t="inlineStr"/>
      <c r="B3631" s="43" t="inlineStr">
        <is>
          <t>M22不锈钢螺母</t>
        </is>
      </c>
      <c r="C3631" s="43" t="inlineStr"/>
      <c r="D3631" s="43" t="inlineStr">
        <is>
          <t>10.9级</t>
        </is>
      </c>
      <c r="E3631" s="43" t="n"/>
      <c r="F3631" s="43" t="n"/>
      <c r="G3631" s="43" t="n"/>
      <c r="H3631" s="79">
        <f>(E3631/1000)*(F3631/1000)*(G3631/1000)*7850</f>
        <v/>
      </c>
      <c r="I3631" s="43" t="inlineStr">
        <is>
          <t>64(套)</t>
        </is>
      </c>
      <c r="J3631" s="80">
        <f>H3631*I3631</f>
        <v/>
      </c>
      <c r="K3631" s="43" t="inlineStr">
        <is>
          <t>来源页316；校验incomplete</t>
        </is>
      </c>
      <c r="L3631" s="43">
        <f>A3631</f>
        <v/>
      </c>
      <c r="M3631" s="81" t="n"/>
      <c r="N3631" s="81" t="n"/>
      <c r="O3631" s="81" t="n"/>
      <c r="P3631" s="81" t="n"/>
      <c r="Q3631" s="81" t="n"/>
      <c r="R3631" s="81" t="n"/>
      <c r="S3631" s="81" t="n"/>
      <c r="T3631" s="81" t="n"/>
      <c r="U3631" s="81" t="n"/>
      <c r="V3631" s="81" t="n"/>
      <c r="W3631" s="43" t="n"/>
    </row>
    <row r="3632">
      <c r="A3632" s="43" t="inlineStr"/>
      <c r="B3632" s="43" t="inlineStr"/>
      <c r="C3632" s="43" t="inlineStr"/>
      <c r="D3632" s="43" t="inlineStr">
        <is>
          <t>Q355B</t>
        </is>
      </c>
      <c r="E3632" s="43" t="n"/>
      <c r="F3632" s="43" t="n"/>
      <c r="G3632" s="43" t="n"/>
      <c r="H3632" s="79">
        <f>(E3632/1000)*(F3632/1000)*(G3632/1000)*7850</f>
        <v/>
      </c>
      <c r="I3632" s="43" t="n"/>
      <c r="J3632" s="80">
        <f>H3632*I3632</f>
        <v/>
      </c>
      <c r="K3632" s="43" t="inlineStr">
        <is>
          <t>来源页323；校验incomplete</t>
        </is>
      </c>
      <c r="L3632" s="43">
        <f>A3632</f>
        <v/>
      </c>
      <c r="M3632" s="81" t="n"/>
      <c r="N3632" s="81" t="n"/>
      <c r="O3632" s="81" t="n"/>
      <c r="P3632" s="81" t="n"/>
      <c r="Q3632" s="81" t="n"/>
      <c r="R3632" s="81" t="n"/>
      <c r="S3632" s="81" t="n"/>
      <c r="T3632" s="81" t="n"/>
      <c r="U3632" s="81" t="n"/>
      <c r="V3632" s="81" t="n"/>
      <c r="W3632" s="43" t="n"/>
    </row>
    <row r="3633">
      <c r="A3633" s="43" t="inlineStr"/>
      <c r="B3633" s="43" t="inlineStr"/>
      <c r="C3633" s="43" t="inlineStr"/>
      <c r="D3633" s="43" t="inlineStr">
        <is>
          <t>Q355B</t>
        </is>
      </c>
      <c r="E3633" s="43" t="n"/>
      <c r="F3633" s="43" t="n"/>
      <c r="G3633" s="43" t="n"/>
      <c r="H3633" s="79">
        <f>(E3633/1000)*(F3633/1000)*(G3633/1000)*7850</f>
        <v/>
      </c>
      <c r="I3633" s="43" t="n"/>
      <c r="J3633" s="80">
        <f>H3633*I3633</f>
        <v/>
      </c>
      <c r="K3633" s="43" t="inlineStr">
        <is>
          <t>来源页323；校验incomplete</t>
        </is>
      </c>
      <c r="L3633" s="43">
        <f>A3633</f>
        <v/>
      </c>
      <c r="M3633" s="81" t="n"/>
      <c r="N3633" s="81" t="n"/>
      <c r="O3633" s="81" t="n"/>
      <c r="P3633" s="81" t="n"/>
      <c r="Q3633" s="81" t="n"/>
      <c r="R3633" s="81" t="n"/>
      <c r="S3633" s="81" t="n"/>
      <c r="T3633" s="81" t="n"/>
      <c r="U3633" s="81" t="n"/>
      <c r="V3633" s="81" t="n"/>
      <c r="W3633" s="43" t="n"/>
    </row>
    <row r="3634">
      <c r="A3634" s="43" t="inlineStr">
        <is>
          <t>1.5%焊缝重(kg)</t>
        </is>
      </c>
      <c r="B3634" s="43" t="inlineStr"/>
      <c r="C3634" s="43" t="inlineStr"/>
      <c r="D3634" s="43" t="inlineStr">
        <is>
          <t>1.5%焊缝重(kg)</t>
        </is>
      </c>
      <c r="E3634" s="43" t="n"/>
      <c r="F3634" s="43" t="n"/>
      <c r="G3634" s="43" t="n"/>
      <c r="H3634" s="79">
        <f>(E3634/1000)*(F3634/1000)*(G3634/1000)*7850</f>
        <v/>
      </c>
      <c r="I3634" s="43" t="inlineStr">
        <is>
          <t>1.5%焊缝重(kg)</t>
        </is>
      </c>
      <c r="J3634" s="80">
        <f>H3634*I3634</f>
        <v/>
      </c>
      <c r="K3634" s="43" t="inlineStr">
        <is>
          <t>来源页323；校验incomplete</t>
        </is>
      </c>
      <c r="L3634" s="43">
        <f>A3634</f>
        <v/>
      </c>
      <c r="M3634" s="81" t="n"/>
      <c r="N3634" s="81" t="n"/>
      <c r="O3634" s="81" t="n"/>
      <c r="P3634" s="81" t="n"/>
      <c r="Q3634" s="81" t="n"/>
      <c r="R3634" s="81" t="n"/>
      <c r="S3634" s="81" t="n"/>
      <c r="T3634" s="81" t="n"/>
      <c r="U3634" s="81" t="n"/>
      <c r="V3634" s="81" t="n"/>
      <c r="W3634" s="43" t="n"/>
    </row>
    <row r="3635">
      <c r="A3635" s="43" t="inlineStr">
        <is>
          <t>1.5%焊缝重(kg)</t>
        </is>
      </c>
      <c r="B3635" s="43" t="inlineStr"/>
      <c r="C3635" s="43" t="inlineStr"/>
      <c r="D3635" s="43" t="inlineStr">
        <is>
          <t>1.5%焊缝重(kg)</t>
        </is>
      </c>
      <c r="E3635" s="43" t="n"/>
      <c r="F3635" s="43" t="n"/>
      <c r="G3635" s="43" t="n"/>
      <c r="H3635" s="79">
        <f>(E3635/1000)*(F3635/1000)*(G3635/1000)*7850</f>
        <v/>
      </c>
      <c r="I3635" s="43" t="inlineStr">
        <is>
          <t>1.5%焊缝重(kg)</t>
        </is>
      </c>
      <c r="J3635" s="80">
        <f>H3635*I3635</f>
        <v/>
      </c>
      <c r="K3635" s="43" t="inlineStr">
        <is>
          <t>来源页323；校验incomplete</t>
        </is>
      </c>
      <c r="L3635" s="43">
        <f>A3635</f>
        <v/>
      </c>
      <c r="M3635" s="81" t="n"/>
      <c r="N3635" s="81" t="n"/>
      <c r="O3635" s="81" t="n"/>
      <c r="P3635" s="81" t="n"/>
      <c r="Q3635" s="81" t="n"/>
      <c r="R3635" s="81" t="n"/>
      <c r="S3635" s="81" t="n"/>
      <c r="T3635" s="81" t="n"/>
      <c r="U3635" s="81" t="n"/>
      <c r="V3635" s="81" t="n"/>
      <c r="W3635" s="43" t="n"/>
    </row>
    <row r="3636">
      <c r="A3636" s="43" t="inlineStr">
        <is>
          <t>K5</t>
        </is>
      </c>
      <c r="B3636" s="43" t="inlineStr"/>
      <c r="C3636" s="43" t="inlineStr">
        <is>
          <t>节段1~节段2</t>
        </is>
      </c>
      <c r="D3636" s="43" t="inlineStr">
        <is>
          <t>Q355D</t>
        </is>
      </c>
      <c r="E3636" s="43" t="n">
        <v>920</v>
      </c>
      <c r="F3636" s="43" t="n">
        <v>200</v>
      </c>
      <c r="G3636" s="43" t="n">
        <v>20</v>
      </c>
      <c r="H3636" s="79">
        <f>(E3636/1000)*(F3636/1000)*(G3636/1000)*7850</f>
        <v/>
      </c>
      <c r="I3636" s="43" t="n">
        <v>9</v>
      </c>
      <c r="J3636" s="80">
        <f>H3636*I3636</f>
        <v/>
      </c>
      <c r="K3636" s="43" t="inlineStr">
        <is>
          <t>来源页52；校验fail</t>
        </is>
      </c>
      <c r="L3636" s="43">
        <f>A3636</f>
        <v/>
      </c>
      <c r="M3636" s="81" t="n"/>
      <c r="N3636" s="81" t="n"/>
      <c r="O3636" s="81" t="n"/>
      <c r="P3636" s="81" t="n"/>
      <c r="Q3636" s="81" t="n"/>
      <c r="R3636" s="81" t="n"/>
      <c r="S3636" s="81" t="n"/>
      <c r="T3636" s="81" t="n"/>
      <c r="U3636" s="81" t="n"/>
      <c r="V3636" s="81" t="n"/>
      <c r="W3636" s="43" t="n"/>
    </row>
    <row r="3637">
      <c r="A3637" s="43" t="inlineStr">
        <is>
          <t>N16a</t>
        </is>
      </c>
      <c r="B3637" s="43" t="inlineStr"/>
      <c r="C3637" s="43" t="inlineStr">
        <is>
          <t>节段02</t>
        </is>
      </c>
      <c r="D3637" s="43" t="inlineStr">
        <is>
          <t>Q355D</t>
        </is>
      </c>
      <c r="E3637" s="43" t="n">
        <v>7902</v>
      </c>
      <c r="F3637" s="43" t="n">
        <v>240</v>
      </c>
      <c r="G3637" s="43" t="n">
        <v>20</v>
      </c>
      <c r="H3637" s="79">
        <f>(E3637/1000)*(F3637/1000)*(G3637/1000)*7850</f>
        <v/>
      </c>
      <c r="I3637" s="43" t="n">
        <v>9</v>
      </c>
      <c r="J3637" s="80">
        <f>H3637*I3637</f>
        <v/>
      </c>
      <c r="K3637" s="43" t="inlineStr">
        <is>
          <t>来源页53；校验fail</t>
        </is>
      </c>
      <c r="L3637" s="43">
        <f>A3637</f>
        <v/>
      </c>
      <c r="M3637" s="81" t="n"/>
      <c r="N3637" s="81" t="n"/>
      <c r="O3637" s="81" t="n"/>
      <c r="P3637" s="81" t="n"/>
      <c r="Q3637" s="81" t="n"/>
      <c r="R3637" s="81" t="n"/>
      <c r="S3637" s="81" t="n"/>
      <c r="T3637" s="81" t="n"/>
      <c r="U3637" s="81" t="n"/>
      <c r="V3637" s="81" t="n"/>
      <c r="W3637" s="43" t="n"/>
    </row>
    <row r="3638">
      <c r="A3638" s="43" t="inlineStr">
        <is>
          <t>N16b</t>
        </is>
      </c>
      <c r="B3638" s="43" t="inlineStr"/>
      <c r="C3638" s="43" t="inlineStr">
        <is>
          <t>节段02</t>
        </is>
      </c>
      <c r="D3638" s="43" t="inlineStr">
        <is>
          <t>Q355D</t>
        </is>
      </c>
      <c r="E3638" s="43" t="n">
        <v>10151</v>
      </c>
      <c r="F3638" s="43" t="n">
        <v>240</v>
      </c>
      <c r="G3638" s="43" t="n">
        <v>20</v>
      </c>
      <c r="H3638" s="79">
        <f>(E3638/1000)*(F3638/1000)*(G3638/1000)*7850</f>
        <v/>
      </c>
      <c r="I3638" s="43" t="n">
        <v>9</v>
      </c>
      <c r="J3638" s="80">
        <f>H3638*I3638</f>
        <v/>
      </c>
      <c r="K3638" s="43" t="inlineStr">
        <is>
          <t>来源页53；校验fail</t>
        </is>
      </c>
      <c r="L3638" s="43">
        <f>A3638</f>
        <v/>
      </c>
      <c r="M3638" s="81" t="n"/>
      <c r="N3638" s="81" t="n"/>
      <c r="O3638" s="81" t="n"/>
      <c r="P3638" s="81" t="n"/>
      <c r="Q3638" s="81" t="n"/>
      <c r="R3638" s="81" t="n"/>
      <c r="S3638" s="81" t="n"/>
      <c r="T3638" s="81" t="n"/>
      <c r="U3638" s="81" t="n"/>
      <c r="V3638" s="81" t="n"/>
      <c r="W3638" s="43" t="n"/>
    </row>
    <row r="3639">
      <c r="A3639" s="43" t="inlineStr">
        <is>
          <t>N25'</t>
        </is>
      </c>
      <c r="B3639" s="43" t="inlineStr"/>
      <c r="C3639" s="43" t="inlineStr">
        <is>
          <t>节段02</t>
        </is>
      </c>
      <c r="D3639" s="43" t="inlineStr">
        <is>
          <t>Q355D</t>
        </is>
      </c>
      <c r="E3639" s="43" t="n">
        <v>2057</v>
      </c>
      <c r="F3639" s="43" t="n">
        <v>200</v>
      </c>
      <c r="G3639" s="43" t="n">
        <v>16</v>
      </c>
      <c r="H3639" s="79">
        <f>(E3639/1000)*(F3639/1000)*(G3639/1000)*7850</f>
        <v/>
      </c>
      <c r="I3639" s="43" t="n">
        <v>9</v>
      </c>
      <c r="J3639" s="80">
        <f>H3639*I3639</f>
        <v/>
      </c>
      <c r="K3639" s="43" t="inlineStr">
        <is>
          <t>来源页53；校验fail</t>
        </is>
      </c>
      <c r="L3639" s="43">
        <f>A3639</f>
        <v/>
      </c>
      <c r="M3639" s="81" t="n"/>
      <c r="N3639" s="81" t="n"/>
      <c r="O3639" s="81" t="n"/>
      <c r="P3639" s="81" t="n"/>
      <c r="Q3639" s="81" t="n"/>
      <c r="R3639" s="81" t="n"/>
      <c r="S3639" s="81" t="n"/>
      <c r="T3639" s="81" t="n"/>
      <c r="U3639" s="81" t="n"/>
      <c r="V3639" s="81" t="n"/>
      <c r="W3639" s="43" t="n"/>
    </row>
    <row r="3640">
      <c r="A3640" s="43" t="inlineStr">
        <is>
          <t>N61</t>
        </is>
      </c>
      <c r="B3640" s="43" t="inlineStr"/>
      <c r="C3640" s="43" t="inlineStr">
        <is>
          <t>节段02</t>
        </is>
      </c>
      <c r="D3640" s="43" t="inlineStr">
        <is>
          <t>Q355D</t>
        </is>
      </c>
      <c r="E3640" s="43" t="n">
        <v>1980</v>
      </c>
      <c r="F3640" s="43" t="n">
        <v>610</v>
      </c>
      <c r="G3640" s="43" t="n">
        <v>14</v>
      </c>
      <c r="H3640" s="79">
        <f>(E3640/1000)*(F3640/1000)*(G3640/1000)*7850</f>
        <v/>
      </c>
      <c r="I3640" s="43" t="n">
        <v>9</v>
      </c>
      <c r="J3640" s="80">
        <f>H3640*I3640</f>
        <v/>
      </c>
      <c r="K3640" s="43" t="inlineStr">
        <is>
          <t>来源页53；校验fail</t>
        </is>
      </c>
      <c r="L3640" s="43">
        <f>A3640</f>
        <v/>
      </c>
      <c r="M3640" s="81" t="n"/>
      <c r="N3640" s="81" t="n"/>
      <c r="O3640" s="81" t="n"/>
      <c r="P3640" s="81" t="n"/>
      <c r="Q3640" s="81" t="n"/>
      <c r="R3640" s="81" t="n"/>
      <c r="S3640" s="81" t="n"/>
      <c r="T3640" s="81" t="n"/>
      <c r="U3640" s="81" t="n"/>
      <c r="V3640" s="81" t="n"/>
      <c r="W3640" s="43" t="n"/>
    </row>
    <row r="3641">
      <c r="A3641" s="43" t="inlineStr">
        <is>
          <t>N61a</t>
        </is>
      </c>
      <c r="B3641" s="43" t="inlineStr"/>
      <c r="C3641" s="43" t="inlineStr">
        <is>
          <t>节段02</t>
        </is>
      </c>
      <c r="D3641" s="43" t="inlineStr">
        <is>
          <t>Q355D</t>
        </is>
      </c>
      <c r="E3641" s="43" t="n">
        <v>1980</v>
      </c>
      <c r="F3641" s="43" t="n">
        <v>630</v>
      </c>
      <c r="G3641" s="43" t="n">
        <v>14</v>
      </c>
      <c r="H3641" s="79">
        <f>(E3641/1000)*(F3641/1000)*(G3641/1000)*7850</f>
        <v/>
      </c>
      <c r="I3641" s="43" t="n">
        <v>9</v>
      </c>
      <c r="J3641" s="80">
        <f>H3641*I3641</f>
        <v/>
      </c>
      <c r="K3641" s="43" t="inlineStr">
        <is>
          <t>来源页53；校验fail</t>
        </is>
      </c>
      <c r="L3641" s="43">
        <f>A3641</f>
        <v/>
      </c>
      <c r="M3641" s="81" t="n"/>
      <c r="N3641" s="81" t="n"/>
      <c r="O3641" s="81" t="n"/>
      <c r="P3641" s="81" t="n"/>
      <c r="Q3641" s="81" t="n"/>
      <c r="R3641" s="81" t="n"/>
      <c r="S3641" s="81" t="n"/>
      <c r="T3641" s="81" t="n"/>
      <c r="U3641" s="81" t="n"/>
      <c r="V3641" s="81" t="n"/>
      <c r="W3641" s="43" t="n"/>
    </row>
    <row r="3642">
      <c r="A3642" s="43" t="inlineStr">
        <is>
          <t>N62</t>
        </is>
      </c>
      <c r="B3642" s="43" t="inlineStr"/>
      <c r="C3642" s="43" t="inlineStr">
        <is>
          <t>节段02</t>
        </is>
      </c>
      <c r="D3642" s="43" t="inlineStr">
        <is>
          <t>Q355D</t>
        </is>
      </c>
      <c r="E3642" s="43" t="n"/>
      <c r="F3642" s="43" t="n"/>
      <c r="G3642" s="43" t="n">
        <v>24</v>
      </c>
      <c r="H3642" s="79">
        <f>(E3642/1000)*(F3642/1000)*(G3642/1000)*7850</f>
        <v/>
      </c>
      <c r="I3642" s="43" t="n">
        <v>9</v>
      </c>
      <c r="J3642" s="80">
        <f>H3642*I3642</f>
        <v/>
      </c>
      <c r="K3642" s="43" t="inlineStr">
        <is>
          <t>来源页53；校验fail</t>
        </is>
      </c>
      <c r="L3642" s="43">
        <f>A3642</f>
        <v/>
      </c>
      <c r="M3642" s="81" t="n"/>
      <c r="N3642" s="81" t="n"/>
      <c r="O3642" s="81" t="n"/>
      <c r="P3642" s="81" t="n"/>
      <c r="Q3642" s="81" t="n"/>
      <c r="R3642" s="81" t="n"/>
      <c r="S3642" s="81" t="n"/>
      <c r="T3642" s="81" t="n"/>
      <c r="U3642" s="81" t="n"/>
      <c r="V3642" s="81" t="n"/>
      <c r="W3642" s="43" t="n"/>
    </row>
    <row r="3643">
      <c r="A3643" s="43" t="inlineStr">
        <is>
          <t>N62a</t>
        </is>
      </c>
      <c r="B3643" s="43" t="inlineStr"/>
      <c r="C3643" s="43" t="inlineStr">
        <is>
          <t>节段02</t>
        </is>
      </c>
      <c r="D3643" s="43" t="inlineStr">
        <is>
          <t>Q355D</t>
        </is>
      </c>
      <c r="E3643" s="43" t="n"/>
      <c r="F3643" s="43" t="n"/>
      <c r="G3643" s="43" t="n">
        <v>24</v>
      </c>
      <c r="H3643" s="79">
        <f>(E3643/1000)*(F3643/1000)*(G3643/1000)*7850</f>
        <v/>
      </c>
      <c r="I3643" s="43" t="n">
        <v>9</v>
      </c>
      <c r="J3643" s="80">
        <f>H3643*I3643</f>
        <v/>
      </c>
      <c r="K3643" s="43" t="inlineStr">
        <is>
          <t>来源页53；校验fail</t>
        </is>
      </c>
      <c r="L3643" s="43">
        <f>A3643</f>
        <v/>
      </c>
      <c r="M3643" s="81" t="n"/>
      <c r="N3643" s="81" t="n"/>
      <c r="O3643" s="81" t="n"/>
      <c r="P3643" s="81" t="n"/>
      <c r="Q3643" s="81" t="n"/>
      <c r="R3643" s="81" t="n"/>
      <c r="S3643" s="81" t="n"/>
      <c r="T3643" s="81" t="n"/>
      <c r="U3643" s="81" t="n"/>
      <c r="V3643" s="81" t="n"/>
      <c r="W3643" s="43" t="n"/>
    </row>
    <row r="3644">
      <c r="A3644" s="43" t="inlineStr">
        <is>
          <t>N63</t>
        </is>
      </c>
      <c r="B3644" s="43" t="inlineStr"/>
      <c r="C3644" s="43" t="inlineStr">
        <is>
          <t>节段02</t>
        </is>
      </c>
      <c r="D3644" s="43" t="inlineStr">
        <is>
          <t>Q355D</t>
        </is>
      </c>
      <c r="E3644" s="43" t="n">
        <v>1800</v>
      </c>
      <c r="F3644" s="43" t="n">
        <v>610</v>
      </c>
      <c r="G3644" s="43" t="n">
        <v>14</v>
      </c>
      <c r="H3644" s="79">
        <f>(E3644/1000)*(F3644/1000)*(G3644/1000)*7850</f>
        <v/>
      </c>
      <c r="I3644" s="43" t="n">
        <v>9</v>
      </c>
      <c r="J3644" s="80">
        <f>H3644*I3644</f>
        <v/>
      </c>
      <c r="K3644" s="43" t="inlineStr">
        <is>
          <t>来源页53；校验fail</t>
        </is>
      </c>
      <c r="L3644" s="43">
        <f>A3644</f>
        <v/>
      </c>
      <c r="M3644" s="81" t="n"/>
      <c r="N3644" s="81" t="n"/>
      <c r="O3644" s="81" t="n"/>
      <c r="P3644" s="81" t="n"/>
      <c r="Q3644" s="81" t="n"/>
      <c r="R3644" s="81" t="n"/>
      <c r="S3644" s="81" t="n"/>
      <c r="T3644" s="81" t="n"/>
      <c r="U3644" s="81" t="n"/>
      <c r="V3644" s="81" t="n"/>
      <c r="W3644" s="43" t="n"/>
    </row>
    <row r="3645">
      <c r="A3645" s="43" t="inlineStr">
        <is>
          <t>N61</t>
        </is>
      </c>
      <c r="B3645" s="43" t="inlineStr"/>
      <c r="C3645" s="43" t="inlineStr">
        <is>
          <t>节段03</t>
        </is>
      </c>
      <c r="D3645" s="43" t="inlineStr">
        <is>
          <t>Q355D</t>
        </is>
      </c>
      <c r="E3645" s="43" t="n">
        <v>1980</v>
      </c>
      <c r="F3645" s="43" t="n">
        <v>610</v>
      </c>
      <c r="G3645" s="43" t="n">
        <v>14</v>
      </c>
      <c r="H3645" s="79">
        <f>(E3645/1000)*(F3645/1000)*(G3645/1000)*7850</f>
        <v/>
      </c>
      <c r="I3645" s="43" t="n">
        <v>9</v>
      </c>
      <c r="J3645" s="80">
        <f>H3645*I3645</f>
        <v/>
      </c>
      <c r="K3645" s="43" t="inlineStr">
        <is>
          <t>来源页57；校验fail</t>
        </is>
      </c>
      <c r="L3645" s="43">
        <f>A3645</f>
        <v/>
      </c>
      <c r="M3645" s="81" t="n"/>
      <c r="N3645" s="81" t="n"/>
      <c r="O3645" s="81" t="n"/>
      <c r="P3645" s="81" t="n"/>
      <c r="Q3645" s="81" t="n"/>
      <c r="R3645" s="81" t="n"/>
      <c r="S3645" s="81" t="n"/>
      <c r="T3645" s="81" t="n"/>
      <c r="U3645" s="81" t="n"/>
      <c r="V3645" s="81" t="n"/>
      <c r="W3645" s="43" t="n"/>
    </row>
    <row r="3646">
      <c r="A3646" s="43" t="inlineStr">
        <is>
          <t>N61a</t>
        </is>
      </c>
      <c r="B3646" s="43" t="inlineStr"/>
      <c r="C3646" s="43" t="inlineStr">
        <is>
          <t>节段03</t>
        </is>
      </c>
      <c r="D3646" s="43" t="inlineStr">
        <is>
          <t>Q355D</t>
        </is>
      </c>
      <c r="E3646" s="43" t="n">
        <v>1980</v>
      </c>
      <c r="F3646" s="43" t="n">
        <v>630</v>
      </c>
      <c r="G3646" s="43" t="n">
        <v>14</v>
      </c>
      <c r="H3646" s="79">
        <f>(E3646/1000)*(F3646/1000)*(G3646/1000)*7850</f>
        <v/>
      </c>
      <c r="I3646" s="43" t="n">
        <v>9</v>
      </c>
      <c r="J3646" s="80">
        <f>H3646*I3646</f>
        <v/>
      </c>
      <c r="K3646" s="43" t="inlineStr">
        <is>
          <t>来源页57；校验fail</t>
        </is>
      </c>
      <c r="L3646" s="43">
        <f>A3646</f>
        <v/>
      </c>
      <c r="M3646" s="81" t="n"/>
      <c r="N3646" s="81" t="n"/>
      <c r="O3646" s="81" t="n"/>
      <c r="P3646" s="81" t="n"/>
      <c r="Q3646" s="81" t="n"/>
      <c r="R3646" s="81" t="n"/>
      <c r="S3646" s="81" t="n"/>
      <c r="T3646" s="81" t="n"/>
      <c r="U3646" s="81" t="n"/>
      <c r="V3646" s="81" t="n"/>
      <c r="W3646" s="43" t="n"/>
    </row>
    <row r="3647">
      <c r="A3647" s="43" t="inlineStr">
        <is>
          <t>N62</t>
        </is>
      </c>
      <c r="B3647" s="43" t="inlineStr"/>
      <c r="C3647" s="43" t="inlineStr">
        <is>
          <t>节段03</t>
        </is>
      </c>
      <c r="D3647" s="43" t="inlineStr">
        <is>
          <t>Q355D</t>
        </is>
      </c>
      <c r="E3647" s="43" t="n"/>
      <c r="F3647" s="43" t="n"/>
      <c r="G3647" s="43" t="n">
        <v>24</v>
      </c>
      <c r="H3647" s="79">
        <f>(E3647/1000)*(F3647/1000)*(G3647/1000)*7850</f>
        <v/>
      </c>
      <c r="I3647" s="43" t="n">
        <v>9</v>
      </c>
      <c r="J3647" s="80">
        <f>H3647*I3647</f>
        <v/>
      </c>
      <c r="K3647" s="43" t="inlineStr">
        <is>
          <t>来源页57；校验fail</t>
        </is>
      </c>
      <c r="L3647" s="43">
        <f>A3647</f>
        <v/>
      </c>
      <c r="M3647" s="81" t="n"/>
      <c r="N3647" s="81" t="n"/>
      <c r="O3647" s="81" t="n"/>
      <c r="P3647" s="81" t="n"/>
      <c r="Q3647" s="81" t="n"/>
      <c r="R3647" s="81" t="n"/>
      <c r="S3647" s="81" t="n"/>
      <c r="T3647" s="81" t="n"/>
      <c r="U3647" s="81" t="n"/>
      <c r="V3647" s="81" t="n"/>
      <c r="W3647" s="43" t="n"/>
    </row>
    <row r="3648">
      <c r="A3648" s="43" t="inlineStr">
        <is>
          <t>N62a</t>
        </is>
      </c>
      <c r="B3648" s="43" t="inlineStr"/>
      <c r="C3648" s="43" t="inlineStr">
        <is>
          <t>节段03</t>
        </is>
      </c>
      <c r="D3648" s="43" t="inlineStr">
        <is>
          <t>Q355D</t>
        </is>
      </c>
      <c r="E3648" s="43" t="n"/>
      <c r="F3648" s="43" t="n"/>
      <c r="G3648" s="43" t="n">
        <v>24</v>
      </c>
      <c r="H3648" s="79">
        <f>(E3648/1000)*(F3648/1000)*(G3648/1000)*7850</f>
        <v/>
      </c>
      <c r="I3648" s="43" t="n">
        <v>9</v>
      </c>
      <c r="J3648" s="80">
        <f>H3648*I3648</f>
        <v/>
      </c>
      <c r="K3648" s="43" t="inlineStr">
        <is>
          <t>来源页57；校验fail</t>
        </is>
      </c>
      <c r="L3648" s="43">
        <f>A3648</f>
        <v/>
      </c>
      <c r="M3648" s="81" t="n"/>
      <c r="N3648" s="81" t="n"/>
      <c r="O3648" s="81" t="n"/>
      <c r="P3648" s="81" t="n"/>
      <c r="Q3648" s="81" t="n"/>
      <c r="R3648" s="81" t="n"/>
      <c r="S3648" s="81" t="n"/>
      <c r="T3648" s="81" t="n"/>
      <c r="U3648" s="81" t="n"/>
      <c r="V3648" s="81" t="n"/>
      <c r="W3648" s="43" t="n"/>
    </row>
    <row r="3649">
      <c r="A3649" s="43" t="inlineStr">
        <is>
          <t>N63</t>
        </is>
      </c>
      <c r="B3649" s="43" t="inlineStr"/>
      <c r="C3649" s="43" t="inlineStr">
        <is>
          <t>节段03</t>
        </is>
      </c>
      <c r="D3649" s="43" t="inlineStr">
        <is>
          <t>Q355D</t>
        </is>
      </c>
      <c r="E3649" s="43" t="n">
        <v>1800</v>
      </c>
      <c r="F3649" s="43" t="n">
        <v>610</v>
      </c>
      <c r="G3649" s="43" t="n">
        <v>14</v>
      </c>
      <c r="H3649" s="79">
        <f>(E3649/1000)*(F3649/1000)*(G3649/1000)*7850</f>
        <v/>
      </c>
      <c r="I3649" s="43" t="n">
        <v>9</v>
      </c>
      <c r="J3649" s="80">
        <f>H3649*I3649</f>
        <v/>
      </c>
      <c r="K3649" s="43" t="inlineStr">
        <is>
          <t>来源页57；校验fail</t>
        </is>
      </c>
      <c r="L3649" s="43">
        <f>A3649</f>
        <v/>
      </c>
      <c r="M3649" s="81" t="n"/>
      <c r="N3649" s="81" t="n"/>
      <c r="O3649" s="81" t="n"/>
      <c r="P3649" s="81" t="n"/>
      <c r="Q3649" s="81" t="n"/>
      <c r="R3649" s="81" t="n"/>
      <c r="S3649" s="81" t="n"/>
      <c r="T3649" s="81" t="n"/>
      <c r="U3649" s="81" t="n"/>
      <c r="V3649" s="81" t="n"/>
      <c r="W3649" s="43" t="n"/>
    </row>
    <row r="3650">
      <c r="A3650" s="43" t="inlineStr">
        <is>
          <t>K5</t>
        </is>
      </c>
      <c r="B3650" s="43" t="inlineStr">
        <is>
          <t>下弦杆拼接</t>
        </is>
      </c>
      <c r="C3650" s="43" t="inlineStr">
        <is>
          <t>节段3~节段4</t>
        </is>
      </c>
      <c r="D3650" s="43" t="inlineStr">
        <is>
          <t>Q355D</t>
        </is>
      </c>
      <c r="E3650" s="43" t="n">
        <v>920</v>
      </c>
      <c r="F3650" s="43" t="n">
        <v>200</v>
      </c>
      <c r="G3650" s="43" t="n">
        <v>20</v>
      </c>
      <c r="H3650" s="79">
        <f>(E3650/1000)*(F3650/1000)*(G3650/1000)*7850</f>
        <v/>
      </c>
      <c r="I3650" s="43" t="n">
        <v>9</v>
      </c>
      <c r="J3650" s="80">
        <f>H3650*I3650</f>
        <v/>
      </c>
      <c r="K3650" s="43" t="inlineStr">
        <is>
          <t>来源页60；校验fail</t>
        </is>
      </c>
      <c r="L3650" s="43">
        <f>A3650</f>
        <v/>
      </c>
      <c r="M3650" s="81" t="n"/>
      <c r="N3650" s="81" t="n"/>
      <c r="O3650" s="81" t="n"/>
      <c r="P3650" s="81" t="n"/>
      <c r="Q3650" s="81" t="n"/>
      <c r="R3650" s="81" t="n"/>
      <c r="S3650" s="81" t="n"/>
      <c r="T3650" s="81" t="n"/>
      <c r="U3650" s="81" t="n"/>
      <c r="V3650" s="81" t="n"/>
      <c r="W3650" s="43" t="n"/>
    </row>
    <row r="3651">
      <c r="A3651" s="43" t="inlineStr">
        <is>
          <t>N16a</t>
        </is>
      </c>
      <c r="B3651" s="43" t="inlineStr"/>
      <c r="C3651" s="43" t="inlineStr">
        <is>
          <t>节段04</t>
        </is>
      </c>
      <c r="D3651" s="43" t="inlineStr">
        <is>
          <t>Q355D</t>
        </is>
      </c>
      <c r="E3651" s="43" t="n">
        <v>7901</v>
      </c>
      <c r="F3651" s="43" t="n">
        <v>240</v>
      </c>
      <c r="G3651" s="43" t="n">
        <v>20</v>
      </c>
      <c r="H3651" s="79">
        <f>(E3651/1000)*(F3651/1000)*(G3651/1000)*7850</f>
        <v/>
      </c>
      <c r="I3651" s="43" t="n">
        <v>9</v>
      </c>
      <c r="J3651" s="80">
        <f>H3651*I3651</f>
        <v/>
      </c>
      <c r="K3651" s="43" t="inlineStr">
        <is>
          <t>来源页61；校验fail</t>
        </is>
      </c>
      <c r="L3651" s="43">
        <f>A3651</f>
        <v/>
      </c>
      <c r="M3651" s="81" t="n"/>
      <c r="N3651" s="81" t="n"/>
      <c r="O3651" s="81" t="n"/>
      <c r="P3651" s="81" t="n"/>
      <c r="Q3651" s="81" t="n"/>
      <c r="R3651" s="81" t="n"/>
      <c r="S3651" s="81" t="n"/>
      <c r="T3651" s="81" t="n"/>
      <c r="U3651" s="81" t="n"/>
      <c r="V3651" s="81" t="n"/>
      <c r="W3651" s="43" t="n"/>
    </row>
    <row r="3652">
      <c r="A3652" s="43" t="inlineStr">
        <is>
          <t>N16b</t>
        </is>
      </c>
      <c r="B3652" s="43" t="inlineStr"/>
      <c r="C3652" s="43" t="inlineStr">
        <is>
          <t>节段04</t>
        </is>
      </c>
      <c r="D3652" s="43" t="inlineStr">
        <is>
          <t>Q355D</t>
        </is>
      </c>
      <c r="E3652" s="43" t="n">
        <v>7101</v>
      </c>
      <c r="F3652" s="43" t="n">
        <v>240</v>
      </c>
      <c r="G3652" s="43" t="n">
        <v>20</v>
      </c>
      <c r="H3652" s="79">
        <f>(E3652/1000)*(F3652/1000)*(G3652/1000)*7850</f>
        <v/>
      </c>
      <c r="I3652" s="43" t="n">
        <v>9</v>
      </c>
      <c r="J3652" s="80">
        <f>H3652*I3652</f>
        <v/>
      </c>
      <c r="K3652" s="43" t="inlineStr">
        <is>
          <t>来源页61；校验fail</t>
        </is>
      </c>
      <c r="L3652" s="43">
        <f>A3652</f>
        <v/>
      </c>
      <c r="M3652" s="81" t="n"/>
      <c r="N3652" s="81" t="n"/>
      <c r="O3652" s="81" t="n"/>
      <c r="P3652" s="81" t="n"/>
      <c r="Q3652" s="81" t="n"/>
      <c r="R3652" s="81" t="n"/>
      <c r="S3652" s="81" t="n"/>
      <c r="T3652" s="81" t="n"/>
      <c r="U3652" s="81" t="n"/>
      <c r="V3652" s="81" t="n"/>
      <c r="W3652" s="43" t="n"/>
    </row>
    <row r="3653">
      <c r="A3653" s="43" t="inlineStr">
        <is>
          <t>N61</t>
        </is>
      </c>
      <c r="B3653" s="43" t="inlineStr"/>
      <c r="C3653" s="43" t="inlineStr">
        <is>
          <t>节段04</t>
        </is>
      </c>
      <c r="D3653" s="43" t="inlineStr">
        <is>
          <t>Q355D</t>
        </is>
      </c>
      <c r="E3653" s="43" t="n">
        <v>1980</v>
      </c>
      <c r="F3653" s="43" t="n">
        <v>610</v>
      </c>
      <c r="G3653" s="43" t="n">
        <v>14</v>
      </c>
      <c r="H3653" s="79">
        <f>(E3653/1000)*(F3653/1000)*(G3653/1000)*7850</f>
        <v/>
      </c>
      <c r="I3653" s="43" t="n">
        <v>9</v>
      </c>
      <c r="J3653" s="80">
        <f>H3653*I3653</f>
        <v/>
      </c>
      <c r="K3653" s="43" t="inlineStr">
        <is>
          <t>来源页61；校验fail</t>
        </is>
      </c>
      <c r="L3653" s="43">
        <f>A3653</f>
        <v/>
      </c>
      <c r="M3653" s="81" t="n"/>
      <c r="N3653" s="81" t="n"/>
      <c r="O3653" s="81" t="n"/>
      <c r="P3653" s="81" t="n"/>
      <c r="Q3653" s="81" t="n"/>
      <c r="R3653" s="81" t="n"/>
      <c r="S3653" s="81" t="n"/>
      <c r="T3653" s="81" t="n"/>
      <c r="U3653" s="81" t="n"/>
      <c r="V3653" s="81" t="n"/>
      <c r="W3653" s="43" t="n"/>
    </row>
    <row r="3654">
      <c r="A3654" s="43" t="inlineStr">
        <is>
          <t>N62</t>
        </is>
      </c>
      <c r="B3654" s="43" t="inlineStr"/>
      <c r="C3654" s="43" t="inlineStr">
        <is>
          <t>节段04</t>
        </is>
      </c>
      <c r="D3654" s="43" t="inlineStr">
        <is>
          <t>Q355D</t>
        </is>
      </c>
      <c r="E3654" s="43" t="n"/>
      <c r="F3654" s="43" t="n"/>
      <c r="G3654" s="43" t="n">
        <v>24</v>
      </c>
      <c r="H3654" s="79">
        <f>(E3654/1000)*(F3654/1000)*(G3654/1000)*7850</f>
        <v/>
      </c>
      <c r="I3654" s="43" t="n">
        <v>9</v>
      </c>
      <c r="J3654" s="80">
        <f>H3654*I3654</f>
        <v/>
      </c>
      <c r="K3654" s="43" t="inlineStr">
        <is>
          <t>来源页61；校验fail</t>
        </is>
      </c>
      <c r="L3654" s="43">
        <f>A3654</f>
        <v/>
      </c>
      <c r="M3654" s="81" t="n"/>
      <c r="N3654" s="81" t="n"/>
      <c r="O3654" s="81" t="n"/>
      <c r="P3654" s="81" t="n"/>
      <c r="Q3654" s="81" t="n"/>
      <c r="R3654" s="81" t="n"/>
      <c r="S3654" s="81" t="n"/>
      <c r="T3654" s="81" t="n"/>
      <c r="U3654" s="81" t="n"/>
      <c r="V3654" s="81" t="n"/>
      <c r="W3654" s="43" t="n"/>
    </row>
    <row r="3655">
      <c r="A3655" s="43" t="inlineStr">
        <is>
          <t>N63</t>
        </is>
      </c>
      <c r="B3655" s="43" t="inlineStr"/>
      <c r="C3655" s="43" t="inlineStr">
        <is>
          <t>节段04</t>
        </is>
      </c>
      <c r="D3655" s="43" t="inlineStr">
        <is>
          <t>Q355D</t>
        </is>
      </c>
      <c r="E3655" s="43" t="n">
        <v>1800</v>
      </c>
      <c r="F3655" s="43" t="n">
        <v>610</v>
      </c>
      <c r="G3655" s="43" t="n">
        <v>14</v>
      </c>
      <c r="H3655" s="79">
        <f>(E3655/1000)*(F3655/1000)*(G3655/1000)*7850</f>
        <v/>
      </c>
      <c r="I3655" s="43" t="n">
        <v>9</v>
      </c>
      <c r="J3655" s="80">
        <f>H3655*I3655</f>
        <v/>
      </c>
      <c r="K3655" s="43" t="inlineStr">
        <is>
          <t>来源页61；校验fail</t>
        </is>
      </c>
      <c r="L3655" s="43">
        <f>A3655</f>
        <v/>
      </c>
      <c r="M3655" s="81" t="n"/>
      <c r="N3655" s="81" t="n"/>
      <c r="O3655" s="81" t="n"/>
      <c r="P3655" s="81" t="n"/>
      <c r="Q3655" s="81" t="n"/>
      <c r="R3655" s="81" t="n"/>
      <c r="S3655" s="81" t="n"/>
      <c r="T3655" s="81" t="n"/>
      <c r="U3655" s="81" t="n"/>
      <c r="V3655" s="81" t="n"/>
      <c r="W3655" s="43" t="n"/>
    </row>
    <row r="3656">
      <c r="A3656" s="43" t="inlineStr">
        <is>
          <t>K5</t>
        </is>
      </c>
      <c r="B3656" s="43" t="inlineStr">
        <is>
          <t>下弦杆拼接</t>
        </is>
      </c>
      <c r="C3656" s="43" t="inlineStr">
        <is>
          <t>节段4~节段5</t>
        </is>
      </c>
      <c r="D3656" s="43" t="inlineStr">
        <is>
          <t>Q355D</t>
        </is>
      </c>
      <c r="E3656" s="43" t="n">
        <v>920</v>
      </c>
      <c r="F3656" s="43" t="n">
        <v>200</v>
      </c>
      <c r="G3656" s="43" t="n">
        <v>20</v>
      </c>
      <c r="H3656" s="79">
        <f>(E3656/1000)*(F3656/1000)*(G3656/1000)*7850</f>
        <v/>
      </c>
      <c r="I3656" s="43" t="n">
        <v>9</v>
      </c>
      <c r="J3656" s="80">
        <f>H3656*I3656</f>
        <v/>
      </c>
      <c r="K3656" s="43" t="inlineStr">
        <is>
          <t>来源页64；校验fail</t>
        </is>
      </c>
      <c r="L3656" s="43">
        <f>A3656</f>
        <v/>
      </c>
      <c r="M3656" s="81" t="n"/>
      <c r="N3656" s="81" t="n"/>
      <c r="O3656" s="81" t="n"/>
      <c r="P3656" s="81" t="n"/>
      <c r="Q3656" s="81" t="n"/>
      <c r="R3656" s="81" t="n"/>
      <c r="S3656" s="81" t="n"/>
      <c r="T3656" s="81" t="n"/>
      <c r="U3656" s="81" t="n"/>
      <c r="V3656" s="81" t="n"/>
      <c r="W3656" s="43" t="n"/>
    </row>
    <row r="3657">
      <c r="A3657" s="43" t="inlineStr">
        <is>
          <t>N16a</t>
        </is>
      </c>
      <c r="B3657" s="43" t="inlineStr"/>
      <c r="C3657" s="43" t="inlineStr">
        <is>
          <t>节段05</t>
        </is>
      </c>
      <c r="D3657" s="43" t="inlineStr">
        <is>
          <t>Q420D</t>
        </is>
      </c>
      <c r="E3657" s="43" t="n">
        <v>7901</v>
      </c>
      <c r="F3657" s="43" t="n">
        <v>320</v>
      </c>
      <c r="G3657" s="43" t="n">
        <v>32</v>
      </c>
      <c r="H3657" s="79">
        <f>(E3657/1000)*(F3657/1000)*(G3657/1000)*7850</f>
        <v/>
      </c>
      <c r="I3657" s="43" t="n">
        <v>9</v>
      </c>
      <c r="J3657" s="80">
        <f>H3657*I3657</f>
        <v/>
      </c>
      <c r="K3657" s="43" t="inlineStr">
        <is>
          <t>来源页65；校验fail</t>
        </is>
      </c>
      <c r="L3657" s="43">
        <f>A3657</f>
        <v/>
      </c>
      <c r="M3657" s="81" t="n"/>
      <c r="N3657" s="81" t="n"/>
      <c r="O3657" s="81" t="n"/>
      <c r="P3657" s="81" t="n"/>
      <c r="Q3657" s="81" t="n"/>
      <c r="R3657" s="81" t="n"/>
      <c r="S3657" s="81" t="n"/>
      <c r="T3657" s="81" t="n"/>
      <c r="U3657" s="81" t="n"/>
      <c r="V3657" s="81" t="n"/>
      <c r="W3657" s="43" t="n"/>
    </row>
    <row r="3658">
      <c r="A3658" s="43" t="inlineStr">
        <is>
          <t>N16b</t>
        </is>
      </c>
      <c r="B3658" s="43" t="inlineStr"/>
      <c r="C3658" s="43" t="inlineStr">
        <is>
          <t>节段05</t>
        </is>
      </c>
      <c r="D3658" s="43" t="inlineStr">
        <is>
          <t>Q355D</t>
        </is>
      </c>
      <c r="E3658" s="43" t="n">
        <v>7101</v>
      </c>
      <c r="F3658" s="43" t="n">
        <v>240</v>
      </c>
      <c r="G3658" s="43" t="n">
        <v>20</v>
      </c>
      <c r="H3658" s="79">
        <f>(E3658/1000)*(F3658/1000)*(G3658/1000)*7850</f>
        <v/>
      </c>
      <c r="I3658" s="43" t="n">
        <v>9</v>
      </c>
      <c r="J3658" s="80">
        <f>H3658*I3658</f>
        <v/>
      </c>
      <c r="K3658" s="43" t="inlineStr">
        <is>
          <t>来源页65；校验fail</t>
        </is>
      </c>
      <c r="L3658" s="43">
        <f>A3658</f>
        <v/>
      </c>
      <c r="M3658" s="81" t="n"/>
      <c r="N3658" s="81" t="n"/>
      <c r="O3658" s="81" t="n"/>
      <c r="P3658" s="81" t="n"/>
      <c r="Q3658" s="81" t="n"/>
      <c r="R3658" s="81" t="n"/>
      <c r="S3658" s="81" t="n"/>
      <c r="T3658" s="81" t="n"/>
      <c r="U3658" s="81" t="n"/>
      <c r="V3658" s="81" t="n"/>
      <c r="W3658" s="43" t="n"/>
    </row>
    <row r="3659">
      <c r="A3659" s="43" t="inlineStr">
        <is>
          <t>K5</t>
        </is>
      </c>
      <c r="B3659" s="43" t="inlineStr"/>
      <c r="C3659" s="43" t="inlineStr">
        <is>
          <t>节段5~节段6</t>
        </is>
      </c>
      <c r="D3659" s="43" t="inlineStr">
        <is>
          <t>Q355D</t>
        </is>
      </c>
      <c r="E3659" s="43" t="n">
        <v>920</v>
      </c>
      <c r="F3659" s="43" t="n">
        <v>200</v>
      </c>
      <c r="G3659" s="43" t="n">
        <v>14</v>
      </c>
      <c r="H3659" s="79">
        <f>(E3659/1000)*(F3659/1000)*(G3659/1000)*7850</f>
        <v/>
      </c>
      <c r="I3659" s="43" t="n">
        <v>9</v>
      </c>
      <c r="J3659" s="80">
        <f>H3659*I3659</f>
        <v/>
      </c>
      <c r="K3659" s="43" t="inlineStr">
        <is>
          <t>来源页68；校验fail</t>
        </is>
      </c>
      <c r="L3659" s="43">
        <f>A3659</f>
        <v/>
      </c>
      <c r="M3659" s="81" t="n"/>
      <c r="N3659" s="81" t="n"/>
      <c r="O3659" s="81" t="n"/>
      <c r="P3659" s="81" t="n"/>
      <c r="Q3659" s="81" t="n"/>
      <c r="R3659" s="81" t="n"/>
      <c r="S3659" s="81" t="n"/>
      <c r="T3659" s="81" t="n"/>
      <c r="U3659" s="81" t="n"/>
      <c r="V3659" s="81" t="n"/>
      <c r="W3659" s="43" t="n"/>
    </row>
    <row r="3660">
      <c r="A3660" s="43" t="inlineStr">
        <is>
          <t>N16b</t>
        </is>
      </c>
      <c r="B3660" s="43" t="inlineStr"/>
      <c r="C3660" s="43" t="inlineStr">
        <is>
          <t>节段06</t>
        </is>
      </c>
      <c r="D3660" s="43" t="inlineStr">
        <is>
          <t>Q420D</t>
        </is>
      </c>
      <c r="E3660" s="43" t="n">
        <v>7101</v>
      </c>
      <c r="F3660" s="43" t="n">
        <v>320</v>
      </c>
      <c r="G3660" s="43" t="n">
        <v>32</v>
      </c>
      <c r="H3660" s="79">
        <f>(E3660/1000)*(F3660/1000)*(G3660/1000)*7850</f>
        <v/>
      </c>
      <c r="I3660" s="43" t="n">
        <v>9</v>
      </c>
      <c r="J3660" s="80">
        <f>H3660*I3660</f>
        <v/>
      </c>
      <c r="K3660" s="43" t="inlineStr">
        <is>
          <t>来源页69；校验fail</t>
        </is>
      </c>
      <c r="L3660" s="43">
        <f>A3660</f>
        <v/>
      </c>
      <c r="M3660" s="81" t="n"/>
      <c r="N3660" s="81" t="n"/>
      <c r="O3660" s="81" t="n"/>
      <c r="P3660" s="81" t="n"/>
      <c r="Q3660" s="81" t="n"/>
      <c r="R3660" s="81" t="n"/>
      <c r="S3660" s="81" t="n"/>
      <c r="T3660" s="81" t="n"/>
      <c r="U3660" s="81" t="n"/>
      <c r="V3660" s="81" t="n"/>
      <c r="W3660" s="43" t="n"/>
    </row>
    <row r="3661">
      <c r="A3661" s="43" t="inlineStr">
        <is>
          <t>K5</t>
        </is>
      </c>
      <c r="B3661" s="43" t="inlineStr">
        <is>
          <t>下弦杆拼接</t>
        </is>
      </c>
      <c r="C3661" s="43" t="inlineStr"/>
      <c r="D3661" s="43" t="inlineStr">
        <is>
          <t>Q420D</t>
        </is>
      </c>
      <c r="E3661" s="43" t="n">
        <v>1320</v>
      </c>
      <c r="F3661" s="43" t="n">
        <v>240</v>
      </c>
      <c r="G3661" s="43" t="n">
        <v>24</v>
      </c>
      <c r="H3661" s="79">
        <f>(E3661/1000)*(F3661/1000)*(G3661/1000)*7850</f>
        <v/>
      </c>
      <c r="I3661" s="43" t="n">
        <v>9</v>
      </c>
      <c r="J3661" s="80">
        <f>H3661*I3661</f>
        <v/>
      </c>
      <c r="K3661" s="43" t="inlineStr">
        <is>
          <t>来源页73；校验fail</t>
        </is>
      </c>
      <c r="L3661" s="43">
        <f>A3661</f>
        <v/>
      </c>
      <c r="M3661" s="81" t="n"/>
      <c r="N3661" s="81" t="n"/>
      <c r="O3661" s="81" t="n"/>
      <c r="P3661" s="81" t="n"/>
      <c r="Q3661" s="81" t="n"/>
      <c r="R3661" s="81" t="n"/>
      <c r="S3661" s="81" t="n"/>
      <c r="T3661" s="81" t="n"/>
      <c r="U3661" s="81" t="n"/>
      <c r="V3661" s="81" t="n"/>
      <c r="W3661" s="43" t="n"/>
    </row>
    <row r="3662">
      <c r="A3662" s="43" t="inlineStr">
        <is>
          <t>N16b</t>
        </is>
      </c>
      <c r="B3662" s="43" t="inlineStr"/>
      <c r="C3662" s="43" t="inlineStr">
        <is>
          <t>节段07</t>
        </is>
      </c>
      <c r="D3662" s="43" t="inlineStr">
        <is>
          <t>Q420D</t>
        </is>
      </c>
      <c r="E3662" s="43" t="n">
        <v>6940</v>
      </c>
      <c r="F3662" s="43" t="n">
        <v>320</v>
      </c>
      <c r="G3662" s="43" t="n">
        <v>32</v>
      </c>
      <c r="H3662" s="79">
        <f>(E3662/1000)*(F3662/1000)*(G3662/1000)*7850</f>
        <v/>
      </c>
      <c r="I3662" s="43" t="n">
        <v>9</v>
      </c>
      <c r="J3662" s="80">
        <f>H3662*I3662</f>
        <v/>
      </c>
      <c r="K3662" s="43" t="inlineStr">
        <is>
          <t>来源页74；校验fail</t>
        </is>
      </c>
      <c r="L3662" s="43">
        <f>A3662</f>
        <v/>
      </c>
      <c r="M3662" s="81" t="n"/>
      <c r="N3662" s="81" t="n"/>
      <c r="O3662" s="81" t="n"/>
      <c r="P3662" s="81" t="n"/>
      <c r="Q3662" s="81" t="n"/>
      <c r="R3662" s="81" t="n"/>
      <c r="S3662" s="81" t="n"/>
      <c r="T3662" s="81" t="n"/>
      <c r="U3662" s="81" t="n"/>
      <c r="V3662" s="81" t="n"/>
      <c r="W3662" s="43" t="n"/>
    </row>
    <row r="3663">
      <c r="A3663" s="43" t="inlineStr">
        <is>
          <t>N63a</t>
        </is>
      </c>
      <c r="B3663" s="43" t="inlineStr"/>
      <c r="C3663" s="43" t="inlineStr">
        <is>
          <t>节段07</t>
        </is>
      </c>
      <c r="D3663" s="43" t="inlineStr">
        <is>
          <t>Q355D</t>
        </is>
      </c>
      <c r="E3663" s="43" t="n">
        <v>1800</v>
      </c>
      <c r="F3663" s="43" t="n">
        <v>606</v>
      </c>
      <c r="G3663" s="43" t="n">
        <v>14</v>
      </c>
      <c r="H3663" s="79">
        <f>(E3663/1000)*(F3663/1000)*(G3663/1000)*7850</f>
        <v/>
      </c>
      <c r="I3663" s="43" t="n">
        <v>9</v>
      </c>
      <c r="J3663" s="80">
        <f>H3663*I3663</f>
        <v/>
      </c>
      <c r="K3663" s="43" t="inlineStr">
        <is>
          <t>来源页74；校验fail</t>
        </is>
      </c>
      <c r="L3663" s="43">
        <f>A3663</f>
        <v/>
      </c>
      <c r="M3663" s="81" t="n"/>
      <c r="N3663" s="81" t="n"/>
      <c r="O3663" s="81" t="n"/>
      <c r="P3663" s="81" t="n"/>
      <c r="Q3663" s="81" t="n"/>
      <c r="R3663" s="81" t="n"/>
      <c r="S3663" s="81" t="n"/>
      <c r="T3663" s="81" t="n"/>
      <c r="U3663" s="81" t="n"/>
      <c r="V3663" s="81" t="n"/>
      <c r="W3663" s="43" t="n"/>
    </row>
    <row r="3664">
      <c r="A3664" s="43" t="inlineStr">
        <is>
          <t>N82</t>
        </is>
      </c>
      <c r="B3664" s="43" t="inlineStr"/>
      <c r="C3664" s="43" t="inlineStr">
        <is>
          <t>节段07</t>
        </is>
      </c>
      <c r="D3664" s="43" t="inlineStr">
        <is>
          <t>Q420D</t>
        </is>
      </c>
      <c r="E3664" s="43" t="n">
        <v>1800</v>
      </c>
      <c r="F3664" s="43" t="n">
        <v>602</v>
      </c>
      <c r="G3664" s="43" t="n">
        <v>44</v>
      </c>
      <c r="H3664" s="79">
        <f>(E3664/1000)*(F3664/1000)*(G3664/1000)*7850</f>
        <v/>
      </c>
      <c r="I3664" s="43" t="n">
        <v>9</v>
      </c>
      <c r="J3664" s="80">
        <f>H3664*I3664</f>
        <v/>
      </c>
      <c r="K3664" s="43" t="inlineStr">
        <is>
          <t>来源页74；校验fail</t>
        </is>
      </c>
      <c r="L3664" s="43">
        <f>A3664</f>
        <v/>
      </c>
      <c r="M3664" s="81" t="n"/>
      <c r="N3664" s="81" t="n"/>
      <c r="O3664" s="81" t="n"/>
      <c r="P3664" s="81" t="n"/>
      <c r="Q3664" s="81" t="n"/>
      <c r="R3664" s="81" t="n"/>
      <c r="S3664" s="81" t="n"/>
      <c r="T3664" s="81" t="n"/>
      <c r="U3664" s="81" t="n"/>
      <c r="V3664" s="81" t="n"/>
      <c r="W3664" s="43" t="n"/>
    </row>
    <row r="3665">
      <c r="A3665" s="43" t="inlineStr">
        <is>
          <t>K5</t>
        </is>
      </c>
      <c r="B3665" s="43" t="inlineStr">
        <is>
          <t>下弦杆拼接</t>
        </is>
      </c>
      <c r="C3665" s="43" t="inlineStr">
        <is>
          <t>节段7~节段8</t>
        </is>
      </c>
      <c r="D3665" s="43" t="inlineStr">
        <is>
          <t>Q420D</t>
        </is>
      </c>
      <c r="E3665" s="43" t="n">
        <v>1320</v>
      </c>
      <c r="F3665" s="43" t="n">
        <v>240</v>
      </c>
      <c r="G3665" s="43" t="n">
        <v>24</v>
      </c>
      <c r="H3665" s="79">
        <f>(E3665/1000)*(F3665/1000)*(G3665/1000)*7850</f>
        <v/>
      </c>
      <c r="I3665" s="43" t="n">
        <v>9</v>
      </c>
      <c r="J3665" s="80">
        <f>H3665*I3665</f>
        <v/>
      </c>
      <c r="K3665" s="43" t="inlineStr">
        <is>
          <t>来源页77；校验fail</t>
        </is>
      </c>
      <c r="L3665" s="43">
        <f>A3665</f>
        <v/>
      </c>
      <c r="M3665" s="81" t="n"/>
      <c r="N3665" s="81" t="n"/>
      <c r="O3665" s="81" t="n"/>
      <c r="P3665" s="81" t="n"/>
      <c r="Q3665" s="81" t="n"/>
      <c r="R3665" s="81" t="n"/>
      <c r="S3665" s="81" t="n"/>
      <c r="T3665" s="81" t="n"/>
      <c r="U3665" s="81" t="n"/>
      <c r="V3665" s="81" t="n"/>
      <c r="W3665" s="43" t="n"/>
    </row>
    <row r="3666">
      <c r="A3666" s="43" t="inlineStr">
        <is>
          <t>N16a</t>
        </is>
      </c>
      <c r="B3666" s="43" t="inlineStr">
        <is>
          <t>上弦加劲肋</t>
        </is>
      </c>
      <c r="C3666" s="43" t="inlineStr">
        <is>
          <t>节段08</t>
        </is>
      </c>
      <c r="D3666" s="43" t="inlineStr">
        <is>
          <t>Q420D</t>
        </is>
      </c>
      <c r="E3666" s="43" t="n">
        <v>7900</v>
      </c>
      <c r="F3666" s="43" t="n">
        <v>320</v>
      </c>
      <c r="G3666" s="43" t="n">
        <v>32</v>
      </c>
      <c r="H3666" s="79">
        <f>(E3666/1000)*(F3666/1000)*(G3666/1000)*7850</f>
        <v/>
      </c>
      <c r="I3666" s="43" t="n">
        <v>9</v>
      </c>
      <c r="J3666" s="80">
        <f>H3666*I3666</f>
        <v/>
      </c>
      <c r="K3666" s="43" t="inlineStr">
        <is>
          <t>来源页78；校验fail</t>
        </is>
      </c>
      <c r="L3666" s="43">
        <f>A3666</f>
        <v/>
      </c>
      <c r="M3666" s="81" t="n"/>
      <c r="N3666" s="81" t="n"/>
      <c r="O3666" s="81" t="n"/>
      <c r="P3666" s="81" t="n"/>
      <c r="Q3666" s="81" t="n"/>
      <c r="R3666" s="81" t="n"/>
      <c r="S3666" s="81" t="n"/>
      <c r="T3666" s="81" t="n"/>
      <c r="U3666" s="81" t="n"/>
      <c r="V3666" s="81" t="n"/>
      <c r="W3666" s="43" t="n"/>
    </row>
    <row r="3667">
      <c r="A3667" s="43" t="inlineStr">
        <is>
          <t>N16b</t>
        </is>
      </c>
      <c r="B3667" s="43" t="inlineStr">
        <is>
          <t>上弦加劲肋</t>
        </is>
      </c>
      <c r="C3667" s="43" t="inlineStr">
        <is>
          <t>节段08</t>
        </is>
      </c>
      <c r="D3667" s="43" t="inlineStr">
        <is>
          <t>Q420D</t>
        </is>
      </c>
      <c r="E3667" s="43" t="n">
        <v>6950</v>
      </c>
      <c r="F3667" s="43" t="n">
        <v>320</v>
      </c>
      <c r="G3667" s="43" t="n">
        <v>32</v>
      </c>
      <c r="H3667" s="79">
        <f>(E3667/1000)*(F3667/1000)*(G3667/1000)*7850</f>
        <v/>
      </c>
      <c r="I3667" s="43" t="n">
        <v>9</v>
      </c>
      <c r="J3667" s="80">
        <f>H3667*I3667</f>
        <v/>
      </c>
      <c r="K3667" s="43" t="inlineStr">
        <is>
          <t>来源页78；校验fail</t>
        </is>
      </c>
      <c r="L3667" s="43">
        <f>A3667</f>
        <v/>
      </c>
      <c r="M3667" s="81" t="n"/>
      <c r="N3667" s="81" t="n"/>
      <c r="O3667" s="81" t="n"/>
      <c r="P3667" s="81" t="n"/>
      <c r="Q3667" s="81" t="n"/>
      <c r="R3667" s="81" t="n"/>
      <c r="S3667" s="81" t="n"/>
      <c r="T3667" s="81" t="n"/>
      <c r="U3667" s="81" t="n"/>
      <c r="V3667" s="81" t="n"/>
      <c r="W3667" s="43" t="n"/>
    </row>
    <row r="3668">
      <c r="A3668" s="43" t="inlineStr">
        <is>
          <t>N55</t>
        </is>
      </c>
      <c r="B3668" s="43" t="inlineStr">
        <is>
          <t>节点板加劲</t>
        </is>
      </c>
      <c r="C3668" s="43" t="inlineStr">
        <is>
          <t>节段08</t>
        </is>
      </c>
      <c r="D3668" s="43" t="inlineStr">
        <is>
          <t>Q355D</t>
        </is>
      </c>
      <c r="E3668" s="43" t="n">
        <v>2100</v>
      </c>
      <c r="F3668" s="43" t="n">
        <v>320</v>
      </c>
      <c r="G3668" s="43" t="n">
        <v>32</v>
      </c>
      <c r="H3668" s="79">
        <f>(E3668/1000)*(F3668/1000)*(G3668/1000)*7850</f>
        <v/>
      </c>
      <c r="I3668" s="43" t="n">
        <v>9</v>
      </c>
      <c r="J3668" s="80">
        <f>H3668*I3668</f>
        <v/>
      </c>
      <c r="K3668" s="43" t="inlineStr">
        <is>
          <t>来源页78；校验fail</t>
        </is>
      </c>
      <c r="L3668" s="43">
        <f>A3668</f>
        <v/>
      </c>
      <c r="M3668" s="81" t="n"/>
      <c r="N3668" s="81" t="n"/>
      <c r="O3668" s="81" t="n"/>
      <c r="P3668" s="81" t="n"/>
      <c r="Q3668" s="81" t="n"/>
      <c r="R3668" s="81" t="n"/>
      <c r="S3668" s="81" t="n"/>
      <c r="T3668" s="81" t="n"/>
      <c r="U3668" s="81" t="n"/>
      <c r="V3668" s="81" t="n"/>
      <c r="W3668" s="43" t="n"/>
    </row>
    <row r="3669">
      <c r="A3669" s="43" t="inlineStr">
        <is>
          <t>N61</t>
        </is>
      </c>
      <c r="B3669" s="43" t="inlineStr">
        <is>
          <t>横梁接头</t>
        </is>
      </c>
      <c r="C3669" s="43" t="inlineStr">
        <is>
          <t>节段08</t>
        </is>
      </c>
      <c r="D3669" s="43" t="inlineStr">
        <is>
          <t>Q355D</t>
        </is>
      </c>
      <c r="E3669" s="43" t="n">
        <v>1960</v>
      </c>
      <c r="F3669" s="43" t="n">
        <v>606</v>
      </c>
      <c r="G3669" s="43" t="n">
        <v>14</v>
      </c>
      <c r="H3669" s="79">
        <f>(E3669/1000)*(F3669/1000)*(G3669/1000)*7850</f>
        <v/>
      </c>
      <c r="I3669" s="43" t="n">
        <v>9</v>
      </c>
      <c r="J3669" s="80">
        <f>H3669*I3669</f>
        <v/>
      </c>
      <c r="K3669" s="43" t="inlineStr">
        <is>
          <t>来源页78；校验fail</t>
        </is>
      </c>
      <c r="L3669" s="43">
        <f>A3669</f>
        <v/>
      </c>
      <c r="M3669" s="81" t="n"/>
      <c r="N3669" s="81" t="n"/>
      <c r="O3669" s="81" t="n"/>
      <c r="P3669" s="81" t="n"/>
      <c r="Q3669" s="81" t="n"/>
      <c r="R3669" s="81" t="n"/>
      <c r="S3669" s="81" t="n"/>
      <c r="T3669" s="81" t="n"/>
      <c r="U3669" s="81" t="n"/>
      <c r="V3669" s="81" t="n"/>
      <c r="W3669" s="43" t="n"/>
    </row>
    <row r="3670">
      <c r="A3670" s="43" t="inlineStr">
        <is>
          <t>N62</t>
        </is>
      </c>
      <c r="B3670" s="43" t="inlineStr">
        <is>
          <t>横梁接头</t>
        </is>
      </c>
      <c r="C3670" s="43" t="inlineStr">
        <is>
          <t>节段08</t>
        </is>
      </c>
      <c r="D3670" s="43" t="inlineStr">
        <is>
          <t>Q355D</t>
        </is>
      </c>
      <c r="E3670" s="43" t="n"/>
      <c r="F3670" s="43" t="n"/>
      <c r="G3670" s="43" t="n">
        <v>24</v>
      </c>
      <c r="H3670" s="79">
        <f>(E3670/1000)*(F3670/1000)*(G3670/1000)*7850</f>
        <v/>
      </c>
      <c r="I3670" s="43" t="n">
        <v>9</v>
      </c>
      <c r="J3670" s="80">
        <f>H3670*I3670</f>
        <v/>
      </c>
      <c r="K3670" s="43" t="inlineStr">
        <is>
          <t>来源页78；校验fail</t>
        </is>
      </c>
      <c r="L3670" s="43">
        <f>A3670</f>
        <v/>
      </c>
      <c r="M3670" s="81" t="n"/>
      <c r="N3670" s="81" t="n"/>
      <c r="O3670" s="81" t="n"/>
      <c r="P3670" s="81" t="n"/>
      <c r="Q3670" s="81" t="n"/>
      <c r="R3670" s="81" t="n"/>
      <c r="S3670" s="81" t="n"/>
      <c r="T3670" s="81" t="n"/>
      <c r="U3670" s="81" t="n"/>
      <c r="V3670" s="81" t="n"/>
      <c r="W3670" s="43" t="n"/>
    </row>
    <row r="3671">
      <c r="A3671" s="43" t="inlineStr">
        <is>
          <t>N63</t>
        </is>
      </c>
      <c r="B3671" s="43" t="inlineStr">
        <is>
          <t>横梁接头</t>
        </is>
      </c>
      <c r="C3671" s="43" t="inlineStr">
        <is>
          <t>节段08</t>
        </is>
      </c>
      <c r="D3671" s="43" t="inlineStr">
        <is>
          <t>Q355D</t>
        </is>
      </c>
      <c r="E3671" s="43" t="n">
        <v>1800</v>
      </c>
      <c r="F3671" s="43" t="n">
        <v>606</v>
      </c>
      <c r="G3671" s="43" t="n">
        <v>14</v>
      </c>
      <c r="H3671" s="79">
        <f>(E3671/1000)*(F3671/1000)*(G3671/1000)*7850</f>
        <v/>
      </c>
      <c r="I3671" s="43" t="n">
        <v>9</v>
      </c>
      <c r="J3671" s="80">
        <f>H3671*I3671</f>
        <v/>
      </c>
      <c r="K3671" s="43" t="inlineStr">
        <is>
          <t>来源页78；校验fail</t>
        </is>
      </c>
      <c r="L3671" s="43">
        <f>A3671</f>
        <v/>
      </c>
      <c r="M3671" s="81" t="n"/>
      <c r="N3671" s="81" t="n"/>
      <c r="O3671" s="81" t="n"/>
      <c r="P3671" s="81" t="n"/>
      <c r="Q3671" s="81" t="n"/>
      <c r="R3671" s="81" t="n"/>
      <c r="S3671" s="81" t="n"/>
      <c r="T3671" s="81" t="n"/>
      <c r="U3671" s="81" t="n"/>
      <c r="V3671" s="81" t="n"/>
      <c r="W3671" s="43" t="n"/>
    </row>
    <row r="3672">
      <c r="A3672" s="43" t="inlineStr">
        <is>
          <t>N16a</t>
        </is>
      </c>
      <c r="B3672" s="43" t="inlineStr">
        <is>
          <t>上弦加劲肋</t>
        </is>
      </c>
      <c r="C3672" s="43" t="inlineStr">
        <is>
          <t>节段09</t>
        </is>
      </c>
      <c r="D3672" s="43" t="inlineStr">
        <is>
          <t>Q355D</t>
        </is>
      </c>
      <c r="E3672" s="43" t="n">
        <v>7900</v>
      </c>
      <c r="F3672" s="43" t="n">
        <v>280</v>
      </c>
      <c r="G3672" s="43" t="n">
        <v>24</v>
      </c>
      <c r="H3672" s="79">
        <f>(E3672/1000)*(F3672/1000)*(G3672/1000)*7850</f>
        <v/>
      </c>
      <c r="I3672" s="43" t="n">
        <v>9</v>
      </c>
      <c r="J3672" s="80">
        <f>H3672*I3672</f>
        <v/>
      </c>
      <c r="K3672" s="43" t="inlineStr">
        <is>
          <t>来源页82；校验fail</t>
        </is>
      </c>
      <c r="L3672" s="43">
        <f>A3672</f>
        <v/>
      </c>
      <c r="M3672" s="81" t="n"/>
      <c r="N3672" s="81" t="n"/>
      <c r="O3672" s="81" t="n"/>
      <c r="P3672" s="81" t="n"/>
      <c r="Q3672" s="81" t="n"/>
      <c r="R3672" s="81" t="n"/>
      <c r="S3672" s="81" t="n"/>
      <c r="T3672" s="81" t="n"/>
      <c r="U3672" s="81" t="n"/>
      <c r="V3672" s="81" t="n"/>
      <c r="W3672" s="43" t="n"/>
    </row>
    <row r="3673">
      <c r="A3673" s="43" t="inlineStr">
        <is>
          <t>N16b</t>
        </is>
      </c>
      <c r="B3673" s="43" t="inlineStr">
        <is>
          <t>上弦加劲肋</t>
        </is>
      </c>
      <c r="C3673" s="43" t="inlineStr">
        <is>
          <t>节段09</t>
        </is>
      </c>
      <c r="D3673" s="43" t="inlineStr">
        <is>
          <t>Q355D</t>
        </is>
      </c>
      <c r="E3673" s="43" t="n">
        <v>7100</v>
      </c>
      <c r="F3673" s="43" t="n">
        <v>320</v>
      </c>
      <c r="G3673" s="43" t="n">
        <v>32</v>
      </c>
      <c r="H3673" s="79">
        <f>(E3673/1000)*(F3673/1000)*(G3673/1000)*7850</f>
        <v/>
      </c>
      <c r="I3673" s="43" t="n">
        <v>9</v>
      </c>
      <c r="J3673" s="80">
        <f>H3673*I3673</f>
        <v/>
      </c>
      <c r="K3673" s="43" t="inlineStr">
        <is>
          <t>来源页82；校验fail</t>
        </is>
      </c>
      <c r="L3673" s="43">
        <f>A3673</f>
        <v/>
      </c>
      <c r="M3673" s="81" t="n"/>
      <c r="N3673" s="81" t="n"/>
      <c r="O3673" s="81" t="n"/>
      <c r="P3673" s="81" t="n"/>
      <c r="Q3673" s="81" t="n"/>
      <c r="R3673" s="81" t="n"/>
      <c r="S3673" s="81" t="n"/>
      <c r="T3673" s="81" t="n"/>
      <c r="U3673" s="81" t="n"/>
      <c r="V3673" s="81" t="n"/>
      <c r="W3673" s="43" t="n"/>
    </row>
    <row r="3674">
      <c r="A3674" s="43" t="inlineStr">
        <is>
          <t>N61</t>
        </is>
      </c>
      <c r="B3674" s="43" t="inlineStr">
        <is>
          <t>横梁接头</t>
        </is>
      </c>
      <c r="C3674" s="43" t="inlineStr">
        <is>
          <t>节段09</t>
        </is>
      </c>
      <c r="D3674" s="43" t="inlineStr">
        <is>
          <t>Q355D</t>
        </is>
      </c>
      <c r="E3674" s="43" t="n">
        <v>1980</v>
      </c>
      <c r="F3674" s="43" t="n">
        <v>610</v>
      </c>
      <c r="G3674" s="43" t="n">
        <v>14</v>
      </c>
      <c r="H3674" s="79">
        <f>(E3674/1000)*(F3674/1000)*(G3674/1000)*7850</f>
        <v/>
      </c>
      <c r="I3674" s="43" t="n">
        <v>9</v>
      </c>
      <c r="J3674" s="80">
        <f>H3674*I3674</f>
        <v/>
      </c>
      <c r="K3674" s="43" t="inlineStr">
        <is>
          <t>来源页82；校验fail</t>
        </is>
      </c>
      <c r="L3674" s="43">
        <f>A3674</f>
        <v/>
      </c>
      <c r="M3674" s="81" t="n"/>
      <c r="N3674" s="81" t="n"/>
      <c r="O3674" s="81" t="n"/>
      <c r="P3674" s="81" t="n"/>
      <c r="Q3674" s="81" t="n"/>
      <c r="R3674" s="81" t="n"/>
      <c r="S3674" s="81" t="n"/>
      <c r="T3674" s="81" t="n"/>
      <c r="U3674" s="81" t="n"/>
      <c r="V3674" s="81" t="n"/>
      <c r="W3674" s="43" t="n"/>
    </row>
    <row r="3675">
      <c r="A3675" s="43" t="inlineStr">
        <is>
          <t>K5</t>
        </is>
      </c>
      <c r="B3675" s="43" t="inlineStr"/>
      <c r="C3675" s="43" t="inlineStr">
        <is>
          <t>节段9~节段10</t>
        </is>
      </c>
      <c r="D3675" s="43" t="inlineStr">
        <is>
          <t>Q355D</t>
        </is>
      </c>
      <c r="E3675" s="43" t="n">
        <v>920</v>
      </c>
      <c r="F3675" s="43" t="n">
        <v>200</v>
      </c>
      <c r="G3675" s="43" t="n">
        <v>20</v>
      </c>
      <c r="H3675" s="79">
        <f>(E3675/1000)*(F3675/1000)*(G3675/1000)*7850</f>
        <v/>
      </c>
      <c r="I3675" s="43" t="n">
        <v>9</v>
      </c>
      <c r="J3675" s="80">
        <f>H3675*I3675</f>
        <v/>
      </c>
      <c r="K3675" s="43" t="inlineStr">
        <is>
          <t>来源页85；校验fail</t>
        </is>
      </c>
      <c r="L3675" s="43">
        <f>A3675</f>
        <v/>
      </c>
      <c r="M3675" s="81" t="n"/>
      <c r="N3675" s="81" t="n"/>
      <c r="O3675" s="81" t="n"/>
      <c r="P3675" s="81" t="n"/>
      <c r="Q3675" s="81" t="n"/>
      <c r="R3675" s="81" t="n"/>
      <c r="S3675" s="81" t="n"/>
      <c r="T3675" s="81" t="n"/>
      <c r="U3675" s="81" t="n"/>
      <c r="V3675" s="81" t="n"/>
      <c r="W3675" s="43" t="n"/>
    </row>
    <row r="3676">
      <c r="A3676" s="43" t="inlineStr">
        <is>
          <t>N16a</t>
        </is>
      </c>
      <c r="B3676" s="43" t="inlineStr">
        <is>
          <t>上弦加劲肋</t>
        </is>
      </c>
      <c r="C3676" s="43" t="inlineStr">
        <is>
          <t>节段10</t>
        </is>
      </c>
      <c r="D3676" s="43" t="inlineStr">
        <is>
          <t>Q355D</t>
        </is>
      </c>
      <c r="E3676" s="43" t="n">
        <v>7900</v>
      </c>
      <c r="F3676" s="43" t="n">
        <v>280</v>
      </c>
      <c r="G3676" s="43" t="n">
        <v>24</v>
      </c>
      <c r="H3676" s="79">
        <f>(E3676/1000)*(F3676/1000)*(G3676/1000)*7850</f>
        <v/>
      </c>
      <c r="I3676" s="43" t="n">
        <v>9</v>
      </c>
      <c r="J3676" s="80">
        <f>H3676*I3676</f>
        <v/>
      </c>
      <c r="K3676" s="43" t="inlineStr">
        <is>
          <t>来源页86；校验fail</t>
        </is>
      </c>
      <c r="L3676" s="43">
        <f>A3676</f>
        <v/>
      </c>
      <c r="M3676" s="81" t="n"/>
      <c r="N3676" s="81" t="n"/>
      <c r="O3676" s="81" t="n"/>
      <c r="P3676" s="81" t="n"/>
      <c r="Q3676" s="81" t="n"/>
      <c r="R3676" s="81" t="n"/>
      <c r="S3676" s="81" t="n"/>
      <c r="T3676" s="81" t="n"/>
      <c r="U3676" s="81" t="n"/>
      <c r="V3676" s="81" t="n"/>
      <c r="W3676" s="43" t="n"/>
    </row>
    <row r="3677">
      <c r="A3677" s="43" t="inlineStr">
        <is>
          <t>N61</t>
        </is>
      </c>
      <c r="B3677" s="43" t="inlineStr">
        <is>
          <t>横梁接头</t>
        </is>
      </c>
      <c r="C3677" s="43" t="inlineStr">
        <is>
          <t>节段10</t>
        </is>
      </c>
      <c r="D3677" s="43" t="inlineStr">
        <is>
          <t>Q355D</t>
        </is>
      </c>
      <c r="E3677" s="43" t="n">
        <v>1980</v>
      </c>
      <c r="F3677" s="43" t="n">
        <v>610</v>
      </c>
      <c r="G3677" s="43" t="n">
        <v>14</v>
      </c>
      <c r="H3677" s="79">
        <f>(E3677/1000)*(F3677/1000)*(G3677/1000)*7850</f>
        <v/>
      </c>
      <c r="I3677" s="43" t="n">
        <v>9</v>
      </c>
      <c r="J3677" s="80">
        <f>H3677*I3677</f>
        <v/>
      </c>
      <c r="K3677" s="43" t="inlineStr">
        <is>
          <t>来源页86；校验fail</t>
        </is>
      </c>
      <c r="L3677" s="43">
        <f>A3677</f>
        <v/>
      </c>
      <c r="M3677" s="81" t="n"/>
      <c r="N3677" s="81" t="n"/>
      <c r="O3677" s="81" t="n"/>
      <c r="P3677" s="81" t="n"/>
      <c r="Q3677" s="81" t="n"/>
      <c r="R3677" s="81" t="n"/>
      <c r="S3677" s="81" t="n"/>
      <c r="T3677" s="81" t="n"/>
      <c r="U3677" s="81" t="n"/>
      <c r="V3677" s="81" t="n"/>
      <c r="W3677" s="43" t="n"/>
    </row>
    <row r="3678">
      <c r="A3678" s="43" t="inlineStr">
        <is>
          <t>N63</t>
        </is>
      </c>
      <c r="B3678" s="43" t="inlineStr">
        <is>
          <t>横梁接头</t>
        </is>
      </c>
      <c r="C3678" s="43" t="inlineStr">
        <is>
          <t>节段10</t>
        </is>
      </c>
      <c r="D3678" s="43" t="inlineStr">
        <is>
          <t>Q355D</t>
        </is>
      </c>
      <c r="E3678" s="43" t="n">
        <v>1800</v>
      </c>
      <c r="F3678" s="43" t="n">
        <v>606</v>
      </c>
      <c r="G3678" s="43" t="n">
        <v>14</v>
      </c>
      <c r="H3678" s="79">
        <f>(E3678/1000)*(F3678/1000)*(G3678/1000)*7850</f>
        <v/>
      </c>
      <c r="I3678" s="43" t="n">
        <v>9</v>
      </c>
      <c r="J3678" s="80">
        <f>H3678*I3678</f>
        <v/>
      </c>
      <c r="K3678" s="43" t="inlineStr">
        <is>
          <t>来源页86；校验fail</t>
        </is>
      </c>
      <c r="L3678" s="43">
        <f>A3678</f>
        <v/>
      </c>
      <c r="M3678" s="81" t="n"/>
      <c r="N3678" s="81" t="n"/>
      <c r="O3678" s="81" t="n"/>
      <c r="P3678" s="81" t="n"/>
      <c r="Q3678" s="81" t="n"/>
      <c r="R3678" s="81" t="n"/>
      <c r="S3678" s="81" t="n"/>
      <c r="T3678" s="81" t="n"/>
      <c r="U3678" s="81" t="n"/>
      <c r="V3678" s="81" t="n"/>
      <c r="W3678" s="43" t="n"/>
    </row>
    <row r="3679">
      <c r="A3679" s="43" t="inlineStr">
        <is>
          <t>N16a</t>
        </is>
      </c>
      <c r="B3679" s="43" t="inlineStr">
        <is>
          <t>上弦加劲肋</t>
        </is>
      </c>
      <c r="C3679" s="43" t="inlineStr">
        <is>
          <t>节段11</t>
        </is>
      </c>
      <c r="D3679" s="43" t="inlineStr">
        <is>
          <t>Q355D</t>
        </is>
      </c>
      <c r="E3679" s="43" t="n">
        <v>7900</v>
      </c>
      <c r="F3679" s="43" t="n">
        <v>280</v>
      </c>
      <c r="G3679" s="43" t="n">
        <v>24</v>
      </c>
      <c r="H3679" s="79">
        <f>(E3679/1000)*(F3679/1000)*(G3679/1000)*7850</f>
        <v/>
      </c>
      <c r="I3679" s="43" t="n">
        <v>9</v>
      </c>
      <c r="J3679" s="80">
        <f>H3679*I3679</f>
        <v/>
      </c>
      <c r="K3679" s="43" t="inlineStr">
        <is>
          <t>来源页90；校验fail</t>
        </is>
      </c>
      <c r="L3679" s="43">
        <f>A3679</f>
        <v/>
      </c>
      <c r="M3679" s="81" t="n"/>
      <c r="N3679" s="81" t="n"/>
      <c r="O3679" s="81" t="n"/>
      <c r="P3679" s="81" t="n"/>
      <c r="Q3679" s="81" t="n"/>
      <c r="R3679" s="81" t="n"/>
      <c r="S3679" s="81" t="n"/>
      <c r="T3679" s="81" t="n"/>
      <c r="U3679" s="81" t="n"/>
      <c r="V3679" s="81" t="n"/>
      <c r="W3679" s="43" t="n"/>
    </row>
    <row r="3680">
      <c r="A3680" s="43" t="inlineStr">
        <is>
          <t>N16b</t>
        </is>
      </c>
      <c r="B3680" s="43" t="inlineStr">
        <is>
          <t>上弦加劲肋</t>
        </is>
      </c>
      <c r="C3680" s="43" t="inlineStr">
        <is>
          <t>节段11</t>
        </is>
      </c>
      <c r="D3680" s="43" t="inlineStr">
        <is>
          <t>Q355D</t>
        </is>
      </c>
      <c r="E3680" s="43" t="n">
        <v>7100</v>
      </c>
      <c r="F3680" s="43" t="n">
        <v>280</v>
      </c>
      <c r="G3680" s="43" t="n">
        <v>24</v>
      </c>
      <c r="H3680" s="79">
        <f>(E3680/1000)*(F3680/1000)*(G3680/1000)*7850</f>
        <v/>
      </c>
      <c r="I3680" s="43" t="n">
        <v>9</v>
      </c>
      <c r="J3680" s="80">
        <f>H3680*I3680</f>
        <v/>
      </c>
      <c r="K3680" s="43" t="inlineStr">
        <is>
          <t>来源页90；校验fail</t>
        </is>
      </c>
      <c r="L3680" s="43">
        <f>A3680</f>
        <v/>
      </c>
      <c r="M3680" s="81" t="n"/>
      <c r="N3680" s="81" t="n"/>
      <c r="O3680" s="81" t="n"/>
      <c r="P3680" s="81" t="n"/>
      <c r="Q3680" s="81" t="n"/>
      <c r="R3680" s="81" t="n"/>
      <c r="S3680" s="81" t="n"/>
      <c r="T3680" s="81" t="n"/>
      <c r="U3680" s="81" t="n"/>
      <c r="V3680" s="81" t="n"/>
      <c r="W3680" s="43" t="n"/>
    </row>
    <row r="3681">
      <c r="A3681" s="43" t="inlineStr">
        <is>
          <t>N61</t>
        </is>
      </c>
      <c r="B3681" s="43" t="inlineStr">
        <is>
          <t>横梁接头</t>
        </is>
      </c>
      <c r="C3681" s="43" t="inlineStr">
        <is>
          <t>节段11</t>
        </is>
      </c>
      <c r="D3681" s="43" t="inlineStr">
        <is>
          <t>Q355D</t>
        </is>
      </c>
      <c r="E3681" s="43" t="n">
        <v>1980</v>
      </c>
      <c r="F3681" s="43" t="n">
        <v>610</v>
      </c>
      <c r="G3681" s="43" t="n">
        <v>14</v>
      </c>
      <c r="H3681" s="79">
        <f>(E3681/1000)*(F3681/1000)*(G3681/1000)*7850</f>
        <v/>
      </c>
      <c r="I3681" s="43" t="n">
        <v>9</v>
      </c>
      <c r="J3681" s="80">
        <f>H3681*I3681</f>
        <v/>
      </c>
      <c r="K3681" s="43" t="inlineStr">
        <is>
          <t>来源页90；校验fail</t>
        </is>
      </c>
      <c r="L3681" s="43">
        <f>A3681</f>
        <v/>
      </c>
      <c r="M3681" s="81" t="n"/>
      <c r="N3681" s="81" t="n"/>
      <c r="O3681" s="81" t="n"/>
      <c r="P3681" s="81" t="n"/>
      <c r="Q3681" s="81" t="n"/>
      <c r="R3681" s="81" t="n"/>
      <c r="S3681" s="81" t="n"/>
      <c r="T3681" s="81" t="n"/>
      <c r="U3681" s="81" t="n"/>
      <c r="V3681" s="81" t="n"/>
      <c r="W3681" s="43" t="n"/>
    </row>
    <row r="3682">
      <c r="A3682" s="43" t="inlineStr">
        <is>
          <t>N62</t>
        </is>
      </c>
      <c r="B3682" s="43" t="inlineStr">
        <is>
          <t>横梁接头</t>
        </is>
      </c>
      <c r="C3682" s="43" t="inlineStr">
        <is>
          <t>节段11</t>
        </is>
      </c>
      <c r="D3682" s="43" t="inlineStr">
        <is>
          <t>Q355D</t>
        </is>
      </c>
      <c r="E3682" s="43" t="n"/>
      <c r="F3682" s="43" t="n"/>
      <c r="G3682" s="43" t="n">
        <v>24</v>
      </c>
      <c r="H3682" s="79">
        <f>(E3682/1000)*(F3682/1000)*(G3682/1000)*7850</f>
        <v/>
      </c>
      <c r="I3682" s="43" t="n">
        <v>9</v>
      </c>
      <c r="J3682" s="80">
        <f>H3682*I3682</f>
        <v/>
      </c>
      <c r="K3682" s="43" t="inlineStr">
        <is>
          <t>来源页90；校验fail</t>
        </is>
      </c>
      <c r="L3682" s="43">
        <f>A3682</f>
        <v/>
      </c>
      <c r="M3682" s="81" t="n"/>
      <c r="N3682" s="81" t="n"/>
      <c r="O3682" s="81" t="n"/>
      <c r="P3682" s="81" t="n"/>
      <c r="Q3682" s="81" t="n"/>
      <c r="R3682" s="81" t="n"/>
      <c r="S3682" s="81" t="n"/>
      <c r="T3682" s="81" t="n"/>
      <c r="U3682" s="81" t="n"/>
      <c r="V3682" s="81" t="n"/>
      <c r="W3682" s="43" t="n"/>
    </row>
    <row r="3683">
      <c r="A3683" s="43" t="inlineStr">
        <is>
          <t>N63</t>
        </is>
      </c>
      <c r="B3683" s="43" t="inlineStr">
        <is>
          <t>横梁接头</t>
        </is>
      </c>
      <c r="C3683" s="43" t="inlineStr">
        <is>
          <t>节段11</t>
        </is>
      </c>
      <c r="D3683" s="43" t="inlineStr">
        <is>
          <t>Q355D</t>
        </is>
      </c>
      <c r="E3683" s="43" t="n">
        <v>1800</v>
      </c>
      <c r="F3683" s="43" t="n">
        <v>606</v>
      </c>
      <c r="G3683" s="43" t="n">
        <v>14</v>
      </c>
      <c r="H3683" s="79">
        <f>(E3683/1000)*(F3683/1000)*(G3683/1000)*7850</f>
        <v/>
      </c>
      <c r="I3683" s="43" t="n">
        <v>9</v>
      </c>
      <c r="J3683" s="80">
        <f>H3683*I3683</f>
        <v/>
      </c>
      <c r="K3683" s="43" t="inlineStr">
        <is>
          <t>来源页90；校验fail</t>
        </is>
      </c>
      <c r="L3683" s="43">
        <f>A3683</f>
        <v/>
      </c>
      <c r="M3683" s="81" t="n"/>
      <c r="N3683" s="81" t="n"/>
      <c r="O3683" s="81" t="n"/>
      <c r="P3683" s="81" t="n"/>
      <c r="Q3683" s="81" t="n"/>
      <c r="R3683" s="81" t="n"/>
      <c r="S3683" s="81" t="n"/>
      <c r="T3683" s="81" t="n"/>
      <c r="U3683" s="81" t="n"/>
      <c r="V3683" s="81" t="n"/>
      <c r="W3683" s="43" t="n"/>
    </row>
    <row r="3684">
      <c r="A3684" s="43" t="inlineStr">
        <is>
          <t>N16a</t>
        </is>
      </c>
      <c r="B3684" s="43" t="inlineStr">
        <is>
          <t>上弦加劲肋</t>
        </is>
      </c>
      <c r="C3684" s="43" t="inlineStr">
        <is>
          <t>节段12</t>
        </is>
      </c>
      <c r="D3684" s="43" t="inlineStr">
        <is>
          <t>Q355D</t>
        </is>
      </c>
      <c r="E3684" s="43" t="n">
        <v>7900</v>
      </c>
      <c r="F3684" s="43" t="n">
        <v>280</v>
      </c>
      <c r="G3684" s="43" t="n">
        <v>24</v>
      </c>
      <c r="H3684" s="79">
        <f>(E3684/1000)*(F3684/1000)*(G3684/1000)*7850</f>
        <v/>
      </c>
      <c r="I3684" s="43" t="n">
        <v>9</v>
      </c>
      <c r="J3684" s="80">
        <f>H3684*I3684</f>
        <v/>
      </c>
      <c r="K3684" s="43" t="inlineStr">
        <is>
          <t>来源页94；校验fail</t>
        </is>
      </c>
      <c r="L3684" s="43">
        <f>A3684</f>
        <v/>
      </c>
      <c r="M3684" s="81" t="n"/>
      <c r="N3684" s="81" t="n"/>
      <c r="O3684" s="81" t="n"/>
      <c r="P3684" s="81" t="n"/>
      <c r="Q3684" s="81" t="n"/>
      <c r="R3684" s="81" t="n"/>
      <c r="S3684" s="81" t="n"/>
      <c r="T3684" s="81" t="n"/>
      <c r="U3684" s="81" t="n"/>
      <c r="V3684" s="81" t="n"/>
      <c r="W3684" s="43" t="n"/>
    </row>
    <row r="3685">
      <c r="A3685" s="43" t="inlineStr">
        <is>
          <t>N16b</t>
        </is>
      </c>
      <c r="B3685" s="43" t="inlineStr">
        <is>
          <t>上弦加劲肋</t>
        </is>
      </c>
      <c r="C3685" s="43" t="inlineStr">
        <is>
          <t>节段12</t>
        </is>
      </c>
      <c r="D3685" s="43" t="inlineStr">
        <is>
          <t>Q355D</t>
        </is>
      </c>
      <c r="E3685" s="43" t="n">
        <v>7100</v>
      </c>
      <c r="F3685" s="43" t="n">
        <v>280</v>
      </c>
      <c r="G3685" s="43" t="n">
        <v>24</v>
      </c>
      <c r="H3685" s="79">
        <f>(E3685/1000)*(F3685/1000)*(G3685/1000)*7850</f>
        <v/>
      </c>
      <c r="I3685" s="43" t="n">
        <v>9</v>
      </c>
      <c r="J3685" s="80">
        <f>H3685*I3685</f>
        <v/>
      </c>
      <c r="K3685" s="43" t="inlineStr">
        <is>
          <t>来源页94；校验fail</t>
        </is>
      </c>
      <c r="L3685" s="43">
        <f>A3685</f>
        <v/>
      </c>
      <c r="M3685" s="81" t="n"/>
      <c r="N3685" s="81" t="n"/>
      <c r="O3685" s="81" t="n"/>
      <c r="P3685" s="81" t="n"/>
      <c r="Q3685" s="81" t="n"/>
      <c r="R3685" s="81" t="n"/>
      <c r="S3685" s="81" t="n"/>
      <c r="T3685" s="81" t="n"/>
      <c r="U3685" s="81" t="n"/>
      <c r="V3685" s="81" t="n"/>
      <c r="W3685" s="43" t="n"/>
    </row>
    <row r="3686">
      <c r="A3686" s="43" t="inlineStr">
        <is>
          <t>N61</t>
        </is>
      </c>
      <c r="B3686" s="43" t="inlineStr">
        <is>
          <t>横梁接头</t>
        </is>
      </c>
      <c r="C3686" s="43" t="inlineStr">
        <is>
          <t>节段12</t>
        </is>
      </c>
      <c r="D3686" s="43" t="inlineStr">
        <is>
          <t>Q355D</t>
        </is>
      </c>
      <c r="E3686" s="43" t="n">
        <v>1980</v>
      </c>
      <c r="F3686" s="43" t="n">
        <v>610</v>
      </c>
      <c r="G3686" s="43" t="n">
        <v>14</v>
      </c>
      <c r="H3686" s="79">
        <f>(E3686/1000)*(F3686/1000)*(G3686/1000)*7850</f>
        <v/>
      </c>
      <c r="I3686" s="43" t="n">
        <v>9</v>
      </c>
      <c r="J3686" s="80">
        <f>H3686*I3686</f>
        <v/>
      </c>
      <c r="K3686" s="43" t="inlineStr">
        <is>
          <t>来源页94；校验fail</t>
        </is>
      </c>
      <c r="L3686" s="43">
        <f>A3686</f>
        <v/>
      </c>
      <c r="M3686" s="81" t="n"/>
      <c r="N3686" s="81" t="n"/>
      <c r="O3686" s="81" t="n"/>
      <c r="P3686" s="81" t="n"/>
      <c r="Q3686" s="81" t="n"/>
      <c r="R3686" s="81" t="n"/>
      <c r="S3686" s="81" t="n"/>
      <c r="T3686" s="81" t="n"/>
      <c r="U3686" s="81" t="n"/>
      <c r="V3686" s="81" t="n"/>
      <c r="W3686" s="43" t="n"/>
    </row>
    <row r="3687">
      <c r="A3687" s="43" t="inlineStr">
        <is>
          <t>N62</t>
        </is>
      </c>
      <c r="B3687" s="43" t="inlineStr">
        <is>
          <t>横梁接头</t>
        </is>
      </c>
      <c r="C3687" s="43" t="inlineStr">
        <is>
          <t>节段12</t>
        </is>
      </c>
      <c r="D3687" s="43" t="inlineStr">
        <is>
          <t>Q355D</t>
        </is>
      </c>
      <c r="E3687" s="43" t="n"/>
      <c r="F3687" s="43" t="n"/>
      <c r="G3687" s="43" t="n">
        <v>24</v>
      </c>
      <c r="H3687" s="79">
        <f>(E3687/1000)*(F3687/1000)*(G3687/1000)*7850</f>
        <v/>
      </c>
      <c r="I3687" s="43" t="n">
        <v>9</v>
      </c>
      <c r="J3687" s="80">
        <f>H3687*I3687</f>
        <v/>
      </c>
      <c r="K3687" s="43" t="inlineStr">
        <is>
          <t>来源页94；校验fail</t>
        </is>
      </c>
      <c r="L3687" s="43">
        <f>A3687</f>
        <v/>
      </c>
      <c r="M3687" s="81" t="n"/>
      <c r="N3687" s="81" t="n"/>
      <c r="O3687" s="81" t="n"/>
      <c r="P3687" s="81" t="n"/>
      <c r="Q3687" s="81" t="n"/>
      <c r="R3687" s="81" t="n"/>
      <c r="S3687" s="81" t="n"/>
      <c r="T3687" s="81" t="n"/>
      <c r="U3687" s="81" t="n"/>
      <c r="V3687" s="81" t="n"/>
      <c r="W3687" s="43" t="n"/>
    </row>
    <row r="3688">
      <c r="A3688" s="43" t="inlineStr">
        <is>
          <t>N63</t>
        </is>
      </c>
      <c r="B3688" s="43" t="inlineStr">
        <is>
          <t>横梁接头</t>
        </is>
      </c>
      <c r="C3688" s="43" t="inlineStr">
        <is>
          <t>节段12</t>
        </is>
      </c>
      <c r="D3688" s="43" t="inlineStr">
        <is>
          <t>Q355D</t>
        </is>
      </c>
      <c r="E3688" s="43" t="n">
        <v>1800</v>
      </c>
      <c r="F3688" s="43" t="n">
        <v>606</v>
      </c>
      <c r="G3688" s="43" t="n">
        <v>14</v>
      </c>
      <c r="H3688" s="79">
        <f>(E3688/1000)*(F3688/1000)*(G3688/1000)*7850</f>
        <v/>
      </c>
      <c r="I3688" s="43" t="n">
        <v>9</v>
      </c>
      <c r="J3688" s="80">
        <f>H3688*I3688</f>
        <v/>
      </c>
      <c r="K3688" s="43" t="inlineStr">
        <is>
          <t>来源页94；校验fail</t>
        </is>
      </c>
      <c r="L3688" s="43">
        <f>A3688</f>
        <v/>
      </c>
      <c r="M3688" s="81" t="n"/>
      <c r="N3688" s="81" t="n"/>
      <c r="O3688" s="81" t="n"/>
      <c r="P3688" s="81" t="n"/>
      <c r="Q3688" s="81" t="n"/>
      <c r="R3688" s="81" t="n"/>
      <c r="S3688" s="81" t="n"/>
      <c r="T3688" s="81" t="n"/>
      <c r="U3688" s="81" t="n"/>
      <c r="V3688" s="81" t="n"/>
      <c r="W3688" s="43" t="n"/>
    </row>
    <row r="3689">
      <c r="A3689" s="43" t="inlineStr">
        <is>
          <t>N16a</t>
        </is>
      </c>
      <c r="B3689" s="43" t="inlineStr">
        <is>
          <t>上弦加劲肋</t>
        </is>
      </c>
      <c r="C3689" s="43" t="inlineStr">
        <is>
          <t>节段13</t>
        </is>
      </c>
      <c r="D3689" s="43" t="inlineStr">
        <is>
          <t>Q355D</t>
        </is>
      </c>
      <c r="E3689" s="43" t="n">
        <v>7900</v>
      </c>
      <c r="F3689" s="43" t="n">
        <v>280</v>
      </c>
      <c r="G3689" s="43" t="n">
        <v>24</v>
      </c>
      <c r="H3689" s="79">
        <f>(E3689/1000)*(F3689/1000)*(G3689/1000)*7850</f>
        <v/>
      </c>
      <c r="I3689" s="43" t="n">
        <v>9</v>
      </c>
      <c r="J3689" s="80">
        <f>H3689*I3689</f>
        <v/>
      </c>
      <c r="K3689" s="43" t="inlineStr">
        <is>
          <t>来源页98；校验fail</t>
        </is>
      </c>
      <c r="L3689" s="43">
        <f>A3689</f>
        <v/>
      </c>
      <c r="M3689" s="81" t="n"/>
      <c r="N3689" s="81" t="n"/>
      <c r="O3689" s="81" t="n"/>
      <c r="P3689" s="81" t="n"/>
      <c r="Q3689" s="81" t="n"/>
      <c r="R3689" s="81" t="n"/>
      <c r="S3689" s="81" t="n"/>
      <c r="T3689" s="81" t="n"/>
      <c r="U3689" s="81" t="n"/>
      <c r="V3689" s="81" t="n"/>
      <c r="W3689" s="43" t="n"/>
    </row>
    <row r="3690">
      <c r="A3690" s="43" t="inlineStr">
        <is>
          <t>N16b</t>
        </is>
      </c>
      <c r="B3690" s="43" t="inlineStr">
        <is>
          <t>上弦加劲肋</t>
        </is>
      </c>
      <c r="C3690" s="43" t="inlineStr">
        <is>
          <t>节段13</t>
        </is>
      </c>
      <c r="D3690" s="43" t="inlineStr">
        <is>
          <t>Q355D</t>
        </is>
      </c>
      <c r="E3690" s="43" t="n">
        <v>7100</v>
      </c>
      <c r="F3690" s="43" t="n">
        <v>280</v>
      </c>
      <c r="G3690" s="43" t="n">
        <v>24</v>
      </c>
      <c r="H3690" s="79">
        <f>(E3690/1000)*(F3690/1000)*(G3690/1000)*7850</f>
        <v/>
      </c>
      <c r="I3690" s="43" t="n">
        <v>9</v>
      </c>
      <c r="J3690" s="80">
        <f>H3690*I3690</f>
        <v/>
      </c>
      <c r="K3690" s="43" t="inlineStr">
        <is>
          <t>来源页98；校验fail</t>
        </is>
      </c>
      <c r="L3690" s="43">
        <f>A3690</f>
        <v/>
      </c>
      <c r="M3690" s="81" t="n"/>
      <c r="N3690" s="81" t="n"/>
      <c r="O3690" s="81" t="n"/>
      <c r="P3690" s="81" t="n"/>
      <c r="Q3690" s="81" t="n"/>
      <c r="R3690" s="81" t="n"/>
      <c r="S3690" s="81" t="n"/>
      <c r="T3690" s="81" t="n"/>
      <c r="U3690" s="81" t="n"/>
      <c r="V3690" s="81" t="n"/>
      <c r="W3690" s="43" t="n"/>
    </row>
    <row r="3691">
      <c r="A3691" s="43" t="inlineStr">
        <is>
          <t>N61</t>
        </is>
      </c>
      <c r="B3691" s="43" t="inlineStr">
        <is>
          <t>横梁接头</t>
        </is>
      </c>
      <c r="C3691" s="43" t="inlineStr">
        <is>
          <t>节段13</t>
        </is>
      </c>
      <c r="D3691" s="43" t="inlineStr">
        <is>
          <t>Q355D</t>
        </is>
      </c>
      <c r="E3691" s="43" t="n">
        <v>1980</v>
      </c>
      <c r="F3691" s="43" t="n">
        <v>610</v>
      </c>
      <c r="G3691" s="43" t="n">
        <v>14</v>
      </c>
      <c r="H3691" s="79">
        <f>(E3691/1000)*(F3691/1000)*(G3691/1000)*7850</f>
        <v/>
      </c>
      <c r="I3691" s="43" t="n">
        <v>9</v>
      </c>
      <c r="J3691" s="80">
        <f>H3691*I3691</f>
        <v/>
      </c>
      <c r="K3691" s="43" t="inlineStr">
        <is>
          <t>来源页98；校验fail</t>
        </is>
      </c>
      <c r="L3691" s="43">
        <f>A3691</f>
        <v/>
      </c>
      <c r="M3691" s="81" t="n"/>
      <c r="N3691" s="81" t="n"/>
      <c r="O3691" s="81" t="n"/>
      <c r="P3691" s="81" t="n"/>
      <c r="Q3691" s="81" t="n"/>
      <c r="R3691" s="81" t="n"/>
      <c r="S3691" s="81" t="n"/>
      <c r="T3691" s="81" t="n"/>
      <c r="U3691" s="81" t="n"/>
      <c r="V3691" s="81" t="n"/>
      <c r="W3691" s="43" t="n"/>
    </row>
    <row r="3692">
      <c r="A3692" s="43" t="inlineStr">
        <is>
          <t>N62</t>
        </is>
      </c>
      <c r="B3692" s="43" t="inlineStr">
        <is>
          <t>横梁接头</t>
        </is>
      </c>
      <c r="C3692" s="43" t="inlineStr">
        <is>
          <t>节段13</t>
        </is>
      </c>
      <c r="D3692" s="43" t="inlineStr">
        <is>
          <t>Q355D</t>
        </is>
      </c>
      <c r="E3692" s="43" t="n"/>
      <c r="F3692" s="43" t="n"/>
      <c r="G3692" s="43" t="n">
        <v>24</v>
      </c>
      <c r="H3692" s="79">
        <f>(E3692/1000)*(F3692/1000)*(G3692/1000)*7850</f>
        <v/>
      </c>
      <c r="I3692" s="43" t="n">
        <v>9</v>
      </c>
      <c r="J3692" s="80">
        <f>H3692*I3692</f>
        <v/>
      </c>
      <c r="K3692" s="43" t="inlineStr">
        <is>
          <t>来源页98；校验fail</t>
        </is>
      </c>
      <c r="L3692" s="43">
        <f>A3692</f>
        <v/>
      </c>
      <c r="M3692" s="81" t="n"/>
      <c r="N3692" s="81" t="n"/>
      <c r="O3692" s="81" t="n"/>
      <c r="P3692" s="81" t="n"/>
      <c r="Q3692" s="81" t="n"/>
      <c r="R3692" s="81" t="n"/>
      <c r="S3692" s="81" t="n"/>
      <c r="T3692" s="81" t="n"/>
      <c r="U3692" s="81" t="n"/>
      <c r="V3692" s="81" t="n"/>
      <c r="W3692" s="43" t="n"/>
    </row>
    <row r="3693">
      <c r="A3693" s="43" t="inlineStr">
        <is>
          <t>N63</t>
        </is>
      </c>
      <c r="B3693" s="43" t="inlineStr">
        <is>
          <t>横梁接头</t>
        </is>
      </c>
      <c r="C3693" s="43" t="inlineStr">
        <is>
          <t>节段13</t>
        </is>
      </c>
      <c r="D3693" s="43" t="inlineStr">
        <is>
          <t>Q355D</t>
        </is>
      </c>
      <c r="E3693" s="43" t="n">
        <v>1800</v>
      </c>
      <c r="F3693" s="43" t="n">
        <v>606</v>
      </c>
      <c r="G3693" s="43" t="n">
        <v>14</v>
      </c>
      <c r="H3693" s="79">
        <f>(E3693/1000)*(F3693/1000)*(G3693/1000)*7850</f>
        <v/>
      </c>
      <c r="I3693" s="43" t="n">
        <v>9</v>
      </c>
      <c r="J3693" s="80">
        <f>H3693*I3693</f>
        <v/>
      </c>
      <c r="K3693" s="43" t="inlineStr">
        <is>
          <t>来源页98；校验fail</t>
        </is>
      </c>
      <c r="L3693" s="43">
        <f>A3693</f>
        <v/>
      </c>
      <c r="M3693" s="81" t="n"/>
      <c r="N3693" s="81" t="n"/>
      <c r="O3693" s="81" t="n"/>
      <c r="P3693" s="81" t="n"/>
      <c r="Q3693" s="81" t="n"/>
      <c r="R3693" s="81" t="n"/>
      <c r="S3693" s="81" t="n"/>
      <c r="T3693" s="81" t="n"/>
      <c r="U3693" s="81" t="n"/>
      <c r="V3693" s="81" t="n"/>
      <c r="W3693" s="43" t="n"/>
    </row>
    <row r="3694">
      <c r="A3694" s="43" t="inlineStr">
        <is>
          <t>K5</t>
        </is>
      </c>
      <c r="B3694" s="43" t="inlineStr">
        <is>
          <t>下弦杆拼接</t>
        </is>
      </c>
      <c r="C3694" s="43" t="inlineStr">
        <is>
          <t>节段13~节段14</t>
        </is>
      </c>
      <c r="D3694" s="43" t="inlineStr">
        <is>
          <t>Q355D</t>
        </is>
      </c>
      <c r="E3694" s="43" t="n">
        <v>920</v>
      </c>
      <c r="F3694" s="43" t="n">
        <v>200</v>
      </c>
      <c r="G3694" s="43" t="n">
        <v>20</v>
      </c>
      <c r="H3694" s="79">
        <f>(E3694/1000)*(F3694/1000)*(G3694/1000)*7850</f>
        <v/>
      </c>
      <c r="I3694" s="43" t="n">
        <v>9</v>
      </c>
      <c r="J3694" s="80">
        <f>H3694*I3694</f>
        <v/>
      </c>
      <c r="K3694" s="43" t="inlineStr">
        <is>
          <t>来源页101；校验fail</t>
        </is>
      </c>
      <c r="L3694" s="43">
        <f>A3694</f>
        <v/>
      </c>
      <c r="M3694" s="81" t="n"/>
      <c r="N3694" s="81" t="n"/>
      <c r="O3694" s="81" t="n"/>
      <c r="P3694" s="81" t="n"/>
      <c r="Q3694" s="81" t="n"/>
      <c r="R3694" s="81" t="n"/>
      <c r="S3694" s="81" t="n"/>
      <c r="T3694" s="81" t="n"/>
      <c r="U3694" s="81" t="n"/>
      <c r="V3694" s="81" t="n"/>
      <c r="W3694" s="43" t="n"/>
    </row>
    <row r="3695">
      <c r="A3695" s="43" t="inlineStr">
        <is>
          <t>N16b</t>
        </is>
      </c>
      <c r="B3695" s="43" t="inlineStr">
        <is>
          <t>上弦加劲肋</t>
        </is>
      </c>
      <c r="C3695" s="43" t="inlineStr">
        <is>
          <t>节段14</t>
        </is>
      </c>
      <c r="D3695" s="43" t="inlineStr">
        <is>
          <t>Q355D</t>
        </is>
      </c>
      <c r="E3695" s="43" t="n">
        <v>7100</v>
      </c>
      <c r="F3695" s="43" t="n">
        <v>280</v>
      </c>
      <c r="G3695" s="43" t="n">
        <v>24</v>
      </c>
      <c r="H3695" s="79">
        <f>(E3695/1000)*(F3695/1000)*(G3695/1000)*7850</f>
        <v/>
      </c>
      <c r="I3695" s="43" t="n">
        <v>9</v>
      </c>
      <c r="J3695" s="80">
        <f>H3695*I3695</f>
        <v/>
      </c>
      <c r="K3695" s="43" t="inlineStr">
        <is>
          <t>来源页102；校验fail</t>
        </is>
      </c>
      <c r="L3695" s="43">
        <f>A3695</f>
        <v/>
      </c>
      <c r="M3695" s="81" t="n"/>
      <c r="N3695" s="81" t="n"/>
      <c r="O3695" s="81" t="n"/>
      <c r="P3695" s="81" t="n"/>
      <c r="Q3695" s="81" t="n"/>
      <c r="R3695" s="81" t="n"/>
      <c r="S3695" s="81" t="n"/>
      <c r="T3695" s="81" t="n"/>
      <c r="U3695" s="81" t="n"/>
      <c r="V3695" s="81" t="n"/>
      <c r="W3695" s="43" t="n"/>
    </row>
    <row r="3696">
      <c r="A3696" s="43" t="inlineStr">
        <is>
          <t>N61</t>
        </is>
      </c>
      <c r="B3696" s="43" t="inlineStr">
        <is>
          <t>横梁接头</t>
        </is>
      </c>
      <c r="C3696" s="43" t="inlineStr">
        <is>
          <t>节段14</t>
        </is>
      </c>
      <c r="D3696" s="43" t="inlineStr">
        <is>
          <t>Q355D</t>
        </is>
      </c>
      <c r="E3696" s="43" t="n">
        <v>1980</v>
      </c>
      <c r="F3696" s="43" t="n">
        <v>610</v>
      </c>
      <c r="G3696" s="43" t="n">
        <v>14</v>
      </c>
      <c r="H3696" s="79">
        <f>(E3696/1000)*(F3696/1000)*(G3696/1000)*7850</f>
        <v/>
      </c>
      <c r="I3696" s="43" t="n">
        <v>9</v>
      </c>
      <c r="J3696" s="80">
        <f>H3696*I3696</f>
        <v/>
      </c>
      <c r="K3696" s="43" t="inlineStr">
        <is>
          <t>来源页102；校验fail</t>
        </is>
      </c>
      <c r="L3696" s="43">
        <f>A3696</f>
        <v/>
      </c>
      <c r="M3696" s="81" t="n"/>
      <c r="N3696" s="81" t="n"/>
      <c r="O3696" s="81" t="n"/>
      <c r="P3696" s="81" t="n"/>
      <c r="Q3696" s="81" t="n"/>
      <c r="R3696" s="81" t="n"/>
      <c r="S3696" s="81" t="n"/>
      <c r="T3696" s="81" t="n"/>
      <c r="U3696" s="81" t="n"/>
      <c r="V3696" s="81" t="n"/>
      <c r="W3696" s="43" t="n"/>
    </row>
    <row r="3697">
      <c r="A3697" s="43" t="inlineStr">
        <is>
          <t>K5</t>
        </is>
      </c>
      <c r="B3697" s="43" t="inlineStr">
        <is>
          <t>下弦杆拼接</t>
        </is>
      </c>
      <c r="C3697" s="43" t="inlineStr">
        <is>
          <t>节段14~节段15</t>
        </is>
      </c>
      <c r="D3697" s="43" t="inlineStr">
        <is>
          <t>Q355D</t>
        </is>
      </c>
      <c r="E3697" s="43" t="n">
        <v>920</v>
      </c>
      <c r="F3697" s="43" t="n">
        <v>200</v>
      </c>
      <c r="G3697" s="43" t="n">
        <v>20</v>
      </c>
      <c r="H3697" s="79">
        <f>(E3697/1000)*(F3697/1000)*(G3697/1000)*7850</f>
        <v/>
      </c>
      <c r="I3697" s="43" t="n">
        <v>9</v>
      </c>
      <c r="J3697" s="80">
        <f>H3697*I3697</f>
        <v/>
      </c>
      <c r="K3697" s="43" t="inlineStr">
        <is>
          <t>来源页105；校验fail</t>
        </is>
      </c>
      <c r="L3697" s="43">
        <f>A3697</f>
        <v/>
      </c>
      <c r="M3697" s="81" t="n"/>
      <c r="N3697" s="81" t="n"/>
      <c r="O3697" s="81" t="n"/>
      <c r="P3697" s="81" t="n"/>
      <c r="Q3697" s="81" t="n"/>
      <c r="R3697" s="81" t="n"/>
      <c r="S3697" s="81" t="n"/>
      <c r="T3697" s="81" t="n"/>
      <c r="U3697" s="81" t="n"/>
      <c r="V3697" s="81" t="n"/>
      <c r="W3697" s="43" t="n"/>
    </row>
    <row r="3698">
      <c r="A3698" s="43" t="inlineStr">
        <is>
          <t>N16a</t>
        </is>
      </c>
      <c r="B3698" s="43" t="inlineStr">
        <is>
          <t>上弦加劲肋</t>
        </is>
      </c>
      <c r="C3698" s="43" t="inlineStr">
        <is>
          <t>节段15</t>
        </is>
      </c>
      <c r="D3698" s="43" t="inlineStr">
        <is>
          <t>Q420D</t>
        </is>
      </c>
      <c r="E3698" s="43" t="n">
        <v>7900</v>
      </c>
      <c r="F3698" s="43" t="n">
        <v>320</v>
      </c>
      <c r="G3698" s="43" t="n">
        <v>32</v>
      </c>
      <c r="H3698" s="79">
        <f>(E3698/1000)*(F3698/1000)*(G3698/1000)*7850</f>
        <v/>
      </c>
      <c r="I3698" s="43" t="n">
        <v>9</v>
      </c>
      <c r="J3698" s="80">
        <f>H3698*I3698</f>
        <v/>
      </c>
      <c r="K3698" s="43" t="inlineStr">
        <is>
          <t>来源页106；校验fail</t>
        </is>
      </c>
      <c r="L3698" s="43">
        <f>A3698</f>
        <v/>
      </c>
      <c r="M3698" s="81" t="n"/>
      <c r="N3698" s="81" t="n"/>
      <c r="O3698" s="81" t="n"/>
      <c r="P3698" s="81" t="n"/>
      <c r="Q3698" s="81" t="n"/>
      <c r="R3698" s="81" t="n"/>
      <c r="S3698" s="81" t="n"/>
      <c r="T3698" s="81" t="n"/>
      <c r="U3698" s="81" t="n"/>
      <c r="V3698" s="81" t="n"/>
      <c r="W3698" s="43" t="n"/>
    </row>
    <row r="3699">
      <c r="A3699" s="43" t="inlineStr">
        <is>
          <t>N16b</t>
        </is>
      </c>
      <c r="B3699" s="43" t="inlineStr">
        <is>
          <t>上弦加劲肋</t>
        </is>
      </c>
      <c r="C3699" s="43" t="inlineStr">
        <is>
          <t>节段15</t>
        </is>
      </c>
      <c r="D3699" s="43" t="inlineStr">
        <is>
          <t>Q355D</t>
        </is>
      </c>
      <c r="E3699" s="43" t="n">
        <v>7100</v>
      </c>
      <c r="F3699" s="43" t="n">
        <v>280</v>
      </c>
      <c r="G3699" s="43" t="n">
        <v>24</v>
      </c>
      <c r="H3699" s="79">
        <f>(E3699/1000)*(F3699/1000)*(G3699/1000)*7850</f>
        <v/>
      </c>
      <c r="I3699" s="43" t="n">
        <v>9</v>
      </c>
      <c r="J3699" s="80">
        <f>H3699*I3699</f>
        <v/>
      </c>
      <c r="K3699" s="43" t="inlineStr">
        <is>
          <t>来源页106；校验fail</t>
        </is>
      </c>
      <c r="L3699" s="43">
        <f>A3699</f>
        <v/>
      </c>
      <c r="M3699" s="81" t="n"/>
      <c r="N3699" s="81" t="n"/>
      <c r="O3699" s="81" t="n"/>
      <c r="P3699" s="81" t="n"/>
      <c r="Q3699" s="81" t="n"/>
      <c r="R3699" s="81" t="n"/>
      <c r="S3699" s="81" t="n"/>
      <c r="T3699" s="81" t="n"/>
      <c r="U3699" s="81" t="n"/>
      <c r="V3699" s="81" t="n"/>
      <c r="W3699" s="43" t="n"/>
    </row>
    <row r="3700">
      <c r="A3700" s="43" t="inlineStr">
        <is>
          <t>N55</t>
        </is>
      </c>
      <c r="B3700" s="43" t="inlineStr">
        <is>
          <t>节点板加劲</t>
        </is>
      </c>
      <c r="C3700" s="43" t="inlineStr">
        <is>
          <t>节段15</t>
        </is>
      </c>
      <c r="D3700" s="43" t="inlineStr">
        <is>
          <t>Q355D</t>
        </is>
      </c>
      <c r="E3700" s="43" t="n">
        <v>2100</v>
      </c>
      <c r="F3700" s="43" t="n">
        <v>320</v>
      </c>
      <c r="G3700" s="43" t="n">
        <v>32</v>
      </c>
      <c r="H3700" s="79">
        <f>(E3700/1000)*(F3700/1000)*(G3700/1000)*7850</f>
        <v/>
      </c>
      <c r="I3700" s="43" t="n">
        <v>9</v>
      </c>
      <c r="J3700" s="80">
        <f>H3700*I3700</f>
        <v/>
      </c>
      <c r="K3700" s="43" t="inlineStr">
        <is>
          <t>来源页106；校验fail</t>
        </is>
      </c>
      <c r="L3700" s="43">
        <f>A3700</f>
        <v/>
      </c>
      <c r="M3700" s="81" t="n"/>
      <c r="N3700" s="81" t="n"/>
      <c r="O3700" s="81" t="n"/>
      <c r="P3700" s="81" t="n"/>
      <c r="Q3700" s="81" t="n"/>
      <c r="R3700" s="81" t="n"/>
      <c r="S3700" s="81" t="n"/>
      <c r="T3700" s="81" t="n"/>
      <c r="U3700" s="81" t="n"/>
      <c r="V3700" s="81" t="n"/>
      <c r="W3700" s="43" t="n"/>
    </row>
    <row r="3701">
      <c r="A3701" s="43" t="inlineStr">
        <is>
          <t>N61</t>
        </is>
      </c>
      <c r="B3701" s="43" t="inlineStr">
        <is>
          <t>横梁接头</t>
        </is>
      </c>
      <c r="C3701" s="43" t="inlineStr">
        <is>
          <t>节段15</t>
        </is>
      </c>
      <c r="D3701" s="43" t="inlineStr">
        <is>
          <t>Q355D</t>
        </is>
      </c>
      <c r="E3701" s="43" t="n">
        <v>1960</v>
      </c>
      <c r="F3701" s="43" t="n">
        <v>602</v>
      </c>
      <c r="G3701" s="43" t="n">
        <v>14</v>
      </c>
      <c r="H3701" s="79">
        <f>(E3701/1000)*(F3701/1000)*(G3701/1000)*7850</f>
        <v/>
      </c>
      <c r="I3701" s="43" t="n">
        <v>9</v>
      </c>
      <c r="J3701" s="80">
        <f>H3701*I3701</f>
        <v/>
      </c>
      <c r="K3701" s="43" t="inlineStr">
        <is>
          <t>来源页106；校验fail</t>
        </is>
      </c>
      <c r="L3701" s="43">
        <f>A3701</f>
        <v/>
      </c>
      <c r="M3701" s="81" t="n"/>
      <c r="N3701" s="81" t="n"/>
      <c r="O3701" s="81" t="n"/>
      <c r="P3701" s="81" t="n"/>
      <c r="Q3701" s="81" t="n"/>
      <c r="R3701" s="81" t="n"/>
      <c r="S3701" s="81" t="n"/>
      <c r="T3701" s="81" t="n"/>
      <c r="U3701" s="81" t="n"/>
      <c r="V3701" s="81" t="n"/>
      <c r="W3701" s="43" t="n"/>
    </row>
    <row r="3702">
      <c r="A3702" s="43" t="inlineStr">
        <is>
          <t>N63</t>
        </is>
      </c>
      <c r="B3702" s="43" t="inlineStr">
        <is>
          <t>横梁接头</t>
        </is>
      </c>
      <c r="C3702" s="43" t="inlineStr">
        <is>
          <t>节段15</t>
        </is>
      </c>
      <c r="D3702" s="43" t="inlineStr">
        <is>
          <t>Q355D</t>
        </is>
      </c>
      <c r="E3702" s="43" t="n">
        <v>1800</v>
      </c>
      <c r="F3702" s="43" t="n">
        <v>606</v>
      </c>
      <c r="G3702" s="43" t="n">
        <v>14</v>
      </c>
      <c r="H3702" s="79">
        <f>(E3702/1000)*(F3702/1000)*(G3702/1000)*7850</f>
        <v/>
      </c>
      <c r="I3702" s="43" t="n">
        <v>9</v>
      </c>
      <c r="J3702" s="80">
        <f>H3702*I3702</f>
        <v/>
      </c>
      <c r="K3702" s="43" t="inlineStr">
        <is>
          <t>来源页106；校验fail</t>
        </is>
      </c>
      <c r="L3702" s="43">
        <f>A3702</f>
        <v/>
      </c>
      <c r="M3702" s="81" t="n"/>
      <c r="N3702" s="81" t="n"/>
      <c r="O3702" s="81" t="n"/>
      <c r="P3702" s="81" t="n"/>
      <c r="Q3702" s="81" t="n"/>
      <c r="R3702" s="81" t="n"/>
      <c r="S3702" s="81" t="n"/>
      <c r="T3702" s="81" t="n"/>
      <c r="U3702" s="81" t="n"/>
      <c r="V3702" s="81" t="n"/>
      <c r="W3702" s="43" t="n"/>
    </row>
    <row r="3703">
      <c r="A3703" s="43" t="inlineStr">
        <is>
          <t>K5</t>
        </is>
      </c>
      <c r="B3703" s="43" t="inlineStr">
        <is>
          <t>下弦杆拼接</t>
        </is>
      </c>
      <c r="C3703" s="43" t="inlineStr">
        <is>
          <t>节段15~节段16</t>
        </is>
      </c>
      <c r="D3703" s="43" t="inlineStr">
        <is>
          <t>Q355D</t>
        </is>
      </c>
      <c r="E3703" s="43" t="n">
        <v>920</v>
      </c>
      <c r="F3703" s="43" t="n">
        <v>200</v>
      </c>
      <c r="G3703" s="43" t="n">
        <v>20</v>
      </c>
      <c r="H3703" s="79">
        <f>(E3703/1000)*(F3703/1000)*(G3703/1000)*7850</f>
        <v/>
      </c>
      <c r="I3703" s="43" t="n">
        <v>9</v>
      </c>
      <c r="J3703" s="80">
        <f>H3703*I3703</f>
        <v/>
      </c>
      <c r="K3703" s="43" t="inlineStr">
        <is>
          <t>来源页109；校验fail</t>
        </is>
      </c>
      <c r="L3703" s="43">
        <f>A3703</f>
        <v/>
      </c>
      <c r="M3703" s="81" t="n"/>
      <c r="N3703" s="81" t="n"/>
      <c r="O3703" s="81" t="n"/>
      <c r="P3703" s="81" t="n"/>
      <c r="Q3703" s="81" t="n"/>
      <c r="R3703" s="81" t="n"/>
      <c r="S3703" s="81" t="n"/>
      <c r="T3703" s="81" t="n"/>
      <c r="U3703" s="81" t="n"/>
      <c r="V3703" s="81" t="n"/>
      <c r="W3703" s="43" t="n"/>
    </row>
    <row r="3704">
      <c r="A3704" s="43" t="inlineStr">
        <is>
          <t>N16b</t>
        </is>
      </c>
      <c r="B3704" s="43" t="inlineStr">
        <is>
          <t>上弦加劲助</t>
        </is>
      </c>
      <c r="C3704" s="43" t="inlineStr">
        <is>
          <t>节段16</t>
        </is>
      </c>
      <c r="D3704" s="43" t="inlineStr">
        <is>
          <t>Q420D</t>
        </is>
      </c>
      <c r="E3704" s="43" t="n">
        <v>6950</v>
      </c>
      <c r="F3704" s="43" t="n">
        <v>320</v>
      </c>
      <c r="G3704" s="43" t="n">
        <v>32</v>
      </c>
      <c r="H3704" s="79">
        <f>(E3704/1000)*(F3704/1000)*(G3704/1000)*7850</f>
        <v/>
      </c>
      <c r="I3704" s="43" t="n">
        <v>9</v>
      </c>
      <c r="J3704" s="80">
        <f>H3704*I3704</f>
        <v/>
      </c>
      <c r="K3704" s="43" t="inlineStr">
        <is>
          <t>来源页110；校验fail</t>
        </is>
      </c>
      <c r="L3704" s="43">
        <f>A3704</f>
        <v/>
      </c>
      <c r="M3704" s="81" t="n"/>
      <c r="N3704" s="81" t="n"/>
      <c r="O3704" s="81" t="n"/>
      <c r="P3704" s="81" t="n"/>
      <c r="Q3704" s="81" t="n"/>
      <c r="R3704" s="81" t="n"/>
      <c r="S3704" s="81" t="n"/>
      <c r="T3704" s="81" t="n"/>
      <c r="U3704" s="81" t="n"/>
      <c r="V3704" s="81" t="n"/>
      <c r="W3704" s="43" t="n"/>
    </row>
    <row r="3705">
      <c r="A3705" s="43" t="inlineStr">
        <is>
          <t>N61</t>
        </is>
      </c>
      <c r="B3705" s="43" t="inlineStr">
        <is>
          <t>横梁接头</t>
        </is>
      </c>
      <c r="C3705" s="43" t="inlineStr">
        <is>
          <t>节段16</t>
        </is>
      </c>
      <c r="D3705" s="43" t="inlineStr">
        <is>
          <t>Q355D</t>
        </is>
      </c>
      <c r="E3705" s="43" t="n">
        <v>1960</v>
      </c>
      <c r="F3705" s="43" t="n">
        <v>606</v>
      </c>
      <c r="G3705" s="43" t="n">
        <v>14</v>
      </c>
      <c r="H3705" s="79">
        <f>(E3705/1000)*(F3705/1000)*(G3705/1000)*7850</f>
        <v/>
      </c>
      <c r="I3705" s="43" t="n">
        <v>9</v>
      </c>
      <c r="J3705" s="80">
        <f>H3705*I3705</f>
        <v/>
      </c>
      <c r="K3705" s="43" t="inlineStr">
        <is>
          <t>来源页110；校验fail</t>
        </is>
      </c>
      <c r="L3705" s="43">
        <f>A3705</f>
        <v/>
      </c>
      <c r="M3705" s="81" t="n"/>
      <c r="N3705" s="81" t="n"/>
      <c r="O3705" s="81" t="n"/>
      <c r="P3705" s="81" t="n"/>
      <c r="Q3705" s="81" t="n"/>
      <c r="R3705" s="81" t="n"/>
      <c r="S3705" s="81" t="n"/>
      <c r="T3705" s="81" t="n"/>
      <c r="U3705" s="81" t="n"/>
      <c r="V3705" s="81" t="n"/>
      <c r="W3705" s="43" t="n"/>
    </row>
    <row r="3706">
      <c r="A3706" s="43" t="inlineStr">
        <is>
          <t>K5</t>
        </is>
      </c>
      <c r="B3706" s="43" t="inlineStr"/>
      <c r="C3706" s="43" t="inlineStr">
        <is>
          <t>节段16~节段17</t>
        </is>
      </c>
      <c r="D3706" s="43" t="inlineStr">
        <is>
          <t>Q420D</t>
        </is>
      </c>
      <c r="E3706" s="43" t="n">
        <v>1320</v>
      </c>
      <c r="F3706" s="43" t="n">
        <v>240</v>
      </c>
      <c r="G3706" s="43" t="n">
        <v>24</v>
      </c>
      <c r="H3706" s="79">
        <f>(E3706/1000)*(F3706/1000)*(G3706/1000)*7850</f>
        <v/>
      </c>
      <c r="I3706" s="43" t="n">
        <v>9</v>
      </c>
      <c r="J3706" s="80">
        <f>H3706*I3706</f>
        <v/>
      </c>
      <c r="K3706" s="43" t="inlineStr">
        <is>
          <t>来源页114；校验fail</t>
        </is>
      </c>
      <c r="L3706" s="43">
        <f>A3706</f>
        <v/>
      </c>
      <c r="M3706" s="81" t="n"/>
      <c r="N3706" s="81" t="n"/>
      <c r="O3706" s="81" t="n"/>
      <c r="P3706" s="81" t="n"/>
      <c r="Q3706" s="81" t="n"/>
      <c r="R3706" s="81" t="n"/>
      <c r="S3706" s="81" t="n"/>
      <c r="T3706" s="81" t="n"/>
      <c r="U3706" s="81" t="n"/>
      <c r="V3706" s="81" t="n"/>
      <c r="W3706" s="43" t="n"/>
    </row>
    <row r="3707">
      <c r="A3707" s="43" t="inlineStr">
        <is>
          <t>K5</t>
        </is>
      </c>
      <c r="B3707" s="43" t="inlineStr">
        <is>
          <t>下弦杆拼接</t>
        </is>
      </c>
      <c r="C3707" s="43" t="inlineStr">
        <is>
          <t>节段17~节段18</t>
        </is>
      </c>
      <c r="D3707" s="43" t="inlineStr">
        <is>
          <t>Q420D</t>
        </is>
      </c>
      <c r="E3707" s="43" t="n">
        <v>1320</v>
      </c>
      <c r="F3707" s="43" t="n">
        <v>240</v>
      </c>
      <c r="G3707" s="43" t="n">
        <v>24</v>
      </c>
      <c r="H3707" s="79">
        <f>(E3707/1000)*(F3707/1000)*(G3707/1000)*7850</f>
        <v/>
      </c>
      <c r="I3707" s="43" t="n">
        <v>9</v>
      </c>
      <c r="J3707" s="80">
        <f>H3707*I3707</f>
        <v/>
      </c>
      <c r="K3707" s="43" t="inlineStr">
        <is>
          <t>来源页118；校验fail</t>
        </is>
      </c>
      <c r="L3707" s="43">
        <f>A3707</f>
        <v/>
      </c>
      <c r="M3707" s="81" t="n"/>
      <c r="N3707" s="81" t="n"/>
      <c r="O3707" s="81" t="n"/>
      <c r="P3707" s="81" t="n"/>
      <c r="Q3707" s="81" t="n"/>
      <c r="R3707" s="81" t="n"/>
      <c r="S3707" s="81" t="n"/>
      <c r="T3707" s="81" t="n"/>
      <c r="U3707" s="81" t="n"/>
      <c r="V3707" s="81" t="n"/>
      <c r="W3707" s="43" t="n"/>
    </row>
    <row r="3708">
      <c r="A3708" s="43" t="inlineStr">
        <is>
          <t>N16a</t>
        </is>
      </c>
      <c r="B3708" s="43" t="inlineStr">
        <is>
          <t>上弦加劲肋</t>
        </is>
      </c>
      <c r="C3708" s="43" t="inlineStr">
        <is>
          <t>节段18</t>
        </is>
      </c>
      <c r="D3708" s="43" t="inlineStr">
        <is>
          <t>Q420D</t>
        </is>
      </c>
      <c r="E3708" s="43" t="n">
        <v>7900</v>
      </c>
      <c r="F3708" s="43" t="n">
        <v>320</v>
      </c>
      <c r="G3708" s="43" t="n">
        <v>32</v>
      </c>
      <c r="H3708" s="79">
        <f>(E3708/1000)*(F3708/1000)*(G3708/1000)*7850</f>
        <v/>
      </c>
      <c r="I3708" s="43" t="n">
        <v>9</v>
      </c>
      <c r="J3708" s="80">
        <f>H3708*I3708</f>
        <v/>
      </c>
      <c r="K3708" s="43" t="inlineStr">
        <is>
          <t>来源页119；校验fail</t>
        </is>
      </c>
      <c r="L3708" s="43">
        <f>A3708</f>
        <v/>
      </c>
      <c r="M3708" s="81" t="n"/>
      <c r="N3708" s="81" t="n"/>
      <c r="O3708" s="81" t="n"/>
      <c r="P3708" s="81" t="n"/>
      <c r="Q3708" s="81" t="n"/>
      <c r="R3708" s="81" t="n"/>
      <c r="S3708" s="81" t="n"/>
      <c r="T3708" s="81" t="n"/>
      <c r="U3708" s="81" t="n"/>
      <c r="V3708" s="81" t="n"/>
      <c r="W3708" s="43" t="n"/>
    </row>
    <row r="3709">
      <c r="A3709" s="43" t="inlineStr">
        <is>
          <t>N16b</t>
        </is>
      </c>
      <c r="B3709" s="43" t="inlineStr">
        <is>
          <t>上弦加劲肋</t>
        </is>
      </c>
      <c r="C3709" s="43" t="inlineStr">
        <is>
          <t>节段18</t>
        </is>
      </c>
      <c r="D3709" s="43" t="inlineStr">
        <is>
          <t>Q420D</t>
        </is>
      </c>
      <c r="E3709" s="43" t="n">
        <v>7100</v>
      </c>
      <c r="F3709" s="43" t="n">
        <v>320</v>
      </c>
      <c r="G3709" s="43" t="n">
        <v>32</v>
      </c>
      <c r="H3709" s="79">
        <f>(E3709/1000)*(F3709/1000)*(G3709/1000)*7850</f>
        <v/>
      </c>
      <c r="I3709" s="43" t="n">
        <v>9</v>
      </c>
      <c r="J3709" s="80">
        <f>H3709*I3709</f>
        <v/>
      </c>
      <c r="K3709" s="43" t="inlineStr">
        <is>
          <t>来源页119；校验fail</t>
        </is>
      </c>
      <c r="L3709" s="43">
        <f>A3709</f>
        <v/>
      </c>
      <c r="M3709" s="81" t="n"/>
      <c r="N3709" s="81" t="n"/>
      <c r="O3709" s="81" t="n"/>
      <c r="P3709" s="81" t="n"/>
      <c r="Q3709" s="81" t="n"/>
      <c r="R3709" s="81" t="n"/>
      <c r="S3709" s="81" t="n"/>
      <c r="T3709" s="81" t="n"/>
      <c r="U3709" s="81" t="n"/>
      <c r="V3709" s="81" t="n"/>
      <c r="W3709" s="43" t="n"/>
    </row>
    <row r="3710">
      <c r="A3710" s="43" t="inlineStr">
        <is>
          <t>N61</t>
        </is>
      </c>
      <c r="B3710" s="43" t="inlineStr">
        <is>
          <t>横梁接头</t>
        </is>
      </c>
      <c r="C3710" s="43" t="inlineStr">
        <is>
          <t>节段18</t>
        </is>
      </c>
      <c r="D3710" s="43" t="inlineStr">
        <is>
          <t>Q355D</t>
        </is>
      </c>
      <c r="E3710" s="43" t="n">
        <v>1960</v>
      </c>
      <c r="F3710" s="43" t="n">
        <v>602</v>
      </c>
      <c r="G3710" s="43" t="n">
        <v>14</v>
      </c>
      <c r="H3710" s="79">
        <f>(E3710/1000)*(F3710/1000)*(G3710/1000)*7850</f>
        <v/>
      </c>
      <c r="I3710" s="43" t="n">
        <v>9</v>
      </c>
      <c r="J3710" s="80">
        <f>H3710*I3710</f>
        <v/>
      </c>
      <c r="K3710" s="43" t="inlineStr">
        <is>
          <t>来源页119；校验fail</t>
        </is>
      </c>
      <c r="L3710" s="43">
        <f>A3710</f>
        <v/>
      </c>
      <c r="M3710" s="81" t="n"/>
      <c r="N3710" s="81" t="n"/>
      <c r="O3710" s="81" t="n"/>
      <c r="P3710" s="81" t="n"/>
      <c r="Q3710" s="81" t="n"/>
      <c r="R3710" s="81" t="n"/>
      <c r="S3710" s="81" t="n"/>
      <c r="T3710" s="81" t="n"/>
      <c r="U3710" s="81" t="n"/>
      <c r="V3710" s="81" t="n"/>
      <c r="W3710" s="43" t="n"/>
    </row>
    <row r="3711">
      <c r="A3711" s="43" t="inlineStr">
        <is>
          <t>N62</t>
        </is>
      </c>
      <c r="B3711" s="43" t="inlineStr">
        <is>
          <t>横梁接头</t>
        </is>
      </c>
      <c r="C3711" s="43" t="inlineStr">
        <is>
          <t>节段18</t>
        </is>
      </c>
      <c r="D3711" s="43" t="inlineStr">
        <is>
          <t>Q355D</t>
        </is>
      </c>
      <c r="E3711" s="43" t="n"/>
      <c r="F3711" s="43" t="n"/>
      <c r="G3711" s="43" t="n">
        <v>24</v>
      </c>
      <c r="H3711" s="79">
        <f>(E3711/1000)*(F3711/1000)*(G3711/1000)*7850</f>
        <v/>
      </c>
      <c r="I3711" s="43" t="n">
        <v>9</v>
      </c>
      <c r="J3711" s="80">
        <f>H3711*I3711</f>
        <v/>
      </c>
      <c r="K3711" s="43" t="inlineStr">
        <is>
          <t>来源页119；校验fail</t>
        </is>
      </c>
      <c r="L3711" s="43">
        <f>A3711</f>
        <v/>
      </c>
      <c r="M3711" s="81" t="n"/>
      <c r="N3711" s="81" t="n"/>
      <c r="O3711" s="81" t="n"/>
      <c r="P3711" s="81" t="n"/>
      <c r="Q3711" s="81" t="n"/>
      <c r="R3711" s="81" t="n"/>
      <c r="S3711" s="81" t="n"/>
      <c r="T3711" s="81" t="n"/>
      <c r="U3711" s="81" t="n"/>
      <c r="V3711" s="81" t="n"/>
      <c r="W3711" s="43" t="n"/>
    </row>
    <row r="3712">
      <c r="A3712" s="43" t="inlineStr">
        <is>
          <t>N63</t>
        </is>
      </c>
      <c r="B3712" s="43" t="inlineStr">
        <is>
          <t>横梁接头</t>
        </is>
      </c>
      <c r="C3712" s="43" t="inlineStr">
        <is>
          <t>节段18</t>
        </is>
      </c>
      <c r="D3712" s="43" t="inlineStr">
        <is>
          <t>Q355D</t>
        </is>
      </c>
      <c r="E3712" s="43" t="n">
        <v>1800</v>
      </c>
      <c r="F3712" s="43" t="n">
        <v>602</v>
      </c>
      <c r="G3712" s="43" t="n">
        <v>14</v>
      </c>
      <c r="H3712" s="79">
        <f>(E3712/1000)*(F3712/1000)*(G3712/1000)*7850</f>
        <v/>
      </c>
      <c r="I3712" s="43" t="n">
        <v>9</v>
      </c>
      <c r="J3712" s="80">
        <f>H3712*I3712</f>
        <v/>
      </c>
      <c r="K3712" s="43" t="inlineStr">
        <is>
          <t>来源页119；校验fail</t>
        </is>
      </c>
      <c r="L3712" s="43">
        <f>A3712</f>
        <v/>
      </c>
      <c r="M3712" s="81" t="n"/>
      <c r="N3712" s="81" t="n"/>
      <c r="O3712" s="81" t="n"/>
      <c r="P3712" s="81" t="n"/>
      <c r="Q3712" s="81" t="n"/>
      <c r="R3712" s="81" t="n"/>
      <c r="S3712" s="81" t="n"/>
      <c r="T3712" s="81" t="n"/>
      <c r="U3712" s="81" t="n"/>
      <c r="V3712" s="81" t="n"/>
      <c r="W3712" s="43" t="n"/>
    </row>
    <row r="3713">
      <c r="A3713" s="43" t="inlineStr">
        <is>
          <t>K5</t>
        </is>
      </c>
      <c r="B3713" s="43" t="inlineStr">
        <is>
          <t>下弦杆拼接</t>
        </is>
      </c>
      <c r="C3713" s="43" t="inlineStr">
        <is>
          <t>节段18~节段19</t>
        </is>
      </c>
      <c r="D3713" s="43" t="inlineStr">
        <is>
          <t>Q355D</t>
        </is>
      </c>
      <c r="E3713" s="43" t="n">
        <v>920</v>
      </c>
      <c r="F3713" s="43" t="n">
        <v>200</v>
      </c>
      <c r="G3713" s="43" t="n">
        <v>20</v>
      </c>
      <c r="H3713" s="79">
        <f>(E3713/1000)*(F3713/1000)*(G3713/1000)*7850</f>
        <v/>
      </c>
      <c r="I3713" s="43" t="n">
        <v>9</v>
      </c>
      <c r="J3713" s="80">
        <f>H3713*I3713</f>
        <v/>
      </c>
      <c r="K3713" s="43" t="inlineStr">
        <is>
          <t>来源页122；校验fail</t>
        </is>
      </c>
      <c r="L3713" s="43">
        <f>A3713</f>
        <v/>
      </c>
      <c r="M3713" s="81" t="n"/>
      <c r="N3713" s="81" t="n"/>
      <c r="O3713" s="81" t="n"/>
      <c r="P3713" s="81" t="n"/>
      <c r="Q3713" s="81" t="n"/>
      <c r="R3713" s="81" t="n"/>
      <c r="S3713" s="81" t="n"/>
      <c r="T3713" s="81" t="n"/>
      <c r="U3713" s="81" t="n"/>
      <c r="V3713" s="81" t="n"/>
      <c r="W3713" s="43" t="n"/>
    </row>
    <row r="3714">
      <c r="A3714" s="43" t="inlineStr">
        <is>
          <t>N16b</t>
        </is>
      </c>
      <c r="B3714" s="43" t="inlineStr">
        <is>
          <t>上弦加劲肋</t>
        </is>
      </c>
      <c r="C3714" s="43" t="inlineStr">
        <is>
          <t>节段19</t>
        </is>
      </c>
      <c r="D3714" s="43" t="inlineStr">
        <is>
          <t>Q355D</t>
        </is>
      </c>
      <c r="E3714" s="43" t="n">
        <v>7100</v>
      </c>
      <c r="F3714" s="43" t="n">
        <v>320</v>
      </c>
      <c r="G3714" s="43" t="n">
        <v>32</v>
      </c>
      <c r="H3714" s="79">
        <f>(E3714/1000)*(F3714/1000)*(G3714/1000)*7850</f>
        <v/>
      </c>
      <c r="I3714" s="43" t="n">
        <v>9</v>
      </c>
      <c r="J3714" s="80">
        <f>H3714*I3714</f>
        <v/>
      </c>
      <c r="K3714" s="43" t="inlineStr">
        <is>
          <t>来源页123；校验fail</t>
        </is>
      </c>
      <c r="L3714" s="43">
        <f>A3714</f>
        <v/>
      </c>
      <c r="M3714" s="81" t="n"/>
      <c r="N3714" s="81" t="n"/>
      <c r="O3714" s="81" t="n"/>
      <c r="P3714" s="81" t="n"/>
      <c r="Q3714" s="81" t="n"/>
      <c r="R3714" s="81" t="n"/>
      <c r="S3714" s="81" t="n"/>
      <c r="T3714" s="81" t="n"/>
      <c r="U3714" s="81" t="n"/>
      <c r="V3714" s="81" t="n"/>
      <c r="W3714" s="43" t="n"/>
    </row>
    <row r="3715">
      <c r="A3715" s="43" t="inlineStr">
        <is>
          <t>N63</t>
        </is>
      </c>
      <c r="B3715" s="43" t="inlineStr">
        <is>
          <t>横梁接头</t>
        </is>
      </c>
      <c r="C3715" s="43" t="inlineStr">
        <is>
          <t>节段19</t>
        </is>
      </c>
      <c r="D3715" s="43" t="inlineStr">
        <is>
          <t>Q355D</t>
        </is>
      </c>
      <c r="E3715" s="43" t="n">
        <v>1800</v>
      </c>
      <c r="F3715" s="43" t="n">
        <v>610</v>
      </c>
      <c r="G3715" s="43" t="n">
        <v>14</v>
      </c>
      <c r="H3715" s="79">
        <f>(E3715/1000)*(F3715/1000)*(G3715/1000)*7850</f>
        <v/>
      </c>
      <c r="I3715" s="43" t="n">
        <v>9</v>
      </c>
      <c r="J3715" s="80">
        <f>H3715*I3715</f>
        <v/>
      </c>
      <c r="K3715" s="43" t="inlineStr">
        <is>
          <t>来源页123；校验fail</t>
        </is>
      </c>
      <c r="L3715" s="43">
        <f>A3715</f>
        <v/>
      </c>
      <c r="M3715" s="81" t="n"/>
      <c r="N3715" s="81" t="n"/>
      <c r="O3715" s="81" t="n"/>
      <c r="P3715" s="81" t="n"/>
      <c r="Q3715" s="81" t="n"/>
      <c r="R3715" s="81" t="n"/>
      <c r="S3715" s="81" t="n"/>
      <c r="T3715" s="81" t="n"/>
      <c r="U3715" s="81" t="n"/>
      <c r="V3715" s="81" t="n"/>
      <c r="W3715" s="43" t="n"/>
    </row>
    <row r="3716">
      <c r="A3716" s="43" t="inlineStr">
        <is>
          <t>K5</t>
        </is>
      </c>
      <c r="B3716" s="43" t="inlineStr">
        <is>
          <t>下弦杆拼接</t>
        </is>
      </c>
      <c r="C3716" s="43" t="inlineStr"/>
      <c r="D3716" s="43" t="inlineStr">
        <is>
          <t>Q355D</t>
        </is>
      </c>
      <c r="E3716" s="43" t="n">
        <v>920</v>
      </c>
      <c r="F3716" s="43" t="n">
        <v>200</v>
      </c>
      <c r="G3716" s="43" t="n">
        <v>20</v>
      </c>
      <c r="H3716" s="79">
        <f>(E3716/1000)*(F3716/1000)*(G3716/1000)*7850</f>
        <v/>
      </c>
      <c r="I3716" s="43" t="n">
        <v>9</v>
      </c>
      <c r="J3716" s="80">
        <f>H3716*I3716</f>
        <v/>
      </c>
      <c r="K3716" s="43" t="inlineStr">
        <is>
          <t>来源页126；校验fail</t>
        </is>
      </c>
      <c r="L3716" s="43">
        <f>A3716</f>
        <v/>
      </c>
      <c r="M3716" s="81" t="n"/>
      <c r="N3716" s="81" t="n"/>
      <c r="O3716" s="81" t="n"/>
      <c r="P3716" s="81" t="n"/>
      <c r="Q3716" s="81" t="n"/>
      <c r="R3716" s="81" t="n"/>
      <c r="S3716" s="81" t="n"/>
      <c r="T3716" s="81" t="n"/>
      <c r="U3716" s="81" t="n"/>
      <c r="V3716" s="81" t="n"/>
      <c r="W3716" s="43" t="n"/>
    </row>
    <row r="3717">
      <c r="A3717" s="43" t="inlineStr">
        <is>
          <t>N16a</t>
        </is>
      </c>
      <c r="B3717" s="43" t="inlineStr">
        <is>
          <t>上弦加劲肋</t>
        </is>
      </c>
      <c r="C3717" s="43" t="inlineStr">
        <is>
          <t>节段20</t>
        </is>
      </c>
      <c r="D3717" s="43" t="inlineStr">
        <is>
          <t>Q355D</t>
        </is>
      </c>
      <c r="E3717" s="43" t="n">
        <v>7900</v>
      </c>
      <c r="F3717" s="43" t="n">
        <v>240</v>
      </c>
      <c r="G3717" s="43" t="n">
        <v>20</v>
      </c>
      <c r="H3717" s="79">
        <f>(E3717/1000)*(F3717/1000)*(G3717/1000)*7850</f>
        <v/>
      </c>
      <c r="I3717" s="43" t="n">
        <v>9</v>
      </c>
      <c r="J3717" s="80">
        <f>H3717*I3717</f>
        <v/>
      </c>
      <c r="K3717" s="43" t="inlineStr">
        <is>
          <t>来源页127；校验fail</t>
        </is>
      </c>
      <c r="L3717" s="43">
        <f>A3717</f>
        <v/>
      </c>
      <c r="M3717" s="81" t="n"/>
      <c r="N3717" s="81" t="n"/>
      <c r="O3717" s="81" t="n"/>
      <c r="P3717" s="81" t="n"/>
      <c r="Q3717" s="81" t="n"/>
      <c r="R3717" s="81" t="n"/>
      <c r="S3717" s="81" t="n"/>
      <c r="T3717" s="81" t="n"/>
      <c r="U3717" s="81" t="n"/>
      <c r="V3717" s="81" t="n"/>
      <c r="W3717" s="43" t="n"/>
    </row>
    <row r="3718">
      <c r="A3718" s="43" t="inlineStr">
        <is>
          <t>N61</t>
        </is>
      </c>
      <c r="B3718" s="43" t="inlineStr">
        <is>
          <t>横梁接头</t>
        </is>
      </c>
      <c r="C3718" s="43" t="inlineStr">
        <is>
          <t>节段20</t>
        </is>
      </c>
      <c r="D3718" s="43" t="inlineStr">
        <is>
          <t>Q355D</t>
        </is>
      </c>
      <c r="E3718" s="43" t="n">
        <v>1980</v>
      </c>
      <c r="F3718" s="43" t="n">
        <v>610</v>
      </c>
      <c r="G3718" s="43" t="n">
        <v>14</v>
      </c>
      <c r="H3718" s="79">
        <f>(E3718/1000)*(F3718/1000)*(G3718/1000)*7850</f>
        <v/>
      </c>
      <c r="I3718" s="43" t="n">
        <v>9</v>
      </c>
      <c r="J3718" s="80">
        <f>H3718*I3718</f>
        <v/>
      </c>
      <c r="K3718" s="43" t="inlineStr">
        <is>
          <t>来源页127；校验fail</t>
        </is>
      </c>
      <c r="L3718" s="43">
        <f>A3718</f>
        <v/>
      </c>
      <c r="M3718" s="81" t="n"/>
      <c r="N3718" s="81" t="n"/>
      <c r="O3718" s="81" t="n"/>
      <c r="P3718" s="81" t="n"/>
      <c r="Q3718" s="81" t="n"/>
      <c r="R3718" s="81" t="n"/>
      <c r="S3718" s="81" t="n"/>
      <c r="T3718" s="81" t="n"/>
      <c r="U3718" s="81" t="n"/>
      <c r="V3718" s="81" t="n"/>
      <c r="W3718" s="43" t="n"/>
    </row>
    <row r="3719">
      <c r="A3719" s="43" t="inlineStr">
        <is>
          <t>N62</t>
        </is>
      </c>
      <c r="B3719" s="43" t="inlineStr">
        <is>
          <t>横梁接头</t>
        </is>
      </c>
      <c r="C3719" s="43" t="inlineStr">
        <is>
          <t>节段20</t>
        </is>
      </c>
      <c r="D3719" s="43" t="inlineStr">
        <is>
          <t>Q355D</t>
        </is>
      </c>
      <c r="E3719" s="43" t="n"/>
      <c r="F3719" s="43" t="n"/>
      <c r="G3719" s="43" t="n">
        <v>24</v>
      </c>
      <c r="H3719" s="79">
        <f>(E3719/1000)*(F3719/1000)*(G3719/1000)*7850</f>
        <v/>
      </c>
      <c r="I3719" s="43" t="n">
        <v>9</v>
      </c>
      <c r="J3719" s="80">
        <f>H3719*I3719</f>
        <v/>
      </c>
      <c r="K3719" s="43" t="inlineStr">
        <is>
          <t>来源页127；校验fail</t>
        </is>
      </c>
      <c r="L3719" s="43">
        <f>A3719</f>
        <v/>
      </c>
      <c r="M3719" s="81" t="n"/>
      <c r="N3719" s="81" t="n"/>
      <c r="O3719" s="81" t="n"/>
      <c r="P3719" s="81" t="n"/>
      <c r="Q3719" s="81" t="n"/>
      <c r="R3719" s="81" t="n"/>
      <c r="S3719" s="81" t="n"/>
      <c r="T3719" s="81" t="n"/>
      <c r="U3719" s="81" t="n"/>
      <c r="V3719" s="81" t="n"/>
      <c r="W3719" s="43" t="n"/>
    </row>
    <row r="3720">
      <c r="A3720" s="43" t="inlineStr">
        <is>
          <t>N63</t>
        </is>
      </c>
      <c r="B3720" s="43" t="inlineStr">
        <is>
          <t>横梁接头</t>
        </is>
      </c>
      <c r="C3720" s="43" t="inlineStr">
        <is>
          <t>节段20</t>
        </is>
      </c>
      <c r="D3720" s="43" t="inlineStr">
        <is>
          <t>Q355D</t>
        </is>
      </c>
      <c r="E3720" s="43" t="n">
        <v>1800</v>
      </c>
      <c r="F3720" s="43" t="n">
        <v>610</v>
      </c>
      <c r="G3720" s="43" t="n">
        <v>14</v>
      </c>
      <c r="H3720" s="79">
        <f>(E3720/1000)*(F3720/1000)*(G3720/1000)*7850</f>
        <v/>
      </c>
      <c r="I3720" s="43" t="n">
        <v>9</v>
      </c>
      <c r="J3720" s="80">
        <f>H3720*I3720</f>
        <v/>
      </c>
      <c r="K3720" s="43" t="inlineStr">
        <is>
          <t>来源页127；校验fail</t>
        </is>
      </c>
      <c r="L3720" s="43">
        <f>A3720</f>
        <v/>
      </c>
      <c r="M3720" s="81" t="n"/>
      <c r="N3720" s="81" t="n"/>
      <c r="O3720" s="81" t="n"/>
      <c r="P3720" s="81" t="n"/>
      <c r="Q3720" s="81" t="n"/>
      <c r="R3720" s="81" t="n"/>
      <c r="S3720" s="81" t="n"/>
      <c r="T3720" s="81" t="n"/>
      <c r="U3720" s="81" t="n"/>
      <c r="V3720" s="81" t="n"/>
      <c r="W3720" s="43" t="n"/>
    </row>
    <row r="3721">
      <c r="A3721" s="43" t="inlineStr">
        <is>
          <t>N16a</t>
        </is>
      </c>
      <c r="B3721" s="43" t="inlineStr">
        <is>
          <t>上弦加劲肋</t>
        </is>
      </c>
      <c r="C3721" s="43" t="inlineStr">
        <is>
          <t>节段21</t>
        </is>
      </c>
      <c r="D3721" s="43" t="inlineStr">
        <is>
          <t>Q355D</t>
        </is>
      </c>
      <c r="E3721" s="43" t="n">
        <v>7900</v>
      </c>
      <c r="F3721" s="43" t="n">
        <v>240</v>
      </c>
      <c r="G3721" s="43" t="n">
        <v>20</v>
      </c>
      <c r="H3721" s="79">
        <f>(E3721/1000)*(F3721/1000)*(G3721/1000)*7850</f>
        <v/>
      </c>
      <c r="I3721" s="43" t="n">
        <v>9</v>
      </c>
      <c r="J3721" s="80">
        <f>H3721*I3721</f>
        <v/>
      </c>
      <c r="K3721" s="43" t="inlineStr">
        <is>
          <t>来源页131；校验fail</t>
        </is>
      </c>
      <c r="L3721" s="43">
        <f>A3721</f>
        <v/>
      </c>
      <c r="M3721" s="81" t="n"/>
      <c r="N3721" s="81" t="n"/>
      <c r="O3721" s="81" t="n"/>
      <c r="P3721" s="81" t="n"/>
      <c r="Q3721" s="81" t="n"/>
      <c r="R3721" s="81" t="n"/>
      <c r="S3721" s="81" t="n"/>
      <c r="T3721" s="81" t="n"/>
      <c r="U3721" s="81" t="n"/>
      <c r="V3721" s="81" t="n"/>
      <c r="W3721" s="43" t="n"/>
    </row>
    <row r="3722">
      <c r="A3722" s="43" t="inlineStr">
        <is>
          <t>N61a</t>
        </is>
      </c>
      <c r="B3722" s="43" t="inlineStr">
        <is>
          <t>横梁接头</t>
        </is>
      </c>
      <c r="C3722" s="43" t="inlineStr">
        <is>
          <t>节段21</t>
        </is>
      </c>
      <c r="D3722" s="43" t="inlineStr">
        <is>
          <t>Q355D</t>
        </is>
      </c>
      <c r="E3722" s="43" t="n">
        <v>1980</v>
      </c>
      <c r="F3722" s="43" t="n">
        <v>630</v>
      </c>
      <c r="G3722" s="43" t="n">
        <v>14</v>
      </c>
      <c r="H3722" s="79">
        <f>(E3722/1000)*(F3722/1000)*(G3722/1000)*7850</f>
        <v/>
      </c>
      <c r="I3722" s="43" t="n">
        <v>9</v>
      </c>
      <c r="J3722" s="80">
        <f>H3722*I3722</f>
        <v/>
      </c>
      <c r="K3722" s="43" t="inlineStr">
        <is>
          <t>来源页131；校验fail</t>
        </is>
      </c>
      <c r="L3722" s="43">
        <f>A3722</f>
        <v/>
      </c>
      <c r="M3722" s="81" t="n"/>
      <c r="N3722" s="81" t="n"/>
      <c r="O3722" s="81" t="n"/>
      <c r="P3722" s="81" t="n"/>
      <c r="Q3722" s="81" t="n"/>
      <c r="R3722" s="81" t="n"/>
      <c r="S3722" s="81" t="n"/>
      <c r="T3722" s="81" t="n"/>
      <c r="U3722" s="81" t="n"/>
      <c r="V3722" s="81" t="n"/>
      <c r="W3722" s="43" t="n"/>
    </row>
    <row r="3723">
      <c r="A3723" s="43" t="inlineStr">
        <is>
          <t>N62</t>
        </is>
      </c>
      <c r="B3723" s="43" t="inlineStr">
        <is>
          <t>横梁接头</t>
        </is>
      </c>
      <c r="C3723" s="43" t="inlineStr">
        <is>
          <t>节段21</t>
        </is>
      </c>
      <c r="D3723" s="43" t="inlineStr">
        <is>
          <t>Q355D</t>
        </is>
      </c>
      <c r="E3723" s="43" t="n"/>
      <c r="F3723" s="43" t="n"/>
      <c r="G3723" s="43" t="n">
        <v>24</v>
      </c>
      <c r="H3723" s="79">
        <f>(E3723/1000)*(F3723/1000)*(G3723/1000)*7850</f>
        <v/>
      </c>
      <c r="I3723" s="43" t="n">
        <v>9</v>
      </c>
      <c r="J3723" s="80">
        <f>H3723*I3723</f>
        <v/>
      </c>
      <c r="K3723" s="43" t="inlineStr">
        <is>
          <t>来源页131；校验fail</t>
        </is>
      </c>
      <c r="L3723" s="43">
        <f>A3723</f>
        <v/>
      </c>
      <c r="M3723" s="81" t="n"/>
      <c r="N3723" s="81" t="n"/>
      <c r="O3723" s="81" t="n"/>
      <c r="P3723" s="81" t="n"/>
      <c r="Q3723" s="81" t="n"/>
      <c r="R3723" s="81" t="n"/>
      <c r="S3723" s="81" t="n"/>
      <c r="T3723" s="81" t="n"/>
      <c r="U3723" s="81" t="n"/>
      <c r="V3723" s="81" t="n"/>
      <c r="W3723" s="43" t="n"/>
    </row>
    <row r="3724">
      <c r="A3724" s="43" t="inlineStr">
        <is>
          <t>N62a</t>
        </is>
      </c>
      <c r="B3724" s="43" t="inlineStr">
        <is>
          <t>横梁接头</t>
        </is>
      </c>
      <c r="C3724" s="43" t="inlineStr">
        <is>
          <t>节段21</t>
        </is>
      </c>
      <c r="D3724" s="43" t="inlineStr">
        <is>
          <t>Q355D</t>
        </is>
      </c>
      <c r="E3724" s="43" t="n"/>
      <c r="F3724" s="43" t="n"/>
      <c r="G3724" s="43" t="n">
        <v>24</v>
      </c>
      <c r="H3724" s="79">
        <f>(E3724/1000)*(F3724/1000)*(G3724/1000)*7850</f>
        <v/>
      </c>
      <c r="I3724" s="43" t="n">
        <v>9</v>
      </c>
      <c r="J3724" s="80">
        <f>H3724*I3724</f>
        <v/>
      </c>
      <c r="K3724" s="43" t="inlineStr">
        <is>
          <t>来源页131；校验fail</t>
        </is>
      </c>
      <c r="L3724" s="43">
        <f>A3724</f>
        <v/>
      </c>
      <c r="M3724" s="81" t="n"/>
      <c r="N3724" s="81" t="n"/>
      <c r="O3724" s="81" t="n"/>
      <c r="P3724" s="81" t="n"/>
      <c r="Q3724" s="81" t="n"/>
      <c r="R3724" s="81" t="n"/>
      <c r="S3724" s="81" t="n"/>
      <c r="T3724" s="81" t="n"/>
      <c r="U3724" s="81" t="n"/>
      <c r="V3724" s="81" t="n"/>
      <c r="W3724" s="43" t="n"/>
    </row>
    <row r="3725">
      <c r="A3725" s="43" t="inlineStr">
        <is>
          <t>N63</t>
        </is>
      </c>
      <c r="B3725" s="43" t="inlineStr">
        <is>
          <t>横梁接头</t>
        </is>
      </c>
      <c r="C3725" s="43" t="inlineStr">
        <is>
          <t>节段21</t>
        </is>
      </c>
      <c r="D3725" s="43" t="inlineStr">
        <is>
          <t>Q355D</t>
        </is>
      </c>
      <c r="E3725" s="43" t="n">
        <v>1800</v>
      </c>
      <c r="F3725" s="43" t="n">
        <v>610</v>
      </c>
      <c r="G3725" s="43" t="n">
        <v>14</v>
      </c>
      <c r="H3725" s="79">
        <f>(E3725/1000)*(F3725/1000)*(G3725/1000)*7850</f>
        <v/>
      </c>
      <c r="I3725" s="43" t="n">
        <v>9</v>
      </c>
      <c r="J3725" s="80">
        <f>H3725*I3725</f>
        <v/>
      </c>
      <c r="K3725" s="43" t="inlineStr">
        <is>
          <t>来源页131；校验fail</t>
        </is>
      </c>
      <c r="L3725" s="43">
        <f>A3725</f>
        <v/>
      </c>
      <c r="M3725" s="81" t="n"/>
      <c r="N3725" s="81" t="n"/>
      <c r="O3725" s="81" t="n"/>
      <c r="P3725" s="81" t="n"/>
      <c r="Q3725" s="81" t="n"/>
      <c r="R3725" s="81" t="n"/>
      <c r="S3725" s="81" t="n"/>
      <c r="T3725" s="81" t="n"/>
      <c r="U3725" s="81" t="n"/>
      <c r="V3725" s="81" t="n"/>
      <c r="W3725" s="43" t="n"/>
    </row>
    <row r="3726">
      <c r="A3726" s="43" t="inlineStr">
        <is>
          <t>N15</t>
        </is>
      </c>
      <c r="B3726" s="43" t="inlineStr">
        <is>
          <t>上弦横隔板</t>
        </is>
      </c>
      <c r="C3726" s="43" t="inlineStr">
        <is>
          <t>节段22</t>
        </is>
      </c>
      <c r="D3726" s="43" t="inlineStr">
        <is>
          <t>Q355D</t>
        </is>
      </c>
      <c r="E3726" s="43" t="n">
        <v>1980</v>
      </c>
      <c r="F3726" s="43" t="n">
        <v>1200</v>
      </c>
      <c r="G3726" s="43" t="n">
        <v>16</v>
      </c>
      <c r="H3726" s="79">
        <f>(E3726/1000)*(F3726/1000)*(G3726/1000)*7850</f>
        <v/>
      </c>
      <c r="I3726" s="43" t="n">
        <v>6</v>
      </c>
      <c r="J3726" s="80">
        <f>H3726*I3726</f>
        <v/>
      </c>
      <c r="K3726" s="43" t="inlineStr">
        <is>
          <t>来源页137；校验fail</t>
        </is>
      </c>
      <c r="L3726" s="43">
        <f>A3726</f>
        <v/>
      </c>
      <c r="M3726" s="81" t="n"/>
      <c r="N3726" s="81" t="n"/>
      <c r="O3726" s="81" t="n"/>
      <c r="P3726" s="81" t="n"/>
      <c r="Q3726" s="81" t="n"/>
      <c r="R3726" s="81" t="n"/>
      <c r="S3726" s="81" t="n"/>
      <c r="T3726" s="81" t="n"/>
      <c r="U3726" s="81" t="n"/>
      <c r="V3726" s="81" t="n"/>
      <c r="W3726" s="43" t="n"/>
    </row>
    <row r="3727">
      <c r="A3727" s="43" t="inlineStr">
        <is>
          <t>N25'</t>
        </is>
      </c>
      <c r="B3727" s="43" t="inlineStr">
        <is>
          <t>下弦横隔板</t>
        </is>
      </c>
      <c r="C3727" s="43" t="inlineStr">
        <is>
          <t>节段22</t>
        </is>
      </c>
      <c r="D3727" s="43" t="inlineStr">
        <is>
          <t>Q355D</t>
        </is>
      </c>
      <c r="E3727" s="43" t="n">
        <v>2057</v>
      </c>
      <c r="F3727" s="43" t="n">
        <v>200</v>
      </c>
      <c r="G3727" s="43" t="n">
        <v>16</v>
      </c>
      <c r="H3727" s="79">
        <f>(E3727/1000)*(F3727/1000)*(G3727/1000)*7850</f>
        <v/>
      </c>
      <c r="I3727" s="43" t="n">
        <v>9</v>
      </c>
      <c r="J3727" s="80">
        <f>H3727*I3727</f>
        <v/>
      </c>
      <c r="K3727" s="43" t="inlineStr">
        <is>
          <t>来源页137；校验fail</t>
        </is>
      </c>
      <c r="L3727" s="43">
        <f>A3727</f>
        <v/>
      </c>
      <c r="M3727" s="81" t="n"/>
      <c r="N3727" s="81" t="n"/>
      <c r="O3727" s="81" t="n"/>
      <c r="P3727" s="81" t="n"/>
      <c r="Q3727" s="81" t="n"/>
      <c r="R3727" s="81" t="n"/>
      <c r="S3727" s="81" t="n"/>
      <c r="T3727" s="81" t="n"/>
      <c r="U3727" s="81" t="n"/>
      <c r="V3727" s="81" t="n"/>
      <c r="W3727" s="43" t="n"/>
    </row>
    <row r="3728">
      <c r="A3728" s="43" t="inlineStr">
        <is>
          <t>K5</t>
        </is>
      </c>
      <c r="B3728" s="43" t="inlineStr">
        <is>
          <t>下弦杆拼接</t>
        </is>
      </c>
      <c r="C3728" s="43" t="inlineStr">
        <is>
          <t>节段1~节段2</t>
        </is>
      </c>
      <c r="D3728" s="43" t="inlineStr">
        <is>
          <t>Q355D</t>
        </is>
      </c>
      <c r="E3728" s="43" t="n">
        <v>920</v>
      </c>
      <c r="F3728" s="43" t="n">
        <v>200</v>
      </c>
      <c r="G3728" s="43" t="n">
        <v>20</v>
      </c>
      <c r="H3728" s="79">
        <f>(E3728/1000)*(F3728/1000)*(G3728/1000)*7850</f>
        <v/>
      </c>
      <c r="I3728" s="43" t="n">
        <v>9</v>
      </c>
      <c r="J3728" s="80">
        <f>H3728*I3728</f>
        <v/>
      </c>
      <c r="K3728" s="43" t="inlineStr">
        <is>
          <t>来源页145；校验fail</t>
        </is>
      </c>
      <c r="L3728" s="43">
        <f>A3728</f>
        <v/>
      </c>
      <c r="M3728" s="81" t="n"/>
      <c r="N3728" s="81" t="n"/>
      <c r="O3728" s="81" t="n"/>
      <c r="P3728" s="81" t="n"/>
      <c r="Q3728" s="81" t="n"/>
      <c r="R3728" s="81" t="n"/>
      <c r="S3728" s="81" t="n"/>
      <c r="T3728" s="81" t="n"/>
      <c r="U3728" s="81" t="n"/>
      <c r="V3728" s="81" t="n"/>
      <c r="W3728" s="43" t="n"/>
    </row>
    <row r="3729">
      <c r="A3729" s="43" t="inlineStr">
        <is>
          <t>N16a</t>
        </is>
      </c>
      <c r="B3729" s="43" t="inlineStr"/>
      <c r="C3729" s="43" t="inlineStr">
        <is>
          <t>节段02</t>
        </is>
      </c>
      <c r="D3729" s="43" t="inlineStr">
        <is>
          <t>Q355D</t>
        </is>
      </c>
      <c r="E3729" s="43" t="n">
        <v>7902</v>
      </c>
      <c r="F3729" s="43" t="n">
        <v>240</v>
      </c>
      <c r="G3729" s="43" t="n">
        <v>20</v>
      </c>
      <c r="H3729" s="79">
        <f>(E3729/1000)*(F3729/1000)*(G3729/1000)*7850</f>
        <v/>
      </c>
      <c r="I3729" s="43" t="n">
        <v>9</v>
      </c>
      <c r="J3729" s="80">
        <f>H3729*I3729</f>
        <v/>
      </c>
      <c r="K3729" s="43" t="inlineStr">
        <is>
          <t>来源页146；校验fail</t>
        </is>
      </c>
      <c r="L3729" s="43">
        <f>A3729</f>
        <v/>
      </c>
      <c r="M3729" s="81" t="n"/>
      <c r="N3729" s="81" t="n"/>
      <c r="O3729" s="81" t="n"/>
      <c r="P3729" s="81" t="n"/>
      <c r="Q3729" s="81" t="n"/>
      <c r="R3729" s="81" t="n"/>
      <c r="S3729" s="81" t="n"/>
      <c r="T3729" s="81" t="n"/>
      <c r="U3729" s="81" t="n"/>
      <c r="V3729" s="81" t="n"/>
      <c r="W3729" s="43" t="n"/>
    </row>
    <row r="3730">
      <c r="A3730" s="43" t="inlineStr">
        <is>
          <t>N16b</t>
        </is>
      </c>
      <c r="B3730" s="43" t="inlineStr"/>
      <c r="C3730" s="43" t="inlineStr">
        <is>
          <t>节段02</t>
        </is>
      </c>
      <c r="D3730" s="43" t="inlineStr">
        <is>
          <t>Q355D</t>
        </is>
      </c>
      <c r="E3730" s="43" t="n">
        <v>10150</v>
      </c>
      <c r="F3730" s="43" t="n">
        <v>240</v>
      </c>
      <c r="G3730" s="43" t="n">
        <v>20</v>
      </c>
      <c r="H3730" s="79">
        <f>(E3730/1000)*(F3730/1000)*(G3730/1000)*7850</f>
        <v/>
      </c>
      <c r="I3730" s="43" t="n">
        <v>9</v>
      </c>
      <c r="J3730" s="80">
        <f>H3730*I3730</f>
        <v/>
      </c>
      <c r="K3730" s="43" t="inlineStr">
        <is>
          <t>来源页146；校验fail</t>
        </is>
      </c>
      <c r="L3730" s="43">
        <f>A3730</f>
        <v/>
      </c>
      <c r="M3730" s="81" t="n"/>
      <c r="N3730" s="81" t="n"/>
      <c r="O3730" s="81" t="n"/>
      <c r="P3730" s="81" t="n"/>
      <c r="Q3730" s="81" t="n"/>
      <c r="R3730" s="81" t="n"/>
      <c r="S3730" s="81" t="n"/>
      <c r="T3730" s="81" t="n"/>
      <c r="U3730" s="81" t="n"/>
      <c r="V3730" s="81" t="n"/>
      <c r="W3730" s="43" t="n"/>
    </row>
    <row r="3731">
      <c r="A3731" s="43" t="inlineStr">
        <is>
          <t>N16a</t>
        </is>
      </c>
      <c r="B3731" s="43" t="inlineStr"/>
      <c r="C3731" s="43" t="inlineStr">
        <is>
          <t>节段03</t>
        </is>
      </c>
      <c r="D3731" s="43" t="inlineStr">
        <is>
          <t>Q355D</t>
        </is>
      </c>
      <c r="E3731" s="43" t="n">
        <v>7902</v>
      </c>
      <c r="F3731" s="43" t="n">
        <v>240</v>
      </c>
      <c r="G3731" s="43" t="n">
        <v>20</v>
      </c>
      <c r="H3731" s="79">
        <f>(E3731/1000)*(F3731/1000)*(G3731/1000)*7850</f>
        <v/>
      </c>
      <c r="I3731" s="43" t="n">
        <v>9</v>
      </c>
      <c r="J3731" s="80">
        <f>H3731*I3731</f>
        <v/>
      </c>
      <c r="K3731" s="43" t="inlineStr">
        <is>
          <t>来源页150；校验fail</t>
        </is>
      </c>
      <c r="L3731" s="43">
        <f>A3731</f>
        <v/>
      </c>
      <c r="M3731" s="81" t="n"/>
      <c r="N3731" s="81" t="n"/>
      <c r="O3731" s="81" t="n"/>
      <c r="P3731" s="81" t="n"/>
      <c r="Q3731" s="81" t="n"/>
      <c r="R3731" s="81" t="n"/>
      <c r="S3731" s="81" t="n"/>
      <c r="T3731" s="81" t="n"/>
      <c r="U3731" s="81" t="n"/>
      <c r="V3731" s="81" t="n"/>
      <c r="W3731" s="43" t="n"/>
    </row>
    <row r="3732">
      <c r="A3732" s="43" t="inlineStr">
        <is>
          <t>N16b</t>
        </is>
      </c>
      <c r="B3732" s="43" t="inlineStr"/>
      <c r="C3732" s="43" t="inlineStr">
        <is>
          <t>节段03</t>
        </is>
      </c>
      <c r="D3732" s="43" t="inlineStr">
        <is>
          <t>Q355D</t>
        </is>
      </c>
      <c r="E3732" s="43" t="n">
        <v>8600</v>
      </c>
      <c r="F3732" s="43" t="n">
        <v>240</v>
      </c>
      <c r="G3732" s="43" t="n">
        <v>20</v>
      </c>
      <c r="H3732" s="79">
        <f>(E3732/1000)*(F3732/1000)*(G3732/1000)*7850</f>
        <v/>
      </c>
      <c r="I3732" s="43" t="n">
        <v>9</v>
      </c>
      <c r="J3732" s="80">
        <f>H3732*I3732</f>
        <v/>
      </c>
      <c r="K3732" s="43" t="inlineStr">
        <is>
          <t>来源页150；校验fail</t>
        </is>
      </c>
      <c r="L3732" s="43">
        <f>A3732</f>
        <v/>
      </c>
      <c r="M3732" s="81" t="n"/>
      <c r="N3732" s="81" t="n"/>
      <c r="O3732" s="81" t="n"/>
      <c r="P3732" s="81" t="n"/>
      <c r="Q3732" s="81" t="n"/>
      <c r="R3732" s="81" t="n"/>
      <c r="S3732" s="81" t="n"/>
      <c r="T3732" s="81" t="n"/>
      <c r="U3732" s="81" t="n"/>
      <c r="V3732" s="81" t="n"/>
      <c r="W3732" s="43" t="n"/>
    </row>
    <row r="3733">
      <c r="A3733" s="43" t="inlineStr">
        <is>
          <t>K5</t>
        </is>
      </c>
      <c r="B3733" s="43" t="inlineStr">
        <is>
          <t>下弦杆拼接</t>
        </is>
      </c>
      <c r="C3733" s="43" t="inlineStr"/>
      <c r="D3733" s="43" t="inlineStr">
        <is>
          <t>Q355D</t>
        </is>
      </c>
      <c r="E3733" s="43" t="n">
        <v>920</v>
      </c>
      <c r="F3733" s="43" t="n">
        <v>200</v>
      </c>
      <c r="G3733" s="43" t="n">
        <v>20</v>
      </c>
      <c r="H3733" s="79">
        <f>(E3733/1000)*(F3733/1000)*(G3733/1000)*7850</f>
        <v/>
      </c>
      <c r="I3733" s="43" t="n">
        <v>9</v>
      </c>
      <c r="J3733" s="80">
        <f>H3733*I3733</f>
        <v/>
      </c>
      <c r="K3733" s="43" t="inlineStr">
        <is>
          <t>来源页153；校验fail</t>
        </is>
      </c>
      <c r="L3733" s="43">
        <f>A3733</f>
        <v/>
      </c>
      <c r="M3733" s="81" t="n"/>
      <c r="N3733" s="81" t="n"/>
      <c r="O3733" s="81" t="n"/>
      <c r="P3733" s="81" t="n"/>
      <c r="Q3733" s="81" t="n"/>
      <c r="R3733" s="81" t="n"/>
      <c r="S3733" s="81" t="n"/>
      <c r="T3733" s="81" t="n"/>
      <c r="U3733" s="81" t="n"/>
      <c r="V3733" s="81" t="n"/>
      <c r="W3733" s="43" t="n"/>
    </row>
    <row r="3734">
      <c r="A3734" s="43" t="inlineStr">
        <is>
          <t>N16a</t>
        </is>
      </c>
      <c r="B3734" s="43" t="inlineStr"/>
      <c r="C3734" s="43" t="inlineStr">
        <is>
          <t>节段04</t>
        </is>
      </c>
      <c r="D3734" s="43" t="inlineStr">
        <is>
          <t>Q355D</t>
        </is>
      </c>
      <c r="E3734" s="43" t="n">
        <v>7901</v>
      </c>
      <c r="F3734" s="43" t="n">
        <v>240</v>
      </c>
      <c r="G3734" s="43" t="n">
        <v>20</v>
      </c>
      <c r="H3734" s="79">
        <f>(E3734/1000)*(F3734/1000)*(G3734/1000)*7850</f>
        <v/>
      </c>
      <c r="I3734" s="43" t="n">
        <v>9</v>
      </c>
      <c r="J3734" s="80">
        <f>H3734*I3734</f>
        <v/>
      </c>
      <c r="K3734" s="43" t="inlineStr">
        <is>
          <t>来源页154；校验fail</t>
        </is>
      </c>
      <c r="L3734" s="43">
        <f>A3734</f>
        <v/>
      </c>
      <c r="M3734" s="81" t="n"/>
      <c r="N3734" s="81" t="n"/>
      <c r="O3734" s="81" t="n"/>
      <c r="P3734" s="81" t="n"/>
      <c r="Q3734" s="81" t="n"/>
      <c r="R3734" s="81" t="n"/>
      <c r="S3734" s="81" t="n"/>
      <c r="T3734" s="81" t="n"/>
      <c r="U3734" s="81" t="n"/>
      <c r="V3734" s="81" t="n"/>
      <c r="W3734" s="43" t="n"/>
    </row>
    <row r="3735">
      <c r="A3735" s="43" t="inlineStr">
        <is>
          <t>N16b</t>
        </is>
      </c>
      <c r="B3735" s="43" t="inlineStr"/>
      <c r="C3735" s="43" t="inlineStr">
        <is>
          <t>节段04</t>
        </is>
      </c>
      <c r="D3735" s="43" t="inlineStr">
        <is>
          <t>Q355D</t>
        </is>
      </c>
      <c r="E3735" s="43" t="n">
        <v>7101</v>
      </c>
      <c r="F3735" s="43" t="n">
        <v>240</v>
      </c>
      <c r="G3735" s="43" t="n">
        <v>20</v>
      </c>
      <c r="H3735" s="79">
        <f>(E3735/1000)*(F3735/1000)*(G3735/1000)*7850</f>
        <v/>
      </c>
      <c r="I3735" s="43" t="n">
        <v>9</v>
      </c>
      <c r="J3735" s="80">
        <f>H3735*I3735</f>
        <v/>
      </c>
      <c r="K3735" s="43" t="inlineStr">
        <is>
          <t>来源页154；校验fail</t>
        </is>
      </c>
      <c r="L3735" s="43">
        <f>A3735</f>
        <v/>
      </c>
      <c r="M3735" s="81" t="n"/>
      <c r="N3735" s="81" t="n"/>
      <c r="O3735" s="81" t="n"/>
      <c r="P3735" s="81" t="n"/>
      <c r="Q3735" s="81" t="n"/>
      <c r="R3735" s="81" t="n"/>
      <c r="S3735" s="81" t="n"/>
      <c r="T3735" s="81" t="n"/>
      <c r="U3735" s="81" t="n"/>
      <c r="V3735" s="81" t="n"/>
      <c r="W3735" s="43" t="n"/>
    </row>
    <row r="3736">
      <c r="A3736" s="43" t="inlineStr">
        <is>
          <t>K5</t>
        </is>
      </c>
      <c r="B3736" s="43" t="inlineStr">
        <is>
          <t>下弦杆拼接</t>
        </is>
      </c>
      <c r="C3736" s="43" t="inlineStr">
        <is>
          <t>节段4~节段5</t>
        </is>
      </c>
      <c r="D3736" s="43" t="inlineStr">
        <is>
          <t>Q355D</t>
        </is>
      </c>
      <c r="E3736" s="43" t="n">
        <v>920</v>
      </c>
      <c r="F3736" s="43" t="n">
        <v>200</v>
      </c>
      <c r="G3736" s="43" t="n">
        <v>20</v>
      </c>
      <c r="H3736" s="79">
        <f>(E3736/1000)*(F3736/1000)*(G3736/1000)*7850</f>
        <v/>
      </c>
      <c r="I3736" s="43" t="n">
        <v>9</v>
      </c>
      <c r="J3736" s="80">
        <f>H3736*I3736</f>
        <v/>
      </c>
      <c r="K3736" s="43" t="inlineStr">
        <is>
          <t>来源页157；校验fail</t>
        </is>
      </c>
      <c r="L3736" s="43">
        <f>A3736</f>
        <v/>
      </c>
      <c r="M3736" s="81" t="n"/>
      <c r="N3736" s="81" t="n"/>
      <c r="O3736" s="81" t="n"/>
      <c r="P3736" s="81" t="n"/>
      <c r="Q3736" s="81" t="n"/>
      <c r="R3736" s="81" t="n"/>
      <c r="S3736" s="81" t="n"/>
      <c r="T3736" s="81" t="n"/>
      <c r="U3736" s="81" t="n"/>
      <c r="V3736" s="81" t="n"/>
      <c r="W3736" s="43" t="n"/>
    </row>
    <row r="3737">
      <c r="A3737" s="43" t="inlineStr">
        <is>
          <t>K5</t>
        </is>
      </c>
      <c r="B3737" s="43" t="inlineStr">
        <is>
          <t>下弦杆拼接</t>
        </is>
      </c>
      <c r="C3737" s="43" t="inlineStr">
        <is>
          <t>节段5~节段6</t>
        </is>
      </c>
      <c r="D3737" s="43" t="inlineStr">
        <is>
          <t>Q355D</t>
        </is>
      </c>
      <c r="E3737" s="43" t="n">
        <v>920</v>
      </c>
      <c r="F3737" s="43" t="n">
        <v>200</v>
      </c>
      <c r="G3737" s="43" t="n">
        <v>20</v>
      </c>
      <c r="H3737" s="79">
        <f>(E3737/1000)*(F3737/1000)*(G3737/1000)*7850</f>
        <v/>
      </c>
      <c r="I3737" s="43" t="n">
        <v>9</v>
      </c>
      <c r="J3737" s="80">
        <f>H3737*I3737</f>
        <v/>
      </c>
      <c r="K3737" s="43" t="inlineStr">
        <is>
          <t>来源页161；校验fail</t>
        </is>
      </c>
      <c r="L3737" s="43">
        <f>A3737</f>
        <v/>
      </c>
      <c r="M3737" s="81" t="n"/>
      <c r="N3737" s="81" t="n"/>
      <c r="O3737" s="81" t="n"/>
      <c r="P3737" s="81" t="n"/>
      <c r="Q3737" s="81" t="n"/>
      <c r="R3737" s="81" t="n"/>
      <c r="S3737" s="81" t="n"/>
      <c r="T3737" s="81" t="n"/>
      <c r="U3737" s="81" t="n"/>
      <c r="V3737" s="81" t="n"/>
      <c r="W3737" s="43" t="n"/>
    </row>
    <row r="3738">
      <c r="A3738" s="43" t="inlineStr">
        <is>
          <t>N16b</t>
        </is>
      </c>
      <c r="B3738" s="43" t="inlineStr"/>
      <c r="C3738" s="43" t="inlineStr">
        <is>
          <t>节段06</t>
        </is>
      </c>
      <c r="D3738" s="43" t="inlineStr">
        <is>
          <t>Q420D</t>
        </is>
      </c>
      <c r="E3738" s="43" t="n">
        <v>7101</v>
      </c>
      <c r="F3738" s="43" t="n">
        <v>320</v>
      </c>
      <c r="G3738" s="43" t="n">
        <v>32</v>
      </c>
      <c r="H3738" s="79">
        <f>(E3738/1000)*(F3738/1000)*(G3738/1000)*7850</f>
        <v/>
      </c>
      <c r="I3738" s="43" t="n">
        <v>9</v>
      </c>
      <c r="J3738" s="80">
        <f>H3738*I3738</f>
        <v/>
      </c>
      <c r="K3738" s="43" t="inlineStr">
        <is>
          <t>来源页162；校验fail</t>
        </is>
      </c>
      <c r="L3738" s="43">
        <f>A3738</f>
        <v/>
      </c>
      <c r="M3738" s="81" t="n"/>
      <c r="N3738" s="81" t="n"/>
      <c r="O3738" s="81" t="n"/>
      <c r="P3738" s="81" t="n"/>
      <c r="Q3738" s="81" t="n"/>
      <c r="R3738" s="81" t="n"/>
      <c r="S3738" s="81" t="n"/>
      <c r="T3738" s="81" t="n"/>
      <c r="U3738" s="81" t="n"/>
      <c r="V3738" s="81" t="n"/>
      <c r="W3738" s="43" t="n"/>
    </row>
    <row r="3739">
      <c r="A3739" s="43" t="inlineStr">
        <is>
          <t>K5</t>
        </is>
      </c>
      <c r="B3739" s="43" t="inlineStr">
        <is>
          <t>下弦杆拼接</t>
        </is>
      </c>
      <c r="C3739" s="43" t="inlineStr">
        <is>
          <t>节段6~节段7</t>
        </is>
      </c>
      <c r="D3739" s="43" t="inlineStr">
        <is>
          <t>Q420D</t>
        </is>
      </c>
      <c r="E3739" s="43" t="n">
        <v>1320</v>
      </c>
      <c r="F3739" s="43" t="n">
        <v>240</v>
      </c>
      <c r="G3739" s="43" t="n">
        <v>24</v>
      </c>
      <c r="H3739" s="79">
        <f>(E3739/1000)*(F3739/1000)*(G3739/1000)*7850</f>
        <v/>
      </c>
      <c r="I3739" s="43" t="n">
        <v>9</v>
      </c>
      <c r="J3739" s="80">
        <f>H3739*I3739</f>
        <v/>
      </c>
      <c r="K3739" s="43" t="inlineStr">
        <is>
          <t>来源页166；校验fail</t>
        </is>
      </c>
      <c r="L3739" s="43">
        <f>A3739</f>
        <v/>
      </c>
      <c r="M3739" s="81" t="n"/>
      <c r="N3739" s="81" t="n"/>
      <c r="O3739" s="81" t="n"/>
      <c r="P3739" s="81" t="n"/>
      <c r="Q3739" s="81" t="n"/>
      <c r="R3739" s="81" t="n"/>
      <c r="S3739" s="81" t="n"/>
      <c r="T3739" s="81" t="n"/>
      <c r="U3739" s="81" t="n"/>
      <c r="V3739" s="81" t="n"/>
      <c r="W3739" s="43" t="n"/>
    </row>
    <row r="3740">
      <c r="A3740" s="43" t="inlineStr">
        <is>
          <t>N16a</t>
        </is>
      </c>
      <c r="B3740" s="43" t="inlineStr"/>
      <c r="C3740" s="43" t="inlineStr">
        <is>
          <t>节段07</t>
        </is>
      </c>
      <c r="D3740" s="43" t="inlineStr">
        <is>
          <t>Q420D</t>
        </is>
      </c>
      <c r="E3740" s="43" t="n">
        <v>7900</v>
      </c>
      <c r="F3740" s="43" t="n">
        <v>320</v>
      </c>
      <c r="G3740" s="43" t="n">
        <v>32</v>
      </c>
      <c r="H3740" s="79">
        <f>(E3740/1000)*(F3740/1000)*(G3740/1000)*7850</f>
        <v/>
      </c>
      <c r="I3740" s="43" t="n">
        <v>9</v>
      </c>
      <c r="J3740" s="80">
        <f>H3740*I3740</f>
        <v/>
      </c>
      <c r="K3740" s="43" t="inlineStr">
        <is>
          <t>来源页167；校验fail</t>
        </is>
      </c>
      <c r="L3740" s="43">
        <f>A3740</f>
        <v/>
      </c>
      <c r="M3740" s="81" t="n"/>
      <c r="N3740" s="81" t="n"/>
      <c r="O3740" s="81" t="n"/>
      <c r="P3740" s="81" t="n"/>
      <c r="Q3740" s="81" t="n"/>
      <c r="R3740" s="81" t="n"/>
      <c r="S3740" s="81" t="n"/>
      <c r="T3740" s="81" t="n"/>
      <c r="U3740" s="81" t="n"/>
      <c r="V3740" s="81" t="n"/>
      <c r="W3740" s="43" t="n"/>
    </row>
    <row r="3741">
      <c r="A3741" s="43" t="inlineStr">
        <is>
          <t>N16b</t>
        </is>
      </c>
      <c r="B3741" s="43" t="inlineStr"/>
      <c r="C3741" s="43" t="inlineStr">
        <is>
          <t>节段07</t>
        </is>
      </c>
      <c r="D3741" s="43" t="inlineStr">
        <is>
          <t>Q420D</t>
        </is>
      </c>
      <c r="E3741" s="43" t="n">
        <v>7100</v>
      </c>
      <c r="F3741" s="43" t="n">
        <v>320</v>
      </c>
      <c r="G3741" s="43" t="n">
        <v>32</v>
      </c>
      <c r="H3741" s="79">
        <f>(E3741/1000)*(F3741/1000)*(G3741/1000)*7850</f>
        <v/>
      </c>
      <c r="I3741" s="43" t="n">
        <v>9</v>
      </c>
      <c r="J3741" s="80">
        <f>H3741*I3741</f>
        <v/>
      </c>
      <c r="K3741" s="43" t="inlineStr">
        <is>
          <t>来源页167；校验fail</t>
        </is>
      </c>
      <c r="L3741" s="43">
        <f>A3741</f>
        <v/>
      </c>
      <c r="M3741" s="81" t="n"/>
      <c r="N3741" s="81" t="n"/>
      <c r="O3741" s="81" t="n"/>
      <c r="P3741" s="81" t="n"/>
      <c r="Q3741" s="81" t="n"/>
      <c r="R3741" s="81" t="n"/>
      <c r="S3741" s="81" t="n"/>
      <c r="T3741" s="81" t="n"/>
      <c r="U3741" s="81" t="n"/>
      <c r="V3741" s="81" t="n"/>
      <c r="W3741" s="43" t="n"/>
    </row>
    <row r="3742">
      <c r="A3742" s="43" t="inlineStr">
        <is>
          <t>N16b</t>
        </is>
      </c>
      <c r="B3742" s="43" t="inlineStr"/>
      <c r="C3742" s="43" t="inlineStr">
        <is>
          <t>节段08</t>
        </is>
      </c>
      <c r="D3742" s="43" t="inlineStr">
        <is>
          <t>Q420D</t>
        </is>
      </c>
      <c r="E3742" s="43" t="n">
        <v>7100</v>
      </c>
      <c r="F3742" s="43" t="n">
        <v>320</v>
      </c>
      <c r="G3742" s="43" t="n">
        <v>32</v>
      </c>
      <c r="H3742" s="79">
        <f>(E3742/1000)*(F3742/1000)*(G3742/1000)*7850</f>
        <v/>
      </c>
      <c r="I3742" s="43" t="n">
        <v>9</v>
      </c>
      <c r="J3742" s="80">
        <f>H3742*I3742</f>
        <v/>
      </c>
      <c r="K3742" s="43" t="inlineStr">
        <is>
          <t>来源页171；校验fail</t>
        </is>
      </c>
      <c r="L3742" s="43">
        <f>A3742</f>
        <v/>
      </c>
      <c r="M3742" s="81" t="n"/>
      <c r="N3742" s="81" t="n"/>
      <c r="O3742" s="81" t="n"/>
      <c r="P3742" s="81" t="n"/>
      <c r="Q3742" s="81" t="n"/>
      <c r="R3742" s="81" t="n"/>
      <c r="S3742" s="81" t="n"/>
      <c r="T3742" s="81" t="n"/>
      <c r="U3742" s="81" t="n"/>
      <c r="V3742" s="81" t="n"/>
      <c r="W3742" s="43" t="n"/>
    </row>
    <row r="3743">
      <c r="A3743" s="43" t="inlineStr">
        <is>
          <t>K5</t>
        </is>
      </c>
      <c r="B3743" s="43" t="inlineStr">
        <is>
          <t>下弦杆拼接</t>
        </is>
      </c>
      <c r="C3743" s="43" t="inlineStr">
        <is>
          <t>节段8~节段9</t>
        </is>
      </c>
      <c r="D3743" s="43" t="inlineStr">
        <is>
          <t>Q355D</t>
        </is>
      </c>
      <c r="E3743" s="43" t="n">
        <v>920</v>
      </c>
      <c r="F3743" s="43" t="n">
        <v>200</v>
      </c>
      <c r="G3743" s="43" t="n">
        <v>20</v>
      </c>
      <c r="H3743" s="79">
        <f>(E3743/1000)*(F3743/1000)*(G3743/1000)*7850</f>
        <v/>
      </c>
      <c r="I3743" s="43" t="n">
        <v>9</v>
      </c>
      <c r="J3743" s="80">
        <f>H3743*I3743</f>
        <v/>
      </c>
      <c r="K3743" s="43" t="inlineStr">
        <is>
          <t>来源页174；校验fail</t>
        </is>
      </c>
      <c r="L3743" s="43">
        <f>A3743</f>
        <v/>
      </c>
      <c r="M3743" s="81" t="n"/>
      <c r="N3743" s="81" t="n"/>
      <c r="O3743" s="81" t="n"/>
      <c r="P3743" s="81" t="n"/>
      <c r="Q3743" s="81" t="n"/>
      <c r="R3743" s="81" t="n"/>
      <c r="S3743" s="81" t="n"/>
      <c r="T3743" s="81" t="n"/>
      <c r="U3743" s="81" t="n"/>
      <c r="V3743" s="81" t="n"/>
      <c r="W3743" s="43" t="n"/>
    </row>
    <row r="3744">
      <c r="A3744" s="43" t="inlineStr">
        <is>
          <t>N16b</t>
        </is>
      </c>
      <c r="B3744" s="43" t="inlineStr"/>
      <c r="C3744" s="43" t="inlineStr">
        <is>
          <t>节段09</t>
        </is>
      </c>
      <c r="D3744" s="43" t="inlineStr">
        <is>
          <t>Q355D</t>
        </is>
      </c>
      <c r="E3744" s="43" t="n">
        <v>7100</v>
      </c>
      <c r="F3744" s="43" t="n">
        <v>320</v>
      </c>
      <c r="G3744" s="43" t="n">
        <v>32</v>
      </c>
      <c r="H3744" s="79">
        <f>(E3744/1000)*(F3744/1000)*(G3744/1000)*7850</f>
        <v/>
      </c>
      <c r="I3744" s="43" t="n">
        <v>9</v>
      </c>
      <c r="J3744" s="80">
        <f>H3744*I3744</f>
        <v/>
      </c>
      <c r="K3744" s="43" t="inlineStr">
        <is>
          <t>来源页175；校验fail</t>
        </is>
      </c>
      <c r="L3744" s="43">
        <f>A3744</f>
        <v/>
      </c>
      <c r="M3744" s="81" t="n"/>
      <c r="N3744" s="81" t="n"/>
      <c r="O3744" s="81" t="n"/>
      <c r="P3744" s="81" t="n"/>
      <c r="Q3744" s="81" t="n"/>
      <c r="R3744" s="81" t="n"/>
      <c r="S3744" s="81" t="n"/>
      <c r="T3744" s="81" t="n"/>
      <c r="U3744" s="81" t="n"/>
      <c r="V3744" s="81" t="n"/>
      <c r="W3744" s="43" t="n"/>
    </row>
    <row r="3745">
      <c r="A3745" s="43" t="inlineStr">
        <is>
          <t>K5</t>
        </is>
      </c>
      <c r="B3745" s="43" t="inlineStr">
        <is>
          <t>下弦杆拼接</t>
        </is>
      </c>
      <c r="C3745" s="43" t="inlineStr">
        <is>
          <t>节段9~节段10</t>
        </is>
      </c>
      <c r="D3745" s="43" t="inlineStr">
        <is>
          <t>Q355D</t>
        </is>
      </c>
      <c r="E3745" s="43" t="n">
        <v>920</v>
      </c>
      <c r="F3745" s="43" t="n">
        <v>200</v>
      </c>
      <c r="G3745" s="43" t="n">
        <v>20</v>
      </c>
      <c r="H3745" s="79">
        <f>(E3745/1000)*(F3745/1000)*(G3745/1000)*7850</f>
        <v/>
      </c>
      <c r="I3745" s="43" t="n">
        <v>9</v>
      </c>
      <c r="J3745" s="80">
        <f>H3745*I3745</f>
        <v/>
      </c>
      <c r="K3745" s="43" t="inlineStr">
        <is>
          <t>来源页178；校验fail</t>
        </is>
      </c>
      <c r="L3745" s="43">
        <f>A3745</f>
        <v/>
      </c>
      <c r="M3745" s="81" t="n"/>
      <c r="N3745" s="81" t="n"/>
      <c r="O3745" s="81" t="n"/>
      <c r="P3745" s="81" t="n"/>
      <c r="Q3745" s="81" t="n"/>
      <c r="R3745" s="81" t="n"/>
      <c r="S3745" s="81" t="n"/>
      <c r="T3745" s="81" t="n"/>
      <c r="U3745" s="81" t="n"/>
      <c r="V3745" s="81" t="n"/>
      <c r="W3745" s="43" t="n"/>
    </row>
    <row r="3746">
      <c r="A3746" s="43" t="inlineStr">
        <is>
          <t>N16a</t>
        </is>
      </c>
      <c r="B3746" s="43" t="inlineStr"/>
      <c r="C3746" s="43" t="inlineStr">
        <is>
          <t>节段10</t>
        </is>
      </c>
      <c r="D3746" s="43" t="inlineStr">
        <is>
          <t>Q355D</t>
        </is>
      </c>
      <c r="E3746" s="43" t="n">
        <v>7900</v>
      </c>
      <c r="F3746" s="43" t="n">
        <v>240</v>
      </c>
      <c r="G3746" s="43" t="n">
        <v>20</v>
      </c>
      <c r="H3746" s="79">
        <f>(E3746/1000)*(F3746/1000)*(G3746/1000)*7850</f>
        <v/>
      </c>
      <c r="I3746" s="43" t="n">
        <v>9</v>
      </c>
      <c r="J3746" s="80">
        <f>H3746*I3746</f>
        <v/>
      </c>
      <c r="K3746" s="43" t="inlineStr">
        <is>
          <t>来源页179；校验fail</t>
        </is>
      </c>
      <c r="L3746" s="43">
        <f>A3746</f>
        <v/>
      </c>
      <c r="M3746" s="81" t="n"/>
      <c r="N3746" s="81" t="n"/>
      <c r="O3746" s="81" t="n"/>
      <c r="P3746" s="81" t="n"/>
      <c r="Q3746" s="81" t="n"/>
      <c r="R3746" s="81" t="n"/>
      <c r="S3746" s="81" t="n"/>
      <c r="T3746" s="81" t="n"/>
      <c r="U3746" s="81" t="n"/>
      <c r="V3746" s="81" t="n"/>
      <c r="W3746" s="43" t="n"/>
    </row>
    <row r="3747">
      <c r="A3747" s="43" t="inlineStr">
        <is>
          <t>N16b</t>
        </is>
      </c>
      <c r="B3747" s="43" t="inlineStr"/>
      <c r="C3747" s="43" t="inlineStr">
        <is>
          <t>节段10</t>
        </is>
      </c>
      <c r="D3747" s="43" t="inlineStr">
        <is>
          <t>Q355D</t>
        </is>
      </c>
      <c r="E3747" s="43" t="n">
        <v>7100</v>
      </c>
      <c r="F3747" s="43" t="n">
        <v>240</v>
      </c>
      <c r="G3747" s="43" t="n">
        <v>20</v>
      </c>
      <c r="H3747" s="79">
        <f>(E3747/1000)*(F3747/1000)*(G3747/1000)*7850</f>
        <v/>
      </c>
      <c r="I3747" s="43" t="n">
        <v>9</v>
      </c>
      <c r="J3747" s="80">
        <f>H3747*I3747</f>
        <v/>
      </c>
      <c r="K3747" s="43" t="inlineStr">
        <is>
          <t>来源页179；校验fail</t>
        </is>
      </c>
      <c r="L3747" s="43">
        <f>A3747</f>
        <v/>
      </c>
      <c r="M3747" s="81" t="n"/>
      <c r="N3747" s="81" t="n"/>
      <c r="O3747" s="81" t="n"/>
      <c r="P3747" s="81" t="n"/>
      <c r="Q3747" s="81" t="n"/>
      <c r="R3747" s="81" t="n"/>
      <c r="S3747" s="81" t="n"/>
      <c r="T3747" s="81" t="n"/>
      <c r="U3747" s="81" t="n"/>
      <c r="V3747" s="81" t="n"/>
      <c r="W3747" s="43" t="n"/>
    </row>
    <row r="3748">
      <c r="A3748" s="43" t="inlineStr">
        <is>
          <t>N16a</t>
        </is>
      </c>
      <c r="B3748" s="43" t="inlineStr"/>
      <c r="C3748" s="43" t="inlineStr">
        <is>
          <t>节段11</t>
        </is>
      </c>
      <c r="D3748" s="43" t="inlineStr">
        <is>
          <t>Q355D</t>
        </is>
      </c>
      <c r="E3748" s="43" t="n">
        <v>7900</v>
      </c>
      <c r="F3748" s="43" t="n">
        <v>240</v>
      </c>
      <c r="G3748" s="43" t="n">
        <v>20</v>
      </c>
      <c r="H3748" s="79">
        <f>(E3748/1000)*(F3748/1000)*(G3748/1000)*7850</f>
        <v/>
      </c>
      <c r="I3748" s="43" t="n">
        <v>9</v>
      </c>
      <c r="J3748" s="80">
        <f>H3748*I3748</f>
        <v/>
      </c>
      <c r="K3748" s="43" t="inlineStr">
        <is>
          <t>来源页183；校验fail</t>
        </is>
      </c>
      <c r="L3748" s="43">
        <f>A3748</f>
        <v/>
      </c>
      <c r="M3748" s="81" t="n"/>
      <c r="N3748" s="81" t="n"/>
      <c r="O3748" s="81" t="n"/>
      <c r="P3748" s="81" t="n"/>
      <c r="Q3748" s="81" t="n"/>
      <c r="R3748" s="81" t="n"/>
      <c r="S3748" s="81" t="n"/>
      <c r="T3748" s="81" t="n"/>
      <c r="U3748" s="81" t="n"/>
      <c r="V3748" s="81" t="n"/>
      <c r="W3748" s="43" t="n"/>
    </row>
    <row r="3749">
      <c r="A3749" s="43" t="inlineStr">
        <is>
          <t>N16b</t>
        </is>
      </c>
      <c r="B3749" s="43" t="inlineStr"/>
      <c r="C3749" s="43" t="inlineStr">
        <is>
          <t>节段11</t>
        </is>
      </c>
      <c r="D3749" s="43" t="inlineStr">
        <is>
          <t>Q355D</t>
        </is>
      </c>
      <c r="E3749" s="43" t="n">
        <v>7100</v>
      </c>
      <c r="F3749" s="43" t="n">
        <v>240</v>
      </c>
      <c r="G3749" s="43" t="n">
        <v>20</v>
      </c>
      <c r="H3749" s="79">
        <f>(E3749/1000)*(F3749/1000)*(G3749/1000)*7850</f>
        <v/>
      </c>
      <c r="I3749" s="43" t="n">
        <v>9</v>
      </c>
      <c r="J3749" s="80">
        <f>H3749*I3749</f>
        <v/>
      </c>
      <c r="K3749" s="43" t="inlineStr">
        <is>
          <t>来源页183；校验fail</t>
        </is>
      </c>
      <c r="L3749" s="43">
        <f>A3749</f>
        <v/>
      </c>
      <c r="M3749" s="81" t="n"/>
      <c r="N3749" s="81" t="n"/>
      <c r="O3749" s="81" t="n"/>
      <c r="P3749" s="81" t="n"/>
      <c r="Q3749" s="81" t="n"/>
      <c r="R3749" s="81" t="n"/>
      <c r="S3749" s="81" t="n"/>
      <c r="T3749" s="81" t="n"/>
      <c r="U3749" s="81" t="n"/>
      <c r="V3749" s="81" t="n"/>
      <c r="W3749" s="43" t="n"/>
    </row>
    <row r="3750">
      <c r="A3750" s="43" t="inlineStr">
        <is>
          <t>K5</t>
        </is>
      </c>
      <c r="B3750" s="43" t="inlineStr">
        <is>
          <t>下弦杆拼接</t>
        </is>
      </c>
      <c r="C3750" s="43" t="inlineStr">
        <is>
          <t>节段11~节段12</t>
        </is>
      </c>
      <c r="D3750" s="43" t="inlineStr">
        <is>
          <t>Q355D</t>
        </is>
      </c>
      <c r="E3750" s="43" t="n">
        <v>920</v>
      </c>
      <c r="F3750" s="43" t="n">
        <v>200</v>
      </c>
      <c r="G3750" s="43" t="n">
        <v>20</v>
      </c>
      <c r="H3750" s="79">
        <f>(E3750/1000)*(F3750/1000)*(G3750/1000)*7850</f>
        <v/>
      </c>
      <c r="I3750" s="43" t="n">
        <v>9</v>
      </c>
      <c r="J3750" s="80">
        <f>H3750*I3750</f>
        <v/>
      </c>
      <c r="K3750" s="43" t="inlineStr">
        <is>
          <t>来源页186；校验fail</t>
        </is>
      </c>
      <c r="L3750" s="43">
        <f>A3750</f>
        <v/>
      </c>
      <c r="M3750" s="81" t="n"/>
      <c r="N3750" s="81" t="n"/>
      <c r="O3750" s="81" t="n"/>
      <c r="P3750" s="81" t="n"/>
      <c r="Q3750" s="81" t="n"/>
      <c r="R3750" s="81" t="n"/>
      <c r="S3750" s="81" t="n"/>
      <c r="T3750" s="81" t="n"/>
      <c r="U3750" s="81" t="n"/>
      <c r="V3750" s="81" t="n"/>
      <c r="W3750" s="43" t="n"/>
    </row>
    <row r="3751">
      <c r="A3751" s="43" t="inlineStr">
        <is>
          <t>N16b</t>
        </is>
      </c>
      <c r="B3751" s="43" t="inlineStr"/>
      <c r="C3751" s="43" t="inlineStr">
        <is>
          <t>节段12</t>
        </is>
      </c>
      <c r="D3751" s="43" t="inlineStr">
        <is>
          <t>Q355D</t>
        </is>
      </c>
      <c r="E3751" s="43" t="n">
        <v>7100</v>
      </c>
      <c r="F3751" s="43" t="n">
        <v>240</v>
      </c>
      <c r="G3751" s="43" t="n">
        <v>20</v>
      </c>
      <c r="H3751" s="79">
        <f>(E3751/1000)*(F3751/1000)*(G3751/1000)*7850</f>
        <v/>
      </c>
      <c r="I3751" s="43" t="n">
        <v>9</v>
      </c>
      <c r="J3751" s="80">
        <f>H3751*I3751</f>
        <v/>
      </c>
      <c r="K3751" s="43" t="inlineStr">
        <is>
          <t>来源页187；校验fail</t>
        </is>
      </c>
      <c r="L3751" s="43">
        <f>A3751</f>
        <v/>
      </c>
      <c r="M3751" s="81" t="n"/>
      <c r="N3751" s="81" t="n"/>
      <c r="O3751" s="81" t="n"/>
      <c r="P3751" s="81" t="n"/>
      <c r="Q3751" s="81" t="n"/>
      <c r="R3751" s="81" t="n"/>
      <c r="S3751" s="81" t="n"/>
      <c r="T3751" s="81" t="n"/>
      <c r="U3751" s="81" t="n"/>
      <c r="V3751" s="81" t="n"/>
      <c r="W3751" s="43" t="n"/>
    </row>
    <row r="3752">
      <c r="A3752" s="43" t="inlineStr">
        <is>
          <t>K5</t>
        </is>
      </c>
      <c r="B3752" s="43" t="inlineStr">
        <is>
          <t>下弦杆拼接</t>
        </is>
      </c>
      <c r="C3752" s="43" t="inlineStr">
        <is>
          <t>节段12~节段13</t>
        </is>
      </c>
      <c r="D3752" s="43" t="inlineStr">
        <is>
          <t>Q355D</t>
        </is>
      </c>
      <c r="E3752" s="43" t="n">
        <v>920</v>
      </c>
      <c r="F3752" s="43" t="n">
        <v>200</v>
      </c>
      <c r="G3752" s="43" t="n">
        <v>20</v>
      </c>
      <c r="H3752" s="79">
        <f>(E3752/1000)*(F3752/1000)*(G3752/1000)*7850</f>
        <v/>
      </c>
      <c r="I3752" s="43" t="n">
        <v>9</v>
      </c>
      <c r="J3752" s="80">
        <f>H3752*I3752</f>
        <v/>
      </c>
      <c r="K3752" s="43" t="inlineStr">
        <is>
          <t>来源页190；校验fail</t>
        </is>
      </c>
      <c r="L3752" s="43">
        <f>A3752</f>
        <v/>
      </c>
      <c r="M3752" s="81" t="n"/>
      <c r="N3752" s="81" t="n"/>
      <c r="O3752" s="81" t="n"/>
      <c r="P3752" s="81" t="n"/>
      <c r="Q3752" s="81" t="n"/>
      <c r="R3752" s="81" t="n"/>
      <c r="S3752" s="81" t="n"/>
      <c r="T3752" s="81" t="n"/>
      <c r="U3752" s="81" t="n"/>
      <c r="V3752" s="81" t="n"/>
      <c r="W3752" s="43" t="n"/>
    </row>
    <row r="3753">
      <c r="A3753" s="43" t="inlineStr">
        <is>
          <t>N16b</t>
        </is>
      </c>
      <c r="B3753" s="43" t="inlineStr"/>
      <c r="C3753" s="43" t="inlineStr">
        <is>
          <t>节段13</t>
        </is>
      </c>
      <c r="D3753" s="43" t="inlineStr">
        <is>
          <t>Q355D</t>
        </is>
      </c>
      <c r="E3753" s="43" t="n">
        <v>7100</v>
      </c>
      <c r="F3753" s="43" t="n">
        <v>240</v>
      </c>
      <c r="G3753" s="43" t="n">
        <v>20</v>
      </c>
      <c r="H3753" s="79">
        <f>(E3753/1000)*(F3753/1000)*(G3753/1000)*7850</f>
        <v/>
      </c>
      <c r="I3753" s="43" t="n">
        <v>9</v>
      </c>
      <c r="J3753" s="80">
        <f>H3753*I3753</f>
        <v/>
      </c>
      <c r="K3753" s="43" t="inlineStr">
        <is>
          <t>来源页191；校验fail</t>
        </is>
      </c>
      <c r="L3753" s="43">
        <f>A3753</f>
        <v/>
      </c>
      <c r="M3753" s="81" t="n"/>
      <c r="N3753" s="81" t="n"/>
      <c r="O3753" s="81" t="n"/>
      <c r="P3753" s="81" t="n"/>
      <c r="Q3753" s="81" t="n"/>
      <c r="R3753" s="81" t="n"/>
      <c r="S3753" s="81" t="n"/>
      <c r="T3753" s="81" t="n"/>
      <c r="U3753" s="81" t="n"/>
      <c r="V3753" s="81" t="n"/>
      <c r="W3753" s="43" t="n"/>
    </row>
    <row r="3754">
      <c r="A3754" s="43" t="inlineStr">
        <is>
          <t>K5</t>
        </is>
      </c>
      <c r="B3754" s="43" t="inlineStr">
        <is>
          <t>下弦杆拼接</t>
        </is>
      </c>
      <c r="C3754" s="43" t="inlineStr"/>
      <c r="D3754" s="43" t="inlineStr">
        <is>
          <t>Q355D</t>
        </is>
      </c>
      <c r="E3754" s="43" t="n">
        <v>920</v>
      </c>
      <c r="F3754" s="43" t="n">
        <v>200</v>
      </c>
      <c r="G3754" s="43" t="n">
        <v>20</v>
      </c>
      <c r="H3754" s="79">
        <f>(E3754/1000)*(F3754/1000)*(G3754/1000)*7850</f>
        <v/>
      </c>
      <c r="I3754" s="43" t="n">
        <v>9</v>
      </c>
      <c r="J3754" s="80">
        <f>H3754*I3754</f>
        <v/>
      </c>
      <c r="K3754" s="43" t="inlineStr">
        <is>
          <t>来源页194；校验fail</t>
        </is>
      </c>
      <c r="L3754" s="43">
        <f>A3754</f>
        <v/>
      </c>
      <c r="M3754" s="81" t="n"/>
      <c r="N3754" s="81" t="n"/>
      <c r="O3754" s="81" t="n"/>
      <c r="P3754" s="81" t="n"/>
      <c r="Q3754" s="81" t="n"/>
      <c r="R3754" s="81" t="n"/>
      <c r="S3754" s="81" t="n"/>
      <c r="T3754" s="81" t="n"/>
      <c r="U3754" s="81" t="n"/>
      <c r="V3754" s="81" t="n"/>
      <c r="W3754" s="43" t="n"/>
    </row>
    <row r="3755">
      <c r="A3755" s="43" t="inlineStr">
        <is>
          <t>N16b</t>
        </is>
      </c>
      <c r="B3755" s="43" t="inlineStr"/>
      <c r="C3755" s="43" t="inlineStr">
        <is>
          <t>节段14</t>
        </is>
      </c>
      <c r="D3755" s="43" t="inlineStr">
        <is>
          <t>Q355D</t>
        </is>
      </c>
      <c r="E3755" s="43" t="n">
        <v>7100</v>
      </c>
      <c r="F3755" s="43" t="n">
        <v>240</v>
      </c>
      <c r="G3755" s="43" t="n">
        <v>20</v>
      </c>
      <c r="H3755" s="79">
        <f>(E3755/1000)*(F3755/1000)*(G3755/1000)*7850</f>
        <v/>
      </c>
      <c r="I3755" s="43" t="n">
        <v>9</v>
      </c>
      <c r="J3755" s="80">
        <f>H3755*I3755</f>
        <v/>
      </c>
      <c r="K3755" s="43" t="inlineStr">
        <is>
          <t>来源页195；校验fail</t>
        </is>
      </c>
      <c r="L3755" s="43">
        <f>A3755</f>
        <v/>
      </c>
      <c r="M3755" s="81" t="n"/>
      <c r="N3755" s="81" t="n"/>
      <c r="O3755" s="81" t="n"/>
      <c r="P3755" s="81" t="n"/>
      <c r="Q3755" s="81" t="n"/>
      <c r="R3755" s="81" t="n"/>
      <c r="S3755" s="81" t="n"/>
      <c r="T3755" s="81" t="n"/>
      <c r="U3755" s="81" t="n"/>
      <c r="V3755" s="81" t="n"/>
      <c r="W3755" s="43" t="n"/>
    </row>
    <row r="3756">
      <c r="A3756" s="43" t="inlineStr">
        <is>
          <t>K5</t>
        </is>
      </c>
      <c r="B3756" s="43" t="inlineStr">
        <is>
          <t>下弦杆拼接</t>
        </is>
      </c>
      <c r="C3756" s="43" t="inlineStr">
        <is>
          <t>节段14~节段15</t>
        </is>
      </c>
      <c r="D3756" s="43" t="inlineStr">
        <is>
          <t>Q355D</t>
        </is>
      </c>
      <c r="E3756" s="43" t="n">
        <v>920</v>
      </c>
      <c r="F3756" s="43" t="n">
        <v>200</v>
      </c>
      <c r="G3756" s="43" t="n">
        <v>20</v>
      </c>
      <c r="H3756" s="79">
        <f>(E3756/1000)*(F3756/1000)*(G3756/1000)*7850</f>
        <v/>
      </c>
      <c r="I3756" s="43" t="n">
        <v>9</v>
      </c>
      <c r="J3756" s="80">
        <f>H3756*I3756</f>
        <v/>
      </c>
      <c r="K3756" s="43" t="inlineStr">
        <is>
          <t>来源页198；校验fail</t>
        </is>
      </c>
      <c r="L3756" s="43">
        <f>A3756</f>
        <v/>
      </c>
      <c r="M3756" s="81" t="n"/>
      <c r="N3756" s="81" t="n"/>
      <c r="O3756" s="81" t="n"/>
      <c r="P3756" s="81" t="n"/>
      <c r="Q3756" s="81" t="n"/>
      <c r="R3756" s="81" t="n"/>
      <c r="S3756" s="81" t="n"/>
      <c r="T3756" s="81" t="n"/>
      <c r="U3756" s="81" t="n"/>
      <c r="V3756" s="81" t="n"/>
      <c r="W3756" s="43" t="n"/>
    </row>
    <row r="3757">
      <c r="A3757" s="43" t="inlineStr">
        <is>
          <t>N16b</t>
        </is>
      </c>
      <c r="B3757" s="43" t="inlineStr"/>
      <c r="C3757" s="43" t="inlineStr">
        <is>
          <t>节段15</t>
        </is>
      </c>
      <c r="D3757" s="43" t="inlineStr">
        <is>
          <t>Q355D</t>
        </is>
      </c>
      <c r="E3757" s="43" t="n">
        <v>7100</v>
      </c>
      <c r="F3757" s="43" t="n">
        <v>240</v>
      </c>
      <c r="G3757" s="43" t="n">
        <v>20</v>
      </c>
      <c r="H3757" s="79">
        <f>(E3757/1000)*(F3757/1000)*(G3757/1000)*7850</f>
        <v/>
      </c>
      <c r="I3757" s="43" t="n">
        <v>9</v>
      </c>
      <c r="J3757" s="80">
        <f>H3757*I3757</f>
        <v/>
      </c>
      <c r="K3757" s="43" t="inlineStr">
        <is>
          <t>来源页199；校验fail</t>
        </is>
      </c>
      <c r="L3757" s="43">
        <f>A3757</f>
        <v/>
      </c>
      <c r="M3757" s="81" t="n"/>
      <c r="N3757" s="81" t="n"/>
      <c r="O3757" s="81" t="n"/>
      <c r="P3757" s="81" t="n"/>
      <c r="Q3757" s="81" t="n"/>
      <c r="R3757" s="81" t="n"/>
      <c r="S3757" s="81" t="n"/>
      <c r="T3757" s="81" t="n"/>
      <c r="U3757" s="81" t="n"/>
      <c r="V3757" s="81" t="n"/>
      <c r="W3757" s="43" t="n"/>
    </row>
    <row r="3758">
      <c r="A3758" s="43" t="inlineStr">
        <is>
          <t>K5</t>
        </is>
      </c>
      <c r="B3758" s="43" t="inlineStr">
        <is>
          <t>下弦杆拼接</t>
        </is>
      </c>
      <c r="C3758" s="43" t="inlineStr">
        <is>
          <t>节段15~节段16</t>
        </is>
      </c>
      <c r="D3758" s="43" t="inlineStr">
        <is>
          <t>Q355D</t>
        </is>
      </c>
      <c r="E3758" s="43" t="n">
        <v>920</v>
      </c>
      <c r="F3758" s="43" t="n">
        <v>200</v>
      </c>
      <c r="G3758" s="43" t="n">
        <v>20</v>
      </c>
      <c r="H3758" s="79">
        <f>(E3758/1000)*(F3758/1000)*(G3758/1000)*7850</f>
        <v/>
      </c>
      <c r="I3758" s="43" t="n">
        <v>9</v>
      </c>
      <c r="J3758" s="80">
        <f>H3758*I3758</f>
        <v/>
      </c>
      <c r="K3758" s="43" t="inlineStr">
        <is>
          <t>来源页202；校验fail</t>
        </is>
      </c>
      <c r="L3758" s="43">
        <f>A3758</f>
        <v/>
      </c>
      <c r="M3758" s="81" t="n"/>
      <c r="N3758" s="81" t="n"/>
      <c r="O3758" s="81" t="n"/>
      <c r="P3758" s="81" t="n"/>
      <c r="Q3758" s="81" t="n"/>
      <c r="R3758" s="81" t="n"/>
      <c r="S3758" s="81" t="n"/>
      <c r="T3758" s="81" t="n"/>
      <c r="U3758" s="81" t="n"/>
      <c r="V3758" s="81" t="n"/>
      <c r="W3758" s="43" t="n"/>
    </row>
    <row r="3759">
      <c r="A3759" s="43" t="inlineStr">
        <is>
          <t>N16b</t>
        </is>
      </c>
      <c r="B3759" s="43" t="inlineStr"/>
      <c r="C3759" s="43" t="inlineStr">
        <is>
          <t>节段16</t>
        </is>
      </c>
      <c r="D3759" s="43" t="inlineStr">
        <is>
          <t>Q420D</t>
        </is>
      </c>
      <c r="E3759" s="43" t="n">
        <v>6950</v>
      </c>
      <c r="F3759" s="43" t="n">
        <v>320</v>
      </c>
      <c r="G3759" s="43" t="n">
        <v>32</v>
      </c>
      <c r="H3759" s="79">
        <f>(E3759/1000)*(F3759/1000)*(G3759/1000)*7850</f>
        <v/>
      </c>
      <c r="I3759" s="43" t="n">
        <v>9</v>
      </c>
      <c r="J3759" s="80">
        <f>H3759*I3759</f>
        <v/>
      </c>
      <c r="K3759" s="43" t="inlineStr">
        <is>
          <t>来源页203；校验fail</t>
        </is>
      </c>
      <c r="L3759" s="43">
        <f>A3759</f>
        <v/>
      </c>
      <c r="M3759" s="81" t="n"/>
      <c r="N3759" s="81" t="n"/>
      <c r="O3759" s="81" t="n"/>
      <c r="P3759" s="81" t="n"/>
      <c r="Q3759" s="81" t="n"/>
      <c r="R3759" s="81" t="n"/>
      <c r="S3759" s="81" t="n"/>
      <c r="T3759" s="81" t="n"/>
      <c r="U3759" s="81" t="n"/>
      <c r="V3759" s="81" t="n"/>
      <c r="W3759" s="43" t="n"/>
    </row>
    <row r="3760">
      <c r="A3760" s="43" t="inlineStr">
        <is>
          <t>K5</t>
        </is>
      </c>
      <c r="B3760" s="43" t="inlineStr">
        <is>
          <t>下弦杆拼接</t>
        </is>
      </c>
      <c r="C3760" s="43" t="inlineStr">
        <is>
          <t>节段16~节段17</t>
        </is>
      </c>
      <c r="D3760" s="43" t="inlineStr">
        <is>
          <t>Q420D</t>
        </is>
      </c>
      <c r="E3760" s="43" t="n">
        <v>1320</v>
      </c>
      <c r="F3760" s="43" t="n">
        <v>240</v>
      </c>
      <c r="G3760" s="43" t="n">
        <v>24</v>
      </c>
      <c r="H3760" s="79">
        <f>(E3760/1000)*(F3760/1000)*(G3760/1000)*7850</f>
        <v/>
      </c>
      <c r="I3760" s="43" t="n">
        <v>9</v>
      </c>
      <c r="J3760" s="80">
        <f>H3760*I3760</f>
        <v/>
      </c>
      <c r="K3760" s="43" t="inlineStr">
        <is>
          <t>来源页207；校验fail</t>
        </is>
      </c>
      <c r="L3760" s="43">
        <f>A3760</f>
        <v/>
      </c>
      <c r="M3760" s="81" t="n"/>
      <c r="N3760" s="81" t="n"/>
      <c r="O3760" s="81" t="n"/>
      <c r="P3760" s="81" t="n"/>
      <c r="Q3760" s="81" t="n"/>
      <c r="R3760" s="81" t="n"/>
      <c r="S3760" s="81" t="n"/>
      <c r="T3760" s="81" t="n"/>
      <c r="U3760" s="81" t="n"/>
      <c r="V3760" s="81" t="n"/>
      <c r="W3760" s="43" t="n"/>
    </row>
    <row r="3761">
      <c r="A3761" s="43" t="inlineStr">
        <is>
          <t>N16a</t>
        </is>
      </c>
      <c r="B3761" s="43" t="inlineStr"/>
      <c r="C3761" s="43" t="inlineStr">
        <is>
          <t>节段17</t>
        </is>
      </c>
      <c r="D3761" s="43" t="inlineStr">
        <is>
          <t>Q420D</t>
        </is>
      </c>
      <c r="E3761" s="43" t="n">
        <v>8050</v>
      </c>
      <c r="F3761" s="43" t="n">
        <v>320</v>
      </c>
      <c r="G3761" s="43" t="n">
        <v>32</v>
      </c>
      <c r="H3761" s="79">
        <f>(E3761/1000)*(F3761/1000)*(G3761/1000)*7850</f>
        <v/>
      </c>
      <c r="I3761" s="43" t="n">
        <v>9</v>
      </c>
      <c r="J3761" s="80">
        <f>H3761*I3761</f>
        <v/>
      </c>
      <c r="K3761" s="43" t="inlineStr">
        <is>
          <t>来源页208；校验fail</t>
        </is>
      </c>
      <c r="L3761" s="43">
        <f>A3761</f>
        <v/>
      </c>
      <c r="M3761" s="81" t="n"/>
      <c r="N3761" s="81" t="n"/>
      <c r="O3761" s="81" t="n"/>
      <c r="P3761" s="81" t="n"/>
      <c r="Q3761" s="81" t="n"/>
      <c r="R3761" s="81" t="n"/>
      <c r="S3761" s="81" t="n"/>
      <c r="T3761" s="81" t="n"/>
      <c r="U3761" s="81" t="n"/>
      <c r="V3761" s="81" t="n"/>
      <c r="W3761" s="43" t="n"/>
    </row>
    <row r="3762">
      <c r="A3762" s="43" t="inlineStr">
        <is>
          <t>N16b</t>
        </is>
      </c>
      <c r="B3762" s="43" t="inlineStr"/>
      <c r="C3762" s="43" t="inlineStr">
        <is>
          <t>节段17</t>
        </is>
      </c>
      <c r="D3762" s="43" t="inlineStr">
        <is>
          <t>Q420D</t>
        </is>
      </c>
      <c r="E3762" s="43" t="n">
        <v>6950</v>
      </c>
      <c r="F3762" s="43" t="n">
        <v>320</v>
      </c>
      <c r="G3762" s="43" t="n">
        <v>32</v>
      </c>
      <c r="H3762" s="79">
        <f>(E3762/1000)*(F3762/1000)*(G3762/1000)*7850</f>
        <v/>
      </c>
      <c r="I3762" s="43" t="n">
        <v>9</v>
      </c>
      <c r="J3762" s="80">
        <f>H3762*I3762</f>
        <v/>
      </c>
      <c r="K3762" s="43" t="inlineStr">
        <is>
          <t>来源页208；校验fail</t>
        </is>
      </c>
      <c r="L3762" s="43">
        <f>A3762</f>
        <v/>
      </c>
      <c r="M3762" s="81" t="n"/>
      <c r="N3762" s="81" t="n"/>
      <c r="O3762" s="81" t="n"/>
      <c r="P3762" s="81" t="n"/>
      <c r="Q3762" s="81" t="n"/>
      <c r="R3762" s="81" t="n"/>
      <c r="S3762" s="81" t="n"/>
      <c r="T3762" s="81" t="n"/>
      <c r="U3762" s="81" t="n"/>
      <c r="V3762" s="81" t="n"/>
      <c r="W3762" s="43" t="n"/>
    </row>
    <row r="3763">
      <c r="A3763" s="43" t="inlineStr">
        <is>
          <t>K5</t>
        </is>
      </c>
      <c r="B3763" s="43" t="inlineStr">
        <is>
          <t>下弦杆拼接</t>
        </is>
      </c>
      <c r="C3763" s="43" t="inlineStr">
        <is>
          <t>节段17~节段18</t>
        </is>
      </c>
      <c r="D3763" s="43" t="inlineStr">
        <is>
          <t>Q420D</t>
        </is>
      </c>
      <c r="E3763" s="43" t="n">
        <v>1320</v>
      </c>
      <c r="F3763" s="43" t="n">
        <v>240</v>
      </c>
      <c r="G3763" s="43" t="n">
        <v>24</v>
      </c>
      <c r="H3763" s="79">
        <f>(E3763/1000)*(F3763/1000)*(G3763/1000)*7850</f>
        <v/>
      </c>
      <c r="I3763" s="43" t="n">
        <v>9</v>
      </c>
      <c r="J3763" s="80">
        <f>H3763*I3763</f>
        <v/>
      </c>
      <c r="K3763" s="43" t="inlineStr">
        <is>
          <t>来源页211；校验fail</t>
        </is>
      </c>
      <c r="L3763" s="43">
        <f>A3763</f>
        <v/>
      </c>
      <c r="M3763" s="81" t="n"/>
      <c r="N3763" s="81" t="n"/>
      <c r="O3763" s="81" t="n"/>
      <c r="P3763" s="81" t="n"/>
      <c r="Q3763" s="81" t="n"/>
      <c r="R3763" s="81" t="n"/>
      <c r="S3763" s="81" t="n"/>
      <c r="T3763" s="81" t="n"/>
      <c r="U3763" s="81" t="n"/>
      <c r="V3763" s="81" t="n"/>
      <c r="W3763" s="43" t="n"/>
    </row>
    <row r="3764">
      <c r="A3764" s="43" t="inlineStr">
        <is>
          <t>N16a</t>
        </is>
      </c>
      <c r="B3764" s="43" t="inlineStr"/>
      <c r="C3764" s="43" t="inlineStr">
        <is>
          <t>节段18</t>
        </is>
      </c>
      <c r="D3764" s="43" t="inlineStr">
        <is>
          <t>Q420D</t>
        </is>
      </c>
      <c r="E3764" s="43" t="n">
        <v>7900</v>
      </c>
      <c r="F3764" s="43" t="n">
        <v>320</v>
      </c>
      <c r="G3764" s="43" t="n">
        <v>32</v>
      </c>
      <c r="H3764" s="79">
        <f>(E3764/1000)*(F3764/1000)*(G3764/1000)*7850</f>
        <v/>
      </c>
      <c r="I3764" s="43" t="n">
        <v>9</v>
      </c>
      <c r="J3764" s="80">
        <f>H3764*I3764</f>
        <v/>
      </c>
      <c r="K3764" s="43" t="inlineStr">
        <is>
          <t>来源页212；校验fail</t>
        </is>
      </c>
      <c r="L3764" s="43">
        <f>A3764</f>
        <v/>
      </c>
      <c r="M3764" s="81" t="n"/>
      <c r="N3764" s="81" t="n"/>
      <c r="O3764" s="81" t="n"/>
      <c r="P3764" s="81" t="n"/>
      <c r="Q3764" s="81" t="n"/>
      <c r="R3764" s="81" t="n"/>
      <c r="S3764" s="81" t="n"/>
      <c r="T3764" s="81" t="n"/>
      <c r="U3764" s="81" t="n"/>
      <c r="V3764" s="81" t="n"/>
      <c r="W3764" s="43" t="n"/>
    </row>
    <row r="3765">
      <c r="A3765" s="43" t="inlineStr">
        <is>
          <t>N16a</t>
        </is>
      </c>
      <c r="B3765" s="43" t="inlineStr"/>
      <c r="C3765" s="43" t="inlineStr">
        <is>
          <t>节段19</t>
        </is>
      </c>
      <c r="D3765" s="43" t="inlineStr">
        <is>
          <t>Q355D</t>
        </is>
      </c>
      <c r="E3765" s="43" t="n">
        <v>7900</v>
      </c>
      <c r="F3765" s="43" t="n">
        <v>320</v>
      </c>
      <c r="G3765" s="43" t="n">
        <v>32</v>
      </c>
      <c r="H3765" s="79">
        <f>(E3765/1000)*(F3765/1000)*(G3765/1000)*7850</f>
        <v/>
      </c>
      <c r="I3765" s="43" t="n">
        <v>9</v>
      </c>
      <c r="J3765" s="80">
        <f>H3765*I3765</f>
        <v/>
      </c>
      <c r="K3765" s="43" t="inlineStr">
        <is>
          <t>来源页216；校验fail</t>
        </is>
      </c>
      <c r="L3765" s="43">
        <f>A3765</f>
        <v/>
      </c>
      <c r="M3765" s="81" t="n"/>
      <c r="N3765" s="81" t="n"/>
      <c r="O3765" s="81" t="n"/>
      <c r="P3765" s="81" t="n"/>
      <c r="Q3765" s="81" t="n"/>
      <c r="R3765" s="81" t="n"/>
      <c r="S3765" s="81" t="n"/>
      <c r="T3765" s="81" t="n"/>
      <c r="U3765" s="81" t="n"/>
      <c r="V3765" s="81" t="n"/>
      <c r="W3765" s="43" t="n"/>
    </row>
    <row r="3766">
      <c r="A3766" s="43" t="inlineStr">
        <is>
          <t>N16b</t>
        </is>
      </c>
      <c r="B3766" s="43" t="inlineStr"/>
      <c r="C3766" s="43" t="inlineStr">
        <is>
          <t>节段19</t>
        </is>
      </c>
      <c r="D3766" s="43" t="inlineStr">
        <is>
          <t>Q355D</t>
        </is>
      </c>
      <c r="E3766" s="43" t="n">
        <v>7100</v>
      </c>
      <c r="F3766" s="43" t="n">
        <v>240</v>
      </c>
      <c r="G3766" s="43" t="n">
        <v>20</v>
      </c>
      <c r="H3766" s="79">
        <f>(E3766/1000)*(F3766/1000)*(G3766/1000)*7850</f>
        <v/>
      </c>
      <c r="I3766" s="43" t="n">
        <v>9</v>
      </c>
      <c r="J3766" s="80">
        <f>H3766*I3766</f>
        <v/>
      </c>
      <c r="K3766" s="43" t="inlineStr">
        <is>
          <t>来源页216；校验fail</t>
        </is>
      </c>
      <c r="L3766" s="43">
        <f>A3766</f>
        <v/>
      </c>
      <c r="M3766" s="81" t="n"/>
      <c r="N3766" s="81" t="n"/>
      <c r="O3766" s="81" t="n"/>
      <c r="P3766" s="81" t="n"/>
      <c r="Q3766" s="81" t="n"/>
      <c r="R3766" s="81" t="n"/>
      <c r="S3766" s="81" t="n"/>
      <c r="T3766" s="81" t="n"/>
      <c r="U3766" s="81" t="n"/>
      <c r="V3766" s="81" t="n"/>
      <c r="W3766" s="43" t="n"/>
    </row>
    <row r="3767">
      <c r="A3767" s="43" t="inlineStr">
        <is>
          <t>K5</t>
        </is>
      </c>
      <c r="B3767" s="43" t="inlineStr">
        <is>
          <t>下弦杆拼接</t>
        </is>
      </c>
      <c r="C3767" s="43" t="inlineStr">
        <is>
          <t>节段19~节段20</t>
        </is>
      </c>
      <c r="D3767" s="43" t="inlineStr">
        <is>
          <t>Q355D</t>
        </is>
      </c>
      <c r="E3767" s="43" t="n">
        <v>920</v>
      </c>
      <c r="F3767" s="43" t="n">
        <v>200</v>
      </c>
      <c r="G3767" s="43" t="n">
        <v>20</v>
      </c>
      <c r="H3767" s="79">
        <f>(E3767/1000)*(F3767/1000)*(G3767/1000)*7850</f>
        <v/>
      </c>
      <c r="I3767" s="43" t="n">
        <v>9</v>
      </c>
      <c r="J3767" s="80">
        <f>H3767*I3767</f>
        <v/>
      </c>
      <c r="K3767" s="43" t="inlineStr">
        <is>
          <t>来源页219；校验fail</t>
        </is>
      </c>
      <c r="L3767" s="43">
        <f>A3767</f>
        <v/>
      </c>
      <c r="M3767" s="81" t="n"/>
      <c r="N3767" s="81" t="n"/>
      <c r="O3767" s="81" t="n"/>
      <c r="P3767" s="81" t="n"/>
      <c r="Q3767" s="81" t="n"/>
      <c r="R3767" s="81" t="n"/>
      <c r="S3767" s="81" t="n"/>
      <c r="T3767" s="81" t="n"/>
      <c r="U3767" s="81" t="n"/>
      <c r="V3767" s="81" t="n"/>
      <c r="W3767" s="43" t="n"/>
    </row>
    <row r="3768">
      <c r="A3768" s="43" t="inlineStr">
        <is>
          <t>N16b</t>
        </is>
      </c>
      <c r="B3768" s="43" t="inlineStr"/>
      <c r="C3768" s="43" t="inlineStr">
        <is>
          <t>节段20</t>
        </is>
      </c>
      <c r="D3768" s="43" t="inlineStr">
        <is>
          <t>Q355D</t>
        </is>
      </c>
      <c r="E3768" s="43" t="n">
        <v>7300</v>
      </c>
      <c r="F3768" s="43" t="n">
        <v>240</v>
      </c>
      <c r="G3768" s="43" t="n">
        <v>20</v>
      </c>
      <c r="H3768" s="79">
        <f>(E3768/1000)*(F3768/1000)*(G3768/1000)*7850</f>
        <v/>
      </c>
      <c r="I3768" s="43" t="n">
        <v>9</v>
      </c>
      <c r="J3768" s="80">
        <f>H3768*I3768</f>
        <v/>
      </c>
      <c r="K3768" s="43" t="inlineStr">
        <is>
          <t>来源页220；校验fail</t>
        </is>
      </c>
      <c r="L3768" s="43">
        <f>A3768</f>
        <v/>
      </c>
      <c r="M3768" s="81" t="n"/>
      <c r="N3768" s="81" t="n"/>
      <c r="O3768" s="81" t="n"/>
      <c r="P3768" s="81" t="n"/>
      <c r="Q3768" s="81" t="n"/>
      <c r="R3768" s="81" t="n"/>
      <c r="S3768" s="81" t="n"/>
      <c r="T3768" s="81" t="n"/>
      <c r="U3768" s="81" t="n"/>
      <c r="V3768" s="81" t="n"/>
      <c r="W3768" s="43" t="n"/>
    </row>
    <row r="3769">
      <c r="A3769" s="43" t="inlineStr">
        <is>
          <t>K5</t>
        </is>
      </c>
      <c r="B3769" s="43" t="inlineStr">
        <is>
          <t>下弦杆拼接</t>
        </is>
      </c>
      <c r="C3769" s="43" t="inlineStr">
        <is>
          <t>节段20~节段21</t>
        </is>
      </c>
      <c r="D3769" s="43" t="inlineStr">
        <is>
          <t>Q355D</t>
        </is>
      </c>
      <c r="E3769" s="43" t="n">
        <v>920</v>
      </c>
      <c r="F3769" s="43" t="n">
        <v>200</v>
      </c>
      <c r="G3769" s="43" t="n">
        <v>20</v>
      </c>
      <c r="H3769" s="79">
        <f>(E3769/1000)*(F3769/1000)*(G3769/1000)*7850</f>
        <v/>
      </c>
      <c r="I3769" s="43" t="n">
        <v>9</v>
      </c>
      <c r="J3769" s="80">
        <f>H3769*I3769</f>
        <v/>
      </c>
      <c r="K3769" s="43" t="inlineStr">
        <is>
          <t>来源页223；校验fail</t>
        </is>
      </c>
      <c r="L3769" s="43">
        <f>A3769</f>
        <v/>
      </c>
      <c r="M3769" s="81" t="n"/>
      <c r="N3769" s="81" t="n"/>
      <c r="O3769" s="81" t="n"/>
      <c r="P3769" s="81" t="n"/>
      <c r="Q3769" s="81" t="n"/>
      <c r="R3769" s="81" t="n"/>
      <c r="S3769" s="81" t="n"/>
      <c r="T3769" s="81" t="n"/>
      <c r="U3769" s="81" t="n"/>
      <c r="V3769" s="81" t="n"/>
      <c r="W3769" s="43" t="n"/>
    </row>
    <row r="3770">
      <c r="A3770" s="43" t="inlineStr">
        <is>
          <t>N16b</t>
        </is>
      </c>
      <c r="B3770" s="43" t="inlineStr"/>
      <c r="C3770" s="43" t="inlineStr">
        <is>
          <t>节段21</t>
        </is>
      </c>
      <c r="D3770" s="43" t="inlineStr">
        <is>
          <t>Q355D</t>
        </is>
      </c>
      <c r="E3770" s="43" t="n">
        <v>8800</v>
      </c>
      <c r="F3770" s="43" t="n">
        <v>240</v>
      </c>
      <c r="G3770" s="43" t="n">
        <v>20</v>
      </c>
      <c r="H3770" s="79">
        <f>(E3770/1000)*(F3770/1000)*(G3770/1000)*7850</f>
        <v/>
      </c>
      <c r="I3770" s="43" t="n">
        <v>9</v>
      </c>
      <c r="J3770" s="80">
        <f>H3770*I3770</f>
        <v/>
      </c>
      <c r="K3770" s="43" t="inlineStr">
        <is>
          <t>来源页224；校验fail</t>
        </is>
      </c>
      <c r="L3770" s="43">
        <f>A3770</f>
        <v/>
      </c>
      <c r="M3770" s="81" t="n"/>
      <c r="N3770" s="81" t="n"/>
      <c r="O3770" s="81" t="n"/>
      <c r="P3770" s="81" t="n"/>
      <c r="Q3770" s="81" t="n"/>
      <c r="R3770" s="81" t="n"/>
      <c r="S3770" s="81" t="n"/>
      <c r="T3770" s="81" t="n"/>
      <c r="U3770" s="81" t="n"/>
      <c r="V3770" s="81" t="n"/>
      <c r="W3770" s="43" t="n"/>
    </row>
    <row r="3771">
      <c r="A3771" s="43" t="inlineStr">
        <is>
          <t>K5</t>
        </is>
      </c>
      <c r="B3771" s="43" t="inlineStr">
        <is>
          <t>下弦杆拼接</t>
        </is>
      </c>
      <c r="C3771" s="43" t="inlineStr">
        <is>
          <t>节段21~节段22</t>
        </is>
      </c>
      <c r="D3771" s="43" t="inlineStr">
        <is>
          <t>Q355D</t>
        </is>
      </c>
      <c r="E3771" s="43" t="n">
        <v>920</v>
      </c>
      <c r="F3771" s="43" t="n">
        <v>200</v>
      </c>
      <c r="G3771" s="43" t="n">
        <v>20</v>
      </c>
      <c r="H3771" s="79">
        <f>(E3771/1000)*(F3771/1000)*(G3771/1000)*7850</f>
        <v/>
      </c>
      <c r="I3771" s="43" t="n">
        <v>9</v>
      </c>
      <c r="J3771" s="80">
        <f>H3771*I3771</f>
        <v/>
      </c>
      <c r="K3771" s="43" t="inlineStr">
        <is>
          <t>来源页229；校验fail</t>
        </is>
      </c>
      <c r="L3771" s="43">
        <f>A3771</f>
        <v/>
      </c>
      <c r="M3771" s="81" t="n"/>
      <c r="N3771" s="81" t="n"/>
      <c r="O3771" s="81" t="n"/>
      <c r="P3771" s="81" t="n"/>
      <c r="Q3771" s="81" t="n"/>
      <c r="R3771" s="81" t="n"/>
      <c r="S3771" s="81" t="n"/>
      <c r="T3771" s="81" t="n"/>
      <c r="U3771" s="81" t="n"/>
      <c r="V3771" s="81" t="n"/>
      <c r="W3771" s="43" t="n"/>
    </row>
    <row r="3772">
      <c r="A3772" s="43" t="inlineStr">
        <is>
          <t>N15a</t>
        </is>
      </c>
      <c r="B3772" s="43" t="inlineStr"/>
      <c r="C3772" s="43" t="inlineStr">
        <is>
          <t>节段22</t>
        </is>
      </c>
      <c r="D3772" s="43" t="inlineStr">
        <is>
          <t>Q355D</t>
        </is>
      </c>
      <c r="E3772" s="43" t="n">
        <v>1580</v>
      </c>
      <c r="F3772" s="43" t="n">
        <v>1200</v>
      </c>
      <c r="G3772" s="43" t="n">
        <v>16</v>
      </c>
      <c r="H3772" s="79">
        <f>(E3772/1000)*(F3772/1000)*(G3772/1000)*7850</f>
        <v/>
      </c>
      <c r="I3772" s="43" t="n">
        <v>9</v>
      </c>
      <c r="J3772" s="80">
        <f>H3772*I3772</f>
        <v/>
      </c>
      <c r="K3772" s="43" t="inlineStr">
        <is>
          <t>来源页230；校验fail</t>
        </is>
      </c>
      <c r="L3772" s="43">
        <f>A3772</f>
        <v/>
      </c>
      <c r="M3772" s="81" t="n"/>
      <c r="N3772" s="81" t="n"/>
      <c r="O3772" s="81" t="n"/>
      <c r="P3772" s="81" t="n"/>
      <c r="Q3772" s="81" t="n"/>
      <c r="R3772" s="81" t="n"/>
      <c r="S3772" s="81" t="n"/>
      <c r="T3772" s="81" t="n"/>
      <c r="U3772" s="81" t="n"/>
      <c r="V3772" s="81" t="n"/>
      <c r="W3772" s="43" t="n"/>
    </row>
    <row r="3773">
      <c r="A3773" s="43" t="inlineStr">
        <is>
          <t>N25a</t>
        </is>
      </c>
      <c r="B3773" s="43" t="inlineStr"/>
      <c r="C3773" s="43" t="inlineStr">
        <is>
          <t>节段22</t>
        </is>
      </c>
      <c r="D3773" s="43" t="inlineStr">
        <is>
          <t>Q355D</t>
        </is>
      </c>
      <c r="E3773" s="43" t="n">
        <v>1450</v>
      </c>
      <c r="F3773" s="43" t="n">
        <v>1200</v>
      </c>
      <c r="G3773" s="43" t="n">
        <v>16</v>
      </c>
      <c r="H3773" s="79">
        <f>(E3773/1000)*(F3773/1000)*(G3773/1000)*7850</f>
        <v/>
      </c>
      <c r="I3773" s="43" t="n">
        <v>9</v>
      </c>
      <c r="J3773" s="80">
        <f>H3773*I3773</f>
        <v/>
      </c>
      <c r="K3773" s="43" t="inlineStr">
        <is>
          <t>来源页230；校验fail</t>
        </is>
      </c>
      <c r="L3773" s="43">
        <f>A3773</f>
        <v/>
      </c>
      <c r="M3773" s="81" t="n"/>
      <c r="N3773" s="81" t="n"/>
      <c r="O3773" s="81" t="n"/>
      <c r="P3773" s="81" t="n"/>
      <c r="Q3773" s="81" t="n"/>
      <c r="R3773" s="81" t="n"/>
      <c r="S3773" s="81" t="n"/>
      <c r="T3773" s="81" t="n"/>
      <c r="U3773" s="81" t="n"/>
      <c r="V3773" s="81" t="n"/>
      <c r="W3773" s="43" t="n"/>
    </row>
    <row r="3774">
      <c r="A3774" s="43" t="inlineStr"/>
      <c r="B3774" s="43" t="inlineStr"/>
      <c r="C3774" s="43" t="inlineStr"/>
      <c r="D3774" s="43" t="inlineStr">
        <is>
          <t>Q355D</t>
        </is>
      </c>
      <c r="E3774" s="43" t="n"/>
      <c r="F3774" s="43" t="n"/>
      <c r="G3774" s="43" t="n"/>
      <c r="H3774" s="79">
        <f>(E3774/1000)*(F3774/1000)*(G3774/1000)*7850</f>
        <v/>
      </c>
      <c r="I3774" s="43" t="n">
        <v>32144</v>
      </c>
      <c r="J3774" s="80">
        <f>H3774*I3774</f>
        <v/>
      </c>
      <c r="K3774" s="43" t="inlineStr">
        <is>
          <t>来源页233,237；校验fail</t>
        </is>
      </c>
      <c r="L3774" s="43">
        <f>A3774</f>
        <v/>
      </c>
      <c r="M3774" s="81" t="n"/>
      <c r="N3774" s="81" t="n"/>
      <c r="O3774" s="81" t="n"/>
      <c r="P3774" s="81" t="n"/>
      <c r="Q3774" s="81" t="n"/>
      <c r="R3774" s="81" t="n"/>
      <c r="S3774" s="81" t="n"/>
      <c r="T3774" s="81" t="n"/>
      <c r="U3774" s="81" t="n"/>
      <c r="V3774" s="81" t="n"/>
      <c r="W3774" s="43" t="n"/>
    </row>
    <row r="3775">
      <c r="A3775" s="43" t="inlineStr"/>
      <c r="B3775" s="43" t="inlineStr"/>
      <c r="C3775" s="43" t="inlineStr"/>
      <c r="D3775" s="43" t="inlineStr">
        <is>
          <t>Q355D</t>
        </is>
      </c>
      <c r="E3775" s="43" t="n"/>
      <c r="F3775" s="43" t="n"/>
      <c r="G3775" s="43" t="n"/>
      <c r="H3775" s="79">
        <f>(E3775/1000)*(F3775/1000)*(G3775/1000)*7850</f>
        <v/>
      </c>
      <c r="I3775" s="43" t="n">
        <v>23088</v>
      </c>
      <c r="J3775" s="80">
        <f>H3775*I3775</f>
        <v/>
      </c>
      <c r="K3775" s="43" t="inlineStr">
        <is>
          <t>来源页233,237；校验fail</t>
        </is>
      </c>
      <c r="L3775" s="43">
        <f>A3775</f>
        <v/>
      </c>
      <c r="M3775" s="81" t="n"/>
      <c r="N3775" s="81" t="n"/>
      <c r="O3775" s="81" t="n"/>
      <c r="P3775" s="81" t="n"/>
      <c r="Q3775" s="81" t="n"/>
      <c r="R3775" s="81" t="n"/>
      <c r="S3775" s="81" t="n"/>
      <c r="T3775" s="81" t="n"/>
      <c r="U3775" s="81" t="n"/>
      <c r="V3775" s="81" t="n"/>
      <c r="W3775" s="43" t="n"/>
    </row>
    <row r="3776">
      <c r="A3776" s="43" t="inlineStr">
        <is>
          <t>N3</t>
        </is>
      </c>
      <c r="B3776" s="43" t="inlineStr"/>
      <c r="C3776" s="43" t="inlineStr"/>
      <c r="D3776" s="43" t="inlineStr">
        <is>
          <t>Q355B</t>
        </is>
      </c>
      <c r="E3776" s="43" t="n">
        <v>92</v>
      </c>
      <c r="F3776" s="43" t="n">
        <v>250</v>
      </c>
      <c r="G3776" s="43" t="n">
        <v>16</v>
      </c>
      <c r="H3776" s="79">
        <f>(E3776/1000)*(F3776/1000)*(G3776/1000)*7850</f>
        <v/>
      </c>
      <c r="I3776" s="43" t="n">
        <v>2</v>
      </c>
      <c r="J3776" s="80">
        <f>H3776*I3776</f>
        <v/>
      </c>
      <c r="K3776" s="43" t="inlineStr">
        <is>
          <t>来源页323；校验fail</t>
        </is>
      </c>
      <c r="L3776" s="43">
        <f>A3776</f>
        <v/>
      </c>
      <c r="M3776" s="81" t="n"/>
      <c r="N3776" s="81" t="n"/>
      <c r="O3776" s="81" t="n"/>
      <c r="P3776" s="81" t="n"/>
      <c r="Q3776" s="81" t="n"/>
      <c r="R3776" s="81" t="n"/>
      <c r="S3776" s="81" t="n"/>
      <c r="T3776" s="81" t="n"/>
      <c r="U3776" s="81" t="n"/>
      <c r="V3776" s="81" t="n"/>
      <c r="W3776" s="43" t="n"/>
    </row>
    <row r="3777">
      <c r="A3777" s="43" t="inlineStr">
        <is>
          <t>N3</t>
        </is>
      </c>
      <c r="B3777" s="43" t="inlineStr"/>
      <c r="C3777" s="43" t="inlineStr"/>
      <c r="D3777" s="43" t="inlineStr">
        <is>
          <t>Q355B</t>
        </is>
      </c>
      <c r="E3777" s="43" t="n">
        <v>92</v>
      </c>
      <c r="F3777" s="43" t="n">
        <v>250</v>
      </c>
      <c r="G3777" s="43" t="n">
        <v>16</v>
      </c>
      <c r="H3777" s="79">
        <f>(E3777/1000)*(F3777/1000)*(G3777/1000)*7850</f>
        <v/>
      </c>
      <c r="I3777" s="43" t="n">
        <v>2</v>
      </c>
      <c r="J3777" s="80">
        <f>H3777*I3777</f>
        <v/>
      </c>
      <c r="K3777" s="43" t="inlineStr">
        <is>
          <t>来源页323；校验fail</t>
        </is>
      </c>
      <c r="L3777" s="43">
        <f>A3777</f>
        <v/>
      </c>
      <c r="M3777" s="81" t="n"/>
      <c r="N3777" s="81" t="n"/>
      <c r="O3777" s="81" t="n"/>
      <c r="P3777" s="81" t="n"/>
      <c r="Q3777" s="81" t="n"/>
      <c r="R3777" s="81" t="n"/>
      <c r="S3777" s="81" t="n"/>
      <c r="T3777" s="81" t="n"/>
      <c r="U3777" s="81" t="n"/>
      <c r="V3777" s="81" t="n"/>
      <c r="W3777" s="43" t="n"/>
    </row>
    <row r="3778">
      <c r="A3778" s="55" t="inlineStr">
        <is>
          <t>名称</t>
        </is>
      </c>
      <c r="B3778" s="72" t="n"/>
      <c r="C3778" s="73" t="n"/>
      <c r="D3778" s="55" t="inlineStr">
        <is>
          <t>材质</t>
        </is>
      </c>
      <c r="E3778" s="55" t="inlineStr">
        <is>
          <t>单位</t>
        </is>
      </c>
      <c r="F3778" s="55" t="inlineStr">
        <is>
          <t>复核数量</t>
        </is>
      </c>
      <c r="G3778" s="55" t="inlineStr">
        <is>
          <t>图纸数量</t>
        </is>
      </c>
      <c r="H3778" s="55" t="inlineStr">
        <is>
          <t>差异</t>
        </is>
      </c>
      <c r="I3778" s="43" t="n"/>
      <c r="J3778" s="80" t="n"/>
      <c r="K3778" s="43" t="n"/>
      <c r="L3778" s="43" t="inlineStr">
        <is>
          <t>复核合计</t>
        </is>
      </c>
      <c r="M3778" s="81">
        <f>SUM(M4:M431)</f>
        <v/>
      </c>
      <c r="N3778" s="81">
        <f>SUM(N4:N431)</f>
        <v/>
      </c>
      <c r="O3778" s="81">
        <f>SUM(O4:O431)</f>
        <v/>
      </c>
      <c r="P3778" s="81">
        <f>SUM(P4:P431)</f>
        <v/>
      </c>
      <c r="Q3778" s="81">
        <f>SUM(Q4:Q431)</f>
        <v/>
      </c>
      <c r="R3778" s="81">
        <f>SUM(R4:R431)</f>
        <v/>
      </c>
      <c r="S3778" s="81">
        <f>SUM(S4:S431)</f>
        <v/>
      </c>
      <c r="T3778" s="81">
        <f>SUM(T4:T431)</f>
        <v/>
      </c>
      <c r="U3778" s="81">
        <f>SUM(U4:U431)</f>
        <v/>
      </c>
      <c r="V3778" s="81">
        <f>T3778-U3778</f>
        <v/>
      </c>
      <c r="W3778" s="43" t="n"/>
    </row>
    <row r="3779">
      <c r="A3779" s="55" t="inlineStr">
        <is>
          <t>主梁合计</t>
        </is>
      </c>
      <c r="B3779" s="72" t="n"/>
      <c r="C3779" s="73" t="n"/>
      <c r="D3779" s="55">
        <f>D430</f>
        <v/>
      </c>
      <c r="E3779" s="55" t="inlineStr">
        <is>
          <t>kg</t>
        </is>
      </c>
      <c r="F3779" s="82">
        <f>T3778</f>
        <v/>
      </c>
      <c r="G3779" s="82">
        <f>U3778</f>
        <v/>
      </c>
      <c r="H3779" s="82">
        <f>F3779-G3779</f>
        <v/>
      </c>
      <c r="I3779" s="43" t="n"/>
      <c r="J3779" s="80" t="n"/>
      <c r="K3779" s="43" t="n"/>
      <c r="L3779" s="43" t="inlineStr">
        <is>
          <t>图纸合计</t>
        </is>
      </c>
      <c r="M3779" s="43" t="n">
        <v>19292.4</v>
      </c>
      <c r="N3779" s="43" t="n">
        <v>650669.9</v>
      </c>
      <c r="O3779" s="43" t="n">
        <v>401058.9</v>
      </c>
      <c r="P3779" s="43" t="n">
        <v>738162.3</v>
      </c>
      <c r="Q3779" s="43" t="n">
        <v>329413.6</v>
      </c>
      <c r="R3779" s="43" t="n">
        <v>36172.8</v>
      </c>
      <c r="S3779" s="43" t="n">
        <v>110930.1</v>
      </c>
      <c r="T3779" s="43">
        <f>SUM(M3779:S3779)</f>
        <v/>
      </c>
      <c r="U3779" s="43">
        <f>T3779</f>
        <v/>
      </c>
      <c r="V3779" s="81">
        <f>T3779-U3779</f>
        <v/>
      </c>
      <c r="W3779" s="43" t="n"/>
    </row>
    <row r="3780">
      <c r="A3780" s="43" t="n"/>
      <c r="B3780" s="43" t="n"/>
      <c r="C3780" s="43" t="n"/>
      <c r="D3780" s="43" t="n"/>
      <c r="E3780" s="43" t="n"/>
      <c r="F3780" s="43" t="n"/>
      <c r="G3780" s="43" t="n"/>
      <c r="H3780" s="79" t="n"/>
      <c r="I3780" s="43" t="n"/>
      <c r="J3780" s="80" t="n"/>
      <c r="K3780" s="43" t="n"/>
      <c r="L3780" s="43" t="inlineStr">
        <is>
          <t>差异</t>
        </is>
      </c>
      <c r="M3780" s="81">
        <f>M3778-M3779</f>
        <v/>
      </c>
      <c r="N3780" s="81">
        <f>N3778-N3779</f>
        <v/>
      </c>
      <c r="O3780" s="81">
        <f>O3778-O3779</f>
        <v/>
      </c>
      <c r="P3780" s="81">
        <f>P3778-P3779</f>
        <v/>
      </c>
      <c r="Q3780" s="81">
        <f>Q3778-Q3779</f>
        <v/>
      </c>
      <c r="R3780" s="81">
        <f>R3778-R3779</f>
        <v/>
      </c>
      <c r="S3780" s="81">
        <f>S3778-S3779</f>
        <v/>
      </c>
      <c r="T3780" s="81">
        <f>T3778-T3779</f>
        <v/>
      </c>
      <c r="U3780" s="43" t="n"/>
      <c r="V3780" s="43" t="n"/>
      <c r="W3780" s="43" t="n"/>
    </row>
    <row r="3781">
      <c r="A3781" s="43" t="n"/>
      <c r="B3781" s="43" t="n"/>
      <c r="C3781" s="43" t="n"/>
      <c r="D3781" s="43" t="n"/>
      <c r="E3781" s="43" t="n"/>
      <c r="F3781" s="43" t="n"/>
      <c r="G3781" s="43" t="n"/>
      <c r="H3781" s="79" t="n"/>
      <c r="I3781" s="43" t="n"/>
      <c r="J3781" s="80" t="n"/>
      <c r="K3781" s="43" t="n"/>
    </row>
  </sheetData>
  <autoFilter ref="A3:W434">
    <filterColumn colId="6" hiddenButton="0" showButton="1">
      <customFilters>
        <customFilter val="20" operator="equal"/>
      </customFilters>
    </filterColumn>
  </autoFilter>
  <mergeCells count="315">
    <mergeCell ref="O4:O32"/>
    <mergeCell ref="Q4:Q32"/>
    <mergeCell ref="U325:U350"/>
    <mergeCell ref="W325:W350"/>
    <mergeCell ref="W33:W58"/>
    <mergeCell ref="T59:T84"/>
    <mergeCell ref="B357:B364"/>
    <mergeCell ref="V59:V84"/>
    <mergeCell ref="B132:B135"/>
    <mergeCell ref="M2:T2"/>
    <mergeCell ref="B265:B267"/>
    <mergeCell ref="L299:L324"/>
    <mergeCell ref="N299:N324"/>
    <mergeCell ref="B376:C376"/>
    <mergeCell ref="U351:U376"/>
    <mergeCell ref="A85:A110"/>
    <mergeCell ref="M33:M58"/>
    <mergeCell ref="W111:W136"/>
    <mergeCell ref="O247:O272"/>
    <mergeCell ref="Q247:Q272"/>
    <mergeCell ref="R218:R246"/>
    <mergeCell ref="B305:B312"/>
    <mergeCell ref="T377:T402"/>
    <mergeCell ref="B420:B423"/>
    <mergeCell ref="L377:L402"/>
    <mergeCell ref="V377:V402"/>
    <mergeCell ref="N377:N402"/>
    <mergeCell ref="B169:B176"/>
    <mergeCell ref="V85:V110"/>
    <mergeCell ref="B431:C431"/>
    <mergeCell ref="S403:S431"/>
    <mergeCell ref="U403:U431"/>
    <mergeCell ref="K2:K3"/>
    <mergeCell ref="W4:W32"/>
    <mergeCell ref="A3778:C3778"/>
    <mergeCell ref="Q137:Q162"/>
    <mergeCell ref="S137:S162"/>
    <mergeCell ref="B84:C84"/>
    <mergeCell ref="B225:B234"/>
    <mergeCell ref="N4:N32"/>
    <mergeCell ref="B163:B168"/>
    <mergeCell ref="A3779:C3779"/>
    <mergeCell ref="B103:B105"/>
    <mergeCell ref="S59:S84"/>
    <mergeCell ref="A111:A136"/>
    <mergeCell ref="U59:U84"/>
    <mergeCell ref="A1:K1"/>
    <mergeCell ref="W247:W272"/>
    <mergeCell ref="L33:L58"/>
    <mergeCell ref="N33:N58"/>
    <mergeCell ref="N247:N272"/>
    <mergeCell ref="Q218:Q246"/>
    <mergeCell ref="A403:A431"/>
    <mergeCell ref="S218:S246"/>
    <mergeCell ref="P4:P32"/>
    <mergeCell ref="A299:A324"/>
    <mergeCell ref="M377:M402"/>
    <mergeCell ref="L111:L136"/>
    <mergeCell ref="P189:P217"/>
    <mergeCell ref="R189:R217"/>
    <mergeCell ref="T403:T431"/>
    <mergeCell ref="R137:R162"/>
    <mergeCell ref="V403:V431"/>
    <mergeCell ref="T137:T162"/>
    <mergeCell ref="P218:P246"/>
    <mergeCell ref="B235:B238"/>
    <mergeCell ref="A189:A217"/>
    <mergeCell ref="B273:B278"/>
    <mergeCell ref="V299:V324"/>
    <mergeCell ref="B151:B154"/>
    <mergeCell ref="B4:B10"/>
    <mergeCell ref="A247:A272"/>
    <mergeCell ref="M273:M298"/>
    <mergeCell ref="O273:O298"/>
    <mergeCell ref="T325:T350"/>
    <mergeCell ref="B196:B205"/>
    <mergeCell ref="B365:B368"/>
    <mergeCell ref="B331:B338"/>
    <mergeCell ref="N163:N188"/>
    <mergeCell ref="P163:P188"/>
    <mergeCell ref="V247:V272"/>
    <mergeCell ref="A325:A350"/>
    <mergeCell ref="U2:U3"/>
    <mergeCell ref="B402:C402"/>
    <mergeCell ref="W273:W298"/>
    <mergeCell ref="B253:B260"/>
    <mergeCell ref="B313:B316"/>
    <mergeCell ref="B80:B83"/>
    <mergeCell ref="Q189:Q217"/>
    <mergeCell ref="B210:B212"/>
    <mergeCell ref="B143:B150"/>
    <mergeCell ref="S85:S110"/>
    <mergeCell ref="B32:C32"/>
    <mergeCell ref="U85:U110"/>
    <mergeCell ref="B324:C324"/>
    <mergeCell ref="U299:U324"/>
    <mergeCell ref="W299:W324"/>
    <mergeCell ref="T33:T58"/>
    <mergeCell ref="V33:V58"/>
    <mergeCell ref="B106:B109"/>
    <mergeCell ref="B391:B394"/>
    <mergeCell ref="B424:B426"/>
    <mergeCell ref="L273:L298"/>
    <mergeCell ref="N273:N298"/>
    <mergeCell ref="B28:B31"/>
    <mergeCell ref="M4:M32"/>
    <mergeCell ref="Q325:Q350"/>
    <mergeCell ref="A377:A402"/>
    <mergeCell ref="S189:S217"/>
    <mergeCell ref="S325:S350"/>
    <mergeCell ref="S33:S58"/>
    <mergeCell ref="U33:U58"/>
    <mergeCell ref="M163:M188"/>
    <mergeCell ref="O163:O188"/>
    <mergeCell ref="B279:B286"/>
    <mergeCell ref="A59:A84"/>
    <mergeCell ref="B54:B57"/>
    <mergeCell ref="B125:B128"/>
    <mergeCell ref="Q351:Q376"/>
    <mergeCell ref="S351:S376"/>
    <mergeCell ref="Q111:Q136"/>
    <mergeCell ref="S111:S136"/>
    <mergeCell ref="B58:C58"/>
    <mergeCell ref="M247:M272"/>
    <mergeCell ref="U111:U136"/>
    <mergeCell ref="B350:C350"/>
    <mergeCell ref="P273:P298"/>
    <mergeCell ref="B51:B53"/>
    <mergeCell ref="A273:A298"/>
    <mergeCell ref="B162:C162"/>
    <mergeCell ref="P377:P402"/>
    <mergeCell ref="R377:R402"/>
    <mergeCell ref="R85:R110"/>
    <mergeCell ref="B99:B102"/>
    <mergeCell ref="T85:T110"/>
    <mergeCell ref="L85:L110"/>
    <mergeCell ref="B137:B142"/>
    <mergeCell ref="B77:B79"/>
    <mergeCell ref="B188:C188"/>
    <mergeCell ref="B317:B319"/>
    <mergeCell ref="V273:V298"/>
    <mergeCell ref="O377:O402"/>
    <mergeCell ref="L4:L32"/>
    <mergeCell ref="U163:U188"/>
    <mergeCell ref="W163:W188"/>
    <mergeCell ref="P325:P350"/>
    <mergeCell ref="R325:R350"/>
    <mergeCell ref="B117:B124"/>
    <mergeCell ref="O59:O84"/>
    <mergeCell ref="Q59:Q84"/>
    <mergeCell ref="B395:B397"/>
    <mergeCell ref="N137:N162"/>
    <mergeCell ref="P351:P376"/>
    <mergeCell ref="R351:R376"/>
    <mergeCell ref="B261:B264"/>
    <mergeCell ref="R111:R136"/>
    <mergeCell ref="L247:L272"/>
    <mergeCell ref="T111:T136"/>
    <mergeCell ref="M218:M246"/>
    <mergeCell ref="O218:O246"/>
    <mergeCell ref="B343:B345"/>
    <mergeCell ref="Q377:Q402"/>
    <mergeCell ref="B287:B290"/>
    <mergeCell ref="B339:B342"/>
    <mergeCell ref="A163:A188"/>
    <mergeCell ref="B377:B382"/>
    <mergeCell ref="N403:N431"/>
    <mergeCell ref="P403:P431"/>
    <mergeCell ref="R403:R431"/>
    <mergeCell ref="P137:P162"/>
    <mergeCell ref="L218:L246"/>
    <mergeCell ref="N218:N246"/>
    <mergeCell ref="B298:C298"/>
    <mergeCell ref="U273:U298"/>
    <mergeCell ref="T299:T324"/>
    <mergeCell ref="R4:R32"/>
    <mergeCell ref="T4:T32"/>
    <mergeCell ref="V4:V32"/>
    <mergeCell ref="M111:M136"/>
    <mergeCell ref="O111:O136"/>
    <mergeCell ref="V163:V188"/>
    <mergeCell ref="B294:B297"/>
    <mergeCell ref="P59:P84"/>
    <mergeCell ref="R59:R84"/>
    <mergeCell ref="M137:M162"/>
    <mergeCell ref="A4:A32"/>
    <mergeCell ref="L163:L188"/>
    <mergeCell ref="R247:R272"/>
    <mergeCell ref="T247:T272"/>
    <mergeCell ref="W218:W246"/>
    <mergeCell ref="A33:A58"/>
    <mergeCell ref="W377:W402"/>
    <mergeCell ref="B85:B90"/>
    <mergeCell ref="B242:B245"/>
    <mergeCell ref="M189:M217"/>
    <mergeCell ref="O189:O217"/>
    <mergeCell ref="O403:O431"/>
    <mergeCell ref="Q403:Q431"/>
    <mergeCell ref="O137:O162"/>
    <mergeCell ref="B73:B76"/>
    <mergeCell ref="B111:B116"/>
    <mergeCell ref="Q85:Q110"/>
    <mergeCell ref="Q299:Q324"/>
    <mergeCell ref="B403:B409"/>
    <mergeCell ref="S299:S324"/>
    <mergeCell ref="S4:S32"/>
    <mergeCell ref="B218:B224"/>
    <mergeCell ref="B372:B375"/>
    <mergeCell ref="B33:B38"/>
    <mergeCell ref="A218:A246"/>
    <mergeCell ref="B213:B216"/>
    <mergeCell ref="U137:U162"/>
    <mergeCell ref="P299:P324"/>
    <mergeCell ref="R299:R324"/>
    <mergeCell ref="O325:O350"/>
    <mergeCell ref="B351:B356"/>
    <mergeCell ref="B21:B24"/>
    <mergeCell ref="B91:B98"/>
    <mergeCell ref="O33:O58"/>
    <mergeCell ref="B59:B64"/>
    <mergeCell ref="B383:B390"/>
    <mergeCell ref="Q33:Q58"/>
    <mergeCell ref="B369:B371"/>
    <mergeCell ref="S247:S272"/>
    <mergeCell ref="B272:C272"/>
    <mergeCell ref="B189:B195"/>
    <mergeCell ref="U247:U272"/>
    <mergeCell ref="T218:T246"/>
    <mergeCell ref="B136:C136"/>
    <mergeCell ref="V218:V246"/>
    <mergeCell ref="B427:B430"/>
    <mergeCell ref="U4:U32"/>
    <mergeCell ref="W351:W376"/>
    <mergeCell ref="O351:O376"/>
    <mergeCell ref="B65:B72"/>
    <mergeCell ref="W403:W431"/>
    <mergeCell ref="B410:B419"/>
    <mergeCell ref="L325:L350"/>
    <mergeCell ref="L189:L217"/>
    <mergeCell ref="N85:N110"/>
    <mergeCell ref="P85:P110"/>
    <mergeCell ref="V111:V136"/>
    <mergeCell ref="A2:A3"/>
    <mergeCell ref="C2:C3"/>
    <mergeCell ref="T273:T298"/>
    <mergeCell ref="W59:W84"/>
    <mergeCell ref="B158:B161"/>
    <mergeCell ref="B246:C246"/>
    <mergeCell ref="B291:B293"/>
    <mergeCell ref="M85:M110"/>
    <mergeCell ref="Q163:Q188"/>
    <mergeCell ref="S163:S188"/>
    <mergeCell ref="N325:N350"/>
    <mergeCell ref="N189:N217"/>
    <mergeCell ref="P33:P58"/>
    <mergeCell ref="U189:U217"/>
    <mergeCell ref="R33:R58"/>
    <mergeCell ref="W189:W217"/>
    <mergeCell ref="M59:M84"/>
    <mergeCell ref="W137:W162"/>
    <mergeCell ref="B184:B187"/>
    <mergeCell ref="U218:U246"/>
    <mergeCell ref="T351:T376"/>
    <mergeCell ref="L351:L376"/>
    <mergeCell ref="N351:N376"/>
    <mergeCell ref="B25:B27"/>
    <mergeCell ref="N111:N136"/>
    <mergeCell ref="P111:P136"/>
    <mergeCell ref="T189:T217"/>
    <mergeCell ref="V189:V217"/>
    <mergeCell ref="V137:V162"/>
    <mergeCell ref="O85:O110"/>
    <mergeCell ref="B268:B271"/>
    <mergeCell ref="L403:L431"/>
    <mergeCell ref="B47:B50"/>
    <mergeCell ref="L137:L162"/>
    <mergeCell ref="B239:B241"/>
    <mergeCell ref="B2:B3"/>
    <mergeCell ref="Q273:Q298"/>
    <mergeCell ref="D2:D3"/>
    <mergeCell ref="S273:S298"/>
    <mergeCell ref="B129:B131"/>
    <mergeCell ref="A137:A162"/>
    <mergeCell ref="R163:R188"/>
    <mergeCell ref="T163:T188"/>
    <mergeCell ref="M325:M350"/>
    <mergeCell ref="L59:L84"/>
    <mergeCell ref="B155:B157"/>
    <mergeCell ref="N59:N84"/>
    <mergeCell ref="V351:V376"/>
    <mergeCell ref="P247:P272"/>
    <mergeCell ref="M351:M376"/>
    <mergeCell ref="B320:B323"/>
    <mergeCell ref="S377:S402"/>
    <mergeCell ref="U377:U402"/>
    <mergeCell ref="W85:W110"/>
    <mergeCell ref="B247:B252"/>
    <mergeCell ref="A351:A376"/>
    <mergeCell ref="B346:B349"/>
    <mergeCell ref="B299:B304"/>
    <mergeCell ref="V325:V350"/>
    <mergeCell ref="B39:B46"/>
    <mergeCell ref="B11:B20"/>
    <mergeCell ref="B398:B401"/>
    <mergeCell ref="B177:B180"/>
    <mergeCell ref="B217:C217"/>
    <mergeCell ref="L2:L3"/>
    <mergeCell ref="B181:B183"/>
    <mergeCell ref="M403:M431"/>
    <mergeCell ref="B206:B209"/>
    <mergeCell ref="R273:R298"/>
    <mergeCell ref="B110:C110"/>
    <mergeCell ref="M299:M324"/>
    <mergeCell ref="O299:O324"/>
    <mergeCell ref="B325:B330"/>
  </mergeCells>
  <pageMargins left="0.7" right="0.7" top="0.75" bottom="0.75" header="0.3" footer="0.3"/>
  <pageSetup orientation="portrait" paperSize="9" scale="88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A142"/>
  <sheetViews>
    <sheetView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3.5"/>
  <cols>
    <col width="5.725" customWidth="1" style="19" min="1" max="1"/>
    <col width="6.63333333333333" customWidth="1" style="19" min="2" max="2"/>
    <col width="6.81666666666667" customWidth="1" style="19" min="3" max="3"/>
    <col width="7.81666666666667" customWidth="1" style="19" min="4" max="7"/>
    <col width="6" customWidth="1" style="19" min="8" max="8"/>
    <col width="7.81666666666667" customWidth="1" style="19" min="9" max="9"/>
    <col width="7.275" customWidth="1" style="19" min="10" max="10"/>
    <col width="9" customWidth="1" style="19" min="11" max="12"/>
    <col width="7.81666666666667" customWidth="1" style="19" min="13" max="27"/>
    <col width="9" customWidth="1" style="19" min="28" max="16384"/>
  </cols>
  <sheetData>
    <row r="1" ht="27" customFormat="1" customHeight="1" s="19">
      <c r="A1" s="21" t="n"/>
    </row>
    <row r="2" ht="20" customFormat="1" customHeight="1" s="20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6" t="inlineStr">
        <is>
          <t>复核数量</t>
        </is>
      </c>
      <c r="P2" s="72" t="n"/>
      <c r="Q2" s="72" t="n"/>
      <c r="R2" s="72" t="n"/>
      <c r="S2" s="72" t="n"/>
      <c r="T2" s="72" t="n"/>
      <c r="U2" s="72" t="n"/>
      <c r="V2" s="72" t="n"/>
      <c r="W2" s="72" t="n"/>
      <c r="X2" s="73" t="n"/>
      <c r="Y2" s="6" t="inlineStr">
        <is>
          <t>图纸数量</t>
        </is>
      </c>
      <c r="Z2" s="6" t="inlineStr">
        <is>
          <t>差异</t>
        </is>
      </c>
      <c r="AA2" s="6" t="inlineStr">
        <is>
          <t>备注</t>
        </is>
      </c>
    </row>
    <row r="3" ht="20" customFormat="1" customHeight="1" s="20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10</v>
      </c>
      <c r="O3" s="6" t="n">
        <v>12</v>
      </c>
      <c r="P3" s="6" t="n">
        <v>14</v>
      </c>
      <c r="Q3" s="6" t="n">
        <v>16</v>
      </c>
      <c r="R3" s="6" t="n">
        <v>20</v>
      </c>
      <c r="S3" s="6" t="n">
        <v>24</v>
      </c>
      <c r="T3" s="6" t="n">
        <v>28</v>
      </c>
      <c r="U3" s="6" t="n">
        <v>30</v>
      </c>
      <c r="V3" s="6" t="n">
        <v>40</v>
      </c>
      <c r="W3" s="6" t="n">
        <v>50</v>
      </c>
      <c r="X3" s="6" t="inlineStr">
        <is>
          <t>合计</t>
        </is>
      </c>
      <c r="Y3" s="74" t="n"/>
      <c r="Z3" s="6" t="n"/>
      <c r="AA3" s="6" t="n"/>
    </row>
    <row r="4" ht="20" customFormat="1" customHeight="1" s="20">
      <c r="A4" s="6" t="inlineStr">
        <is>
          <t>横隔板</t>
        </is>
      </c>
      <c r="B4" s="5" t="inlineStr">
        <is>
          <t>Z1边支点横隔板</t>
        </is>
      </c>
      <c r="C4" s="6" t="inlineStr">
        <is>
          <t>N1</t>
        </is>
      </c>
      <c r="D4" s="6" t="inlineStr">
        <is>
          <t>Q355MD</t>
        </is>
      </c>
      <c r="E4" s="6" t="n">
        <v>1951</v>
      </c>
      <c r="F4" s="6" t="n">
        <v>1790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6">
        <f>B4</f>
        <v/>
      </c>
      <c r="N4" s="6" t="n"/>
      <c r="O4" s="84">
        <f>SUMIF(G4:G22,$O$3,K4:K22)</f>
        <v/>
      </c>
      <c r="P4" s="84">
        <f>SUMIF(G4:G22,$P$3,K4:K22)</f>
        <v/>
      </c>
      <c r="Q4" s="84">
        <f>SUMIF(G4:G22,$Q$3,K4:K22)</f>
        <v/>
      </c>
      <c r="R4" s="84">
        <f>SUMIF(G4:G22,$R$3,K4:K22)</f>
        <v/>
      </c>
      <c r="S4" s="84">
        <f>SUMIF(G4:G22,$S$3,K4:K22)</f>
        <v/>
      </c>
      <c r="T4" s="85" t="n"/>
      <c r="U4" s="84">
        <f>SUMIF(G4:G22,$U$3,K4:K22)</f>
        <v/>
      </c>
      <c r="V4" s="84">
        <f>SUMIF(G4:G22,$V$3,K4:K22)</f>
        <v/>
      </c>
      <c r="W4" s="85" t="n"/>
      <c r="X4" s="84">
        <f>SUM(O4:V23)</f>
        <v/>
      </c>
      <c r="Y4" s="84" t="n">
        <v>141101.8</v>
      </c>
      <c r="Z4" s="84">
        <f>X4-Y4</f>
        <v/>
      </c>
      <c r="AA4" s="6" t="n"/>
    </row>
    <row r="5" ht="20" customFormat="1" customHeight="1" s="20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>
        <v>2718</v>
      </c>
      <c r="F5" s="6" t="n">
        <v>2550</v>
      </c>
      <c r="G5" s="6" t="n">
        <v>20</v>
      </c>
      <c r="H5" s="6" t="n">
        <v>1</v>
      </c>
      <c r="I5" s="83" t="n">
        <v>1033.76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86" t="n"/>
      <c r="U5" s="76" t="n"/>
      <c r="V5" s="76" t="n"/>
      <c r="W5" s="86" t="n"/>
      <c r="X5" s="76" t="n"/>
      <c r="Y5" s="76" t="n"/>
      <c r="Z5" s="76" t="n"/>
      <c r="AA5" s="76" t="n"/>
    </row>
    <row r="6" ht="20" customFormat="1" customHeight="1" s="20">
      <c r="A6" s="76" t="n"/>
      <c r="B6" s="76" t="n"/>
      <c r="C6" s="6" t="inlineStr">
        <is>
          <t>N3</t>
        </is>
      </c>
      <c r="D6" s="6" t="inlineStr">
        <is>
          <t>Q355MD</t>
        </is>
      </c>
      <c r="E6" s="6" t="n">
        <v>2653</v>
      </c>
      <c r="F6" s="6" t="n">
        <v>470</v>
      </c>
      <c r="G6" s="6" t="n">
        <v>20</v>
      </c>
      <c r="H6" s="6" t="n">
        <v>1</v>
      </c>
      <c r="I6" s="83" t="n">
        <v>132.31</v>
      </c>
      <c r="J6" s="6" t="n">
        <v>32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86" t="n"/>
      <c r="U6" s="76" t="n"/>
      <c r="V6" s="76" t="n"/>
      <c r="W6" s="86" t="n"/>
      <c r="X6" s="76" t="n"/>
      <c r="Y6" s="76" t="n"/>
      <c r="Z6" s="76" t="n"/>
      <c r="AA6" s="76" t="n"/>
    </row>
    <row r="7" ht="20" customFormat="1" customHeight="1" s="20">
      <c r="A7" s="76" t="n"/>
      <c r="B7" s="76" t="n"/>
      <c r="C7" s="6" t="inlineStr">
        <is>
          <t>N3'</t>
        </is>
      </c>
      <c r="D7" s="6" t="inlineStr">
        <is>
          <t>Q355MD</t>
        </is>
      </c>
      <c r="E7" s="6" t="n">
        <v>2653</v>
      </c>
      <c r="F7" s="6" t="n">
        <v>440</v>
      </c>
      <c r="G7" s="6" t="n">
        <v>20</v>
      </c>
      <c r="H7" s="6" t="n">
        <v>1</v>
      </c>
      <c r="I7" s="83" t="n">
        <v>119.56</v>
      </c>
      <c r="J7" s="6" t="n">
        <v>32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86" t="n"/>
      <c r="U7" s="76" t="n"/>
      <c r="V7" s="76" t="n"/>
      <c r="W7" s="86" t="n"/>
      <c r="X7" s="76" t="n"/>
      <c r="Y7" s="76" t="n"/>
      <c r="Z7" s="76" t="n"/>
      <c r="AA7" s="76" t="n"/>
    </row>
    <row r="8" ht="20" customFormat="1" customHeight="1" s="20">
      <c r="A8" s="76" t="n"/>
      <c r="B8" s="76" t="n"/>
      <c r="C8" s="6" t="inlineStr">
        <is>
          <t>N3a</t>
        </is>
      </c>
      <c r="D8" s="6" t="inlineStr">
        <is>
          <t>Q355MD</t>
        </is>
      </c>
      <c r="E8" s="6" t="n">
        <v>2671</v>
      </c>
      <c r="F8" s="6" t="n">
        <v>470</v>
      </c>
      <c r="G8" s="6" t="n">
        <v>20</v>
      </c>
      <c r="H8" s="6" t="n">
        <v>1</v>
      </c>
      <c r="I8" s="83" t="n">
        <v>132.98</v>
      </c>
      <c r="J8" s="6" t="n">
        <v>32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86" t="n"/>
      <c r="U8" s="76" t="n"/>
      <c r="V8" s="76" t="n"/>
      <c r="W8" s="86" t="n"/>
      <c r="X8" s="76" t="n"/>
      <c r="Y8" s="76" t="n"/>
      <c r="Z8" s="76" t="n"/>
      <c r="AA8" s="76" t="n"/>
    </row>
    <row r="9" ht="20" customFormat="1" customHeight="1" s="20">
      <c r="A9" s="76" t="n"/>
      <c r="B9" s="76" t="n"/>
      <c r="C9" s="6" t="inlineStr">
        <is>
          <t>N3a'</t>
        </is>
      </c>
      <c r="D9" s="6" t="inlineStr">
        <is>
          <t>Q355MD</t>
        </is>
      </c>
      <c r="E9" s="6" t="n">
        <v>2671</v>
      </c>
      <c r="F9" s="6" t="n">
        <v>440</v>
      </c>
      <c r="G9" s="6" t="n">
        <v>20</v>
      </c>
      <c r="H9" s="6" t="n">
        <v>1</v>
      </c>
      <c r="I9" s="83" t="n">
        <v>120.24</v>
      </c>
      <c r="J9" s="6" t="n">
        <v>32</v>
      </c>
      <c r="K9" s="83">
        <f>I9*J9</f>
        <v/>
      </c>
      <c r="L9" s="6" t="n"/>
      <c r="M9" s="76" t="n"/>
      <c r="N9" s="76" t="n"/>
      <c r="O9" s="76" t="n"/>
      <c r="P9" s="76" t="n"/>
      <c r="Q9" s="76" t="n"/>
      <c r="R9" s="76" t="n"/>
      <c r="S9" s="76" t="n"/>
      <c r="T9" s="86" t="n"/>
      <c r="U9" s="76" t="n"/>
      <c r="V9" s="76" t="n"/>
      <c r="W9" s="86" t="n"/>
      <c r="X9" s="76" t="n"/>
      <c r="Y9" s="76" t="n"/>
      <c r="Z9" s="76" t="n"/>
      <c r="AA9" s="76" t="n"/>
    </row>
    <row r="10" ht="20" customFormat="1" customHeight="1" s="20">
      <c r="A10" s="76" t="n"/>
      <c r="B10" s="76" t="n"/>
      <c r="C10" s="6" t="inlineStr">
        <is>
          <t>N3b</t>
        </is>
      </c>
      <c r="D10" s="6" t="inlineStr">
        <is>
          <t>Q355MD</t>
        </is>
      </c>
      <c r="E10" s="6" t="n">
        <v>2689</v>
      </c>
      <c r="F10" s="6" t="n">
        <v>470</v>
      </c>
      <c r="G10" s="6" t="n">
        <v>20</v>
      </c>
      <c r="H10" s="6" t="n">
        <v>1</v>
      </c>
      <c r="I10" s="83" t="n">
        <v>133.66</v>
      </c>
      <c r="J10" s="6" t="n">
        <v>32</v>
      </c>
      <c r="K10" s="83">
        <f>I10*J10</f>
        <v/>
      </c>
      <c r="L10" s="6" t="n"/>
      <c r="M10" s="76" t="n"/>
      <c r="N10" s="76" t="n"/>
      <c r="O10" s="76" t="n"/>
      <c r="P10" s="76" t="n"/>
      <c r="Q10" s="76" t="n"/>
      <c r="R10" s="76" t="n"/>
      <c r="S10" s="76" t="n"/>
      <c r="T10" s="86" t="n"/>
      <c r="U10" s="76" t="n"/>
      <c r="V10" s="76" t="n"/>
      <c r="W10" s="86" t="n"/>
      <c r="X10" s="76" t="n"/>
      <c r="Y10" s="76" t="n"/>
      <c r="Z10" s="76" t="n"/>
      <c r="AA10" s="76" t="n"/>
    </row>
    <row r="11" ht="20" customFormat="1" customHeight="1" s="20">
      <c r="A11" s="76" t="n"/>
      <c r="B11" s="76" t="n"/>
      <c r="C11" s="6" t="inlineStr">
        <is>
          <t>N3b'</t>
        </is>
      </c>
      <c r="D11" s="6" t="inlineStr">
        <is>
          <t>Q355MD</t>
        </is>
      </c>
      <c r="E11" s="6" t="n">
        <v>2689</v>
      </c>
      <c r="F11" s="6" t="n">
        <v>440</v>
      </c>
      <c r="G11" s="6" t="n">
        <v>20</v>
      </c>
      <c r="H11" s="6" t="n">
        <v>1</v>
      </c>
      <c r="I11" s="83" t="n">
        <v>120.91</v>
      </c>
      <c r="J11" s="6" t="n">
        <v>32</v>
      </c>
      <c r="K11" s="83">
        <f>I11*J11</f>
        <v/>
      </c>
      <c r="L11" s="6" t="n"/>
      <c r="M11" s="76" t="n"/>
      <c r="N11" s="76" t="n"/>
      <c r="O11" s="76" t="n"/>
      <c r="P11" s="76" t="n"/>
      <c r="Q11" s="76" t="n"/>
      <c r="R11" s="76" t="n"/>
      <c r="S11" s="76" t="n"/>
      <c r="T11" s="86" t="n"/>
      <c r="U11" s="76" t="n"/>
      <c r="V11" s="76" t="n"/>
      <c r="W11" s="86" t="n"/>
      <c r="X11" s="76" t="n"/>
      <c r="Y11" s="76" t="n"/>
      <c r="Z11" s="76" t="n"/>
      <c r="AA11" s="76" t="n"/>
    </row>
    <row r="12" ht="20" customFormat="1" customHeight="1" s="20">
      <c r="A12" s="76" t="n"/>
      <c r="B12" s="76" t="n"/>
      <c r="C12" s="6" t="inlineStr">
        <is>
          <t>N3c</t>
        </is>
      </c>
      <c r="D12" s="6" t="inlineStr">
        <is>
          <t>Q355MD</t>
        </is>
      </c>
      <c r="E12" s="6" t="n">
        <v>2707</v>
      </c>
      <c r="F12" s="6" t="n">
        <v>470</v>
      </c>
      <c r="G12" s="6" t="n">
        <v>20</v>
      </c>
      <c r="H12" s="6" t="n">
        <v>1</v>
      </c>
      <c r="I12" s="83" t="n">
        <v>134.34</v>
      </c>
      <c r="J12" s="6" t="n">
        <v>32</v>
      </c>
      <c r="K12" s="83">
        <f>I12*J12</f>
        <v/>
      </c>
      <c r="L12" s="6" t="n"/>
      <c r="M12" s="76" t="n"/>
      <c r="N12" s="76" t="n"/>
      <c r="O12" s="76" t="n"/>
      <c r="P12" s="76" t="n"/>
      <c r="Q12" s="76" t="n"/>
      <c r="R12" s="76" t="n"/>
      <c r="S12" s="76" t="n"/>
      <c r="T12" s="86" t="n"/>
      <c r="U12" s="76" t="n"/>
      <c r="V12" s="76" t="n"/>
      <c r="W12" s="86" t="n"/>
      <c r="X12" s="76" t="n"/>
      <c r="Y12" s="76" t="n"/>
      <c r="Z12" s="76" t="n"/>
      <c r="AA12" s="76" t="n"/>
    </row>
    <row r="13" ht="20" customFormat="1" customHeight="1" s="20">
      <c r="A13" s="76" t="n"/>
      <c r="B13" s="76" t="n"/>
      <c r="C13" s="6" t="inlineStr">
        <is>
          <t>N3c'</t>
        </is>
      </c>
      <c r="D13" s="6" t="inlineStr">
        <is>
          <t>Q355MD</t>
        </is>
      </c>
      <c r="E13" s="6" t="n">
        <v>2707</v>
      </c>
      <c r="F13" s="6" t="n">
        <v>440</v>
      </c>
      <c r="G13" s="6" t="n">
        <v>20</v>
      </c>
      <c r="H13" s="6" t="n">
        <v>1</v>
      </c>
      <c r="I13" s="83" t="n">
        <v>121.59</v>
      </c>
      <c r="J13" s="6" t="n">
        <v>32</v>
      </c>
      <c r="K13" s="83">
        <f>I13*J13</f>
        <v/>
      </c>
      <c r="L13" s="6" t="n"/>
      <c r="M13" s="76" t="n"/>
      <c r="N13" s="76" t="n"/>
      <c r="O13" s="76" t="n"/>
      <c r="P13" s="76" t="n"/>
      <c r="Q13" s="76" t="n"/>
      <c r="R13" s="76" t="n"/>
      <c r="S13" s="76" t="n"/>
      <c r="T13" s="86" t="n"/>
      <c r="U13" s="76" t="n"/>
      <c r="V13" s="76" t="n"/>
      <c r="W13" s="86" t="n"/>
      <c r="X13" s="76" t="n"/>
      <c r="Y13" s="76" t="n"/>
      <c r="Z13" s="76" t="n"/>
      <c r="AA13" s="76" t="n"/>
    </row>
    <row r="14" ht="20" customFormat="1" customHeight="1" s="20">
      <c r="A14" s="76" t="n"/>
      <c r="B14" s="76" t="n"/>
      <c r="C14" s="6" t="inlineStr">
        <is>
          <t>N3d</t>
        </is>
      </c>
      <c r="D14" s="6" t="inlineStr">
        <is>
          <t>Q355MD</t>
        </is>
      </c>
      <c r="E14" s="6" t="n">
        <v>1150</v>
      </c>
      <c r="F14" s="6" t="n">
        <v>470</v>
      </c>
      <c r="G14" s="6" t="n">
        <v>20</v>
      </c>
      <c r="H14" s="6" t="n">
        <v>1</v>
      </c>
      <c r="I14" s="83" t="n">
        <v>75.68000000000001</v>
      </c>
      <c r="J14" s="6" t="n">
        <v>32</v>
      </c>
      <c r="K14" s="83">
        <f>I14*J14</f>
        <v/>
      </c>
      <c r="L14" s="6" t="n"/>
      <c r="M14" s="76" t="n"/>
      <c r="N14" s="76" t="n"/>
      <c r="O14" s="76" t="n"/>
      <c r="P14" s="76" t="n"/>
      <c r="Q14" s="76" t="n"/>
      <c r="R14" s="76" t="n"/>
      <c r="S14" s="76" t="n"/>
      <c r="T14" s="86" t="n"/>
      <c r="U14" s="76" t="n"/>
      <c r="V14" s="76" t="n"/>
      <c r="W14" s="86" t="n"/>
      <c r="X14" s="76" t="n"/>
      <c r="Y14" s="76" t="n"/>
      <c r="Z14" s="76" t="n"/>
      <c r="AA14" s="76" t="n"/>
    </row>
    <row r="15" ht="20" customFormat="1" customHeight="1" s="20">
      <c r="A15" s="76" t="n"/>
      <c r="B15" s="76" t="n"/>
      <c r="C15" s="6" t="inlineStr">
        <is>
          <t>N3d'</t>
        </is>
      </c>
      <c r="D15" s="6" t="inlineStr">
        <is>
          <t>Q355MD</t>
        </is>
      </c>
      <c r="E15" s="6" t="n">
        <v>1150</v>
      </c>
      <c r="F15" s="6" t="n">
        <v>440</v>
      </c>
      <c r="G15" s="6" t="n">
        <v>20</v>
      </c>
      <c r="H15" s="6" t="n">
        <v>1</v>
      </c>
      <c r="I15" s="83" t="n">
        <v>62.32</v>
      </c>
      <c r="J15" s="6" t="n">
        <v>32</v>
      </c>
      <c r="K15" s="83">
        <f>I15*J15</f>
        <v/>
      </c>
      <c r="L15" s="6" t="n"/>
      <c r="M15" s="76" t="n"/>
      <c r="N15" s="76" t="n"/>
      <c r="O15" s="76" t="n"/>
      <c r="P15" s="76" t="n"/>
      <c r="Q15" s="76" t="n"/>
      <c r="R15" s="76" t="n"/>
      <c r="S15" s="76" t="n"/>
      <c r="T15" s="86" t="n"/>
      <c r="U15" s="76" t="n"/>
      <c r="V15" s="76" t="n"/>
      <c r="W15" s="86" t="n"/>
      <c r="X15" s="76" t="n"/>
      <c r="Y15" s="76" t="n"/>
      <c r="Z15" s="76" t="n"/>
      <c r="AA15" s="76" t="n"/>
    </row>
    <row r="16" ht="20" customFormat="1" customHeight="1" s="20">
      <c r="A16" s="76" t="n"/>
      <c r="B16" s="76" t="n"/>
      <c r="C16" s="6" t="inlineStr">
        <is>
          <t>N4</t>
        </is>
      </c>
      <c r="D16" s="6" t="inlineStr">
        <is>
          <t>Q355MD</t>
        </is>
      </c>
      <c r="E16" s="6" t="n">
        <v>776</v>
      </c>
      <c r="F16" s="6" t="n">
        <v>160</v>
      </c>
      <c r="G16" s="6" t="n">
        <v>20</v>
      </c>
      <c r="H16" s="6" t="n">
        <v>2</v>
      </c>
      <c r="I16" s="83">
        <f>(E16/1000)*(F16/1000)*(G16/1000)*7850*H16</f>
        <v/>
      </c>
      <c r="J16" s="6" t="n">
        <v>32</v>
      </c>
      <c r="K16" s="83">
        <f>I16*J16</f>
        <v/>
      </c>
      <c r="L16" s="6" t="n"/>
      <c r="M16" s="76" t="n"/>
      <c r="N16" s="76" t="n"/>
      <c r="O16" s="76" t="n"/>
      <c r="P16" s="76" t="n"/>
      <c r="Q16" s="76" t="n"/>
      <c r="R16" s="76" t="n"/>
      <c r="S16" s="76" t="n"/>
      <c r="T16" s="86" t="n"/>
      <c r="U16" s="76" t="n"/>
      <c r="V16" s="76" t="n"/>
      <c r="W16" s="86" t="n"/>
      <c r="X16" s="76" t="n"/>
      <c r="Y16" s="76" t="n"/>
      <c r="Z16" s="76" t="n"/>
      <c r="AA16" s="76" t="n"/>
    </row>
    <row r="17" ht="20" customFormat="1" customHeight="1" s="20">
      <c r="A17" s="76" t="n"/>
      <c r="B17" s="76" t="n"/>
      <c r="C17" s="6" t="inlineStr">
        <is>
          <t>N5</t>
        </is>
      </c>
      <c r="D17" s="6" t="inlineStr">
        <is>
          <t>Q355MD</t>
        </is>
      </c>
      <c r="E17" s="6" t="n">
        <v>500</v>
      </c>
      <c r="F17" s="6" t="n">
        <v>240</v>
      </c>
      <c r="G17" s="6" t="n">
        <v>20</v>
      </c>
      <c r="H17" s="6" t="n">
        <v>2</v>
      </c>
      <c r="I17" s="83" t="n">
        <v>33.7</v>
      </c>
      <c r="J17" s="6" t="n">
        <v>32</v>
      </c>
      <c r="K17" s="83">
        <f>I17*J17</f>
        <v/>
      </c>
      <c r="L17" s="6" t="n"/>
      <c r="M17" s="76" t="n"/>
      <c r="N17" s="76" t="n"/>
      <c r="O17" s="76" t="n"/>
      <c r="P17" s="76" t="n"/>
      <c r="Q17" s="76" t="n"/>
      <c r="R17" s="76" t="n"/>
      <c r="S17" s="76" t="n"/>
      <c r="T17" s="86" t="n"/>
      <c r="U17" s="76" t="n"/>
      <c r="V17" s="76" t="n"/>
      <c r="W17" s="86" t="n"/>
      <c r="X17" s="76" t="n"/>
      <c r="Y17" s="76" t="n"/>
      <c r="Z17" s="76" t="n"/>
      <c r="AA17" s="76" t="n"/>
    </row>
    <row r="18" hidden="1" ht="20" customFormat="1" customHeight="1" s="20">
      <c r="A18" s="76" t="n"/>
      <c r="B18" s="76" t="n"/>
      <c r="C18" s="6" t="inlineStr">
        <is>
          <t>N6</t>
        </is>
      </c>
      <c r="D18" s="6" t="inlineStr">
        <is>
          <t>Q355MD</t>
        </is>
      </c>
      <c r="E18" s="6" t="n">
        <v>400</v>
      </c>
      <c r="F18" s="6" t="n">
        <v>400</v>
      </c>
      <c r="G18" s="6" t="n">
        <v>30</v>
      </c>
      <c r="H18" s="6" t="n">
        <v>2</v>
      </c>
      <c r="I18" s="83">
        <f>(E18/1000)*(F18/1000)*(G18/1000)*7850*H18</f>
        <v/>
      </c>
      <c r="J18" s="6" t="n">
        <v>32</v>
      </c>
      <c r="K18" s="83">
        <f>I18*J18</f>
        <v/>
      </c>
      <c r="L18" s="6" t="n"/>
      <c r="M18" s="76" t="n"/>
      <c r="N18" s="76" t="n"/>
      <c r="O18" s="76" t="n"/>
      <c r="P18" s="76" t="n"/>
      <c r="Q18" s="76" t="n"/>
      <c r="R18" s="76" t="n"/>
      <c r="S18" s="76" t="n"/>
      <c r="T18" s="86" t="n"/>
      <c r="U18" s="76" t="n"/>
      <c r="V18" s="76" t="n"/>
      <c r="W18" s="86" t="n"/>
      <c r="X18" s="76" t="n"/>
      <c r="Y18" s="76" t="n"/>
      <c r="Z18" s="76" t="n"/>
      <c r="AA18" s="76" t="n"/>
    </row>
    <row r="19" hidden="1" ht="20" customFormat="1" customHeight="1" s="20">
      <c r="A19" s="76" t="n"/>
      <c r="B19" s="76" t="n"/>
      <c r="C19" s="6" t="inlineStr">
        <is>
          <t>N7</t>
        </is>
      </c>
      <c r="D19" s="6" t="inlineStr">
        <is>
          <t>Q355MD</t>
        </is>
      </c>
      <c r="E19" s="6" t="n">
        <v>800</v>
      </c>
      <c r="F19" s="6" t="n">
        <v>800</v>
      </c>
      <c r="G19" s="6" t="n">
        <v>40</v>
      </c>
      <c r="H19" s="6" t="n">
        <v>1</v>
      </c>
      <c r="I19" s="83">
        <f>(E19/1000)*(F19/1000)*(G19/1000)*7850*H19</f>
        <v/>
      </c>
      <c r="J19" s="6" t="n">
        <v>32</v>
      </c>
      <c r="K19" s="83">
        <f>I19*J19</f>
        <v/>
      </c>
      <c r="L19" s="6" t="n"/>
      <c r="M19" s="76" t="n"/>
      <c r="N19" s="76" t="n"/>
      <c r="O19" s="76" t="n"/>
      <c r="P19" s="76" t="n"/>
      <c r="Q19" s="76" t="n"/>
      <c r="R19" s="76" t="n"/>
      <c r="S19" s="76" t="n"/>
      <c r="T19" s="86" t="n"/>
      <c r="U19" s="76" t="n"/>
      <c r="V19" s="76" t="n"/>
      <c r="W19" s="86" t="n"/>
      <c r="X19" s="76" t="n"/>
      <c r="Y19" s="76" t="n"/>
      <c r="Z19" s="76" t="n"/>
      <c r="AA19" s="76" t="n"/>
    </row>
    <row r="20" hidden="1" ht="20" customFormat="1" customHeight="1" s="20">
      <c r="A20" s="76" t="n"/>
      <c r="B20" s="76" t="n"/>
      <c r="C20" s="6" t="inlineStr">
        <is>
          <t>N8</t>
        </is>
      </c>
      <c r="D20" s="6" t="inlineStr">
        <is>
          <t>Q355MD</t>
        </is>
      </c>
      <c r="E20" s="6" t="n">
        <v>840</v>
      </c>
      <c r="F20" s="6" t="n">
        <v>540</v>
      </c>
      <c r="G20" s="6" t="n">
        <v>12</v>
      </c>
      <c r="H20" s="24" t="n">
        <v>2</v>
      </c>
      <c r="I20" s="83" t="n">
        <v>20.2</v>
      </c>
      <c r="J20" s="6" t="n">
        <v>32</v>
      </c>
      <c r="K20" s="83">
        <f>I20*J20</f>
        <v/>
      </c>
      <c r="L20" s="6" t="inlineStr">
        <is>
          <t>数量有误需设计核实</t>
        </is>
      </c>
      <c r="M20" s="76" t="n"/>
      <c r="N20" s="76" t="n"/>
      <c r="O20" s="76" t="n"/>
      <c r="P20" s="76" t="n"/>
      <c r="Q20" s="76" t="n"/>
      <c r="R20" s="76" t="n"/>
      <c r="S20" s="76" t="n"/>
      <c r="T20" s="86" t="n"/>
      <c r="U20" s="76" t="n"/>
      <c r="V20" s="76" t="n"/>
      <c r="W20" s="86" t="n"/>
      <c r="X20" s="76" t="n"/>
      <c r="Y20" s="76" t="n"/>
      <c r="Z20" s="76" t="n"/>
      <c r="AA20" s="76" t="n"/>
    </row>
    <row r="21" ht="20" customFormat="1" customHeight="1" s="20">
      <c r="A21" s="76" t="n"/>
      <c r="B21" s="76" t="n"/>
      <c r="C21" s="6" t="inlineStr">
        <is>
          <t>N9</t>
        </is>
      </c>
      <c r="D21" s="6" t="inlineStr">
        <is>
          <t>Q355MD</t>
        </is>
      </c>
      <c r="E21" s="6" t="n">
        <v>2718</v>
      </c>
      <c r="F21" s="6" t="n">
        <v>2550</v>
      </c>
      <c r="G21" s="6" t="n">
        <v>20</v>
      </c>
      <c r="H21" s="6" t="n">
        <v>1</v>
      </c>
      <c r="I21" s="83" t="n">
        <v>1033.8</v>
      </c>
      <c r="J21" s="6" t="n">
        <v>32</v>
      </c>
      <c r="K21" s="83">
        <f>I21*J21</f>
        <v/>
      </c>
      <c r="L21" s="6" t="n"/>
      <c r="M21" s="76" t="n"/>
      <c r="N21" s="76" t="n"/>
      <c r="O21" s="76" t="n"/>
      <c r="P21" s="76" t="n"/>
      <c r="Q21" s="76" t="n"/>
      <c r="R21" s="76" t="n"/>
      <c r="S21" s="76" t="n"/>
      <c r="T21" s="86" t="n"/>
      <c r="U21" s="76" t="n"/>
      <c r="V21" s="76" t="n"/>
      <c r="W21" s="86" t="n"/>
      <c r="X21" s="76" t="n"/>
      <c r="Y21" s="76" t="n"/>
      <c r="Z21" s="76" t="n"/>
      <c r="AA21" s="76" t="n"/>
    </row>
    <row r="22" ht="20" customFormat="1" customHeight="1" s="20">
      <c r="A22" s="76" t="n"/>
      <c r="B22" s="76" t="n"/>
      <c r="C22" s="6" t="inlineStr">
        <is>
          <t>N10</t>
        </is>
      </c>
      <c r="D22" s="6" t="inlineStr">
        <is>
          <t>Q355MD</t>
        </is>
      </c>
      <c r="E22" s="6" t="n">
        <v>740</v>
      </c>
      <c r="F22" s="6" t="n">
        <v>785</v>
      </c>
      <c r="G22" s="6" t="n">
        <v>20</v>
      </c>
      <c r="H22" s="6" t="n">
        <v>1</v>
      </c>
      <c r="I22" s="83" t="n">
        <v>270.9</v>
      </c>
      <c r="J22" s="6" t="n">
        <v>32</v>
      </c>
      <c r="K22" s="83">
        <f>I22*J22</f>
        <v/>
      </c>
      <c r="L22" s="6" t="n"/>
      <c r="M22" s="76" t="n"/>
      <c r="N22" s="76" t="n"/>
      <c r="O22" s="76" t="n"/>
      <c r="P22" s="76" t="n"/>
      <c r="Q22" s="76" t="n"/>
      <c r="R22" s="76" t="n"/>
      <c r="S22" s="76" t="n"/>
      <c r="T22" s="86" t="n"/>
      <c r="U22" s="76" t="n"/>
      <c r="V22" s="76" t="n"/>
      <c r="W22" s="86" t="n"/>
      <c r="X22" s="76" t="n"/>
      <c r="Y22" s="76" t="n"/>
      <c r="Z22" s="76" t="n"/>
      <c r="AA22" s="76" t="n"/>
    </row>
    <row r="23" hidden="1" ht="20" customFormat="1" customHeight="1" s="20">
      <c r="A23" s="74" t="n"/>
      <c r="B23" s="6" t="inlineStr">
        <is>
          <t>小计</t>
        </is>
      </c>
      <c r="C23" s="73" t="n"/>
      <c r="D23" s="6" t="n"/>
      <c r="E23" s="6" t="n"/>
      <c r="F23" s="6" t="n"/>
      <c r="G23" s="6" t="n"/>
      <c r="H23" s="6" t="n"/>
      <c r="I23" s="87" t="n"/>
      <c r="J23" s="6" t="n"/>
      <c r="K23" s="83">
        <f>SUM(K4:K22)</f>
        <v/>
      </c>
      <c r="L23" s="6" t="n"/>
      <c r="M23" s="74" t="n"/>
      <c r="N23" s="74" t="n"/>
      <c r="O23" s="74" t="n"/>
      <c r="P23" s="74" t="n"/>
      <c r="Q23" s="74" t="n"/>
      <c r="R23" s="74" t="n"/>
      <c r="S23" s="74" t="n"/>
      <c r="T23" s="88" t="n"/>
      <c r="U23" s="74" t="n"/>
      <c r="V23" s="74" t="n"/>
      <c r="W23" s="88" t="n"/>
      <c r="X23" s="74" t="n"/>
      <c r="Y23" s="74" t="n"/>
      <c r="Z23" s="74" t="n"/>
      <c r="AA23" s="74" t="n"/>
    </row>
    <row r="24" ht="20" customFormat="1" customHeight="1" s="20">
      <c r="A24" s="6" t="inlineStr">
        <is>
          <t>横隔板</t>
        </is>
      </c>
      <c r="B24" s="5" t="inlineStr">
        <is>
          <t>T1上层挑梁</t>
        </is>
      </c>
      <c r="C24" s="6" t="inlineStr">
        <is>
          <t>N1T</t>
        </is>
      </c>
      <c r="D24" s="6" t="inlineStr">
        <is>
          <t>Q355MD</t>
        </is>
      </c>
      <c r="E24" s="6" t="n">
        <v>1109</v>
      </c>
      <c r="F24" s="6" t="n">
        <v>575</v>
      </c>
      <c r="G24" s="6" t="n">
        <v>20</v>
      </c>
      <c r="H24" s="6" t="n">
        <v>1</v>
      </c>
      <c r="I24" s="83" t="n">
        <v>65.3</v>
      </c>
      <c r="J24" s="6" t="n">
        <v>4</v>
      </c>
      <c r="K24" s="83">
        <f>I24*J24</f>
        <v/>
      </c>
      <c r="L24" s="6" t="n"/>
      <c r="M24" s="4">
        <f>B24</f>
        <v/>
      </c>
      <c r="N24" s="4">
        <f>K26</f>
        <v/>
      </c>
      <c r="O24" s="4" t="n"/>
      <c r="P24" s="4" t="n"/>
      <c r="Q24" s="4">
        <f>K27+K28</f>
        <v/>
      </c>
      <c r="R24" s="4">
        <f>K24+K25</f>
        <v/>
      </c>
      <c r="S24" s="4" t="n"/>
      <c r="T24" s="10" t="n"/>
      <c r="U24" s="4" t="n"/>
      <c r="V24" s="4" t="n"/>
      <c r="W24" s="10" t="n"/>
      <c r="X24" s="4">
        <f>SUM(N24:V24)</f>
        <v/>
      </c>
      <c r="Y24" s="4" t="n">
        <v>1532.1</v>
      </c>
      <c r="Z24" s="88">
        <f>X24-Y24</f>
        <v/>
      </c>
      <c r="AA24" s="4" t="n"/>
    </row>
    <row r="25" ht="20" customFormat="1" customHeight="1" s="20">
      <c r="A25" s="76" t="n"/>
      <c r="B25" s="76" t="n"/>
      <c r="C25" s="6" t="inlineStr">
        <is>
          <t>N2T</t>
        </is>
      </c>
      <c r="D25" s="6" t="inlineStr">
        <is>
          <t>Q355MD</t>
        </is>
      </c>
      <c r="E25" s="6" t="n">
        <v>1790</v>
      </c>
      <c r="F25" s="6" t="n">
        <v>825</v>
      </c>
      <c r="G25" s="6" t="n">
        <v>20</v>
      </c>
      <c r="H25" s="6" t="n">
        <v>1</v>
      </c>
      <c r="I25" s="83" t="n">
        <v>231.8</v>
      </c>
      <c r="J25" s="6" t="n">
        <v>4</v>
      </c>
      <c r="K25" s="83">
        <f>I25*J25</f>
        <v/>
      </c>
      <c r="L25" s="6" t="n"/>
      <c r="M25" s="76" t="n"/>
      <c r="N25" s="76" t="n"/>
      <c r="O25" s="76" t="n"/>
      <c r="P25" s="76" t="n"/>
      <c r="Q25" s="76" t="n"/>
      <c r="R25" s="76" t="n"/>
      <c r="S25" s="76" t="n"/>
      <c r="T25" s="10" t="n"/>
      <c r="U25" s="76" t="n"/>
      <c r="V25" s="76" t="n"/>
      <c r="W25" s="10" t="n"/>
      <c r="X25" s="76" t="n"/>
      <c r="Y25" s="76" t="n"/>
      <c r="Z25" s="76" t="n"/>
      <c r="AA25" s="76" t="n"/>
    </row>
    <row r="26" hidden="1" ht="20" customFormat="1" customHeight="1" s="20">
      <c r="A26" s="76" t="n"/>
      <c r="B26" s="76" t="n"/>
      <c r="C26" s="6" t="inlineStr">
        <is>
          <t>N3T</t>
        </is>
      </c>
      <c r="D26" s="6" t="inlineStr">
        <is>
          <t>Q355MD</t>
        </is>
      </c>
      <c r="E26" s="6" t="n">
        <v>1161</v>
      </c>
      <c r="F26" s="6" t="n">
        <v>300</v>
      </c>
      <c r="G26" s="6" t="n">
        <v>10</v>
      </c>
      <c r="H26" s="6" t="n">
        <v>1</v>
      </c>
      <c r="I26" s="83" t="n">
        <v>27.3</v>
      </c>
      <c r="J26" s="6" t="n">
        <v>4</v>
      </c>
      <c r="K26" s="83">
        <f>I26*J26</f>
        <v/>
      </c>
      <c r="L26" s="6" t="n"/>
      <c r="M26" s="76" t="n"/>
      <c r="N26" s="76" t="n"/>
      <c r="O26" s="76" t="n"/>
      <c r="P26" s="76" t="n"/>
      <c r="Q26" s="76" t="n"/>
      <c r="R26" s="76" t="n"/>
      <c r="S26" s="76" t="n"/>
      <c r="T26" s="10" t="n"/>
      <c r="U26" s="76" t="n"/>
      <c r="V26" s="76" t="n"/>
      <c r="W26" s="10" t="n"/>
      <c r="X26" s="76" t="n"/>
      <c r="Y26" s="76" t="n"/>
      <c r="Z26" s="76" t="n"/>
      <c r="AA26" s="76" t="n"/>
    </row>
    <row r="27" hidden="1" ht="20" customFormat="1" customHeight="1" s="20">
      <c r="A27" s="76" t="n"/>
      <c r="B27" s="76" t="n"/>
      <c r="C27" s="6" t="inlineStr">
        <is>
          <t>N4T</t>
        </is>
      </c>
      <c r="D27" s="6" t="inlineStr">
        <is>
          <t>Q355MD</t>
        </is>
      </c>
      <c r="E27" s="6" t="n">
        <v>1234</v>
      </c>
      <c r="F27" s="6" t="n">
        <v>160</v>
      </c>
      <c r="G27" s="6" t="n">
        <v>16</v>
      </c>
      <c r="H27" s="6" t="n">
        <v>2</v>
      </c>
      <c r="I27" s="83" t="n">
        <v>49.6</v>
      </c>
      <c r="J27" s="6" t="n">
        <v>4</v>
      </c>
      <c r="K27" s="83">
        <f>I27*J27</f>
        <v/>
      </c>
      <c r="L27" s="6" t="n"/>
      <c r="M27" s="76" t="n"/>
      <c r="N27" s="76" t="n"/>
      <c r="O27" s="76" t="n"/>
      <c r="P27" s="76" t="n"/>
      <c r="Q27" s="76" t="n"/>
      <c r="R27" s="76" t="n"/>
      <c r="S27" s="76" t="n"/>
      <c r="T27" s="10" t="n"/>
      <c r="U27" s="76" t="n"/>
      <c r="V27" s="76" t="n"/>
      <c r="W27" s="10" t="n"/>
      <c r="X27" s="76" t="n"/>
      <c r="Y27" s="76" t="n"/>
      <c r="Z27" s="76" t="n"/>
      <c r="AA27" s="76" t="n"/>
    </row>
    <row r="28" hidden="1" ht="20" customFormat="1" customHeight="1" s="20">
      <c r="A28" s="76" t="n"/>
      <c r="B28" s="76" t="n"/>
      <c r="C28" s="6" t="inlineStr">
        <is>
          <t>N4Ta</t>
        </is>
      </c>
      <c r="D28" s="6" t="inlineStr">
        <is>
          <t>Q355MD</t>
        </is>
      </c>
      <c r="E28" s="6" t="n">
        <v>444</v>
      </c>
      <c r="F28" s="6" t="n">
        <v>160</v>
      </c>
      <c r="G28" s="6" t="n">
        <v>16</v>
      </c>
      <c r="H28" s="24" t="n">
        <v>1</v>
      </c>
      <c r="I28" s="83" t="n">
        <v>8.9</v>
      </c>
      <c r="J28" s="6" t="n">
        <v>4</v>
      </c>
      <c r="K28" s="83">
        <f>I28*J28</f>
        <v/>
      </c>
      <c r="L28" s="6" t="inlineStr">
        <is>
          <t>数量有误需设计核实</t>
        </is>
      </c>
      <c r="M28" s="76" t="n"/>
      <c r="N28" s="76" t="n"/>
      <c r="O28" s="76" t="n"/>
      <c r="P28" s="76" t="n"/>
      <c r="Q28" s="76" t="n"/>
      <c r="R28" s="76" t="n"/>
      <c r="S28" s="76" t="n"/>
      <c r="T28" s="10" t="n"/>
      <c r="U28" s="76" t="n"/>
      <c r="V28" s="76" t="n"/>
      <c r="W28" s="10" t="n"/>
      <c r="X28" s="76" t="n"/>
      <c r="Y28" s="76" t="n"/>
      <c r="Z28" s="76" t="n"/>
      <c r="AA28" s="76" t="n"/>
    </row>
    <row r="29" hidden="1" ht="20" customFormat="1" customHeight="1" s="20">
      <c r="A29" s="74" t="n"/>
      <c r="B29" s="6" t="inlineStr">
        <is>
          <t>小计</t>
        </is>
      </c>
      <c r="C29" s="73" t="n"/>
      <c r="D29" s="6" t="n"/>
      <c r="E29" s="6" t="n"/>
      <c r="F29" s="6" t="n"/>
      <c r="G29" s="6" t="n"/>
      <c r="H29" s="6" t="n"/>
      <c r="I29" s="87" t="n"/>
      <c r="J29" s="6" t="n"/>
      <c r="K29" s="83">
        <f>SUM(K24:K28)</f>
        <v/>
      </c>
      <c r="L29" s="6" t="n"/>
      <c r="M29" s="74" t="n"/>
      <c r="N29" s="74" t="n"/>
      <c r="O29" s="74" t="n"/>
      <c r="P29" s="74" t="n"/>
      <c r="Q29" s="74" t="n"/>
      <c r="R29" s="74" t="n"/>
      <c r="S29" s="74" t="n"/>
      <c r="T29" s="4" t="n"/>
      <c r="U29" s="74" t="n"/>
      <c r="V29" s="74" t="n"/>
      <c r="W29" s="4" t="n"/>
      <c r="X29" s="74" t="n"/>
      <c r="Y29" s="74" t="n"/>
      <c r="Z29" s="74" t="n"/>
      <c r="AA29" s="74" t="n"/>
    </row>
    <row r="30" ht="20" customFormat="1" customHeight="1" s="20">
      <c r="A30" s="6" t="inlineStr">
        <is>
          <t>横隔板</t>
        </is>
      </c>
      <c r="B30" s="5" t="inlineStr">
        <is>
          <t>T2上层挑梁</t>
        </is>
      </c>
      <c r="C30" s="6" t="inlineStr">
        <is>
          <t>N1</t>
        </is>
      </c>
      <c r="D30" s="6" t="inlineStr">
        <is>
          <t>Q355MD</t>
        </is>
      </c>
      <c r="E30" s="6" t="n">
        <v>1109</v>
      </c>
      <c r="F30" s="6" t="n">
        <v>575</v>
      </c>
      <c r="G30" s="6" t="n">
        <v>20</v>
      </c>
      <c r="H30" s="6" t="n">
        <v>1</v>
      </c>
      <c r="I30" s="83" t="n">
        <v>59.4</v>
      </c>
      <c r="J30" s="6" t="n">
        <v>4</v>
      </c>
      <c r="K30" s="83">
        <f>I30*J30</f>
        <v/>
      </c>
      <c r="L30" s="6" t="n"/>
      <c r="M30" s="4">
        <f>B30</f>
        <v/>
      </c>
      <c r="N30" s="4">
        <f>K32</f>
        <v/>
      </c>
      <c r="O30" s="4" t="n"/>
      <c r="P30" s="4" t="n"/>
      <c r="Q30" s="4">
        <f>K33+K34</f>
        <v/>
      </c>
      <c r="R30" s="4">
        <f>K30+K31</f>
        <v/>
      </c>
      <c r="S30" s="4" t="n"/>
      <c r="T30" s="10" t="n"/>
      <c r="U30" s="4" t="n"/>
      <c r="V30" s="4" t="n"/>
      <c r="W30" s="10" t="n"/>
      <c r="X30" s="4">
        <f>SUM(N30:V30)</f>
        <v/>
      </c>
      <c r="Y30" s="4" t="n">
        <v>1387.5</v>
      </c>
      <c r="Z30" s="88">
        <f>X30-Y30</f>
        <v/>
      </c>
      <c r="AA30" s="4" t="n"/>
    </row>
    <row r="31" ht="20" customFormat="1" customHeight="1" s="20">
      <c r="A31" s="76" t="n"/>
      <c r="B31" s="76" t="n"/>
      <c r="C31" s="6" t="inlineStr">
        <is>
          <t>N2</t>
        </is>
      </c>
      <c r="D31" s="6" t="inlineStr">
        <is>
          <t>Q355MD</t>
        </is>
      </c>
      <c r="E31" s="6" t="n">
        <v>1790</v>
      </c>
      <c r="F31" s="6" t="n">
        <v>725</v>
      </c>
      <c r="G31" s="6" t="n">
        <v>20</v>
      </c>
      <c r="H31" s="6" t="n">
        <v>1</v>
      </c>
      <c r="I31" s="83" t="n">
        <v>203.7</v>
      </c>
      <c r="J31" s="6" t="n">
        <v>4</v>
      </c>
      <c r="K31" s="83">
        <f>I31*J31</f>
        <v/>
      </c>
      <c r="L31" s="6" t="n"/>
      <c r="M31" s="76" t="n"/>
      <c r="N31" s="76" t="n"/>
      <c r="O31" s="76" t="n"/>
      <c r="P31" s="76" t="n"/>
      <c r="Q31" s="76" t="n"/>
      <c r="R31" s="76" t="n"/>
      <c r="S31" s="76" t="n"/>
      <c r="T31" s="10" t="n"/>
      <c r="U31" s="76" t="n"/>
      <c r="V31" s="76" t="n"/>
      <c r="W31" s="10" t="n"/>
      <c r="X31" s="76" t="n"/>
      <c r="Y31" s="76" t="n"/>
      <c r="Z31" s="76" t="n"/>
      <c r="AA31" s="76" t="n"/>
    </row>
    <row r="32" hidden="1" ht="20" customFormat="1" customHeight="1" s="20">
      <c r="A32" s="76" t="n"/>
      <c r="B32" s="76" t="n"/>
      <c r="C32" s="6" t="inlineStr">
        <is>
          <t>N3</t>
        </is>
      </c>
      <c r="D32" s="6" t="inlineStr">
        <is>
          <t>Q355MD</t>
        </is>
      </c>
      <c r="E32" s="6" t="n">
        <v>1071</v>
      </c>
      <c r="F32" s="6" t="n">
        <v>300</v>
      </c>
      <c r="G32" s="6" t="n">
        <v>10</v>
      </c>
      <c r="H32" s="6" t="n">
        <v>1</v>
      </c>
      <c r="I32" s="83" t="n">
        <v>25.2</v>
      </c>
      <c r="J32" s="6" t="n">
        <v>4</v>
      </c>
      <c r="K32" s="83">
        <f>I32*J32</f>
        <v/>
      </c>
      <c r="L32" s="6" t="n"/>
      <c r="M32" s="76" t="n"/>
      <c r="N32" s="76" t="n"/>
      <c r="O32" s="76" t="n"/>
      <c r="P32" s="76" t="n"/>
      <c r="Q32" s="76" t="n"/>
      <c r="R32" s="76" t="n"/>
      <c r="S32" s="76" t="n"/>
      <c r="T32" s="10" t="n"/>
      <c r="U32" s="76" t="n"/>
      <c r="V32" s="76" t="n"/>
      <c r="W32" s="10" t="n"/>
      <c r="X32" s="76" t="n"/>
      <c r="Y32" s="76" t="n"/>
      <c r="Z32" s="76" t="n"/>
      <c r="AA32" s="76" t="n"/>
    </row>
    <row r="33" hidden="1" ht="20" customFormat="1" customHeight="1" s="20">
      <c r="A33" s="76" t="n"/>
      <c r="B33" s="76" t="n"/>
      <c r="C33" s="6" t="inlineStr">
        <is>
          <t>N4</t>
        </is>
      </c>
      <c r="D33" s="6" t="inlineStr">
        <is>
          <t>Q355MD</t>
        </is>
      </c>
      <c r="E33" s="6" t="n">
        <v>1234</v>
      </c>
      <c r="F33" s="6" t="n">
        <v>160</v>
      </c>
      <c r="G33" s="6" t="n">
        <v>16</v>
      </c>
      <c r="H33" s="6" t="n">
        <v>2</v>
      </c>
      <c r="I33" s="83" t="n">
        <v>49.6</v>
      </c>
      <c r="J33" s="6" t="n">
        <v>4</v>
      </c>
      <c r="K33" s="83">
        <f>I33*J33</f>
        <v/>
      </c>
      <c r="L33" s="6" t="n"/>
      <c r="M33" s="76" t="n"/>
      <c r="N33" s="76" t="n"/>
      <c r="O33" s="76" t="n"/>
      <c r="P33" s="76" t="n"/>
      <c r="Q33" s="76" t="n"/>
      <c r="R33" s="76" t="n"/>
      <c r="S33" s="76" t="n"/>
      <c r="T33" s="10" t="n"/>
      <c r="U33" s="76" t="n"/>
      <c r="V33" s="76" t="n"/>
      <c r="W33" s="10" t="n"/>
      <c r="X33" s="76" t="n"/>
      <c r="Y33" s="76" t="n"/>
      <c r="Z33" s="76" t="n"/>
      <c r="AA33" s="76" t="n"/>
    </row>
    <row r="34" hidden="1" ht="20" customFormat="1" customHeight="1" s="20">
      <c r="A34" s="76" t="n"/>
      <c r="B34" s="76" t="n"/>
      <c r="C34" s="6" t="inlineStr">
        <is>
          <t>N4a</t>
        </is>
      </c>
      <c r="D34" s="6" t="inlineStr">
        <is>
          <t>Q355MD</t>
        </is>
      </c>
      <c r="E34" s="6" t="n">
        <v>444</v>
      </c>
      <c r="F34" s="6" t="n">
        <v>160</v>
      </c>
      <c r="G34" s="6" t="n">
        <v>16</v>
      </c>
      <c r="H34" s="24" t="n">
        <v>1</v>
      </c>
      <c r="I34" s="83" t="n">
        <v>8.9</v>
      </c>
      <c r="J34" s="6" t="n">
        <v>4</v>
      </c>
      <c r="K34" s="83">
        <f>I34*J34</f>
        <v/>
      </c>
      <c r="L34" s="6" t="inlineStr">
        <is>
          <t>数量有误需设计核实</t>
        </is>
      </c>
      <c r="M34" s="76" t="n"/>
      <c r="N34" s="76" t="n"/>
      <c r="O34" s="76" t="n"/>
      <c r="P34" s="76" t="n"/>
      <c r="Q34" s="76" t="n"/>
      <c r="R34" s="76" t="n"/>
      <c r="S34" s="76" t="n"/>
      <c r="T34" s="10" t="n"/>
      <c r="U34" s="76" t="n"/>
      <c r="V34" s="76" t="n"/>
      <c r="W34" s="10" t="n"/>
      <c r="X34" s="76" t="n"/>
      <c r="Y34" s="76" t="n"/>
      <c r="Z34" s="76" t="n"/>
      <c r="AA34" s="76" t="n"/>
    </row>
    <row r="35" hidden="1" ht="20" customFormat="1" customHeight="1" s="20">
      <c r="A35" s="74" t="n"/>
      <c r="B35" s="6" t="inlineStr">
        <is>
          <t>小计</t>
        </is>
      </c>
      <c r="C35" s="73" t="n"/>
      <c r="D35" s="6" t="n"/>
      <c r="E35" s="6" t="n"/>
      <c r="F35" s="6" t="n"/>
      <c r="G35" s="6" t="n"/>
      <c r="H35" s="6" t="n"/>
      <c r="I35" s="87" t="n"/>
      <c r="J35" s="6" t="n"/>
      <c r="K35" s="83">
        <f>SUM(K30:K34)</f>
        <v/>
      </c>
      <c r="L35" s="6" t="n"/>
      <c r="M35" s="74" t="n"/>
      <c r="N35" s="74" t="n"/>
      <c r="O35" s="74" t="n"/>
      <c r="P35" s="74" t="n"/>
      <c r="Q35" s="74" t="n"/>
      <c r="R35" s="74" t="n"/>
      <c r="S35" s="74" t="n"/>
      <c r="T35" s="4" t="n"/>
      <c r="U35" s="74" t="n"/>
      <c r="V35" s="74" t="n"/>
      <c r="W35" s="4" t="n"/>
      <c r="X35" s="74" t="n"/>
      <c r="Y35" s="74" t="n"/>
      <c r="Z35" s="74" t="n"/>
      <c r="AA35" s="74" t="n"/>
    </row>
    <row r="36" ht="20" customFormat="1" customHeight="1" s="20">
      <c r="A36" s="6" t="inlineStr">
        <is>
          <t>横隔板</t>
        </is>
      </c>
      <c r="B36" s="5" t="inlineStr">
        <is>
          <t>T3下层挑梁</t>
        </is>
      </c>
      <c r="C36" s="6" t="inlineStr">
        <is>
          <t>N1'</t>
        </is>
      </c>
      <c r="D36" s="6" t="inlineStr">
        <is>
          <t>Q355MD</t>
        </is>
      </c>
      <c r="E36" s="6" t="n">
        <v>634</v>
      </c>
      <c r="F36" s="6" t="n">
        <v>575</v>
      </c>
      <c r="G36" s="6" t="n">
        <v>20</v>
      </c>
      <c r="H36" s="6" t="n">
        <v>1</v>
      </c>
      <c r="I36" s="83" t="n">
        <v>37.2</v>
      </c>
      <c r="J36" s="6" t="n">
        <v>8</v>
      </c>
      <c r="K36" s="83">
        <f>I36*J36</f>
        <v/>
      </c>
      <c r="L36" s="6" t="n"/>
      <c r="M36" s="4">
        <f>B36</f>
        <v/>
      </c>
      <c r="N36" s="4">
        <f>K38</f>
        <v/>
      </c>
      <c r="O36" s="4" t="n"/>
      <c r="P36" s="4" t="n"/>
      <c r="Q36" s="4">
        <f>K39+K40</f>
        <v/>
      </c>
      <c r="R36" s="4">
        <f>K36+K37</f>
        <v/>
      </c>
      <c r="S36" s="4" t="n"/>
      <c r="T36" s="10" t="n"/>
      <c r="U36" s="4" t="n"/>
      <c r="V36" s="4" t="n"/>
      <c r="W36" s="10" t="n"/>
      <c r="X36" s="4">
        <f>SUM(N36:V36)</f>
        <v/>
      </c>
      <c r="Y36" s="4" t="n">
        <v>1492.9</v>
      </c>
      <c r="Z36" s="88">
        <f>X36-Y36</f>
        <v/>
      </c>
      <c r="AA36" s="4" t="n"/>
    </row>
    <row r="37" ht="20" customFormat="1" customHeight="1" s="20">
      <c r="A37" s="76" t="n"/>
      <c r="B37" s="76" t="n"/>
      <c r="C37" s="6" t="inlineStr">
        <is>
          <t>N2'</t>
        </is>
      </c>
      <c r="D37" s="6" t="inlineStr">
        <is>
          <t>Q355MD</t>
        </is>
      </c>
      <c r="E37" s="6" t="n">
        <v>1790</v>
      </c>
      <c r="F37" s="6" t="n">
        <v>350</v>
      </c>
      <c r="G37" s="6" t="n">
        <v>20</v>
      </c>
      <c r="H37" s="6" t="n">
        <v>1</v>
      </c>
      <c r="I37" s="83" t="n">
        <v>98.40000000000001</v>
      </c>
      <c r="J37" s="6" t="n">
        <v>8</v>
      </c>
      <c r="K37" s="83">
        <f>I37*J37</f>
        <v/>
      </c>
      <c r="L37" s="6" t="n"/>
      <c r="M37" s="76" t="n"/>
      <c r="N37" s="76" t="n"/>
      <c r="O37" s="76" t="n"/>
      <c r="P37" s="76" t="n"/>
      <c r="Q37" s="76" t="n"/>
      <c r="R37" s="76" t="n"/>
      <c r="S37" s="76" t="n"/>
      <c r="T37" s="10" t="n"/>
      <c r="U37" s="76" t="n"/>
      <c r="V37" s="76" t="n"/>
      <c r="W37" s="10" t="n"/>
      <c r="X37" s="76" t="n"/>
      <c r="Y37" s="76" t="n"/>
      <c r="Z37" s="76" t="n"/>
      <c r="AA37" s="76" t="n"/>
    </row>
    <row r="38" hidden="1" ht="20" customFormat="1" customHeight="1" s="20">
      <c r="A38" s="76" t="n"/>
      <c r="B38" s="76" t="n"/>
      <c r="C38" s="6" t="inlineStr">
        <is>
          <t>N3'</t>
        </is>
      </c>
      <c r="D38" s="6" t="inlineStr">
        <is>
          <t>Q355MD</t>
        </is>
      </c>
      <c r="E38" s="6" t="n">
        <v>738</v>
      </c>
      <c r="F38" s="6" t="n">
        <v>300</v>
      </c>
      <c r="G38" s="6" t="n">
        <v>10</v>
      </c>
      <c r="H38" s="6" t="n">
        <v>1</v>
      </c>
      <c r="I38" s="83" t="n">
        <v>17.4</v>
      </c>
      <c r="J38" s="6" t="n">
        <v>8</v>
      </c>
      <c r="K38" s="83">
        <f>I38*J38</f>
        <v/>
      </c>
      <c r="L38" s="6" t="n"/>
      <c r="M38" s="76" t="n"/>
      <c r="N38" s="76" t="n"/>
      <c r="O38" s="76" t="n"/>
      <c r="P38" s="76" t="n"/>
      <c r="Q38" s="76" t="n"/>
      <c r="R38" s="76" t="n"/>
      <c r="S38" s="76" t="n"/>
      <c r="T38" s="10" t="n"/>
      <c r="U38" s="76" t="n"/>
      <c r="V38" s="76" t="n"/>
      <c r="W38" s="10" t="n"/>
      <c r="X38" s="76" t="n"/>
      <c r="Y38" s="76" t="n"/>
      <c r="Z38" s="76" t="n"/>
      <c r="AA38" s="76" t="n"/>
    </row>
    <row r="39" hidden="1" ht="20" customFormat="1" customHeight="1" s="20">
      <c r="A39" s="76" t="n"/>
      <c r="B39" s="76" t="n"/>
      <c r="C39" s="6" t="inlineStr">
        <is>
          <t>N4'</t>
        </is>
      </c>
      <c r="D39" s="6" t="inlineStr">
        <is>
          <t>Q355MD</t>
        </is>
      </c>
      <c r="E39" s="6" t="n">
        <v>1234</v>
      </c>
      <c r="F39" s="6" t="n">
        <v>160</v>
      </c>
      <c r="G39" s="6" t="n">
        <v>16</v>
      </c>
      <c r="H39" s="6" t="n">
        <v>1</v>
      </c>
      <c r="I39" s="83" t="n">
        <v>24.8</v>
      </c>
      <c r="J39" s="6" t="n">
        <v>8</v>
      </c>
      <c r="K39" s="83">
        <f>I39*J39</f>
        <v/>
      </c>
      <c r="L39" s="6" t="n"/>
      <c r="M39" s="76" t="n"/>
      <c r="N39" s="76" t="n"/>
      <c r="O39" s="76" t="n"/>
      <c r="P39" s="76" t="n"/>
      <c r="Q39" s="76" t="n"/>
      <c r="R39" s="76" t="n"/>
      <c r="S39" s="76" t="n"/>
      <c r="T39" s="10" t="n"/>
      <c r="U39" s="76" t="n"/>
      <c r="V39" s="76" t="n"/>
      <c r="W39" s="10" t="n"/>
      <c r="X39" s="76" t="n"/>
      <c r="Y39" s="76" t="n"/>
      <c r="Z39" s="76" t="n"/>
      <c r="AA39" s="76" t="n"/>
    </row>
    <row r="40" hidden="1" ht="20" customFormat="1" customHeight="1" s="20">
      <c r="A40" s="76" t="n"/>
      <c r="B40" s="76" t="n"/>
      <c r="C40" s="6" t="inlineStr">
        <is>
          <t>N4a'</t>
        </is>
      </c>
      <c r="D40" s="6" t="inlineStr">
        <is>
          <t>Q355MD</t>
        </is>
      </c>
      <c r="E40" s="6" t="n">
        <v>444</v>
      </c>
      <c r="F40" s="6" t="n">
        <v>160</v>
      </c>
      <c r="G40" s="6" t="n">
        <v>16</v>
      </c>
      <c r="H40" s="6" t="n">
        <v>1</v>
      </c>
      <c r="I40" s="83" t="n">
        <v>8.9</v>
      </c>
      <c r="J40" s="6" t="n">
        <v>8</v>
      </c>
      <c r="K40" s="83">
        <f>I40*J40</f>
        <v/>
      </c>
      <c r="L40" s="6" t="n"/>
      <c r="M40" s="76" t="n"/>
      <c r="N40" s="76" t="n"/>
      <c r="O40" s="76" t="n"/>
      <c r="P40" s="76" t="n"/>
      <c r="Q40" s="76" t="n"/>
      <c r="R40" s="76" t="n"/>
      <c r="S40" s="76" t="n"/>
      <c r="T40" s="10" t="n"/>
      <c r="U40" s="76" t="n"/>
      <c r="V40" s="76" t="n"/>
      <c r="W40" s="10" t="n"/>
      <c r="X40" s="76" t="n"/>
      <c r="Y40" s="76" t="n"/>
      <c r="Z40" s="76" t="n"/>
      <c r="AA40" s="76" t="n"/>
    </row>
    <row r="41" hidden="1" ht="20" customFormat="1" customHeight="1" s="20">
      <c r="A41" s="74" t="n"/>
      <c r="B41" s="6" t="inlineStr">
        <is>
          <t>小计</t>
        </is>
      </c>
      <c r="C41" s="73" t="n"/>
      <c r="D41" s="6" t="n"/>
      <c r="E41" s="6" t="n"/>
      <c r="F41" s="6" t="n"/>
      <c r="G41" s="6" t="n"/>
      <c r="H41" s="6" t="n"/>
      <c r="I41" s="87" t="n"/>
      <c r="J41" s="6" t="n"/>
      <c r="K41" s="83">
        <f>SUM(K36:K40)</f>
        <v/>
      </c>
      <c r="L41" s="6" t="n"/>
      <c r="M41" s="74" t="n"/>
      <c r="N41" s="74" t="n"/>
      <c r="O41" s="74" t="n"/>
      <c r="P41" s="74" t="n"/>
      <c r="Q41" s="74" t="n"/>
      <c r="R41" s="74" t="n"/>
      <c r="S41" s="74" t="n"/>
      <c r="T41" s="4" t="n"/>
      <c r="U41" s="74" t="n"/>
      <c r="V41" s="74" t="n"/>
      <c r="W41" s="4" t="n"/>
      <c r="X41" s="74" t="n"/>
      <c r="Y41" s="74" t="n"/>
      <c r="Z41" s="74" t="n"/>
      <c r="AA41" s="74" t="n"/>
    </row>
    <row r="42" ht="20" customFormat="1" customHeight="1" s="20">
      <c r="A42" s="6" t="inlineStr">
        <is>
          <t>横隔板</t>
        </is>
      </c>
      <c r="B42" s="5" t="inlineStr">
        <is>
          <t>Z2支点横梁</t>
        </is>
      </c>
      <c r="C42" s="6" t="inlineStr">
        <is>
          <t>N1</t>
        </is>
      </c>
      <c r="D42" s="6" t="inlineStr">
        <is>
          <t>Q355MD</t>
        </is>
      </c>
      <c r="E42" s="6" t="n">
        <v>1759</v>
      </c>
      <c r="F42" s="6" t="n">
        <v>600</v>
      </c>
      <c r="G42" s="6" t="n">
        <v>20</v>
      </c>
      <c r="H42" s="6" t="n">
        <v>1</v>
      </c>
      <c r="I42" s="83">
        <f>165.7*H42</f>
        <v/>
      </c>
      <c r="J42" s="6" t="n">
        <v>16</v>
      </c>
      <c r="K42" s="83">
        <f>I42*J42</f>
        <v/>
      </c>
      <c r="L42" s="6" t="n"/>
      <c r="M42" s="4">
        <f>B42</f>
        <v/>
      </c>
      <c r="N42" s="4" t="n"/>
      <c r="O42" s="4">
        <f>K50</f>
        <v/>
      </c>
      <c r="P42" s="4" t="n"/>
      <c r="Q42" s="4" t="n"/>
      <c r="R42" s="4">
        <f>K42+K48</f>
        <v/>
      </c>
      <c r="S42" s="4">
        <f>K44+K45+K46+K47+K49</f>
        <v/>
      </c>
      <c r="T42" s="4">
        <f>K43</f>
        <v/>
      </c>
      <c r="U42" s="4" t="n"/>
      <c r="V42" s="4">
        <f>K51</f>
        <v/>
      </c>
      <c r="W42" s="4">
        <f>K52</f>
        <v/>
      </c>
      <c r="X42" s="4">
        <f>SUM(N42:W53)</f>
        <v/>
      </c>
      <c r="Y42" s="4">
        <f>56228.4-831</f>
        <v/>
      </c>
      <c r="Z42" s="88">
        <f>X42-Y42</f>
        <v/>
      </c>
      <c r="AA42" s="4" t="n"/>
    </row>
    <row r="43" hidden="1" ht="20" customFormat="1" customHeight="1" s="20">
      <c r="A43" s="76" t="n"/>
      <c r="B43" s="76" t="n"/>
      <c r="C43" s="6" t="inlineStr">
        <is>
          <t>N2</t>
        </is>
      </c>
      <c r="D43" s="6" t="inlineStr">
        <is>
          <t>Q355MD</t>
        </is>
      </c>
      <c r="E43" s="6" t="n"/>
      <c r="F43" s="6" t="n"/>
      <c r="G43" s="6" t="n">
        <v>28</v>
      </c>
      <c r="H43" s="6" t="n">
        <v>1</v>
      </c>
      <c r="I43" s="83" t="n">
        <v>1444.6</v>
      </c>
      <c r="J43" s="6" t="n">
        <v>16</v>
      </c>
      <c r="K43" s="83">
        <f>I43*J43</f>
        <v/>
      </c>
      <c r="L43" s="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</row>
    <row r="44" hidden="1" ht="20" customFormat="1" customHeight="1" s="20">
      <c r="A44" s="76" t="n"/>
      <c r="B44" s="76" t="n"/>
      <c r="C44" s="6" t="inlineStr">
        <is>
          <t>N3</t>
        </is>
      </c>
      <c r="D44" s="6" t="inlineStr">
        <is>
          <t>Q355MD</t>
        </is>
      </c>
      <c r="E44" s="6" t="n"/>
      <c r="F44" s="6" t="n"/>
      <c r="G44" s="6" t="n">
        <v>24</v>
      </c>
      <c r="H44" s="6" t="n">
        <v>2</v>
      </c>
      <c r="I44" s="83" t="n">
        <v>297.7</v>
      </c>
      <c r="J44" s="6" t="n">
        <v>16</v>
      </c>
      <c r="K44" s="83">
        <f>I44*J44</f>
        <v/>
      </c>
      <c r="L44" s="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</row>
    <row r="45" hidden="1" ht="20" customFormat="1" customHeight="1" s="20">
      <c r="A45" s="76" t="n"/>
      <c r="B45" s="76" t="n"/>
      <c r="C45" s="6" t="inlineStr">
        <is>
          <t>N3a</t>
        </is>
      </c>
      <c r="D45" s="6" t="inlineStr">
        <is>
          <t>Q355MD</t>
        </is>
      </c>
      <c r="E45" s="6" t="n"/>
      <c r="F45" s="6" t="n"/>
      <c r="G45" s="6" t="n">
        <v>24</v>
      </c>
      <c r="H45" s="6" t="n">
        <v>2</v>
      </c>
      <c r="I45" s="83" t="n">
        <v>298.8</v>
      </c>
      <c r="J45" s="6" t="n">
        <v>16</v>
      </c>
      <c r="K45" s="83">
        <f>I45*J45</f>
        <v/>
      </c>
      <c r="L45" s="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</row>
    <row r="46" hidden="1" ht="20" customFormat="1" customHeight="1" s="20">
      <c r="A46" s="76" t="n"/>
      <c r="B46" s="76" t="n"/>
      <c r="C46" s="6" t="inlineStr">
        <is>
          <t>N3b</t>
        </is>
      </c>
      <c r="D46" s="6" t="inlineStr">
        <is>
          <t>Q355MD</t>
        </is>
      </c>
      <c r="E46" s="6" t="n"/>
      <c r="F46" s="6" t="n"/>
      <c r="G46" s="6" t="n">
        <v>24</v>
      </c>
      <c r="H46" s="6" t="n">
        <v>2</v>
      </c>
      <c r="I46" s="83" t="n">
        <v>301.4</v>
      </c>
      <c r="J46" s="6" t="n">
        <v>16</v>
      </c>
      <c r="K46" s="83">
        <f>I46*J46</f>
        <v/>
      </c>
      <c r="L46" s="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</row>
    <row r="47" hidden="1" ht="20" customFormat="1" customHeight="1" s="20">
      <c r="A47" s="76" t="n"/>
      <c r="B47" s="76" t="n"/>
      <c r="C47" s="6" t="inlineStr">
        <is>
          <t>N3c</t>
        </is>
      </c>
      <c r="D47" s="6" t="inlineStr">
        <is>
          <t>Q355MD</t>
        </is>
      </c>
      <c r="E47" s="6" t="n"/>
      <c r="F47" s="6" t="n"/>
      <c r="G47" s="6" t="n">
        <v>24</v>
      </c>
      <c r="H47" s="6" t="n">
        <v>2</v>
      </c>
      <c r="I47" s="83" t="n">
        <v>302.6</v>
      </c>
      <c r="J47" s="6" t="n">
        <v>16</v>
      </c>
      <c r="K47" s="83">
        <f>I47*J47</f>
        <v/>
      </c>
      <c r="L47" s="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</row>
    <row r="48" ht="20" customFormat="1" customHeight="1" s="20">
      <c r="A48" s="76" t="n"/>
      <c r="B48" s="76" t="n"/>
      <c r="C48" s="6" t="inlineStr">
        <is>
          <t>N4</t>
        </is>
      </c>
      <c r="D48" s="6" t="inlineStr">
        <is>
          <t>Q355MD</t>
        </is>
      </c>
      <c r="E48" s="6" t="n">
        <v>776</v>
      </c>
      <c r="F48" s="6" t="n">
        <v>280</v>
      </c>
      <c r="G48" s="6" t="n">
        <v>20</v>
      </c>
      <c r="H48" s="6" t="n">
        <v>2</v>
      </c>
      <c r="I48" s="83" t="n">
        <v>68.2</v>
      </c>
      <c r="J48" s="6" t="n">
        <v>16</v>
      </c>
      <c r="K48" s="83">
        <f>I48*J48</f>
        <v/>
      </c>
      <c r="L48" s="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</row>
    <row r="49" hidden="1" ht="20" customFormat="1" customHeight="1" s="20">
      <c r="A49" s="76" t="n"/>
      <c r="B49" s="76" t="n"/>
      <c r="C49" s="6" t="inlineStr">
        <is>
          <t>N5</t>
        </is>
      </c>
      <c r="D49" s="6" t="inlineStr">
        <is>
          <t>Q355MD</t>
        </is>
      </c>
      <c r="E49" s="6" t="n"/>
      <c r="F49" s="6" t="n"/>
      <c r="G49" s="6" t="n">
        <v>24</v>
      </c>
      <c r="H49" s="6" t="n">
        <v>2</v>
      </c>
      <c r="I49" s="83" t="n">
        <v>70.09999999999999</v>
      </c>
      <c r="J49" s="6" t="n">
        <v>16</v>
      </c>
      <c r="K49" s="83">
        <f>I49*J49</f>
        <v/>
      </c>
      <c r="L49" s="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</row>
    <row r="50" hidden="1" ht="20" customFormat="1" customHeight="1" s="20">
      <c r="A50" s="76" t="n"/>
      <c r="B50" s="76" t="n"/>
      <c r="C50" s="6" t="inlineStr">
        <is>
          <t>N6</t>
        </is>
      </c>
      <c r="D50" s="6" t="inlineStr">
        <is>
          <t>Q355MD</t>
        </is>
      </c>
      <c r="E50" s="6" t="n">
        <v>2139</v>
      </c>
      <c r="F50" s="6" t="n">
        <v>50</v>
      </c>
      <c r="G50" s="6" t="n">
        <v>12</v>
      </c>
      <c r="H50" s="6" t="n">
        <v>2</v>
      </c>
      <c r="I50" s="83" t="n">
        <v>20.1</v>
      </c>
      <c r="J50" s="6" t="n">
        <v>16</v>
      </c>
      <c r="K50" s="83">
        <f>I50*J50</f>
        <v/>
      </c>
      <c r="L50" s="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</row>
    <row r="51" hidden="1" ht="20" customFormat="1" customHeight="1" s="20">
      <c r="A51" s="76" t="n"/>
      <c r="B51" s="76" t="n"/>
      <c r="C51" s="6" t="inlineStr">
        <is>
          <t>N7</t>
        </is>
      </c>
      <c r="D51" s="6" t="inlineStr">
        <is>
          <t>Q355MD</t>
        </is>
      </c>
      <c r="E51" s="6" t="n">
        <v>400</v>
      </c>
      <c r="F51" s="6" t="n">
        <v>400</v>
      </c>
      <c r="G51" s="6" t="n">
        <v>40</v>
      </c>
      <c r="H51" s="6" t="n">
        <v>2</v>
      </c>
      <c r="I51" s="83" t="n">
        <v>100.5</v>
      </c>
      <c r="J51" s="6" t="n">
        <v>16</v>
      </c>
      <c r="K51" s="83">
        <f>I51*J51</f>
        <v/>
      </c>
      <c r="L51" s="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</row>
    <row r="52" hidden="1" ht="20" customFormat="1" customHeight="1" s="20">
      <c r="A52" s="76" t="n"/>
      <c r="B52" s="76" t="n"/>
      <c r="C52" s="6" t="inlineStr">
        <is>
          <t>N8</t>
        </is>
      </c>
      <c r="D52" s="6" t="inlineStr">
        <is>
          <t>Q355MD</t>
        </is>
      </c>
      <c r="E52" s="6" t="n">
        <v>1000</v>
      </c>
      <c r="F52" s="6" t="n">
        <v>1000</v>
      </c>
      <c r="G52" s="6" t="n">
        <v>50</v>
      </c>
      <c r="H52" s="6" t="n">
        <v>1</v>
      </c>
      <c r="I52" s="83" t="n">
        <v>392.5</v>
      </c>
      <c r="J52" s="6" t="n">
        <v>16</v>
      </c>
      <c r="K52" s="83">
        <f>I52*J52</f>
        <v/>
      </c>
      <c r="L52" s="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</row>
    <row r="53" hidden="1" ht="20" customFormat="1" customHeight="1" s="20">
      <c r="A53" s="74" t="n"/>
      <c r="B53" s="6" t="inlineStr">
        <is>
          <t>小计</t>
        </is>
      </c>
      <c r="C53" s="73" t="n"/>
      <c r="D53" s="6" t="n"/>
      <c r="E53" s="6" t="n"/>
      <c r="F53" s="6" t="n"/>
      <c r="G53" s="6" t="n"/>
      <c r="H53" s="6" t="n"/>
      <c r="I53" s="87" t="n"/>
      <c r="J53" s="6" t="n"/>
      <c r="K53" s="83">
        <f>SUM(K42:K52)</f>
        <v/>
      </c>
      <c r="L53" s="6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</row>
    <row r="54" hidden="1" ht="20" customFormat="1" customHeight="1" s="20">
      <c r="A54" s="6" t="inlineStr">
        <is>
          <t>横隔板</t>
        </is>
      </c>
      <c r="B54" s="5" t="inlineStr">
        <is>
          <t>HG1</t>
        </is>
      </c>
      <c r="C54" s="6" t="inlineStr">
        <is>
          <t>N1</t>
        </is>
      </c>
      <c r="D54" s="6" t="inlineStr">
        <is>
          <t>Q355MD</t>
        </is>
      </c>
      <c r="E54" s="6" t="n">
        <v>1650</v>
      </c>
      <c r="F54" s="6" t="n">
        <v>300</v>
      </c>
      <c r="G54" s="6" t="n">
        <v>12</v>
      </c>
      <c r="H54" s="6" t="n">
        <v>1</v>
      </c>
      <c r="I54" s="83" t="n">
        <v>46.6</v>
      </c>
      <c r="J54" s="6" t="n">
        <v>64</v>
      </c>
      <c r="K54" s="83">
        <f>I54*J54</f>
        <v/>
      </c>
      <c r="L54" s="6" t="n"/>
      <c r="M54" s="4">
        <f>B54</f>
        <v/>
      </c>
      <c r="N54" s="4" t="n"/>
      <c r="O54" s="4">
        <f>K57</f>
        <v/>
      </c>
      <c r="P54" s="4" t="n"/>
      <c r="Q54" s="4" t="n"/>
      <c r="R54" s="4" t="n"/>
      <c r="S54" s="4" t="n"/>
      <c r="T54" s="10" t="n"/>
      <c r="U54" s="4" t="n"/>
      <c r="V54" s="4" t="n"/>
      <c r="W54" s="10" t="n"/>
      <c r="X54" s="4">
        <f>SUM(N54:W57)</f>
        <v/>
      </c>
      <c r="Y54" s="4">
        <f>2984.3+34160.9+1905.7</f>
        <v/>
      </c>
      <c r="Z54" s="88">
        <f>X54-Y54</f>
        <v/>
      </c>
      <c r="AA54" s="4" t="n"/>
    </row>
    <row r="55" hidden="1" ht="20" customFormat="1" customHeight="1" s="20">
      <c r="A55" s="76" t="n"/>
      <c r="B55" s="76" t="n"/>
      <c r="C55" s="6" t="inlineStr">
        <is>
          <t>N2</t>
        </is>
      </c>
      <c r="D55" s="6" t="inlineStr">
        <is>
          <t>Q355MD</t>
        </is>
      </c>
      <c r="E55" s="6" t="n"/>
      <c r="F55" s="6" t="n"/>
      <c r="G55" s="6" t="n">
        <v>12</v>
      </c>
      <c r="H55" s="6" t="n">
        <v>1</v>
      </c>
      <c r="I55" s="83" t="n">
        <v>533.8</v>
      </c>
      <c r="J55" s="6" t="n">
        <v>64</v>
      </c>
      <c r="K55" s="83">
        <f>I55*J55</f>
        <v/>
      </c>
      <c r="L55" s="6" t="n"/>
      <c r="M55" s="76" t="n"/>
      <c r="N55" s="76" t="n"/>
      <c r="O55" s="76" t="n"/>
      <c r="P55" s="76" t="n"/>
      <c r="Q55" s="76" t="n"/>
      <c r="R55" s="76" t="n"/>
      <c r="S55" s="76" t="n"/>
      <c r="T55" s="10" t="n"/>
      <c r="U55" s="76" t="n"/>
      <c r="V55" s="76" t="n"/>
      <c r="W55" s="10" t="n"/>
      <c r="X55" s="76" t="n"/>
      <c r="Y55" s="76" t="n"/>
      <c r="Z55" s="76" t="n"/>
      <c r="AA55" s="76" t="n"/>
    </row>
    <row r="56" hidden="1" ht="20" customFormat="1" customHeight="1" s="20">
      <c r="A56" s="76" t="n"/>
      <c r="B56" s="76" t="n"/>
      <c r="C56" s="6" t="inlineStr">
        <is>
          <t>N3</t>
        </is>
      </c>
      <c r="D56" s="6" t="inlineStr">
        <is>
          <t>Q355MD</t>
        </is>
      </c>
      <c r="E56" s="6" t="n">
        <v>3161</v>
      </c>
      <c r="F56" s="6" t="n">
        <v>100</v>
      </c>
      <c r="G56" s="6" t="n">
        <v>12</v>
      </c>
      <c r="H56" s="6" t="n">
        <v>1</v>
      </c>
      <c r="I56" s="83" t="n">
        <v>29.8</v>
      </c>
      <c r="J56" s="6" t="n">
        <v>64</v>
      </c>
      <c r="K56" s="83">
        <f>I56*J56</f>
        <v/>
      </c>
      <c r="L56" s="6" t="n"/>
      <c r="M56" s="76" t="n"/>
      <c r="N56" s="76" t="n"/>
      <c r="O56" s="76" t="n"/>
      <c r="P56" s="76" t="n"/>
      <c r="Q56" s="76" t="n"/>
      <c r="R56" s="76" t="n"/>
      <c r="S56" s="76" t="n"/>
      <c r="T56" s="10" t="n"/>
      <c r="U56" s="76" t="n"/>
      <c r="V56" s="76" t="n"/>
      <c r="W56" s="10" t="n"/>
      <c r="X56" s="76" t="n"/>
      <c r="Y56" s="76" t="n"/>
      <c r="Z56" s="76" t="n"/>
      <c r="AA56" s="76" t="n"/>
    </row>
    <row r="57" hidden="1" ht="20" customFormat="1" customHeight="1" s="20">
      <c r="A57" s="74" t="n"/>
      <c r="B57" s="6" t="inlineStr">
        <is>
          <t>小计</t>
        </is>
      </c>
      <c r="C57" s="73" t="n"/>
      <c r="D57" s="6" t="n"/>
      <c r="E57" s="6" t="n"/>
      <c r="F57" s="6" t="n"/>
      <c r="G57" s="6" t="n"/>
      <c r="H57" s="6" t="n"/>
      <c r="I57" s="87" t="n"/>
      <c r="J57" s="6" t="n"/>
      <c r="K57" s="83">
        <f>SUM(K54:K56)</f>
        <v/>
      </c>
      <c r="L57" s="6" t="n"/>
      <c r="M57" s="74" t="n"/>
      <c r="N57" s="74" t="n"/>
      <c r="O57" s="74" t="n"/>
      <c r="P57" s="74" t="n"/>
      <c r="Q57" s="74" t="n"/>
      <c r="R57" s="74" t="n"/>
      <c r="S57" s="74" t="n"/>
      <c r="T57" s="4" t="n"/>
      <c r="U57" s="74" t="n"/>
      <c r="V57" s="74" t="n"/>
      <c r="W57" s="4" t="n"/>
      <c r="X57" s="74" t="n"/>
      <c r="Y57" s="74" t="n"/>
      <c r="Z57" s="74" t="n"/>
      <c r="AA57" s="74" t="n"/>
    </row>
    <row r="58" hidden="1" ht="20" customFormat="1" customHeight="1" s="20">
      <c r="A58" s="6" t="inlineStr">
        <is>
          <t>横隔板</t>
        </is>
      </c>
      <c r="B58" s="5" t="inlineStr">
        <is>
          <t>HG2</t>
        </is>
      </c>
      <c r="C58" s="6" t="inlineStr">
        <is>
          <t>N1</t>
        </is>
      </c>
      <c r="D58" s="6" t="inlineStr">
        <is>
          <t>Q355MD</t>
        </is>
      </c>
      <c r="E58" s="6" t="n">
        <v>1650</v>
      </c>
      <c r="F58" s="6" t="n">
        <v>300</v>
      </c>
      <c r="G58" s="6" t="n">
        <v>12</v>
      </c>
      <c r="H58" s="6" t="n">
        <v>1</v>
      </c>
      <c r="I58" s="83" t="n">
        <v>46.6</v>
      </c>
      <c r="J58" s="6" t="n">
        <v>200</v>
      </c>
      <c r="K58" s="83">
        <f>I58*J58</f>
        <v/>
      </c>
      <c r="L58" s="6" t="n"/>
      <c r="M58" s="4">
        <f>B58</f>
        <v/>
      </c>
      <c r="N58" s="4" t="n"/>
      <c r="O58" s="4">
        <f>K61</f>
        <v/>
      </c>
      <c r="P58" s="4" t="n"/>
      <c r="Q58" s="4" t="n"/>
      <c r="R58" s="4" t="n"/>
      <c r="S58" s="4" t="n"/>
      <c r="T58" s="10" t="n"/>
      <c r="U58" s="4" t="n"/>
      <c r="V58" s="4" t="n"/>
      <c r="W58" s="10" t="n"/>
      <c r="X58" s="4">
        <f>SUM(N58:W61)</f>
        <v/>
      </c>
      <c r="Y58" s="4">
        <f>9325.8+106715+5955.3</f>
        <v/>
      </c>
      <c r="Z58" s="88">
        <f>X58-Y58</f>
        <v/>
      </c>
      <c r="AA58" s="4" t="n"/>
    </row>
    <row r="59" hidden="1" ht="20" customFormat="1" customHeight="1" s="20">
      <c r="A59" s="76" t="n"/>
      <c r="B59" s="76" t="n"/>
      <c r="C59" s="6" t="inlineStr">
        <is>
          <t>N2</t>
        </is>
      </c>
      <c r="D59" s="6" t="inlineStr">
        <is>
          <t>Q355MD</t>
        </is>
      </c>
      <c r="E59" s="6" t="n"/>
      <c r="F59" s="6" t="n"/>
      <c r="G59" s="6" t="n">
        <v>12</v>
      </c>
      <c r="H59" s="6" t="n">
        <v>1</v>
      </c>
      <c r="I59" s="83" t="n">
        <v>533.6</v>
      </c>
      <c r="J59" s="6" t="n">
        <v>200</v>
      </c>
      <c r="K59" s="83">
        <f>I59*J59</f>
        <v/>
      </c>
      <c r="L59" s="6" t="n"/>
      <c r="M59" s="76" t="n"/>
      <c r="N59" s="76" t="n"/>
      <c r="O59" s="76" t="n"/>
      <c r="P59" s="76" t="n"/>
      <c r="Q59" s="76" t="n"/>
      <c r="R59" s="76" t="n"/>
      <c r="S59" s="76" t="n"/>
      <c r="T59" s="10" t="n"/>
      <c r="U59" s="76" t="n"/>
      <c r="V59" s="76" t="n"/>
      <c r="W59" s="10" t="n"/>
      <c r="X59" s="76" t="n"/>
      <c r="Y59" s="76" t="n"/>
      <c r="Z59" s="76" t="n"/>
      <c r="AA59" s="76" t="n"/>
    </row>
    <row r="60" hidden="1" ht="20" customFormat="1" customHeight="1" s="20">
      <c r="A60" s="76" t="n"/>
      <c r="B60" s="76" t="n"/>
      <c r="C60" s="6" t="inlineStr">
        <is>
          <t>N3</t>
        </is>
      </c>
      <c r="D60" s="6" t="inlineStr">
        <is>
          <t>Q355MD</t>
        </is>
      </c>
      <c r="E60" s="6" t="n">
        <v>3161</v>
      </c>
      <c r="F60" s="6" t="n">
        <v>100</v>
      </c>
      <c r="G60" s="6" t="n">
        <v>12</v>
      </c>
      <c r="H60" s="6" t="n">
        <v>1</v>
      </c>
      <c r="I60" s="83" t="n">
        <v>29.8</v>
      </c>
      <c r="J60" s="6" t="n">
        <v>200</v>
      </c>
      <c r="K60" s="83">
        <f>I60*J60</f>
        <v/>
      </c>
      <c r="L60" s="6" t="n"/>
      <c r="M60" s="76" t="n"/>
      <c r="N60" s="76" t="n"/>
      <c r="O60" s="76" t="n"/>
      <c r="P60" s="76" t="n"/>
      <c r="Q60" s="76" t="n"/>
      <c r="R60" s="76" t="n"/>
      <c r="S60" s="76" t="n"/>
      <c r="T60" s="10" t="n"/>
      <c r="U60" s="76" t="n"/>
      <c r="V60" s="76" t="n"/>
      <c r="W60" s="10" t="n"/>
      <c r="X60" s="76" t="n"/>
      <c r="Y60" s="76" t="n"/>
      <c r="Z60" s="76" t="n"/>
      <c r="AA60" s="76" t="n"/>
    </row>
    <row r="61" hidden="1" ht="20" customFormat="1" customHeight="1" s="20">
      <c r="A61" s="74" t="n"/>
      <c r="B61" s="6" t="inlineStr">
        <is>
          <t>小计</t>
        </is>
      </c>
      <c r="C61" s="73" t="n"/>
      <c r="D61" s="6" t="n"/>
      <c r="E61" s="6" t="n"/>
      <c r="F61" s="6" t="n"/>
      <c r="G61" s="6" t="n"/>
      <c r="H61" s="6" t="n"/>
      <c r="I61" s="87" t="n"/>
      <c r="J61" s="6" t="n"/>
      <c r="K61" s="83">
        <f>SUM(K58:K60)</f>
        <v/>
      </c>
      <c r="L61" s="6" t="n"/>
      <c r="M61" s="74" t="n"/>
      <c r="N61" s="74" t="n"/>
      <c r="O61" s="74" t="n"/>
      <c r="P61" s="74" t="n"/>
      <c r="Q61" s="74" t="n"/>
      <c r="R61" s="74" t="n"/>
      <c r="S61" s="74" t="n"/>
      <c r="T61" s="4" t="n"/>
      <c r="U61" s="74" t="n"/>
      <c r="V61" s="74" t="n"/>
      <c r="W61" s="4" t="n"/>
      <c r="X61" s="74" t="n"/>
      <c r="Y61" s="74" t="n"/>
      <c r="Z61" s="74" t="n"/>
      <c r="AA61" s="74" t="n"/>
    </row>
    <row r="62" hidden="1" ht="20" customFormat="1" customHeight="1" s="20">
      <c r="A62" s="6" t="inlineStr">
        <is>
          <t>横隔板</t>
        </is>
      </c>
      <c r="B62" s="5" t="inlineStr">
        <is>
          <t>HG3</t>
        </is>
      </c>
      <c r="C62" s="6" t="inlineStr">
        <is>
          <t>N1</t>
        </is>
      </c>
      <c r="D62" s="6" t="inlineStr">
        <is>
          <t>Q355MD</t>
        </is>
      </c>
      <c r="E62" s="6" t="n">
        <v>1650</v>
      </c>
      <c r="F62" s="6" t="n">
        <v>300</v>
      </c>
      <c r="G62" s="6" t="n">
        <v>12</v>
      </c>
      <c r="H62" s="6" t="n">
        <v>1</v>
      </c>
      <c r="I62" s="83" t="n">
        <v>46.6</v>
      </c>
      <c r="J62" s="6" t="n">
        <v>32</v>
      </c>
      <c r="K62" s="83">
        <f>I62*J62</f>
        <v/>
      </c>
      <c r="L62" s="6" t="n"/>
      <c r="M62" s="4">
        <f>B62</f>
        <v/>
      </c>
      <c r="N62" s="4" t="n"/>
      <c r="O62" s="4">
        <f>K65</f>
        <v/>
      </c>
      <c r="P62" s="4" t="n"/>
      <c r="Q62" s="4" t="n"/>
      <c r="R62" s="4" t="n"/>
      <c r="S62" s="4" t="n"/>
      <c r="T62" s="10" t="n"/>
      <c r="U62" s="4" t="n"/>
      <c r="V62" s="4" t="n"/>
      <c r="W62" s="10" t="n"/>
      <c r="X62" s="4">
        <f>SUM(N62:W65)</f>
        <v/>
      </c>
      <c r="Y62" s="4">
        <f>1492.1+17050.3+952.9</f>
        <v/>
      </c>
      <c r="Z62" s="88">
        <f>X62-Y62</f>
        <v/>
      </c>
      <c r="AA62" s="4" t="n"/>
    </row>
    <row r="63" hidden="1" ht="20" customFormat="1" customHeight="1" s="20">
      <c r="A63" s="76" t="n"/>
      <c r="B63" s="76" t="n"/>
      <c r="C63" s="6" t="inlineStr">
        <is>
          <t>N2</t>
        </is>
      </c>
      <c r="D63" s="6" t="inlineStr">
        <is>
          <t>Q355MD</t>
        </is>
      </c>
      <c r="E63" s="6" t="n"/>
      <c r="F63" s="6" t="n"/>
      <c r="G63" s="6" t="n">
        <v>12</v>
      </c>
      <c r="H63" s="6" t="n">
        <v>1</v>
      </c>
      <c r="I63" s="83" t="n">
        <v>532.8</v>
      </c>
      <c r="J63" s="6" t="n">
        <v>32</v>
      </c>
      <c r="K63" s="83">
        <f>I63*J63</f>
        <v/>
      </c>
      <c r="L63" s="6" t="n"/>
      <c r="M63" s="76" t="n"/>
      <c r="N63" s="76" t="n"/>
      <c r="O63" s="76" t="n"/>
      <c r="P63" s="76" t="n"/>
      <c r="Q63" s="76" t="n"/>
      <c r="R63" s="76" t="n"/>
      <c r="S63" s="76" t="n"/>
      <c r="T63" s="10" t="n"/>
      <c r="U63" s="76" t="n"/>
      <c r="V63" s="76" t="n"/>
      <c r="W63" s="10" t="n"/>
      <c r="X63" s="76" t="n"/>
      <c r="Y63" s="76" t="n"/>
      <c r="Z63" s="76" t="n"/>
      <c r="AA63" s="76" t="n"/>
    </row>
    <row r="64" hidden="1" ht="20" customFormat="1" customHeight="1" s="20">
      <c r="A64" s="76" t="n"/>
      <c r="B64" s="76" t="n"/>
      <c r="C64" s="6" t="inlineStr">
        <is>
          <t>N3</t>
        </is>
      </c>
      <c r="D64" s="6" t="inlineStr">
        <is>
          <t>Q355MD</t>
        </is>
      </c>
      <c r="E64" s="6" t="n">
        <v>3161</v>
      </c>
      <c r="F64" s="6" t="n">
        <v>100</v>
      </c>
      <c r="G64" s="6" t="n">
        <v>12</v>
      </c>
      <c r="H64" s="6" t="n">
        <v>1</v>
      </c>
      <c r="I64" s="83" t="n">
        <v>29.8</v>
      </c>
      <c r="J64" s="6" t="n">
        <v>32</v>
      </c>
      <c r="K64" s="83">
        <f>I64*J64</f>
        <v/>
      </c>
      <c r="L64" s="6" t="n"/>
      <c r="M64" s="76" t="n"/>
      <c r="N64" s="76" t="n"/>
      <c r="O64" s="76" t="n"/>
      <c r="P64" s="76" t="n"/>
      <c r="Q64" s="76" t="n"/>
      <c r="R64" s="76" t="n"/>
      <c r="S64" s="76" t="n"/>
      <c r="T64" s="10" t="n"/>
      <c r="U64" s="76" t="n"/>
      <c r="V64" s="76" t="n"/>
      <c r="W64" s="10" t="n"/>
      <c r="X64" s="76" t="n"/>
      <c r="Y64" s="76" t="n"/>
      <c r="Z64" s="76" t="n"/>
      <c r="AA64" s="76" t="n"/>
    </row>
    <row r="65" hidden="1" ht="20" customFormat="1" customHeight="1" s="20">
      <c r="A65" s="74" t="n"/>
      <c r="B65" s="6" t="inlineStr">
        <is>
          <t>小计</t>
        </is>
      </c>
      <c r="C65" s="73" t="n"/>
      <c r="D65" s="6" t="n"/>
      <c r="E65" s="6" t="n"/>
      <c r="F65" s="6" t="n"/>
      <c r="G65" s="6" t="n"/>
      <c r="H65" s="6" t="n"/>
      <c r="I65" s="87" t="n"/>
      <c r="J65" s="6" t="n"/>
      <c r="K65" s="83">
        <f>SUM(K62:K64)</f>
        <v/>
      </c>
      <c r="L65" s="6" t="n"/>
      <c r="M65" s="74" t="n"/>
      <c r="N65" s="74" t="n"/>
      <c r="O65" s="74" t="n"/>
      <c r="P65" s="74" t="n"/>
      <c r="Q65" s="74" t="n"/>
      <c r="R65" s="74" t="n"/>
      <c r="S65" s="74" t="n"/>
      <c r="T65" s="4" t="n"/>
      <c r="U65" s="74" t="n"/>
      <c r="V65" s="74" t="n"/>
      <c r="W65" s="4" t="n"/>
      <c r="X65" s="74" t="n"/>
      <c r="Y65" s="74" t="n"/>
      <c r="Z65" s="74" t="n"/>
      <c r="AA65" s="74" t="n"/>
    </row>
    <row r="66" ht="20" customFormat="1" customHeight="1" s="20">
      <c r="A66" s="6" t="inlineStr">
        <is>
          <t>横隔板</t>
        </is>
      </c>
      <c r="B66" s="5" t="inlineStr">
        <is>
          <t>HG5</t>
        </is>
      </c>
      <c r="C66" s="6" t="inlineStr">
        <is>
          <t>N1</t>
        </is>
      </c>
      <c r="D66" s="6" t="inlineStr">
        <is>
          <t>Q355MD</t>
        </is>
      </c>
      <c r="E66" s="6" t="n">
        <v>1650</v>
      </c>
      <c r="F66" s="6" t="n">
        <v>300</v>
      </c>
      <c r="G66" s="6" t="n">
        <v>20</v>
      </c>
      <c r="H66" s="6" t="n">
        <v>1</v>
      </c>
      <c r="I66" s="83" t="n">
        <v>77.7</v>
      </c>
      <c r="J66" s="6" t="n">
        <v>24</v>
      </c>
      <c r="K66" s="83">
        <f>I66*J66</f>
        <v/>
      </c>
      <c r="L66" s="6" t="n"/>
      <c r="M66" s="4">
        <f>B66</f>
        <v/>
      </c>
      <c r="N66" s="4" t="n"/>
      <c r="O66" s="4">
        <f>K68</f>
        <v/>
      </c>
      <c r="P66" s="4" t="n"/>
      <c r="Q66" s="4">
        <f>K67</f>
        <v/>
      </c>
      <c r="R66" s="4">
        <f>K66</f>
        <v/>
      </c>
      <c r="S66" s="4" t="n"/>
      <c r="T66" s="10" t="n"/>
      <c r="U66" s="4" t="n"/>
      <c r="V66" s="4" t="n"/>
      <c r="W66" s="10" t="n"/>
      <c r="X66" s="4">
        <f>SUM(N66:W69)</f>
        <v/>
      </c>
      <c r="Y66" s="4">
        <f>1865.2+17017.7+714.6</f>
        <v/>
      </c>
      <c r="Z66" s="88">
        <f>X66-Y66</f>
        <v/>
      </c>
      <c r="AA66" s="4" t="n"/>
    </row>
    <row r="67" hidden="1" ht="20" customFormat="1" customHeight="1" s="20">
      <c r="A67" s="76" t="n"/>
      <c r="B67" s="76" t="n"/>
      <c r="C67" s="6" t="inlineStr">
        <is>
          <t>N2</t>
        </is>
      </c>
      <c r="D67" s="6" t="inlineStr">
        <is>
          <t>Q355MD</t>
        </is>
      </c>
      <c r="E67" s="6" t="n"/>
      <c r="F67" s="6" t="n"/>
      <c r="G67" s="6" t="n">
        <v>16</v>
      </c>
      <c r="H67" s="6" t="n">
        <v>1</v>
      </c>
      <c r="I67" s="83" t="n">
        <v>709.1</v>
      </c>
      <c r="J67" s="6" t="n">
        <v>24</v>
      </c>
      <c r="K67" s="83">
        <f>I67*J67</f>
        <v/>
      </c>
      <c r="L67" s="6" t="n"/>
      <c r="M67" s="76" t="n"/>
      <c r="N67" s="76" t="n"/>
      <c r="O67" s="76" t="n"/>
      <c r="P67" s="76" t="n"/>
      <c r="Q67" s="76" t="n"/>
      <c r="R67" s="76" t="n"/>
      <c r="S67" s="76" t="n"/>
      <c r="T67" s="10" t="n"/>
      <c r="U67" s="76" t="n"/>
      <c r="V67" s="76" t="n"/>
      <c r="W67" s="10" t="n"/>
      <c r="X67" s="76" t="n"/>
      <c r="Y67" s="76" t="n"/>
      <c r="Z67" s="76" t="n"/>
      <c r="AA67" s="76" t="n"/>
    </row>
    <row r="68" hidden="1" ht="20" customFormat="1" customHeight="1" s="20">
      <c r="A68" s="76" t="n"/>
      <c r="B68" s="76" t="n"/>
      <c r="C68" s="6" t="inlineStr">
        <is>
          <t>N3</t>
        </is>
      </c>
      <c r="D68" s="6" t="inlineStr">
        <is>
          <t>Q355MD</t>
        </is>
      </c>
      <c r="E68" s="6" t="n">
        <v>3161</v>
      </c>
      <c r="F68" s="6" t="n">
        <v>100</v>
      </c>
      <c r="G68" s="6" t="n">
        <v>12</v>
      </c>
      <c r="H68" s="6" t="n">
        <v>1</v>
      </c>
      <c r="I68" s="83" t="n">
        <v>29.8</v>
      </c>
      <c r="J68" s="6" t="n">
        <v>24</v>
      </c>
      <c r="K68" s="83">
        <f>I68*J68</f>
        <v/>
      </c>
      <c r="L68" s="6" t="n"/>
      <c r="M68" s="76" t="n"/>
      <c r="N68" s="76" t="n"/>
      <c r="O68" s="76" t="n"/>
      <c r="P68" s="76" t="n"/>
      <c r="Q68" s="76" t="n"/>
      <c r="R68" s="76" t="n"/>
      <c r="S68" s="76" t="n"/>
      <c r="T68" s="10" t="n"/>
      <c r="U68" s="76" t="n"/>
      <c r="V68" s="76" t="n"/>
      <c r="W68" s="10" t="n"/>
      <c r="X68" s="76" t="n"/>
      <c r="Y68" s="76" t="n"/>
      <c r="Z68" s="76" t="n"/>
      <c r="AA68" s="76" t="n"/>
    </row>
    <row r="69" hidden="1" ht="20" customFormat="1" customHeight="1" s="20">
      <c r="A69" s="74" t="n"/>
      <c r="B69" s="6" t="inlineStr">
        <is>
          <t>小计</t>
        </is>
      </c>
      <c r="C69" s="73" t="n"/>
      <c r="D69" s="6" t="n"/>
      <c r="E69" s="6" t="n"/>
      <c r="F69" s="6" t="n"/>
      <c r="G69" s="6" t="n"/>
      <c r="H69" s="6" t="n"/>
      <c r="I69" s="87" t="n"/>
      <c r="J69" s="6" t="n"/>
      <c r="K69" s="83">
        <f>SUM(K66:K68)</f>
        <v/>
      </c>
      <c r="L69" s="6" t="n"/>
      <c r="M69" s="74" t="n"/>
      <c r="N69" s="74" t="n"/>
      <c r="O69" s="74" t="n"/>
      <c r="P69" s="74" t="n"/>
      <c r="Q69" s="74" t="n"/>
      <c r="R69" s="74" t="n"/>
      <c r="S69" s="74" t="n"/>
      <c r="T69" s="4" t="n"/>
      <c r="U69" s="74" t="n"/>
      <c r="V69" s="74" t="n"/>
      <c r="W69" s="4" t="n"/>
      <c r="X69" s="74" t="n"/>
      <c r="Y69" s="74" t="n"/>
      <c r="Z69" s="74" t="n"/>
      <c r="AA69" s="74" t="n"/>
    </row>
    <row r="70" ht="20" customFormat="1" customHeight="1" s="20">
      <c r="A70" s="6" t="inlineStr">
        <is>
          <t>横隔板</t>
        </is>
      </c>
      <c r="B70" s="5" t="inlineStr">
        <is>
          <t>HG4</t>
        </is>
      </c>
      <c r="C70" s="6" t="inlineStr">
        <is>
          <t>N1</t>
        </is>
      </c>
      <c r="D70" s="6" t="inlineStr">
        <is>
          <t>Q355MD</t>
        </is>
      </c>
      <c r="E70" s="6" t="n">
        <v>1950</v>
      </c>
      <c r="F70" s="6" t="n">
        <v>300</v>
      </c>
      <c r="G70" s="6" t="n">
        <v>20</v>
      </c>
      <c r="H70" s="6" t="n">
        <v>1</v>
      </c>
      <c r="I70" s="83" t="n">
        <v>91.8</v>
      </c>
      <c r="J70" s="6" t="n">
        <v>24</v>
      </c>
      <c r="K70" s="83">
        <f>I70*J70</f>
        <v/>
      </c>
      <c r="L70" s="6" t="n"/>
      <c r="M70" s="4">
        <f>B70</f>
        <v/>
      </c>
      <c r="N70" s="4" t="n"/>
      <c r="O70" s="4">
        <f>K72</f>
        <v/>
      </c>
      <c r="P70" s="4" t="n"/>
      <c r="Q70" s="4">
        <f>K71</f>
        <v/>
      </c>
      <c r="R70" s="4">
        <f>K70</f>
        <v/>
      </c>
      <c r="S70" s="4" t="n"/>
      <c r="T70" s="10" t="n"/>
      <c r="U70" s="4" t="n"/>
      <c r="V70" s="4" t="n"/>
      <c r="W70" s="10" t="n"/>
      <c r="X70" s="4">
        <f>SUM(N70:W73)</f>
        <v/>
      </c>
      <c r="Y70" s="4">
        <f>2204.3+18466.5+714.6</f>
        <v/>
      </c>
      <c r="Z70" s="88">
        <f>X70-Y70</f>
        <v/>
      </c>
      <c r="AA70" s="4" t="n"/>
    </row>
    <row r="71" hidden="1" ht="20" customFormat="1" customHeight="1" s="20">
      <c r="A71" s="76" t="n"/>
      <c r="B71" s="76" t="n"/>
      <c r="C71" s="6" t="inlineStr">
        <is>
          <t>N2</t>
        </is>
      </c>
      <c r="D71" s="6" t="inlineStr">
        <is>
          <t>Q355MD</t>
        </is>
      </c>
      <c r="E71" s="6" t="n"/>
      <c r="F71" s="6" t="n"/>
      <c r="G71" s="6" t="n">
        <v>16</v>
      </c>
      <c r="H71" s="6" t="n">
        <v>1</v>
      </c>
      <c r="I71" s="83" t="n">
        <v>769.4</v>
      </c>
      <c r="J71" s="6" t="n">
        <v>24</v>
      </c>
      <c r="K71" s="83">
        <f>I71*J71</f>
        <v/>
      </c>
      <c r="L71" s="6" t="n"/>
      <c r="M71" s="76" t="n"/>
      <c r="N71" s="76" t="n"/>
      <c r="O71" s="76" t="n"/>
      <c r="P71" s="76" t="n"/>
      <c r="Q71" s="76" t="n"/>
      <c r="R71" s="76" t="n"/>
      <c r="S71" s="76" t="n"/>
      <c r="T71" s="10" t="n"/>
      <c r="U71" s="76" t="n"/>
      <c r="V71" s="76" t="n"/>
      <c r="W71" s="10" t="n"/>
      <c r="X71" s="76" t="n"/>
      <c r="Y71" s="76" t="n"/>
      <c r="Z71" s="76" t="n"/>
      <c r="AA71" s="76" t="n"/>
    </row>
    <row r="72" hidden="1" ht="20" customFormat="1" customHeight="1" s="20">
      <c r="A72" s="76" t="n"/>
      <c r="B72" s="76" t="n"/>
      <c r="C72" s="6" t="inlineStr">
        <is>
          <t>N3</t>
        </is>
      </c>
      <c r="D72" s="6" t="inlineStr">
        <is>
          <t>Q355MD</t>
        </is>
      </c>
      <c r="E72" s="6" t="n">
        <v>3161</v>
      </c>
      <c r="F72" s="6" t="n">
        <v>100</v>
      </c>
      <c r="G72" s="6" t="n">
        <v>12</v>
      </c>
      <c r="H72" s="6" t="n">
        <v>1</v>
      </c>
      <c r="I72" s="83" t="n">
        <v>29.8</v>
      </c>
      <c r="J72" s="6" t="n">
        <v>24</v>
      </c>
      <c r="K72" s="83">
        <f>I72*J72</f>
        <v/>
      </c>
      <c r="L72" s="6" t="n"/>
      <c r="M72" s="76" t="n"/>
      <c r="N72" s="76" t="n"/>
      <c r="O72" s="76" t="n"/>
      <c r="P72" s="76" t="n"/>
      <c r="Q72" s="76" t="n"/>
      <c r="R72" s="76" t="n"/>
      <c r="S72" s="76" t="n"/>
      <c r="T72" s="10" t="n"/>
      <c r="U72" s="76" t="n"/>
      <c r="V72" s="76" t="n"/>
      <c r="W72" s="10" t="n"/>
      <c r="X72" s="76" t="n"/>
      <c r="Y72" s="76" t="n"/>
      <c r="Z72" s="76" t="n"/>
      <c r="AA72" s="76" t="n"/>
    </row>
    <row r="73" hidden="1" ht="20" customFormat="1" customHeight="1" s="20">
      <c r="A73" s="74" t="n"/>
      <c r="B73" s="6" t="inlineStr">
        <is>
          <t>小计</t>
        </is>
      </c>
      <c r="C73" s="73" t="n"/>
      <c r="D73" s="6" t="n"/>
      <c r="E73" s="6" t="n"/>
      <c r="F73" s="6" t="n"/>
      <c r="G73" s="6" t="n"/>
      <c r="H73" s="6" t="n"/>
      <c r="I73" s="87" t="n"/>
      <c r="J73" s="6" t="n"/>
      <c r="K73" s="83">
        <f>SUM(K70:K72)</f>
        <v/>
      </c>
      <c r="L73" s="6" t="n"/>
      <c r="M73" s="74" t="n"/>
      <c r="N73" s="74" t="n"/>
      <c r="O73" s="74" t="n"/>
      <c r="P73" s="74" t="n"/>
      <c r="Q73" s="74" t="n"/>
      <c r="R73" s="74" t="n"/>
      <c r="S73" s="74" t="n"/>
      <c r="T73" s="4" t="n"/>
      <c r="U73" s="74" t="n"/>
      <c r="V73" s="74" t="n"/>
      <c r="W73" s="4" t="n"/>
      <c r="X73" s="74" t="n"/>
      <c r="Y73" s="74" t="n"/>
      <c r="Z73" s="74" t="n"/>
      <c r="AA73" s="74" t="n"/>
    </row>
    <row r="74" ht="20" customFormat="1" customHeight="1" s="20">
      <c r="A74" s="6" t="inlineStr">
        <is>
          <t>横隔板</t>
        </is>
      </c>
      <c r="B74" s="5" t="inlineStr">
        <is>
          <t>HG6</t>
        </is>
      </c>
      <c r="C74" s="6" t="inlineStr">
        <is>
          <t>N1</t>
        </is>
      </c>
      <c r="D74" s="6" t="inlineStr">
        <is>
          <t>Q355MD</t>
        </is>
      </c>
      <c r="E74" s="6" t="n">
        <v>1950</v>
      </c>
      <c r="F74" s="6" t="n">
        <v>300</v>
      </c>
      <c r="G74" s="6" t="n">
        <v>20</v>
      </c>
      <c r="H74" s="6" t="n">
        <v>1</v>
      </c>
      <c r="I74" s="83" t="n">
        <v>91.8</v>
      </c>
      <c r="J74" s="6" t="n">
        <v>24</v>
      </c>
      <c r="K74" s="83">
        <f>I74*J74</f>
        <v/>
      </c>
      <c r="L74" s="6" t="n"/>
      <c r="M74" s="4">
        <f>B74</f>
        <v/>
      </c>
      <c r="N74" s="4" t="n"/>
      <c r="O74" s="4">
        <f>K76</f>
        <v/>
      </c>
      <c r="P74" s="4" t="n"/>
      <c r="Q74" s="4">
        <f>K75</f>
        <v/>
      </c>
      <c r="R74" s="4">
        <f>K74</f>
        <v/>
      </c>
      <c r="S74" s="4" t="n"/>
      <c r="T74" s="10" t="n"/>
      <c r="U74" s="4" t="n"/>
      <c r="V74" s="4" t="n"/>
      <c r="W74" s="10" t="n"/>
      <c r="X74" s="4">
        <f>SUM(N74:W77)</f>
        <v/>
      </c>
      <c r="Y74" s="4">
        <f>2204.3+18372.3+714.6</f>
        <v/>
      </c>
      <c r="Z74" s="88">
        <f>X74-Y74</f>
        <v/>
      </c>
      <c r="AA74" s="4" t="n"/>
    </row>
    <row r="75" hidden="1" ht="20" customFormat="1" customHeight="1" s="20">
      <c r="A75" s="76" t="n"/>
      <c r="B75" s="76" t="n"/>
      <c r="C75" s="6" t="inlineStr">
        <is>
          <t>N2</t>
        </is>
      </c>
      <c r="D75" s="6" t="inlineStr">
        <is>
          <t>Q355MD</t>
        </is>
      </c>
      <c r="E75" s="6" t="n"/>
      <c r="F75" s="6" t="n"/>
      <c r="G75" s="6" t="n">
        <v>16</v>
      </c>
      <c r="H75" s="6" t="n">
        <v>1</v>
      </c>
      <c r="I75" s="83" t="n">
        <v>765.5</v>
      </c>
      <c r="J75" s="6" t="n">
        <v>24</v>
      </c>
      <c r="K75" s="83">
        <f>I75*J75</f>
        <v/>
      </c>
      <c r="L75" s="6" t="n"/>
      <c r="M75" s="76" t="n"/>
      <c r="N75" s="76" t="n"/>
      <c r="O75" s="76" t="n"/>
      <c r="P75" s="76" t="n"/>
      <c r="Q75" s="76" t="n"/>
      <c r="R75" s="76" t="n"/>
      <c r="S75" s="76" t="n"/>
      <c r="T75" s="10" t="n"/>
      <c r="U75" s="76" t="n"/>
      <c r="V75" s="76" t="n"/>
      <c r="W75" s="10" t="n"/>
      <c r="X75" s="76" t="n"/>
      <c r="Y75" s="76" t="n"/>
      <c r="Z75" s="76" t="n"/>
      <c r="AA75" s="76" t="n"/>
    </row>
    <row r="76" hidden="1" ht="20" customFormat="1" customHeight="1" s="20">
      <c r="A76" s="76" t="n"/>
      <c r="B76" s="76" t="n"/>
      <c r="C76" s="6" t="inlineStr">
        <is>
          <t>N3</t>
        </is>
      </c>
      <c r="D76" s="6" t="inlineStr">
        <is>
          <t>Q355MD</t>
        </is>
      </c>
      <c r="E76" s="6" t="n">
        <v>3161</v>
      </c>
      <c r="F76" s="6" t="n">
        <v>100</v>
      </c>
      <c r="G76" s="6" t="n">
        <v>12</v>
      </c>
      <c r="H76" s="6" t="n">
        <v>1</v>
      </c>
      <c r="I76" s="83" t="n">
        <v>29.8</v>
      </c>
      <c r="J76" s="6" t="n">
        <v>24</v>
      </c>
      <c r="K76" s="83">
        <f>I76*J76</f>
        <v/>
      </c>
      <c r="L76" s="6" t="n"/>
      <c r="M76" s="76" t="n"/>
      <c r="N76" s="76" t="n"/>
      <c r="O76" s="76" t="n"/>
      <c r="P76" s="76" t="n"/>
      <c r="Q76" s="76" t="n"/>
      <c r="R76" s="76" t="n"/>
      <c r="S76" s="76" t="n"/>
      <c r="T76" s="10" t="n"/>
      <c r="U76" s="76" t="n"/>
      <c r="V76" s="76" t="n"/>
      <c r="W76" s="10" t="n"/>
      <c r="X76" s="76" t="n"/>
      <c r="Y76" s="76" t="n"/>
      <c r="Z76" s="76" t="n"/>
      <c r="AA76" s="76" t="n"/>
    </row>
    <row r="77" hidden="1" ht="20" customFormat="1" customHeight="1" s="20">
      <c r="A77" s="74" t="n"/>
      <c r="B77" s="6" t="inlineStr">
        <is>
          <t>小计</t>
        </is>
      </c>
      <c r="C77" s="73" t="n"/>
      <c r="D77" s="6" t="n"/>
      <c r="E77" s="6" t="n"/>
      <c r="F77" s="6" t="n"/>
      <c r="G77" s="6" t="n"/>
      <c r="H77" s="6" t="n"/>
      <c r="I77" s="87" t="n"/>
      <c r="J77" s="6" t="n"/>
      <c r="K77" s="83">
        <f>SUM(K74:K76)</f>
        <v/>
      </c>
      <c r="L77" s="6" t="n"/>
      <c r="M77" s="74" t="n"/>
      <c r="N77" s="74" t="n"/>
      <c r="O77" s="74" t="n"/>
      <c r="P77" s="74" t="n"/>
      <c r="Q77" s="74" t="n"/>
      <c r="R77" s="74" t="n"/>
      <c r="S77" s="74" t="n"/>
      <c r="T77" s="4" t="n"/>
      <c r="U77" s="74" t="n"/>
      <c r="V77" s="74" t="n"/>
      <c r="W77" s="4" t="n"/>
      <c r="X77" s="74" t="n"/>
      <c r="Y77" s="74" t="n"/>
      <c r="Z77" s="74" t="n"/>
      <c r="AA77" s="74" t="n"/>
    </row>
    <row r="78" hidden="1" ht="20" customFormat="1" customHeight="1" s="20">
      <c r="A78" s="6" t="inlineStr">
        <is>
          <t>横肋</t>
        </is>
      </c>
      <c r="B78" s="5" t="inlineStr">
        <is>
          <t>L1横肋</t>
        </is>
      </c>
      <c r="C78" s="6" t="inlineStr">
        <is>
          <t>N1</t>
        </is>
      </c>
      <c r="D78" s="6" t="inlineStr">
        <is>
          <t>Q355MD</t>
        </is>
      </c>
      <c r="E78" s="6" t="n">
        <v>2642</v>
      </c>
      <c r="F78" s="6" t="n">
        <v>160</v>
      </c>
      <c r="G78" s="6" t="n">
        <v>12</v>
      </c>
      <c r="H78" s="6" t="n">
        <v>1</v>
      </c>
      <c r="I78" s="83">
        <f>(E78/1000)*(F78/1000)*(G78/1000)*7850</f>
        <v/>
      </c>
      <c r="J78" s="24" t="n">
        <v>144</v>
      </c>
      <c r="K78" s="83">
        <f>I78*J78</f>
        <v/>
      </c>
      <c r="L78" s="6" t="inlineStr">
        <is>
          <t>需设计核实</t>
        </is>
      </c>
      <c r="M78" s="4">
        <f>B78</f>
        <v/>
      </c>
      <c r="N78" s="4" t="n"/>
      <c r="O78" s="4">
        <f>K78+K79</f>
        <v/>
      </c>
      <c r="P78" s="4" t="n"/>
      <c r="Q78" s="4" t="n"/>
      <c r="R78" s="4" t="n"/>
      <c r="S78" s="4" t="n"/>
      <c r="T78" s="10" t="n"/>
      <c r="U78" s="4" t="n"/>
      <c r="V78" s="4" t="n"/>
      <c r="W78" s="10" t="n"/>
      <c r="X78" s="4">
        <f>SUM(N78:W80)</f>
        <v/>
      </c>
      <c r="Y78" s="4">
        <f>5734.1+5901.2</f>
        <v/>
      </c>
      <c r="Z78" s="88">
        <f>X78-Y78</f>
        <v/>
      </c>
      <c r="AA78" s="4" t="n"/>
    </row>
    <row r="79" hidden="1" ht="20" customFormat="1" customHeight="1" s="20">
      <c r="A79" s="76" t="n"/>
      <c r="B79" s="76" t="n"/>
      <c r="C79" s="6" t="inlineStr">
        <is>
          <t>N2</t>
        </is>
      </c>
      <c r="D79" s="6" t="inlineStr">
        <is>
          <t>Q355MD</t>
        </is>
      </c>
      <c r="E79" s="6" t="n">
        <v>2719</v>
      </c>
      <c r="F79" s="6" t="n">
        <v>160</v>
      </c>
      <c r="G79" s="6" t="n">
        <v>12</v>
      </c>
      <c r="H79" s="6" t="n">
        <v>1</v>
      </c>
      <c r="I79" s="83">
        <f>(E79/1000)*(F79/1000)*(G79/1000)*7850</f>
        <v/>
      </c>
      <c r="J79" s="24" t="n">
        <v>144</v>
      </c>
      <c r="K79" s="83">
        <f>I79*J79</f>
        <v/>
      </c>
      <c r="L79" s="6" t="inlineStr">
        <is>
          <t>需设计核实</t>
        </is>
      </c>
      <c r="M79" s="76" t="n"/>
      <c r="N79" s="76" t="n"/>
      <c r="O79" s="76" t="n"/>
      <c r="P79" s="76" t="n"/>
      <c r="Q79" s="76" t="n"/>
      <c r="R79" s="76" t="n"/>
      <c r="S79" s="76" t="n"/>
      <c r="T79" s="10" t="n"/>
      <c r="U79" s="76" t="n"/>
      <c r="V79" s="76" t="n"/>
      <c r="W79" s="10" t="n"/>
      <c r="X79" s="76" t="n"/>
      <c r="Y79" s="76" t="n"/>
      <c r="Z79" s="76" t="n"/>
      <c r="AA79" s="76" t="n"/>
    </row>
    <row r="80" hidden="1" ht="20" customFormat="1" customHeight="1" s="20">
      <c r="A80" s="74" t="n"/>
      <c r="B80" s="6" t="inlineStr">
        <is>
          <t>小计</t>
        </is>
      </c>
      <c r="C80" s="73" t="n"/>
      <c r="D80" s="6" t="n"/>
      <c r="E80" s="6" t="n"/>
      <c r="F80" s="6" t="n"/>
      <c r="G80" s="6" t="n"/>
      <c r="H80" s="6" t="n"/>
      <c r="I80" s="87" t="n"/>
      <c r="J80" s="6" t="n"/>
      <c r="K80" s="83">
        <f>SUM(K78:K79)</f>
        <v/>
      </c>
      <c r="L80" s="6" t="n"/>
      <c r="M80" s="74" t="n"/>
      <c r="N80" s="74" t="n"/>
      <c r="O80" s="74" t="n"/>
      <c r="P80" s="74" t="n"/>
      <c r="Q80" s="74" t="n"/>
      <c r="R80" s="74" t="n"/>
      <c r="S80" s="74" t="n"/>
      <c r="T80" s="4" t="n"/>
      <c r="U80" s="74" t="n"/>
      <c r="V80" s="74" t="n"/>
      <c r="W80" s="4" t="n"/>
      <c r="X80" s="74" t="n"/>
      <c r="Y80" s="74" t="n"/>
      <c r="Z80" s="74" t="n"/>
      <c r="AA80" s="74" t="n"/>
    </row>
    <row r="81" hidden="1" ht="20" customFormat="1" customHeight="1" s="20">
      <c r="A81" s="6" t="inlineStr">
        <is>
          <t>横肋</t>
        </is>
      </c>
      <c r="B81" s="5" t="inlineStr">
        <is>
          <t>L2横肋</t>
        </is>
      </c>
      <c r="C81" s="6" t="inlineStr">
        <is>
          <t>N1</t>
        </is>
      </c>
      <c r="D81" s="6" t="inlineStr">
        <is>
          <t>Q355MD</t>
        </is>
      </c>
      <c r="E81" s="6" t="n">
        <v>2638</v>
      </c>
      <c r="F81" s="6" t="n">
        <v>160</v>
      </c>
      <c r="G81" s="6" t="n">
        <v>12</v>
      </c>
      <c r="H81" s="6" t="n">
        <v>1</v>
      </c>
      <c r="I81" s="83">
        <f>(E81/1000)*(F81/1000)*(G81/1000)*7850</f>
        <v/>
      </c>
      <c r="J81" s="6" t="n">
        <v>336</v>
      </c>
      <c r="K81" s="83">
        <f>I81*J81</f>
        <v/>
      </c>
      <c r="L81" s="6" t="n"/>
      <c r="M81" s="4">
        <f>B81</f>
        <v/>
      </c>
      <c r="N81" s="4" t="n"/>
      <c r="O81" s="4">
        <f>K81+K82</f>
        <v/>
      </c>
      <c r="P81" s="4" t="n"/>
      <c r="Q81" s="4" t="n"/>
      <c r="R81" s="4" t="n"/>
      <c r="S81" s="4" t="n"/>
      <c r="T81" s="10" t="n"/>
      <c r="U81" s="4" t="n"/>
      <c r="V81" s="4" t="n"/>
      <c r="W81" s="10" t="n"/>
      <c r="X81" s="4">
        <f>SUM(N81:W83)</f>
        <v/>
      </c>
      <c r="Y81" s="4">
        <f>13359.3+13749.3</f>
        <v/>
      </c>
      <c r="Z81" s="88">
        <f>X81-Y81</f>
        <v/>
      </c>
      <c r="AA81" s="4" t="n"/>
    </row>
    <row r="82" hidden="1" ht="20" customFormat="1" customHeight="1" s="20">
      <c r="A82" s="76" t="n"/>
      <c r="B82" s="76" t="n"/>
      <c r="C82" s="6" t="inlineStr">
        <is>
          <t>N2</t>
        </is>
      </c>
      <c r="D82" s="6" t="inlineStr">
        <is>
          <t>Q355MD</t>
        </is>
      </c>
      <c r="E82" s="6" t="n">
        <v>2715</v>
      </c>
      <c r="F82" s="6" t="n">
        <v>160</v>
      </c>
      <c r="G82" s="6" t="n">
        <v>12</v>
      </c>
      <c r="H82" s="6" t="n">
        <v>1</v>
      </c>
      <c r="I82" s="83">
        <f>(E82/1000)*(F82/1000)*(G82/1000)*7850</f>
        <v/>
      </c>
      <c r="J82" s="6" t="n">
        <v>336</v>
      </c>
      <c r="K82" s="83">
        <f>I82*J82</f>
        <v/>
      </c>
      <c r="L82" s="6" t="n"/>
      <c r="M82" s="76" t="n"/>
      <c r="N82" s="76" t="n"/>
      <c r="O82" s="76" t="n"/>
      <c r="P82" s="76" t="n"/>
      <c r="Q82" s="76" t="n"/>
      <c r="R82" s="76" t="n"/>
      <c r="S82" s="76" t="n"/>
      <c r="T82" s="10" t="n"/>
      <c r="U82" s="76" t="n"/>
      <c r="V82" s="76" t="n"/>
      <c r="W82" s="10" t="n"/>
      <c r="X82" s="76" t="n"/>
      <c r="Y82" s="76" t="n"/>
      <c r="Z82" s="76" t="n"/>
      <c r="AA82" s="76" t="n"/>
    </row>
    <row r="83" hidden="1" ht="20" customFormat="1" customHeight="1" s="20">
      <c r="A83" s="74" t="n"/>
      <c r="B83" s="6" t="inlineStr">
        <is>
          <t>小计</t>
        </is>
      </c>
      <c r="C83" s="73" t="n"/>
      <c r="D83" s="6" t="n"/>
      <c r="E83" s="6" t="n"/>
      <c r="F83" s="6" t="n"/>
      <c r="G83" s="6" t="n"/>
      <c r="H83" s="6" t="n"/>
      <c r="I83" s="83" t="n"/>
      <c r="J83" s="6" t="n"/>
      <c r="K83" s="83">
        <f>SUM(K81:K82)</f>
        <v/>
      </c>
      <c r="L83" s="6" t="n"/>
      <c r="M83" s="74" t="n"/>
      <c r="N83" s="74" t="n"/>
      <c r="O83" s="74" t="n"/>
      <c r="P83" s="74" t="n"/>
      <c r="Q83" s="74" t="n"/>
      <c r="R83" s="74" t="n"/>
      <c r="S83" s="74" t="n"/>
      <c r="T83" s="4" t="n"/>
      <c r="U83" s="74" t="n"/>
      <c r="V83" s="74" t="n"/>
      <c r="W83" s="4" t="n"/>
      <c r="X83" s="74" t="n"/>
      <c r="Y83" s="74" t="n"/>
      <c r="Z83" s="74" t="n"/>
      <c r="AA83" s="74" t="n"/>
    </row>
    <row r="84" hidden="1" ht="20" customFormat="1" customHeight="1" s="20">
      <c r="A84" s="6" t="inlineStr">
        <is>
          <t>横肋</t>
        </is>
      </c>
      <c r="B84" s="5" t="inlineStr">
        <is>
          <t>L3横肋</t>
        </is>
      </c>
      <c r="C84" s="6" t="inlineStr">
        <is>
          <t>N1</t>
        </is>
      </c>
      <c r="D84" s="6" t="inlineStr">
        <is>
          <t>Q355MD</t>
        </is>
      </c>
      <c r="E84" s="6" t="n">
        <v>2632</v>
      </c>
      <c r="F84" s="6" t="n">
        <v>160</v>
      </c>
      <c r="G84" s="6" t="n">
        <v>12</v>
      </c>
      <c r="H84" s="6" t="n">
        <v>1</v>
      </c>
      <c r="I84" s="83">
        <f>(E84/1000)*(F84/1000)*(G84/1000)*7850</f>
        <v/>
      </c>
      <c r="J84" s="6" t="n">
        <v>48</v>
      </c>
      <c r="K84" s="83">
        <f>I84*J84</f>
        <v/>
      </c>
      <c r="L84" s="6" t="n"/>
      <c r="M84" s="4">
        <f>B84</f>
        <v/>
      </c>
      <c r="N84" s="4" t="n"/>
      <c r="O84" s="4">
        <f>K84+K85</f>
        <v/>
      </c>
      <c r="P84" s="4" t="n"/>
      <c r="Q84" s="4" t="n"/>
      <c r="R84" s="4" t="n"/>
      <c r="S84" s="4" t="n"/>
      <c r="T84" s="10" t="n"/>
      <c r="U84" s="4" t="n"/>
      <c r="V84" s="4" t="n"/>
      <c r="W84" s="10" t="n"/>
      <c r="X84" s="4">
        <f>SUM(N84:W86)</f>
        <v/>
      </c>
      <c r="Y84" s="4">
        <f>1904.1+1959.8</f>
        <v/>
      </c>
      <c r="Z84" s="88">
        <f>X84-Y84</f>
        <v/>
      </c>
      <c r="AA84" s="4" t="n"/>
    </row>
    <row r="85" hidden="1" ht="20" customFormat="1" customHeight="1" s="20">
      <c r="A85" s="76" t="n"/>
      <c r="B85" s="76" t="n"/>
      <c r="C85" s="6" t="inlineStr">
        <is>
          <t>N2</t>
        </is>
      </c>
      <c r="D85" s="6" t="inlineStr">
        <is>
          <t>Q355MD</t>
        </is>
      </c>
      <c r="E85" s="6" t="n">
        <v>2709</v>
      </c>
      <c r="F85" s="6" t="n">
        <v>160</v>
      </c>
      <c r="G85" s="6" t="n">
        <v>12</v>
      </c>
      <c r="H85" s="6" t="n">
        <v>1</v>
      </c>
      <c r="I85" s="83">
        <f>(E85/1000)*(F85/1000)*(G85/1000)*7850</f>
        <v/>
      </c>
      <c r="J85" s="6" t="n">
        <v>48</v>
      </c>
      <c r="K85" s="83">
        <f>I85*J85</f>
        <v/>
      </c>
      <c r="L85" s="6" t="n"/>
      <c r="M85" s="76" t="n"/>
      <c r="N85" s="76" t="n"/>
      <c r="O85" s="76" t="n"/>
      <c r="P85" s="76" t="n"/>
      <c r="Q85" s="76" t="n"/>
      <c r="R85" s="76" t="n"/>
      <c r="S85" s="76" t="n"/>
      <c r="T85" s="10" t="n"/>
      <c r="U85" s="76" t="n"/>
      <c r="V85" s="76" t="n"/>
      <c r="W85" s="10" t="n"/>
      <c r="X85" s="76" t="n"/>
      <c r="Y85" s="76" t="n"/>
      <c r="Z85" s="76" t="n"/>
      <c r="AA85" s="76" t="n"/>
    </row>
    <row r="86" hidden="1" ht="20" customFormat="1" customHeight="1" s="20">
      <c r="A86" s="74" t="n"/>
      <c r="B86" s="6" t="inlineStr">
        <is>
          <t>小计</t>
        </is>
      </c>
      <c r="C86" s="73" t="n"/>
      <c r="D86" s="6" t="n"/>
      <c r="E86" s="6" t="n"/>
      <c r="F86" s="6" t="n"/>
      <c r="G86" s="6" t="n"/>
      <c r="H86" s="6" t="n"/>
      <c r="I86" s="83" t="n"/>
      <c r="J86" s="6" t="n"/>
      <c r="K86" s="83">
        <f>SUM(K84:K85)</f>
        <v/>
      </c>
      <c r="L86" s="6" t="n"/>
      <c r="M86" s="74" t="n"/>
      <c r="N86" s="74" t="n"/>
      <c r="O86" s="74" t="n"/>
      <c r="P86" s="74" t="n"/>
      <c r="Q86" s="74" t="n"/>
      <c r="R86" s="74" t="n"/>
      <c r="S86" s="74" t="n"/>
      <c r="T86" s="4" t="n"/>
      <c r="U86" s="74" t="n"/>
      <c r="V86" s="74" t="n"/>
      <c r="W86" s="4" t="n"/>
      <c r="X86" s="74" t="n"/>
      <c r="Y86" s="74" t="n"/>
      <c r="Z86" s="74" t="n"/>
      <c r="AA86" s="74" t="n"/>
    </row>
    <row r="87" ht="20" customFormat="1" customHeight="1" s="20">
      <c r="A87" s="6" t="inlineStr">
        <is>
          <t>横肋</t>
        </is>
      </c>
      <c r="B87" s="5" t="inlineStr">
        <is>
          <t>U肋</t>
        </is>
      </c>
      <c r="C87" s="6" t="inlineStr">
        <is>
          <t>N1</t>
        </is>
      </c>
      <c r="D87" s="6" t="inlineStr">
        <is>
          <t>Q355MD</t>
        </is>
      </c>
      <c r="E87" s="6" t="n"/>
      <c r="F87" s="6" t="n"/>
      <c r="G87" s="6" t="n">
        <v>20</v>
      </c>
      <c r="H87" s="6" t="n">
        <v>1</v>
      </c>
      <c r="I87" s="83" t="n">
        <v>314</v>
      </c>
      <c r="J87" s="6" t="n">
        <v>112</v>
      </c>
      <c r="K87" s="83">
        <f>I87*J87</f>
        <v/>
      </c>
      <c r="L87" s="6" t="n"/>
      <c r="M87" s="4">
        <f>B87</f>
        <v/>
      </c>
      <c r="N87" s="4" t="n"/>
      <c r="O87" s="4" t="n"/>
      <c r="P87" s="4" t="n"/>
      <c r="Q87" s="4" t="n"/>
      <c r="R87" s="4">
        <f>K87+K88</f>
        <v/>
      </c>
      <c r="S87" s="4" t="n"/>
      <c r="T87" s="10" t="n"/>
      <c r="U87" s="4" t="n"/>
      <c r="V87" s="4" t="n"/>
      <c r="W87" s="10" t="n"/>
      <c r="X87" s="4">
        <f>SUM(N87:W89)</f>
        <v/>
      </c>
      <c r="Y87" s="4">
        <f>35163.5+2008</f>
        <v/>
      </c>
      <c r="Z87" s="88">
        <f>X87-Y87</f>
        <v/>
      </c>
      <c r="AA87" s="4" t="n"/>
    </row>
    <row r="88" ht="20" customFormat="1" customHeight="1" s="20">
      <c r="A88" s="76" t="n"/>
      <c r="B88" s="76" t="n"/>
      <c r="C88" s="6" t="inlineStr">
        <is>
          <t>N2</t>
        </is>
      </c>
      <c r="D88" s="6" t="inlineStr">
        <is>
          <t>Q355MD</t>
        </is>
      </c>
      <c r="E88" s="6" t="n"/>
      <c r="F88" s="6" t="n"/>
      <c r="G88" s="6" t="n">
        <v>20</v>
      </c>
      <c r="H88" s="6" t="n">
        <v>1</v>
      </c>
      <c r="I88" s="89" t="n">
        <v>17.9</v>
      </c>
      <c r="J88" s="24" t="n">
        <v>112</v>
      </c>
      <c r="K88" s="83">
        <f>I88*J88</f>
        <v/>
      </c>
      <c r="L88" s="6" t="inlineStr">
        <is>
          <t>单件重量和数量有误需核实</t>
        </is>
      </c>
      <c r="M88" s="76" t="n"/>
      <c r="N88" s="76" t="n"/>
      <c r="O88" s="76" t="n"/>
      <c r="P88" s="76" t="n"/>
      <c r="Q88" s="76" t="n"/>
      <c r="R88" s="76" t="n"/>
      <c r="S88" s="76" t="n"/>
      <c r="T88" s="10" t="n"/>
      <c r="U88" s="76" t="n"/>
      <c r="V88" s="76" t="n"/>
      <c r="W88" s="10" t="n"/>
      <c r="X88" s="76" t="n"/>
      <c r="Y88" s="76" t="n"/>
      <c r="Z88" s="76" t="n"/>
      <c r="AA88" s="76" t="n"/>
    </row>
    <row r="89" hidden="1" ht="20" customFormat="1" customHeight="1" s="20">
      <c r="A89" s="74" t="n"/>
      <c r="B89" s="6" t="inlineStr">
        <is>
          <t>小计</t>
        </is>
      </c>
      <c r="C89" s="73" t="n"/>
      <c r="D89" s="6" t="n"/>
      <c r="E89" s="6" t="n"/>
      <c r="F89" s="6" t="n"/>
      <c r="G89" s="6" t="n"/>
      <c r="H89" s="6" t="n"/>
      <c r="I89" s="83" t="n"/>
      <c r="J89" s="6" t="n"/>
      <c r="K89" s="83">
        <f>SUM(K87:K88)</f>
        <v/>
      </c>
      <c r="L89" s="6" t="n"/>
      <c r="M89" s="74" t="n"/>
      <c r="N89" s="74" t="n"/>
      <c r="O89" s="74" t="n"/>
      <c r="P89" s="74" t="n"/>
      <c r="Q89" s="74" t="n"/>
      <c r="R89" s="74" t="n"/>
      <c r="S89" s="74" t="n"/>
      <c r="T89" s="4" t="n"/>
      <c r="U89" s="74" t="n"/>
      <c r="V89" s="74" t="n"/>
      <c r="W89" s="4" t="n"/>
      <c r="X89" s="74" t="n"/>
      <c r="Y89" s="74" t="n"/>
      <c r="Z89" s="74" t="n"/>
      <c r="AA89" s="74" t="n"/>
    </row>
    <row r="90" hidden="1" ht="20" customFormat="1" customHeight="1" s="20">
      <c r="A90" s="6" t="inlineStr">
        <is>
          <t>梁间横梁</t>
        </is>
      </c>
      <c r="B90" s="5" t="inlineStr">
        <is>
          <t>XJZ1</t>
        </is>
      </c>
      <c r="C90" s="6" t="inlineStr">
        <is>
          <t>N1</t>
        </is>
      </c>
      <c r="D90" s="6" t="inlineStr">
        <is>
          <t>Q355MD</t>
        </is>
      </c>
      <c r="E90" s="6" t="n">
        <v>1790</v>
      </c>
      <c r="F90" s="6" t="n">
        <v>2001</v>
      </c>
      <c r="G90" s="6" t="n">
        <v>16</v>
      </c>
      <c r="H90" s="6" t="n">
        <v>1</v>
      </c>
      <c r="I90" s="83">
        <f>(E90/1000)*(F90/1000)*(G90/1000)*7850</f>
        <v/>
      </c>
      <c r="J90" s="6" t="n">
        <v>24</v>
      </c>
      <c r="K90" s="83">
        <f>I90*J90</f>
        <v/>
      </c>
      <c r="L90" s="6" t="n"/>
      <c r="M90" s="4">
        <f>B90</f>
        <v/>
      </c>
      <c r="N90" s="4" t="n"/>
      <c r="O90" s="4">
        <f>K94+K95</f>
        <v/>
      </c>
      <c r="P90" s="4" t="n"/>
      <c r="Q90" s="4">
        <f>K90</f>
        <v/>
      </c>
      <c r="R90" s="4">
        <f>K91+K92+K93+K96+K97+K98</f>
        <v/>
      </c>
      <c r="S90" s="4" t="n"/>
      <c r="T90" s="4" t="n"/>
      <c r="U90" s="4" t="n"/>
      <c r="V90" s="4" t="n"/>
      <c r="W90" s="4" t="n"/>
      <c r="X90" s="4">
        <f>SUM(N90:W99)</f>
        <v/>
      </c>
      <c r="Y90" s="4" t="n">
        <v>47820.1</v>
      </c>
      <c r="Z90" s="88">
        <f>X90-Y90</f>
        <v/>
      </c>
      <c r="AA90" s="4" t="n"/>
    </row>
    <row r="91" ht="20" customFormat="1" customHeight="1" s="20">
      <c r="A91" s="76" t="n"/>
      <c r="B91" s="76" t="n"/>
      <c r="C91" s="6" t="inlineStr">
        <is>
          <t>N2</t>
        </is>
      </c>
      <c r="D91" s="6" t="inlineStr">
        <is>
          <t>Q355MD</t>
        </is>
      </c>
      <c r="E91" s="6" t="n">
        <v>1974</v>
      </c>
      <c r="F91" s="6" t="n">
        <v>285</v>
      </c>
      <c r="G91" s="6" t="n">
        <v>20</v>
      </c>
      <c r="H91" s="6" t="n">
        <v>1</v>
      </c>
      <c r="I91" s="83">
        <f>(E91/1000)*(F91/1000)*(G91/1000)*7850</f>
        <v/>
      </c>
      <c r="J91" s="6" t="n">
        <v>24</v>
      </c>
      <c r="K91" s="83">
        <f>I91*J91</f>
        <v/>
      </c>
      <c r="L91" s="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</row>
    <row r="92" ht="20" customFormat="1" customHeight="1" s="20">
      <c r="A92" s="76" t="n"/>
      <c r="B92" s="76" t="n"/>
      <c r="C92" s="6" t="inlineStr">
        <is>
          <t>N2'</t>
        </is>
      </c>
      <c r="D92" s="6" t="inlineStr">
        <is>
          <t>Q355MD</t>
        </is>
      </c>
      <c r="E92" s="6" t="n">
        <v>1974</v>
      </c>
      <c r="F92" s="6" t="n">
        <v>285</v>
      </c>
      <c r="G92" s="6" t="n">
        <v>20</v>
      </c>
      <c r="H92" s="6" t="n">
        <v>1</v>
      </c>
      <c r="I92" s="83">
        <f>(E92/1000)*(F92/1000)*(G92/1000)*7850</f>
        <v/>
      </c>
      <c r="J92" s="6" t="n">
        <v>24</v>
      </c>
      <c r="K92" s="83">
        <f>I92*J92</f>
        <v/>
      </c>
      <c r="L92" s="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</row>
    <row r="93" ht="20" customFormat="1" customHeight="1" s="20">
      <c r="A93" s="76" t="n"/>
      <c r="B93" s="76" t="n"/>
      <c r="C93" s="6" t="inlineStr">
        <is>
          <t>N3</t>
        </is>
      </c>
      <c r="D93" s="6" t="inlineStr">
        <is>
          <t>Q355MD</t>
        </is>
      </c>
      <c r="E93" s="6" t="n">
        <v>1974</v>
      </c>
      <c r="F93" s="6" t="n">
        <v>2001</v>
      </c>
      <c r="G93" s="6" t="n">
        <v>20</v>
      </c>
      <c r="H93" s="6" t="n">
        <v>1</v>
      </c>
      <c r="I93" s="83" t="n">
        <v>618.9</v>
      </c>
      <c r="J93" s="6" t="n">
        <v>24</v>
      </c>
      <c r="K93" s="83">
        <f>I93*J93</f>
        <v/>
      </c>
      <c r="L93" s="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</row>
    <row r="94" hidden="1" ht="20" customFormat="1" customHeight="1" s="20">
      <c r="A94" s="76" t="n"/>
      <c r="B94" s="76" t="n"/>
      <c r="C94" s="6" t="inlineStr">
        <is>
          <t>N4</t>
        </is>
      </c>
      <c r="D94" s="6" t="inlineStr">
        <is>
          <t>Q355MD</t>
        </is>
      </c>
      <c r="E94" s="6" t="n">
        <v>1970</v>
      </c>
      <c r="F94" s="6" t="n">
        <v>1230</v>
      </c>
      <c r="G94" s="6" t="n">
        <v>12</v>
      </c>
      <c r="H94" s="6" t="n">
        <v>5</v>
      </c>
      <c r="I94" s="89" t="n">
        <v>411.4</v>
      </c>
      <c r="J94" s="6" t="n">
        <v>24</v>
      </c>
      <c r="K94" s="83">
        <f>I94*J94</f>
        <v/>
      </c>
      <c r="L94" s="6" t="inlineStr">
        <is>
          <t>需设计核实</t>
        </is>
      </c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</row>
    <row r="95" hidden="1" ht="20" customFormat="1" customHeight="1" s="20">
      <c r="A95" s="76" t="n"/>
      <c r="B95" s="76" t="n"/>
      <c r="C95" s="6" t="inlineStr">
        <is>
          <t>N4'</t>
        </is>
      </c>
      <c r="D95" s="6" t="inlineStr">
        <is>
          <t>Q355MD</t>
        </is>
      </c>
      <c r="E95" s="6" t="n">
        <v>1970</v>
      </c>
      <c r="F95" s="6" t="n">
        <v>440</v>
      </c>
      <c r="G95" s="6" t="n">
        <v>12</v>
      </c>
      <c r="H95" s="6" t="n">
        <v>5</v>
      </c>
      <c r="I95" s="83" t="n">
        <v>197.3</v>
      </c>
      <c r="J95" s="6" t="n">
        <v>24</v>
      </c>
      <c r="K95" s="83">
        <f>I95*J95</f>
        <v/>
      </c>
      <c r="L95" s="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</row>
    <row r="96" ht="20" customFormat="1" customHeight="1" s="20">
      <c r="A96" s="76" t="n"/>
      <c r="B96" s="76" t="n"/>
      <c r="C96" s="6" t="inlineStr">
        <is>
          <t>N5</t>
        </is>
      </c>
      <c r="D96" s="6" t="inlineStr">
        <is>
          <t>Q355MD</t>
        </is>
      </c>
      <c r="E96" s="6" t="n">
        <v>300</v>
      </c>
      <c r="F96" s="6" t="n">
        <v>300</v>
      </c>
      <c r="G96" s="6" t="n">
        <v>20</v>
      </c>
      <c r="H96" s="6" t="n">
        <v>2</v>
      </c>
      <c r="I96" s="83">
        <f>(E96/1000)*(F96/1000)*(G96/1000)*7850*H96</f>
        <v/>
      </c>
      <c r="J96" s="6" t="n">
        <v>24</v>
      </c>
      <c r="K96" s="83">
        <f>I96*J96</f>
        <v/>
      </c>
      <c r="L96" s="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  <c r="AA96" s="76" t="n"/>
    </row>
    <row r="97" ht="20" customFormat="1" customHeight="1" s="20">
      <c r="A97" s="76" t="n"/>
      <c r="B97" s="76" t="n"/>
      <c r="C97" s="6" t="inlineStr">
        <is>
          <t>N6</t>
        </is>
      </c>
      <c r="D97" s="6" t="inlineStr">
        <is>
          <t>Q355MD</t>
        </is>
      </c>
      <c r="E97" s="6" t="n">
        <v>2001</v>
      </c>
      <c r="F97" s="6" t="n">
        <v>300</v>
      </c>
      <c r="G97" s="6" t="n">
        <v>20</v>
      </c>
      <c r="H97" s="6" t="n">
        <v>1</v>
      </c>
      <c r="I97" s="83">
        <f>(E97/1000)*(F97/1000)*(G97/1000)*7850*H97</f>
        <v/>
      </c>
      <c r="J97" s="6" t="n">
        <v>24</v>
      </c>
      <c r="K97" s="83">
        <f>I97*J97</f>
        <v/>
      </c>
      <c r="L97" s="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  <c r="AA97" s="76" t="n"/>
    </row>
    <row r="98" ht="20" customFormat="1" customHeight="1" s="20">
      <c r="A98" s="76" t="n"/>
      <c r="B98" s="76" t="n"/>
      <c r="C98" s="6" t="inlineStr">
        <is>
          <t>N7</t>
        </is>
      </c>
      <c r="D98" s="6" t="inlineStr">
        <is>
          <t>Q355MD</t>
        </is>
      </c>
      <c r="E98" s="6" t="n">
        <v>180</v>
      </c>
      <c r="F98" s="6" t="n">
        <v>140</v>
      </c>
      <c r="G98" s="6" t="n">
        <v>20</v>
      </c>
      <c r="H98" s="6" t="n">
        <v>4</v>
      </c>
      <c r="I98" s="83">
        <f>(E98/1000)*(F98/1000)*(G98/1000)*7850*H98</f>
        <v/>
      </c>
      <c r="J98" s="6" t="n">
        <v>24</v>
      </c>
      <c r="K98" s="83">
        <f>I98*J98</f>
        <v/>
      </c>
      <c r="L98" s="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</row>
    <row r="99" hidden="1" ht="20" customFormat="1" customHeight="1" s="20">
      <c r="A99" s="74" t="n"/>
      <c r="B99" s="6" t="inlineStr">
        <is>
          <t>小计</t>
        </is>
      </c>
      <c r="C99" s="73" t="n"/>
      <c r="D99" s="6" t="n"/>
      <c r="E99" s="6" t="n"/>
      <c r="F99" s="6" t="n"/>
      <c r="G99" s="6" t="n"/>
      <c r="H99" s="6" t="n"/>
      <c r="I99" s="87" t="n"/>
      <c r="J99" s="6" t="n"/>
      <c r="K99" s="83">
        <f>SUM(K90:K98)</f>
        <v/>
      </c>
      <c r="L99" s="6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</row>
    <row r="100" hidden="1" ht="20" customFormat="1" customHeight="1" s="20">
      <c r="A100" s="6" t="inlineStr">
        <is>
          <t>梁间横梁</t>
        </is>
      </c>
      <c r="B100" s="5" t="inlineStr">
        <is>
          <t>XJZ2</t>
        </is>
      </c>
      <c r="C100" s="6" t="inlineStr">
        <is>
          <t>N1</t>
        </is>
      </c>
      <c r="D100" s="6" t="inlineStr">
        <is>
          <t>Q355MD</t>
        </is>
      </c>
      <c r="E100" s="6" t="n">
        <v>2000</v>
      </c>
      <c r="F100" s="6" t="n">
        <v>600</v>
      </c>
      <c r="G100" s="6" t="n">
        <v>16</v>
      </c>
      <c r="H100" s="6" t="n">
        <v>1</v>
      </c>
      <c r="I100" s="83">
        <f>(E100/1000)*(F100/1000)*(G100/1000)*7850</f>
        <v/>
      </c>
      <c r="J100" s="6" t="n">
        <v>8</v>
      </c>
      <c r="K100" s="83">
        <f>I100*J100</f>
        <v/>
      </c>
      <c r="L100" s="6" t="n"/>
      <c r="M100" s="4">
        <f>B100</f>
        <v/>
      </c>
      <c r="N100" s="4" t="n"/>
      <c r="O100" s="4">
        <f>K104+K105</f>
        <v/>
      </c>
      <c r="P100" s="4" t="n"/>
      <c r="Q100" s="4">
        <f>K100+K106</f>
        <v/>
      </c>
      <c r="R100" s="4">
        <f>K101+K102+K103</f>
        <v/>
      </c>
      <c r="S100" s="4" t="n"/>
      <c r="T100" s="4" t="n"/>
      <c r="U100" s="4" t="n"/>
      <c r="V100" s="4" t="n"/>
      <c r="W100" s="4" t="n"/>
      <c r="X100" s="4">
        <f>SUM(N100:W107)</f>
        <v/>
      </c>
      <c r="Y100" s="4">
        <f>1205.8+4958.7+1418.2+1256+351.7+833.1+170.7</f>
        <v/>
      </c>
      <c r="Z100" s="88">
        <f>X100-Y100</f>
        <v/>
      </c>
      <c r="AA100" s="4" t="n"/>
    </row>
    <row r="101" ht="20" customFormat="1" customHeight="1" s="20">
      <c r="A101" s="76" t="n"/>
      <c r="B101" s="76" t="n"/>
      <c r="C101" s="6" t="inlineStr">
        <is>
          <t>N2</t>
        </is>
      </c>
      <c r="D101" s="6" t="inlineStr">
        <is>
          <t>Q355MD</t>
        </is>
      </c>
      <c r="E101" s="6" t="n">
        <v>1974</v>
      </c>
      <c r="F101" s="6" t="n">
        <v>2000</v>
      </c>
      <c r="G101" s="6" t="n">
        <v>20</v>
      </c>
      <c r="H101" s="6" t="n">
        <v>1</v>
      </c>
      <c r="I101" s="83">
        <f>(E101/1000)*(F101/1000)*(G101/1000)*7850</f>
        <v/>
      </c>
      <c r="J101" s="6" t="n">
        <v>8</v>
      </c>
      <c r="K101" s="83">
        <f>I101*J101</f>
        <v/>
      </c>
      <c r="L101" s="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  <c r="AA101" s="76" t="n"/>
    </row>
    <row r="102" ht="20" customFormat="1" customHeight="1" s="20">
      <c r="A102" s="76" t="n"/>
      <c r="B102" s="76" t="n"/>
      <c r="C102" s="6" t="inlineStr">
        <is>
          <t>N3</t>
        </is>
      </c>
      <c r="D102" s="6" t="inlineStr">
        <is>
          <t>Q355MD</t>
        </is>
      </c>
      <c r="E102" s="6" t="n">
        <v>1974</v>
      </c>
      <c r="F102" s="6" t="n">
        <v>286</v>
      </c>
      <c r="G102" s="6" t="n">
        <v>20</v>
      </c>
      <c r="H102" s="6" t="n">
        <v>2</v>
      </c>
      <c r="I102" s="83">
        <f>(E102/1000)*(F102/1000)*(G102/1000)*7850*H102</f>
        <v/>
      </c>
      <c r="J102" s="6" t="n">
        <v>8</v>
      </c>
      <c r="K102" s="83">
        <f>I102*J102</f>
        <v/>
      </c>
      <c r="L102" s="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  <c r="AA102" s="76" t="n"/>
    </row>
    <row r="103" ht="20" customFormat="1" customHeight="1" s="20">
      <c r="A103" s="76" t="n"/>
      <c r="B103" s="76" t="n"/>
      <c r="C103" s="6" t="inlineStr">
        <is>
          <t>N4</t>
        </is>
      </c>
      <c r="D103" s="6" t="inlineStr">
        <is>
          <t>Q355MD</t>
        </is>
      </c>
      <c r="E103" s="6" t="n">
        <v>2000</v>
      </c>
      <c r="F103" s="6" t="n">
        <v>500</v>
      </c>
      <c r="G103" s="6" t="n">
        <v>20</v>
      </c>
      <c r="H103" s="6" t="n">
        <v>1</v>
      </c>
      <c r="I103" s="83">
        <f>(E103/1000)*(F103/1000)*(G103/1000)*7850*H103</f>
        <v/>
      </c>
      <c r="J103" s="6" t="n">
        <v>8</v>
      </c>
      <c r="K103" s="83">
        <f>I103*J103</f>
        <v/>
      </c>
      <c r="L103" s="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76" t="n"/>
    </row>
    <row r="104" hidden="1" ht="20" customFormat="1" customHeight="1" s="20">
      <c r="A104" s="76" t="n"/>
      <c r="B104" s="76" t="n"/>
      <c r="C104" s="6" t="inlineStr">
        <is>
          <t>N5</t>
        </is>
      </c>
      <c r="D104" s="6" t="inlineStr">
        <is>
          <t>Q355MD</t>
        </is>
      </c>
      <c r="E104" s="6" t="n">
        <v>280</v>
      </c>
      <c r="F104" s="6" t="n">
        <v>500</v>
      </c>
      <c r="G104" s="6" t="n">
        <v>12</v>
      </c>
      <c r="H104" s="6" t="n">
        <v>2</v>
      </c>
      <c r="I104" s="83" t="n">
        <v>44</v>
      </c>
      <c r="J104" s="6" t="n">
        <v>8</v>
      </c>
      <c r="K104" s="83">
        <f>I104*J104</f>
        <v/>
      </c>
      <c r="L104" s="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  <c r="AA104" s="76" t="n"/>
    </row>
    <row r="105" hidden="1" ht="20" customFormat="1" customHeight="1" s="20">
      <c r="A105" s="76" t="n"/>
      <c r="B105" s="76" t="n"/>
      <c r="C105" s="6" t="inlineStr">
        <is>
          <t>N6</t>
        </is>
      </c>
      <c r="D105" s="6" t="inlineStr">
        <is>
          <t>Q355MD</t>
        </is>
      </c>
      <c r="E105" s="6" t="n">
        <v>1974</v>
      </c>
      <c r="F105" s="6" t="n">
        <v>140</v>
      </c>
      <c r="G105" s="6" t="n">
        <v>12</v>
      </c>
      <c r="H105" s="6" t="n">
        <v>4</v>
      </c>
      <c r="I105" s="83">
        <f>(E105/1000)*(F105/1000)*(G105/1000)*7850*H105</f>
        <v/>
      </c>
      <c r="J105" s="6" t="n">
        <v>8</v>
      </c>
      <c r="K105" s="83">
        <f>I105*J105</f>
        <v/>
      </c>
      <c r="L105" s="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  <c r="AA105" s="76" t="n"/>
    </row>
    <row r="106" hidden="1" ht="20" customFormat="1" customHeight="1" s="20">
      <c r="A106" s="76" t="n"/>
      <c r="B106" s="76" t="n"/>
      <c r="C106" s="6" t="inlineStr">
        <is>
          <t>N7</t>
        </is>
      </c>
      <c r="D106" s="6" t="inlineStr">
        <is>
          <t>Q355MD</t>
        </is>
      </c>
      <c r="E106" s="6" t="n">
        <v>236</v>
      </c>
      <c r="F106" s="6" t="n">
        <v>180</v>
      </c>
      <c r="G106" s="6" t="n">
        <v>16</v>
      </c>
      <c r="H106" s="6" t="n">
        <v>4</v>
      </c>
      <c r="I106" s="83">
        <f>(E106/1000)*(F106/1000)*(G106/1000)*7850*H106</f>
        <v/>
      </c>
      <c r="J106" s="6" t="n">
        <v>8</v>
      </c>
      <c r="K106" s="83">
        <f>I106*J106</f>
        <v/>
      </c>
      <c r="L106" s="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  <c r="AA106" s="76" t="n"/>
    </row>
    <row r="107" hidden="1" ht="20" customFormat="1" customHeight="1" s="20">
      <c r="A107" s="74" t="n"/>
      <c r="B107" s="6" t="inlineStr">
        <is>
          <t>小计</t>
        </is>
      </c>
      <c r="C107" s="73" t="n"/>
      <c r="D107" s="6" t="n"/>
      <c r="E107" s="6" t="n"/>
      <c r="F107" s="6" t="n"/>
      <c r="G107" s="6" t="n"/>
      <c r="H107" s="6" t="n"/>
      <c r="I107" s="87" t="n"/>
      <c r="J107" s="6" t="n"/>
      <c r="K107" s="83">
        <f>SUM(K100:K106)</f>
        <v/>
      </c>
      <c r="L107" s="6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</row>
    <row r="108" hidden="1" ht="20" customFormat="1" customHeight="1" s="20">
      <c r="A108" s="6" t="inlineStr">
        <is>
          <t>梁间横梁</t>
        </is>
      </c>
      <c r="B108" s="5" t="inlineStr">
        <is>
          <t>XJZ3</t>
        </is>
      </c>
      <c r="C108" s="6" t="inlineStr">
        <is>
          <t>N1</t>
        </is>
      </c>
      <c r="D108" s="6" t="inlineStr">
        <is>
          <t>Q355MD</t>
        </is>
      </c>
      <c r="E108" s="6" t="n">
        <v>2000</v>
      </c>
      <c r="F108" s="6" t="n">
        <v>600</v>
      </c>
      <c r="G108" s="6" t="n">
        <v>16</v>
      </c>
      <c r="H108" s="6" t="n">
        <v>1</v>
      </c>
      <c r="I108" s="83">
        <f>(E108/1000)*(F108/1000)*(G108/1000)*7850*H108</f>
        <v/>
      </c>
      <c r="J108" s="6" t="n">
        <v>16</v>
      </c>
      <c r="K108" s="83">
        <f>I108*J108</f>
        <v/>
      </c>
      <c r="L108" s="6" t="n"/>
      <c r="M108" s="4">
        <f>B108</f>
        <v/>
      </c>
      <c r="N108" s="4" t="n"/>
      <c r="O108" s="88">
        <f>K114</f>
        <v/>
      </c>
      <c r="P108" s="88" t="n"/>
      <c r="Q108" s="88">
        <f>K108+K115</f>
        <v/>
      </c>
      <c r="R108" s="88">
        <f>K109+K110+K111+K112+K113</f>
        <v/>
      </c>
      <c r="S108" s="88" t="n"/>
      <c r="T108" s="88" t="n"/>
      <c r="U108" s="88" t="n"/>
      <c r="V108" s="88" t="n"/>
      <c r="W108" s="88" t="n"/>
      <c r="X108" s="88">
        <f>SUM(N108:W116)</f>
        <v/>
      </c>
      <c r="Y108" s="4">
        <f>2411.5+9922.4+1413.2+1372.3+2512+703.4+1667+170.7</f>
        <v/>
      </c>
      <c r="Z108" s="88">
        <f>X108-Y108</f>
        <v/>
      </c>
      <c r="AA108" s="4" t="n"/>
    </row>
    <row r="109" ht="20" customFormat="1" customHeight="1" s="20">
      <c r="A109" s="76" t="n"/>
      <c r="B109" s="76" t="n"/>
      <c r="C109" s="6" t="inlineStr">
        <is>
          <t>N2</t>
        </is>
      </c>
      <c r="D109" s="6" t="inlineStr">
        <is>
          <t>Q355MD</t>
        </is>
      </c>
      <c r="E109" s="6" t="n">
        <v>1975</v>
      </c>
      <c r="F109" s="6" t="n">
        <v>2000</v>
      </c>
      <c r="G109" s="6" t="n">
        <v>20</v>
      </c>
      <c r="H109" s="6" t="n">
        <v>1</v>
      </c>
      <c r="I109" s="83">
        <f>(E109/1000)*(F109/1000)*(G109/1000)*7850*H109</f>
        <v/>
      </c>
      <c r="J109" s="6" t="n">
        <v>16</v>
      </c>
      <c r="K109" s="83">
        <f>I109*J109</f>
        <v/>
      </c>
      <c r="L109" s="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  <c r="AA109" s="76" t="n"/>
    </row>
    <row r="110" ht="20" customFormat="1" customHeight="1" s="20">
      <c r="A110" s="76" t="n"/>
      <c r="B110" s="76" t="n"/>
      <c r="C110" s="6" t="inlineStr">
        <is>
          <t>N3</t>
        </is>
      </c>
      <c r="D110" s="6" t="inlineStr">
        <is>
          <t>Q355MD</t>
        </is>
      </c>
      <c r="E110" s="6" t="n">
        <v>1967</v>
      </c>
      <c r="F110" s="6" t="n">
        <v>286</v>
      </c>
      <c r="G110" s="6" t="n">
        <v>20</v>
      </c>
      <c r="H110" s="6" t="n">
        <v>1</v>
      </c>
      <c r="I110" s="83">
        <f>(E110/1000)*(F110/1000)*(G110/1000)*7850*H110</f>
        <v/>
      </c>
      <c r="J110" s="6" t="n">
        <v>16</v>
      </c>
      <c r="K110" s="83">
        <f>I110*J110</f>
        <v/>
      </c>
      <c r="L110" s="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  <c r="AA110" s="76" t="n"/>
    </row>
    <row r="111" ht="20" customFormat="1" customHeight="1" s="20">
      <c r="A111" s="76" t="n"/>
      <c r="B111" s="76" t="n"/>
      <c r="C111" s="6" t="inlineStr">
        <is>
          <t>N3a</t>
        </is>
      </c>
      <c r="D111" s="6" t="inlineStr">
        <is>
          <t>Q355MD</t>
        </is>
      </c>
      <c r="E111" s="6" t="n">
        <v>1951</v>
      </c>
      <c r="F111" s="6" t="n">
        <v>280</v>
      </c>
      <c r="G111" s="6" t="n">
        <v>20</v>
      </c>
      <c r="H111" s="6" t="n">
        <v>1</v>
      </c>
      <c r="I111" s="83">
        <f>(E111/1000)*(F111/1000)*(G111/1000)*7850*H111</f>
        <v/>
      </c>
      <c r="J111" s="6" t="n">
        <v>16</v>
      </c>
      <c r="K111" s="83">
        <f>I111*J111</f>
        <v/>
      </c>
      <c r="L111" s="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</row>
    <row r="112" ht="20" customFormat="1" customHeight="1" s="20">
      <c r="A112" s="76" t="n"/>
      <c r="B112" s="76" t="n"/>
      <c r="C112" s="6" t="inlineStr">
        <is>
          <t>N4</t>
        </is>
      </c>
      <c r="D112" s="6" t="inlineStr">
        <is>
          <t>Q355MD</t>
        </is>
      </c>
      <c r="E112" s="6" t="n">
        <v>2000</v>
      </c>
      <c r="F112" s="6" t="n">
        <v>500</v>
      </c>
      <c r="G112" s="6" t="n">
        <v>20</v>
      </c>
      <c r="H112" s="6" t="n">
        <v>1</v>
      </c>
      <c r="I112" s="83">
        <f>(E112/1000)*(F112/1000)*(G112/1000)*7850*H112</f>
        <v/>
      </c>
      <c r="J112" s="6" t="n">
        <v>16</v>
      </c>
      <c r="K112" s="83">
        <f>I112*J112</f>
        <v/>
      </c>
      <c r="L112" s="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</row>
    <row r="113" ht="20" customFormat="1" customHeight="1" s="20">
      <c r="A113" s="76" t="n"/>
      <c r="B113" s="76" t="n"/>
      <c r="C113" s="6" t="inlineStr">
        <is>
          <t>N5</t>
        </is>
      </c>
      <c r="D113" s="6" t="inlineStr">
        <is>
          <t>Q355MD</t>
        </is>
      </c>
      <c r="E113" s="6" t="n">
        <v>280</v>
      </c>
      <c r="F113" s="6" t="n">
        <v>500</v>
      </c>
      <c r="G113" s="6" t="n">
        <v>20</v>
      </c>
      <c r="H113" s="6" t="n">
        <v>2</v>
      </c>
      <c r="I113" s="83" t="n">
        <v>44</v>
      </c>
      <c r="J113" s="6" t="n">
        <v>16</v>
      </c>
      <c r="K113" s="83">
        <f>I113*J113</f>
        <v/>
      </c>
      <c r="L113" s="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</row>
    <row r="114" hidden="1" ht="20" customFormat="1" customHeight="1" s="20">
      <c r="A114" s="76" t="n"/>
      <c r="B114" s="76" t="n"/>
      <c r="C114" s="6" t="inlineStr">
        <is>
          <t>N6</t>
        </is>
      </c>
      <c r="D114" s="6" t="inlineStr">
        <is>
          <t>Q355MD</t>
        </is>
      </c>
      <c r="E114" s="6" t="n">
        <v>1975</v>
      </c>
      <c r="F114" s="6" t="n">
        <v>140</v>
      </c>
      <c r="G114" s="6" t="n">
        <v>12</v>
      </c>
      <c r="H114" s="6" t="n">
        <v>4</v>
      </c>
      <c r="I114" s="83">
        <f>(E114/1000)*(F114/1000)*(G114/1000)*7850*H114</f>
        <v/>
      </c>
      <c r="J114" s="6" t="n">
        <v>16</v>
      </c>
      <c r="K114" s="83">
        <f>I114*J114</f>
        <v/>
      </c>
      <c r="L114" s="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</row>
    <row r="115" hidden="1" ht="20" customFormat="1" customHeight="1" s="20">
      <c r="A115" s="76" t="n"/>
      <c r="B115" s="76" t="n"/>
      <c r="C115" s="6" t="inlineStr">
        <is>
          <t>N7</t>
        </is>
      </c>
      <c r="D115" s="6" t="inlineStr">
        <is>
          <t>Q355MD</t>
        </is>
      </c>
      <c r="E115" s="6" t="n">
        <v>236</v>
      </c>
      <c r="F115" s="6" t="n">
        <v>180</v>
      </c>
      <c r="G115" s="6" t="n">
        <v>16</v>
      </c>
      <c r="H115" s="6" t="n">
        <v>2</v>
      </c>
      <c r="I115" s="83">
        <f>(E115/1000)*(F115/1000)*(G115/1000)*7850*H115</f>
        <v/>
      </c>
      <c r="J115" s="6" t="n">
        <v>16</v>
      </c>
      <c r="K115" s="83">
        <f>I115*J115</f>
        <v/>
      </c>
      <c r="L115" s="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</row>
    <row r="116" hidden="1" ht="20" customFormat="1" customHeight="1" s="20">
      <c r="A116" s="74" t="n"/>
      <c r="B116" s="6" t="inlineStr">
        <is>
          <t>小计</t>
        </is>
      </c>
      <c r="C116" s="73" t="n"/>
      <c r="D116" s="6" t="n"/>
      <c r="E116" s="6" t="n"/>
      <c r="F116" s="6" t="n"/>
      <c r="G116" s="6" t="n"/>
      <c r="H116" s="6" t="n"/>
      <c r="I116" s="87" t="n"/>
      <c r="J116" s="6" t="n"/>
      <c r="K116" s="83">
        <f>SUM(K108:K115)</f>
        <v/>
      </c>
      <c r="L116" s="6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</row>
    <row r="117" hidden="1" ht="20" customFormat="1" customHeight="1" s="20">
      <c r="A117" s="6" t="inlineStr">
        <is>
          <t>梁间横梁</t>
        </is>
      </c>
      <c r="B117" s="5" t="inlineStr">
        <is>
          <t>XJZ4</t>
        </is>
      </c>
      <c r="C117" s="6" t="inlineStr">
        <is>
          <t>N1</t>
        </is>
      </c>
      <c r="D117" s="6" t="inlineStr">
        <is>
          <t>Q355MD</t>
        </is>
      </c>
      <c r="E117" s="24" t="n">
        <v>2000</v>
      </c>
      <c r="F117" s="6" t="n">
        <v>600</v>
      </c>
      <c r="G117" s="6" t="n">
        <v>16</v>
      </c>
      <c r="H117" s="6" t="n">
        <v>1</v>
      </c>
      <c r="I117" s="83">
        <f>(E117/1000)*(F117/1000)*(G117/1000)*7850*H117</f>
        <v/>
      </c>
      <c r="J117" s="6" t="n">
        <v>24</v>
      </c>
      <c r="K117" s="83">
        <f>I117*J117</f>
        <v/>
      </c>
      <c r="L117" s="6" t="inlineStr">
        <is>
          <t>尺寸有误</t>
        </is>
      </c>
      <c r="M117" s="4">
        <f>B117</f>
        <v/>
      </c>
      <c r="N117" s="4" t="n"/>
      <c r="O117" s="88">
        <f>K123</f>
        <v/>
      </c>
      <c r="P117" s="88" t="n"/>
      <c r="Q117" s="88">
        <f>K117</f>
        <v/>
      </c>
      <c r="R117" s="88">
        <f>K118+K119+K120+K121+K122</f>
        <v/>
      </c>
      <c r="S117" s="88" t="n"/>
      <c r="T117" s="88" t="n"/>
      <c r="U117" s="88" t="n"/>
      <c r="V117" s="88" t="n"/>
      <c r="W117" s="88" t="n"/>
      <c r="X117" s="88">
        <f>SUM(N117:W124)</f>
        <v/>
      </c>
      <c r="Y117" s="4">
        <f>3617.3+14139.4+2058.4+2793.5+3768+1055+2500.4</f>
        <v/>
      </c>
      <c r="Z117" s="88">
        <f>X117-Y117</f>
        <v/>
      </c>
      <c r="AA117" s="4" t="n"/>
    </row>
    <row r="118" ht="20" customFormat="1" customHeight="1" s="20">
      <c r="A118" s="76" t="n"/>
      <c r="B118" s="76" t="n"/>
      <c r="C118" s="6" t="inlineStr">
        <is>
          <t>N2</t>
        </is>
      </c>
      <c r="D118" s="6" t="inlineStr">
        <is>
          <t>Q355MD</t>
        </is>
      </c>
      <c r="E118" s="6" t="n">
        <v>1975</v>
      </c>
      <c r="F118" s="6" t="n">
        <v>1900</v>
      </c>
      <c r="G118" s="6" t="n">
        <v>20</v>
      </c>
      <c r="H118" s="6" t="n">
        <v>1</v>
      </c>
      <c r="I118" s="83">
        <f>(E118/1000)*(F118/1000)*(G118/1000)*7850*H118</f>
        <v/>
      </c>
      <c r="J118" s="6" t="n">
        <v>24</v>
      </c>
      <c r="K118" s="83">
        <f>I118*J118</f>
        <v/>
      </c>
      <c r="L118" s="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</row>
    <row r="119" ht="20" customFormat="1" customHeight="1" s="20">
      <c r="A119" s="76" t="n"/>
      <c r="B119" s="76" t="n"/>
      <c r="C119" s="6" t="inlineStr">
        <is>
          <t>N3</t>
        </is>
      </c>
      <c r="D119" s="6" t="inlineStr">
        <is>
          <t>Q355MD</t>
        </is>
      </c>
      <c r="E119" s="6" t="n">
        <v>1951</v>
      </c>
      <c r="F119" s="6" t="n">
        <v>280</v>
      </c>
      <c r="G119" s="6" t="n">
        <v>20</v>
      </c>
      <c r="H119" s="6" t="n">
        <v>1</v>
      </c>
      <c r="I119" s="83">
        <f>(E119/1000)*(F119/1000)*(G119/1000)*7850*H119</f>
        <v/>
      </c>
      <c r="J119" s="6" t="n">
        <v>24</v>
      </c>
      <c r="K119" s="83">
        <f>I119*J119</f>
        <v/>
      </c>
      <c r="L119" s="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</row>
    <row r="120" ht="20" customFormat="1" customHeight="1" s="20">
      <c r="A120" s="76" t="n"/>
      <c r="B120" s="76" t="n"/>
      <c r="C120" s="6" t="inlineStr">
        <is>
          <t>N3a</t>
        </is>
      </c>
      <c r="D120" s="6" t="inlineStr">
        <is>
          <t>Q355MD</t>
        </is>
      </c>
      <c r="E120" s="6" t="n">
        <v>1951</v>
      </c>
      <c r="F120" s="6" t="n">
        <v>380</v>
      </c>
      <c r="G120" s="6" t="n">
        <v>20</v>
      </c>
      <c r="H120" s="6" t="n">
        <v>1</v>
      </c>
      <c r="I120" s="83">
        <f>(E120/1000)*(F120/1000)*(G120/1000)*7850*H120</f>
        <v/>
      </c>
      <c r="J120" s="6" t="n">
        <v>24</v>
      </c>
      <c r="K120" s="83">
        <f>I120*J120</f>
        <v/>
      </c>
      <c r="L120" s="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</row>
    <row r="121" ht="20" customFormat="1" customHeight="1" s="20">
      <c r="A121" s="76" t="n"/>
      <c r="B121" s="76" t="n"/>
      <c r="C121" s="6" t="inlineStr">
        <is>
          <t>N4</t>
        </is>
      </c>
      <c r="D121" s="6" t="inlineStr">
        <is>
          <t>Q355MD</t>
        </is>
      </c>
      <c r="E121" s="24" t="n">
        <v>2000</v>
      </c>
      <c r="F121" s="6" t="n">
        <v>500</v>
      </c>
      <c r="G121" s="6" t="n">
        <v>20</v>
      </c>
      <c r="H121" s="6" t="n">
        <v>1</v>
      </c>
      <c r="I121" s="83">
        <f>(E121/1000)*(F121/1000)*(G121/1000)*7850*H121</f>
        <v/>
      </c>
      <c r="J121" s="6" t="n">
        <v>24</v>
      </c>
      <c r="K121" s="83">
        <f>I121*J121</f>
        <v/>
      </c>
      <c r="L121" s="6" t="inlineStr">
        <is>
          <t>尺寸有误</t>
        </is>
      </c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</row>
    <row r="122" ht="20" customFormat="1" customHeight="1" s="20">
      <c r="A122" s="76" t="n"/>
      <c r="B122" s="76" t="n"/>
      <c r="C122" s="6" t="inlineStr">
        <is>
          <t>N5</t>
        </is>
      </c>
      <c r="D122" s="6" t="inlineStr">
        <is>
          <t>Q355MD</t>
        </is>
      </c>
      <c r="E122" s="24" t="n">
        <v>280</v>
      </c>
      <c r="F122" s="6" t="n">
        <v>500</v>
      </c>
      <c r="G122" s="6" t="n">
        <v>20</v>
      </c>
      <c r="H122" s="6" t="n">
        <v>2</v>
      </c>
      <c r="I122" s="83" t="n">
        <v>44</v>
      </c>
      <c r="J122" s="6" t="n">
        <v>24</v>
      </c>
      <c r="K122" s="83">
        <f>I122*J122</f>
        <v/>
      </c>
      <c r="L122" s="6" t="inlineStr">
        <is>
          <t>尺寸有误</t>
        </is>
      </c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</row>
    <row r="123" hidden="1" ht="20" customFormat="1" customHeight="1" s="20">
      <c r="A123" s="76" t="n"/>
      <c r="B123" s="76" t="n"/>
      <c r="C123" s="6" t="inlineStr">
        <is>
          <t>N6</t>
        </is>
      </c>
      <c r="D123" s="6" t="inlineStr">
        <is>
          <t>Q355MD</t>
        </is>
      </c>
      <c r="E123" s="6" t="n">
        <v>1975</v>
      </c>
      <c r="F123" s="6" t="n">
        <v>140</v>
      </c>
      <c r="G123" s="6" t="n">
        <v>12</v>
      </c>
      <c r="H123" s="6" t="n">
        <v>4</v>
      </c>
      <c r="I123" s="83">
        <f>(E123/1000)*(F123/1000)*(G123/1000)*7850*H123</f>
        <v/>
      </c>
      <c r="J123" s="6" t="n">
        <v>24</v>
      </c>
      <c r="K123" s="83">
        <f>I123*J123</f>
        <v/>
      </c>
      <c r="L123" s="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</row>
    <row r="124" hidden="1" ht="20" customFormat="1" customHeight="1" s="20">
      <c r="A124" s="74" t="n"/>
      <c r="B124" s="6" t="inlineStr">
        <is>
          <t>小计</t>
        </is>
      </c>
      <c r="C124" s="73" t="n"/>
      <c r="D124" s="6" t="n"/>
      <c r="E124" s="6" t="n"/>
      <c r="F124" s="6" t="n"/>
      <c r="G124" s="6" t="n"/>
      <c r="H124" s="6" t="n"/>
      <c r="I124" s="87" t="n"/>
      <c r="J124" s="6" t="n"/>
      <c r="K124" s="83">
        <f>SUM(K117:K123)</f>
        <v/>
      </c>
      <c r="L124" s="6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</row>
    <row r="125" hidden="1" ht="20" customFormat="1" customHeight="1" s="20">
      <c r="A125" s="6" t="inlineStr">
        <is>
          <t>梁间横梁</t>
        </is>
      </c>
      <c r="B125" s="5" t="inlineStr">
        <is>
          <t>XJHL1</t>
        </is>
      </c>
      <c r="C125" s="6" t="inlineStr">
        <is>
          <t>HL1-T1</t>
        </is>
      </c>
      <c r="D125" s="6" t="inlineStr">
        <is>
          <t>Q355MD</t>
        </is>
      </c>
      <c r="E125" s="6" t="n">
        <v>2000</v>
      </c>
      <c r="F125" s="6" t="n">
        <v>300</v>
      </c>
      <c r="G125" s="6" t="n">
        <v>12</v>
      </c>
      <c r="H125" s="6" t="n">
        <v>1</v>
      </c>
      <c r="I125" s="83">
        <f>(E125/1000)*(F125/1000)*(G125/1000)*7850*H125</f>
        <v/>
      </c>
      <c r="J125" s="6" t="n">
        <v>24</v>
      </c>
      <c r="K125" s="83">
        <f>I125*J125</f>
        <v/>
      </c>
      <c r="L125" s="6" t="n"/>
      <c r="M125" s="4">
        <f>B125</f>
        <v/>
      </c>
      <c r="N125" s="88">
        <f>K130</f>
        <v/>
      </c>
      <c r="O125" s="88">
        <f>K125+K126+K127+K128+K129</f>
        <v/>
      </c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>
        <f>SUM(N125:W131)</f>
        <v/>
      </c>
      <c r="Y125" s="4">
        <f>1356.5+6276+1782.4+1356.5+770.5+616.7</f>
        <v/>
      </c>
      <c r="Z125" s="88">
        <f>X125-Y125</f>
        <v/>
      </c>
      <c r="AA125" s="4" t="n"/>
    </row>
    <row r="126" hidden="1" ht="20" customFormat="1" customHeight="1" s="20">
      <c r="A126" s="76" t="n"/>
      <c r="B126" s="76" t="n"/>
      <c r="C126" s="6" t="inlineStr">
        <is>
          <t>HL1-F1</t>
        </is>
      </c>
      <c r="D126" s="6" t="inlineStr">
        <is>
          <t>Q355MD</t>
        </is>
      </c>
      <c r="E126" s="6" t="n">
        <v>1388</v>
      </c>
      <c r="F126" s="6" t="n">
        <v>2000</v>
      </c>
      <c r="G126" s="6" t="n">
        <v>12</v>
      </c>
      <c r="H126" s="6" t="n">
        <v>1</v>
      </c>
      <c r="I126" s="83">
        <f>(E126/1000)*(F126/1000)*(G126/1000)*7850*H126</f>
        <v/>
      </c>
      <c r="J126" s="6" t="n">
        <v>24</v>
      </c>
      <c r="K126" s="83">
        <f>I126*J126</f>
        <v/>
      </c>
      <c r="L126" s="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</row>
    <row r="127" hidden="1" ht="20" customFormat="1" customHeight="1" s="20">
      <c r="A127" s="76" t="n"/>
      <c r="B127" s="76" t="n"/>
      <c r="C127" s="6" t="inlineStr">
        <is>
          <t>HL1-F2</t>
        </is>
      </c>
      <c r="D127" s="6" t="inlineStr">
        <is>
          <t>Q355MD</t>
        </is>
      </c>
      <c r="E127" s="6" t="n">
        <v>1388</v>
      </c>
      <c r="F127" s="6" t="n">
        <v>284</v>
      </c>
      <c r="G127" s="6" t="n">
        <v>12</v>
      </c>
      <c r="H127" s="6" t="n">
        <v>2</v>
      </c>
      <c r="I127" s="83">
        <f>(E127/1000)*(F127/1000)*(G127/1000)*7850*H127</f>
        <v/>
      </c>
      <c r="J127" s="6" t="n">
        <v>24</v>
      </c>
      <c r="K127" s="83">
        <f>I127*J127</f>
        <v/>
      </c>
      <c r="L127" s="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</row>
    <row r="128" hidden="1" ht="20" customFormat="1" customHeight="1" s="20">
      <c r="A128" s="76" t="n"/>
      <c r="B128" s="76" t="n"/>
      <c r="C128" s="6" t="inlineStr">
        <is>
          <t>HL1-B1</t>
        </is>
      </c>
      <c r="D128" s="6" t="inlineStr">
        <is>
          <t>Q355MD</t>
        </is>
      </c>
      <c r="E128" s="6" t="n">
        <v>2000</v>
      </c>
      <c r="F128" s="6" t="n">
        <v>300</v>
      </c>
      <c r="G128" s="6" t="n">
        <v>12</v>
      </c>
      <c r="H128" s="6" t="n">
        <v>1</v>
      </c>
      <c r="I128" s="83">
        <f>(E128/1000)*(F128/1000)*(G128/1000)*7850*H128</f>
        <v/>
      </c>
      <c r="J128" s="6" t="n">
        <v>24</v>
      </c>
      <c r="K128" s="83">
        <f>I128*J128</f>
        <v/>
      </c>
      <c r="L128" s="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</row>
    <row r="129" hidden="1" ht="20" customFormat="1" customHeight="1" s="20">
      <c r="A129" s="76" t="n"/>
      <c r="B129" s="76" t="n"/>
      <c r="C129" s="6" t="inlineStr">
        <is>
          <t>HL1-B2</t>
        </is>
      </c>
      <c r="D129" s="6" t="inlineStr">
        <is>
          <t>Q355MD</t>
        </is>
      </c>
      <c r="E129" s="6" t="n">
        <v>300</v>
      </c>
      <c r="F129" s="6" t="n">
        <v>284</v>
      </c>
      <c r="G129" s="6" t="n">
        <v>12</v>
      </c>
      <c r="H129" s="6" t="n">
        <v>4</v>
      </c>
      <c r="I129" s="83">
        <f>(E129/1000)*(F129/1000)*(G129/1000)*7850*H129</f>
        <v/>
      </c>
      <c r="J129" s="6" t="n">
        <v>24</v>
      </c>
      <c r="K129" s="83">
        <f>I129*J129</f>
        <v/>
      </c>
      <c r="L129" s="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</row>
    <row r="130" hidden="1" ht="20" customFormat="1" customHeight="1" s="20">
      <c r="A130" s="76" t="n"/>
      <c r="B130" s="76" t="n"/>
      <c r="C130" s="6" t="inlineStr">
        <is>
          <t>HL1-V1</t>
        </is>
      </c>
      <c r="D130" s="6" t="inlineStr">
        <is>
          <t>Q355MD</t>
        </is>
      </c>
      <c r="E130" s="6" t="n">
        <v>1364</v>
      </c>
      <c r="F130" s="6" t="n">
        <v>120</v>
      </c>
      <c r="G130" s="6" t="n">
        <v>10</v>
      </c>
      <c r="H130" s="6" t="n">
        <v>2</v>
      </c>
      <c r="I130" s="83">
        <f>(E130/1000)*(F130/1000)*(G130/1000)*7850*H130</f>
        <v/>
      </c>
      <c r="J130" s="6" t="n">
        <v>24</v>
      </c>
      <c r="K130" s="83">
        <f>I130*J130</f>
        <v/>
      </c>
      <c r="L130" s="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</row>
    <row r="131" hidden="1" ht="20" customFormat="1" customHeight="1" s="20">
      <c r="A131" s="74" t="n"/>
      <c r="B131" s="6" t="inlineStr">
        <is>
          <t>小计</t>
        </is>
      </c>
      <c r="C131" s="73" t="n"/>
      <c r="D131" s="6" t="n"/>
      <c r="E131" s="6" t="n"/>
      <c r="F131" s="6" t="n"/>
      <c r="G131" s="6" t="n"/>
      <c r="H131" s="6" t="n"/>
      <c r="I131" s="87" t="n"/>
      <c r="J131" s="6" t="n"/>
      <c r="K131" s="83">
        <f>SUM(K125:K130)</f>
        <v/>
      </c>
      <c r="L131" s="6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</row>
    <row r="132" hidden="1" ht="20" customFormat="1" customHeight="1" s="20">
      <c r="A132" s="6" t="inlineStr">
        <is>
          <t>梁间横梁</t>
        </is>
      </c>
      <c r="B132" s="5" t="inlineStr">
        <is>
          <t>XJHL2</t>
        </is>
      </c>
      <c r="C132" s="6" t="inlineStr">
        <is>
          <t>HL1-T1</t>
        </is>
      </c>
      <c r="D132" s="6" t="inlineStr">
        <is>
          <t>Q355MD</t>
        </is>
      </c>
      <c r="E132" s="6" t="n">
        <v>2000</v>
      </c>
      <c r="F132" s="6" t="n">
        <v>300</v>
      </c>
      <c r="G132" s="6" t="n">
        <v>12</v>
      </c>
      <c r="H132" s="6" t="n">
        <v>1</v>
      </c>
      <c r="I132" s="83">
        <f>(E132/1000)*(F132/1000)*(G132/1000)*7850*H132</f>
        <v/>
      </c>
      <c r="J132" s="6" t="n">
        <v>96</v>
      </c>
      <c r="K132" s="83">
        <f>I132*J132</f>
        <v/>
      </c>
      <c r="L132" s="6" t="n"/>
      <c r="M132" s="4">
        <f>B132</f>
        <v/>
      </c>
      <c r="N132" s="88">
        <f>K137</f>
        <v/>
      </c>
      <c r="O132" s="88">
        <f>K132+K133+K134+K135+K136</f>
        <v/>
      </c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>
        <f>SUM(N132:W138)</f>
        <v/>
      </c>
      <c r="Y132" s="4">
        <f>5425.9+25103.9+7179.7+5425.9+3103.6+2467</f>
        <v/>
      </c>
      <c r="Z132" s="88">
        <f>X132-Y132</f>
        <v/>
      </c>
      <c r="AA132" s="4" t="n"/>
    </row>
    <row r="133" hidden="1" ht="20" customFormat="1" customHeight="1" s="20">
      <c r="A133" s="76" t="n"/>
      <c r="B133" s="76" t="n"/>
      <c r="C133" s="6" t="inlineStr">
        <is>
          <t>HL1-F1</t>
        </is>
      </c>
      <c r="D133" s="6" t="inlineStr">
        <is>
          <t>Q355MD</t>
        </is>
      </c>
      <c r="E133" s="6" t="n">
        <v>1388</v>
      </c>
      <c r="F133" s="6" t="n">
        <v>2000</v>
      </c>
      <c r="G133" s="6" t="n">
        <v>12</v>
      </c>
      <c r="H133" s="6" t="n">
        <v>1</v>
      </c>
      <c r="I133" s="83">
        <f>(E133/1000)*(F133/1000)*(G133/1000)*7850*H133</f>
        <v/>
      </c>
      <c r="J133" s="6" t="n">
        <v>96</v>
      </c>
      <c r="K133" s="83">
        <f>I133*J133</f>
        <v/>
      </c>
      <c r="L133" s="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</row>
    <row r="134" hidden="1" ht="20" customFormat="1" customHeight="1" s="20">
      <c r="A134" s="76" t="n"/>
      <c r="B134" s="76" t="n"/>
      <c r="C134" s="6" t="inlineStr">
        <is>
          <t>HL1-F2</t>
        </is>
      </c>
      <c r="D134" s="6" t="inlineStr">
        <is>
          <t>Q355MD</t>
        </is>
      </c>
      <c r="E134" s="6" t="n">
        <v>1388</v>
      </c>
      <c r="F134" s="6" t="n">
        <v>286</v>
      </c>
      <c r="G134" s="6" t="n">
        <v>12</v>
      </c>
      <c r="H134" s="6" t="n">
        <v>2</v>
      </c>
      <c r="I134" s="83">
        <f>(E134/1000)*(F134/1000)*(G134/1000)*7850*H134</f>
        <v/>
      </c>
      <c r="J134" s="6" t="n">
        <v>96</v>
      </c>
      <c r="K134" s="83">
        <f>I134*J134</f>
        <v/>
      </c>
      <c r="L134" s="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</row>
    <row r="135" hidden="1" ht="20" customFormat="1" customHeight="1" s="20">
      <c r="A135" s="76" t="n"/>
      <c r="B135" s="76" t="n"/>
      <c r="C135" s="6" t="inlineStr">
        <is>
          <t>HL1-B1</t>
        </is>
      </c>
      <c r="D135" s="6" t="inlineStr">
        <is>
          <t>Q355MD</t>
        </is>
      </c>
      <c r="E135" s="6" t="n">
        <v>2000</v>
      </c>
      <c r="F135" s="6" t="n">
        <v>300</v>
      </c>
      <c r="G135" s="6" t="n">
        <v>12</v>
      </c>
      <c r="H135" s="6" t="n">
        <v>1</v>
      </c>
      <c r="I135" s="83">
        <f>(E135/1000)*(F135/1000)*(G135/1000)*7850*H135</f>
        <v/>
      </c>
      <c r="J135" s="6" t="n">
        <v>96</v>
      </c>
      <c r="K135" s="83">
        <f>I135*J135</f>
        <v/>
      </c>
      <c r="L135" s="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</row>
    <row r="136" hidden="1" ht="20" customFormat="1" customHeight="1" s="20">
      <c r="A136" s="76" t="n"/>
      <c r="B136" s="76" t="n"/>
      <c r="C136" s="6" t="inlineStr">
        <is>
          <t>HL1-B2</t>
        </is>
      </c>
      <c r="D136" s="6" t="inlineStr">
        <is>
          <t>Q355MD</t>
        </is>
      </c>
      <c r="E136" s="6" t="n">
        <v>300</v>
      </c>
      <c r="F136" s="6" t="n">
        <v>286</v>
      </c>
      <c r="G136" s="6" t="n">
        <v>12</v>
      </c>
      <c r="H136" s="6" t="n">
        <v>4</v>
      </c>
      <c r="I136" s="83">
        <f>(E136/1000)*(F136/1000)*(G136/1000)*7850*H136</f>
        <v/>
      </c>
      <c r="J136" s="6" t="n">
        <v>96</v>
      </c>
      <c r="K136" s="83">
        <f>I136*J136</f>
        <v/>
      </c>
      <c r="L136" s="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</row>
    <row r="137" hidden="1" ht="20" customFormat="1" customHeight="1" s="20">
      <c r="A137" s="76" t="n"/>
      <c r="B137" s="76" t="n"/>
      <c r="C137" s="6" t="inlineStr">
        <is>
          <t>HL1-V1</t>
        </is>
      </c>
      <c r="D137" s="6" t="inlineStr">
        <is>
          <t>Q355MD</t>
        </is>
      </c>
      <c r="E137" s="6" t="n">
        <v>1364</v>
      </c>
      <c r="F137" s="6" t="n">
        <v>120</v>
      </c>
      <c r="G137" s="6" t="n">
        <v>10</v>
      </c>
      <c r="H137" s="6" t="n">
        <v>2</v>
      </c>
      <c r="I137" s="83">
        <f>(E137/1000)*(F137/1000)*(G137/1000)*7850*H137</f>
        <v/>
      </c>
      <c r="J137" s="6" t="n">
        <v>96</v>
      </c>
      <c r="K137" s="83">
        <f>I137*J137</f>
        <v/>
      </c>
      <c r="L137" s="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</row>
    <row r="138" hidden="1" ht="20" customFormat="1" customHeight="1" s="20">
      <c r="A138" s="74" t="n"/>
      <c r="B138" s="6" t="inlineStr">
        <is>
          <t>小计</t>
        </is>
      </c>
      <c r="C138" s="73" t="n"/>
      <c r="D138" s="6" t="n"/>
      <c r="E138" s="6" t="n"/>
      <c r="F138" s="6" t="n"/>
      <c r="G138" s="6" t="n"/>
      <c r="H138" s="6" t="n"/>
      <c r="I138" s="87" t="n"/>
      <c r="J138" s="6" t="n"/>
      <c r="K138" s="83">
        <f>SUM(K132:K137)</f>
        <v/>
      </c>
      <c r="L138" s="6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</row>
    <row r="139" hidden="1" ht="26" customFormat="1" customHeight="1" s="20">
      <c r="A139" s="16" t="inlineStr">
        <is>
          <t>名称</t>
        </is>
      </c>
      <c r="B139" s="72" t="n"/>
      <c r="C139" s="73" t="n"/>
      <c r="D139" s="16" t="inlineStr">
        <is>
          <t>材质</t>
        </is>
      </c>
      <c r="E139" s="16" t="inlineStr">
        <is>
          <t>单位</t>
        </is>
      </c>
      <c r="F139" s="16" t="inlineStr">
        <is>
          <t>复核数量</t>
        </is>
      </c>
      <c r="G139" s="16" t="inlineStr">
        <is>
          <t>图纸数量</t>
        </is>
      </c>
      <c r="H139" s="16" t="n"/>
      <c r="I139" s="16" t="inlineStr">
        <is>
          <t>差异</t>
        </is>
      </c>
      <c r="J139" s="6" t="n"/>
      <c r="K139" s="83" t="n"/>
      <c r="L139" s="6" t="n"/>
      <c r="M139" s="6" t="inlineStr">
        <is>
          <t>复核合计</t>
        </is>
      </c>
      <c r="N139" s="84">
        <f>SUM(N4:N138)</f>
        <v/>
      </c>
      <c r="O139" s="84">
        <f>SUM(O4:O138)</f>
        <v/>
      </c>
      <c r="P139" s="84">
        <f>SUM(P4:P138)</f>
        <v/>
      </c>
      <c r="Q139" s="84">
        <f>SUM(Q4:Q138)</f>
        <v/>
      </c>
      <c r="R139" s="84">
        <f>SUM(R4:R138)</f>
        <v/>
      </c>
      <c r="S139" s="84">
        <f>SUM(S4:S138)</f>
        <v/>
      </c>
      <c r="T139" s="84">
        <f>SUM(T4:T138)</f>
        <v/>
      </c>
      <c r="U139" s="84">
        <f>SUM(U4:U138)</f>
        <v/>
      </c>
      <c r="V139" s="84">
        <f>SUM(V4:V138)</f>
        <v/>
      </c>
      <c r="W139" s="84">
        <f>SUM(W4:W138)</f>
        <v/>
      </c>
      <c r="X139" s="84">
        <f>SUM(X4:X138)</f>
        <v/>
      </c>
      <c r="Y139" s="84">
        <f>SUM(Y4:Y138)</f>
        <v/>
      </c>
      <c r="Z139" s="84">
        <f>X139-Y139</f>
        <v/>
      </c>
      <c r="AA139" s="6" t="n"/>
    </row>
    <row r="140" hidden="1" ht="26" customFormat="1" customHeight="1" s="20">
      <c r="A140" s="16" t="inlineStr">
        <is>
          <t>主梁合计</t>
        </is>
      </c>
      <c r="B140" s="72" t="n"/>
      <c r="C140" s="73" t="n"/>
      <c r="D140" s="16">
        <f>#REF!</f>
        <v/>
      </c>
      <c r="E140" s="16" t="inlineStr">
        <is>
          <t>kg</t>
        </is>
      </c>
      <c r="F140" s="90">
        <f>X139</f>
        <v/>
      </c>
      <c r="G140" s="90">
        <f>Y139</f>
        <v/>
      </c>
      <c r="H140" s="90" t="n"/>
      <c r="I140" s="90">
        <f>F140-G140</f>
        <v/>
      </c>
      <c r="J140" s="6" t="n"/>
      <c r="K140" s="83" t="n"/>
      <c r="L140" s="6" t="n"/>
      <c r="M140" s="6" t="inlineStr">
        <is>
          <t>图纸合计</t>
        </is>
      </c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>
        <f>SUM(O140:V140)</f>
        <v/>
      </c>
      <c r="Y140" s="6">
        <f>X140</f>
        <v/>
      </c>
      <c r="Z140" s="84">
        <f>X140-Y140</f>
        <v/>
      </c>
      <c r="AA140" s="6" t="n"/>
    </row>
    <row r="141" hidden="1" ht="20" customFormat="1" customHeight="1" s="20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7" t="n"/>
      <c r="J141" s="6" t="n"/>
      <c r="K141" s="83" t="n"/>
      <c r="L141" s="6" t="n"/>
      <c r="M141" s="6" t="inlineStr">
        <is>
          <t>差异</t>
        </is>
      </c>
      <c r="N141" s="84">
        <f>N139-N140</f>
        <v/>
      </c>
      <c r="O141" s="84">
        <f>O139-O140</f>
        <v/>
      </c>
      <c r="P141" s="84">
        <f>P139-P140</f>
        <v/>
      </c>
      <c r="Q141" s="84">
        <f>Q139-Q140</f>
        <v/>
      </c>
      <c r="R141" s="84">
        <f>R139-R140</f>
        <v/>
      </c>
      <c r="S141" s="84">
        <f>S139-S140</f>
        <v/>
      </c>
      <c r="T141" s="84">
        <f>T139-T140</f>
        <v/>
      </c>
      <c r="U141" s="84">
        <f>U139-U140</f>
        <v/>
      </c>
      <c r="V141" s="84">
        <f>V139-V140</f>
        <v/>
      </c>
      <c r="W141" s="84">
        <f>W139-W140</f>
        <v/>
      </c>
      <c r="X141" s="84">
        <f>X139-X140</f>
        <v/>
      </c>
      <c r="Y141" s="6" t="n"/>
      <c r="Z141" s="6" t="n"/>
      <c r="AA141" s="6" t="n"/>
    </row>
    <row r="142" ht="20" customFormat="1" customHeight="1" s="20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7" t="n"/>
      <c r="J142" s="6" t="n"/>
      <c r="K142" s="83" t="n"/>
      <c r="L142" s="6" t="n"/>
    </row>
  </sheetData>
  <autoFilter ref="A3:AA141">
    <filterColumn colId="6" hiddenButton="0" showButton="1">
      <customFilters>
        <customFilter val="20" operator="equal"/>
      </customFilters>
    </filterColumn>
  </autoFilter>
  <mergeCells count="362">
    <mergeCell ref="A81:A83"/>
    <mergeCell ref="U30:U35"/>
    <mergeCell ref="AA70:AA73"/>
    <mergeCell ref="V100:V107"/>
    <mergeCell ref="Q108:Q116"/>
    <mergeCell ref="S108:S116"/>
    <mergeCell ref="V36:V41"/>
    <mergeCell ref="M4:M23"/>
    <mergeCell ref="A84:A86"/>
    <mergeCell ref="Q74:Q77"/>
    <mergeCell ref="X30:X35"/>
    <mergeCell ref="S74:S77"/>
    <mergeCell ref="AA74:AA77"/>
    <mergeCell ref="V81:V83"/>
    <mergeCell ref="M36:M41"/>
    <mergeCell ref="M132:M138"/>
    <mergeCell ref="O132:O138"/>
    <mergeCell ref="B117:B123"/>
    <mergeCell ref="V62:V65"/>
    <mergeCell ref="B131:C131"/>
    <mergeCell ref="A36:A41"/>
    <mergeCell ref="Y54:Y57"/>
    <mergeCell ref="V24:V29"/>
    <mergeCell ref="B53:C53"/>
    <mergeCell ref="X24:X29"/>
    <mergeCell ref="X58:X61"/>
    <mergeCell ref="U132:U138"/>
    <mergeCell ref="U62:U65"/>
    <mergeCell ref="Z58:Z61"/>
    <mergeCell ref="O87:O89"/>
    <mergeCell ref="Q87:Q89"/>
    <mergeCell ref="Q42:Q53"/>
    <mergeCell ref="S42:S53"/>
    <mergeCell ref="B80:C80"/>
    <mergeCell ref="T90:T99"/>
    <mergeCell ref="X70:X73"/>
    <mergeCell ref="Z70:Z73"/>
    <mergeCell ref="N87:N89"/>
    <mergeCell ref="R108:R116"/>
    <mergeCell ref="B125:B130"/>
    <mergeCell ref="P87:P89"/>
    <mergeCell ref="T108:T116"/>
    <mergeCell ref="P42:P53"/>
    <mergeCell ref="U36:U41"/>
    <mergeCell ref="R74:R77"/>
    <mergeCell ref="B24:B28"/>
    <mergeCell ref="Y30:Y35"/>
    <mergeCell ref="W132:W138"/>
    <mergeCell ref="B99:C99"/>
    <mergeCell ref="Y70:Y73"/>
    <mergeCell ref="A62:A65"/>
    <mergeCell ref="M81:M83"/>
    <mergeCell ref="U125:U131"/>
    <mergeCell ref="W125:W131"/>
    <mergeCell ref="N90:N99"/>
    <mergeCell ref="A139:C139"/>
    <mergeCell ref="O2:X2"/>
    <mergeCell ref="Y42:Y53"/>
    <mergeCell ref="O24:O29"/>
    <mergeCell ref="Y24:Y29"/>
    <mergeCell ref="AA42:AA53"/>
    <mergeCell ref="Y58:Y61"/>
    <mergeCell ref="AA58:AA61"/>
    <mergeCell ref="B23:C23"/>
    <mergeCell ref="A140:C140"/>
    <mergeCell ref="T117:T124"/>
    <mergeCell ref="V117:V124"/>
    <mergeCell ref="A132:A138"/>
    <mergeCell ref="Z108:Z116"/>
    <mergeCell ref="M90:M99"/>
    <mergeCell ref="B58:B60"/>
    <mergeCell ref="O58:O61"/>
    <mergeCell ref="R4:R23"/>
    <mergeCell ref="V4:V23"/>
    <mergeCell ref="Q84:Q86"/>
    <mergeCell ref="Q78:Q80"/>
    <mergeCell ref="S84:S86"/>
    <mergeCell ref="S78:S80"/>
    <mergeCell ref="Q100:Q107"/>
    <mergeCell ref="S100:S107"/>
    <mergeCell ref="A54:A57"/>
    <mergeCell ref="B77:C77"/>
    <mergeCell ref="M70:M73"/>
    <mergeCell ref="S81:S83"/>
    <mergeCell ref="A4:A23"/>
    <mergeCell ref="R78:R80"/>
    <mergeCell ref="N117:N124"/>
    <mergeCell ref="T125:T131"/>
    <mergeCell ref="N125:N131"/>
    <mergeCell ref="V87:V89"/>
    <mergeCell ref="O66:O69"/>
    <mergeCell ref="Y66:Y69"/>
    <mergeCell ref="X87:X89"/>
    <mergeCell ref="Q66:Q69"/>
    <mergeCell ref="N70:N73"/>
    <mergeCell ref="X42:X53"/>
    <mergeCell ref="Z42:Z53"/>
    <mergeCell ref="M117:M124"/>
    <mergeCell ref="B74:B76"/>
    <mergeCell ref="O117:O124"/>
    <mergeCell ref="Y108:Y116"/>
    <mergeCell ref="AA108:AA116"/>
    <mergeCell ref="N58:N61"/>
    <mergeCell ref="B116:C116"/>
    <mergeCell ref="S4:S23"/>
    <mergeCell ref="U4:U23"/>
    <mergeCell ref="U81:U83"/>
    <mergeCell ref="P84:P86"/>
    <mergeCell ref="R84:R86"/>
    <mergeCell ref="Q30:Q35"/>
    <mergeCell ref="R100:R107"/>
    <mergeCell ref="T100:T107"/>
    <mergeCell ref="B108:B115"/>
    <mergeCell ref="O108:O116"/>
    <mergeCell ref="B42:B52"/>
    <mergeCell ref="Y74:Y77"/>
    <mergeCell ref="R81:R83"/>
    <mergeCell ref="AA90:AA99"/>
    <mergeCell ref="S90:S99"/>
    <mergeCell ref="U90:U99"/>
    <mergeCell ref="M125:M131"/>
    <mergeCell ref="P66:P69"/>
    <mergeCell ref="Y87:Y89"/>
    <mergeCell ref="R66:R69"/>
    <mergeCell ref="A87:A89"/>
    <mergeCell ref="S30:S35"/>
    <mergeCell ref="B124:C124"/>
    <mergeCell ref="S54:S57"/>
    <mergeCell ref="U54:U57"/>
    <mergeCell ref="Q132:Q138"/>
    <mergeCell ref="Q62:Q65"/>
    <mergeCell ref="V58:V61"/>
    <mergeCell ref="S62:S65"/>
    <mergeCell ref="A70:A73"/>
    <mergeCell ref="A24:A29"/>
    <mergeCell ref="M42:M53"/>
    <mergeCell ref="O42:O53"/>
    <mergeCell ref="M58:M61"/>
    <mergeCell ref="X84:X86"/>
    <mergeCell ref="Z84:Z86"/>
    <mergeCell ref="Z78:Z80"/>
    <mergeCell ref="Z100:Z107"/>
    <mergeCell ref="V125:V131"/>
    <mergeCell ref="R54:R57"/>
    <mergeCell ref="B73:C73"/>
    <mergeCell ref="V70:V73"/>
    <mergeCell ref="AA66:AA69"/>
    <mergeCell ref="N108:N116"/>
    <mergeCell ref="P108:P116"/>
    <mergeCell ref="A90:A99"/>
    <mergeCell ref="N42:N53"/>
    <mergeCell ref="Q36:Q41"/>
    <mergeCell ref="S36:S41"/>
    <mergeCell ref="N74:N77"/>
    <mergeCell ref="Y132:Y138"/>
    <mergeCell ref="P74:P77"/>
    <mergeCell ref="AA132:AA138"/>
    <mergeCell ref="S132:S138"/>
    <mergeCell ref="Y78:Y80"/>
    <mergeCell ref="U117:U124"/>
    <mergeCell ref="AA78:AA80"/>
    <mergeCell ref="W117:W124"/>
    <mergeCell ref="S70:S73"/>
    <mergeCell ref="V90:V99"/>
    <mergeCell ref="M108:M116"/>
    <mergeCell ref="AA4:AA23"/>
    <mergeCell ref="B78:B79"/>
    <mergeCell ref="B61:C61"/>
    <mergeCell ref="R30:R35"/>
    <mergeCell ref="Q125:Q131"/>
    <mergeCell ref="AA54:AA57"/>
    <mergeCell ref="S125:S131"/>
    <mergeCell ref="B69:C69"/>
    <mergeCell ref="AA30:AA35"/>
    <mergeCell ref="S24:S29"/>
    <mergeCell ref="U24:U29"/>
    <mergeCell ref="P132:P138"/>
    <mergeCell ref="M24:M29"/>
    <mergeCell ref="B100:B106"/>
    <mergeCell ref="P62:P65"/>
    <mergeCell ref="U58:U61"/>
    <mergeCell ref="R62:R65"/>
    <mergeCell ref="Z81:Z83"/>
    <mergeCell ref="P117:P124"/>
    <mergeCell ref="R117:R124"/>
    <mergeCell ref="Y84:Y86"/>
    <mergeCell ref="B138:C138"/>
    <mergeCell ref="AA84:AA86"/>
    <mergeCell ref="Y100:Y107"/>
    <mergeCell ref="A117:A124"/>
    <mergeCell ref="O90:O99"/>
    <mergeCell ref="AA100:AA107"/>
    <mergeCell ref="V108:V116"/>
    <mergeCell ref="X108:X116"/>
    <mergeCell ref="A125:A131"/>
    <mergeCell ref="X66:X69"/>
    <mergeCell ref="U70:U73"/>
    <mergeCell ref="Z66:Z69"/>
    <mergeCell ref="M87:M89"/>
    <mergeCell ref="V74:V77"/>
    <mergeCell ref="X74:X77"/>
    <mergeCell ref="AA81:AA83"/>
    <mergeCell ref="B84:B85"/>
    <mergeCell ref="P36:P41"/>
    <mergeCell ref="O78:O80"/>
    <mergeCell ref="R36:R41"/>
    <mergeCell ref="B29:C29"/>
    <mergeCell ref="M74:M77"/>
    <mergeCell ref="O74:O77"/>
    <mergeCell ref="R132:R138"/>
    <mergeCell ref="AA62:AA65"/>
    <mergeCell ref="B89:C89"/>
    <mergeCell ref="B90:B98"/>
    <mergeCell ref="A42:A53"/>
    <mergeCell ref="B81:B82"/>
    <mergeCell ref="A58:A61"/>
    <mergeCell ref="N78:N80"/>
    <mergeCell ref="P78:P80"/>
    <mergeCell ref="Z90:Z99"/>
    <mergeCell ref="P125:P131"/>
    <mergeCell ref="Z54:Z57"/>
    <mergeCell ref="R125:R131"/>
    <mergeCell ref="Z30:Z35"/>
    <mergeCell ref="X132:X138"/>
    <mergeCell ref="X62:X65"/>
    <mergeCell ref="U66:U69"/>
    <mergeCell ref="B66:B68"/>
    <mergeCell ref="R24:R29"/>
    <mergeCell ref="T42:T53"/>
    <mergeCell ref="V42:V53"/>
    <mergeCell ref="AA36:AA41"/>
    <mergeCell ref="B83:C83"/>
    <mergeCell ref="U108:U116"/>
    <mergeCell ref="W108:W116"/>
    <mergeCell ref="X36:X41"/>
    <mergeCell ref="B4:B22"/>
    <mergeCell ref="O4:O23"/>
    <mergeCell ref="Z36:Z41"/>
    <mergeCell ref="Q4:Q23"/>
    <mergeCell ref="Q81:Q83"/>
    <mergeCell ref="U74:U77"/>
    <mergeCell ref="N84:N86"/>
    <mergeCell ref="M54:M57"/>
    <mergeCell ref="Y2:Y3"/>
    <mergeCell ref="B54:B56"/>
    <mergeCell ref="B30:B34"/>
    <mergeCell ref="N100:N107"/>
    <mergeCell ref="P100:P107"/>
    <mergeCell ref="AA24:AA29"/>
    <mergeCell ref="Z132:Z138"/>
    <mergeCell ref="Z62:Z65"/>
    <mergeCell ref="N81:N83"/>
    <mergeCell ref="Z117:Z124"/>
    <mergeCell ref="P81:P83"/>
    <mergeCell ref="X125:X131"/>
    <mergeCell ref="M78:M80"/>
    <mergeCell ref="A1:L1"/>
    <mergeCell ref="W90:W99"/>
    <mergeCell ref="Y90:Y99"/>
    <mergeCell ref="Q90:Q99"/>
    <mergeCell ref="O125:O131"/>
    <mergeCell ref="M100:M107"/>
    <mergeCell ref="O100:O107"/>
    <mergeCell ref="Z24:Z29"/>
    <mergeCell ref="Y62:Y65"/>
    <mergeCell ref="S87:S89"/>
    <mergeCell ref="U87:U89"/>
    <mergeCell ref="N66:N69"/>
    <mergeCell ref="A108:A116"/>
    <mergeCell ref="U42:U53"/>
    <mergeCell ref="W42:W53"/>
    <mergeCell ref="B86:C86"/>
    <mergeCell ref="A74:A77"/>
    <mergeCell ref="O54:O57"/>
    <mergeCell ref="Q54:Q57"/>
    <mergeCell ref="A2:A3"/>
    <mergeCell ref="B36:B40"/>
    <mergeCell ref="C2:C3"/>
    <mergeCell ref="B132:B137"/>
    <mergeCell ref="B62:B64"/>
    <mergeCell ref="O62:O65"/>
    <mergeCell ref="Q117:Q124"/>
    <mergeCell ref="R87:R89"/>
    <mergeCell ref="B70:B72"/>
    <mergeCell ref="V84:V86"/>
    <mergeCell ref="N4:N23"/>
    <mergeCell ref="V78:V80"/>
    <mergeCell ref="Y36:Y41"/>
    <mergeCell ref="P4:P23"/>
    <mergeCell ref="X78:X80"/>
    <mergeCell ref="R58:R61"/>
    <mergeCell ref="Z125:Z131"/>
    <mergeCell ref="X100:X107"/>
    <mergeCell ref="B41:C41"/>
    <mergeCell ref="M84:M86"/>
    <mergeCell ref="B35:C35"/>
    <mergeCell ref="N54:N57"/>
    <mergeCell ref="P54:P57"/>
    <mergeCell ref="O36:O41"/>
    <mergeCell ref="O30:O35"/>
    <mergeCell ref="U78:U80"/>
    <mergeCell ref="Y117:Y124"/>
    <mergeCell ref="O81:O83"/>
    <mergeCell ref="AA117:AA124"/>
    <mergeCell ref="S117:S124"/>
    <mergeCell ref="Y125:Y131"/>
    <mergeCell ref="AA125:AA131"/>
    <mergeCell ref="AA87:AA89"/>
    <mergeCell ref="P90:P99"/>
    <mergeCell ref="R90:R99"/>
    <mergeCell ref="Y4:Y23"/>
    <mergeCell ref="M66:M69"/>
    <mergeCell ref="O84:O86"/>
    <mergeCell ref="N30:N35"/>
    <mergeCell ref="P30:P35"/>
    <mergeCell ref="B2:B3"/>
    <mergeCell ref="D2:D3"/>
    <mergeCell ref="Q24:Q29"/>
    <mergeCell ref="Q58:Q61"/>
    <mergeCell ref="N62:N65"/>
    <mergeCell ref="S58:S61"/>
    <mergeCell ref="A66:A69"/>
    <mergeCell ref="X4:X23"/>
    <mergeCell ref="B107:C107"/>
    <mergeCell ref="X81:X83"/>
    <mergeCell ref="Z4:Z23"/>
    <mergeCell ref="B57:C57"/>
    <mergeCell ref="U84:U86"/>
    <mergeCell ref="U100:U107"/>
    <mergeCell ref="W100:W107"/>
    <mergeCell ref="O70:O73"/>
    <mergeCell ref="Q70:Q73"/>
    <mergeCell ref="V66:V69"/>
    <mergeCell ref="Z74:Z77"/>
    <mergeCell ref="Y81:Y83"/>
    <mergeCell ref="N36:N41"/>
    <mergeCell ref="T132:T138"/>
    <mergeCell ref="V132:V138"/>
    <mergeCell ref="N132:N138"/>
    <mergeCell ref="M2:M3"/>
    <mergeCell ref="X90:X99"/>
    <mergeCell ref="A30:A35"/>
    <mergeCell ref="Z87:Z89"/>
    <mergeCell ref="S66:S69"/>
    <mergeCell ref="P70:P73"/>
    <mergeCell ref="R70:R73"/>
    <mergeCell ref="B87:B88"/>
    <mergeCell ref="M30:M35"/>
    <mergeCell ref="V54:V57"/>
    <mergeCell ref="X54:X57"/>
    <mergeCell ref="B65:C65"/>
    <mergeCell ref="J2:J3"/>
    <mergeCell ref="V30:V35"/>
    <mergeCell ref="L2:L3"/>
    <mergeCell ref="A78:A80"/>
    <mergeCell ref="X117:X124"/>
    <mergeCell ref="A100:A107"/>
    <mergeCell ref="N24:N29"/>
    <mergeCell ref="P24:P29"/>
    <mergeCell ref="R42:R53"/>
    <mergeCell ref="P58:P61"/>
    <mergeCell ref="M62:M65"/>
  </mergeCells>
  <pageMargins left="0.7" right="0.7" top="0.75" bottom="0.75" header="0.3" footer="0.3"/>
  <pageSetup orientation="landscape" paperSize="9" scale="6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view="pageBreakPreview" zoomScaleNormal="100" workbookViewId="0">
      <selection activeCell="J30" sqref="J30"/>
    </sheetView>
  </sheetViews>
  <sheetFormatPr baseColWidth="8" defaultColWidth="8.725" defaultRowHeight="13.5" outlineLevelRow="7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16</v>
      </c>
      <c r="O3" s="6" t="n">
        <v>20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梁间横梁</t>
        </is>
      </c>
      <c r="B4" s="5" t="inlineStr">
        <is>
          <t>XJHL1</t>
        </is>
      </c>
      <c r="C4" s="6" t="inlineStr">
        <is>
          <t>N1</t>
        </is>
      </c>
      <c r="D4" s="6" t="inlineStr">
        <is>
          <t>Q355MD</t>
        </is>
      </c>
      <c r="E4" s="6" t="n">
        <v>600</v>
      </c>
      <c r="F4" s="6" t="n">
        <v>700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4">
        <f>B4</f>
        <v/>
      </c>
      <c r="N4" s="88" t="n"/>
      <c r="O4" s="88">
        <f>K6</f>
        <v/>
      </c>
      <c r="P4" s="88" t="n"/>
      <c r="Q4" s="88" t="n"/>
      <c r="R4" s="88">
        <f>SUM(N4:Q6)</f>
        <v/>
      </c>
      <c r="S4" s="4" t="n">
        <v>7638.4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/>
      <c r="F5" s="6" t="n"/>
      <c r="G5" s="6" t="n">
        <v>20</v>
      </c>
      <c r="H5" s="6" t="n">
        <v>4</v>
      </c>
      <c r="I5" s="83" t="n">
        <v>172.8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4" t="n"/>
      <c r="B6" s="6" t="inlineStr">
        <is>
          <t>小计</t>
        </is>
      </c>
      <c r="C6" s="73" t="n"/>
      <c r="D6" s="6" t="n"/>
      <c r="E6" s="6" t="n"/>
      <c r="F6" s="6" t="n"/>
      <c r="G6" s="6" t="n"/>
      <c r="H6" s="6" t="n"/>
      <c r="I6" s="87" t="n"/>
      <c r="J6" s="6" t="n"/>
      <c r="K6" s="83">
        <f>SUM(K4:K5)</f>
        <v/>
      </c>
      <c r="L6" s="6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</row>
    <row r="7" ht="26" customHeight="1" s="71">
      <c r="A7" s="16" t="inlineStr">
        <is>
          <t>名称</t>
        </is>
      </c>
      <c r="B7" s="72" t="n"/>
      <c r="C7" s="73" t="n"/>
      <c r="D7" s="16" t="inlineStr">
        <is>
          <t>材质</t>
        </is>
      </c>
      <c r="E7" s="16" t="inlineStr">
        <is>
          <t>单位</t>
        </is>
      </c>
      <c r="F7" s="16" t="inlineStr">
        <is>
          <t>复核数量</t>
        </is>
      </c>
      <c r="G7" s="16" t="inlineStr">
        <is>
          <t>图纸数量</t>
        </is>
      </c>
      <c r="H7" s="16" t="n"/>
      <c r="I7" s="16" t="inlineStr">
        <is>
          <t>差异</t>
        </is>
      </c>
      <c r="J7" s="17" t="n"/>
      <c r="K7" s="17" t="n"/>
      <c r="L7" s="17" t="n"/>
    </row>
    <row r="8" ht="26" customHeight="1" s="71">
      <c r="A8" s="16" t="inlineStr">
        <is>
          <t>合计</t>
        </is>
      </c>
      <c r="B8" s="72" t="n"/>
      <c r="C8" s="73" t="n"/>
      <c r="D8" s="16">
        <f>D5</f>
        <v/>
      </c>
      <c r="E8" s="16" t="inlineStr">
        <is>
          <t>kg</t>
        </is>
      </c>
      <c r="F8" s="90">
        <f>R4</f>
        <v/>
      </c>
      <c r="G8" s="90">
        <f>S4</f>
        <v/>
      </c>
      <c r="H8" s="90" t="n"/>
      <c r="I8" s="90">
        <f>F8-G8</f>
        <v/>
      </c>
      <c r="J8" s="17" t="n"/>
      <c r="K8" s="17" t="n"/>
      <c r="L8" s="17" t="n"/>
    </row>
  </sheetData>
  <mergeCells count="24">
    <mergeCell ref="M2:M3"/>
    <mergeCell ref="B2:B3"/>
    <mergeCell ref="D2:D3"/>
    <mergeCell ref="A4:A6"/>
    <mergeCell ref="M4:M6"/>
    <mergeCell ref="S4:S6"/>
    <mergeCell ref="U4:U6"/>
    <mergeCell ref="A8:C8"/>
    <mergeCell ref="N2:R2"/>
    <mergeCell ref="A2:A3"/>
    <mergeCell ref="C2:C3"/>
    <mergeCell ref="N4:N6"/>
    <mergeCell ref="P4:P6"/>
    <mergeCell ref="R4:R6"/>
    <mergeCell ref="T4:T6"/>
    <mergeCell ref="J2:J3"/>
    <mergeCell ref="L2:L3"/>
    <mergeCell ref="B6:C6"/>
    <mergeCell ref="B4:B5"/>
    <mergeCell ref="O4:O6"/>
    <mergeCell ref="Q4:Q6"/>
    <mergeCell ref="A1:L1"/>
    <mergeCell ref="A7:C7"/>
    <mergeCell ref="S2:S3"/>
  </mergeCells>
  <pageMargins left="0.75" right="0.75" top="1" bottom="1" header="0.5" footer="0.5"/>
  <pageSetup orientation="portrait" paperSize="9" scale="86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view="pageBreakPreview" zoomScaleNormal="100" workbookViewId="0">
      <selection activeCell="I20" sqref="I20"/>
    </sheetView>
  </sheetViews>
  <sheetFormatPr baseColWidth="8" defaultColWidth="8.725" defaultRowHeight="13.5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4</v>
      </c>
      <c r="O3" s="6" t="n">
        <v>12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排水</t>
        </is>
      </c>
      <c r="B4" s="5" t="inlineStr">
        <is>
          <t>XJHL1</t>
        </is>
      </c>
      <c r="C4" s="6" t="inlineStr">
        <is>
          <t>上层N1</t>
        </is>
      </c>
      <c r="D4" s="6" t="inlineStr">
        <is>
          <t>Q355C</t>
        </is>
      </c>
      <c r="E4" s="6" t="n">
        <v>647</v>
      </c>
      <c r="F4" s="6" t="n">
        <v>280</v>
      </c>
      <c r="G4" s="6" t="n">
        <v>12</v>
      </c>
      <c r="H4" s="6" t="n">
        <v>1</v>
      </c>
      <c r="I4" s="83" t="n">
        <v>15.83</v>
      </c>
      <c r="J4" s="6" t="n">
        <v>200</v>
      </c>
      <c r="K4" s="83">
        <f>I4*J4</f>
        <v/>
      </c>
      <c r="L4" s="6" t="n"/>
      <c r="M4" s="4">
        <f>B4</f>
        <v/>
      </c>
      <c r="N4" s="88">
        <f>K8</f>
        <v/>
      </c>
      <c r="O4" s="88">
        <f>K4+K5+K6+K7</f>
        <v/>
      </c>
      <c r="P4" s="88" t="n"/>
      <c r="Q4" s="88" t="n"/>
      <c r="R4" s="88">
        <f>SUM(N4:Q9)</f>
        <v/>
      </c>
      <c r="S4" s="4" t="n">
        <v>7835.18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下层N1</t>
        </is>
      </c>
      <c r="D5" s="6" t="inlineStr">
        <is>
          <t>Q355C</t>
        </is>
      </c>
      <c r="E5" s="6" t="n">
        <v>277</v>
      </c>
      <c r="F5" s="6" t="n">
        <v>280</v>
      </c>
      <c r="G5" s="6" t="n">
        <v>12</v>
      </c>
      <c r="H5" s="6" t="n">
        <v>1</v>
      </c>
      <c r="I5" s="83" t="n">
        <v>6.07</v>
      </c>
      <c r="J5" s="6" t="n">
        <v>200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6" t="n"/>
      <c r="B6" s="76" t="n"/>
      <c r="C6" s="6" t="inlineStr">
        <is>
          <t>上层N2</t>
        </is>
      </c>
      <c r="D6" s="6" t="inlineStr">
        <is>
          <t>Q355C</t>
        </is>
      </c>
      <c r="E6" s="6" t="n">
        <v>530</v>
      </c>
      <c r="F6" s="6" t="n">
        <v>150</v>
      </c>
      <c r="G6" s="6" t="n">
        <v>12</v>
      </c>
      <c r="H6" s="6" t="n">
        <v>1</v>
      </c>
      <c r="I6" s="83" t="n">
        <v>5.23</v>
      </c>
      <c r="J6" s="6" t="n">
        <v>400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</row>
    <row r="7" ht="23" customHeight="1" s="71">
      <c r="A7" s="76" t="n"/>
      <c r="B7" s="76" t="n"/>
      <c r="C7" s="6" t="inlineStr">
        <is>
          <t>下层N2</t>
        </is>
      </c>
      <c r="D7" s="6" t="inlineStr">
        <is>
          <t>Q355C</t>
        </is>
      </c>
      <c r="E7" s="6" t="n">
        <v>160</v>
      </c>
      <c r="F7" s="6" t="n">
        <v>150</v>
      </c>
      <c r="G7" s="6" t="n">
        <v>12</v>
      </c>
      <c r="H7" s="6" t="n">
        <v>1</v>
      </c>
      <c r="I7" s="83" t="n">
        <v>1.74</v>
      </c>
      <c r="J7" s="6" t="n">
        <v>400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</row>
    <row r="8" ht="23" customHeight="1" s="71">
      <c r="A8" s="76" t="n"/>
      <c r="B8" s="76" t="n"/>
      <c r="C8" s="6" t="inlineStr">
        <is>
          <t>N3</t>
        </is>
      </c>
      <c r="D8" s="6" t="inlineStr">
        <is>
          <t>Q355C</t>
        </is>
      </c>
      <c r="E8" s="6" t="n">
        <v>663</v>
      </c>
      <c r="F8" s="6" t="n">
        <v>80</v>
      </c>
      <c r="G8" s="6" t="n">
        <v>4</v>
      </c>
      <c r="H8" s="6" t="n">
        <v>1</v>
      </c>
      <c r="I8" s="83" t="n">
        <v>1.67</v>
      </c>
      <c r="J8" s="6" t="n">
        <v>400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</row>
    <row r="9" ht="23" customHeight="1" s="71">
      <c r="A9" s="74" t="n"/>
      <c r="B9" s="6" t="inlineStr">
        <is>
          <t>小计</t>
        </is>
      </c>
      <c r="C9" s="73" t="n"/>
      <c r="D9" s="6" t="n"/>
      <c r="E9" s="6" t="n"/>
      <c r="F9" s="6" t="n"/>
      <c r="G9" s="6" t="n"/>
      <c r="H9" s="6" t="n"/>
      <c r="I9" s="87" t="n"/>
      <c r="J9" s="6" t="n"/>
      <c r="K9" s="83">
        <f>SUM(K4:K8)</f>
        <v/>
      </c>
      <c r="L9" s="6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</row>
    <row r="10" ht="26" customHeight="1" s="71">
      <c r="A10" s="16" t="inlineStr">
        <is>
          <t>名称</t>
        </is>
      </c>
      <c r="B10" s="72" t="n"/>
      <c r="C10" s="73" t="n"/>
      <c r="D10" s="16" t="inlineStr">
        <is>
          <t>材质</t>
        </is>
      </c>
      <c r="E10" s="16" t="inlineStr">
        <is>
          <t>单位</t>
        </is>
      </c>
      <c r="F10" s="16" t="inlineStr">
        <is>
          <t>复核数量</t>
        </is>
      </c>
      <c r="G10" s="16" t="inlineStr">
        <is>
          <t>图纸数量</t>
        </is>
      </c>
      <c r="H10" s="16" t="n"/>
      <c r="I10" s="16" t="inlineStr">
        <is>
          <t>差异</t>
        </is>
      </c>
      <c r="J10" s="17" t="n"/>
      <c r="K10" s="17" t="n"/>
      <c r="L10" s="17" t="n"/>
    </row>
    <row r="11" ht="26" customHeight="1" s="71">
      <c r="A11" s="16" t="inlineStr">
        <is>
          <t>合计</t>
        </is>
      </c>
      <c r="B11" s="72" t="n"/>
      <c r="C11" s="73" t="n"/>
      <c r="D11" s="16">
        <f>D8</f>
        <v/>
      </c>
      <c r="E11" s="16" t="inlineStr">
        <is>
          <t>kg</t>
        </is>
      </c>
      <c r="F11" s="90">
        <f>R4</f>
        <v/>
      </c>
      <c r="G11" s="90">
        <f>S4</f>
        <v/>
      </c>
      <c r="H11" s="90" t="n"/>
      <c r="I11" s="90">
        <f>F11-G11</f>
        <v/>
      </c>
      <c r="J11" s="17" t="n"/>
      <c r="K11" s="17" t="n"/>
      <c r="L11" s="17" t="n"/>
    </row>
  </sheetData>
  <mergeCells count="24">
    <mergeCell ref="M4:M9"/>
    <mergeCell ref="N4:N9"/>
    <mergeCell ref="P4:P9"/>
    <mergeCell ref="M2:M3"/>
    <mergeCell ref="B2:B3"/>
    <mergeCell ref="D2:D3"/>
    <mergeCell ref="R4:R9"/>
    <mergeCell ref="T4:T9"/>
    <mergeCell ref="B4:B8"/>
    <mergeCell ref="O4:O9"/>
    <mergeCell ref="N2:R2"/>
    <mergeCell ref="A2:A3"/>
    <mergeCell ref="C2:C3"/>
    <mergeCell ref="A10:C10"/>
    <mergeCell ref="Q4:Q9"/>
    <mergeCell ref="B9:C9"/>
    <mergeCell ref="J2:J3"/>
    <mergeCell ref="L2:L3"/>
    <mergeCell ref="A11:C11"/>
    <mergeCell ref="A4:A9"/>
    <mergeCell ref="A1:L1"/>
    <mergeCell ref="S4:S9"/>
    <mergeCell ref="U4:U9"/>
    <mergeCell ref="S2:S3"/>
  </mergeCells>
  <pageMargins left="0.75" right="0.75" top="1" bottom="1" header="0.5" footer="0.5"/>
  <pageSetup orientation="portrait" paperSize="9" scale="8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曹毅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2026-10-18T11:00:37Z</dcterms:modified>
  <cp:lastModifiedBy>张伟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465ABB43A53C453B8E57A7E9BA2456AD_13</vt:lpwstr>
  </property>
  <property name="CalculationRule" fmtid="{D5CDD505-2E9C-101B-9397-08002B2CF9AE}" pid="5">
    <vt:i4 xmlns:vt="http://schemas.openxmlformats.org/officeDocument/2006/docPropsVTypes">0</vt:i4>
  </property>
</Properties>
</file>