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合计数量" sheetId="1" state="visible" r:id="rId3"/>
    <sheet name="主梁数量" sheetId="2" state="visible" r:id="rId4"/>
    <sheet name="横隔板" sheetId="3" state="visible" r:id="rId5"/>
    <sheet name="梁底挡块" sheetId="4" state="visible" r:id="rId6"/>
    <sheet name="附属预埋件" sheetId="5" state="visible" r:id="rId7"/>
  </sheets>
  <definedNames>
    <definedName function="false" hidden="false" localSheetId="4" name="_xlnm.Print_Area" vbProcedure="false">附属预埋件!$A$1:$L$11</definedName>
    <definedName function="false" hidden="false" localSheetId="2" name="_xlnm.Print_Area" vbProcedure="false">横隔板!$A$1:$L$142</definedName>
    <definedName function="false" hidden="true" localSheetId="2" name="_xlnm._FilterDatabase" vbProcedure="false">横隔板!$A$3:$AA$141</definedName>
    <definedName function="false" hidden="false" localSheetId="3" name="_xlnm.Print_Area" vbProcedure="false">梁底挡块!$A$1:$L$8</definedName>
    <definedName function="false" hidden="false" localSheetId="1" name="_xlnm.Print_Area" vbProcedure="false">主梁数量!$A$1:$K$433</definedName>
    <definedName function="false" hidden="true" localSheetId="1" name="_xlnm._FilterDatabase" vbProcedure="false">主梁数量!$A$3:$W$434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<sst xmlns="http://schemas.openxmlformats.org/spreadsheetml/2006/main" count="1480" uniqueCount="350">
  <si>
    <t xml:space="preserve">部位</t>
  </si>
  <si>
    <t xml:space="preserve">板厚</t>
  </si>
  <si>
    <t xml:space="preserve">单位</t>
  </si>
  <si>
    <t xml:space="preserve">图纸数量</t>
  </si>
  <si>
    <t xml:space="preserve">复核数量</t>
  </si>
  <si>
    <t xml:space="preserve">差异</t>
  </si>
  <si>
    <t xml:space="preserve">备注</t>
  </si>
  <si>
    <t xml:space="preserve">Q355</t>
  </si>
  <si>
    <t xml:space="preserve">Q420</t>
  </si>
  <si>
    <t xml:space="preserve">合计</t>
  </si>
  <si>
    <t xml:space="preserve">钢梁</t>
  </si>
  <si>
    <t xml:space="preserve">kg</t>
  </si>
  <si>
    <t xml:space="preserve">图纸数量=新沙高架桥《主桥上构工程数量表(一)》P21（Q355D δ10）</t>
  </si>
  <si>
    <t xml:space="preserve">图纸数量=新沙 P21（Q355D δ12）</t>
  </si>
  <si>
    <t xml:space="preserve">图纸数量=新沙 P21（Q355D δ14 + Q420D δ14）</t>
  </si>
  <si>
    <t xml:space="preserve">图纸数量=新沙 P21（Q355D δ16 + Q420D δ16）</t>
  </si>
  <si>
    <t xml:space="preserve">图纸数量=新沙 P21（Q355D δ20）</t>
  </si>
  <si>
    <t xml:space="preserve">图纸数量=新沙 P21（Q355D δ24 + Q420D δ24）</t>
  </si>
  <si>
    <t xml:space="preserve">图纸数量=新沙 P21（Q355D δ28 + Q420D δ28）</t>
  </si>
  <si>
    <t xml:space="preserve">新沙图纸无δ30板件，图纸数量缺（待设计核实）</t>
  </si>
  <si>
    <t xml:space="preserve">图纸数量=新沙 P21（Q355D δ40 含Z35 + Q420D δ40 含Z35）</t>
  </si>
  <si>
    <t xml:space="preserve">新沙图纸无δ50板件，图纸数量缺（待设计核实）</t>
  </si>
  <si>
    <t xml:space="preserve">梁底挡块</t>
  </si>
  <si>
    <t xml:space="preserve">新沙图纸总表未单列梁底挡块（梁间横梁）数量，待设计核实</t>
  </si>
  <si>
    <t xml:space="preserve">钢梁制造合计</t>
  </si>
  <si>
    <t xml:space="preserve">本行仅覆盖模板档位（板厚10/12/14/16/20/24/28/40）共3977.9t；新沙另有δ8/δ32/δ36/δ44/δ48/δ60/δ80/δ100 及Q235B/Q355B/Q355C/焊缝重/螺栓共2107.7t，模板无对应档位行，未纳入；新沙主桥上构钢材合计6085.6t。复核数量G沿用模板（潭州）跨表引用，本次未取得新沙杆件明细（图纸无杆件明细表），差异H暂不可比。</t>
  </si>
  <si>
    <t xml:space="preserve">附属预埋</t>
  </si>
  <si>
    <t xml:space="preserve">护栏</t>
  </si>
  <si>
    <t xml:space="preserve">属于伸缩缝出护栏挡板，与混凝土护栏浇筑标段有冲突，待确认；新沙：防撞护栏设计图P289~P308，数量未单列kg（P22 附属工程表以m/套/个计），待确认</t>
  </si>
  <si>
    <t xml:space="preserve">排水</t>
  </si>
  <si>
    <t xml:space="preserve">新沙排水为镀锌钢管（P289《全桥排水工程数量表》合计2885.008m），无kg数量，待确认</t>
  </si>
  <si>
    <t xml:space="preserve">梁板编号</t>
  </si>
  <si>
    <t xml:space="preserve">板件名称</t>
  </si>
  <si>
    <t xml:space="preserve">位置</t>
  </si>
  <si>
    <t xml:space="preserve">材质</t>
  </si>
  <si>
    <t xml:space="preserve">长</t>
  </si>
  <si>
    <t xml:space="preserve">宽</t>
  </si>
  <si>
    <t xml:space="preserve">厚</t>
  </si>
  <si>
    <t xml:space="preserve">单件重</t>
  </si>
  <si>
    <t xml:space="preserve">数量</t>
  </si>
  <si>
    <t xml:space="preserve">合计重量</t>
  </si>
  <si>
    <t xml:space="preserve">mm</t>
  </si>
  <si>
    <t xml:space="preserve">上层1#</t>
  </si>
  <si>
    <t xml:space="preserve">顶板</t>
  </si>
  <si>
    <t xml:space="preserve">T1a</t>
  </si>
  <si>
    <t xml:space="preserve">Q420MD</t>
  </si>
  <si>
    <t xml:space="preserve">T1a'</t>
  </si>
  <si>
    <t xml:space="preserve">T1b</t>
  </si>
  <si>
    <t xml:space="preserve">T1b'</t>
  </si>
  <si>
    <t xml:space="preserve">T1c</t>
  </si>
  <si>
    <t xml:space="preserve">T1d</t>
  </si>
  <si>
    <t xml:space="preserve">T1e</t>
  </si>
  <si>
    <t xml:space="preserve">腹板</t>
  </si>
  <si>
    <t xml:space="preserve">F1a</t>
  </si>
  <si>
    <t xml:space="preserve">F1a'</t>
  </si>
  <si>
    <t xml:space="preserve">F1a''</t>
  </si>
  <si>
    <t xml:space="preserve">F1a'''</t>
  </si>
  <si>
    <t xml:space="preserve">F1b</t>
  </si>
  <si>
    <t xml:space="preserve">F1b'</t>
  </si>
  <si>
    <t xml:space="preserve">F1b''</t>
  </si>
  <si>
    <t xml:space="preserve">F1b'''</t>
  </si>
  <si>
    <t xml:space="preserve">F1c</t>
  </si>
  <si>
    <t xml:space="preserve">F1c'</t>
  </si>
  <si>
    <t xml:space="preserve">底板</t>
  </si>
  <si>
    <t xml:space="preserve">B1a</t>
  </si>
  <si>
    <t xml:space="preserve">B1a'</t>
  </si>
  <si>
    <t xml:space="preserve">B1b</t>
  </si>
  <si>
    <t xml:space="preserve">B1c</t>
  </si>
  <si>
    <t xml:space="preserve">腹板加劲</t>
  </si>
  <si>
    <t xml:space="preserve">FL1a</t>
  </si>
  <si>
    <t xml:space="preserve">长度待设计核实</t>
  </si>
  <si>
    <t xml:space="preserve">FL1b</t>
  </si>
  <si>
    <t xml:space="preserve">FL1c</t>
  </si>
  <si>
    <t xml:space="preserve">底板加劲</t>
  </si>
  <si>
    <t xml:space="preserve">BL1a</t>
  </si>
  <si>
    <t xml:space="preserve">BL1a'</t>
  </si>
  <si>
    <t xml:space="preserve">BL1b</t>
  </si>
  <si>
    <t xml:space="preserve">BL1c</t>
  </si>
  <si>
    <t xml:space="preserve">小计</t>
  </si>
  <si>
    <t xml:space="preserve">上层2#</t>
  </si>
  <si>
    <t xml:space="preserve">T2a</t>
  </si>
  <si>
    <t xml:space="preserve">T2a'</t>
  </si>
  <si>
    <t xml:space="preserve">T2b</t>
  </si>
  <si>
    <t xml:space="preserve">T2c</t>
  </si>
  <si>
    <t xml:space="preserve">T2d</t>
  </si>
  <si>
    <t xml:space="preserve">T2e</t>
  </si>
  <si>
    <t xml:space="preserve">F2a</t>
  </si>
  <si>
    <t xml:space="preserve">F2a'</t>
  </si>
  <si>
    <t xml:space="preserve">F2a''</t>
  </si>
  <si>
    <t xml:space="preserve">F2a'''</t>
  </si>
  <si>
    <t xml:space="preserve">F2b</t>
  </si>
  <si>
    <t xml:space="preserve">F2b'</t>
  </si>
  <si>
    <t xml:space="preserve">F2c</t>
  </si>
  <si>
    <t xml:space="preserve">F2c'</t>
  </si>
  <si>
    <t xml:space="preserve">B2a</t>
  </si>
  <si>
    <t xml:space="preserve">B2a'</t>
  </si>
  <si>
    <t xml:space="preserve">B2b</t>
  </si>
  <si>
    <t xml:space="preserve">B2c</t>
  </si>
  <si>
    <t xml:space="preserve">FL2a</t>
  </si>
  <si>
    <t xml:space="preserve">FL2b</t>
  </si>
  <si>
    <t xml:space="preserve">FL2c</t>
  </si>
  <si>
    <t xml:space="preserve">BL2a</t>
  </si>
  <si>
    <t xml:space="preserve">BL2a'</t>
  </si>
  <si>
    <t xml:space="preserve">BL2b</t>
  </si>
  <si>
    <t xml:space="preserve">BL2c</t>
  </si>
  <si>
    <t xml:space="preserve">上层3#</t>
  </si>
  <si>
    <t xml:space="preserve">T3a</t>
  </si>
  <si>
    <t xml:space="preserve">T3a'</t>
  </si>
  <si>
    <t xml:space="preserve">T3b</t>
  </si>
  <si>
    <t xml:space="preserve">T3c</t>
  </si>
  <si>
    <t xml:space="preserve">T3d</t>
  </si>
  <si>
    <t xml:space="preserve">T3e</t>
  </si>
  <si>
    <t xml:space="preserve">F3a</t>
  </si>
  <si>
    <t xml:space="preserve">F3a'</t>
  </si>
  <si>
    <t xml:space="preserve">F3a''</t>
  </si>
  <si>
    <t xml:space="preserve">F3a'''</t>
  </si>
  <si>
    <t xml:space="preserve">F3b</t>
  </si>
  <si>
    <t xml:space="preserve">F3b'</t>
  </si>
  <si>
    <t xml:space="preserve">F3c</t>
  </si>
  <si>
    <t xml:space="preserve">F3c'</t>
  </si>
  <si>
    <t xml:space="preserve">B3a</t>
  </si>
  <si>
    <t xml:space="preserve">B3a'</t>
  </si>
  <si>
    <t xml:space="preserve">B3b</t>
  </si>
  <si>
    <t xml:space="preserve">B3c</t>
  </si>
  <si>
    <t xml:space="preserve">FL3a</t>
  </si>
  <si>
    <t xml:space="preserve">FL3b</t>
  </si>
  <si>
    <t xml:space="preserve">FL3c</t>
  </si>
  <si>
    <t xml:space="preserve">BL3a</t>
  </si>
  <si>
    <t xml:space="preserve">BL3a'</t>
  </si>
  <si>
    <t xml:space="preserve">BL3b</t>
  </si>
  <si>
    <t xml:space="preserve">BL3c</t>
  </si>
  <si>
    <t xml:space="preserve">上层4#</t>
  </si>
  <si>
    <t xml:space="preserve">T4a</t>
  </si>
  <si>
    <t xml:space="preserve">T4a'</t>
  </si>
  <si>
    <t xml:space="preserve">T4b</t>
  </si>
  <si>
    <t xml:space="preserve">T4c</t>
  </si>
  <si>
    <t xml:space="preserve">T4d</t>
  </si>
  <si>
    <t xml:space="preserve">T4e</t>
  </si>
  <si>
    <t xml:space="preserve">F4a</t>
  </si>
  <si>
    <t xml:space="preserve">F4a'</t>
  </si>
  <si>
    <t xml:space="preserve">F4a''</t>
  </si>
  <si>
    <t xml:space="preserve">F4a'''</t>
  </si>
  <si>
    <t xml:space="preserve">F4b</t>
  </si>
  <si>
    <t xml:space="preserve">F4b'</t>
  </si>
  <si>
    <t xml:space="preserve">F4c</t>
  </si>
  <si>
    <t xml:space="preserve">F4c'</t>
  </si>
  <si>
    <t xml:space="preserve">B4a</t>
  </si>
  <si>
    <t xml:space="preserve">B4a'</t>
  </si>
  <si>
    <t xml:space="preserve">B4b</t>
  </si>
  <si>
    <t xml:space="preserve">B4c</t>
  </si>
  <si>
    <t xml:space="preserve">FL4a</t>
  </si>
  <si>
    <t xml:space="preserve">FL4b</t>
  </si>
  <si>
    <t xml:space="preserve">FL4c</t>
  </si>
  <si>
    <t xml:space="preserve">BL4a</t>
  </si>
  <si>
    <t xml:space="preserve">BL4a'</t>
  </si>
  <si>
    <t xml:space="preserve">BL4b</t>
  </si>
  <si>
    <t xml:space="preserve">BL4c</t>
  </si>
  <si>
    <t xml:space="preserve">上层5#</t>
  </si>
  <si>
    <t xml:space="preserve">T5a</t>
  </si>
  <si>
    <t xml:space="preserve">T5a'</t>
  </si>
  <si>
    <t xml:space="preserve">T5b</t>
  </si>
  <si>
    <t xml:space="preserve">T5c</t>
  </si>
  <si>
    <t xml:space="preserve">T5d</t>
  </si>
  <si>
    <t xml:space="preserve">T5e</t>
  </si>
  <si>
    <t xml:space="preserve">F5a</t>
  </si>
  <si>
    <t xml:space="preserve">F5a'</t>
  </si>
  <si>
    <t xml:space="preserve">F5a''</t>
  </si>
  <si>
    <t xml:space="preserve">F5a'''</t>
  </si>
  <si>
    <t xml:space="preserve">F5b</t>
  </si>
  <si>
    <t xml:space="preserve">F5b'</t>
  </si>
  <si>
    <t xml:space="preserve">F5c</t>
  </si>
  <si>
    <t xml:space="preserve">F5c'</t>
  </si>
  <si>
    <t xml:space="preserve">B5a</t>
  </si>
  <si>
    <t xml:space="preserve">B5a'</t>
  </si>
  <si>
    <t xml:space="preserve">B5b</t>
  </si>
  <si>
    <t xml:space="preserve">B5c</t>
  </si>
  <si>
    <t xml:space="preserve">FL5a</t>
  </si>
  <si>
    <t xml:space="preserve">FL5b</t>
  </si>
  <si>
    <t xml:space="preserve">FL5c</t>
  </si>
  <si>
    <t xml:space="preserve">BL5a</t>
  </si>
  <si>
    <t xml:space="preserve">BL5a'</t>
  </si>
  <si>
    <t xml:space="preserve">BL5b</t>
  </si>
  <si>
    <t xml:space="preserve">BL5c</t>
  </si>
  <si>
    <t xml:space="preserve">上层6#</t>
  </si>
  <si>
    <t xml:space="preserve">T6a</t>
  </si>
  <si>
    <t xml:space="preserve">T6a'</t>
  </si>
  <si>
    <t xml:space="preserve">T6b</t>
  </si>
  <si>
    <t xml:space="preserve">T6c</t>
  </si>
  <si>
    <t xml:space="preserve">T6d</t>
  </si>
  <si>
    <t xml:space="preserve">T6e</t>
  </si>
  <si>
    <t xml:space="preserve">F6a</t>
  </si>
  <si>
    <t xml:space="preserve">F6a'</t>
  </si>
  <si>
    <t xml:space="preserve">F6a''</t>
  </si>
  <si>
    <t xml:space="preserve">F6a'''</t>
  </si>
  <si>
    <t xml:space="preserve">F6b</t>
  </si>
  <si>
    <t xml:space="preserve">F6b'</t>
  </si>
  <si>
    <t xml:space="preserve">F6c</t>
  </si>
  <si>
    <t xml:space="preserve">F6c'</t>
  </si>
  <si>
    <t xml:space="preserve">B6a</t>
  </si>
  <si>
    <t xml:space="preserve">B6a'</t>
  </si>
  <si>
    <t xml:space="preserve">B6b</t>
  </si>
  <si>
    <t xml:space="preserve">B6c</t>
  </si>
  <si>
    <t xml:space="preserve">FL6a</t>
  </si>
  <si>
    <t xml:space="preserve">FL6b</t>
  </si>
  <si>
    <t xml:space="preserve">FL6c</t>
  </si>
  <si>
    <t xml:space="preserve">BL6a</t>
  </si>
  <si>
    <t xml:space="preserve">BL6a'</t>
  </si>
  <si>
    <t xml:space="preserve">BL6b</t>
  </si>
  <si>
    <t xml:space="preserve">BL6c</t>
  </si>
  <si>
    <t xml:space="preserve">上层7#</t>
  </si>
  <si>
    <t xml:space="preserve">T7a</t>
  </si>
  <si>
    <t xml:space="preserve">T7a'</t>
  </si>
  <si>
    <t xml:space="preserve">T7b</t>
  </si>
  <si>
    <t xml:space="preserve">T7c</t>
  </si>
  <si>
    <t xml:space="preserve">T7d</t>
  </si>
  <si>
    <t xml:space="preserve">T7e</t>
  </si>
  <si>
    <t xml:space="preserve">F7a</t>
  </si>
  <si>
    <t xml:space="preserve">F7a'</t>
  </si>
  <si>
    <t xml:space="preserve">F7a''</t>
  </si>
  <si>
    <t xml:space="preserve">F7a'''</t>
  </si>
  <si>
    <t xml:space="preserve">F7b</t>
  </si>
  <si>
    <t xml:space="preserve">F7b'</t>
  </si>
  <si>
    <t xml:space="preserve">F7c</t>
  </si>
  <si>
    <t xml:space="preserve">F7c'</t>
  </si>
  <si>
    <t xml:space="preserve">B7a</t>
  </si>
  <si>
    <t xml:space="preserve">B7a'</t>
  </si>
  <si>
    <t xml:space="preserve">B7b</t>
  </si>
  <si>
    <t xml:space="preserve">B7c</t>
  </si>
  <si>
    <t xml:space="preserve">FL7a</t>
  </si>
  <si>
    <t xml:space="preserve">FL7b</t>
  </si>
  <si>
    <t xml:space="preserve">FL7c</t>
  </si>
  <si>
    <t xml:space="preserve">BL7a</t>
  </si>
  <si>
    <t xml:space="preserve">BL7a'</t>
  </si>
  <si>
    <t xml:space="preserve">BL7b</t>
  </si>
  <si>
    <t xml:space="preserve">BL7c</t>
  </si>
  <si>
    <t xml:space="preserve">上层8#</t>
  </si>
  <si>
    <t xml:space="preserve">T8a</t>
  </si>
  <si>
    <t xml:space="preserve">T8a'</t>
  </si>
  <si>
    <t xml:space="preserve">T8b</t>
  </si>
  <si>
    <t xml:space="preserve">T8b'</t>
  </si>
  <si>
    <t xml:space="preserve">T8c</t>
  </si>
  <si>
    <t xml:space="preserve">T8d</t>
  </si>
  <si>
    <t xml:space="preserve">T8e</t>
  </si>
  <si>
    <t xml:space="preserve">F8a</t>
  </si>
  <si>
    <t xml:space="preserve">F8a'</t>
  </si>
  <si>
    <t xml:space="preserve">F8a''</t>
  </si>
  <si>
    <t xml:space="preserve">F8a'''</t>
  </si>
  <si>
    <t xml:space="preserve">F8b</t>
  </si>
  <si>
    <t xml:space="preserve">F8b'</t>
  </si>
  <si>
    <t xml:space="preserve">F8b''</t>
  </si>
  <si>
    <t xml:space="preserve">F8b'''</t>
  </si>
  <si>
    <t xml:space="preserve">F8c</t>
  </si>
  <si>
    <t xml:space="preserve">F8c'</t>
  </si>
  <si>
    <t xml:space="preserve">B8a</t>
  </si>
  <si>
    <t xml:space="preserve">B8a'</t>
  </si>
  <si>
    <t xml:space="preserve">B8b</t>
  </si>
  <si>
    <t xml:space="preserve">B8c</t>
  </si>
  <si>
    <t xml:space="preserve">FL8a</t>
  </si>
  <si>
    <t xml:space="preserve">FL8b</t>
  </si>
  <si>
    <t xml:space="preserve">FL8c</t>
  </si>
  <si>
    <t xml:space="preserve">BL8a</t>
  </si>
  <si>
    <t xml:space="preserve">BL8a'</t>
  </si>
  <si>
    <t xml:space="preserve">BL8b</t>
  </si>
  <si>
    <t xml:space="preserve">BL8c</t>
  </si>
  <si>
    <t xml:space="preserve">下层1#</t>
  </si>
  <si>
    <t xml:space="preserve">下层2#</t>
  </si>
  <si>
    <t xml:space="preserve">下层3#</t>
  </si>
  <si>
    <t xml:space="preserve">下层4#</t>
  </si>
  <si>
    <t xml:space="preserve">下层5#</t>
  </si>
  <si>
    <t xml:space="preserve">下层6#</t>
  </si>
  <si>
    <t xml:space="preserve">下层7#</t>
  </si>
  <si>
    <t xml:space="preserve">下层8#</t>
  </si>
  <si>
    <t xml:space="preserve">名称</t>
  </si>
  <si>
    <t xml:space="preserve">【新沙高架桥】杆件明细（长×宽×厚×数量）无法从图纸获取：本册326页中，中桁/边桁节段设计图（P45~P230）为纯几何大样，无杆件明细表；本表复核数量M..S列为模板（潭州）计算值，待补新沙明细后重算。</t>
  </si>
  <si>
    <t xml:space="preserve">复核合计</t>
  </si>
  <si>
    <t xml:space="preserve">主梁合计</t>
  </si>
  <si>
    <t xml:space="preserve">图纸合计</t>
  </si>
  <si>
    <t xml:space="preserve">全桥数量</t>
  </si>
  <si>
    <t xml:space="preserve">横隔板</t>
  </si>
  <si>
    <t xml:space="preserve">Z1边支点横隔板</t>
  </si>
  <si>
    <t xml:space="preserve">N1</t>
  </si>
  <si>
    <t xml:space="preserve">Q355MD</t>
  </si>
  <si>
    <t xml:space="preserve">N2</t>
  </si>
  <si>
    <t xml:space="preserve">N3</t>
  </si>
  <si>
    <t xml:space="preserve">N3'</t>
  </si>
  <si>
    <t xml:space="preserve">N3a</t>
  </si>
  <si>
    <t xml:space="preserve">N3a'</t>
  </si>
  <si>
    <t xml:space="preserve">N3b</t>
  </si>
  <si>
    <t xml:space="preserve">N3b'</t>
  </si>
  <si>
    <t xml:space="preserve">N3c</t>
  </si>
  <si>
    <t xml:space="preserve">N3c'</t>
  </si>
  <si>
    <t xml:space="preserve">N3d</t>
  </si>
  <si>
    <t xml:space="preserve">N3d'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</si>
  <si>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</si>
  <si>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</si>
  <si>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</si>
  <si>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</si>
  <si>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</si>
  <si>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数量有误需设计核实</t>
  </si>
  <si>
    <t xml:space="preserve">N9</t>
  </si>
  <si>
    <t xml:space="preserve">N10</t>
  </si>
  <si>
    <t xml:space="preserve">T1上层挑梁</t>
  </si>
  <si>
    <t xml:space="preserve">N1T</t>
  </si>
  <si>
    <t xml:space="preserve">N2T</t>
  </si>
  <si>
    <t xml:space="preserve">N3T</t>
  </si>
  <si>
    <t xml:space="preserve">N4T</t>
  </si>
  <si>
    <t xml:space="preserve">N4Ta</t>
  </si>
  <si>
    <t xml:space="preserve">T2上层挑梁</t>
  </si>
  <si>
    <t xml:space="preserve">N4a</t>
  </si>
  <si>
    <t xml:space="preserve">T3下层挑梁</t>
  </si>
  <si>
    <t xml:space="preserve">N1'</t>
  </si>
  <si>
    <t xml:space="preserve">N2'</t>
  </si>
  <si>
    <t xml:space="preserve">N4'</t>
  </si>
  <si>
    <t xml:space="preserve">N4a'</t>
  </si>
  <si>
    <t xml:space="preserve">Z2支点横梁</t>
  </si>
  <si>
    <t xml:space="preserve">HG1</t>
  </si>
  <si>
    <t xml:space="preserve">HG2</t>
  </si>
  <si>
    <t xml:space="preserve">HG3</t>
  </si>
  <si>
    <t xml:space="preserve">HG5</t>
  </si>
  <si>
    <t xml:space="preserve">HG4</t>
  </si>
  <si>
    <t xml:space="preserve">HG6</t>
  </si>
  <si>
    <t xml:space="preserve">横肋</t>
  </si>
  <si>
    <t xml:space="preserve">L1横肋</t>
  </si>
  <si>
    <t xml:space="preserve">需设计核实</t>
  </si>
  <si>
    <t xml:space="preserve">L2横肋</t>
  </si>
  <si>
    <t xml:space="preserve">L3横肋</t>
  </si>
  <si>
    <t xml:space="preserve">U肋</t>
  </si>
  <si>
    <t xml:space="preserve">单件重量和数量有误需核实</t>
  </si>
  <si>
    <t xml:space="preserve">梁间横梁</t>
  </si>
  <si>
    <t xml:space="preserve">XJZ1</t>
  </si>
  <si>
    <t xml:space="preserve">XJZ2</t>
  </si>
  <si>
    <t xml:space="preserve">XJZ3</t>
  </si>
  <si>
    <t xml:space="preserve">XJZ4</t>
  </si>
  <si>
    <t xml:space="preserve">尺寸有误</t>
  </si>
  <si>
    <t xml:space="preserve">XJHL1</t>
  </si>
  <si>
    <t xml:space="preserve">HL1-T1</t>
  </si>
  <si>
    <t xml:space="preserve">HL1-F1</t>
  </si>
  <si>
    <t xml:space="preserve">HL1-F2</t>
  </si>
  <si>
    <t xml:space="preserve">HL1-B1</t>
  </si>
  <si>
    <t xml:space="preserve">HL1-B2</t>
  </si>
  <si>
    <t xml:space="preserve">HL1-V1</t>
  </si>
  <si>
    <t xml:space="preserve">XJHL2</t>
  </si>
  <si>
    <t xml:space="preserve">【新沙高架桥】横隔板明细无法从图纸获取（无明细表）；本表N..W列复核数量为模板（潭州）计算值，图纸数量Y列亦为模板值，待补新沙明细后重算。</t>
  </si>
  <si>
    <t xml:space="preserve">新沙图纸总表未单列梁间横梁（梁底挡块）数量，图纸数量S4为模板值，待设计核实。</t>
  </si>
  <si>
    <t xml:space="preserve">上层N1</t>
  </si>
  <si>
    <t xml:space="preserve">Q355C</t>
  </si>
  <si>
    <t xml:space="preserve">下层N1</t>
  </si>
  <si>
    <t xml:space="preserve">上层N2</t>
  </si>
  <si>
    <t xml:space="preserve">下层N2</t>
  </si>
  <si>
    <t xml:space="preserve">新沙排水/预埋件为镀锌钢管等（P289/P22），非Q355C板件，图纸数量S4为模板值，待设计核实。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</si>
</sst>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0.0_ 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宋体"/>
      <family val="0"/>
      <charset val="134"/>
    </font>
    <font>
      <b val="true"/>
      <sz val="9"/>
      <color theme="1"/>
      <name val="宋体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228600</xdr:colOff>
      <xdr:row>9</xdr:row>
      <xdr:rowOff>241200</xdr:rowOff>
    </xdr:from>
    <xdr:to>
      <xdr:col>19</xdr:col>
      <xdr:colOff>497520</xdr:colOff>
      <xdr:row>26</xdr:row>
      <xdr:rowOff>18360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7321680" y="2889000"/>
          <a:ext cx="4059720" cy="30538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 l="0" t="0" r="0" b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Relationship Id="rId2" Type="http://schemas.openxmlformats.org/officeDocument/2006/relationships/drawing" Target="../drawings/drawing_wm5.xml"/>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Relationship Id="rId2" Type="http://schemas.openxmlformats.org/officeDocument/2006/relationships/drawing" Target="../drawings/drawing_wm4.xml"/>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Relationship Id="rId2" Type="http://schemas.openxmlformats.org/officeDocument/2006/relationships/drawing" Target="../drawings/drawing_w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pageBreakPreview" topLeftCell="A1" colorId="64" zoomScale="114" zoomScaleNormal="100" zoomScalePageLayoutView="114" workbookViewId="0">
      <selection pane="topLeft" activeCell="I9" activeCellId="0" sqref="I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16.275"/>
    <col collapsed="false" customWidth="true" hidden="false" outlineLevel="0" max="4" min="2" style="1" width="9.0"/>
    <col collapsed="false" customWidth="true" hidden="false" outlineLevel="0" max="5" min="5" style="1" width="9.54166666666667"/>
    <col collapsed="false" customWidth="true" hidden="false" outlineLevel="0" max="6" min="6" style="1" width="10.5416666666667"/>
    <col collapsed="false" customWidth="true" hidden="false" outlineLevel="0" max="7" min="7" style="1" width="12.9083333333333"/>
    <col collapsed="false" customWidth="true" hidden="false" outlineLevel="0" max="8" min="8" style="1" width="9.54166666666667"/>
    <col collapsed="false" customWidth="true" hidden="false" outlineLevel="0" max="9" min="9" style="1" width="53.125"/>
    <col collapsed="false" customWidth="true" hidden="false" outlineLevel="0" max="16384" min="10" style="1" width="9.0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9.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 t="s">
        <v>4</v>
      </c>
      <c r="H2" s="3" t="s">
        <v>5</v>
      </c>
      <c r="I2" s="3" t="s">
        <v>6</v>
      </c>
    </row>
    <row r="3" customFormat="false" ht="19.5" hidden="false" customHeight="true" outlineLevel="0" collapsed="false">
      <c r="A3" s="3"/>
      <c r="B3" s="3"/>
      <c r="C3" s="3"/>
      <c r="D3" s="3" t="s">
        <v>7</v>
      </c>
      <c r="E3" s="3" t="s">
        <v>8</v>
      </c>
      <c r="F3" s="3" t="s">
        <v>9</v>
      </c>
      <c r="G3" s="3"/>
      <c r="H3" s="3"/>
      <c r="I3" s="3"/>
    </row>
    <row r="4" customFormat="false" ht="19.5" hidden="false" customHeight="true" outlineLevel="0" collapsed="false">
      <c r="A4" s="3" t="s">
        <v>10</v>
      </c>
      <c r="B4" s="3" t="n">
        <v>10</v>
      </c>
      <c r="C4" s="3" t="s">
        <v>11</v>
      </c>
      <c r="D4" s="3" t="n">
        <v>40128</v>
      </c>
      <c r="E4" s="3"/>
      <c r="F4" s="3" t="n">
        <f aca="false">D4+E4</f>
        <v>40128</v>
      </c>
      <c r="G4" s="4" t="n">
        <f aca="false">横隔板!N139</f>
        <v>3432.9312</v>
      </c>
      <c r="H4" s="4" t="n">
        <f aca="false">G4-F4</f>
        <v>-36695.0688</v>
      </c>
      <c r="I4" s="3" t="s">
        <v>12</v>
      </c>
    </row>
    <row r="5" customFormat="false" ht="19.5" hidden="false" customHeight="true" outlineLevel="0" collapsed="false">
      <c r="A5" s="3"/>
      <c r="B5" s="3" t="n">
        <v>12</v>
      </c>
      <c r="C5" s="3" t="s">
        <v>11</v>
      </c>
      <c r="D5" s="5" t="n">
        <v>193459.1</v>
      </c>
      <c r="E5" s="3"/>
      <c r="F5" s="3" t="n">
        <f aca="false">D5+E5</f>
        <v>193459.1</v>
      </c>
      <c r="G5" s="4" t="n">
        <f aca="false">主梁数量!M432+横隔板!O139</f>
        <v>323303.3143476</v>
      </c>
      <c r="H5" s="6" t="n">
        <f aca="false">G5-F5</f>
        <v>129844.2143476</v>
      </c>
      <c r="I5" s="3" t="s">
        <v>13</v>
      </c>
    </row>
    <row r="6" customFormat="false" ht="19.5" hidden="false" customHeight="true" outlineLevel="0" collapsed="false">
      <c r="A6" s="3"/>
      <c r="B6" s="3" t="n">
        <v>14</v>
      </c>
      <c r="C6" s="3" t="s">
        <v>11</v>
      </c>
      <c r="D6" s="3" t="n">
        <v>847139</v>
      </c>
      <c r="E6" s="3" t="n">
        <v>2518.5</v>
      </c>
      <c r="F6" s="3" t="n">
        <f aca="false">D6+E6</f>
        <v>849657.5</v>
      </c>
      <c r="G6" s="4" t="n">
        <f aca="false">主梁数量!N432+横隔板!P139</f>
        <v>650669.89568</v>
      </c>
      <c r="H6" s="4" t="n">
        <f aca="false">G6-F6</f>
        <v>-198987.60432</v>
      </c>
      <c r="I6" s="3" t="s">
        <v>14</v>
      </c>
    </row>
    <row r="7" customFormat="false" ht="19.5" hidden="false" customHeight="true" outlineLevel="0" collapsed="false">
      <c r="A7" s="3"/>
      <c r="B7" s="3" t="n">
        <v>16</v>
      </c>
      <c r="C7" s="3" t="s">
        <v>11</v>
      </c>
      <c r="D7" s="5" t="n">
        <v>129234.4</v>
      </c>
      <c r="E7" s="3" t="n">
        <v>27946.9</v>
      </c>
      <c r="F7" s="3" t="n">
        <f aca="false">D7+E7</f>
        <v>157181.3</v>
      </c>
      <c r="G7" s="4" t="n">
        <f aca="false">主梁数量!O432+横隔板!Q139</f>
        <v>474025.5146432</v>
      </c>
      <c r="H7" s="6" t="n">
        <f aca="false">G7-F7</f>
        <v>316844.2146432</v>
      </c>
      <c r="I7" s="3" t="s">
        <v>15</v>
      </c>
    </row>
    <row r="8" customFormat="false" ht="19.5" hidden="false" customHeight="true" outlineLevel="0" collapsed="false">
      <c r="A8" s="3"/>
      <c r="B8" s="3" t="n">
        <v>20</v>
      </c>
      <c r="C8" s="3" t="s">
        <v>11</v>
      </c>
      <c r="D8" s="5" t="n">
        <v>879520.9</v>
      </c>
      <c r="E8" s="3"/>
      <c r="F8" s="3" t="n">
        <f aca="false">D8+E8</f>
        <v>879520.9</v>
      </c>
      <c r="G8" s="4" t="n">
        <f aca="false">主梁数量!P432+横隔板!R139</f>
        <v>990076.347232</v>
      </c>
      <c r="H8" s="6" t="n">
        <f aca="false">G8-F8</f>
        <v>110555.447232</v>
      </c>
      <c r="I8" s="3" t="s">
        <v>16</v>
      </c>
    </row>
    <row r="9" customFormat="false" ht="19.5" hidden="false" customHeight="true" outlineLevel="0" collapsed="false">
      <c r="A9" s="3"/>
      <c r="B9" s="3" t="n">
        <v>24</v>
      </c>
      <c r="C9" s="3" t="s">
        <v>11</v>
      </c>
      <c r="D9" s="3" t="n">
        <v>890863</v>
      </c>
      <c r="E9" s="3" t="n">
        <v>11198.7</v>
      </c>
      <c r="F9" s="3" t="n">
        <f aca="false">D9+E9</f>
        <v>902061.7</v>
      </c>
      <c r="G9" s="4" t="n">
        <f aca="false">主梁数量!Q432+横隔板!S139</f>
        <v>349743.232</v>
      </c>
      <c r="H9" s="4" t="n">
        <f aca="false">G9-F9</f>
        <v>-552318.468</v>
      </c>
      <c r="I9" s="3" t="s">
        <v>17</v>
      </c>
    </row>
    <row r="10" customFormat="false" ht="19.5" hidden="false" customHeight="true" outlineLevel="0" collapsed="false">
      <c r="A10" s="3"/>
      <c r="B10" s="3" t="n">
        <v>28</v>
      </c>
      <c r="C10" s="3" t="s">
        <v>11</v>
      </c>
      <c r="D10" s="3" t="n">
        <v>105369.4</v>
      </c>
      <c r="E10" s="3" t="n">
        <v>12062.2</v>
      </c>
      <c r="F10" s="3" t="n">
        <f aca="false">D10+E10</f>
        <v>117431.6</v>
      </c>
      <c r="G10" s="4" t="n">
        <f aca="false">横隔板!T139</f>
        <v>23113.6</v>
      </c>
      <c r="H10" s="4" t="n">
        <f aca="false">G10-F10</f>
        <v>-94318</v>
      </c>
      <c r="I10" s="3" t="s">
        <v>18</v>
      </c>
    </row>
    <row r="11" customFormat="false" ht="19.5" hidden="false" customHeight="true" outlineLevel="0" collapsed="false">
      <c r="A11" s="3"/>
      <c r="B11" s="3" t="n">
        <v>30</v>
      </c>
      <c r="C11" s="3" t="s">
        <v>11</v>
      </c>
      <c r="D11" s="3"/>
      <c r="E11" s="3"/>
      <c r="F11" s="3" t="n">
        <f aca="false">D11+E11</f>
        <v>0</v>
      </c>
      <c r="G11" s="4" t="n">
        <f aca="false">主梁数量!R432+横隔板!U139</f>
        <v>38584.32</v>
      </c>
      <c r="H11" s="4" t="n">
        <f aca="false">G11-F11</f>
        <v>38584.32</v>
      </c>
      <c r="I11" s="3" t="s">
        <v>19</v>
      </c>
    </row>
    <row r="12" customFormat="false" ht="19.5" hidden="false" customHeight="true" outlineLevel="0" collapsed="false">
      <c r="A12" s="3"/>
      <c r="B12" s="3" t="n">
        <v>40</v>
      </c>
      <c r="C12" s="3" t="s">
        <v>11</v>
      </c>
      <c r="D12" s="3" t="n">
        <v>497184.5</v>
      </c>
      <c r="E12" s="3" t="n">
        <v>341284.8</v>
      </c>
      <c r="F12" s="3" t="n">
        <f aca="false">D12+E12</f>
        <v>838469.3</v>
      </c>
      <c r="G12" s="4" t="n">
        <f aca="false">主梁数量!S432+横隔板!V139</f>
        <v>118968.64</v>
      </c>
      <c r="H12" s="4" t="n">
        <f aca="false">G12-F12</f>
        <v>-719500.66</v>
      </c>
      <c r="I12" s="3" t="s">
        <v>20</v>
      </c>
    </row>
    <row r="13" customFormat="false" ht="19.5" hidden="false" customHeight="true" outlineLevel="0" collapsed="false">
      <c r="A13" s="3"/>
      <c r="B13" s="3" t="n">
        <v>50</v>
      </c>
      <c r="C13" s="3" t="s">
        <v>11</v>
      </c>
      <c r="D13" s="3"/>
      <c r="E13" s="3"/>
      <c r="F13" s="3" t="n">
        <f aca="false">D13+E13</f>
        <v>0</v>
      </c>
      <c r="G13" s="4" t="n">
        <f aca="false">横隔板!W139</f>
        <v>6280</v>
      </c>
      <c r="H13" s="4" t="n">
        <f aca="false">G13-F13</f>
        <v>6280</v>
      </c>
      <c r="I13" s="3" t="s">
        <v>21</v>
      </c>
    </row>
    <row r="14" customFormat="false" ht="19.5" hidden="false" customHeight="true" outlineLevel="0" collapsed="false">
      <c r="A14" s="3" t="s">
        <v>22</v>
      </c>
      <c r="B14" s="3" t="n">
        <v>20</v>
      </c>
      <c r="C14" s="3" t="s">
        <v>11</v>
      </c>
      <c r="D14" s="3"/>
      <c r="E14" s="3"/>
      <c r="F14" s="3" t="n">
        <v>7638.4</v>
      </c>
      <c r="G14" s="4" t="n">
        <f aca="false">梁底挡块!F8</f>
        <v>7639.68</v>
      </c>
      <c r="H14" s="4" t="n">
        <f aca="false">G14-F14</f>
        <v>1.28000000000065</v>
      </c>
      <c r="I14" s="3" t="s">
        <v>23</v>
      </c>
    </row>
    <row r="15" customFormat="false" ht="19.5" hidden="false" customHeight="true" outlineLevel="0" collapsed="false">
      <c r="A15" s="7" t="s">
        <v>24</v>
      </c>
      <c r="B15" s="3"/>
      <c r="C15" s="3" t="s">
        <v>11</v>
      </c>
      <c r="D15" s="3"/>
      <c r="E15" s="3"/>
      <c r="F15" s="4" t="n">
        <f aca="false">SUM(F4:F14)</f>
        <v>3985547.8</v>
      </c>
      <c r="G15" s="4" t="n">
        <f aca="false">SUM(G4:G14)</f>
        <v>2985837.4751028</v>
      </c>
      <c r="H15" s="6" t="n">
        <f aca="false">G15-F15</f>
        <v>-999710.3248972</v>
      </c>
      <c r="I15" s="3" t="s">
        <v>25</v>
      </c>
    </row>
    <row r="16" customFormat="false" ht="19.5" hidden="false" customHeight="true" outlineLevel="0" collapsed="false">
      <c r="A16" s="7" t="s">
        <v>26</v>
      </c>
      <c r="B16" s="3" t="s">
        <v>27</v>
      </c>
      <c r="C16" s="3" t="s">
        <v>11</v>
      </c>
      <c r="D16" s="3"/>
      <c r="E16" s="3"/>
      <c r="F16" s="3" t="n">
        <v>588.9</v>
      </c>
      <c r="G16" s="3" t="n">
        <v>0</v>
      </c>
      <c r="H16" s="6" t="n">
        <f aca="false">G16-F16</f>
        <v>-588.9</v>
      </c>
      <c r="I16" s="8" t="s">
        <v>28</v>
      </c>
    </row>
    <row r="17" customFormat="false" ht="19.5" hidden="false" customHeight="true" outlineLevel="0" collapsed="false">
      <c r="A17" s="7"/>
      <c r="B17" s="3" t="s">
        <v>29</v>
      </c>
      <c r="C17" s="3" t="s">
        <v>11</v>
      </c>
      <c r="D17" s="3"/>
      <c r="E17" s="3"/>
      <c r="F17" s="3" t="n">
        <f aca="false">7835.2</f>
        <v>7835.2</v>
      </c>
      <c r="G17" s="4" t="n">
        <f aca="false">附属预埋件!F11</f>
        <v>7836</v>
      </c>
      <c r="H17" s="4" t="n">
        <f aca="false">G17-F17</f>
        <v>0.800000000000182</v>
      </c>
      <c r="I17" s="3" t="s">
        <v>30</v>
      </c>
    </row>
    <row r="18" customFormat="false" ht="19.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</row>
  </sheetData>
  <mergeCells count="10">
    <mergeCell ref="A1:I1"/>
    <mergeCell ref="A2:A3"/>
    <mergeCell ref="B2:B3"/>
    <mergeCell ref="C2:C3"/>
    <mergeCell ref="D2:F2"/>
    <mergeCell ref="G2:G3"/>
    <mergeCell ref="H2:H3"/>
    <mergeCell ref="I2:I3"/>
    <mergeCell ref="A4:A13"/>
    <mergeCell ref="A16:A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435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N4" activeCellId="0" sqref="N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7.09166666666667"/>
    <col collapsed="false" customWidth="true" hidden="false" outlineLevel="0" max="2" min="2" style="9" width="8.63333333333333"/>
    <col collapsed="false" customWidth="true" hidden="false" outlineLevel="0" max="7" min="5" style="9" width="9.725"/>
    <col collapsed="false" customWidth="true" hidden="false" outlineLevel="0" max="9" min="9" style="9" width="7.275"/>
    <col collapsed="false" customWidth="true" hidden="false" outlineLevel="0" max="23" min="13" style="9" width="8.54166666666667"/>
  </cols>
  <sheetData>
    <row r="1" customFormat="false" ht="27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="12" customFormat="true" ht="19.5" hidden="false" customHeight="true" outlineLevel="0" collapsed="false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6</v>
      </c>
      <c r="L2" s="10" t="s">
        <v>31</v>
      </c>
      <c r="M2" s="11" t="s">
        <v>4</v>
      </c>
      <c r="N2" s="11"/>
      <c r="O2" s="11"/>
      <c r="P2" s="11"/>
      <c r="Q2" s="11"/>
      <c r="R2" s="11"/>
      <c r="S2" s="11"/>
      <c r="T2" s="11"/>
      <c r="U2" s="10" t="s">
        <v>3</v>
      </c>
      <c r="V2" s="10" t="s">
        <v>5</v>
      </c>
      <c r="W2" s="10" t="s">
        <v>6</v>
      </c>
    </row>
    <row r="3" s="12" customFormat="true" ht="19.5" hidden="false" customHeight="true" outlineLevel="0" collapsed="false">
      <c r="A3" s="10"/>
      <c r="B3" s="10"/>
      <c r="C3" s="10"/>
      <c r="D3" s="10"/>
      <c r="E3" s="10" t="s">
        <v>41</v>
      </c>
      <c r="F3" s="10" t="s">
        <v>41</v>
      </c>
      <c r="G3" s="10" t="s">
        <v>41</v>
      </c>
      <c r="H3" s="10" t="s">
        <v>11</v>
      </c>
      <c r="I3" s="10"/>
      <c r="J3" s="10" t="s">
        <v>11</v>
      </c>
      <c r="K3" s="10"/>
      <c r="L3" s="10"/>
      <c r="M3" s="13" t="n">
        <v>12</v>
      </c>
      <c r="N3" s="13" t="n">
        <v>14</v>
      </c>
      <c r="O3" s="13" t="n">
        <v>16</v>
      </c>
      <c r="P3" s="13" t="n">
        <v>20</v>
      </c>
      <c r="Q3" s="13" t="n">
        <v>24</v>
      </c>
      <c r="R3" s="13" t="n">
        <v>30</v>
      </c>
      <c r="S3" s="13" t="n">
        <v>40</v>
      </c>
      <c r="T3" s="13" t="s">
        <v>9</v>
      </c>
      <c r="U3" s="10"/>
      <c r="V3" s="10"/>
      <c r="W3" s="10"/>
    </row>
    <row r="4" s="12" customFormat="true" ht="19.5" hidden="false" customHeight="true" outlineLevel="0" collapsed="false">
      <c r="A4" s="10" t="s">
        <v>42</v>
      </c>
      <c r="B4" s="10" t="s">
        <v>43</v>
      </c>
      <c r="C4" s="10" t="s">
        <v>44</v>
      </c>
      <c r="D4" s="10" t="s">
        <v>45</v>
      </c>
      <c r="E4" s="10" t="n">
        <v>11318.5</v>
      </c>
      <c r="F4" s="10" t="n">
        <v>600</v>
      </c>
      <c r="G4" s="10" t="n">
        <v>20</v>
      </c>
      <c r="H4" s="14" t="n">
        <f aca="false">(E4/1000)*(F4/1000)*(G4/1000)*7850</f>
        <v>1066.2027</v>
      </c>
      <c r="I4" s="10" t="n">
        <v>2</v>
      </c>
      <c r="J4" s="15" t="n">
        <f aca="false">H4*I4</f>
        <v>2132.4054</v>
      </c>
      <c r="K4" s="10"/>
      <c r="L4" s="10" t="str">
        <f aca="false">A4</f>
        <v>上层1#</v>
      </c>
      <c r="M4" s="16" t="n">
        <f aca="false">SUMIF(G4:G31,$M$3,J4:J31)</f>
        <v>1174.4322828</v>
      </c>
      <c r="N4" s="16" t="n">
        <f aca="false">SUMIF(G4:G31,$N$3,J4:J31)</f>
        <v>40598.0869056</v>
      </c>
      <c r="O4" s="16" t="n">
        <f aca="false">SUMIF(G4:G31,$O$3,J4:J31)</f>
        <v>24020.363908848</v>
      </c>
      <c r="P4" s="16" t="n">
        <f aca="false">SUMIF(G4:G31,$P$3,J4:J31)</f>
        <v>45936.22808</v>
      </c>
      <c r="Q4" s="16" t="n">
        <f aca="false">SUMIF(G4:G31,$Q$3,J4:J31)</f>
        <v>15162.432</v>
      </c>
      <c r="R4" s="16" t="n">
        <f aca="false">SUMIF(G4:G31,$R$3,J4:J31)</f>
        <v>9043.2</v>
      </c>
      <c r="S4" s="16" t="n">
        <f aca="false">SUMIF(G4:G31,$S$3,J4:J31)</f>
        <v>6933.12</v>
      </c>
      <c r="T4" s="16" t="n">
        <f aca="false">SUM(M4:S32)</f>
        <v>142867.863177248</v>
      </c>
      <c r="U4" s="16" t="n">
        <v>142867.8</v>
      </c>
      <c r="V4" s="16" t="n">
        <f aca="false">T4-U4</f>
        <v>0.0631772479973733</v>
      </c>
      <c r="W4" s="10"/>
    </row>
    <row r="5" s="12" customFormat="true" ht="19.5" hidden="false" customHeight="true" outlineLevel="0" collapsed="false">
      <c r="A5" s="10"/>
      <c r="B5" s="10"/>
      <c r="C5" s="10" t="s">
        <v>46</v>
      </c>
      <c r="D5" s="10" t="s">
        <v>45</v>
      </c>
      <c r="E5" s="10" t="n">
        <v>12505.7</v>
      </c>
      <c r="F5" s="10" t="n">
        <v>600</v>
      </c>
      <c r="G5" s="10" t="n">
        <v>20</v>
      </c>
      <c r="H5" s="14" t="n">
        <f aca="false">(E5/1000)*(F5/1000)*(G5/1000)*7850</f>
        <v>1178.03694</v>
      </c>
      <c r="I5" s="10" t="n">
        <v>2</v>
      </c>
      <c r="J5" s="15" t="n">
        <f aca="false">H5*I5</f>
        <v>2356.07388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="12" customFormat="true" ht="19.5" hidden="true" customHeight="true" outlineLevel="0" collapsed="false">
      <c r="A6" s="10"/>
      <c r="B6" s="10"/>
      <c r="C6" s="10" t="s">
        <v>47</v>
      </c>
      <c r="D6" s="10" t="s">
        <v>45</v>
      </c>
      <c r="E6" s="10" t="n">
        <v>16000</v>
      </c>
      <c r="F6" s="10" t="n">
        <v>600</v>
      </c>
      <c r="G6" s="10" t="n">
        <v>30</v>
      </c>
      <c r="H6" s="14" t="n">
        <f aca="false">(E6/1000)*(F6/1000)*(G6/1000)*7850</f>
        <v>2260.8</v>
      </c>
      <c r="I6" s="10" t="n">
        <v>4</v>
      </c>
      <c r="J6" s="15" t="n">
        <f aca="false">H6*I6</f>
        <v>9043.2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="12" customFormat="true" ht="19.5" hidden="true" customHeight="true" outlineLevel="0" collapsed="false">
      <c r="A7" s="10"/>
      <c r="B7" s="10"/>
      <c r="C7" s="10" t="s">
        <v>48</v>
      </c>
      <c r="D7" s="10" t="s">
        <v>45</v>
      </c>
      <c r="E7" s="10" t="n">
        <v>16000</v>
      </c>
      <c r="F7" s="10" t="n">
        <v>600</v>
      </c>
      <c r="G7" s="10" t="n">
        <v>24</v>
      </c>
      <c r="H7" s="14" t="n">
        <f aca="false">(E7/1000)*(F7/1000)*(G7/1000)*7850</f>
        <v>1808.64</v>
      </c>
      <c r="I7" s="10" t="n">
        <v>4</v>
      </c>
      <c r="J7" s="15" t="n">
        <f aca="false">H7*I7</f>
        <v>7234.56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="12" customFormat="true" ht="19.5" hidden="true" customHeight="true" outlineLevel="0" collapsed="false">
      <c r="A8" s="10"/>
      <c r="B8" s="10"/>
      <c r="C8" s="10" t="s">
        <v>49</v>
      </c>
      <c r="D8" s="10" t="s">
        <v>45</v>
      </c>
      <c r="E8" s="10" t="n">
        <v>3700</v>
      </c>
      <c r="F8" s="10" t="n">
        <v>600</v>
      </c>
      <c r="G8" s="10" t="n">
        <v>40</v>
      </c>
      <c r="H8" s="14" t="n">
        <f aca="false">(E8/1000)*(F8/1000)*(G8/1000)*7850</f>
        <v>697.08</v>
      </c>
      <c r="I8" s="10" t="n">
        <v>2</v>
      </c>
      <c r="J8" s="15" t="n">
        <f aca="false">H8*I8</f>
        <v>1394.16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="12" customFormat="true" ht="19.5" hidden="true" customHeight="true" outlineLevel="0" collapsed="false">
      <c r="A9" s="10"/>
      <c r="B9" s="10"/>
      <c r="C9" s="10" t="s">
        <v>50</v>
      </c>
      <c r="D9" s="10" t="s">
        <v>45</v>
      </c>
      <c r="E9" s="10" t="n">
        <v>7200</v>
      </c>
      <c r="F9" s="10" t="n">
        <v>800</v>
      </c>
      <c r="G9" s="10" t="n">
        <v>40</v>
      </c>
      <c r="H9" s="14" t="n">
        <f aca="false">(E9/1000)*(F9/1000)*(G9/1000)*7850</f>
        <v>1808.64</v>
      </c>
      <c r="I9" s="10" t="n">
        <v>2</v>
      </c>
      <c r="J9" s="15" t="n">
        <f aca="false">H9*I9</f>
        <v>3617.28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="12" customFormat="true" ht="19.5" hidden="true" customHeight="true" outlineLevel="0" collapsed="false">
      <c r="A10" s="10"/>
      <c r="B10" s="10"/>
      <c r="C10" s="10" t="s">
        <v>51</v>
      </c>
      <c r="D10" s="10" t="s">
        <v>45</v>
      </c>
      <c r="E10" s="10" t="n">
        <v>5100</v>
      </c>
      <c r="F10" s="10" t="n">
        <v>600</v>
      </c>
      <c r="G10" s="10" t="n">
        <v>40</v>
      </c>
      <c r="H10" s="14" t="n">
        <f aca="false">(E10/1000)*(F10/1000)*(G10/1000)*7850</f>
        <v>960.84</v>
      </c>
      <c r="I10" s="10" t="n">
        <v>2</v>
      </c>
      <c r="J10" s="15" t="n">
        <f aca="false">H10*I10</f>
        <v>1921.68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="12" customFormat="true" ht="19.5" hidden="true" customHeight="true" outlineLevel="0" collapsed="false">
      <c r="A11" s="10"/>
      <c r="B11" s="10" t="s">
        <v>52</v>
      </c>
      <c r="C11" s="10" t="s">
        <v>53</v>
      </c>
      <c r="D11" s="10" t="s">
        <v>45</v>
      </c>
      <c r="E11" s="10" t="n">
        <v>11318.5</v>
      </c>
      <c r="F11" s="10" t="n">
        <v>2641.7</v>
      </c>
      <c r="G11" s="10" t="n">
        <v>16</v>
      </c>
      <c r="H11" s="14" t="n">
        <f aca="false">(E11/1000)*(F11/1000)*(G11/1000)*7850</f>
        <v>3755.45023012</v>
      </c>
      <c r="I11" s="10" t="n">
        <v>1</v>
      </c>
      <c r="J11" s="15" t="n">
        <f aca="false">H11*I11</f>
        <v>3755.45023012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="12" customFormat="true" ht="19.5" hidden="true" customHeight="true" outlineLevel="0" collapsed="false">
      <c r="A12" s="10"/>
      <c r="B12" s="10"/>
      <c r="C12" s="10" t="s">
        <v>54</v>
      </c>
      <c r="D12" s="10" t="s">
        <v>45</v>
      </c>
      <c r="E12" s="10" t="n">
        <v>11318.5</v>
      </c>
      <c r="F12" s="10" t="n">
        <v>2718.2</v>
      </c>
      <c r="G12" s="10" t="n">
        <v>16</v>
      </c>
      <c r="H12" s="14" t="n">
        <f aca="false">(E12/1000)*(F12/1000)*(G12/1000)*7850</f>
        <v>3864.20290552</v>
      </c>
      <c r="I12" s="10" t="n">
        <v>1</v>
      </c>
      <c r="J12" s="15" t="n">
        <f aca="false">H12*I12</f>
        <v>3864.20290552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="12" customFormat="true" ht="19.5" hidden="true" customHeight="true" outlineLevel="0" collapsed="false">
      <c r="A13" s="10"/>
      <c r="B13" s="10"/>
      <c r="C13" s="10" t="s">
        <v>55</v>
      </c>
      <c r="D13" s="10" t="s">
        <v>45</v>
      </c>
      <c r="E13" s="10" t="n">
        <v>12505.7</v>
      </c>
      <c r="F13" s="10" t="n">
        <v>2641.7</v>
      </c>
      <c r="G13" s="10" t="n">
        <v>16</v>
      </c>
      <c r="H13" s="14" t="n">
        <f aca="false">(E13/1000)*(F13/1000)*(G13/1000)*7850</f>
        <v>4149.360245864</v>
      </c>
      <c r="I13" s="10" t="n">
        <v>1</v>
      </c>
      <c r="J13" s="15" t="n">
        <f aca="false">H13*I13</f>
        <v>4149.360245864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="12" customFormat="true" ht="19.5" hidden="true" customHeight="true" outlineLevel="0" collapsed="false">
      <c r="A14" s="10"/>
      <c r="B14" s="10"/>
      <c r="C14" s="10" t="s">
        <v>56</v>
      </c>
      <c r="D14" s="10" t="s">
        <v>45</v>
      </c>
      <c r="E14" s="10" t="n">
        <v>12505.7</v>
      </c>
      <c r="F14" s="10" t="n">
        <v>2718.2</v>
      </c>
      <c r="G14" s="10" t="n">
        <v>16</v>
      </c>
      <c r="H14" s="14" t="n">
        <f aca="false">(E14/1000)*(F14/1000)*(G14/1000)*7850</f>
        <v>4269.520013744</v>
      </c>
      <c r="I14" s="10" t="n">
        <v>1</v>
      </c>
      <c r="J14" s="15" t="n">
        <f aca="false">H14*I14</f>
        <v>4269.520013744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="12" customFormat="true" ht="19.5" hidden="true" customHeight="true" outlineLevel="0" collapsed="false">
      <c r="A15" s="10"/>
      <c r="B15" s="10"/>
      <c r="C15" s="10" t="s">
        <v>57</v>
      </c>
      <c r="D15" s="10" t="s">
        <v>45</v>
      </c>
      <c r="E15" s="10" t="n">
        <v>16000</v>
      </c>
      <c r="F15" s="10" t="n">
        <v>2631.7</v>
      </c>
      <c r="G15" s="10" t="n">
        <v>14</v>
      </c>
      <c r="H15" s="14" t="n">
        <f aca="false">(E15/1000)*(F15/1000)*(G15/1000)*7850</f>
        <v>4627.58128</v>
      </c>
      <c r="I15" s="10" t="n">
        <v>2</v>
      </c>
      <c r="J15" s="15" t="n">
        <f aca="false">H15*I15</f>
        <v>9255.16256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="12" customFormat="true" ht="19.5" hidden="true" customHeight="true" outlineLevel="0" collapsed="false">
      <c r="A16" s="10"/>
      <c r="B16" s="10"/>
      <c r="C16" s="10" t="s">
        <v>58</v>
      </c>
      <c r="D16" s="10" t="s">
        <v>45</v>
      </c>
      <c r="E16" s="10" t="n">
        <v>16000</v>
      </c>
      <c r="F16" s="10" t="n">
        <v>2708.2</v>
      </c>
      <c r="G16" s="10" t="n">
        <v>14</v>
      </c>
      <c r="H16" s="14" t="n">
        <f aca="false">(E16/1000)*(F16/1000)*(G16/1000)*7850</f>
        <v>4762.09888</v>
      </c>
      <c r="I16" s="10" t="n">
        <v>2</v>
      </c>
      <c r="J16" s="15" t="n">
        <f aca="false">H16*I16</f>
        <v>9524.19776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="12" customFormat="true" ht="19.5" hidden="true" customHeight="true" outlineLevel="0" collapsed="false">
      <c r="A17" s="10"/>
      <c r="B17" s="10"/>
      <c r="C17" s="10" t="s">
        <v>59</v>
      </c>
      <c r="D17" s="10" t="s">
        <v>45</v>
      </c>
      <c r="E17" s="10" t="n">
        <v>16000</v>
      </c>
      <c r="F17" s="10" t="n">
        <v>2637.7</v>
      </c>
      <c r="G17" s="10" t="n">
        <v>14</v>
      </c>
      <c r="H17" s="14" t="n">
        <f aca="false">(E17/1000)*(F17/1000)*(G17/1000)*7850</f>
        <v>4638.13168</v>
      </c>
      <c r="I17" s="10" t="n">
        <v>2</v>
      </c>
      <c r="J17" s="15" t="n">
        <f aca="false">H17*I17</f>
        <v>9276.26336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  <row r="18" s="12" customFormat="true" ht="19.5" hidden="true" customHeight="true" outlineLevel="0" collapsed="false">
      <c r="A18" s="10"/>
      <c r="B18" s="10"/>
      <c r="C18" s="10" t="s">
        <v>60</v>
      </c>
      <c r="D18" s="10" t="s">
        <v>45</v>
      </c>
      <c r="E18" s="10" t="n">
        <v>16000</v>
      </c>
      <c r="F18" s="10" t="n">
        <v>2714.2</v>
      </c>
      <c r="G18" s="10" t="n">
        <v>14</v>
      </c>
      <c r="H18" s="14" t="n">
        <f aca="false">(E18/1000)*(F18/1000)*(G18/1000)*7850</f>
        <v>4772.64928</v>
      </c>
      <c r="I18" s="10" t="n">
        <v>2</v>
      </c>
      <c r="J18" s="15" t="n">
        <f aca="false">H18*I18</f>
        <v>9545.29856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="12" customFormat="true" ht="19.5" hidden="false" customHeight="true" outlineLevel="0" collapsed="false">
      <c r="A19" s="10"/>
      <c r="B19" s="10"/>
      <c r="C19" s="10" t="s">
        <v>61</v>
      </c>
      <c r="D19" s="10" t="s">
        <v>45</v>
      </c>
      <c r="E19" s="10" t="n">
        <v>16000</v>
      </c>
      <c r="F19" s="10" t="n">
        <v>2621.7</v>
      </c>
      <c r="G19" s="10" t="n">
        <v>20</v>
      </c>
      <c r="H19" s="14" t="n">
        <f aca="false">(E19/1000)*(F19/1000)*(G19/1000)*7850</f>
        <v>6585.7104</v>
      </c>
      <c r="I19" s="10" t="n">
        <v>1</v>
      </c>
      <c r="J19" s="15" t="n">
        <f aca="false">H19*I19</f>
        <v>6585.7104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  <row r="20" s="12" customFormat="true" ht="19.5" hidden="false" customHeight="true" outlineLevel="0" collapsed="false">
      <c r="A20" s="10"/>
      <c r="B20" s="10"/>
      <c r="C20" s="10" t="s">
        <v>62</v>
      </c>
      <c r="D20" s="10" t="s">
        <v>45</v>
      </c>
      <c r="E20" s="10" t="n">
        <v>16000</v>
      </c>
      <c r="F20" s="10" t="n">
        <v>2698.2</v>
      </c>
      <c r="G20" s="10" t="n">
        <v>20</v>
      </c>
      <c r="H20" s="14" t="n">
        <f aca="false">(E20/1000)*(F20/1000)*(G20/1000)*7850</f>
        <v>6777.8784</v>
      </c>
      <c r="I20" s="10" t="n">
        <v>1</v>
      </c>
      <c r="J20" s="15" t="n">
        <f aca="false">H20*I20</f>
        <v>6777.8784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</row>
    <row r="21" s="12" customFormat="true" ht="19.5" hidden="true" customHeight="true" outlineLevel="0" collapsed="false">
      <c r="A21" s="10"/>
      <c r="B21" s="10" t="s">
        <v>63</v>
      </c>
      <c r="C21" s="10" t="s">
        <v>64</v>
      </c>
      <c r="D21" s="10" t="s">
        <v>45</v>
      </c>
      <c r="E21" s="10" t="n">
        <v>10568.5</v>
      </c>
      <c r="F21" s="10" t="n">
        <v>2630</v>
      </c>
      <c r="G21" s="10" t="n">
        <v>16</v>
      </c>
      <c r="H21" s="14" t="n">
        <f aca="false">(E21/1000)*(F21/1000)*(G21/1000)*7850</f>
        <v>3491.071468</v>
      </c>
      <c r="I21" s="10" t="n">
        <v>1</v>
      </c>
      <c r="J21" s="15" t="n">
        <f aca="false">H21*I21</f>
        <v>3491.071468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  <row r="22" s="12" customFormat="true" ht="19.5" hidden="true" customHeight="true" outlineLevel="0" collapsed="false">
      <c r="A22" s="10"/>
      <c r="B22" s="10"/>
      <c r="C22" s="10" t="s">
        <v>65</v>
      </c>
      <c r="D22" s="10" t="s">
        <v>45</v>
      </c>
      <c r="E22" s="10" t="n">
        <v>11755.7</v>
      </c>
      <c r="F22" s="10" t="n">
        <v>2630</v>
      </c>
      <c r="G22" s="10" t="n">
        <v>16</v>
      </c>
      <c r="H22" s="14" t="n">
        <f aca="false">(E22/1000)*(F22/1000)*(G22/1000)*7850</f>
        <v>3883.2368696</v>
      </c>
      <c r="I22" s="10" t="n">
        <v>1</v>
      </c>
      <c r="J22" s="15" t="n">
        <f aca="false">H22*I22</f>
        <v>3883.2368696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  <row r="23" s="12" customFormat="true" ht="19.5" hidden="false" customHeight="true" outlineLevel="0" collapsed="false">
      <c r="A23" s="10"/>
      <c r="B23" s="10"/>
      <c r="C23" s="10" t="s">
        <v>66</v>
      </c>
      <c r="D23" s="10" t="s">
        <v>45</v>
      </c>
      <c r="E23" s="10" t="n">
        <v>16000</v>
      </c>
      <c r="F23" s="10" t="n">
        <v>2630</v>
      </c>
      <c r="G23" s="10" t="n">
        <v>20</v>
      </c>
      <c r="H23" s="14" t="n">
        <f aca="false">(E23/1000)*(F23/1000)*(G23/1000)*7850</f>
        <v>6606.56</v>
      </c>
      <c r="I23" s="10" t="n">
        <v>4</v>
      </c>
      <c r="J23" s="15" t="n">
        <f aca="false">H23*I23</f>
        <v>26426.24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="12" customFormat="true" ht="19.5" hidden="true" customHeight="true" outlineLevel="0" collapsed="false">
      <c r="A24" s="10"/>
      <c r="B24" s="10"/>
      <c r="C24" s="10" t="s">
        <v>67</v>
      </c>
      <c r="D24" s="10" t="s">
        <v>45</v>
      </c>
      <c r="E24" s="10" t="n">
        <v>16000</v>
      </c>
      <c r="F24" s="10" t="n">
        <v>2630</v>
      </c>
      <c r="G24" s="10" t="n">
        <v>24</v>
      </c>
      <c r="H24" s="14" t="n">
        <f aca="false">(E24/1000)*(F24/1000)*(G24/1000)*7850</f>
        <v>7927.872</v>
      </c>
      <c r="I24" s="10" t="n">
        <v>1</v>
      </c>
      <c r="J24" s="15" t="n">
        <f aca="false">H24*I24</f>
        <v>7927.872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="12" customFormat="true" ht="19.5" hidden="true" customHeight="true" outlineLevel="0" collapsed="false">
      <c r="A25" s="10"/>
      <c r="B25" s="10" t="s">
        <v>68</v>
      </c>
      <c r="C25" s="10" t="s">
        <v>69</v>
      </c>
      <c r="D25" s="10" t="s">
        <v>45</v>
      </c>
      <c r="E25" s="17" t="n">
        <v>18549.9</v>
      </c>
      <c r="F25" s="10" t="n">
        <v>140</v>
      </c>
      <c r="G25" s="10" t="n">
        <v>12</v>
      </c>
      <c r="H25" s="14" t="n">
        <f aca="false">(E25/1000)*(F25/1000)*(G25/1000)*7850</f>
        <v>244.6360812</v>
      </c>
      <c r="I25" s="10" t="n">
        <v>1</v>
      </c>
      <c r="J25" s="15" t="n">
        <f aca="false">H25*I25</f>
        <v>244.6360812</v>
      </c>
      <c r="K25" s="18" t="s">
        <v>70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="12" customFormat="true" ht="19.5" hidden="true" customHeight="true" outlineLevel="0" collapsed="false">
      <c r="A26" s="10"/>
      <c r="B26" s="10"/>
      <c r="C26" s="10" t="s">
        <v>71</v>
      </c>
      <c r="D26" s="10" t="s">
        <v>45</v>
      </c>
      <c r="E26" s="17" t="n">
        <v>70503.2</v>
      </c>
      <c r="F26" s="10" t="n">
        <v>140</v>
      </c>
      <c r="G26" s="10" t="n">
        <v>12</v>
      </c>
      <c r="H26" s="14" t="n">
        <f aca="false">(E26/1000)*(F26/1000)*(G26/1000)*7850</f>
        <v>929.7962016</v>
      </c>
      <c r="I26" s="10" t="n">
        <v>1</v>
      </c>
      <c r="J26" s="15" t="n">
        <f aca="false">H26*I26</f>
        <v>929.7962016</v>
      </c>
      <c r="K26" s="18" t="s">
        <v>70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="12" customFormat="true" ht="19.5" hidden="true" customHeight="true" outlineLevel="0" collapsed="false">
      <c r="A27" s="10"/>
      <c r="B27" s="10"/>
      <c r="C27" s="10" t="s">
        <v>72</v>
      </c>
      <c r="D27" s="10" t="s">
        <v>45</v>
      </c>
      <c r="E27" s="17" t="n">
        <v>26872</v>
      </c>
      <c r="F27" s="10" t="n">
        <v>180</v>
      </c>
      <c r="G27" s="10" t="n">
        <v>16</v>
      </c>
      <c r="H27" s="14" t="n">
        <f aca="false">(E27/1000)*(F27/1000)*(G27/1000)*7850</f>
        <v>607.522176</v>
      </c>
      <c r="I27" s="10" t="n">
        <v>1</v>
      </c>
      <c r="J27" s="15" t="n">
        <f aca="false">H27*I27</f>
        <v>607.522176</v>
      </c>
      <c r="K27" s="18" t="s">
        <v>70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  <row r="28" s="12" customFormat="true" ht="19.5" hidden="true" customHeight="true" outlineLevel="0" collapsed="false">
      <c r="A28" s="10"/>
      <c r="B28" s="10" t="s">
        <v>73</v>
      </c>
      <c r="C28" s="10" t="s">
        <v>74</v>
      </c>
      <c r="D28" s="10" t="s">
        <v>45</v>
      </c>
      <c r="E28" s="10" t="n">
        <v>10018.5</v>
      </c>
      <c r="F28" s="10" t="n">
        <v>160</v>
      </c>
      <c r="G28" s="10" t="n">
        <v>14</v>
      </c>
      <c r="H28" s="14" t="n">
        <f aca="false">(E28/1000)*(F28/1000)*(G28/1000)*7850</f>
        <v>176.165304</v>
      </c>
      <c r="I28" s="10" t="n">
        <v>2</v>
      </c>
      <c r="J28" s="15" t="n">
        <f aca="false">H28*I28</f>
        <v>352.330608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</row>
    <row r="29" s="12" customFormat="true" ht="19.5" hidden="true" customHeight="true" outlineLevel="0" collapsed="false">
      <c r="A29" s="10"/>
      <c r="B29" s="10"/>
      <c r="C29" s="10" t="s">
        <v>75</v>
      </c>
      <c r="D29" s="10" t="s">
        <v>45</v>
      </c>
      <c r="E29" s="10" t="n">
        <v>11205.7</v>
      </c>
      <c r="F29" s="10" t="n">
        <v>160</v>
      </c>
      <c r="G29" s="10" t="n">
        <v>14</v>
      </c>
      <c r="H29" s="14" t="n">
        <f aca="false">(E29/1000)*(F29/1000)*(G29/1000)*7850</f>
        <v>197.0410288</v>
      </c>
      <c r="I29" s="10" t="n">
        <v>2</v>
      </c>
      <c r="J29" s="15" t="n">
        <f aca="false">H29*I29</f>
        <v>394.0820576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="12" customFormat="true" ht="19.5" hidden="true" customHeight="true" outlineLevel="0" collapsed="false">
      <c r="A30" s="10"/>
      <c r="B30" s="10"/>
      <c r="C30" s="10" t="s">
        <v>76</v>
      </c>
      <c r="D30" s="10" t="s">
        <v>45</v>
      </c>
      <c r="E30" s="10" t="n">
        <v>16000</v>
      </c>
      <c r="F30" s="10" t="n">
        <v>160</v>
      </c>
      <c r="G30" s="10" t="n">
        <v>14</v>
      </c>
      <c r="H30" s="14" t="n">
        <f aca="false">(E30/1000)*(F30/1000)*(G30/1000)*7850</f>
        <v>281.344</v>
      </c>
      <c r="I30" s="10" t="n">
        <v>8</v>
      </c>
      <c r="J30" s="15" t="n">
        <f aca="false">H30*I30</f>
        <v>2250.752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  <row r="31" s="12" customFormat="true" ht="19.5" hidden="false" customHeight="true" outlineLevel="0" collapsed="false">
      <c r="A31" s="10"/>
      <c r="B31" s="10"/>
      <c r="C31" s="10" t="s">
        <v>77</v>
      </c>
      <c r="D31" s="10" t="s">
        <v>45</v>
      </c>
      <c r="E31" s="10" t="n">
        <v>16000</v>
      </c>
      <c r="F31" s="10" t="n">
        <v>220</v>
      </c>
      <c r="G31" s="10" t="n">
        <v>20</v>
      </c>
      <c r="H31" s="14" t="n">
        <f aca="false">(E31/1000)*(F31/1000)*(G31/1000)*7850</f>
        <v>552.64</v>
      </c>
      <c r="I31" s="10" t="n">
        <v>3</v>
      </c>
      <c r="J31" s="15" t="n">
        <f aca="false">H31*I31</f>
        <v>1657.92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  <row r="32" s="12" customFormat="true" ht="19.5" hidden="true" customHeight="true" outlineLevel="0" collapsed="false">
      <c r="A32" s="10"/>
      <c r="B32" s="10" t="s">
        <v>78</v>
      </c>
      <c r="C32" s="10"/>
      <c r="D32" s="10"/>
      <c r="E32" s="10"/>
      <c r="F32" s="10"/>
      <c r="G32" s="10"/>
      <c r="H32" s="14"/>
      <c r="I32" s="10"/>
      <c r="J32" s="15" t="n">
        <f aca="false">SUM(J4:J31)</f>
        <v>142867.863177248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</row>
    <row r="33" s="12" customFormat="true" ht="19.5" hidden="false" customHeight="true" outlineLevel="0" collapsed="false">
      <c r="A33" s="10" t="s">
        <v>79</v>
      </c>
      <c r="B33" s="10" t="s">
        <v>43</v>
      </c>
      <c r="C33" s="10" t="s">
        <v>80</v>
      </c>
      <c r="D33" s="10" t="s">
        <v>45</v>
      </c>
      <c r="E33" s="10" t="n">
        <v>7074.1</v>
      </c>
      <c r="F33" s="10" t="n">
        <v>600</v>
      </c>
      <c r="G33" s="10" t="n">
        <v>20</v>
      </c>
      <c r="H33" s="14" t="n">
        <f aca="false">(E33/1000)*(F33/1000)*(G33/1000)*7850</f>
        <v>666.38022</v>
      </c>
      <c r="I33" s="10" t="n">
        <v>2</v>
      </c>
      <c r="J33" s="15" t="n">
        <f aca="false">H33*I33</f>
        <v>1332.76044</v>
      </c>
      <c r="K33" s="10"/>
      <c r="L33" s="10" t="str">
        <f aca="false">A33</f>
        <v>上层2#</v>
      </c>
      <c r="M33" s="16" t="n">
        <f aca="false">SUMIF(G33:G57,$M$3,J33:J57)</f>
        <v>1188.5935572</v>
      </c>
      <c r="N33" s="16" t="n">
        <f aca="false">SUMIF(G33:G57,$N$3,J33:J57)</f>
        <v>40650.8529728</v>
      </c>
      <c r="O33" s="16" t="n">
        <f aca="false">SUMIF(G33:G57,$O$3,J33:J57)</f>
        <v>24288.509604624</v>
      </c>
      <c r="P33" s="16" t="n">
        <f aca="false">SUMIF(G33:G57,$P$3,J33:J57)</f>
        <v>45992.82344</v>
      </c>
      <c r="Q33" s="16" t="n">
        <f aca="false">SUMIF(G33:G57,$Q$3,J33:J57)</f>
        <v>22396.992</v>
      </c>
      <c r="R33" s="16" t="n">
        <f aca="false">SUMIF(G33:G57,$R$3,J33:J57)</f>
        <v>0</v>
      </c>
      <c r="S33" s="16" t="n">
        <f aca="false">SUMIF(G33:G57,$S$3,J33:J57)</f>
        <v>6933.12</v>
      </c>
      <c r="T33" s="16" t="n">
        <f aca="false">SUM(M33:S58)</f>
        <v>141450.891574624</v>
      </c>
      <c r="U33" s="16" t="n">
        <v>141450.9</v>
      </c>
      <c r="V33" s="16" t="n">
        <f aca="false">T33-U33</f>
        <v>-0.00842537599964999</v>
      </c>
      <c r="W33" s="10"/>
    </row>
    <row r="34" s="12" customFormat="true" ht="19.5" hidden="false" customHeight="true" outlineLevel="0" collapsed="false">
      <c r="A34" s="10"/>
      <c r="B34" s="10"/>
      <c r="C34" s="10" t="s">
        <v>81</v>
      </c>
      <c r="D34" s="10" t="s">
        <v>45</v>
      </c>
      <c r="E34" s="10" t="n">
        <v>17050.5</v>
      </c>
      <c r="F34" s="10" t="n">
        <v>600</v>
      </c>
      <c r="G34" s="10" t="n">
        <v>20</v>
      </c>
      <c r="H34" s="14" t="n">
        <f aca="false">(E34/1000)*(F34/1000)*(G34/1000)*7850</f>
        <v>1606.1571</v>
      </c>
      <c r="I34" s="10" t="n">
        <v>2</v>
      </c>
      <c r="J34" s="15" t="n">
        <f aca="false">H34*I34</f>
        <v>3212.3142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="12" customFormat="true" ht="19.5" hidden="true" customHeight="true" outlineLevel="0" collapsed="false">
      <c r="A35" s="10"/>
      <c r="B35" s="10"/>
      <c r="C35" s="10" t="s">
        <v>82</v>
      </c>
      <c r="D35" s="10" t="s">
        <v>45</v>
      </c>
      <c r="E35" s="10" t="n">
        <v>16000</v>
      </c>
      <c r="F35" s="10" t="n">
        <v>600</v>
      </c>
      <c r="G35" s="10" t="n">
        <v>24</v>
      </c>
      <c r="H35" s="14" t="n">
        <f aca="false">(E35/1000)*(F35/1000)*(G35/1000)*7850</f>
        <v>1808.64</v>
      </c>
      <c r="I35" s="10" t="n">
        <v>8</v>
      </c>
      <c r="J35" s="15" t="n">
        <f aca="false">H35*I35</f>
        <v>14469.12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="12" customFormat="true" ht="19.5" hidden="true" customHeight="true" outlineLevel="0" collapsed="false">
      <c r="A36" s="10"/>
      <c r="B36" s="10"/>
      <c r="C36" s="10" t="s">
        <v>83</v>
      </c>
      <c r="D36" s="10" t="s">
        <v>45</v>
      </c>
      <c r="E36" s="10" t="n">
        <v>3900</v>
      </c>
      <c r="F36" s="10" t="n">
        <v>600</v>
      </c>
      <c r="G36" s="10" t="n">
        <v>40</v>
      </c>
      <c r="H36" s="14" t="n">
        <f aca="false">(E36/1000)*(F36/1000)*(G36/1000)*7850</f>
        <v>734.76</v>
      </c>
      <c r="I36" s="10" t="n">
        <v>2</v>
      </c>
      <c r="J36" s="15" t="n">
        <f aca="false">H36*I36</f>
        <v>1469.52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="12" customFormat="true" ht="19.5" hidden="true" customHeight="true" outlineLevel="0" collapsed="false">
      <c r="A37" s="10"/>
      <c r="B37" s="10"/>
      <c r="C37" s="10" t="s">
        <v>84</v>
      </c>
      <c r="D37" s="10" t="s">
        <v>45</v>
      </c>
      <c r="E37" s="10" t="n">
        <v>7200</v>
      </c>
      <c r="F37" s="10" t="n">
        <v>800</v>
      </c>
      <c r="G37" s="10" t="n">
        <v>40</v>
      </c>
      <c r="H37" s="14" t="n">
        <f aca="false">(E37/1000)*(F37/1000)*(G37/1000)*7850</f>
        <v>1808.64</v>
      </c>
      <c r="I37" s="10" t="n">
        <v>2</v>
      </c>
      <c r="J37" s="15" t="n">
        <f aca="false">H37*I37</f>
        <v>3617.28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="12" customFormat="true" ht="19.5" hidden="true" customHeight="true" outlineLevel="0" collapsed="false">
      <c r="A38" s="10"/>
      <c r="B38" s="10"/>
      <c r="C38" s="10" t="s">
        <v>85</v>
      </c>
      <c r="D38" s="10" t="s">
        <v>45</v>
      </c>
      <c r="E38" s="10" t="n">
        <v>4900</v>
      </c>
      <c r="F38" s="10" t="n">
        <v>600</v>
      </c>
      <c r="G38" s="10" t="n">
        <v>40</v>
      </c>
      <c r="H38" s="14" t="n">
        <f aca="false">(E38/1000)*(F38/1000)*(G38/1000)*7850</f>
        <v>923.16</v>
      </c>
      <c r="I38" s="10" t="n">
        <v>2</v>
      </c>
      <c r="J38" s="15" t="n">
        <f aca="false">H38*I38</f>
        <v>1846.32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="12" customFormat="true" ht="19.5" hidden="true" customHeight="true" outlineLevel="0" collapsed="false">
      <c r="A39" s="10"/>
      <c r="B39" s="10" t="s">
        <v>52</v>
      </c>
      <c r="C39" s="10" t="s">
        <v>86</v>
      </c>
      <c r="D39" s="10" t="s">
        <v>45</v>
      </c>
      <c r="E39" s="10" t="n">
        <v>7074.1</v>
      </c>
      <c r="F39" s="10" t="n">
        <v>2641.7</v>
      </c>
      <c r="G39" s="10" t="n">
        <v>16</v>
      </c>
      <c r="H39" s="14" t="n">
        <f aca="false">(E39/1000)*(F39/1000)*(G39/1000)*7850</f>
        <v>2347.168836232</v>
      </c>
      <c r="I39" s="10" t="n">
        <v>1</v>
      </c>
      <c r="J39" s="15" t="n">
        <f aca="false">H39*I39</f>
        <v>2347.168836232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="12" customFormat="true" ht="19.5" hidden="true" customHeight="true" outlineLevel="0" collapsed="false">
      <c r="A40" s="10"/>
      <c r="B40" s="10"/>
      <c r="C40" s="10" t="s">
        <v>87</v>
      </c>
      <c r="D40" s="10" t="s">
        <v>45</v>
      </c>
      <c r="E40" s="10" t="n">
        <v>7074.1</v>
      </c>
      <c r="F40" s="10" t="n">
        <v>2718.2</v>
      </c>
      <c r="G40" s="10" t="n">
        <v>16</v>
      </c>
      <c r="H40" s="14" t="n">
        <f aca="false">(E40/1000)*(F40/1000)*(G40/1000)*7850</f>
        <v>2415.139618672</v>
      </c>
      <c r="I40" s="10" t="n">
        <v>1</v>
      </c>
      <c r="J40" s="15" t="n">
        <f aca="false">H40*I40</f>
        <v>2415.139618672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="12" customFormat="true" ht="19.5" hidden="true" customHeight="true" outlineLevel="0" collapsed="false">
      <c r="A41" s="10"/>
      <c r="B41" s="10"/>
      <c r="C41" s="10" t="s">
        <v>88</v>
      </c>
      <c r="D41" s="10" t="s">
        <v>45</v>
      </c>
      <c r="E41" s="10" t="n">
        <v>17050.5</v>
      </c>
      <c r="F41" s="10" t="n">
        <v>2641.7</v>
      </c>
      <c r="G41" s="10" t="n">
        <v>16</v>
      </c>
      <c r="H41" s="14" t="n">
        <f aca="false">(E41/1000)*(F41/1000)*(G41/1000)*7850</f>
        <v>5657.31361476</v>
      </c>
      <c r="I41" s="10" t="n">
        <v>1</v>
      </c>
      <c r="J41" s="15" t="n">
        <f aca="false">H41*I41</f>
        <v>5657.31361476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="12" customFormat="true" ht="19.5" hidden="true" customHeight="true" outlineLevel="0" collapsed="false">
      <c r="A42" s="10"/>
      <c r="B42" s="10"/>
      <c r="C42" s="10" t="s">
        <v>89</v>
      </c>
      <c r="D42" s="10" t="s">
        <v>45</v>
      </c>
      <c r="E42" s="10" t="n">
        <v>17050.5</v>
      </c>
      <c r="F42" s="10" t="n">
        <v>2718.2</v>
      </c>
      <c r="G42" s="10" t="n">
        <v>16</v>
      </c>
      <c r="H42" s="14" t="n">
        <f aca="false">(E42/1000)*(F42/1000)*(G42/1000)*7850</f>
        <v>5821.14163896</v>
      </c>
      <c r="I42" s="10" t="n">
        <v>1</v>
      </c>
      <c r="J42" s="15" t="n">
        <f aca="false">H42*I42</f>
        <v>5821.14163896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="12" customFormat="true" ht="19.5" hidden="true" customHeight="true" outlineLevel="0" collapsed="false">
      <c r="A43" s="10"/>
      <c r="B43" s="10"/>
      <c r="C43" s="10" t="s">
        <v>90</v>
      </c>
      <c r="D43" s="10" t="s">
        <v>45</v>
      </c>
      <c r="E43" s="10" t="n">
        <v>16000</v>
      </c>
      <c r="F43" s="10" t="n">
        <v>2637.7</v>
      </c>
      <c r="G43" s="10" t="n">
        <v>14</v>
      </c>
      <c r="H43" s="14" t="n">
        <f aca="false">(E43/1000)*(F43/1000)*(G43/1000)*7850</f>
        <v>4638.13168</v>
      </c>
      <c r="I43" s="10" t="n">
        <v>4</v>
      </c>
      <c r="J43" s="15" t="n">
        <f aca="false">H43*I43</f>
        <v>18552.52672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="12" customFormat="true" ht="19.5" hidden="true" customHeight="true" outlineLevel="0" collapsed="false">
      <c r="A44" s="10"/>
      <c r="B44" s="10"/>
      <c r="C44" s="10" t="s">
        <v>91</v>
      </c>
      <c r="D44" s="10" t="s">
        <v>45</v>
      </c>
      <c r="E44" s="10" t="n">
        <v>16000</v>
      </c>
      <c r="F44" s="10" t="n">
        <v>2714.2</v>
      </c>
      <c r="G44" s="10" t="n">
        <v>14</v>
      </c>
      <c r="H44" s="14" t="n">
        <f aca="false">(E44/1000)*(F44/1000)*(G44/1000)*7850</f>
        <v>4772.64928</v>
      </c>
      <c r="I44" s="10" t="n">
        <v>4</v>
      </c>
      <c r="J44" s="15" t="n">
        <f aca="false">H44*I44</f>
        <v>19090.59712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="12" customFormat="true" ht="19.5" hidden="false" customHeight="true" outlineLevel="0" collapsed="false">
      <c r="A45" s="10"/>
      <c r="B45" s="10"/>
      <c r="C45" s="10" t="s">
        <v>92</v>
      </c>
      <c r="D45" s="10" t="s">
        <v>45</v>
      </c>
      <c r="E45" s="10" t="n">
        <v>16000</v>
      </c>
      <c r="F45" s="10" t="n">
        <v>2621.7</v>
      </c>
      <c r="G45" s="10" t="n">
        <v>20</v>
      </c>
      <c r="H45" s="14" t="n">
        <f aca="false">(E45/1000)*(F45/1000)*(G45/1000)*7850</f>
        <v>6585.7104</v>
      </c>
      <c r="I45" s="10" t="n">
        <v>1</v>
      </c>
      <c r="J45" s="15" t="n">
        <f aca="false">H45*I45</f>
        <v>6585.7104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6" s="12" customFormat="true" ht="19.5" hidden="false" customHeight="true" outlineLevel="0" collapsed="false">
      <c r="A46" s="10"/>
      <c r="B46" s="10"/>
      <c r="C46" s="10" t="s">
        <v>93</v>
      </c>
      <c r="D46" s="10" t="s">
        <v>45</v>
      </c>
      <c r="E46" s="10" t="n">
        <v>16000</v>
      </c>
      <c r="F46" s="10" t="n">
        <v>2698.2</v>
      </c>
      <c r="G46" s="10" t="n">
        <v>20</v>
      </c>
      <c r="H46" s="14" t="n">
        <f aca="false">(E46/1000)*(F46/1000)*(G46/1000)*7850</f>
        <v>6777.8784</v>
      </c>
      <c r="I46" s="10" t="n">
        <v>1</v>
      </c>
      <c r="J46" s="15" t="n">
        <f aca="false">H46*I46</f>
        <v>6777.8784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</row>
    <row r="47" s="12" customFormat="true" ht="19.5" hidden="true" customHeight="true" outlineLevel="0" collapsed="false">
      <c r="A47" s="10"/>
      <c r="B47" s="10" t="s">
        <v>63</v>
      </c>
      <c r="C47" s="10" t="s">
        <v>94</v>
      </c>
      <c r="D47" s="10" t="s">
        <v>45</v>
      </c>
      <c r="E47" s="10" t="n">
        <v>6324.1</v>
      </c>
      <c r="F47" s="10" t="n">
        <v>2630</v>
      </c>
      <c r="G47" s="10" t="n">
        <v>16</v>
      </c>
      <c r="H47" s="14" t="n">
        <f aca="false">(E47/1000)*(F47/1000)*(G47/1000)*7850</f>
        <v>2089.0273048</v>
      </c>
      <c r="I47" s="10" t="n">
        <v>1</v>
      </c>
      <c r="J47" s="15" t="n">
        <f aca="false">H47*I47</f>
        <v>2089.0273048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  <row r="48" s="12" customFormat="true" ht="19.5" hidden="true" customHeight="true" outlineLevel="0" collapsed="false">
      <c r="A48" s="10"/>
      <c r="B48" s="10"/>
      <c r="C48" s="10" t="s">
        <v>95</v>
      </c>
      <c r="D48" s="10" t="s">
        <v>45</v>
      </c>
      <c r="E48" s="10" t="n">
        <v>16300.5</v>
      </c>
      <c r="F48" s="10" t="n">
        <v>2630</v>
      </c>
      <c r="G48" s="10" t="n">
        <v>16</v>
      </c>
      <c r="H48" s="14" t="n">
        <f aca="false">(E48/1000)*(F48/1000)*(G48/1000)*7850</f>
        <v>5384.511564</v>
      </c>
      <c r="I48" s="10" t="n">
        <v>1</v>
      </c>
      <c r="J48" s="15" t="n">
        <f aca="false">H48*I48</f>
        <v>5384.511564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  <row r="49" s="12" customFormat="true" ht="19.5" hidden="false" customHeight="true" outlineLevel="0" collapsed="false">
      <c r="A49" s="10"/>
      <c r="B49" s="10"/>
      <c r="C49" s="10" t="s">
        <v>96</v>
      </c>
      <c r="D49" s="10" t="s">
        <v>45</v>
      </c>
      <c r="E49" s="10" t="n">
        <v>16000</v>
      </c>
      <c r="F49" s="10" t="n">
        <v>2630</v>
      </c>
      <c r="G49" s="10" t="n">
        <v>20</v>
      </c>
      <c r="H49" s="14" t="n">
        <f aca="false">(E49/1000)*(F49/1000)*(G49/1000)*7850</f>
        <v>6606.56</v>
      </c>
      <c r="I49" s="10" t="n">
        <v>4</v>
      </c>
      <c r="J49" s="15" t="n">
        <f aca="false">H49*I49</f>
        <v>26426.24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</row>
    <row r="50" s="12" customFormat="true" ht="19.5" hidden="true" customHeight="true" outlineLevel="0" collapsed="false">
      <c r="A50" s="10"/>
      <c r="B50" s="10"/>
      <c r="C50" s="10" t="s">
        <v>97</v>
      </c>
      <c r="D50" s="10" t="s">
        <v>45</v>
      </c>
      <c r="E50" s="10" t="n">
        <v>16000</v>
      </c>
      <c r="F50" s="10" t="n">
        <v>2630</v>
      </c>
      <c r="G50" s="10" t="n">
        <v>24</v>
      </c>
      <c r="H50" s="14" t="n">
        <f aca="false">(E50/1000)*(F50/1000)*(G50/1000)*7850</f>
        <v>7927.872</v>
      </c>
      <c r="I50" s="10" t="n">
        <v>1</v>
      </c>
      <c r="J50" s="15" t="n">
        <f aca="false">H50*I50</f>
        <v>7927.872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</row>
    <row r="51" s="12" customFormat="true" ht="19.5" hidden="true" customHeight="true" outlineLevel="0" collapsed="false">
      <c r="A51" s="10"/>
      <c r="B51" s="10" t="s">
        <v>68</v>
      </c>
      <c r="C51" s="10" t="s">
        <v>98</v>
      </c>
      <c r="D51" s="10" t="s">
        <v>45</v>
      </c>
      <c r="E51" s="17" t="n">
        <v>17578.5</v>
      </c>
      <c r="F51" s="10" t="n">
        <v>140</v>
      </c>
      <c r="G51" s="10" t="n">
        <v>12</v>
      </c>
      <c r="H51" s="14" t="n">
        <f aca="false">(E51/1000)*(F51/1000)*(G51/1000)*7850</f>
        <v>231.825258</v>
      </c>
      <c r="I51" s="10" t="n">
        <v>1</v>
      </c>
      <c r="J51" s="15" t="n">
        <f aca="false">H51*I51</f>
        <v>231.825258</v>
      </c>
      <c r="K51" s="18" t="s">
        <v>70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  <row r="52" s="12" customFormat="true" ht="19.5" hidden="true" customHeight="true" outlineLevel="0" collapsed="false">
      <c r="A52" s="10"/>
      <c r="B52" s="10"/>
      <c r="C52" s="10" t="s">
        <v>99</v>
      </c>
      <c r="D52" s="10" t="s">
        <v>45</v>
      </c>
      <c r="E52" s="17" t="n">
        <v>72548.4</v>
      </c>
      <c r="F52" s="10" t="n">
        <v>140</v>
      </c>
      <c r="G52" s="10" t="n">
        <v>12</v>
      </c>
      <c r="H52" s="14" t="n">
        <f aca="false">(E52/1000)*(F52/1000)*(G52/1000)*7850</f>
        <v>956.7682992</v>
      </c>
      <c r="I52" s="10" t="n">
        <v>1</v>
      </c>
      <c r="J52" s="15" t="n">
        <f aca="false">H52*I52</f>
        <v>956.7682992</v>
      </c>
      <c r="K52" s="18" t="s">
        <v>70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  <row r="53" s="12" customFormat="true" ht="19.5" hidden="true" customHeight="true" outlineLevel="0" collapsed="false">
      <c r="A53" s="10"/>
      <c r="B53" s="10"/>
      <c r="C53" s="10" t="s">
        <v>100</v>
      </c>
      <c r="D53" s="10" t="s">
        <v>45</v>
      </c>
      <c r="E53" s="17" t="n">
        <v>25398.4</v>
      </c>
      <c r="F53" s="10" t="n">
        <v>180</v>
      </c>
      <c r="G53" s="10" t="n">
        <v>16</v>
      </c>
      <c r="H53" s="14" t="n">
        <f aca="false">(E53/1000)*(F53/1000)*(G53/1000)*7850</f>
        <v>574.2070272</v>
      </c>
      <c r="I53" s="10" t="n">
        <v>1</v>
      </c>
      <c r="J53" s="15" t="n">
        <f aca="false">H53*I53</f>
        <v>574.2070272</v>
      </c>
      <c r="K53" s="18" t="s">
        <v>70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  <row r="54" s="12" customFormat="true" ht="19.5" hidden="true" customHeight="true" outlineLevel="0" collapsed="false">
      <c r="A54" s="10"/>
      <c r="B54" s="10" t="s">
        <v>73</v>
      </c>
      <c r="C54" s="10" t="s">
        <v>101</v>
      </c>
      <c r="D54" s="10" t="s">
        <v>45</v>
      </c>
      <c r="E54" s="10" t="n">
        <v>5774.1</v>
      </c>
      <c r="F54" s="10" t="n">
        <v>160</v>
      </c>
      <c r="G54" s="10" t="n">
        <v>14</v>
      </c>
      <c r="H54" s="14" t="n">
        <f aca="false">(E54/1000)*(F54/1000)*(G54/1000)*7850</f>
        <v>101.5317744</v>
      </c>
      <c r="I54" s="10" t="n">
        <v>2</v>
      </c>
      <c r="J54" s="15" t="n">
        <f aca="false">H54*I54</f>
        <v>203.0635488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</row>
    <row r="55" s="12" customFormat="true" ht="19.5" hidden="true" customHeight="true" outlineLevel="0" collapsed="false">
      <c r="A55" s="10"/>
      <c r="B55" s="10"/>
      <c r="C55" s="10" t="s">
        <v>102</v>
      </c>
      <c r="D55" s="10" t="s">
        <v>45</v>
      </c>
      <c r="E55" s="10" t="n">
        <v>15750.5</v>
      </c>
      <c r="F55" s="10" t="n">
        <v>160</v>
      </c>
      <c r="G55" s="10" t="n">
        <v>14</v>
      </c>
      <c r="H55" s="14" t="n">
        <f aca="false">(E55/1000)*(F55/1000)*(G55/1000)*7850</f>
        <v>276.956792</v>
      </c>
      <c r="I55" s="10" t="n">
        <v>2</v>
      </c>
      <c r="J55" s="15" t="n">
        <f aca="false">H55*I55</f>
        <v>553.913584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  <row r="56" s="12" customFormat="true" ht="19.5" hidden="true" customHeight="true" outlineLevel="0" collapsed="false">
      <c r="A56" s="10"/>
      <c r="B56" s="10"/>
      <c r="C56" s="10" t="s">
        <v>103</v>
      </c>
      <c r="D56" s="10" t="s">
        <v>45</v>
      </c>
      <c r="E56" s="10" t="n">
        <v>16000</v>
      </c>
      <c r="F56" s="10" t="n">
        <v>160</v>
      </c>
      <c r="G56" s="10" t="n">
        <v>14</v>
      </c>
      <c r="H56" s="14" t="n">
        <f aca="false">(E56/1000)*(F56/1000)*(G56/1000)*7850</f>
        <v>281.344</v>
      </c>
      <c r="I56" s="10" t="n">
        <v>8</v>
      </c>
      <c r="J56" s="15" t="n">
        <f aca="false">H56*I56</f>
        <v>2250.752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</row>
    <row r="57" s="12" customFormat="true" ht="19.5" hidden="false" customHeight="true" outlineLevel="0" collapsed="false">
      <c r="A57" s="10"/>
      <c r="B57" s="10"/>
      <c r="C57" s="10" t="s">
        <v>104</v>
      </c>
      <c r="D57" s="10" t="s">
        <v>45</v>
      </c>
      <c r="E57" s="10" t="n">
        <v>16000</v>
      </c>
      <c r="F57" s="10" t="n">
        <v>220</v>
      </c>
      <c r="G57" s="10" t="n">
        <v>20</v>
      </c>
      <c r="H57" s="14" t="n">
        <f aca="false">(E57/1000)*(F57/1000)*(G57/1000)*7850</f>
        <v>552.64</v>
      </c>
      <c r="I57" s="10" t="n">
        <v>3</v>
      </c>
      <c r="J57" s="15" t="n">
        <f aca="false">H57*I57</f>
        <v>1657.92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="12" customFormat="true" ht="19.5" hidden="true" customHeight="true" outlineLevel="0" collapsed="false">
      <c r="A58" s="10"/>
      <c r="B58" s="10" t="s">
        <v>78</v>
      </c>
      <c r="C58" s="10"/>
      <c r="D58" s="10"/>
      <c r="E58" s="10"/>
      <c r="F58" s="10"/>
      <c r="G58" s="10"/>
      <c r="H58" s="14"/>
      <c r="I58" s="10"/>
      <c r="J58" s="15" t="n">
        <f aca="false">SUM(J33:J57)</f>
        <v>141450.891574624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="12" customFormat="true" ht="19.5" hidden="false" customHeight="true" outlineLevel="0" collapsed="false">
      <c r="A59" s="10" t="s">
        <v>105</v>
      </c>
      <c r="B59" s="10" t="s">
        <v>43</v>
      </c>
      <c r="C59" s="10" t="s">
        <v>106</v>
      </c>
      <c r="D59" s="10" t="s">
        <v>45</v>
      </c>
      <c r="E59" s="10" t="n">
        <v>18037.9</v>
      </c>
      <c r="F59" s="10" t="n">
        <v>600</v>
      </c>
      <c r="G59" s="10" t="n">
        <v>20</v>
      </c>
      <c r="H59" s="14" t="n">
        <f aca="false">(E59/1000)*(F59/1000)*(G59/1000)*7850</f>
        <v>1699.17018</v>
      </c>
      <c r="I59" s="10" t="n">
        <v>2</v>
      </c>
      <c r="J59" s="15" t="n">
        <f aca="false">H59*I59</f>
        <v>3398.34036</v>
      </c>
      <c r="K59" s="10"/>
      <c r="L59" s="10" t="str">
        <f aca="false">A59</f>
        <v>上层3#</v>
      </c>
      <c r="M59" s="16" t="n">
        <f aca="false">SUMIF(G59:G83,$M$3,J59:J83)</f>
        <v>1152.6654888</v>
      </c>
      <c r="N59" s="16" t="n">
        <f aca="false">SUMIF(G59:G83,$N$3,J59:J83)</f>
        <v>40661.41744</v>
      </c>
      <c r="O59" s="16" t="n">
        <f aca="false">SUMIF(G59:G83,$O$3,J59:J83)</f>
        <v>24660.362718</v>
      </c>
      <c r="P59" s="16" t="n">
        <f aca="false">SUMIF(G59:G83,$P$3,J59:J83)</f>
        <v>46049.4188</v>
      </c>
      <c r="Q59" s="16" t="n">
        <f aca="false">SUMIF(G59:G83,$Q$3,J59:J83)</f>
        <v>22396.992</v>
      </c>
      <c r="R59" s="16" t="n">
        <f aca="false">SUMIF(G59:G83,$R$3,J59:J83)</f>
        <v>0</v>
      </c>
      <c r="S59" s="16" t="n">
        <f aca="false">SUMIF(G59:G83,$S$3,J59:J83)</f>
        <v>6933.12</v>
      </c>
      <c r="T59" s="16" t="n">
        <f aca="false">SUM(M59:S84)</f>
        <v>141853.9764468</v>
      </c>
      <c r="U59" s="16" t="n">
        <v>141854</v>
      </c>
      <c r="V59" s="16" t="n">
        <f aca="false">T59-U59</f>
        <v>-0.023553200007882</v>
      </c>
      <c r="W59" s="10"/>
    </row>
    <row r="60" s="12" customFormat="true" ht="19.5" hidden="false" customHeight="true" outlineLevel="0" collapsed="false">
      <c r="A60" s="10"/>
      <c r="B60" s="10"/>
      <c r="C60" s="10" t="s">
        <v>107</v>
      </c>
      <c r="D60" s="10" t="s">
        <v>45</v>
      </c>
      <c r="E60" s="10" t="n">
        <v>6387.1</v>
      </c>
      <c r="F60" s="10" t="n">
        <v>600</v>
      </c>
      <c r="G60" s="10" t="n">
        <v>20</v>
      </c>
      <c r="H60" s="14" t="n">
        <f aca="false">(E60/1000)*(F60/1000)*(G60/1000)*7850</f>
        <v>601.66482</v>
      </c>
      <c r="I60" s="10" t="n">
        <v>2</v>
      </c>
      <c r="J60" s="15" t="n">
        <f aca="false">H60*I60</f>
        <v>1203.32964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="12" customFormat="true" ht="19.5" hidden="true" customHeight="true" outlineLevel="0" collapsed="false">
      <c r="A61" s="10"/>
      <c r="B61" s="10"/>
      <c r="C61" s="10" t="s">
        <v>108</v>
      </c>
      <c r="D61" s="10" t="s">
        <v>45</v>
      </c>
      <c r="E61" s="10" t="n">
        <v>16000</v>
      </c>
      <c r="F61" s="10" t="n">
        <v>600</v>
      </c>
      <c r="G61" s="10" t="n">
        <v>24</v>
      </c>
      <c r="H61" s="14" t="n">
        <f aca="false">(E61/1000)*(F61/1000)*(G61/1000)*7850</f>
        <v>1808.64</v>
      </c>
      <c r="I61" s="10" t="n">
        <v>8</v>
      </c>
      <c r="J61" s="15" t="n">
        <f aca="false">H61*I61</f>
        <v>14469.12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</row>
    <row r="62" s="12" customFormat="true" ht="19.5" hidden="true" customHeight="true" outlineLevel="0" collapsed="false">
      <c r="A62" s="10"/>
      <c r="B62" s="10"/>
      <c r="C62" s="10" t="s">
        <v>109</v>
      </c>
      <c r="D62" s="10" t="s">
        <v>45</v>
      </c>
      <c r="E62" s="10" t="n">
        <v>4900</v>
      </c>
      <c r="F62" s="10" t="n">
        <v>600</v>
      </c>
      <c r="G62" s="10" t="n">
        <v>40</v>
      </c>
      <c r="H62" s="14" t="n">
        <f aca="false">(E62/1000)*(F62/1000)*(G62/1000)*7850</f>
        <v>923.16</v>
      </c>
      <c r="I62" s="10" t="n">
        <v>2</v>
      </c>
      <c r="J62" s="15" t="n">
        <f aca="false">H62*I62</f>
        <v>1846.32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</row>
    <row r="63" s="12" customFormat="true" ht="19.5" hidden="true" customHeight="true" outlineLevel="0" collapsed="false">
      <c r="A63" s="10"/>
      <c r="B63" s="10"/>
      <c r="C63" s="10" t="s">
        <v>110</v>
      </c>
      <c r="D63" s="10" t="s">
        <v>45</v>
      </c>
      <c r="E63" s="10" t="n">
        <v>7200</v>
      </c>
      <c r="F63" s="10" t="n">
        <v>800</v>
      </c>
      <c r="G63" s="10" t="n">
        <v>40</v>
      </c>
      <c r="H63" s="14" t="n">
        <f aca="false">(E63/1000)*(F63/1000)*(G63/1000)*7850</f>
        <v>1808.64</v>
      </c>
      <c r="I63" s="10" t="n">
        <v>2</v>
      </c>
      <c r="J63" s="15" t="n">
        <f aca="false">H63*I63</f>
        <v>3617.28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</row>
    <row r="64" s="12" customFormat="true" ht="19.5" hidden="true" customHeight="true" outlineLevel="0" collapsed="false">
      <c r="A64" s="10"/>
      <c r="B64" s="10"/>
      <c r="C64" s="10" t="s">
        <v>111</v>
      </c>
      <c r="D64" s="10" t="s">
        <v>45</v>
      </c>
      <c r="E64" s="10" t="n">
        <v>3900</v>
      </c>
      <c r="F64" s="10" t="n">
        <v>600</v>
      </c>
      <c r="G64" s="10" t="n">
        <v>40</v>
      </c>
      <c r="H64" s="14" t="n">
        <f aca="false">(E64/1000)*(F64/1000)*(G64/1000)*7850</f>
        <v>734.76</v>
      </c>
      <c r="I64" s="10" t="n">
        <v>2</v>
      </c>
      <c r="J64" s="15" t="n">
        <f aca="false">H64*I64</f>
        <v>1469.52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</row>
    <row r="65" s="12" customFormat="true" ht="19.5" hidden="true" customHeight="true" outlineLevel="0" collapsed="false">
      <c r="A65" s="10"/>
      <c r="B65" s="10" t="s">
        <v>52</v>
      </c>
      <c r="C65" s="10" t="s">
        <v>112</v>
      </c>
      <c r="D65" s="10" t="s">
        <v>45</v>
      </c>
      <c r="E65" s="10" t="n">
        <v>18037.9</v>
      </c>
      <c r="F65" s="10" t="n">
        <v>2641.7</v>
      </c>
      <c r="G65" s="10" t="n">
        <v>16</v>
      </c>
      <c r="H65" s="14" t="n">
        <f aca="false">(E65/1000)*(F65/1000)*(G65/1000)*7850</f>
        <v>5984.930486008</v>
      </c>
      <c r="I65" s="10" t="n">
        <v>1</v>
      </c>
      <c r="J65" s="15" t="n">
        <f aca="false">H65*I65</f>
        <v>5984.930486008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</row>
    <row r="66" s="12" customFormat="true" ht="19.5" hidden="true" customHeight="true" outlineLevel="0" collapsed="false">
      <c r="A66" s="10"/>
      <c r="B66" s="10"/>
      <c r="C66" s="10" t="s">
        <v>113</v>
      </c>
      <c r="D66" s="10" t="s">
        <v>45</v>
      </c>
      <c r="E66" s="10" t="n">
        <v>18037.9</v>
      </c>
      <c r="F66" s="10" t="n">
        <v>2718.2</v>
      </c>
      <c r="G66" s="10" t="n">
        <v>16</v>
      </c>
      <c r="H66" s="14" t="n">
        <f aca="false">(E66/1000)*(F66/1000)*(G66/1000)*7850</f>
        <v>6158.245844368</v>
      </c>
      <c r="I66" s="10" t="n">
        <v>1</v>
      </c>
      <c r="J66" s="15" t="n">
        <f aca="false">H66*I66</f>
        <v>6158.245844368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="12" customFormat="true" ht="19.5" hidden="true" customHeight="true" outlineLevel="0" collapsed="false">
      <c r="A67" s="10"/>
      <c r="B67" s="10"/>
      <c r="C67" s="10" t="s">
        <v>114</v>
      </c>
      <c r="D67" s="10" t="s">
        <v>45</v>
      </c>
      <c r="E67" s="10" t="n">
        <v>6387.1</v>
      </c>
      <c r="F67" s="10" t="n">
        <v>2641.7</v>
      </c>
      <c r="G67" s="10" t="n">
        <v>16</v>
      </c>
      <c r="H67" s="14" t="n">
        <f aca="false">(E67/1000)*(F67/1000)*(G67/1000)*7850</f>
        <v>2119.223939992</v>
      </c>
      <c r="I67" s="10" t="n">
        <v>1</v>
      </c>
      <c r="J67" s="15" t="n">
        <f aca="false">H67*I67</f>
        <v>2119.223939992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="12" customFormat="true" ht="19.5" hidden="true" customHeight="true" outlineLevel="0" collapsed="false">
      <c r="A68" s="10"/>
      <c r="B68" s="10"/>
      <c r="C68" s="10" t="s">
        <v>115</v>
      </c>
      <c r="D68" s="10" t="s">
        <v>45</v>
      </c>
      <c r="E68" s="10" t="n">
        <v>6387.1</v>
      </c>
      <c r="F68" s="10" t="n">
        <v>2718.2</v>
      </c>
      <c r="G68" s="10" t="n">
        <v>16</v>
      </c>
      <c r="H68" s="14" t="n">
        <f aca="false">(E68/1000)*(F68/1000)*(G68/1000)*7850</f>
        <v>2180.593751632</v>
      </c>
      <c r="I68" s="10" t="n">
        <v>1</v>
      </c>
      <c r="J68" s="15" t="n">
        <f aca="false">H68*I68</f>
        <v>2180.593751632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="12" customFormat="true" ht="19.5" hidden="true" customHeight="true" outlineLevel="0" collapsed="false">
      <c r="A69" s="10"/>
      <c r="B69" s="10"/>
      <c r="C69" s="10" t="s">
        <v>116</v>
      </c>
      <c r="D69" s="10" t="s">
        <v>45</v>
      </c>
      <c r="E69" s="10" t="n">
        <v>16000</v>
      </c>
      <c r="F69" s="10" t="n">
        <v>2637.7</v>
      </c>
      <c r="G69" s="10" t="n">
        <v>14</v>
      </c>
      <c r="H69" s="14" t="n">
        <f aca="false">(E69/1000)*(F69/1000)*(G69/1000)*7850</f>
        <v>4638.13168</v>
      </c>
      <c r="I69" s="10" t="n">
        <v>4</v>
      </c>
      <c r="J69" s="15" t="n">
        <f aca="false">H69*I69</f>
        <v>18552.52672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="12" customFormat="true" ht="19.5" hidden="true" customHeight="true" outlineLevel="0" collapsed="false">
      <c r="A70" s="10"/>
      <c r="B70" s="10"/>
      <c r="C70" s="10" t="s">
        <v>117</v>
      </c>
      <c r="D70" s="10" t="s">
        <v>45</v>
      </c>
      <c r="E70" s="10" t="n">
        <v>16000</v>
      </c>
      <c r="F70" s="10" t="n">
        <v>2714.2</v>
      </c>
      <c r="G70" s="10" t="n">
        <v>14</v>
      </c>
      <c r="H70" s="14" t="n">
        <f aca="false">(E70/1000)*(F70/1000)*(G70/1000)*7850</f>
        <v>4772.64928</v>
      </c>
      <c r="I70" s="10" t="n">
        <v>4</v>
      </c>
      <c r="J70" s="15" t="n">
        <f aca="false">H70*I70</f>
        <v>19090.59712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="12" customFormat="true" ht="19.5" hidden="false" customHeight="true" outlineLevel="0" collapsed="false">
      <c r="A71" s="10"/>
      <c r="B71" s="10"/>
      <c r="C71" s="10" t="s">
        <v>118</v>
      </c>
      <c r="D71" s="10" t="s">
        <v>45</v>
      </c>
      <c r="E71" s="10" t="n">
        <v>16000</v>
      </c>
      <c r="F71" s="10" t="n">
        <v>2621.7</v>
      </c>
      <c r="G71" s="10" t="n">
        <v>20</v>
      </c>
      <c r="H71" s="14" t="n">
        <f aca="false">(E71/1000)*(F71/1000)*(G71/1000)*7850</f>
        <v>6585.7104</v>
      </c>
      <c r="I71" s="10" t="n">
        <v>1</v>
      </c>
      <c r="J71" s="15" t="n">
        <f aca="false">H71*I71</f>
        <v>6585.7104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="12" customFormat="true" ht="19.5" hidden="false" customHeight="true" outlineLevel="0" collapsed="false">
      <c r="A72" s="10"/>
      <c r="B72" s="10"/>
      <c r="C72" s="10" t="s">
        <v>119</v>
      </c>
      <c r="D72" s="10" t="s">
        <v>45</v>
      </c>
      <c r="E72" s="10" t="n">
        <v>16000</v>
      </c>
      <c r="F72" s="10" t="n">
        <v>2698.2</v>
      </c>
      <c r="G72" s="10" t="n">
        <v>20</v>
      </c>
      <c r="H72" s="14" t="n">
        <f aca="false">(E72/1000)*(F72/1000)*(G72/1000)*7850</f>
        <v>6777.8784</v>
      </c>
      <c r="I72" s="10" t="n">
        <v>1</v>
      </c>
      <c r="J72" s="15" t="n">
        <f aca="false">H72*I72</f>
        <v>6777.8784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="12" customFormat="true" ht="19.5" hidden="true" customHeight="true" outlineLevel="0" collapsed="false">
      <c r="A73" s="10"/>
      <c r="B73" s="10" t="s">
        <v>63</v>
      </c>
      <c r="C73" s="10" t="s">
        <v>120</v>
      </c>
      <c r="D73" s="10" t="s">
        <v>45</v>
      </c>
      <c r="E73" s="10" t="n">
        <v>17287.9</v>
      </c>
      <c r="F73" s="10" t="n">
        <v>2630</v>
      </c>
      <c r="G73" s="10" t="n">
        <v>16</v>
      </c>
      <c r="H73" s="14" t="n">
        <f aca="false">(E73/1000)*(F73/1000)*(G73/1000)*7850</f>
        <v>5710.6774312</v>
      </c>
      <c r="I73" s="10" t="n">
        <v>1</v>
      </c>
      <c r="J73" s="15" t="n">
        <f aca="false">H73*I73</f>
        <v>5710.6774312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="12" customFormat="true" ht="19.5" hidden="true" customHeight="true" outlineLevel="0" collapsed="false">
      <c r="A74" s="10"/>
      <c r="B74" s="10"/>
      <c r="C74" s="10" t="s">
        <v>121</v>
      </c>
      <c r="D74" s="10" t="s">
        <v>45</v>
      </c>
      <c r="E74" s="10" t="n">
        <v>5637.1</v>
      </c>
      <c r="F74" s="10" t="n">
        <v>2630</v>
      </c>
      <c r="G74" s="10" t="n">
        <v>16</v>
      </c>
      <c r="H74" s="14" t="n">
        <f aca="false">(E74/1000)*(F74/1000)*(G74/1000)*7850</f>
        <v>1862.0919688</v>
      </c>
      <c r="I74" s="10" t="n">
        <v>1</v>
      </c>
      <c r="J74" s="15" t="n">
        <f aca="false">H74*I74</f>
        <v>1862.0919688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="12" customFormat="true" ht="19.5" hidden="false" customHeight="true" outlineLevel="0" collapsed="false">
      <c r="A75" s="10"/>
      <c r="B75" s="10"/>
      <c r="C75" s="10" t="s">
        <v>122</v>
      </c>
      <c r="D75" s="10" t="s">
        <v>45</v>
      </c>
      <c r="E75" s="10" t="n">
        <v>16000</v>
      </c>
      <c r="F75" s="10" t="n">
        <v>2630</v>
      </c>
      <c r="G75" s="10" t="n">
        <v>20</v>
      </c>
      <c r="H75" s="14" t="n">
        <f aca="false">(E75/1000)*(F75/1000)*(G75/1000)*7850</f>
        <v>6606.56</v>
      </c>
      <c r="I75" s="10" t="n">
        <v>4</v>
      </c>
      <c r="J75" s="15" t="n">
        <f aca="false">H75*I75</f>
        <v>26426.24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="12" customFormat="true" ht="19.5" hidden="true" customHeight="true" outlineLevel="0" collapsed="false">
      <c r="A76" s="10"/>
      <c r="B76" s="10"/>
      <c r="C76" s="10" t="s">
        <v>123</v>
      </c>
      <c r="D76" s="10" t="s">
        <v>45</v>
      </c>
      <c r="E76" s="10" t="n">
        <v>16000</v>
      </c>
      <c r="F76" s="10" t="n">
        <v>2630</v>
      </c>
      <c r="G76" s="10" t="n">
        <v>24</v>
      </c>
      <c r="H76" s="14" t="n">
        <f aca="false">(E76/1000)*(F76/1000)*(G76/1000)*7850</f>
        <v>7927.872</v>
      </c>
      <c r="I76" s="10" t="n">
        <v>1</v>
      </c>
      <c r="J76" s="15" t="n">
        <f aca="false">H76*I76</f>
        <v>7927.872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="12" customFormat="true" ht="19.5" hidden="true" customHeight="true" outlineLevel="0" collapsed="false">
      <c r="A77" s="10"/>
      <c r="B77" s="10" t="s">
        <v>68</v>
      </c>
      <c r="C77" s="10" t="s">
        <v>124</v>
      </c>
      <c r="D77" s="10" t="s">
        <v>45</v>
      </c>
      <c r="E77" s="17" t="n">
        <v>18938</v>
      </c>
      <c r="F77" s="10" t="n">
        <v>140</v>
      </c>
      <c r="G77" s="10" t="n">
        <v>12</v>
      </c>
      <c r="H77" s="14" t="n">
        <f aca="false">(E77/1000)*(F77/1000)*(G77/1000)*7850</f>
        <v>249.754344</v>
      </c>
      <c r="I77" s="10" t="n">
        <v>1</v>
      </c>
      <c r="J77" s="15" t="n">
        <f aca="false">H77*I77</f>
        <v>249.754344</v>
      </c>
      <c r="K77" s="18" t="s">
        <v>70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="12" customFormat="true" ht="19.5" hidden="true" customHeight="true" outlineLevel="0" collapsed="false">
      <c r="A78" s="10"/>
      <c r="B78" s="10"/>
      <c r="C78" s="10" t="s">
        <v>125</v>
      </c>
      <c r="D78" s="10" t="s">
        <v>45</v>
      </c>
      <c r="E78" s="17" t="n">
        <v>68464.6</v>
      </c>
      <c r="F78" s="10" t="n">
        <v>140</v>
      </c>
      <c r="G78" s="10" t="n">
        <v>12</v>
      </c>
      <c r="H78" s="14" t="n">
        <f aca="false">(E78/1000)*(F78/1000)*(G78/1000)*7850</f>
        <v>902.9111448</v>
      </c>
      <c r="I78" s="10" t="n">
        <v>1</v>
      </c>
      <c r="J78" s="15" t="n">
        <f aca="false">H78*I78</f>
        <v>902.9111448</v>
      </c>
      <c r="K78" s="18" t="s">
        <v>70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="12" customFormat="true" ht="19.5" hidden="true" customHeight="true" outlineLevel="0" collapsed="false">
      <c r="A79" s="10"/>
      <c r="B79" s="10"/>
      <c r="C79" s="10" t="s">
        <v>126</v>
      </c>
      <c r="D79" s="10" t="s">
        <v>45</v>
      </c>
      <c r="E79" s="17" t="n">
        <v>28512</v>
      </c>
      <c r="F79" s="10" t="n">
        <v>180</v>
      </c>
      <c r="G79" s="10" t="n">
        <v>16</v>
      </c>
      <c r="H79" s="14" t="n">
        <f aca="false">(E79/1000)*(F79/1000)*(G79/1000)*7850</f>
        <v>644.599296</v>
      </c>
      <c r="I79" s="10" t="n">
        <v>1</v>
      </c>
      <c r="J79" s="15" t="n">
        <f aca="false">H79*I79</f>
        <v>644.599296</v>
      </c>
      <c r="K79" s="18" t="s">
        <v>70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="12" customFormat="true" ht="19.5" hidden="true" customHeight="true" outlineLevel="0" collapsed="false">
      <c r="A80" s="10"/>
      <c r="B80" s="10" t="s">
        <v>73</v>
      </c>
      <c r="C80" s="10" t="s">
        <v>127</v>
      </c>
      <c r="D80" s="10" t="s">
        <v>45</v>
      </c>
      <c r="E80" s="10" t="n">
        <v>16737.9</v>
      </c>
      <c r="F80" s="10" t="n">
        <v>160</v>
      </c>
      <c r="G80" s="10" t="n">
        <v>14</v>
      </c>
      <c r="H80" s="14" t="n">
        <f aca="false">(E80/1000)*(F80/1000)*(G80/1000)*7850</f>
        <v>294.3192336</v>
      </c>
      <c r="I80" s="10" t="n">
        <v>2</v>
      </c>
      <c r="J80" s="15" t="n">
        <f aca="false">H80*I80</f>
        <v>588.6384672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="12" customFormat="true" ht="19.5" hidden="true" customHeight="true" outlineLevel="0" collapsed="false">
      <c r="A81" s="10"/>
      <c r="B81" s="10"/>
      <c r="C81" s="10" t="s">
        <v>128</v>
      </c>
      <c r="D81" s="10" t="s">
        <v>45</v>
      </c>
      <c r="E81" s="10" t="n">
        <v>5087.1</v>
      </c>
      <c r="F81" s="10" t="n">
        <v>160</v>
      </c>
      <c r="G81" s="10" t="n">
        <v>14</v>
      </c>
      <c r="H81" s="14" t="n">
        <f aca="false">(E81/1000)*(F81/1000)*(G81/1000)*7850</f>
        <v>89.4515664</v>
      </c>
      <c r="I81" s="10" t="n">
        <v>2</v>
      </c>
      <c r="J81" s="15" t="n">
        <f aca="false">H81*I81</f>
        <v>178.9031328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="12" customFormat="true" ht="19.5" hidden="true" customHeight="true" outlineLevel="0" collapsed="false">
      <c r="A82" s="10"/>
      <c r="B82" s="10"/>
      <c r="C82" s="10" t="s">
        <v>129</v>
      </c>
      <c r="D82" s="10" t="s">
        <v>45</v>
      </c>
      <c r="E82" s="10" t="n">
        <v>16000</v>
      </c>
      <c r="F82" s="10" t="n">
        <v>160</v>
      </c>
      <c r="G82" s="10" t="n">
        <v>14</v>
      </c>
      <c r="H82" s="14" t="n">
        <f aca="false">(E82/1000)*(F82/1000)*(G82/1000)*7850</f>
        <v>281.344</v>
      </c>
      <c r="I82" s="10" t="n">
        <v>8</v>
      </c>
      <c r="J82" s="15" t="n">
        <f aca="false">H82*I82</f>
        <v>2250.752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3" s="12" customFormat="true" ht="19.5" hidden="false" customHeight="true" outlineLevel="0" collapsed="false">
      <c r="A83" s="10"/>
      <c r="B83" s="10"/>
      <c r="C83" s="10" t="s">
        <v>130</v>
      </c>
      <c r="D83" s="10" t="s">
        <v>45</v>
      </c>
      <c r="E83" s="10" t="n">
        <v>16000</v>
      </c>
      <c r="F83" s="10" t="n">
        <v>220</v>
      </c>
      <c r="G83" s="10" t="n">
        <v>20</v>
      </c>
      <c r="H83" s="14" t="n">
        <f aca="false">(E83/1000)*(F83/1000)*(G83/1000)*7850</f>
        <v>552.64</v>
      </c>
      <c r="I83" s="10" t="n">
        <v>3</v>
      </c>
      <c r="J83" s="15" t="n">
        <f aca="false">H83*I83</f>
        <v>1657.92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</row>
    <row r="84" s="12" customFormat="true" ht="19.5" hidden="true" customHeight="true" outlineLevel="0" collapsed="false">
      <c r="A84" s="10"/>
      <c r="B84" s="10" t="s">
        <v>78</v>
      </c>
      <c r="C84" s="10"/>
      <c r="D84" s="10"/>
      <c r="E84" s="10"/>
      <c r="F84" s="10"/>
      <c r="G84" s="10"/>
      <c r="H84" s="14"/>
      <c r="I84" s="10"/>
      <c r="J84" s="15" t="n">
        <f aca="false">SUM(J59:J83)</f>
        <v>141853.9764468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</row>
    <row r="85" s="12" customFormat="true" ht="19.5" hidden="false" customHeight="true" outlineLevel="0" collapsed="false">
      <c r="A85" s="10" t="s">
        <v>131</v>
      </c>
      <c r="B85" s="10" t="s">
        <v>43</v>
      </c>
      <c r="C85" s="10" t="s">
        <v>132</v>
      </c>
      <c r="D85" s="10" t="s">
        <v>45</v>
      </c>
      <c r="E85" s="10" t="n">
        <v>13809.7</v>
      </c>
      <c r="F85" s="10" t="n">
        <v>600</v>
      </c>
      <c r="G85" s="10" t="n">
        <v>20</v>
      </c>
      <c r="H85" s="14" t="n">
        <f aca="false">(E85/1000)*(F85/1000)*(G85/1000)*7850</f>
        <v>1300.87374</v>
      </c>
      <c r="I85" s="10" t="n">
        <v>2</v>
      </c>
      <c r="J85" s="15" t="n">
        <f aca="false">H85*I85</f>
        <v>2601.74748</v>
      </c>
      <c r="K85" s="10"/>
      <c r="L85" s="10" t="str">
        <f aca="false">A85</f>
        <v>上层4#</v>
      </c>
      <c r="M85" s="16" t="n">
        <f aca="false">SUMIF(G85:G109,$M$3,J85:J109)</f>
        <v>1188.291552</v>
      </c>
      <c r="N85" s="16" t="n">
        <f aca="false">SUMIF(G85:G109,$N$3,J85:J109)</f>
        <v>40671.9819072</v>
      </c>
      <c r="O85" s="16" t="n">
        <f aca="false">SUMIF(G85:G109,$O$3,J85:J109)</f>
        <v>24927.626701776</v>
      </c>
      <c r="P85" s="16" t="n">
        <f aca="false">SUMIF(G85:G109,$P$3,J85:J109)</f>
        <v>46106.01416</v>
      </c>
      <c r="Q85" s="16" t="n">
        <f aca="false">SUMIF(G85:G109,$Q$3,J85:J109)</f>
        <v>22396.992</v>
      </c>
      <c r="R85" s="16" t="n">
        <f aca="false">SUMIF(G85:G109,$R$3,J85:J109)</f>
        <v>0</v>
      </c>
      <c r="S85" s="16" t="n">
        <f aca="false">SUMIF(G85:G109,$S$3,J85:J109)</f>
        <v>6933.12</v>
      </c>
      <c r="T85" s="16" t="n">
        <f aca="false">SUM(M85:S110)</f>
        <v>142224.026320976</v>
      </c>
      <c r="U85" s="16" t="n">
        <v>142224</v>
      </c>
      <c r="V85" s="16" t="n">
        <f aca="false">T85-U85</f>
        <v>0.0263209760014433</v>
      </c>
      <c r="W85" s="10"/>
    </row>
    <row r="86" s="12" customFormat="true" ht="19.5" hidden="false" customHeight="true" outlineLevel="0" collapsed="false">
      <c r="A86" s="10"/>
      <c r="B86" s="10"/>
      <c r="C86" s="10" t="s">
        <v>133</v>
      </c>
      <c r="D86" s="10" t="s">
        <v>45</v>
      </c>
      <c r="E86" s="10" t="n">
        <v>10915.7</v>
      </c>
      <c r="F86" s="10" t="n">
        <v>600</v>
      </c>
      <c r="G86" s="10" t="n">
        <v>20</v>
      </c>
      <c r="H86" s="14" t="n">
        <f aca="false">(E86/1000)*(F86/1000)*(G86/1000)*7850</f>
        <v>1028.25894</v>
      </c>
      <c r="I86" s="10" t="n">
        <v>2</v>
      </c>
      <c r="J86" s="15" t="n">
        <f aca="false">H86*I86</f>
        <v>2056.51788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</row>
    <row r="87" s="12" customFormat="true" ht="19.5" hidden="true" customHeight="true" outlineLevel="0" collapsed="false">
      <c r="A87" s="10"/>
      <c r="B87" s="10"/>
      <c r="C87" s="10" t="s">
        <v>134</v>
      </c>
      <c r="D87" s="10" t="s">
        <v>45</v>
      </c>
      <c r="E87" s="10" t="n">
        <v>16000</v>
      </c>
      <c r="F87" s="10" t="n">
        <v>600</v>
      </c>
      <c r="G87" s="10" t="n">
        <v>24</v>
      </c>
      <c r="H87" s="14" t="n">
        <f aca="false">(E87/1000)*(F87/1000)*(G87/1000)*7850</f>
        <v>1808.64</v>
      </c>
      <c r="I87" s="10" t="n">
        <v>8</v>
      </c>
      <c r="J87" s="15" t="n">
        <f aca="false">H87*I87</f>
        <v>14469.12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</row>
    <row r="88" s="12" customFormat="true" ht="19.5" hidden="true" customHeight="true" outlineLevel="0" collapsed="false">
      <c r="A88" s="10"/>
      <c r="B88" s="10"/>
      <c r="C88" s="10" t="s">
        <v>135</v>
      </c>
      <c r="D88" s="10" t="s">
        <v>45</v>
      </c>
      <c r="E88" s="10" t="n">
        <v>5100</v>
      </c>
      <c r="F88" s="10" t="n">
        <v>600</v>
      </c>
      <c r="G88" s="10" t="n">
        <v>40</v>
      </c>
      <c r="H88" s="14" t="n">
        <f aca="false">(E88/1000)*(F88/1000)*(G88/1000)*7850</f>
        <v>960.84</v>
      </c>
      <c r="I88" s="10" t="n">
        <v>2</v>
      </c>
      <c r="J88" s="15" t="n">
        <f aca="false">H88*I88</f>
        <v>1921.68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</row>
    <row r="89" s="12" customFormat="true" ht="19.5" hidden="true" customHeight="true" outlineLevel="0" collapsed="false">
      <c r="A89" s="10"/>
      <c r="B89" s="10"/>
      <c r="C89" s="10" t="s">
        <v>136</v>
      </c>
      <c r="D89" s="10" t="s">
        <v>45</v>
      </c>
      <c r="E89" s="10" t="n">
        <v>7200</v>
      </c>
      <c r="F89" s="10" t="n">
        <v>800</v>
      </c>
      <c r="G89" s="10" t="n">
        <v>40</v>
      </c>
      <c r="H89" s="14" t="n">
        <f aca="false">(E89/1000)*(F89/1000)*(G89/1000)*7850</f>
        <v>1808.64</v>
      </c>
      <c r="I89" s="10" t="n">
        <v>2</v>
      </c>
      <c r="J89" s="15" t="n">
        <f aca="false">H89*I89</f>
        <v>3617.28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</row>
    <row r="90" s="12" customFormat="true" ht="19.5" hidden="true" customHeight="true" outlineLevel="0" collapsed="false">
      <c r="A90" s="10"/>
      <c r="B90" s="10"/>
      <c r="C90" s="10" t="s">
        <v>137</v>
      </c>
      <c r="D90" s="10" t="s">
        <v>45</v>
      </c>
      <c r="E90" s="10" t="n">
        <v>3700</v>
      </c>
      <c r="F90" s="10" t="n">
        <v>600</v>
      </c>
      <c r="G90" s="10" t="n">
        <v>40</v>
      </c>
      <c r="H90" s="14" t="n">
        <f aca="false">(E90/1000)*(F90/1000)*(G90/1000)*7850</f>
        <v>697.08</v>
      </c>
      <c r="I90" s="10" t="n">
        <v>2</v>
      </c>
      <c r="J90" s="15" t="n">
        <f aca="false">H90*I90</f>
        <v>1394.16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</row>
    <row r="91" s="12" customFormat="true" ht="19.5" hidden="true" customHeight="true" outlineLevel="0" collapsed="false">
      <c r="A91" s="10"/>
      <c r="B91" s="10" t="s">
        <v>52</v>
      </c>
      <c r="C91" s="10" t="s">
        <v>138</v>
      </c>
      <c r="D91" s="10" t="s">
        <v>45</v>
      </c>
      <c r="E91" s="10" t="n">
        <v>13809.7</v>
      </c>
      <c r="F91" s="10" t="n">
        <v>2641.7</v>
      </c>
      <c r="G91" s="10" t="n">
        <v>16</v>
      </c>
      <c r="H91" s="14" t="n">
        <f aca="false">(E91/1000)*(F91/1000)*(G91/1000)*7850</f>
        <v>4582.024211944</v>
      </c>
      <c r="I91" s="10" t="n">
        <v>1</v>
      </c>
      <c r="J91" s="15" t="n">
        <f aca="false">H91*I91</f>
        <v>4582.024211944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</row>
    <row r="92" s="12" customFormat="true" ht="19.5" hidden="true" customHeight="true" outlineLevel="0" collapsed="false">
      <c r="A92" s="10"/>
      <c r="B92" s="10"/>
      <c r="C92" s="10" t="s">
        <v>139</v>
      </c>
      <c r="D92" s="10" t="s">
        <v>45</v>
      </c>
      <c r="E92" s="10" t="n">
        <v>13809.7</v>
      </c>
      <c r="F92" s="10" t="n">
        <v>2718.2</v>
      </c>
      <c r="G92" s="10" t="n">
        <v>16</v>
      </c>
      <c r="H92" s="14" t="n">
        <f aca="false">(E92/1000)*(F92/1000)*(G92/1000)*7850</f>
        <v>4714.713333424</v>
      </c>
      <c r="I92" s="10" t="n">
        <v>1</v>
      </c>
      <c r="J92" s="15" t="n">
        <f aca="false">H92*I92</f>
        <v>4714.713333424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</row>
    <row r="93" s="12" customFormat="true" ht="19.5" hidden="true" customHeight="true" outlineLevel="0" collapsed="false">
      <c r="A93" s="10"/>
      <c r="B93" s="10"/>
      <c r="C93" s="10" t="s">
        <v>140</v>
      </c>
      <c r="D93" s="10" t="s">
        <v>45</v>
      </c>
      <c r="E93" s="10" t="n">
        <v>10915.7</v>
      </c>
      <c r="F93" s="10" t="n">
        <v>2641.7</v>
      </c>
      <c r="G93" s="10" t="n">
        <v>16</v>
      </c>
      <c r="H93" s="14" t="n">
        <f aca="false">(E93/1000)*(F93/1000)*(G93/1000)*7850</f>
        <v>3621.802189064</v>
      </c>
      <c r="I93" s="10" t="n">
        <v>1</v>
      </c>
      <c r="J93" s="15" t="n">
        <f aca="false">H93*I93</f>
        <v>3621.802189064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</row>
    <row r="94" s="12" customFormat="true" ht="19.5" hidden="true" customHeight="true" outlineLevel="0" collapsed="false">
      <c r="A94" s="10"/>
      <c r="B94" s="10"/>
      <c r="C94" s="10" t="s">
        <v>141</v>
      </c>
      <c r="D94" s="10" t="s">
        <v>45</v>
      </c>
      <c r="E94" s="10" t="n">
        <v>10915.7</v>
      </c>
      <c r="F94" s="10" t="n">
        <v>2718.2</v>
      </c>
      <c r="G94" s="10" t="n">
        <v>16</v>
      </c>
      <c r="H94" s="14" t="n">
        <f aca="false">(E94/1000)*(F94/1000)*(G94/1000)*7850</f>
        <v>3726.684600944</v>
      </c>
      <c r="I94" s="10" t="n">
        <v>1</v>
      </c>
      <c r="J94" s="15" t="n">
        <f aca="false">H94*I94</f>
        <v>3726.684600944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95" s="12" customFormat="true" ht="19.5" hidden="true" customHeight="true" outlineLevel="0" collapsed="false">
      <c r="A95" s="10"/>
      <c r="B95" s="10"/>
      <c r="C95" s="10" t="s">
        <v>142</v>
      </c>
      <c r="D95" s="10" t="s">
        <v>45</v>
      </c>
      <c r="E95" s="10" t="n">
        <v>16000</v>
      </c>
      <c r="F95" s="10" t="n">
        <v>2637.7</v>
      </c>
      <c r="G95" s="10" t="n">
        <v>14</v>
      </c>
      <c r="H95" s="14" t="n">
        <f aca="false">(E95/1000)*(F95/1000)*(G95/1000)*7850</f>
        <v>4638.13168</v>
      </c>
      <c r="I95" s="10" t="n">
        <v>4</v>
      </c>
      <c r="J95" s="15" t="n">
        <f aca="false">H95*I95</f>
        <v>18552.52672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</row>
    <row r="96" s="12" customFormat="true" ht="19.5" hidden="true" customHeight="true" outlineLevel="0" collapsed="false">
      <c r="A96" s="10"/>
      <c r="B96" s="10"/>
      <c r="C96" s="10" t="s">
        <v>143</v>
      </c>
      <c r="D96" s="10" t="s">
        <v>45</v>
      </c>
      <c r="E96" s="10" t="n">
        <v>16000</v>
      </c>
      <c r="F96" s="10" t="n">
        <v>2714.2</v>
      </c>
      <c r="G96" s="10" t="n">
        <v>14</v>
      </c>
      <c r="H96" s="14" t="n">
        <f aca="false">(E96/1000)*(F96/1000)*(G96/1000)*7850</f>
        <v>4772.64928</v>
      </c>
      <c r="I96" s="10" t="n">
        <v>4</v>
      </c>
      <c r="J96" s="15" t="n">
        <f aca="false">H96*I96</f>
        <v>19090.59712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</row>
    <row r="97" s="12" customFormat="true" ht="19.5" hidden="false" customHeight="true" outlineLevel="0" collapsed="false">
      <c r="A97" s="10"/>
      <c r="B97" s="10"/>
      <c r="C97" s="10" t="s">
        <v>144</v>
      </c>
      <c r="D97" s="10" t="s">
        <v>45</v>
      </c>
      <c r="E97" s="10" t="n">
        <v>16000</v>
      </c>
      <c r="F97" s="10" t="n">
        <v>2621.7</v>
      </c>
      <c r="G97" s="10" t="n">
        <v>20</v>
      </c>
      <c r="H97" s="14" t="n">
        <f aca="false">(E97/1000)*(F97/1000)*(G97/1000)*7850</f>
        <v>6585.7104</v>
      </c>
      <c r="I97" s="10" t="n">
        <v>1</v>
      </c>
      <c r="J97" s="15" t="n">
        <f aca="false">H97*I97</f>
        <v>6585.7104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</row>
    <row r="98" s="12" customFormat="true" ht="19.5" hidden="false" customHeight="true" outlineLevel="0" collapsed="false">
      <c r="A98" s="10"/>
      <c r="B98" s="10"/>
      <c r="C98" s="10" t="s">
        <v>145</v>
      </c>
      <c r="D98" s="10" t="s">
        <v>45</v>
      </c>
      <c r="E98" s="10" t="n">
        <v>16000</v>
      </c>
      <c r="F98" s="10" t="n">
        <v>2698.2</v>
      </c>
      <c r="G98" s="10" t="n">
        <v>20</v>
      </c>
      <c r="H98" s="14" t="n">
        <f aca="false">(E98/1000)*(F98/1000)*(G98/1000)*7850</f>
        <v>6777.8784</v>
      </c>
      <c r="I98" s="10" t="n">
        <v>1</v>
      </c>
      <c r="J98" s="15" t="n">
        <f aca="false">H98*I98</f>
        <v>6777.8784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</row>
    <row r="99" s="12" customFormat="true" ht="19.5" hidden="true" customHeight="true" outlineLevel="0" collapsed="false">
      <c r="A99" s="10"/>
      <c r="B99" s="10" t="s">
        <v>63</v>
      </c>
      <c r="C99" s="10" t="s">
        <v>146</v>
      </c>
      <c r="D99" s="10" t="s">
        <v>45</v>
      </c>
      <c r="E99" s="10" t="n">
        <v>13059.7</v>
      </c>
      <c r="F99" s="10" t="n">
        <v>2630</v>
      </c>
      <c r="G99" s="10" t="n">
        <v>16</v>
      </c>
      <c r="H99" s="14" t="n">
        <f aca="false">(E99/1000)*(F99/1000)*(G99/1000)*7850</f>
        <v>4313.9845816</v>
      </c>
      <c r="I99" s="10" t="n">
        <v>1</v>
      </c>
      <c r="J99" s="15" t="n">
        <f aca="false">H99*I99</f>
        <v>4313.9845816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</row>
    <row r="100" s="12" customFormat="true" ht="19.5" hidden="true" customHeight="true" outlineLevel="0" collapsed="false">
      <c r="A100" s="10"/>
      <c r="B100" s="10"/>
      <c r="C100" s="10" t="s">
        <v>147</v>
      </c>
      <c r="D100" s="10" t="s">
        <v>45</v>
      </c>
      <c r="E100" s="10" t="n">
        <v>10165.7</v>
      </c>
      <c r="F100" s="10" t="n">
        <v>2630</v>
      </c>
      <c r="G100" s="10" t="n">
        <v>16</v>
      </c>
      <c r="H100" s="14" t="n">
        <f aca="false">(E100/1000)*(F100/1000)*(G100/1000)*7850</f>
        <v>3358.0153496</v>
      </c>
      <c r="I100" s="10" t="n">
        <v>1</v>
      </c>
      <c r="J100" s="15" t="n">
        <f aca="false">H100*I100</f>
        <v>3358.0153496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</row>
    <row r="101" s="12" customFormat="true" ht="19.5" hidden="false" customHeight="true" outlineLevel="0" collapsed="false">
      <c r="A101" s="10"/>
      <c r="B101" s="10"/>
      <c r="C101" s="10" t="s">
        <v>148</v>
      </c>
      <c r="D101" s="10" t="s">
        <v>45</v>
      </c>
      <c r="E101" s="10" t="n">
        <v>16000</v>
      </c>
      <c r="F101" s="10" t="n">
        <v>2630</v>
      </c>
      <c r="G101" s="10" t="n">
        <v>20</v>
      </c>
      <c r="H101" s="14" t="n">
        <f aca="false">(E101/1000)*(F101/1000)*(G101/1000)*7850</f>
        <v>6606.56</v>
      </c>
      <c r="I101" s="10" t="n">
        <v>4</v>
      </c>
      <c r="J101" s="15" t="n">
        <f aca="false">H101*I101</f>
        <v>26426.24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</row>
    <row r="102" s="12" customFormat="true" ht="19.5" hidden="true" customHeight="true" outlineLevel="0" collapsed="false">
      <c r="A102" s="10"/>
      <c r="B102" s="10"/>
      <c r="C102" s="10" t="s">
        <v>149</v>
      </c>
      <c r="D102" s="10" t="s">
        <v>45</v>
      </c>
      <c r="E102" s="10" t="n">
        <v>16000</v>
      </c>
      <c r="F102" s="10" t="n">
        <v>2630</v>
      </c>
      <c r="G102" s="10" t="n">
        <v>24</v>
      </c>
      <c r="H102" s="14" t="n">
        <f aca="false">(E102/1000)*(F102/1000)*(G102/1000)*7850</f>
        <v>7927.872</v>
      </c>
      <c r="I102" s="10" t="n">
        <v>1</v>
      </c>
      <c r="J102" s="15" t="n">
        <f aca="false">H102*I102</f>
        <v>7927.872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</row>
    <row r="103" s="12" customFormat="true" ht="19.5" hidden="true" customHeight="true" outlineLevel="0" collapsed="false">
      <c r="A103" s="10"/>
      <c r="B103" s="10" t="s">
        <v>68</v>
      </c>
      <c r="C103" s="10" t="s">
        <v>150</v>
      </c>
      <c r="D103" s="10" t="s">
        <v>45</v>
      </c>
      <c r="E103" s="17" t="n">
        <v>20056.4</v>
      </c>
      <c r="F103" s="10" t="n">
        <v>140</v>
      </c>
      <c r="G103" s="10" t="n">
        <v>12</v>
      </c>
      <c r="H103" s="14" t="n">
        <f aca="false">(E103/1000)*(F103/1000)*(G103/1000)*7850</f>
        <v>264.5038032</v>
      </c>
      <c r="I103" s="10" t="n">
        <v>1</v>
      </c>
      <c r="J103" s="15" t="n">
        <f aca="false">H103*I103</f>
        <v>264.5038032</v>
      </c>
      <c r="K103" s="18" t="s">
        <v>70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="12" customFormat="true" ht="19.5" hidden="true" customHeight="true" outlineLevel="0" collapsed="false">
      <c r="A104" s="10"/>
      <c r="B104" s="10"/>
      <c r="C104" s="10" t="s">
        <v>151</v>
      </c>
      <c r="D104" s="10" t="s">
        <v>45</v>
      </c>
      <c r="E104" s="17" t="n">
        <v>70047.6</v>
      </c>
      <c r="F104" s="10" t="n">
        <v>140</v>
      </c>
      <c r="G104" s="10" t="n">
        <v>12</v>
      </c>
      <c r="H104" s="14" t="n">
        <f aca="false">(E104/1000)*(F104/1000)*(G104/1000)*7850</f>
        <v>923.7877488</v>
      </c>
      <c r="I104" s="10" t="n">
        <v>1</v>
      </c>
      <c r="J104" s="15" t="n">
        <f aca="false">H104*I104</f>
        <v>923.7877488</v>
      </c>
      <c r="K104" s="18" t="s">
        <v>70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="12" customFormat="true" ht="19.5" hidden="true" customHeight="true" outlineLevel="0" collapsed="false">
      <c r="A105" s="10"/>
      <c r="B105" s="10"/>
      <c r="C105" s="10" t="s">
        <v>152</v>
      </c>
      <c r="D105" s="10" t="s">
        <v>45</v>
      </c>
      <c r="E105" s="17" t="n">
        <v>26999.4</v>
      </c>
      <c r="F105" s="10" t="n">
        <v>180</v>
      </c>
      <c r="G105" s="10" t="n">
        <v>16</v>
      </c>
      <c r="H105" s="14" t="n">
        <f aca="false">(E105/1000)*(F105/1000)*(G105/1000)*7850</f>
        <v>610.4024352</v>
      </c>
      <c r="I105" s="10" t="n">
        <v>1</v>
      </c>
      <c r="J105" s="15" t="n">
        <f aca="false">H105*I105</f>
        <v>610.4024352</v>
      </c>
      <c r="K105" s="18" t="s">
        <v>70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="12" customFormat="true" ht="19.5" hidden="true" customHeight="true" outlineLevel="0" collapsed="false">
      <c r="A106" s="10"/>
      <c r="B106" s="10" t="s">
        <v>73</v>
      </c>
      <c r="C106" s="10" t="s">
        <v>153</v>
      </c>
      <c r="D106" s="10" t="s">
        <v>45</v>
      </c>
      <c r="E106" s="10" t="n">
        <v>12509.7</v>
      </c>
      <c r="F106" s="10" t="n">
        <v>160</v>
      </c>
      <c r="G106" s="10" t="n">
        <v>14</v>
      </c>
      <c r="H106" s="14" t="n">
        <f aca="false">(E106/1000)*(F106/1000)*(G106/1000)*7850</f>
        <v>219.9705648</v>
      </c>
      <c r="I106" s="10" t="n">
        <v>2</v>
      </c>
      <c r="J106" s="15" t="n">
        <f aca="false">H106*I106</f>
        <v>439.9411296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="12" customFormat="true" ht="19.5" hidden="true" customHeight="true" outlineLevel="0" collapsed="false">
      <c r="A107" s="10"/>
      <c r="B107" s="10"/>
      <c r="C107" s="10" t="s">
        <v>154</v>
      </c>
      <c r="D107" s="10" t="s">
        <v>45</v>
      </c>
      <c r="E107" s="10" t="n">
        <v>9615.7</v>
      </c>
      <c r="F107" s="10" t="n">
        <v>160</v>
      </c>
      <c r="G107" s="10" t="n">
        <v>14</v>
      </c>
      <c r="H107" s="14" t="n">
        <f aca="false">(E107/1000)*(F107/1000)*(G107/1000)*7850</f>
        <v>169.0824688</v>
      </c>
      <c r="I107" s="10" t="n">
        <v>2</v>
      </c>
      <c r="J107" s="15" t="n">
        <f aca="false">H107*I107</f>
        <v>338.1649376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="12" customFormat="true" ht="19.5" hidden="true" customHeight="true" outlineLevel="0" collapsed="false">
      <c r="A108" s="10"/>
      <c r="B108" s="10"/>
      <c r="C108" s="10" t="s">
        <v>155</v>
      </c>
      <c r="D108" s="10" t="s">
        <v>45</v>
      </c>
      <c r="E108" s="10" t="n">
        <v>16000</v>
      </c>
      <c r="F108" s="10" t="n">
        <v>160</v>
      </c>
      <c r="G108" s="10" t="n">
        <v>14</v>
      </c>
      <c r="H108" s="14" t="n">
        <f aca="false">(E108/1000)*(F108/1000)*(G108/1000)*7850</f>
        <v>281.344</v>
      </c>
      <c r="I108" s="10" t="n">
        <v>8</v>
      </c>
      <c r="J108" s="15" t="n">
        <f aca="false">H108*I108</f>
        <v>2250.752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="12" customFormat="true" ht="19.5" hidden="false" customHeight="true" outlineLevel="0" collapsed="false">
      <c r="A109" s="10"/>
      <c r="B109" s="10"/>
      <c r="C109" s="10" t="s">
        <v>156</v>
      </c>
      <c r="D109" s="10" t="s">
        <v>45</v>
      </c>
      <c r="E109" s="10" t="n">
        <v>16000</v>
      </c>
      <c r="F109" s="10" t="n">
        <v>220</v>
      </c>
      <c r="G109" s="10" t="n">
        <v>20</v>
      </c>
      <c r="H109" s="14" t="n">
        <f aca="false">(E109/1000)*(F109/1000)*(G109/1000)*7850</f>
        <v>552.64</v>
      </c>
      <c r="I109" s="10" t="n">
        <v>3</v>
      </c>
      <c r="J109" s="15" t="n">
        <f aca="false">H109*I109</f>
        <v>1657.92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="12" customFormat="true" ht="19.5" hidden="true" customHeight="true" outlineLevel="0" collapsed="false">
      <c r="A110" s="10"/>
      <c r="B110" s="10" t="s">
        <v>78</v>
      </c>
      <c r="C110" s="10"/>
      <c r="D110" s="10"/>
      <c r="E110" s="10"/>
      <c r="F110" s="10"/>
      <c r="G110" s="10"/>
      <c r="H110" s="14"/>
      <c r="I110" s="10"/>
      <c r="J110" s="15" t="n">
        <f aca="false">SUM(J85:J109)</f>
        <v>142224.026320976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="12" customFormat="true" ht="19.5" hidden="false" customHeight="true" outlineLevel="0" collapsed="false">
      <c r="A111" s="10" t="s">
        <v>157</v>
      </c>
      <c r="B111" s="10" t="s">
        <v>43</v>
      </c>
      <c r="C111" s="10" t="s">
        <v>158</v>
      </c>
      <c r="D111" s="10" t="s">
        <v>45</v>
      </c>
      <c r="E111" s="10" t="n">
        <v>11072.4</v>
      </c>
      <c r="F111" s="10" t="n">
        <v>600</v>
      </c>
      <c r="G111" s="10" t="n">
        <v>20</v>
      </c>
      <c r="H111" s="14" t="n">
        <f aca="false">(E111/1000)*(F111/1000)*(G111/1000)*7850</f>
        <v>1043.02008</v>
      </c>
      <c r="I111" s="10" t="n">
        <v>2</v>
      </c>
      <c r="J111" s="15" t="n">
        <f aca="false">H111*I111</f>
        <v>2086.04016</v>
      </c>
      <c r="K111" s="10"/>
      <c r="L111" s="10" t="str">
        <f aca="false">A111</f>
        <v>上层5#</v>
      </c>
      <c r="M111" s="16" t="n">
        <f aca="false">SUMIF(G111:G135,$M$3,J111:J135)</f>
        <v>1191.2351136</v>
      </c>
      <c r="N111" s="16" t="n">
        <f aca="false">SUMIF(G111:G135,$N$3,J111:J135)</f>
        <v>40682.8558528</v>
      </c>
      <c r="O111" s="16" t="n">
        <f aca="false">SUMIF(G111:G135,$O$3,J111:J135)</f>
        <v>25233.342763824</v>
      </c>
      <c r="P111" s="16" t="n">
        <f aca="false">SUMIF(G111:G135,$P$3,J111:J135)</f>
        <v>46164.26744</v>
      </c>
      <c r="Q111" s="16" t="n">
        <f aca="false">SUMIF(G111:G135,$Q$3,J111:J135)</f>
        <v>22396.992</v>
      </c>
      <c r="R111" s="16" t="n">
        <f aca="false">SUMIF(G111:G135,$R$3,J111:J135)</f>
        <v>0</v>
      </c>
      <c r="S111" s="16" t="n">
        <f aca="false">SUMIF(G111:G135,$S$3,J111:J135)</f>
        <v>6933.12</v>
      </c>
      <c r="T111" s="16" t="n">
        <f aca="false">SUM(M111:S136)</f>
        <v>142601.813170224</v>
      </c>
      <c r="U111" s="16" t="n">
        <v>142601.8</v>
      </c>
      <c r="V111" s="16" t="n">
        <f aca="false">T111-U111</f>
        <v>0.013170224003261</v>
      </c>
      <c r="W111" s="10"/>
    </row>
    <row r="112" s="12" customFormat="true" ht="19.5" hidden="false" customHeight="true" outlineLevel="0" collapsed="false">
      <c r="A112" s="10"/>
      <c r="B112" s="10"/>
      <c r="C112" s="10" t="s">
        <v>159</v>
      </c>
      <c r="D112" s="10" t="s">
        <v>45</v>
      </c>
      <c r="E112" s="10" t="n">
        <v>13962.2</v>
      </c>
      <c r="F112" s="10" t="n">
        <v>600</v>
      </c>
      <c r="G112" s="10" t="n">
        <v>20</v>
      </c>
      <c r="H112" s="14" t="n">
        <f aca="false">(E112/1000)*(F112/1000)*(G112/1000)*7850</f>
        <v>1315.23924</v>
      </c>
      <c r="I112" s="10" t="n">
        <v>2</v>
      </c>
      <c r="J112" s="15" t="n">
        <f aca="false">H112*I112</f>
        <v>2630.47848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="12" customFormat="true" ht="19.5" hidden="true" customHeight="true" outlineLevel="0" collapsed="false">
      <c r="A113" s="10"/>
      <c r="B113" s="10"/>
      <c r="C113" s="10" t="s">
        <v>160</v>
      </c>
      <c r="D113" s="10" t="s">
        <v>45</v>
      </c>
      <c r="E113" s="10" t="n">
        <v>16000</v>
      </c>
      <c r="F113" s="10" t="n">
        <v>600</v>
      </c>
      <c r="G113" s="10" t="n">
        <v>24</v>
      </c>
      <c r="H113" s="14" t="n">
        <f aca="false">(E113/1000)*(F113/1000)*(G113/1000)*7850</f>
        <v>1808.64</v>
      </c>
      <c r="I113" s="10" t="n">
        <v>8</v>
      </c>
      <c r="J113" s="15" t="n">
        <f aca="false">H113*I113</f>
        <v>14469.12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="12" customFormat="true" ht="19.5" hidden="true" customHeight="true" outlineLevel="0" collapsed="false">
      <c r="A114" s="10"/>
      <c r="B114" s="10"/>
      <c r="C114" s="10" t="s">
        <v>161</v>
      </c>
      <c r="D114" s="10" t="s">
        <v>45</v>
      </c>
      <c r="E114" s="10" t="n">
        <v>3700</v>
      </c>
      <c r="F114" s="10" t="n">
        <v>600</v>
      </c>
      <c r="G114" s="10" t="n">
        <v>40</v>
      </c>
      <c r="H114" s="14" t="n">
        <f aca="false">(E114/1000)*(F114/1000)*(G114/1000)*7850</f>
        <v>697.08</v>
      </c>
      <c r="I114" s="10" t="n">
        <v>2</v>
      </c>
      <c r="J114" s="15" t="n">
        <f aca="false">H114*I114</f>
        <v>1394.16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="12" customFormat="true" ht="19.5" hidden="true" customHeight="true" outlineLevel="0" collapsed="false">
      <c r="A115" s="10"/>
      <c r="B115" s="10"/>
      <c r="C115" s="10" t="s">
        <v>162</v>
      </c>
      <c r="D115" s="10" t="s">
        <v>45</v>
      </c>
      <c r="E115" s="10" t="n">
        <v>7200</v>
      </c>
      <c r="F115" s="10" t="n">
        <v>800</v>
      </c>
      <c r="G115" s="10" t="n">
        <v>40</v>
      </c>
      <c r="H115" s="14" t="n">
        <f aca="false">(E115/1000)*(F115/1000)*(G115/1000)*7850</f>
        <v>1808.64</v>
      </c>
      <c r="I115" s="10" t="n">
        <v>2</v>
      </c>
      <c r="J115" s="15" t="n">
        <f aca="false">H115*I115</f>
        <v>3617.28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="12" customFormat="true" ht="19.5" hidden="true" customHeight="true" outlineLevel="0" collapsed="false">
      <c r="A116" s="10"/>
      <c r="B116" s="10"/>
      <c r="C116" s="10" t="s">
        <v>163</v>
      </c>
      <c r="D116" s="10" t="s">
        <v>45</v>
      </c>
      <c r="E116" s="10" t="n">
        <v>5100</v>
      </c>
      <c r="F116" s="10" t="n">
        <v>600</v>
      </c>
      <c r="G116" s="10" t="n">
        <v>40</v>
      </c>
      <c r="H116" s="14" t="n">
        <f aca="false">(E116/1000)*(F116/1000)*(G116/1000)*7850</f>
        <v>960.84</v>
      </c>
      <c r="I116" s="10" t="n">
        <v>2</v>
      </c>
      <c r="J116" s="15" t="n">
        <f aca="false">H116*I116</f>
        <v>1921.68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="12" customFormat="true" ht="19.5" hidden="true" customHeight="true" outlineLevel="0" collapsed="false">
      <c r="A117" s="10"/>
      <c r="B117" s="10" t="s">
        <v>52</v>
      </c>
      <c r="C117" s="10" t="s">
        <v>164</v>
      </c>
      <c r="D117" s="10" t="s">
        <v>45</v>
      </c>
      <c r="E117" s="10" t="n">
        <v>11072.4</v>
      </c>
      <c r="F117" s="10" t="n">
        <v>2641.7</v>
      </c>
      <c r="G117" s="10" t="n">
        <v>16</v>
      </c>
      <c r="H117" s="14" t="n">
        <f aca="false">(E117/1000)*(F117/1000)*(G117/1000)*7850</f>
        <v>3673.794860448</v>
      </c>
      <c r="I117" s="10" t="n">
        <v>1</v>
      </c>
      <c r="J117" s="15" t="n">
        <f aca="false">H117*I117</f>
        <v>3673.794860448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="12" customFormat="true" ht="19.5" hidden="true" customHeight="true" outlineLevel="0" collapsed="false">
      <c r="A118" s="10"/>
      <c r="B118" s="10"/>
      <c r="C118" s="10" t="s">
        <v>165</v>
      </c>
      <c r="D118" s="10" t="s">
        <v>45</v>
      </c>
      <c r="E118" s="10" t="n">
        <v>11072.4</v>
      </c>
      <c r="F118" s="10" t="n">
        <v>2718.2</v>
      </c>
      <c r="G118" s="10" t="n">
        <v>16</v>
      </c>
      <c r="H118" s="14" t="n">
        <f aca="false">(E118/1000)*(F118/1000)*(G118/1000)*7850</f>
        <v>3780.182908608</v>
      </c>
      <c r="I118" s="10" t="n">
        <v>1</v>
      </c>
      <c r="J118" s="15" t="n">
        <f aca="false">H118*I118</f>
        <v>3780.182908608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="12" customFormat="true" ht="19.5" hidden="true" customHeight="true" outlineLevel="0" collapsed="false">
      <c r="A119" s="10"/>
      <c r="B119" s="10"/>
      <c r="C119" s="10" t="s">
        <v>166</v>
      </c>
      <c r="D119" s="10" t="s">
        <v>45</v>
      </c>
      <c r="E119" s="10" t="n">
        <v>13962.2</v>
      </c>
      <c r="F119" s="10" t="n">
        <v>2641.7</v>
      </c>
      <c r="G119" s="10" t="n">
        <v>16</v>
      </c>
      <c r="H119" s="14" t="n">
        <f aca="false">(E119/1000)*(F119/1000)*(G119/1000)*7850</f>
        <v>4632.623333744</v>
      </c>
      <c r="I119" s="10" t="n">
        <v>1</v>
      </c>
      <c r="J119" s="15" t="n">
        <f aca="false">H119*I119</f>
        <v>4632.623333744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20" s="12" customFormat="true" ht="19.5" hidden="true" customHeight="true" outlineLevel="0" collapsed="false">
      <c r="A120" s="10"/>
      <c r="B120" s="10"/>
      <c r="C120" s="10" t="s">
        <v>167</v>
      </c>
      <c r="D120" s="10" t="s">
        <v>45</v>
      </c>
      <c r="E120" s="10" t="n">
        <v>13962.2</v>
      </c>
      <c r="F120" s="10" t="n">
        <v>2718.2</v>
      </c>
      <c r="G120" s="10" t="n">
        <v>16</v>
      </c>
      <c r="H120" s="14" t="n">
        <f aca="false">(E120/1000)*(F120/1000)*(G120/1000)*7850</f>
        <v>4766.777736224</v>
      </c>
      <c r="I120" s="10" t="n">
        <v>1</v>
      </c>
      <c r="J120" s="15" t="n">
        <f aca="false">H120*I120</f>
        <v>4766.777736224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</row>
    <row r="121" s="12" customFormat="true" ht="19.5" hidden="true" customHeight="true" outlineLevel="0" collapsed="false">
      <c r="A121" s="10"/>
      <c r="B121" s="10"/>
      <c r="C121" s="10" t="s">
        <v>168</v>
      </c>
      <c r="D121" s="10" t="s">
        <v>45</v>
      </c>
      <c r="E121" s="10" t="n">
        <v>16000</v>
      </c>
      <c r="F121" s="10" t="n">
        <v>2637.7</v>
      </c>
      <c r="G121" s="10" t="n">
        <v>14</v>
      </c>
      <c r="H121" s="14" t="n">
        <f aca="false">(E121/1000)*(F121/1000)*(G121/1000)*7850</f>
        <v>4638.13168</v>
      </c>
      <c r="I121" s="10" t="n">
        <v>4</v>
      </c>
      <c r="J121" s="15" t="n">
        <f aca="false">H121*I121</f>
        <v>18552.52672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</row>
    <row r="122" s="12" customFormat="true" ht="19.5" hidden="true" customHeight="true" outlineLevel="0" collapsed="false">
      <c r="A122" s="10"/>
      <c r="B122" s="10"/>
      <c r="C122" s="10" t="s">
        <v>169</v>
      </c>
      <c r="D122" s="10" t="s">
        <v>45</v>
      </c>
      <c r="E122" s="10" t="n">
        <v>16000</v>
      </c>
      <c r="F122" s="10" t="n">
        <v>2714.2</v>
      </c>
      <c r="G122" s="10" t="n">
        <v>14</v>
      </c>
      <c r="H122" s="14" t="n">
        <f aca="false">(E122/1000)*(F122/1000)*(G122/1000)*7850</f>
        <v>4772.64928</v>
      </c>
      <c r="I122" s="10" t="n">
        <v>4</v>
      </c>
      <c r="J122" s="15" t="n">
        <f aca="false">H122*I122</f>
        <v>19090.59712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</row>
    <row r="123" s="12" customFormat="true" ht="19.5" hidden="false" customHeight="true" outlineLevel="0" collapsed="false">
      <c r="A123" s="10"/>
      <c r="B123" s="10"/>
      <c r="C123" s="10" t="s">
        <v>170</v>
      </c>
      <c r="D123" s="10" t="s">
        <v>45</v>
      </c>
      <c r="E123" s="10" t="n">
        <v>16000</v>
      </c>
      <c r="F123" s="10" t="n">
        <v>2621.7</v>
      </c>
      <c r="G123" s="10" t="n">
        <v>20</v>
      </c>
      <c r="H123" s="14" t="n">
        <f aca="false">(E123/1000)*(F123/1000)*(G123/1000)*7850</f>
        <v>6585.7104</v>
      </c>
      <c r="I123" s="10" t="n">
        <v>1</v>
      </c>
      <c r="J123" s="15" t="n">
        <f aca="false">H123*I123</f>
        <v>6585.7104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</row>
    <row r="124" s="12" customFormat="true" ht="19.5" hidden="false" customHeight="true" outlineLevel="0" collapsed="false">
      <c r="A124" s="10"/>
      <c r="B124" s="10"/>
      <c r="C124" s="10" t="s">
        <v>171</v>
      </c>
      <c r="D124" s="10" t="s">
        <v>45</v>
      </c>
      <c r="E124" s="10" t="n">
        <v>16000</v>
      </c>
      <c r="F124" s="10" t="n">
        <v>2698.2</v>
      </c>
      <c r="G124" s="10" t="n">
        <v>20</v>
      </c>
      <c r="H124" s="14" t="n">
        <f aca="false">(E124/1000)*(F124/1000)*(G124/1000)*7850</f>
        <v>6777.8784</v>
      </c>
      <c r="I124" s="10" t="n">
        <v>1</v>
      </c>
      <c r="J124" s="15" t="n">
        <f aca="false">H124*I124</f>
        <v>6777.8784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</row>
    <row r="125" s="12" customFormat="true" ht="19.5" hidden="true" customHeight="true" outlineLevel="0" collapsed="false">
      <c r="A125" s="10"/>
      <c r="B125" s="10" t="s">
        <v>63</v>
      </c>
      <c r="C125" s="10" t="s">
        <v>172</v>
      </c>
      <c r="D125" s="10" t="s">
        <v>45</v>
      </c>
      <c r="E125" s="10" t="n">
        <v>10322.4</v>
      </c>
      <c r="F125" s="10" t="n">
        <v>2630</v>
      </c>
      <c r="G125" s="10" t="n">
        <v>16</v>
      </c>
      <c r="H125" s="14" t="n">
        <f aca="false">(E125/1000)*(F125/1000)*(G125/1000)*7850</f>
        <v>3409.7777472</v>
      </c>
      <c r="I125" s="10" t="n">
        <v>1</v>
      </c>
      <c r="J125" s="15" t="n">
        <f aca="false">H125*I125</f>
        <v>3409.7777472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</row>
    <row r="126" s="12" customFormat="true" ht="19.5" hidden="true" customHeight="true" outlineLevel="0" collapsed="false">
      <c r="A126" s="10"/>
      <c r="B126" s="10"/>
      <c r="C126" s="10" t="s">
        <v>173</v>
      </c>
      <c r="D126" s="10" t="s">
        <v>45</v>
      </c>
      <c r="E126" s="10" t="n">
        <v>13212.2</v>
      </c>
      <c r="F126" s="10" t="n">
        <v>2630</v>
      </c>
      <c r="G126" s="10" t="n">
        <v>16</v>
      </c>
      <c r="H126" s="14" t="n">
        <f aca="false">(E126/1000)*(F126/1000)*(G126/1000)*7850</f>
        <v>4364.3596016</v>
      </c>
      <c r="I126" s="10" t="n">
        <v>1</v>
      </c>
      <c r="J126" s="15" t="n">
        <f aca="false">H126*I126</f>
        <v>4364.3596016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</row>
    <row r="127" s="12" customFormat="true" ht="19.5" hidden="false" customHeight="true" outlineLevel="0" collapsed="false">
      <c r="A127" s="10"/>
      <c r="B127" s="10"/>
      <c r="C127" s="10" t="s">
        <v>174</v>
      </c>
      <c r="D127" s="10" t="s">
        <v>45</v>
      </c>
      <c r="E127" s="10" t="n">
        <v>16000</v>
      </c>
      <c r="F127" s="10" t="n">
        <v>2630</v>
      </c>
      <c r="G127" s="10" t="n">
        <v>20</v>
      </c>
      <c r="H127" s="14" t="n">
        <f aca="false">(E127/1000)*(F127/1000)*(G127/1000)*7850</f>
        <v>6606.56</v>
      </c>
      <c r="I127" s="10" t="n">
        <v>4</v>
      </c>
      <c r="J127" s="15" t="n">
        <f aca="false">H127*I127</f>
        <v>26426.24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</row>
    <row r="128" s="12" customFormat="true" ht="19.5" hidden="true" customHeight="true" outlineLevel="0" collapsed="false">
      <c r="A128" s="10"/>
      <c r="B128" s="10"/>
      <c r="C128" s="10" t="s">
        <v>175</v>
      </c>
      <c r="D128" s="10" t="s">
        <v>45</v>
      </c>
      <c r="E128" s="10" t="n">
        <v>16000</v>
      </c>
      <c r="F128" s="10" t="n">
        <v>2630</v>
      </c>
      <c r="G128" s="10" t="n">
        <v>24</v>
      </c>
      <c r="H128" s="14" t="n">
        <f aca="false">(E128/1000)*(F128/1000)*(G128/1000)*7850</f>
        <v>7927.872</v>
      </c>
      <c r="I128" s="10" t="n">
        <v>1</v>
      </c>
      <c r="J128" s="15" t="n">
        <f aca="false">H128*I128</f>
        <v>7927.872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</row>
    <row r="129" s="12" customFormat="true" ht="19.5" hidden="true" customHeight="true" outlineLevel="0" collapsed="false">
      <c r="A129" s="10"/>
      <c r="B129" s="10" t="s">
        <v>68</v>
      </c>
      <c r="C129" s="10" t="s">
        <v>176</v>
      </c>
      <c r="D129" s="10" t="s">
        <v>45</v>
      </c>
      <c r="E129" s="17" t="n">
        <v>19213.8</v>
      </c>
      <c r="F129" s="10" t="n">
        <v>140</v>
      </c>
      <c r="G129" s="10" t="n">
        <v>12</v>
      </c>
      <c r="H129" s="14" t="n">
        <f aca="false">(E129/1000)*(F129/1000)*(G129/1000)*7850</f>
        <v>253.3915944</v>
      </c>
      <c r="I129" s="10" t="n">
        <v>1</v>
      </c>
      <c r="J129" s="15" t="n">
        <f aca="false">H129*I129</f>
        <v>253.3915944</v>
      </c>
      <c r="K129" s="18" t="s">
        <v>70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</row>
    <row r="130" s="12" customFormat="true" ht="19.5" hidden="true" customHeight="true" outlineLevel="0" collapsed="false">
      <c r="A130" s="10"/>
      <c r="B130" s="10"/>
      <c r="C130" s="10" t="s">
        <v>177</v>
      </c>
      <c r="D130" s="10" t="s">
        <v>45</v>
      </c>
      <c r="E130" s="17" t="n">
        <v>71113.4</v>
      </c>
      <c r="F130" s="10" t="n">
        <v>140</v>
      </c>
      <c r="G130" s="10" t="n">
        <v>12</v>
      </c>
      <c r="H130" s="14" t="n">
        <f aca="false">(E130/1000)*(F130/1000)*(G130/1000)*7850</f>
        <v>937.8435192</v>
      </c>
      <c r="I130" s="10" t="n">
        <v>1</v>
      </c>
      <c r="J130" s="15" t="n">
        <f aca="false">H130*I130</f>
        <v>937.8435192</v>
      </c>
      <c r="K130" s="18" t="s">
        <v>70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</row>
    <row r="131" s="12" customFormat="true" ht="19.5" hidden="true" customHeight="true" outlineLevel="0" collapsed="false">
      <c r="A131" s="10"/>
      <c r="B131" s="10"/>
      <c r="C131" s="10" t="s">
        <v>178</v>
      </c>
      <c r="D131" s="10" t="s">
        <v>45</v>
      </c>
      <c r="E131" s="17" t="n">
        <v>26797</v>
      </c>
      <c r="F131" s="10" t="n">
        <v>180</v>
      </c>
      <c r="G131" s="10" t="n">
        <v>16</v>
      </c>
      <c r="H131" s="14" t="n">
        <f aca="false">(E131/1000)*(F131/1000)*(G131/1000)*7850</f>
        <v>605.826576</v>
      </c>
      <c r="I131" s="10" t="n">
        <v>1</v>
      </c>
      <c r="J131" s="15" t="n">
        <f aca="false">H131*I131</f>
        <v>605.826576</v>
      </c>
      <c r="K131" s="18" t="s">
        <v>70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</row>
    <row r="132" s="12" customFormat="true" ht="19.5" hidden="true" customHeight="true" outlineLevel="0" collapsed="false">
      <c r="A132" s="10"/>
      <c r="B132" s="10" t="s">
        <v>73</v>
      </c>
      <c r="C132" s="10" t="s">
        <v>179</v>
      </c>
      <c r="D132" s="10" t="s">
        <v>45</v>
      </c>
      <c r="E132" s="10" t="n">
        <v>9772.4</v>
      </c>
      <c r="F132" s="10" t="n">
        <v>160</v>
      </c>
      <c r="G132" s="10" t="n">
        <v>14</v>
      </c>
      <c r="H132" s="14" t="n">
        <f aca="false">(E132/1000)*(F132/1000)*(G132/1000)*7850</f>
        <v>171.8378816</v>
      </c>
      <c r="I132" s="10" t="n">
        <v>2</v>
      </c>
      <c r="J132" s="15" t="n">
        <f aca="false">H132*I132</f>
        <v>343.6757632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</row>
    <row r="133" s="12" customFormat="true" ht="19.5" hidden="true" customHeight="true" outlineLevel="0" collapsed="false">
      <c r="A133" s="10"/>
      <c r="B133" s="10"/>
      <c r="C133" s="10" t="s">
        <v>180</v>
      </c>
      <c r="D133" s="10" t="s">
        <v>45</v>
      </c>
      <c r="E133" s="10" t="n">
        <v>12662.2</v>
      </c>
      <c r="F133" s="10" t="n">
        <v>160</v>
      </c>
      <c r="G133" s="10" t="n">
        <v>14</v>
      </c>
      <c r="H133" s="14" t="n">
        <f aca="false">(E133/1000)*(F133/1000)*(G133/1000)*7850</f>
        <v>222.6521248</v>
      </c>
      <c r="I133" s="10" t="n">
        <v>2</v>
      </c>
      <c r="J133" s="15" t="n">
        <f aca="false">H133*I133</f>
        <v>445.3042496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</row>
    <row r="134" s="12" customFormat="true" ht="19.5" hidden="true" customHeight="true" outlineLevel="0" collapsed="false">
      <c r="A134" s="10"/>
      <c r="B134" s="10"/>
      <c r="C134" s="10" t="s">
        <v>181</v>
      </c>
      <c r="D134" s="10" t="s">
        <v>45</v>
      </c>
      <c r="E134" s="10" t="n">
        <v>16000</v>
      </c>
      <c r="F134" s="10" t="n">
        <v>160</v>
      </c>
      <c r="G134" s="10" t="n">
        <v>14</v>
      </c>
      <c r="H134" s="14" t="n">
        <f aca="false">(E134/1000)*(F134/1000)*(G134/1000)*7850</f>
        <v>281.344</v>
      </c>
      <c r="I134" s="10" t="n">
        <v>8</v>
      </c>
      <c r="J134" s="15" t="n">
        <f aca="false">H134*I134</f>
        <v>2250.752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</row>
    <row r="135" s="12" customFormat="true" ht="19.5" hidden="false" customHeight="true" outlineLevel="0" collapsed="false">
      <c r="A135" s="10"/>
      <c r="B135" s="10"/>
      <c r="C135" s="10" t="s">
        <v>182</v>
      </c>
      <c r="D135" s="10" t="s">
        <v>45</v>
      </c>
      <c r="E135" s="10" t="n">
        <v>16000</v>
      </c>
      <c r="F135" s="10" t="n">
        <v>220</v>
      </c>
      <c r="G135" s="10" t="n">
        <v>20</v>
      </c>
      <c r="H135" s="14" t="n">
        <f aca="false">(E135/1000)*(F135/1000)*(G135/1000)*7850</f>
        <v>552.64</v>
      </c>
      <c r="I135" s="10" t="n">
        <v>3</v>
      </c>
      <c r="J135" s="15" t="n">
        <f aca="false">H135*I135</f>
        <v>1657.92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</row>
    <row r="136" s="12" customFormat="true" ht="19.5" hidden="true" customHeight="true" outlineLevel="0" collapsed="false">
      <c r="A136" s="10"/>
      <c r="B136" s="10" t="s">
        <v>78</v>
      </c>
      <c r="C136" s="10"/>
      <c r="D136" s="10"/>
      <c r="E136" s="10"/>
      <c r="F136" s="10"/>
      <c r="G136" s="10"/>
      <c r="H136" s="14"/>
      <c r="I136" s="10"/>
      <c r="J136" s="15" t="n">
        <f aca="false">SUM(J111:J135)</f>
        <v>142601.813170224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</row>
    <row r="137" s="12" customFormat="true" ht="19.5" hidden="false" customHeight="true" outlineLevel="0" collapsed="false">
      <c r="A137" s="10" t="s">
        <v>183</v>
      </c>
      <c r="B137" s="10" t="s">
        <v>43</v>
      </c>
      <c r="C137" s="10" t="s">
        <v>184</v>
      </c>
      <c r="D137" s="10" t="s">
        <v>45</v>
      </c>
      <c r="E137" s="10" t="n">
        <v>6860.1</v>
      </c>
      <c r="F137" s="10" t="n">
        <v>600</v>
      </c>
      <c r="G137" s="10" t="n">
        <v>20</v>
      </c>
      <c r="H137" s="14" t="n">
        <f aca="false">(E137/1000)*(F137/1000)*(G137/1000)*7850</f>
        <v>646.22142</v>
      </c>
      <c r="I137" s="10" t="n">
        <v>2</v>
      </c>
      <c r="J137" s="15" t="n">
        <f aca="false">H137*I137</f>
        <v>1292.44284</v>
      </c>
      <c r="K137" s="10"/>
      <c r="L137" s="10" t="str">
        <f aca="false">A137</f>
        <v>上层6#</v>
      </c>
      <c r="M137" s="16" t="n">
        <f aca="false">SUMIF(G137:G161,$M$3,J137:J161)</f>
        <v>1208.8265868</v>
      </c>
      <c r="N137" s="16" t="n">
        <f aca="false">SUMIF(G137:G161,$N$3,J137:J161)</f>
        <v>40693.42032</v>
      </c>
      <c r="O137" s="16" t="n">
        <f aca="false">SUMIF(G137:G161,$O$3,J137:J161)</f>
        <v>25495.3164756</v>
      </c>
      <c r="P137" s="16" t="n">
        <f aca="false">SUMIF(G137:G161,$P$3,J137:J161)</f>
        <v>46220.8628</v>
      </c>
      <c r="Q137" s="16" t="n">
        <f aca="false">SUMIF(G137:G161,$Q$3,J137:J161)</f>
        <v>22396.992</v>
      </c>
      <c r="R137" s="16" t="n">
        <f aca="false">SUMIF(G137:G161,$R$3,J137:J161)</f>
        <v>0</v>
      </c>
      <c r="S137" s="16" t="n">
        <f aca="false">SUMIF(G137:G161,$S$3,J137:J161)</f>
        <v>6933.12</v>
      </c>
      <c r="T137" s="16" t="n">
        <f aca="false">SUM(M137:S162)</f>
        <v>142948.5381824</v>
      </c>
      <c r="U137" s="16" t="n">
        <v>142948.6</v>
      </c>
      <c r="V137" s="16" t="n">
        <f aca="false">T137-U137</f>
        <v>-0.0618176000134554</v>
      </c>
      <c r="W137" s="10"/>
    </row>
    <row r="138" s="12" customFormat="true" ht="19.5" hidden="false" customHeight="true" outlineLevel="0" collapsed="false">
      <c r="A138" s="10"/>
      <c r="B138" s="10"/>
      <c r="C138" s="10" t="s">
        <v>185</v>
      </c>
      <c r="D138" s="10" t="s">
        <v>45</v>
      </c>
      <c r="E138" s="10" t="n">
        <v>18474.9</v>
      </c>
      <c r="F138" s="10" t="n">
        <v>600</v>
      </c>
      <c r="G138" s="10" t="n">
        <v>20</v>
      </c>
      <c r="H138" s="14" t="n">
        <f aca="false">(E138/1000)*(F138/1000)*(G138/1000)*7850</f>
        <v>1740.33558</v>
      </c>
      <c r="I138" s="10" t="n">
        <v>2</v>
      </c>
      <c r="J138" s="15" t="n">
        <f aca="false">H138*I138</f>
        <v>3480.67116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</row>
    <row r="139" s="12" customFormat="true" ht="19.5" hidden="true" customHeight="true" outlineLevel="0" collapsed="false">
      <c r="A139" s="10"/>
      <c r="B139" s="10"/>
      <c r="C139" s="10" t="s">
        <v>186</v>
      </c>
      <c r="D139" s="10" t="s">
        <v>45</v>
      </c>
      <c r="E139" s="10" t="n">
        <v>16000</v>
      </c>
      <c r="F139" s="10" t="n">
        <v>600</v>
      </c>
      <c r="G139" s="10" t="n">
        <v>24</v>
      </c>
      <c r="H139" s="14" t="n">
        <f aca="false">(E139/1000)*(F139/1000)*(G139/1000)*7850</f>
        <v>1808.64</v>
      </c>
      <c r="I139" s="10" t="n">
        <v>8</v>
      </c>
      <c r="J139" s="15" t="n">
        <f aca="false">H139*I139</f>
        <v>14469.12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</row>
    <row r="140" s="12" customFormat="true" ht="19.5" hidden="true" customHeight="true" outlineLevel="0" collapsed="false">
      <c r="A140" s="10"/>
      <c r="B140" s="10"/>
      <c r="C140" s="10" t="s">
        <v>187</v>
      </c>
      <c r="D140" s="10" t="s">
        <v>45</v>
      </c>
      <c r="E140" s="10" t="n">
        <v>3900</v>
      </c>
      <c r="F140" s="10" t="n">
        <v>600</v>
      </c>
      <c r="G140" s="10" t="n">
        <v>40</v>
      </c>
      <c r="H140" s="14" t="n">
        <f aca="false">(E140/1000)*(F140/1000)*(G140/1000)*7850</f>
        <v>734.76</v>
      </c>
      <c r="I140" s="10" t="n">
        <v>2</v>
      </c>
      <c r="J140" s="15" t="n">
        <f aca="false">H140*I140</f>
        <v>1469.52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</row>
    <row r="141" s="12" customFormat="true" ht="19.5" hidden="true" customHeight="true" outlineLevel="0" collapsed="false">
      <c r="A141" s="10"/>
      <c r="B141" s="10"/>
      <c r="C141" s="10" t="s">
        <v>188</v>
      </c>
      <c r="D141" s="10" t="s">
        <v>45</v>
      </c>
      <c r="E141" s="10" t="n">
        <v>7200</v>
      </c>
      <c r="F141" s="10" t="n">
        <v>800</v>
      </c>
      <c r="G141" s="10" t="n">
        <v>40</v>
      </c>
      <c r="H141" s="14" t="n">
        <f aca="false">(E141/1000)*(F141/1000)*(G141/1000)*7850</f>
        <v>1808.64</v>
      </c>
      <c r="I141" s="10" t="n">
        <v>2</v>
      </c>
      <c r="J141" s="15" t="n">
        <f aca="false">H141*I141</f>
        <v>3617.28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</row>
    <row r="142" s="12" customFormat="true" ht="19.5" hidden="true" customHeight="true" outlineLevel="0" collapsed="false">
      <c r="A142" s="10"/>
      <c r="B142" s="10"/>
      <c r="C142" s="10" t="s">
        <v>189</v>
      </c>
      <c r="D142" s="10" t="s">
        <v>45</v>
      </c>
      <c r="E142" s="10" t="n">
        <v>4900</v>
      </c>
      <c r="F142" s="10" t="n">
        <v>600</v>
      </c>
      <c r="G142" s="10" t="n">
        <v>40</v>
      </c>
      <c r="H142" s="14" t="n">
        <f aca="false">(E142/1000)*(F142/1000)*(G142/1000)*7850</f>
        <v>923.16</v>
      </c>
      <c r="I142" s="10" t="n">
        <v>2</v>
      </c>
      <c r="J142" s="15" t="n">
        <f aca="false">H142*I142</f>
        <v>1846.32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</row>
    <row r="143" s="12" customFormat="true" ht="19.5" hidden="true" customHeight="true" outlineLevel="0" collapsed="false">
      <c r="A143" s="10"/>
      <c r="B143" s="10" t="s">
        <v>52</v>
      </c>
      <c r="C143" s="10" t="s">
        <v>190</v>
      </c>
      <c r="D143" s="10" t="s">
        <v>45</v>
      </c>
      <c r="E143" s="10" t="n">
        <v>6860.1</v>
      </c>
      <c r="F143" s="10" t="n">
        <v>2641.7</v>
      </c>
      <c r="G143" s="10" t="n">
        <v>16</v>
      </c>
      <c r="H143" s="14" t="n">
        <f aca="false">(E143/1000)*(F143/1000)*(G143/1000)*7850</f>
        <v>2276.164166952</v>
      </c>
      <c r="I143" s="10" t="n">
        <v>1</v>
      </c>
      <c r="J143" s="15" t="n">
        <f aca="false">H143*I143</f>
        <v>2276.164166952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</row>
    <row r="144" s="12" customFormat="true" ht="19.5" hidden="true" customHeight="true" outlineLevel="0" collapsed="false">
      <c r="A144" s="10"/>
      <c r="B144" s="10"/>
      <c r="C144" s="10" t="s">
        <v>191</v>
      </c>
      <c r="D144" s="10" t="s">
        <v>45</v>
      </c>
      <c r="E144" s="10" t="n">
        <v>6860.1</v>
      </c>
      <c r="F144" s="10" t="n">
        <v>2718.2</v>
      </c>
      <c r="G144" s="10" t="n">
        <v>16</v>
      </c>
      <c r="H144" s="14" t="n">
        <f aca="false">(E144/1000)*(F144/1000)*(G144/1000)*7850</f>
        <v>2342.078751792</v>
      </c>
      <c r="I144" s="10" t="n">
        <v>1</v>
      </c>
      <c r="J144" s="15" t="n">
        <f aca="false">H144*I144</f>
        <v>2342.078751792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</row>
    <row r="145" s="12" customFormat="true" ht="19.5" hidden="true" customHeight="true" outlineLevel="0" collapsed="false">
      <c r="A145" s="10"/>
      <c r="B145" s="10"/>
      <c r="C145" s="10" t="s">
        <v>192</v>
      </c>
      <c r="D145" s="10" t="s">
        <v>45</v>
      </c>
      <c r="E145" s="10" t="n">
        <v>18474.9</v>
      </c>
      <c r="F145" s="10" t="n">
        <v>2641.7</v>
      </c>
      <c r="G145" s="10" t="n">
        <v>16</v>
      </c>
      <c r="H145" s="14" t="n">
        <f aca="false">(E145/1000)*(F145/1000)*(G145/1000)*7850</f>
        <v>6129.926002248</v>
      </c>
      <c r="I145" s="10" t="n">
        <v>1</v>
      </c>
      <c r="J145" s="15" t="n">
        <f aca="false">H145*I145</f>
        <v>6129.926002248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</row>
    <row r="146" s="12" customFormat="true" ht="19.5" hidden="true" customHeight="true" outlineLevel="0" collapsed="false">
      <c r="A146" s="10"/>
      <c r="B146" s="10"/>
      <c r="C146" s="10" t="s">
        <v>193</v>
      </c>
      <c r="D146" s="10" t="s">
        <v>45</v>
      </c>
      <c r="E146" s="10" t="n">
        <v>18474.9</v>
      </c>
      <c r="F146" s="10" t="n">
        <v>2718.2</v>
      </c>
      <c r="G146" s="10" t="n">
        <v>16</v>
      </c>
      <c r="H146" s="14" t="n">
        <f aca="false">(E146/1000)*(F146/1000)*(G146/1000)*7850</f>
        <v>6307.440231408</v>
      </c>
      <c r="I146" s="10" t="n">
        <v>1</v>
      </c>
      <c r="J146" s="15" t="n">
        <f aca="false">H146*I146</f>
        <v>6307.440231408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</row>
    <row r="147" s="12" customFormat="true" ht="19.5" hidden="true" customHeight="true" outlineLevel="0" collapsed="false">
      <c r="A147" s="10"/>
      <c r="B147" s="10"/>
      <c r="C147" s="10" t="s">
        <v>194</v>
      </c>
      <c r="D147" s="10" t="s">
        <v>45</v>
      </c>
      <c r="E147" s="10" t="n">
        <v>16000</v>
      </c>
      <c r="F147" s="10" t="n">
        <v>2637.7</v>
      </c>
      <c r="G147" s="10" t="n">
        <v>14</v>
      </c>
      <c r="H147" s="14" t="n">
        <f aca="false">(E147/1000)*(F147/1000)*(G147/1000)*7850</f>
        <v>4638.13168</v>
      </c>
      <c r="I147" s="10" t="n">
        <v>4</v>
      </c>
      <c r="J147" s="15" t="n">
        <f aca="false">H147*I147</f>
        <v>18552.52672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</row>
    <row r="148" s="12" customFormat="true" ht="19.5" hidden="true" customHeight="true" outlineLevel="0" collapsed="false">
      <c r="A148" s="10"/>
      <c r="B148" s="10"/>
      <c r="C148" s="10" t="s">
        <v>195</v>
      </c>
      <c r="D148" s="10" t="s">
        <v>45</v>
      </c>
      <c r="E148" s="10" t="n">
        <v>16000</v>
      </c>
      <c r="F148" s="10" t="n">
        <v>2714.2</v>
      </c>
      <c r="G148" s="10" t="n">
        <v>14</v>
      </c>
      <c r="H148" s="14" t="n">
        <f aca="false">(E148/1000)*(F148/1000)*(G148/1000)*7850</f>
        <v>4772.64928</v>
      </c>
      <c r="I148" s="10" t="n">
        <v>4</v>
      </c>
      <c r="J148" s="15" t="n">
        <f aca="false">H148*I148</f>
        <v>19090.59712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</row>
    <row r="149" s="12" customFormat="true" ht="19.5" hidden="false" customHeight="true" outlineLevel="0" collapsed="false">
      <c r="A149" s="10"/>
      <c r="B149" s="10"/>
      <c r="C149" s="10" t="s">
        <v>196</v>
      </c>
      <c r="D149" s="10" t="s">
        <v>45</v>
      </c>
      <c r="E149" s="10" t="n">
        <v>16000</v>
      </c>
      <c r="F149" s="10" t="n">
        <v>2621.7</v>
      </c>
      <c r="G149" s="10" t="n">
        <v>20</v>
      </c>
      <c r="H149" s="14" t="n">
        <f aca="false">(E149/1000)*(F149/1000)*(G149/1000)*7850</f>
        <v>6585.7104</v>
      </c>
      <c r="I149" s="10" t="n">
        <v>1</v>
      </c>
      <c r="J149" s="15" t="n">
        <f aca="false">H149*I149</f>
        <v>6585.7104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</row>
    <row r="150" s="12" customFormat="true" ht="19.5" hidden="false" customHeight="true" outlineLevel="0" collapsed="false">
      <c r="A150" s="10"/>
      <c r="B150" s="10"/>
      <c r="C150" s="10" t="s">
        <v>197</v>
      </c>
      <c r="D150" s="10" t="s">
        <v>45</v>
      </c>
      <c r="E150" s="10" t="n">
        <v>16000</v>
      </c>
      <c r="F150" s="10" t="n">
        <v>2698.2</v>
      </c>
      <c r="G150" s="10" t="n">
        <v>20</v>
      </c>
      <c r="H150" s="14" t="n">
        <f aca="false">(E150/1000)*(F150/1000)*(G150/1000)*7850</f>
        <v>6777.8784</v>
      </c>
      <c r="I150" s="10" t="n">
        <v>1</v>
      </c>
      <c r="J150" s="15" t="n">
        <f aca="false">H150*I150</f>
        <v>6777.8784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</row>
    <row r="151" s="12" customFormat="true" ht="19.5" hidden="true" customHeight="true" outlineLevel="0" collapsed="false">
      <c r="A151" s="10"/>
      <c r="B151" s="10" t="s">
        <v>63</v>
      </c>
      <c r="C151" s="10" t="s">
        <v>198</v>
      </c>
      <c r="D151" s="10" t="s">
        <v>45</v>
      </c>
      <c r="E151" s="10" t="n">
        <v>6110.1</v>
      </c>
      <c r="F151" s="10" t="n">
        <v>2630</v>
      </c>
      <c r="G151" s="10" t="n">
        <v>16</v>
      </c>
      <c r="H151" s="14" t="n">
        <f aca="false">(E151/1000)*(F151/1000)*(G151/1000)*7850</f>
        <v>2018.3371128</v>
      </c>
      <c r="I151" s="10" t="n">
        <v>1</v>
      </c>
      <c r="J151" s="15" t="n">
        <f aca="false">H151*I151</f>
        <v>2018.3371128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</row>
    <row r="152" s="12" customFormat="true" ht="19.5" hidden="true" customHeight="true" outlineLevel="0" collapsed="false">
      <c r="A152" s="10"/>
      <c r="B152" s="10"/>
      <c r="C152" s="10" t="s">
        <v>199</v>
      </c>
      <c r="D152" s="10" t="s">
        <v>45</v>
      </c>
      <c r="E152" s="10" t="n">
        <v>17724.9</v>
      </c>
      <c r="F152" s="10" t="n">
        <v>2630</v>
      </c>
      <c r="G152" s="10" t="n">
        <v>16</v>
      </c>
      <c r="H152" s="14" t="n">
        <f aca="false">(E152/1000)*(F152/1000)*(G152/1000)*7850</f>
        <v>5855.0307672</v>
      </c>
      <c r="I152" s="10" t="n">
        <v>1</v>
      </c>
      <c r="J152" s="15" t="n">
        <f aca="false">H152*I152</f>
        <v>5855.0307672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</row>
    <row r="153" s="12" customFormat="true" ht="19.5" hidden="false" customHeight="true" outlineLevel="0" collapsed="false">
      <c r="A153" s="10"/>
      <c r="B153" s="10"/>
      <c r="C153" s="10" t="s">
        <v>200</v>
      </c>
      <c r="D153" s="10" t="s">
        <v>45</v>
      </c>
      <c r="E153" s="10" t="n">
        <v>16000</v>
      </c>
      <c r="F153" s="10" t="n">
        <v>2630</v>
      </c>
      <c r="G153" s="10" t="n">
        <v>20</v>
      </c>
      <c r="H153" s="14" t="n">
        <f aca="false">(E153/1000)*(F153/1000)*(G153/1000)*7850</f>
        <v>6606.56</v>
      </c>
      <c r="I153" s="10" t="n">
        <v>4</v>
      </c>
      <c r="J153" s="15" t="n">
        <f aca="false">H153*I153</f>
        <v>26426.24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</row>
    <row r="154" s="12" customFormat="true" ht="19.5" hidden="true" customHeight="true" outlineLevel="0" collapsed="false">
      <c r="A154" s="10"/>
      <c r="B154" s="10"/>
      <c r="C154" s="10" t="s">
        <v>201</v>
      </c>
      <c r="D154" s="10" t="s">
        <v>45</v>
      </c>
      <c r="E154" s="10" t="n">
        <v>16000</v>
      </c>
      <c r="F154" s="10" t="n">
        <v>2630</v>
      </c>
      <c r="G154" s="10" t="n">
        <v>24</v>
      </c>
      <c r="H154" s="14" t="n">
        <f aca="false">(E154/1000)*(F154/1000)*(G154/1000)*7850</f>
        <v>7927.872</v>
      </c>
      <c r="I154" s="10" t="n">
        <v>1</v>
      </c>
      <c r="J154" s="15" t="n">
        <f aca="false">H154*I154</f>
        <v>7927.872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</row>
    <row r="155" s="12" customFormat="true" ht="19.5" hidden="true" customHeight="true" outlineLevel="0" collapsed="false">
      <c r="A155" s="10"/>
      <c r="B155" s="10" t="s">
        <v>68</v>
      </c>
      <c r="C155" s="10" t="s">
        <v>202</v>
      </c>
      <c r="D155" s="10" t="s">
        <v>45</v>
      </c>
      <c r="E155" s="17" t="n">
        <v>21093.1</v>
      </c>
      <c r="F155" s="10" t="n">
        <v>140</v>
      </c>
      <c r="G155" s="10" t="n">
        <v>12</v>
      </c>
      <c r="H155" s="14" t="n">
        <f aca="false">(E155/1000)*(F155/1000)*(G155/1000)*7850</f>
        <v>278.1758028</v>
      </c>
      <c r="I155" s="10" t="n">
        <v>1</v>
      </c>
      <c r="J155" s="15" t="n">
        <f aca="false">H155*I155</f>
        <v>278.1758028</v>
      </c>
      <c r="K155" s="18" t="s">
        <v>70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</row>
    <row r="156" s="12" customFormat="true" ht="19.5" hidden="true" customHeight="true" outlineLevel="0" collapsed="false">
      <c r="A156" s="10"/>
      <c r="B156" s="10"/>
      <c r="C156" s="10" t="s">
        <v>203</v>
      </c>
      <c r="D156" s="10" t="s">
        <v>45</v>
      </c>
      <c r="E156" s="17" t="n">
        <v>70568</v>
      </c>
      <c r="F156" s="10" t="n">
        <v>140</v>
      </c>
      <c r="G156" s="10" t="n">
        <v>12</v>
      </c>
      <c r="H156" s="14" t="n">
        <f aca="false">(E156/1000)*(F156/1000)*(G156/1000)*7850</f>
        <v>930.650784</v>
      </c>
      <c r="I156" s="10" t="n">
        <v>1</v>
      </c>
      <c r="J156" s="15" t="n">
        <f aca="false">H156*I156</f>
        <v>930.650784</v>
      </c>
      <c r="K156" s="18" t="s">
        <v>70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</row>
    <row r="157" s="12" customFormat="true" ht="19.5" hidden="true" customHeight="true" outlineLevel="0" collapsed="false">
      <c r="A157" s="10"/>
      <c r="B157" s="10"/>
      <c r="C157" s="10" t="s">
        <v>204</v>
      </c>
      <c r="D157" s="10" t="s">
        <v>45</v>
      </c>
      <c r="E157" s="17" t="n">
        <v>25050.4</v>
      </c>
      <c r="F157" s="10" t="n">
        <v>180</v>
      </c>
      <c r="G157" s="10" t="n">
        <v>16</v>
      </c>
      <c r="H157" s="14" t="n">
        <f aca="false">(E157/1000)*(F157/1000)*(G157/1000)*7850</f>
        <v>566.3394432</v>
      </c>
      <c r="I157" s="10" t="n">
        <v>1</v>
      </c>
      <c r="J157" s="15" t="n">
        <f aca="false">H157*I157</f>
        <v>566.3394432</v>
      </c>
      <c r="K157" s="18" t="s">
        <v>70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</row>
    <row r="158" s="12" customFormat="true" ht="19.5" hidden="true" customHeight="true" outlineLevel="0" collapsed="false">
      <c r="A158" s="10"/>
      <c r="B158" s="10" t="s">
        <v>73</v>
      </c>
      <c r="C158" s="10" t="s">
        <v>205</v>
      </c>
      <c r="D158" s="10" t="s">
        <v>45</v>
      </c>
      <c r="E158" s="10" t="n">
        <v>5560.1</v>
      </c>
      <c r="F158" s="10" t="n">
        <v>160</v>
      </c>
      <c r="G158" s="10" t="n">
        <v>14</v>
      </c>
      <c r="H158" s="14" t="n">
        <f aca="false">(E158/1000)*(F158/1000)*(G158/1000)*7850</f>
        <v>97.7687984</v>
      </c>
      <c r="I158" s="10" t="n">
        <v>2</v>
      </c>
      <c r="J158" s="15" t="n">
        <f aca="false">H158*I158</f>
        <v>195.5375968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</row>
    <row r="159" s="12" customFormat="true" ht="19.5" hidden="true" customHeight="true" outlineLevel="0" collapsed="false">
      <c r="A159" s="10"/>
      <c r="B159" s="10"/>
      <c r="C159" s="10" t="s">
        <v>206</v>
      </c>
      <c r="D159" s="10" t="s">
        <v>45</v>
      </c>
      <c r="E159" s="10" t="n">
        <v>17174.9</v>
      </c>
      <c r="F159" s="10" t="n">
        <v>160</v>
      </c>
      <c r="G159" s="10" t="n">
        <v>14</v>
      </c>
      <c r="H159" s="14" t="n">
        <f aca="false">(E159/1000)*(F159/1000)*(G159/1000)*7850</f>
        <v>302.0034416</v>
      </c>
      <c r="I159" s="10" t="n">
        <v>2</v>
      </c>
      <c r="J159" s="15" t="n">
        <f aca="false">H159*I159</f>
        <v>604.0068832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</row>
    <row r="160" s="12" customFormat="true" ht="19.5" hidden="true" customHeight="true" outlineLevel="0" collapsed="false">
      <c r="A160" s="10"/>
      <c r="B160" s="10"/>
      <c r="C160" s="10" t="s">
        <v>207</v>
      </c>
      <c r="D160" s="10" t="s">
        <v>45</v>
      </c>
      <c r="E160" s="10" t="n">
        <v>16000</v>
      </c>
      <c r="F160" s="10" t="n">
        <v>160</v>
      </c>
      <c r="G160" s="10" t="n">
        <v>14</v>
      </c>
      <c r="H160" s="14" t="n">
        <f aca="false">(E160/1000)*(F160/1000)*(G160/1000)*7850</f>
        <v>281.344</v>
      </c>
      <c r="I160" s="10" t="n">
        <v>8</v>
      </c>
      <c r="J160" s="15" t="n">
        <f aca="false">H160*I160</f>
        <v>2250.752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</row>
    <row r="161" s="12" customFormat="true" ht="19.5" hidden="false" customHeight="true" outlineLevel="0" collapsed="false">
      <c r="A161" s="10"/>
      <c r="B161" s="10"/>
      <c r="C161" s="10" t="s">
        <v>208</v>
      </c>
      <c r="D161" s="10" t="s">
        <v>45</v>
      </c>
      <c r="E161" s="10" t="n">
        <v>16000</v>
      </c>
      <c r="F161" s="10" t="n">
        <v>220</v>
      </c>
      <c r="G161" s="10" t="n">
        <v>20</v>
      </c>
      <c r="H161" s="14" t="n">
        <f aca="false">(E161/1000)*(F161/1000)*(G161/1000)*7850</f>
        <v>552.64</v>
      </c>
      <c r="I161" s="10" t="n">
        <v>3</v>
      </c>
      <c r="J161" s="15" t="n">
        <f aca="false">H161*I161</f>
        <v>1657.92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</row>
    <row r="162" s="12" customFormat="true" ht="19.5" hidden="true" customHeight="true" outlineLevel="0" collapsed="false">
      <c r="A162" s="10"/>
      <c r="B162" s="10" t="s">
        <v>78</v>
      </c>
      <c r="C162" s="10"/>
      <c r="D162" s="10"/>
      <c r="E162" s="10"/>
      <c r="F162" s="10"/>
      <c r="G162" s="10"/>
      <c r="H162" s="14"/>
      <c r="I162" s="10"/>
      <c r="J162" s="15" t="n">
        <f aca="false">SUM(J137:J161)</f>
        <v>142948.5381824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</row>
    <row r="163" s="12" customFormat="true" ht="19.5" hidden="false" customHeight="true" outlineLevel="0" collapsed="false">
      <c r="A163" s="10" t="s">
        <v>209</v>
      </c>
      <c r="B163" s="10" t="s">
        <v>43</v>
      </c>
      <c r="C163" s="10" t="s">
        <v>210</v>
      </c>
      <c r="D163" s="10" t="s">
        <v>45</v>
      </c>
      <c r="E163" s="10" t="n">
        <v>17855.4</v>
      </c>
      <c r="F163" s="10" t="n">
        <v>600</v>
      </c>
      <c r="G163" s="10" t="n">
        <v>20</v>
      </c>
      <c r="H163" s="14" t="n">
        <f aca="false">(E163/1000)*(F163/1000)*(G163/1000)*7850</f>
        <v>1681.97868</v>
      </c>
      <c r="I163" s="10" t="n">
        <v>2</v>
      </c>
      <c r="J163" s="15" t="n">
        <f aca="false">H163*I163</f>
        <v>3363.95736</v>
      </c>
      <c r="K163" s="10"/>
      <c r="L163" s="10" t="str">
        <f aca="false">A163</f>
        <v>上层7#</v>
      </c>
      <c r="M163" s="16" t="n">
        <f aca="false">SUMIF(G163:G187,$M$3,J163:J187)</f>
        <v>1213.355346</v>
      </c>
      <c r="N163" s="16" t="n">
        <f aca="false">SUMIF(G163:G187,$N$3,J163:J187)</f>
        <v>40703.9847872</v>
      </c>
      <c r="O163" s="16" t="n">
        <f aca="false">SUMIF(G163:G187,$O$3,J163:J187)</f>
        <v>25797.808244976</v>
      </c>
      <c r="P163" s="16" t="n">
        <f aca="false">SUMIF(G163:G187,$P$3,J163:J187)</f>
        <v>46277.45816</v>
      </c>
      <c r="Q163" s="16" t="n">
        <f aca="false">SUMIF(G163:G187,$Q$3,J163:J187)</f>
        <v>22396.992</v>
      </c>
      <c r="R163" s="16" t="n">
        <f aca="false">SUMIF(G163:G187,$R$3,J163:J187)</f>
        <v>0</v>
      </c>
      <c r="S163" s="16" t="n">
        <f aca="false">SUMIF(G163:G187,$S$3,J163:J187)</f>
        <v>6933.12</v>
      </c>
      <c r="T163" s="16" t="n">
        <f aca="false">SUM(M163:S188)</f>
        <v>143322.718538176</v>
      </c>
      <c r="U163" s="16" t="n">
        <v>143322.8</v>
      </c>
      <c r="V163" s="16" t="n">
        <f aca="false">T163-U163</f>
        <v>-0.0814618239819538</v>
      </c>
      <c r="W163" s="10"/>
    </row>
    <row r="164" s="12" customFormat="true" ht="19.5" hidden="false" customHeight="true" outlineLevel="0" collapsed="false">
      <c r="A164" s="10"/>
      <c r="B164" s="10"/>
      <c r="C164" s="10" t="s">
        <v>211</v>
      </c>
      <c r="D164" s="10" t="s">
        <v>45</v>
      </c>
      <c r="E164" s="10" t="n">
        <v>7780</v>
      </c>
      <c r="F164" s="10" t="n">
        <v>600</v>
      </c>
      <c r="G164" s="10" t="n">
        <v>20</v>
      </c>
      <c r="H164" s="14" t="n">
        <f aca="false">(E164/1000)*(F164/1000)*(G164/1000)*7850</f>
        <v>732.876</v>
      </c>
      <c r="I164" s="10" t="n">
        <v>2</v>
      </c>
      <c r="J164" s="15" t="n">
        <f aca="false">H164*I164</f>
        <v>1465.752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</row>
    <row r="165" s="12" customFormat="true" ht="19.5" hidden="true" customHeight="true" outlineLevel="0" collapsed="false">
      <c r="A165" s="10"/>
      <c r="B165" s="10"/>
      <c r="C165" s="10" t="s">
        <v>212</v>
      </c>
      <c r="D165" s="10" t="s">
        <v>45</v>
      </c>
      <c r="E165" s="10" t="n">
        <v>16000</v>
      </c>
      <c r="F165" s="10" t="n">
        <v>600</v>
      </c>
      <c r="G165" s="10" t="n">
        <v>24</v>
      </c>
      <c r="H165" s="14" t="n">
        <f aca="false">(E165/1000)*(F165/1000)*(G165/1000)*7850</f>
        <v>1808.64</v>
      </c>
      <c r="I165" s="10" t="n">
        <v>8</v>
      </c>
      <c r="J165" s="15" t="n">
        <f aca="false">H165*I165</f>
        <v>14469.12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</row>
    <row r="166" s="12" customFormat="true" ht="19.5" hidden="true" customHeight="true" outlineLevel="0" collapsed="false">
      <c r="A166" s="10"/>
      <c r="B166" s="10"/>
      <c r="C166" s="10" t="s">
        <v>213</v>
      </c>
      <c r="D166" s="10" t="s">
        <v>45</v>
      </c>
      <c r="E166" s="10" t="n">
        <v>3900</v>
      </c>
      <c r="F166" s="10" t="n">
        <v>600</v>
      </c>
      <c r="G166" s="10" t="n">
        <v>40</v>
      </c>
      <c r="H166" s="14" t="n">
        <f aca="false">(E166/1000)*(F166/1000)*(G166/1000)*7850</f>
        <v>734.76</v>
      </c>
      <c r="I166" s="10" t="n">
        <v>2</v>
      </c>
      <c r="J166" s="15" t="n">
        <f aca="false">H166*I166</f>
        <v>1469.52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</row>
    <row r="167" s="12" customFormat="true" ht="19.5" hidden="true" customHeight="true" outlineLevel="0" collapsed="false">
      <c r="A167" s="10"/>
      <c r="B167" s="10"/>
      <c r="C167" s="10" t="s">
        <v>214</v>
      </c>
      <c r="D167" s="10" t="s">
        <v>45</v>
      </c>
      <c r="E167" s="10" t="n">
        <v>7200</v>
      </c>
      <c r="F167" s="10" t="n">
        <v>800</v>
      </c>
      <c r="G167" s="10" t="n">
        <v>40</v>
      </c>
      <c r="H167" s="14" t="n">
        <f aca="false">(E167/1000)*(F167/1000)*(G167/1000)*7850</f>
        <v>1808.64</v>
      </c>
      <c r="I167" s="10" t="n">
        <v>2</v>
      </c>
      <c r="J167" s="15" t="n">
        <f aca="false">H167*I167</f>
        <v>3617.28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</row>
    <row r="168" s="12" customFormat="true" ht="19.5" hidden="true" customHeight="true" outlineLevel="0" collapsed="false">
      <c r="A168" s="10"/>
      <c r="B168" s="10"/>
      <c r="C168" s="10" t="s">
        <v>215</v>
      </c>
      <c r="D168" s="10" t="s">
        <v>45</v>
      </c>
      <c r="E168" s="10" t="n">
        <v>4900</v>
      </c>
      <c r="F168" s="10" t="n">
        <v>600</v>
      </c>
      <c r="G168" s="10" t="n">
        <v>40</v>
      </c>
      <c r="H168" s="14" t="n">
        <f aca="false">(E168/1000)*(F168/1000)*(G168/1000)*7850</f>
        <v>923.16</v>
      </c>
      <c r="I168" s="10" t="n">
        <v>2</v>
      </c>
      <c r="J168" s="15" t="n">
        <f aca="false">H168*I168</f>
        <v>1846.32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69" s="12" customFormat="true" ht="19.5" hidden="true" customHeight="true" outlineLevel="0" collapsed="false">
      <c r="A169" s="10"/>
      <c r="B169" s="10" t="s">
        <v>52</v>
      </c>
      <c r="C169" s="10" t="s">
        <v>216</v>
      </c>
      <c r="D169" s="10" t="s">
        <v>45</v>
      </c>
      <c r="E169" s="10" t="n">
        <v>17855.4</v>
      </c>
      <c r="F169" s="10" t="n">
        <v>2641.7</v>
      </c>
      <c r="G169" s="10" t="n">
        <v>16</v>
      </c>
      <c r="H169" s="14" t="n">
        <f aca="false">(E169/1000)*(F169/1000)*(G169/1000)*7850</f>
        <v>5924.377438608</v>
      </c>
      <c r="I169" s="10" t="n">
        <v>1</v>
      </c>
      <c r="J169" s="15" t="n">
        <f aca="false">H169*I169</f>
        <v>5924.377438608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</row>
    <row r="170" s="12" customFormat="true" ht="19.5" hidden="true" customHeight="true" outlineLevel="0" collapsed="false">
      <c r="A170" s="10"/>
      <c r="B170" s="10"/>
      <c r="C170" s="10" t="s">
        <v>217</v>
      </c>
      <c r="D170" s="10" t="s">
        <v>45</v>
      </c>
      <c r="E170" s="10" t="n">
        <v>17855.4</v>
      </c>
      <c r="F170" s="10" t="n">
        <v>2718.2</v>
      </c>
      <c r="G170" s="10" t="n">
        <v>16</v>
      </c>
      <c r="H170" s="14" t="n">
        <f aca="false">(E170/1000)*(F170/1000)*(G170/1000)*7850</f>
        <v>6095.939263968</v>
      </c>
      <c r="I170" s="10" t="n">
        <v>1</v>
      </c>
      <c r="J170" s="15" t="n">
        <f aca="false">H170*I170</f>
        <v>6095.939263968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</row>
    <row r="171" s="12" customFormat="true" ht="19.5" hidden="true" customHeight="true" outlineLevel="0" collapsed="false">
      <c r="A171" s="10"/>
      <c r="B171" s="10"/>
      <c r="C171" s="10" t="s">
        <v>218</v>
      </c>
      <c r="D171" s="10" t="s">
        <v>45</v>
      </c>
      <c r="E171" s="10" t="n">
        <v>7780</v>
      </c>
      <c r="F171" s="10" t="n">
        <v>2641.7</v>
      </c>
      <c r="G171" s="10" t="n">
        <v>16</v>
      </c>
      <c r="H171" s="14" t="n">
        <f aca="false">(E171/1000)*(F171/1000)*(G171/1000)*7850</f>
        <v>2581.3847056</v>
      </c>
      <c r="I171" s="10" t="n">
        <v>1</v>
      </c>
      <c r="J171" s="15" t="n">
        <f aca="false">H171*I171</f>
        <v>2581.3847056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</row>
    <row r="172" s="12" customFormat="true" ht="19.5" hidden="true" customHeight="true" outlineLevel="0" collapsed="false">
      <c r="A172" s="10"/>
      <c r="B172" s="10"/>
      <c r="C172" s="10" t="s">
        <v>219</v>
      </c>
      <c r="D172" s="10" t="s">
        <v>45</v>
      </c>
      <c r="E172" s="10" t="n">
        <v>7780</v>
      </c>
      <c r="F172" s="10" t="n">
        <v>2718.2</v>
      </c>
      <c r="G172" s="10" t="n">
        <v>16</v>
      </c>
      <c r="H172" s="14" t="n">
        <f aca="false">(E172/1000)*(F172/1000)*(G172/1000)*7850</f>
        <v>2656.1380576</v>
      </c>
      <c r="I172" s="10" t="n">
        <v>1</v>
      </c>
      <c r="J172" s="15" t="n">
        <f aca="false">H172*I172</f>
        <v>2656.1380576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</row>
    <row r="173" s="12" customFormat="true" ht="19.5" hidden="true" customHeight="true" outlineLevel="0" collapsed="false">
      <c r="A173" s="10"/>
      <c r="B173" s="10"/>
      <c r="C173" s="10" t="s">
        <v>220</v>
      </c>
      <c r="D173" s="10" t="s">
        <v>45</v>
      </c>
      <c r="E173" s="10" t="n">
        <v>16000</v>
      </c>
      <c r="F173" s="10" t="n">
        <v>2637.7</v>
      </c>
      <c r="G173" s="10" t="n">
        <v>14</v>
      </c>
      <c r="H173" s="14" t="n">
        <f aca="false">(E173/1000)*(F173/1000)*(G173/1000)*7850</f>
        <v>4638.13168</v>
      </c>
      <c r="I173" s="10" t="n">
        <v>4</v>
      </c>
      <c r="J173" s="15" t="n">
        <f aca="false">H173*I173</f>
        <v>18552.52672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</row>
    <row r="174" s="12" customFormat="true" ht="19.5" hidden="true" customHeight="true" outlineLevel="0" collapsed="false">
      <c r="A174" s="10"/>
      <c r="B174" s="10"/>
      <c r="C174" s="10" t="s">
        <v>221</v>
      </c>
      <c r="D174" s="10" t="s">
        <v>45</v>
      </c>
      <c r="E174" s="10" t="n">
        <v>16000</v>
      </c>
      <c r="F174" s="10" t="n">
        <v>2714.2</v>
      </c>
      <c r="G174" s="10" t="n">
        <v>14</v>
      </c>
      <c r="H174" s="14" t="n">
        <f aca="false">(E174/1000)*(F174/1000)*(G174/1000)*7850</f>
        <v>4772.64928</v>
      </c>
      <c r="I174" s="10" t="n">
        <v>4</v>
      </c>
      <c r="J174" s="15" t="n">
        <f aca="false">H174*I174</f>
        <v>19090.59712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</row>
    <row r="175" s="12" customFormat="true" ht="19.5" hidden="false" customHeight="true" outlineLevel="0" collapsed="false">
      <c r="A175" s="10"/>
      <c r="B175" s="10"/>
      <c r="C175" s="10" t="s">
        <v>222</v>
      </c>
      <c r="D175" s="10" t="s">
        <v>45</v>
      </c>
      <c r="E175" s="10" t="n">
        <v>16000</v>
      </c>
      <c r="F175" s="10" t="n">
        <v>2621.7</v>
      </c>
      <c r="G175" s="10" t="n">
        <v>20</v>
      </c>
      <c r="H175" s="14" t="n">
        <f aca="false">(E175/1000)*(F175/1000)*(G175/1000)*7850</f>
        <v>6585.7104</v>
      </c>
      <c r="I175" s="10" t="n">
        <v>1</v>
      </c>
      <c r="J175" s="15" t="n">
        <f aca="false">H175*I175</f>
        <v>6585.7104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</row>
    <row r="176" s="12" customFormat="true" ht="19.5" hidden="false" customHeight="true" outlineLevel="0" collapsed="false">
      <c r="A176" s="10"/>
      <c r="B176" s="10"/>
      <c r="C176" s="10" t="s">
        <v>223</v>
      </c>
      <c r="D176" s="10" t="s">
        <v>45</v>
      </c>
      <c r="E176" s="10" t="n">
        <v>16000</v>
      </c>
      <c r="F176" s="10" t="n">
        <v>2698.2</v>
      </c>
      <c r="G176" s="10" t="n">
        <v>20</v>
      </c>
      <c r="H176" s="14" t="n">
        <f aca="false">(E176/1000)*(F176/1000)*(G176/1000)*7850</f>
        <v>6777.8784</v>
      </c>
      <c r="I176" s="10" t="n">
        <v>1</v>
      </c>
      <c r="J176" s="15" t="n">
        <f aca="false">H176*I176</f>
        <v>6777.8784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</row>
    <row r="177" s="12" customFormat="true" ht="19.5" hidden="true" customHeight="true" outlineLevel="0" collapsed="false">
      <c r="A177" s="10"/>
      <c r="B177" s="10" t="s">
        <v>63</v>
      </c>
      <c r="C177" s="10" t="s">
        <v>224</v>
      </c>
      <c r="D177" s="10" t="s">
        <v>45</v>
      </c>
      <c r="E177" s="10" t="n">
        <v>17105.4</v>
      </c>
      <c r="F177" s="10" t="n">
        <v>2630</v>
      </c>
      <c r="G177" s="10" t="n">
        <v>16</v>
      </c>
      <c r="H177" s="14" t="n">
        <f aca="false">(E177/1000)*(F177/1000)*(G177/1000)*7850</f>
        <v>5650.3925712</v>
      </c>
      <c r="I177" s="10" t="n">
        <v>1</v>
      </c>
      <c r="J177" s="15" t="n">
        <f aca="false">H177*I177</f>
        <v>5650.3925712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="12" customFormat="true" ht="19.5" hidden="true" customHeight="true" outlineLevel="0" collapsed="false">
      <c r="A178" s="10"/>
      <c r="B178" s="10"/>
      <c r="C178" s="10" t="s">
        <v>225</v>
      </c>
      <c r="D178" s="10" t="s">
        <v>45</v>
      </c>
      <c r="E178" s="10" t="n">
        <v>7030</v>
      </c>
      <c r="F178" s="10" t="n">
        <v>2630</v>
      </c>
      <c r="G178" s="10" t="n">
        <v>16</v>
      </c>
      <c r="H178" s="14" t="n">
        <f aca="false">(E178/1000)*(F178/1000)*(G178/1000)*7850</f>
        <v>2322.20584</v>
      </c>
      <c r="I178" s="10" t="n">
        <v>1</v>
      </c>
      <c r="J178" s="15" t="n">
        <f aca="false">H178*I178</f>
        <v>2322.20584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="12" customFormat="true" ht="19.5" hidden="false" customHeight="true" outlineLevel="0" collapsed="false">
      <c r="A179" s="10"/>
      <c r="B179" s="10"/>
      <c r="C179" s="10" t="s">
        <v>226</v>
      </c>
      <c r="D179" s="10" t="s">
        <v>45</v>
      </c>
      <c r="E179" s="10" t="n">
        <v>16000</v>
      </c>
      <c r="F179" s="10" t="n">
        <v>2630</v>
      </c>
      <c r="G179" s="10" t="n">
        <v>20</v>
      </c>
      <c r="H179" s="14" t="n">
        <f aca="false">(E179/1000)*(F179/1000)*(G179/1000)*7850</f>
        <v>6606.56</v>
      </c>
      <c r="I179" s="10" t="n">
        <v>4</v>
      </c>
      <c r="J179" s="15" t="n">
        <f aca="false">H179*I179</f>
        <v>26426.24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="12" customFormat="true" ht="19.5" hidden="true" customHeight="true" outlineLevel="0" collapsed="false">
      <c r="A180" s="10"/>
      <c r="B180" s="10"/>
      <c r="C180" s="10" t="s">
        <v>227</v>
      </c>
      <c r="D180" s="10" t="s">
        <v>45</v>
      </c>
      <c r="E180" s="10" t="n">
        <v>16000</v>
      </c>
      <c r="F180" s="10" t="n">
        <v>2630</v>
      </c>
      <c r="G180" s="10" t="n">
        <v>24</v>
      </c>
      <c r="H180" s="14" t="n">
        <f aca="false">(E180/1000)*(F180/1000)*(G180/1000)*7850</f>
        <v>7927.872</v>
      </c>
      <c r="I180" s="10" t="n">
        <v>1</v>
      </c>
      <c r="J180" s="15" t="n">
        <f aca="false">H180*I180</f>
        <v>7927.872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="12" customFormat="true" ht="19.5" hidden="true" customHeight="true" outlineLevel="0" collapsed="false">
      <c r="A181" s="10"/>
      <c r="B181" s="10" t="s">
        <v>68</v>
      </c>
      <c r="C181" s="10" t="s">
        <v>228</v>
      </c>
      <c r="D181" s="10" t="s">
        <v>45</v>
      </c>
      <c r="E181" s="17" t="n">
        <v>21169.7</v>
      </c>
      <c r="F181" s="10" t="n">
        <v>140</v>
      </c>
      <c r="G181" s="10" t="n">
        <v>12</v>
      </c>
      <c r="H181" s="14" t="n">
        <f aca="false">(E181/1000)*(F181/1000)*(G181/1000)*7850</f>
        <v>279.1860036</v>
      </c>
      <c r="I181" s="10" t="n">
        <v>1</v>
      </c>
      <c r="J181" s="15" t="n">
        <f aca="false">H181*I181</f>
        <v>279.1860036</v>
      </c>
      <c r="K181" s="18" t="s">
        <v>70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="12" customFormat="true" ht="19.5" hidden="true" customHeight="true" outlineLevel="0" collapsed="false">
      <c r="A182" s="10"/>
      <c r="B182" s="10"/>
      <c r="C182" s="10" t="s">
        <v>229</v>
      </c>
      <c r="D182" s="10" t="s">
        <v>45</v>
      </c>
      <c r="E182" s="17" t="n">
        <v>70834.8</v>
      </c>
      <c r="F182" s="10" t="n">
        <v>140</v>
      </c>
      <c r="G182" s="10" t="n">
        <v>12</v>
      </c>
      <c r="H182" s="14" t="n">
        <f aca="false">(E182/1000)*(F182/1000)*(G182/1000)*7850</f>
        <v>934.1693424</v>
      </c>
      <c r="I182" s="10" t="n">
        <v>1</v>
      </c>
      <c r="J182" s="15" t="n">
        <f aca="false">H182*I182</f>
        <v>934.1693424</v>
      </c>
      <c r="K182" s="18" t="s">
        <v>70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="12" customFormat="true" ht="19.5" hidden="true" customHeight="true" outlineLevel="0" collapsed="false">
      <c r="A183" s="10"/>
      <c r="B183" s="10"/>
      <c r="C183" s="10" t="s">
        <v>230</v>
      </c>
      <c r="D183" s="10" t="s">
        <v>45</v>
      </c>
      <c r="E183" s="17" t="n">
        <v>25096</v>
      </c>
      <c r="F183" s="10" t="n">
        <v>180</v>
      </c>
      <c r="G183" s="10" t="n">
        <v>16</v>
      </c>
      <c r="H183" s="14" t="n">
        <f aca="false">(E183/1000)*(F183/1000)*(G183/1000)*7850</f>
        <v>567.370368</v>
      </c>
      <c r="I183" s="10" t="n">
        <v>1</v>
      </c>
      <c r="J183" s="15" t="n">
        <f aca="false">H183*I183</f>
        <v>567.370368</v>
      </c>
      <c r="K183" s="18" t="s">
        <v>70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="12" customFormat="true" ht="19.5" hidden="true" customHeight="true" outlineLevel="0" collapsed="false">
      <c r="A184" s="10"/>
      <c r="B184" s="10" t="s">
        <v>73</v>
      </c>
      <c r="C184" s="10" t="s">
        <v>231</v>
      </c>
      <c r="D184" s="10" t="s">
        <v>45</v>
      </c>
      <c r="E184" s="10" t="n">
        <v>16555.4</v>
      </c>
      <c r="F184" s="10" t="n">
        <v>160</v>
      </c>
      <c r="G184" s="10" t="n">
        <v>14</v>
      </c>
      <c r="H184" s="14" t="n">
        <f aca="false">(E184/1000)*(F184/1000)*(G184/1000)*7850</f>
        <v>291.1101536</v>
      </c>
      <c r="I184" s="10" t="n">
        <v>2</v>
      </c>
      <c r="J184" s="15" t="n">
        <f aca="false">H184*I184</f>
        <v>582.2203072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="12" customFormat="true" ht="19.5" hidden="true" customHeight="true" outlineLevel="0" collapsed="false">
      <c r="A185" s="10"/>
      <c r="B185" s="10"/>
      <c r="C185" s="10" t="s">
        <v>232</v>
      </c>
      <c r="D185" s="10" t="s">
        <v>45</v>
      </c>
      <c r="E185" s="10" t="n">
        <v>6480</v>
      </c>
      <c r="F185" s="10" t="n">
        <v>160</v>
      </c>
      <c r="G185" s="10" t="n">
        <v>14</v>
      </c>
      <c r="H185" s="14" t="n">
        <f aca="false">(E185/1000)*(F185/1000)*(G185/1000)*7850</f>
        <v>113.94432</v>
      </c>
      <c r="I185" s="10" t="n">
        <v>2</v>
      </c>
      <c r="J185" s="15" t="n">
        <f aca="false">H185*I185</f>
        <v>227.88864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="12" customFormat="true" ht="19.5" hidden="true" customHeight="true" outlineLevel="0" collapsed="false">
      <c r="A186" s="10"/>
      <c r="B186" s="10"/>
      <c r="C186" s="10" t="s">
        <v>233</v>
      </c>
      <c r="D186" s="10" t="s">
        <v>45</v>
      </c>
      <c r="E186" s="10" t="n">
        <v>16000</v>
      </c>
      <c r="F186" s="10" t="n">
        <v>160</v>
      </c>
      <c r="G186" s="10" t="n">
        <v>14</v>
      </c>
      <c r="H186" s="14" t="n">
        <f aca="false">(E186/1000)*(F186/1000)*(G186/1000)*7850</f>
        <v>281.344</v>
      </c>
      <c r="I186" s="10" t="n">
        <v>8</v>
      </c>
      <c r="J186" s="15" t="n">
        <f aca="false">H186*I186</f>
        <v>2250.752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="12" customFormat="true" ht="19.5" hidden="false" customHeight="true" outlineLevel="0" collapsed="false">
      <c r="A187" s="10"/>
      <c r="B187" s="10"/>
      <c r="C187" s="10" t="s">
        <v>234</v>
      </c>
      <c r="D187" s="10" t="s">
        <v>45</v>
      </c>
      <c r="E187" s="10" t="n">
        <v>16000</v>
      </c>
      <c r="F187" s="10" t="n">
        <v>220</v>
      </c>
      <c r="G187" s="10" t="n">
        <v>20</v>
      </c>
      <c r="H187" s="14" t="n">
        <f aca="false">(E187/1000)*(F187/1000)*(G187/1000)*7850</f>
        <v>552.64</v>
      </c>
      <c r="I187" s="10" t="n">
        <v>3</v>
      </c>
      <c r="J187" s="15" t="n">
        <f aca="false">H187*I187</f>
        <v>1657.92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="12" customFormat="true" ht="19.5" hidden="true" customHeight="true" outlineLevel="0" collapsed="false">
      <c r="A188" s="10"/>
      <c r="B188" s="10" t="s">
        <v>78</v>
      </c>
      <c r="C188" s="10"/>
      <c r="D188" s="10"/>
      <c r="E188" s="10"/>
      <c r="F188" s="10"/>
      <c r="G188" s="10"/>
      <c r="H188" s="14"/>
      <c r="I188" s="10"/>
      <c r="J188" s="15" t="n">
        <f aca="false">SUM(J163:J187)</f>
        <v>143322.718538176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="12" customFormat="true" ht="19.5" hidden="false" customHeight="true" outlineLevel="0" collapsed="false">
      <c r="A189" s="10" t="s">
        <v>235</v>
      </c>
      <c r="B189" s="10" t="s">
        <v>43</v>
      </c>
      <c r="C189" s="10" t="s">
        <v>236</v>
      </c>
      <c r="D189" s="10" t="s">
        <v>45</v>
      </c>
      <c r="E189" s="10" t="n">
        <v>14058.2</v>
      </c>
      <c r="F189" s="10" t="n">
        <v>600</v>
      </c>
      <c r="G189" s="10" t="n">
        <v>20</v>
      </c>
      <c r="H189" s="14" t="n">
        <f aca="false">(E189/1000)*(F189/1000)*(G189/1000)*7850</f>
        <v>1324.28244</v>
      </c>
      <c r="I189" s="10" t="n">
        <v>2</v>
      </c>
      <c r="J189" s="15" t="n">
        <f aca="false">H189*I189</f>
        <v>2648.56488</v>
      </c>
      <c r="K189" s="10"/>
      <c r="L189" s="10" t="str">
        <f aca="false">A189</f>
        <v>上层8#</v>
      </c>
      <c r="M189" s="16" t="n">
        <f aca="false">SUMIF(G189:G216,$M$3,J189:J216)</f>
        <v>1204.82271</v>
      </c>
      <c r="N189" s="16" t="n">
        <f aca="false">SUMIF(G189:G216,$N$3,J189:J216)</f>
        <v>40672.3476544</v>
      </c>
      <c r="O189" s="16" t="n">
        <f aca="false">SUMIF(G189:G216,$O$3,J189:J216)</f>
        <v>26140.994414352</v>
      </c>
      <c r="P189" s="16" t="n">
        <f aca="false">SUMIF(G189:G216,$P$3,J189:J216)</f>
        <v>46334.05352</v>
      </c>
      <c r="Q189" s="16" t="n">
        <f aca="false">SUMIF(G189:G216,$Q$3,J189:J216)</f>
        <v>15162.432</v>
      </c>
      <c r="R189" s="16" t="n">
        <f aca="false">SUMIF(G189:G216,$R$3,J189:J216)</f>
        <v>9043.2</v>
      </c>
      <c r="S189" s="16" t="n">
        <f aca="false">SUMIF(G189:G216,$S$3,J189:J216)</f>
        <v>6933.12</v>
      </c>
      <c r="T189" s="16" t="n">
        <f aca="false">SUM(M189:S217)</f>
        <v>145490.970298752</v>
      </c>
      <c r="U189" s="16" t="n">
        <v>145490.9</v>
      </c>
      <c r="V189" s="16" t="n">
        <f aca="false">T189-U189</f>
        <v>0.0702987519907765</v>
      </c>
      <c r="W189" s="10"/>
    </row>
    <row r="190" s="12" customFormat="true" ht="19.5" hidden="false" customHeight="true" outlineLevel="0" collapsed="false">
      <c r="A190" s="10"/>
      <c r="B190" s="10"/>
      <c r="C190" s="10" t="s">
        <v>237</v>
      </c>
      <c r="D190" s="10" t="s">
        <v>45</v>
      </c>
      <c r="E190" s="10" t="n">
        <v>11877.6</v>
      </c>
      <c r="F190" s="10" t="n">
        <v>600</v>
      </c>
      <c r="G190" s="10" t="n">
        <v>20</v>
      </c>
      <c r="H190" s="14" t="n">
        <f aca="false">(E190/1000)*(F190/1000)*(G190/1000)*7850</f>
        <v>1118.86992</v>
      </c>
      <c r="I190" s="10" t="n">
        <v>2</v>
      </c>
      <c r="J190" s="15" t="n">
        <f aca="false">H190*I190</f>
        <v>2237.73984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="12" customFormat="true" ht="19.5" hidden="true" customHeight="true" outlineLevel="0" collapsed="false">
      <c r="A191" s="10"/>
      <c r="B191" s="10"/>
      <c r="C191" s="10" t="s">
        <v>238</v>
      </c>
      <c r="D191" s="10" t="s">
        <v>45</v>
      </c>
      <c r="E191" s="10" t="n">
        <v>16000</v>
      </c>
      <c r="F191" s="10" t="n">
        <v>600</v>
      </c>
      <c r="G191" s="10" t="n">
        <v>30</v>
      </c>
      <c r="H191" s="14" t="n">
        <f aca="false">(E191/1000)*(F191/1000)*(G191/1000)*7850</f>
        <v>2260.8</v>
      </c>
      <c r="I191" s="10" t="n">
        <v>4</v>
      </c>
      <c r="J191" s="15" t="n">
        <f aca="false">H191*I191</f>
        <v>9043.2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="12" customFormat="true" ht="19.5" hidden="true" customHeight="true" outlineLevel="0" collapsed="false">
      <c r="A192" s="10"/>
      <c r="B192" s="10"/>
      <c r="C192" s="10" t="s">
        <v>239</v>
      </c>
      <c r="D192" s="10" t="s">
        <v>45</v>
      </c>
      <c r="E192" s="10" t="n">
        <v>16000</v>
      </c>
      <c r="F192" s="10" t="n">
        <v>600</v>
      </c>
      <c r="G192" s="10" t="n">
        <v>24</v>
      </c>
      <c r="H192" s="14" t="n">
        <f aca="false">(E192/1000)*(F192/1000)*(G192/1000)*7850</f>
        <v>1808.64</v>
      </c>
      <c r="I192" s="10" t="n">
        <v>4</v>
      </c>
      <c r="J192" s="15" t="n">
        <f aca="false">H192*I192</f>
        <v>7234.56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="12" customFormat="true" ht="19.5" hidden="true" customHeight="true" outlineLevel="0" collapsed="false">
      <c r="A193" s="10"/>
      <c r="B193" s="10"/>
      <c r="C193" s="10" t="s">
        <v>240</v>
      </c>
      <c r="D193" s="10" t="s">
        <v>45</v>
      </c>
      <c r="E193" s="10" t="n">
        <v>4700</v>
      </c>
      <c r="F193" s="10" t="n">
        <v>600</v>
      </c>
      <c r="G193" s="10" t="n">
        <v>40</v>
      </c>
      <c r="H193" s="14" t="n">
        <f aca="false">(E193/1000)*(F193/1000)*(G193/1000)*7850</f>
        <v>885.48</v>
      </c>
      <c r="I193" s="10" t="n">
        <v>2</v>
      </c>
      <c r="J193" s="15" t="n">
        <f aca="false">H193*I193</f>
        <v>1770.96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4" s="12" customFormat="true" ht="19.5" hidden="true" customHeight="true" outlineLevel="0" collapsed="false">
      <c r="A194" s="10"/>
      <c r="B194" s="10"/>
      <c r="C194" s="10" t="s">
        <v>241</v>
      </c>
      <c r="D194" s="10" t="s">
        <v>45</v>
      </c>
      <c r="E194" s="10" t="n">
        <v>7200</v>
      </c>
      <c r="F194" s="10" t="n">
        <v>800</v>
      </c>
      <c r="G194" s="10" t="n">
        <v>40</v>
      </c>
      <c r="H194" s="14" t="n">
        <f aca="false">(E194/1000)*(F194/1000)*(G194/1000)*7850</f>
        <v>1808.64</v>
      </c>
      <c r="I194" s="10" t="n">
        <v>2</v>
      </c>
      <c r="J194" s="15" t="n">
        <f aca="false">H194*I194</f>
        <v>3617.28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</row>
    <row r="195" s="12" customFormat="true" ht="19.5" hidden="true" customHeight="true" outlineLevel="0" collapsed="false">
      <c r="A195" s="10"/>
      <c r="B195" s="10"/>
      <c r="C195" s="10" t="s">
        <v>242</v>
      </c>
      <c r="D195" s="10" t="s">
        <v>45</v>
      </c>
      <c r="E195" s="10" t="n">
        <v>4100</v>
      </c>
      <c r="F195" s="10" t="n">
        <v>600</v>
      </c>
      <c r="G195" s="10" t="n">
        <v>40</v>
      </c>
      <c r="H195" s="14" t="n">
        <f aca="false">(E195/1000)*(F195/1000)*(G195/1000)*7850</f>
        <v>772.44</v>
      </c>
      <c r="I195" s="10" t="n">
        <v>2</v>
      </c>
      <c r="J195" s="15" t="n">
        <f aca="false">H195*I195</f>
        <v>1544.88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</row>
    <row r="196" s="12" customFormat="true" ht="19.5" hidden="true" customHeight="true" outlineLevel="0" collapsed="false">
      <c r="A196" s="10"/>
      <c r="B196" s="10" t="s">
        <v>52</v>
      </c>
      <c r="C196" s="10" t="s">
        <v>243</v>
      </c>
      <c r="D196" s="10" t="s">
        <v>45</v>
      </c>
      <c r="E196" s="10" t="n">
        <v>14058.2</v>
      </c>
      <c r="F196" s="10" t="n">
        <v>2641.7</v>
      </c>
      <c r="G196" s="10" t="n">
        <v>16</v>
      </c>
      <c r="H196" s="14" t="n">
        <f aca="false">(E196/1000)*(F196/1000)*(G196/1000)*7850</f>
        <v>4664.475895664</v>
      </c>
      <c r="I196" s="10" t="n">
        <v>1</v>
      </c>
      <c r="J196" s="15" t="n">
        <f aca="false">H196*I196</f>
        <v>4664.475895664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</row>
    <row r="197" s="12" customFormat="true" ht="19.5" hidden="true" customHeight="true" outlineLevel="0" collapsed="false">
      <c r="A197" s="10"/>
      <c r="B197" s="10"/>
      <c r="C197" s="10" t="s">
        <v>244</v>
      </c>
      <c r="D197" s="10" t="s">
        <v>45</v>
      </c>
      <c r="E197" s="10" t="n">
        <v>14058.2</v>
      </c>
      <c r="F197" s="10" t="n">
        <v>2718.2</v>
      </c>
      <c r="G197" s="10" t="n">
        <v>16</v>
      </c>
      <c r="H197" s="14" t="n">
        <f aca="false">(E197/1000)*(F197/1000)*(G197/1000)*7850</f>
        <v>4799.552704544</v>
      </c>
      <c r="I197" s="10" t="n">
        <v>1</v>
      </c>
      <c r="J197" s="15" t="n">
        <f aca="false">H197*I197</f>
        <v>4799.552704544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</row>
    <row r="198" s="12" customFormat="true" ht="19.5" hidden="true" customHeight="true" outlineLevel="0" collapsed="false">
      <c r="A198" s="10"/>
      <c r="B198" s="10"/>
      <c r="C198" s="10" t="s">
        <v>245</v>
      </c>
      <c r="D198" s="10" t="s">
        <v>45</v>
      </c>
      <c r="E198" s="10" t="n">
        <v>11877.6</v>
      </c>
      <c r="F198" s="10" t="n">
        <v>2641.7</v>
      </c>
      <c r="G198" s="10" t="n">
        <v>16</v>
      </c>
      <c r="H198" s="14" t="n">
        <f aca="false">(E198/1000)*(F198/1000)*(G198/1000)*7850</f>
        <v>3940.958223552</v>
      </c>
      <c r="I198" s="10" t="n">
        <v>1</v>
      </c>
      <c r="J198" s="15" t="n">
        <f aca="false">H198*I198</f>
        <v>3940.958223552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</row>
    <row r="199" s="12" customFormat="true" ht="19.5" hidden="true" customHeight="true" outlineLevel="0" collapsed="false">
      <c r="A199" s="10"/>
      <c r="B199" s="10"/>
      <c r="C199" s="10" t="s">
        <v>246</v>
      </c>
      <c r="D199" s="10" t="s">
        <v>45</v>
      </c>
      <c r="E199" s="10" t="n">
        <v>11877.6</v>
      </c>
      <c r="F199" s="10" t="n">
        <v>2718.2</v>
      </c>
      <c r="G199" s="10" t="n">
        <v>16</v>
      </c>
      <c r="H199" s="14" t="n">
        <f aca="false">(E199/1000)*(F199/1000)*(G199/1000)*7850</f>
        <v>4055.082955392</v>
      </c>
      <c r="I199" s="10" t="n">
        <v>1</v>
      </c>
      <c r="J199" s="15" t="n">
        <f aca="false">H199*I199</f>
        <v>4055.082955392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</row>
    <row r="200" s="12" customFormat="true" ht="19.5" hidden="true" customHeight="true" outlineLevel="0" collapsed="false">
      <c r="A200" s="10"/>
      <c r="B200" s="10"/>
      <c r="C200" s="10" t="s">
        <v>247</v>
      </c>
      <c r="D200" s="10" t="s">
        <v>45</v>
      </c>
      <c r="E200" s="10" t="n">
        <v>16000</v>
      </c>
      <c r="F200" s="10" t="n">
        <v>2631.7</v>
      </c>
      <c r="G200" s="10" t="n">
        <v>14</v>
      </c>
      <c r="H200" s="14" t="n">
        <f aca="false">(E200/1000)*(F200/1000)*(G200/1000)*7850</f>
        <v>4627.58128</v>
      </c>
      <c r="I200" s="10" t="n">
        <v>2</v>
      </c>
      <c r="J200" s="15" t="n">
        <f aca="false">H200*I200</f>
        <v>9255.16256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</row>
    <row r="201" s="12" customFormat="true" ht="19.5" hidden="true" customHeight="true" outlineLevel="0" collapsed="false">
      <c r="A201" s="10"/>
      <c r="B201" s="10"/>
      <c r="C201" s="10" t="s">
        <v>248</v>
      </c>
      <c r="D201" s="10" t="s">
        <v>45</v>
      </c>
      <c r="E201" s="10" t="n">
        <v>16000</v>
      </c>
      <c r="F201" s="10" t="n">
        <v>2708.2</v>
      </c>
      <c r="G201" s="10" t="n">
        <v>14</v>
      </c>
      <c r="H201" s="14" t="n">
        <f aca="false">(E201/1000)*(F201/1000)*(G201/1000)*7850</f>
        <v>4762.09888</v>
      </c>
      <c r="I201" s="10" t="n">
        <v>2</v>
      </c>
      <c r="J201" s="15" t="n">
        <f aca="false">H201*I201</f>
        <v>9524.19776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</row>
    <row r="202" s="12" customFormat="true" ht="19.5" hidden="true" customHeight="true" outlineLevel="0" collapsed="false">
      <c r="A202" s="10"/>
      <c r="B202" s="10"/>
      <c r="C202" s="10" t="s">
        <v>249</v>
      </c>
      <c r="D202" s="10" t="s">
        <v>45</v>
      </c>
      <c r="E202" s="10" t="n">
        <v>16000</v>
      </c>
      <c r="F202" s="10" t="n">
        <v>2637.7</v>
      </c>
      <c r="G202" s="10" t="n">
        <v>14</v>
      </c>
      <c r="H202" s="14" t="n">
        <f aca="false">(E202/1000)*(F202/1000)*(G202/1000)*7850</f>
        <v>4638.13168</v>
      </c>
      <c r="I202" s="10" t="n">
        <v>2</v>
      </c>
      <c r="J202" s="15" t="n">
        <f aca="false">H202*I202</f>
        <v>9276.26336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</row>
    <row r="203" s="12" customFormat="true" ht="19.5" hidden="true" customHeight="true" outlineLevel="0" collapsed="false">
      <c r="A203" s="10"/>
      <c r="B203" s="10"/>
      <c r="C203" s="10" t="s">
        <v>250</v>
      </c>
      <c r="D203" s="10" t="s">
        <v>45</v>
      </c>
      <c r="E203" s="10" t="n">
        <v>16000</v>
      </c>
      <c r="F203" s="10" t="n">
        <v>2714.2</v>
      </c>
      <c r="G203" s="10" t="n">
        <v>14</v>
      </c>
      <c r="H203" s="14" t="n">
        <f aca="false">(E203/1000)*(F203/1000)*(G203/1000)*7850</f>
        <v>4772.64928</v>
      </c>
      <c r="I203" s="10" t="n">
        <v>2</v>
      </c>
      <c r="J203" s="15" t="n">
        <f aca="false">H203*I203</f>
        <v>9545.29856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</row>
    <row r="204" s="12" customFormat="true" ht="19.5" hidden="false" customHeight="true" outlineLevel="0" collapsed="false">
      <c r="A204" s="10"/>
      <c r="B204" s="10"/>
      <c r="C204" s="10" t="s">
        <v>251</v>
      </c>
      <c r="D204" s="10" t="s">
        <v>45</v>
      </c>
      <c r="E204" s="10" t="n">
        <v>16000</v>
      </c>
      <c r="F204" s="10" t="n">
        <v>2621.7</v>
      </c>
      <c r="G204" s="10" t="n">
        <v>20</v>
      </c>
      <c r="H204" s="14" t="n">
        <f aca="false">(E204/1000)*(F204/1000)*(G204/1000)*7850</f>
        <v>6585.7104</v>
      </c>
      <c r="I204" s="10" t="n">
        <v>1</v>
      </c>
      <c r="J204" s="15" t="n">
        <f aca="false">H204*I204</f>
        <v>6585.7104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</row>
    <row r="205" s="12" customFormat="true" ht="19.5" hidden="false" customHeight="true" outlineLevel="0" collapsed="false">
      <c r="A205" s="10"/>
      <c r="B205" s="10"/>
      <c r="C205" s="10" t="s">
        <v>252</v>
      </c>
      <c r="D205" s="10" t="s">
        <v>45</v>
      </c>
      <c r="E205" s="10" t="n">
        <v>16000</v>
      </c>
      <c r="F205" s="10" t="n">
        <v>2698.2</v>
      </c>
      <c r="G205" s="10" t="n">
        <v>20</v>
      </c>
      <c r="H205" s="14" t="n">
        <f aca="false">(E205/1000)*(F205/1000)*(G205/1000)*7850</f>
        <v>6777.8784</v>
      </c>
      <c r="I205" s="10" t="n">
        <v>1</v>
      </c>
      <c r="J205" s="15" t="n">
        <f aca="false">H205*I205</f>
        <v>6777.8784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06" s="12" customFormat="true" ht="19.5" hidden="true" customHeight="true" outlineLevel="0" collapsed="false">
      <c r="A206" s="10"/>
      <c r="B206" s="10" t="s">
        <v>63</v>
      </c>
      <c r="C206" s="10" t="s">
        <v>253</v>
      </c>
      <c r="D206" s="10" t="s">
        <v>45</v>
      </c>
      <c r="E206" s="10" t="n">
        <v>13308.2</v>
      </c>
      <c r="F206" s="10" t="n">
        <v>2630</v>
      </c>
      <c r="G206" s="10" t="n">
        <v>16</v>
      </c>
      <c r="H206" s="14" t="n">
        <f aca="false">(E206/1000)*(F206/1000)*(G206/1000)*7850</f>
        <v>4396.0710896</v>
      </c>
      <c r="I206" s="10" t="n">
        <v>1</v>
      </c>
      <c r="J206" s="15" t="n">
        <f aca="false">H206*I206</f>
        <v>4396.0710896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</row>
    <row r="207" s="12" customFormat="true" ht="19.5" hidden="true" customHeight="true" outlineLevel="0" collapsed="false">
      <c r="A207" s="10"/>
      <c r="B207" s="10"/>
      <c r="C207" s="10" t="s">
        <v>254</v>
      </c>
      <c r="D207" s="10" t="s">
        <v>45</v>
      </c>
      <c r="E207" s="10" t="n">
        <v>11127.6</v>
      </c>
      <c r="F207" s="10" t="n">
        <v>2630</v>
      </c>
      <c r="G207" s="10" t="n">
        <v>16</v>
      </c>
      <c r="H207" s="14" t="n">
        <f aca="false">(E207/1000)*(F207/1000)*(G207/1000)*7850</f>
        <v>3675.7578528</v>
      </c>
      <c r="I207" s="10" t="n">
        <v>1</v>
      </c>
      <c r="J207" s="15" t="n">
        <f aca="false">H207*I207</f>
        <v>3675.7578528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</row>
    <row r="208" s="12" customFormat="true" ht="19.5" hidden="false" customHeight="true" outlineLevel="0" collapsed="false">
      <c r="A208" s="10"/>
      <c r="B208" s="10"/>
      <c r="C208" s="10" t="s">
        <v>255</v>
      </c>
      <c r="D208" s="10" t="s">
        <v>45</v>
      </c>
      <c r="E208" s="10" t="n">
        <v>16000</v>
      </c>
      <c r="F208" s="10" t="n">
        <v>2630</v>
      </c>
      <c r="G208" s="10" t="n">
        <v>20</v>
      </c>
      <c r="H208" s="14" t="n">
        <f aca="false">(E208/1000)*(F208/1000)*(G208/1000)*7850</f>
        <v>6606.56</v>
      </c>
      <c r="I208" s="10" t="n">
        <v>4</v>
      </c>
      <c r="J208" s="15" t="n">
        <f aca="false">H208*I208</f>
        <v>26426.24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</row>
    <row r="209" s="12" customFormat="true" ht="19.5" hidden="true" customHeight="true" outlineLevel="0" collapsed="false">
      <c r="A209" s="10"/>
      <c r="B209" s="10"/>
      <c r="C209" s="10" t="s">
        <v>256</v>
      </c>
      <c r="D209" s="10" t="s">
        <v>45</v>
      </c>
      <c r="E209" s="10" t="n">
        <v>16000</v>
      </c>
      <c r="F209" s="10" t="n">
        <v>2630</v>
      </c>
      <c r="G209" s="10" t="n">
        <v>24</v>
      </c>
      <c r="H209" s="14" t="n">
        <f aca="false">(E209/1000)*(F209/1000)*(G209/1000)*7850</f>
        <v>7927.872</v>
      </c>
      <c r="I209" s="10" t="n">
        <v>1</v>
      </c>
      <c r="J209" s="15" t="n">
        <f aca="false">H209*I209</f>
        <v>7927.872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</row>
    <row r="210" s="12" customFormat="true" ht="19.5" hidden="true" customHeight="true" outlineLevel="0" collapsed="false">
      <c r="A210" s="10"/>
      <c r="B210" s="10" t="s">
        <v>68</v>
      </c>
      <c r="C210" s="10" t="s">
        <v>257</v>
      </c>
      <c r="D210" s="10" t="s">
        <v>45</v>
      </c>
      <c r="E210" s="17" t="n">
        <v>19425.8</v>
      </c>
      <c r="F210" s="10" t="n">
        <v>140</v>
      </c>
      <c r="G210" s="10" t="n">
        <v>12</v>
      </c>
      <c r="H210" s="14" t="n">
        <f aca="false">(E210/1000)*(F210/1000)*(G210/1000)*7850</f>
        <v>256.1874504</v>
      </c>
      <c r="I210" s="10" t="n">
        <v>1</v>
      </c>
      <c r="J210" s="15" t="n">
        <f aca="false">H210*I210</f>
        <v>256.1874504</v>
      </c>
      <c r="K210" s="18" t="s">
        <v>70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</row>
    <row r="211" s="12" customFormat="true" ht="19.5" hidden="true" customHeight="true" outlineLevel="0" collapsed="false">
      <c r="A211" s="10"/>
      <c r="B211" s="10"/>
      <c r="C211" s="10" t="s">
        <v>258</v>
      </c>
      <c r="D211" s="10" t="s">
        <v>45</v>
      </c>
      <c r="E211" s="17" t="n">
        <v>71931.7</v>
      </c>
      <c r="F211" s="10" t="n">
        <v>140</v>
      </c>
      <c r="G211" s="10" t="n">
        <v>12</v>
      </c>
      <c r="H211" s="14" t="n">
        <f aca="false">(E211/1000)*(F211/1000)*(G211/1000)*7850</f>
        <v>948.6352596</v>
      </c>
      <c r="I211" s="10" t="n">
        <v>1</v>
      </c>
      <c r="J211" s="15" t="n">
        <f aca="false">H211*I211</f>
        <v>948.6352596</v>
      </c>
      <c r="K211" s="18" t="s">
        <v>70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</row>
    <row r="212" s="12" customFormat="true" ht="19.5" hidden="true" customHeight="true" outlineLevel="0" collapsed="false">
      <c r="A212" s="10"/>
      <c r="B212" s="10"/>
      <c r="C212" s="10" t="s">
        <v>259</v>
      </c>
      <c r="D212" s="10" t="s">
        <v>45</v>
      </c>
      <c r="E212" s="17" t="n">
        <v>26941.6</v>
      </c>
      <c r="F212" s="10" t="n">
        <v>180</v>
      </c>
      <c r="G212" s="10" t="n">
        <v>16</v>
      </c>
      <c r="H212" s="14" t="n">
        <f aca="false">(E212/1000)*(F212/1000)*(G212/1000)*7850</f>
        <v>609.0956928</v>
      </c>
      <c r="I212" s="10" t="n">
        <v>1</v>
      </c>
      <c r="J212" s="15" t="n">
        <f aca="false">H212*I212</f>
        <v>609.0956928</v>
      </c>
      <c r="K212" s="18" t="s">
        <v>70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</row>
    <row r="213" s="12" customFormat="true" ht="19.5" hidden="true" customHeight="true" outlineLevel="0" collapsed="false">
      <c r="A213" s="10"/>
      <c r="B213" s="10" t="s">
        <v>73</v>
      </c>
      <c r="C213" s="10" t="s">
        <v>260</v>
      </c>
      <c r="D213" s="10" t="s">
        <v>45</v>
      </c>
      <c r="E213" s="10" t="n">
        <v>12758.2</v>
      </c>
      <c r="F213" s="10" t="n">
        <v>160</v>
      </c>
      <c r="G213" s="10" t="n">
        <v>14</v>
      </c>
      <c r="H213" s="14" t="n">
        <f aca="false">(E213/1000)*(F213/1000)*(G213/1000)*7850</f>
        <v>224.3401888</v>
      </c>
      <c r="I213" s="10" t="n">
        <v>2</v>
      </c>
      <c r="J213" s="15" t="n">
        <f aca="false">H213*I213</f>
        <v>448.6803776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</row>
    <row r="214" s="12" customFormat="true" ht="19.5" hidden="true" customHeight="true" outlineLevel="0" collapsed="false">
      <c r="A214" s="10"/>
      <c r="B214" s="10"/>
      <c r="C214" s="10" t="s">
        <v>261</v>
      </c>
      <c r="D214" s="10" t="s">
        <v>45</v>
      </c>
      <c r="E214" s="10" t="n">
        <v>10577.6</v>
      </c>
      <c r="F214" s="10" t="n">
        <v>160</v>
      </c>
      <c r="G214" s="10" t="n">
        <v>14</v>
      </c>
      <c r="H214" s="14" t="n">
        <f aca="false">(E214/1000)*(F214/1000)*(G214/1000)*7850</f>
        <v>185.9965184</v>
      </c>
      <c r="I214" s="10" t="n">
        <v>2</v>
      </c>
      <c r="J214" s="15" t="n">
        <f aca="false">H214*I214</f>
        <v>371.9930368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="12" customFormat="true" ht="19.5" hidden="true" customHeight="true" outlineLevel="0" collapsed="false">
      <c r="A215" s="10"/>
      <c r="B215" s="10"/>
      <c r="C215" s="10" t="s">
        <v>262</v>
      </c>
      <c r="D215" s="10" t="s">
        <v>45</v>
      </c>
      <c r="E215" s="10" t="n">
        <v>16000</v>
      </c>
      <c r="F215" s="10" t="n">
        <v>160</v>
      </c>
      <c r="G215" s="10" t="n">
        <v>14</v>
      </c>
      <c r="H215" s="14" t="n">
        <f aca="false">(E215/1000)*(F215/1000)*(G215/1000)*7850</f>
        <v>281.344</v>
      </c>
      <c r="I215" s="10" t="n">
        <v>8</v>
      </c>
      <c r="J215" s="15" t="n">
        <f aca="false">H215*I215</f>
        <v>2250.752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="12" customFormat="true" ht="19.5" hidden="false" customHeight="true" outlineLevel="0" collapsed="false">
      <c r="A216" s="10"/>
      <c r="B216" s="10"/>
      <c r="C216" s="10" t="s">
        <v>263</v>
      </c>
      <c r="D216" s="10" t="s">
        <v>45</v>
      </c>
      <c r="E216" s="10" t="n">
        <v>16000</v>
      </c>
      <c r="F216" s="10" t="n">
        <v>220</v>
      </c>
      <c r="G216" s="10" t="n">
        <v>20</v>
      </c>
      <c r="H216" s="14" t="n">
        <f aca="false">(E216/1000)*(F216/1000)*(G216/1000)*7850</f>
        <v>552.64</v>
      </c>
      <c r="I216" s="10" t="n">
        <v>3</v>
      </c>
      <c r="J216" s="15" t="n">
        <f aca="false">H216*I216</f>
        <v>1657.92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="12" customFormat="true" ht="19.5" hidden="true" customHeight="true" outlineLevel="0" collapsed="false">
      <c r="A217" s="10"/>
      <c r="B217" s="10" t="s">
        <v>78</v>
      </c>
      <c r="C217" s="10"/>
      <c r="D217" s="10"/>
      <c r="E217" s="10"/>
      <c r="F217" s="10"/>
      <c r="G217" s="10"/>
      <c r="H217" s="14"/>
      <c r="I217" s="10"/>
      <c r="J217" s="15" t="n">
        <f aca="false">SUM(J189:J216)</f>
        <v>145490.970298752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="12" customFormat="true" ht="19.5" hidden="false" customHeight="true" outlineLevel="0" collapsed="false">
      <c r="A218" s="10" t="s">
        <v>264</v>
      </c>
      <c r="B218" s="10" t="s">
        <v>43</v>
      </c>
      <c r="C218" s="10" t="s">
        <v>44</v>
      </c>
      <c r="D218" s="10" t="s">
        <v>45</v>
      </c>
      <c r="E218" s="10" t="n">
        <v>11613.3</v>
      </c>
      <c r="F218" s="10" t="n">
        <v>600</v>
      </c>
      <c r="G218" s="10" t="n">
        <v>20</v>
      </c>
      <c r="H218" s="14" t="n">
        <f aca="false">(E218/1000)*(F218/1000)*(G218/1000)*7850</f>
        <v>1093.97286</v>
      </c>
      <c r="I218" s="10" t="n">
        <v>2</v>
      </c>
      <c r="J218" s="15" t="n">
        <f aca="false">H218*I218</f>
        <v>2187.94572</v>
      </c>
      <c r="K218" s="10"/>
      <c r="L218" s="10" t="str">
        <f aca="false">A218</f>
        <v>下层1#</v>
      </c>
      <c r="M218" s="16" t="n">
        <f aca="false">SUMIF(G218:G245,$M$3,J218:J245)</f>
        <v>1302.6961332</v>
      </c>
      <c r="N218" s="16" t="n">
        <f aca="false">SUMIF(G218:G245,$N$3,J218:J245)</f>
        <v>40597.3167264</v>
      </c>
      <c r="O218" s="16" t="n">
        <f aca="false">SUMIF(G218:G245,$O$3,J218:J245)</f>
        <v>23998.445351112</v>
      </c>
      <c r="P218" s="16" t="n">
        <f aca="false">SUMIF(G218:G245,$P$3,J218:J245)</f>
        <v>45932.10212</v>
      </c>
      <c r="Q218" s="16" t="n">
        <f aca="false">SUMIF(G218:G245,$Q$3,J218:J245)</f>
        <v>15162.432</v>
      </c>
      <c r="R218" s="16" t="n">
        <f aca="false">SUMIF(G218:G245,$R$3,J218:J245)</f>
        <v>9043.2</v>
      </c>
      <c r="S218" s="16" t="n">
        <f aca="false">SUMIF(G218:G245,$S$3,J218:J245)</f>
        <v>6933.12</v>
      </c>
      <c r="T218" s="16" t="n">
        <f aca="false">SUM(M218:S246)</f>
        <v>142969.312330712</v>
      </c>
      <c r="U218" s="16" t="n">
        <v>142969.3</v>
      </c>
      <c r="V218" s="16" t="n">
        <f aca="false">T218-U218</f>
        <v>0.0123307119938545</v>
      </c>
      <c r="W218" s="10"/>
    </row>
    <row r="219" s="12" customFormat="true" ht="19.5" hidden="false" customHeight="true" outlineLevel="0" collapsed="false">
      <c r="A219" s="10"/>
      <c r="B219" s="10"/>
      <c r="C219" s="10" t="s">
        <v>46</v>
      </c>
      <c r="D219" s="10" t="s">
        <v>45</v>
      </c>
      <c r="E219" s="10" t="n">
        <v>12189</v>
      </c>
      <c r="F219" s="10" t="n">
        <v>600</v>
      </c>
      <c r="G219" s="10" t="n">
        <v>20</v>
      </c>
      <c r="H219" s="14" t="n">
        <f aca="false">(E219/1000)*(F219/1000)*(G219/1000)*7850</f>
        <v>1148.2038</v>
      </c>
      <c r="I219" s="10" t="n">
        <v>2</v>
      </c>
      <c r="J219" s="15" t="n">
        <f aca="false">H219*I219</f>
        <v>2296.4076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="12" customFormat="true" ht="19.5" hidden="true" customHeight="true" outlineLevel="0" collapsed="false">
      <c r="A220" s="10"/>
      <c r="B220" s="10"/>
      <c r="C220" s="10" t="s">
        <v>47</v>
      </c>
      <c r="D220" s="10" t="s">
        <v>45</v>
      </c>
      <c r="E220" s="10" t="n">
        <v>16000</v>
      </c>
      <c r="F220" s="10" t="n">
        <v>600</v>
      </c>
      <c r="G220" s="10" t="n">
        <v>30</v>
      </c>
      <c r="H220" s="14" t="n">
        <f aca="false">(E220/1000)*(F220/1000)*(G220/1000)*7850</f>
        <v>2260.8</v>
      </c>
      <c r="I220" s="10" t="n">
        <v>4</v>
      </c>
      <c r="J220" s="15" t="n">
        <f aca="false">H220*I220</f>
        <v>9043.2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="12" customFormat="true" ht="19.5" hidden="true" customHeight="true" outlineLevel="0" collapsed="false">
      <c r="A221" s="10"/>
      <c r="B221" s="10"/>
      <c r="C221" s="10" t="s">
        <v>48</v>
      </c>
      <c r="D221" s="10" t="s">
        <v>45</v>
      </c>
      <c r="E221" s="10" t="n">
        <v>16000</v>
      </c>
      <c r="F221" s="10" t="n">
        <v>600</v>
      </c>
      <c r="G221" s="10" t="n">
        <v>24</v>
      </c>
      <c r="H221" s="14" t="n">
        <f aca="false">(E221/1000)*(F221/1000)*(G221/1000)*7850</f>
        <v>1808.64</v>
      </c>
      <c r="I221" s="10" t="n">
        <v>4</v>
      </c>
      <c r="J221" s="15" t="n">
        <f aca="false">H221*I221</f>
        <v>7234.56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="12" customFormat="true" ht="19.5" hidden="true" customHeight="true" outlineLevel="0" collapsed="false">
      <c r="A222" s="10"/>
      <c r="B222" s="10"/>
      <c r="C222" s="10" t="s">
        <v>49</v>
      </c>
      <c r="D222" s="10" t="s">
        <v>45</v>
      </c>
      <c r="E222" s="10" t="n">
        <v>3700</v>
      </c>
      <c r="F222" s="10" t="n">
        <v>600</v>
      </c>
      <c r="G222" s="10" t="n">
        <v>40</v>
      </c>
      <c r="H222" s="14" t="n">
        <f aca="false">(E222/1000)*(F222/1000)*(G222/1000)*7850</f>
        <v>697.08</v>
      </c>
      <c r="I222" s="10" t="n">
        <v>2</v>
      </c>
      <c r="J222" s="15" t="n">
        <f aca="false">H222*I222</f>
        <v>1394.16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="12" customFormat="true" ht="19.5" hidden="true" customHeight="true" outlineLevel="0" collapsed="false">
      <c r="A223" s="10"/>
      <c r="B223" s="10"/>
      <c r="C223" s="10" t="s">
        <v>50</v>
      </c>
      <c r="D223" s="10" t="s">
        <v>45</v>
      </c>
      <c r="E223" s="10" t="n">
        <v>7200</v>
      </c>
      <c r="F223" s="10" t="n">
        <v>800</v>
      </c>
      <c r="G223" s="10" t="n">
        <v>40</v>
      </c>
      <c r="H223" s="14" t="n">
        <f aca="false">(E223/1000)*(F223/1000)*(G223/1000)*7850</f>
        <v>1808.64</v>
      </c>
      <c r="I223" s="10" t="n">
        <v>2</v>
      </c>
      <c r="J223" s="15" t="n">
        <f aca="false">H223*I223</f>
        <v>3617.28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="12" customFormat="true" ht="19.5" hidden="true" customHeight="true" outlineLevel="0" collapsed="false">
      <c r="A224" s="10"/>
      <c r="B224" s="10"/>
      <c r="C224" s="10" t="s">
        <v>51</v>
      </c>
      <c r="D224" s="10" t="s">
        <v>45</v>
      </c>
      <c r="E224" s="10" t="n">
        <v>5100</v>
      </c>
      <c r="F224" s="10" t="n">
        <v>600</v>
      </c>
      <c r="G224" s="10" t="n">
        <v>40</v>
      </c>
      <c r="H224" s="14" t="n">
        <f aca="false">(E224/1000)*(F224/1000)*(G224/1000)*7850</f>
        <v>960.84</v>
      </c>
      <c r="I224" s="10" t="n">
        <v>2</v>
      </c>
      <c r="J224" s="15" t="n">
        <f aca="false">H224*I224</f>
        <v>1921.68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="12" customFormat="true" ht="19.5" hidden="true" customHeight="true" outlineLevel="0" collapsed="false">
      <c r="A225" s="10"/>
      <c r="B225" s="10" t="s">
        <v>52</v>
      </c>
      <c r="C225" s="10" t="s">
        <v>53</v>
      </c>
      <c r="D225" s="10" t="s">
        <v>45</v>
      </c>
      <c r="E225" s="10" t="n">
        <v>11613.3</v>
      </c>
      <c r="F225" s="10" t="n">
        <v>2641.7</v>
      </c>
      <c r="G225" s="10" t="n">
        <v>16</v>
      </c>
      <c r="H225" s="14" t="n">
        <f aca="false">(E225/1000)*(F225/1000)*(G225/1000)*7850</f>
        <v>3853.264139016</v>
      </c>
      <c r="I225" s="10" t="n">
        <v>1</v>
      </c>
      <c r="J225" s="15" t="n">
        <f aca="false">H225*I225</f>
        <v>3853.264139016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="12" customFormat="true" ht="19.5" hidden="true" customHeight="true" outlineLevel="0" collapsed="false">
      <c r="A226" s="10"/>
      <c r="B226" s="10"/>
      <c r="C226" s="10" t="s">
        <v>54</v>
      </c>
      <c r="D226" s="10" t="s">
        <v>45</v>
      </c>
      <c r="E226" s="10" t="n">
        <v>11613.3</v>
      </c>
      <c r="F226" s="10" t="n">
        <v>2718.2</v>
      </c>
      <c r="G226" s="10" t="n">
        <v>16</v>
      </c>
      <c r="H226" s="14" t="n">
        <f aca="false">(E226/1000)*(F226/1000)*(G226/1000)*7850</f>
        <v>3964.849370736</v>
      </c>
      <c r="I226" s="10" t="n">
        <v>1</v>
      </c>
      <c r="J226" s="15" t="n">
        <f aca="false">H226*I226</f>
        <v>3964.849370736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="12" customFormat="true" ht="19.5" hidden="true" customHeight="true" outlineLevel="0" collapsed="false">
      <c r="A227" s="10"/>
      <c r="B227" s="10"/>
      <c r="C227" s="10" t="s">
        <v>55</v>
      </c>
      <c r="D227" s="10" t="s">
        <v>45</v>
      </c>
      <c r="E227" s="10" t="n">
        <v>12189</v>
      </c>
      <c r="F227" s="10" t="n">
        <v>2641.7</v>
      </c>
      <c r="G227" s="10" t="n">
        <v>16</v>
      </c>
      <c r="H227" s="14" t="n">
        <f aca="false">(E227/1000)*(F227/1000)*(G227/1000)*7850</f>
        <v>4044.27997128</v>
      </c>
      <c r="I227" s="10" t="n">
        <v>1</v>
      </c>
      <c r="J227" s="15" t="n">
        <f aca="false">H227*I227</f>
        <v>4044.27997128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="12" customFormat="true" ht="19.5" hidden="true" customHeight="true" outlineLevel="0" collapsed="false">
      <c r="A228" s="10"/>
      <c r="B228" s="10"/>
      <c r="C228" s="10" t="s">
        <v>56</v>
      </c>
      <c r="D228" s="10" t="s">
        <v>45</v>
      </c>
      <c r="E228" s="10" t="n">
        <v>12189</v>
      </c>
      <c r="F228" s="10" t="n">
        <v>2718.2</v>
      </c>
      <c r="G228" s="10" t="n">
        <v>16</v>
      </c>
      <c r="H228" s="14" t="n">
        <f aca="false">(E228/1000)*(F228/1000)*(G228/1000)*7850</f>
        <v>4161.39675888</v>
      </c>
      <c r="I228" s="10" t="n">
        <v>1</v>
      </c>
      <c r="J228" s="15" t="n">
        <f aca="false">H228*I228</f>
        <v>4161.39675888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="12" customFormat="true" ht="19.5" hidden="true" customHeight="true" outlineLevel="0" collapsed="false">
      <c r="A229" s="10"/>
      <c r="B229" s="10"/>
      <c r="C229" s="10" t="s">
        <v>57</v>
      </c>
      <c r="D229" s="10" t="s">
        <v>45</v>
      </c>
      <c r="E229" s="10" t="n">
        <v>16000</v>
      </c>
      <c r="F229" s="10" t="n">
        <v>2631.7</v>
      </c>
      <c r="G229" s="10" t="n">
        <v>14</v>
      </c>
      <c r="H229" s="14" t="n">
        <f aca="false">(E229/1000)*(F229/1000)*(G229/1000)*7850</f>
        <v>4627.58128</v>
      </c>
      <c r="I229" s="10" t="n">
        <v>2</v>
      </c>
      <c r="J229" s="15" t="n">
        <f aca="false">H229*I229</f>
        <v>9255.16256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="12" customFormat="true" ht="19.5" hidden="true" customHeight="true" outlineLevel="0" collapsed="false">
      <c r="A230" s="10"/>
      <c r="B230" s="10"/>
      <c r="C230" s="10" t="s">
        <v>58</v>
      </c>
      <c r="D230" s="10" t="s">
        <v>45</v>
      </c>
      <c r="E230" s="10" t="n">
        <v>16000</v>
      </c>
      <c r="F230" s="10" t="n">
        <v>2708.2</v>
      </c>
      <c r="G230" s="10" t="n">
        <v>14</v>
      </c>
      <c r="H230" s="14" t="n">
        <f aca="false">(E230/1000)*(F230/1000)*(G230/1000)*7850</f>
        <v>4762.09888</v>
      </c>
      <c r="I230" s="10" t="n">
        <v>2</v>
      </c>
      <c r="J230" s="15" t="n">
        <f aca="false">H230*I230</f>
        <v>9524.19776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1" s="12" customFormat="true" ht="19.5" hidden="true" customHeight="true" outlineLevel="0" collapsed="false">
      <c r="A231" s="10"/>
      <c r="B231" s="10"/>
      <c r="C231" s="10" t="s">
        <v>59</v>
      </c>
      <c r="D231" s="10" t="s">
        <v>45</v>
      </c>
      <c r="E231" s="10" t="n">
        <v>16000</v>
      </c>
      <c r="F231" s="10" t="n">
        <v>2637.7</v>
      </c>
      <c r="G231" s="10" t="n">
        <v>14</v>
      </c>
      <c r="H231" s="14" t="n">
        <f aca="false">(E231/1000)*(F231/1000)*(G231/1000)*7850</f>
        <v>4638.13168</v>
      </c>
      <c r="I231" s="10" t="n">
        <v>2</v>
      </c>
      <c r="J231" s="15" t="n">
        <f aca="false">H231*I231</f>
        <v>9276.26336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</row>
    <row r="232" s="12" customFormat="true" ht="19.5" hidden="true" customHeight="true" outlineLevel="0" collapsed="false">
      <c r="A232" s="10"/>
      <c r="B232" s="10"/>
      <c r="C232" s="10" t="s">
        <v>60</v>
      </c>
      <c r="D232" s="10" t="s">
        <v>45</v>
      </c>
      <c r="E232" s="10" t="n">
        <v>16000</v>
      </c>
      <c r="F232" s="10" t="n">
        <v>2714.2</v>
      </c>
      <c r="G232" s="10" t="n">
        <v>14</v>
      </c>
      <c r="H232" s="14" t="n">
        <f aca="false">(E232/1000)*(F232/1000)*(G232/1000)*7850</f>
        <v>4772.64928</v>
      </c>
      <c r="I232" s="10" t="n">
        <v>2</v>
      </c>
      <c r="J232" s="15" t="n">
        <f aca="false">H232*I232</f>
        <v>9545.29856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</row>
    <row r="233" s="12" customFormat="true" ht="19.5" hidden="false" customHeight="true" outlineLevel="0" collapsed="false">
      <c r="A233" s="10"/>
      <c r="B233" s="10"/>
      <c r="C233" s="10" t="s">
        <v>61</v>
      </c>
      <c r="D233" s="10" t="s">
        <v>45</v>
      </c>
      <c r="E233" s="10" t="n">
        <v>16000</v>
      </c>
      <c r="F233" s="10" t="n">
        <v>2621.7</v>
      </c>
      <c r="G233" s="10" t="n">
        <v>20</v>
      </c>
      <c r="H233" s="14" t="n">
        <f aca="false">(E233/1000)*(F233/1000)*(G233/1000)*7850</f>
        <v>6585.7104</v>
      </c>
      <c r="I233" s="10" t="n">
        <v>1</v>
      </c>
      <c r="J233" s="15" t="n">
        <f aca="false">H233*I233</f>
        <v>6585.7104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</row>
    <row r="234" s="12" customFormat="true" ht="19.5" hidden="false" customHeight="true" outlineLevel="0" collapsed="false">
      <c r="A234" s="10"/>
      <c r="B234" s="10"/>
      <c r="C234" s="10" t="s">
        <v>62</v>
      </c>
      <c r="D234" s="10" t="s">
        <v>45</v>
      </c>
      <c r="E234" s="10" t="n">
        <v>16000</v>
      </c>
      <c r="F234" s="10" t="n">
        <v>2698.2</v>
      </c>
      <c r="G234" s="10" t="n">
        <v>20</v>
      </c>
      <c r="H234" s="14" t="n">
        <f aca="false">(E234/1000)*(F234/1000)*(G234/1000)*7850</f>
        <v>6777.8784</v>
      </c>
      <c r="I234" s="10" t="n">
        <v>1</v>
      </c>
      <c r="J234" s="15" t="n">
        <f aca="false">H234*I234</f>
        <v>6777.8784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</row>
    <row r="235" s="12" customFormat="true" ht="19.5" hidden="true" customHeight="true" outlineLevel="0" collapsed="false">
      <c r="A235" s="10"/>
      <c r="B235" s="10" t="s">
        <v>63</v>
      </c>
      <c r="C235" s="10" t="s">
        <v>64</v>
      </c>
      <c r="D235" s="10" t="s">
        <v>45</v>
      </c>
      <c r="E235" s="10" t="n">
        <v>10863.3</v>
      </c>
      <c r="F235" s="10" t="n">
        <v>2630</v>
      </c>
      <c r="G235" s="10" t="n">
        <v>16</v>
      </c>
      <c r="H235" s="14" t="n">
        <f aca="false">(E235/1000)*(F235/1000)*(G235/1000)*7850</f>
        <v>3588.4521624</v>
      </c>
      <c r="I235" s="10" t="n">
        <v>1</v>
      </c>
      <c r="J235" s="15" t="n">
        <f aca="false">H235*I235</f>
        <v>3588.4521624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</row>
    <row r="236" s="12" customFormat="true" ht="19.5" hidden="true" customHeight="true" outlineLevel="0" collapsed="false">
      <c r="A236" s="10"/>
      <c r="B236" s="10"/>
      <c r="C236" s="10" t="s">
        <v>65</v>
      </c>
      <c r="D236" s="10" t="s">
        <v>45</v>
      </c>
      <c r="E236" s="10" t="n">
        <v>11439</v>
      </c>
      <c r="F236" s="10" t="n">
        <v>2630</v>
      </c>
      <c r="G236" s="10" t="n">
        <v>16</v>
      </c>
      <c r="H236" s="14" t="n">
        <f aca="false">(E236/1000)*(F236/1000)*(G236/1000)*7850</f>
        <v>3778.621992</v>
      </c>
      <c r="I236" s="10" t="n">
        <v>1</v>
      </c>
      <c r="J236" s="15" t="n">
        <f aca="false">H236*I236</f>
        <v>3778.621992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</row>
    <row r="237" s="12" customFormat="true" ht="19.5" hidden="false" customHeight="true" outlineLevel="0" collapsed="false">
      <c r="A237" s="10"/>
      <c r="B237" s="10"/>
      <c r="C237" s="10" t="s">
        <v>66</v>
      </c>
      <c r="D237" s="10" t="s">
        <v>45</v>
      </c>
      <c r="E237" s="10" t="n">
        <v>16000</v>
      </c>
      <c r="F237" s="10" t="n">
        <v>2630</v>
      </c>
      <c r="G237" s="10" t="n">
        <v>20</v>
      </c>
      <c r="H237" s="14" t="n">
        <f aca="false">(E237/1000)*(F237/1000)*(G237/1000)*7850</f>
        <v>6606.56</v>
      </c>
      <c r="I237" s="10" t="n">
        <v>4</v>
      </c>
      <c r="J237" s="15" t="n">
        <f aca="false">H237*I237</f>
        <v>26426.24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</row>
    <row r="238" s="12" customFormat="true" ht="19.5" hidden="true" customHeight="true" outlineLevel="0" collapsed="false">
      <c r="A238" s="10"/>
      <c r="B238" s="10"/>
      <c r="C238" s="10" t="s">
        <v>67</v>
      </c>
      <c r="D238" s="10" t="s">
        <v>45</v>
      </c>
      <c r="E238" s="10" t="n">
        <v>16000</v>
      </c>
      <c r="F238" s="10" t="n">
        <v>2630</v>
      </c>
      <c r="G238" s="10" t="n">
        <v>24</v>
      </c>
      <c r="H238" s="14" t="n">
        <f aca="false">(E238/1000)*(F238/1000)*(G238/1000)*7850</f>
        <v>7927.872</v>
      </c>
      <c r="I238" s="10" t="n">
        <v>1</v>
      </c>
      <c r="J238" s="15" t="n">
        <f aca="false">H238*I238</f>
        <v>7927.872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</row>
    <row r="239" s="12" customFormat="true" ht="19.5" hidden="true" customHeight="true" outlineLevel="0" collapsed="false">
      <c r="A239" s="10"/>
      <c r="B239" s="10" t="s">
        <v>68</v>
      </c>
      <c r="C239" s="10" t="s">
        <v>69</v>
      </c>
      <c r="D239" s="10" t="s">
        <v>45</v>
      </c>
      <c r="E239" s="17" t="n">
        <v>18538</v>
      </c>
      <c r="F239" s="10" t="n">
        <v>140</v>
      </c>
      <c r="G239" s="10" t="n">
        <v>12</v>
      </c>
      <c r="H239" s="14" t="n">
        <f aca="false">(E239/1000)*(F239/1000)*(G239/1000)*7850</f>
        <v>244.479144</v>
      </c>
      <c r="I239" s="10" t="n">
        <v>1</v>
      </c>
      <c r="J239" s="15" t="n">
        <f aca="false">H239*I239</f>
        <v>244.479144</v>
      </c>
      <c r="K239" s="18" t="s">
        <v>70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</row>
    <row r="240" s="12" customFormat="true" ht="19.5" hidden="true" customHeight="true" outlineLevel="0" collapsed="false">
      <c r="A240" s="10"/>
      <c r="B240" s="10"/>
      <c r="C240" s="10" t="s">
        <v>71</v>
      </c>
      <c r="D240" s="10" t="s">
        <v>45</v>
      </c>
      <c r="E240" s="17" t="n">
        <v>80240.9</v>
      </c>
      <c r="F240" s="10" t="n">
        <v>140</v>
      </c>
      <c r="G240" s="10" t="n">
        <v>12</v>
      </c>
      <c r="H240" s="14" t="n">
        <f aca="false">(E240/1000)*(F240/1000)*(G240/1000)*7850</f>
        <v>1058.2169892</v>
      </c>
      <c r="I240" s="10" t="n">
        <v>1</v>
      </c>
      <c r="J240" s="15" t="n">
        <f aca="false">H240*I240</f>
        <v>1058.2169892</v>
      </c>
      <c r="K240" s="18" t="s">
        <v>70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</row>
    <row r="241" s="12" customFormat="true" ht="19.5" hidden="true" customHeight="true" outlineLevel="0" collapsed="false">
      <c r="A241" s="10"/>
      <c r="B241" s="10"/>
      <c r="C241" s="10" t="s">
        <v>72</v>
      </c>
      <c r="D241" s="10" t="s">
        <v>45</v>
      </c>
      <c r="E241" s="17" t="n">
        <v>26874.6</v>
      </c>
      <c r="F241" s="10" t="n">
        <v>180</v>
      </c>
      <c r="G241" s="10" t="n">
        <v>16</v>
      </c>
      <c r="H241" s="14" t="n">
        <f aca="false">(E241/1000)*(F241/1000)*(G241/1000)*7850</f>
        <v>607.5809568</v>
      </c>
      <c r="I241" s="10" t="n">
        <v>1</v>
      </c>
      <c r="J241" s="15" t="n">
        <f aca="false">H241*I241</f>
        <v>607.5809568</v>
      </c>
      <c r="K241" s="18" t="s">
        <v>70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</row>
    <row r="242" s="12" customFormat="true" ht="19.5" hidden="true" customHeight="true" outlineLevel="0" collapsed="false">
      <c r="A242" s="10"/>
      <c r="B242" s="10" t="s">
        <v>73</v>
      </c>
      <c r="C242" s="10" t="s">
        <v>74</v>
      </c>
      <c r="D242" s="10" t="s">
        <v>45</v>
      </c>
      <c r="E242" s="10" t="n">
        <v>10313.3</v>
      </c>
      <c r="F242" s="10" t="n">
        <v>160</v>
      </c>
      <c r="G242" s="10" t="n">
        <v>14</v>
      </c>
      <c r="H242" s="14" t="n">
        <f aca="false">(E242/1000)*(F242/1000)*(G242/1000)*7850</f>
        <v>181.3490672</v>
      </c>
      <c r="I242" s="10" t="n">
        <v>2</v>
      </c>
      <c r="J242" s="15" t="n">
        <f aca="false">H242*I242</f>
        <v>362.6981344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</row>
    <row r="243" s="12" customFormat="true" ht="19.5" hidden="true" customHeight="true" outlineLevel="0" collapsed="false">
      <c r="A243" s="10"/>
      <c r="B243" s="10"/>
      <c r="C243" s="10" t="s">
        <v>75</v>
      </c>
      <c r="D243" s="10" t="s">
        <v>45</v>
      </c>
      <c r="E243" s="10" t="n">
        <v>10889</v>
      </c>
      <c r="F243" s="10" t="n">
        <v>160</v>
      </c>
      <c r="G243" s="10" t="n">
        <v>14</v>
      </c>
      <c r="H243" s="14" t="n">
        <f aca="false">(E243/1000)*(F243/1000)*(G243/1000)*7850</f>
        <v>191.472176</v>
      </c>
      <c r="I243" s="10" t="n">
        <v>2</v>
      </c>
      <c r="J243" s="15" t="n">
        <f aca="false">H243*I243</f>
        <v>382.944352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</row>
    <row r="244" s="12" customFormat="true" ht="19.5" hidden="true" customHeight="true" outlineLevel="0" collapsed="false">
      <c r="A244" s="10"/>
      <c r="B244" s="10"/>
      <c r="C244" s="10" t="s">
        <v>76</v>
      </c>
      <c r="D244" s="10" t="s">
        <v>45</v>
      </c>
      <c r="E244" s="10" t="n">
        <v>16000</v>
      </c>
      <c r="F244" s="10" t="n">
        <v>160</v>
      </c>
      <c r="G244" s="10" t="n">
        <v>14</v>
      </c>
      <c r="H244" s="14" t="n">
        <f aca="false">(E244/1000)*(F244/1000)*(G244/1000)*7850</f>
        <v>281.344</v>
      </c>
      <c r="I244" s="10" t="n">
        <v>8</v>
      </c>
      <c r="J244" s="15" t="n">
        <f aca="false">H244*I244</f>
        <v>2250.752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</row>
    <row r="245" s="12" customFormat="true" ht="19.5" hidden="false" customHeight="true" outlineLevel="0" collapsed="false">
      <c r="A245" s="10"/>
      <c r="B245" s="10"/>
      <c r="C245" s="10" t="s">
        <v>77</v>
      </c>
      <c r="D245" s="10" t="s">
        <v>45</v>
      </c>
      <c r="E245" s="10" t="n">
        <v>16000</v>
      </c>
      <c r="F245" s="10" t="n">
        <v>220</v>
      </c>
      <c r="G245" s="10" t="n">
        <v>20</v>
      </c>
      <c r="H245" s="14" t="n">
        <f aca="false">(E245/1000)*(F245/1000)*(G245/1000)*7850</f>
        <v>552.64</v>
      </c>
      <c r="I245" s="10" t="n">
        <v>3</v>
      </c>
      <c r="J245" s="15" t="n">
        <f aca="false">H245*I245</f>
        <v>1657.92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</row>
    <row r="246" s="12" customFormat="true" ht="19.5" hidden="true" customHeight="true" outlineLevel="0" collapsed="false">
      <c r="A246" s="10"/>
      <c r="B246" s="10" t="s">
        <v>78</v>
      </c>
      <c r="C246" s="10"/>
      <c r="D246" s="10"/>
      <c r="E246" s="10"/>
      <c r="F246" s="10"/>
      <c r="G246" s="10"/>
      <c r="H246" s="14"/>
      <c r="I246" s="10"/>
      <c r="J246" s="15" t="n">
        <f aca="false">SUM(J218:J245)</f>
        <v>142969.312330712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</row>
    <row r="247" s="12" customFormat="true" ht="19.5" hidden="false" customHeight="true" outlineLevel="0" collapsed="false">
      <c r="A247" s="10" t="s">
        <v>265</v>
      </c>
      <c r="B247" s="10" t="s">
        <v>43</v>
      </c>
      <c r="C247" s="10" t="s">
        <v>80</v>
      </c>
      <c r="D247" s="10" t="s">
        <v>45</v>
      </c>
      <c r="E247" s="10" t="n">
        <v>7368.3</v>
      </c>
      <c r="F247" s="10" t="n">
        <v>600</v>
      </c>
      <c r="G247" s="10" t="n">
        <v>20</v>
      </c>
      <c r="H247" s="14" t="n">
        <f aca="false">(E247/1000)*(F247/1000)*(G247/1000)*7850</f>
        <v>694.09386</v>
      </c>
      <c r="I247" s="10" t="n">
        <v>2</v>
      </c>
      <c r="J247" s="15" t="n">
        <f aca="false">H247*I247</f>
        <v>1388.18772</v>
      </c>
      <c r="K247" s="10"/>
      <c r="L247" s="10" t="str">
        <f aca="false">A247</f>
        <v>下层2#</v>
      </c>
      <c r="M247" s="16" t="n">
        <f aca="false">SUMIF(G247:G271,$M$3,J247:J271)</f>
        <v>1188.2005548</v>
      </c>
      <c r="N247" s="16" t="n">
        <f aca="false">SUMIF(G247:G271,$N$3,J247:J271)</f>
        <v>40650.0827936</v>
      </c>
      <c r="O247" s="16" t="n">
        <f aca="false">SUMIF(G247:G271,$O$3,J247:J271)</f>
        <v>24266.708608488</v>
      </c>
      <c r="P247" s="16" t="n">
        <f aca="false">SUMIF(G247:G271,$P$3,J247:J271)</f>
        <v>45988.69748</v>
      </c>
      <c r="Q247" s="16" t="n">
        <f aca="false">SUMIF(G247:G271,$Q$3,J247:J271)</f>
        <v>22396.992</v>
      </c>
      <c r="R247" s="16" t="n">
        <f aca="false">SUMIF(G247:G271,$R$3,J247:J271)</f>
        <v>0</v>
      </c>
      <c r="S247" s="16" t="n">
        <f aca="false">SUMIF(G247:G271,$S$3,J247:J271)</f>
        <v>6933.12</v>
      </c>
      <c r="T247" s="16" t="n">
        <f aca="false">SUM(M247:S272)</f>
        <v>141423.801436888</v>
      </c>
      <c r="U247" s="16" t="n">
        <v>141423.8</v>
      </c>
      <c r="V247" s="16" t="n">
        <f aca="false">T247-U247</f>
        <v>0.00143688800744712</v>
      </c>
      <c r="W247" s="10"/>
    </row>
    <row r="248" s="12" customFormat="true" ht="19.5" hidden="false" customHeight="true" outlineLevel="0" collapsed="false">
      <c r="A248" s="10"/>
      <c r="B248" s="10"/>
      <c r="C248" s="10" t="s">
        <v>81</v>
      </c>
      <c r="D248" s="10" t="s">
        <v>45</v>
      </c>
      <c r="E248" s="10" t="n">
        <v>16734.4</v>
      </c>
      <c r="F248" s="10" t="n">
        <v>600</v>
      </c>
      <c r="G248" s="10" t="n">
        <v>20</v>
      </c>
      <c r="H248" s="14" t="n">
        <f aca="false">(E248/1000)*(F248/1000)*(G248/1000)*7850</f>
        <v>1576.38048</v>
      </c>
      <c r="I248" s="10" t="n">
        <v>2</v>
      </c>
      <c r="J248" s="15" t="n">
        <f aca="false">H248*I248</f>
        <v>3152.76096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</row>
    <row r="249" s="12" customFormat="true" ht="19.5" hidden="true" customHeight="true" outlineLevel="0" collapsed="false">
      <c r="A249" s="10"/>
      <c r="B249" s="10"/>
      <c r="C249" s="10" t="s">
        <v>82</v>
      </c>
      <c r="D249" s="10" t="s">
        <v>45</v>
      </c>
      <c r="E249" s="10" t="n">
        <v>16000</v>
      </c>
      <c r="F249" s="10" t="n">
        <v>600</v>
      </c>
      <c r="G249" s="10" t="n">
        <v>24</v>
      </c>
      <c r="H249" s="14" t="n">
        <f aca="false">(E249/1000)*(F249/1000)*(G249/1000)*7850</f>
        <v>1808.64</v>
      </c>
      <c r="I249" s="10" t="n">
        <v>8</v>
      </c>
      <c r="J249" s="15" t="n">
        <f aca="false">H249*I249</f>
        <v>14469.12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</row>
    <row r="250" s="12" customFormat="true" ht="19.5" hidden="true" customHeight="true" outlineLevel="0" collapsed="false">
      <c r="A250" s="10"/>
      <c r="B250" s="10"/>
      <c r="C250" s="10" t="s">
        <v>83</v>
      </c>
      <c r="D250" s="10" t="s">
        <v>45</v>
      </c>
      <c r="E250" s="10" t="n">
        <v>3900</v>
      </c>
      <c r="F250" s="10" t="n">
        <v>600</v>
      </c>
      <c r="G250" s="10" t="n">
        <v>40</v>
      </c>
      <c r="H250" s="14" t="n">
        <f aca="false">(E250/1000)*(F250/1000)*(G250/1000)*7850</f>
        <v>734.76</v>
      </c>
      <c r="I250" s="10" t="n">
        <v>2</v>
      </c>
      <c r="J250" s="15" t="n">
        <f aca="false">H250*I250</f>
        <v>1469.52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</row>
    <row r="251" s="12" customFormat="true" ht="19.5" hidden="true" customHeight="true" outlineLevel="0" collapsed="false">
      <c r="A251" s="10"/>
      <c r="B251" s="10"/>
      <c r="C251" s="10" t="s">
        <v>84</v>
      </c>
      <c r="D251" s="10" t="s">
        <v>45</v>
      </c>
      <c r="E251" s="10" t="n">
        <v>7200</v>
      </c>
      <c r="F251" s="10" t="n">
        <v>800</v>
      </c>
      <c r="G251" s="10" t="n">
        <v>40</v>
      </c>
      <c r="H251" s="14" t="n">
        <f aca="false">(E251/1000)*(F251/1000)*(G251/1000)*7850</f>
        <v>1808.64</v>
      </c>
      <c r="I251" s="10" t="n">
        <v>2</v>
      </c>
      <c r="J251" s="15" t="n">
        <f aca="false">H251*I251</f>
        <v>3617.28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</row>
    <row r="252" s="12" customFormat="true" ht="19.5" hidden="true" customHeight="true" outlineLevel="0" collapsed="false">
      <c r="A252" s="10"/>
      <c r="B252" s="10"/>
      <c r="C252" s="10" t="s">
        <v>85</v>
      </c>
      <c r="D252" s="10" t="s">
        <v>45</v>
      </c>
      <c r="E252" s="10" t="n">
        <v>4900</v>
      </c>
      <c r="F252" s="10" t="n">
        <v>600</v>
      </c>
      <c r="G252" s="10" t="n">
        <v>40</v>
      </c>
      <c r="H252" s="14" t="n">
        <f aca="false">(E252/1000)*(F252/1000)*(G252/1000)*7850</f>
        <v>923.16</v>
      </c>
      <c r="I252" s="10" t="n">
        <v>2</v>
      </c>
      <c r="J252" s="15" t="n">
        <f aca="false">H252*I252</f>
        <v>1846.32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</row>
    <row r="253" s="12" customFormat="true" ht="19.5" hidden="true" customHeight="true" outlineLevel="0" collapsed="false">
      <c r="A253" s="10"/>
      <c r="B253" s="10" t="s">
        <v>52</v>
      </c>
      <c r="C253" s="10" t="s">
        <v>86</v>
      </c>
      <c r="D253" s="10" t="s">
        <v>45</v>
      </c>
      <c r="E253" s="10" t="n">
        <v>7368.3</v>
      </c>
      <c r="F253" s="10" t="n">
        <v>2641.7</v>
      </c>
      <c r="G253" s="10" t="n">
        <v>16</v>
      </c>
      <c r="H253" s="14" t="n">
        <f aca="false">(E253/1000)*(F253/1000)*(G253/1000)*7850</f>
        <v>2444.783666616</v>
      </c>
      <c r="I253" s="10" t="n">
        <v>1</v>
      </c>
      <c r="J253" s="15" t="n">
        <f aca="false">H253*I253</f>
        <v>2444.783666616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</row>
    <row r="254" s="12" customFormat="true" ht="19.5" hidden="true" customHeight="true" outlineLevel="0" collapsed="false">
      <c r="A254" s="10"/>
      <c r="B254" s="10"/>
      <c r="C254" s="10" t="s">
        <v>87</v>
      </c>
      <c r="D254" s="10" t="s">
        <v>45</v>
      </c>
      <c r="E254" s="10" t="n">
        <v>7368.3</v>
      </c>
      <c r="F254" s="10" t="n">
        <v>2718.2</v>
      </c>
      <c r="G254" s="10" t="n">
        <v>16</v>
      </c>
      <c r="H254" s="14" t="n">
        <f aca="false">(E254/1000)*(F254/1000)*(G254/1000)*7850</f>
        <v>2515.581240336</v>
      </c>
      <c r="I254" s="10" t="n">
        <v>1</v>
      </c>
      <c r="J254" s="15" t="n">
        <f aca="false">H254*I254</f>
        <v>2515.581240336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</row>
    <row r="255" s="12" customFormat="true" ht="19.5" hidden="true" customHeight="true" outlineLevel="0" collapsed="false">
      <c r="A255" s="10"/>
      <c r="B255" s="10"/>
      <c r="C255" s="10" t="s">
        <v>88</v>
      </c>
      <c r="D255" s="10" t="s">
        <v>45</v>
      </c>
      <c r="E255" s="10" t="n">
        <v>16734.4</v>
      </c>
      <c r="F255" s="10" t="n">
        <v>2641.7</v>
      </c>
      <c r="G255" s="10" t="n">
        <v>16</v>
      </c>
      <c r="H255" s="14" t="n">
        <f aca="false">(E255/1000)*(F255/1000)*(G255/1000)*7850</f>
        <v>5552.432418688</v>
      </c>
      <c r="I255" s="10" t="n">
        <v>1</v>
      </c>
      <c r="J255" s="15" t="n">
        <f aca="false">H255*I255</f>
        <v>5552.432418688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</row>
    <row r="256" s="12" customFormat="true" ht="19.5" hidden="true" customHeight="true" outlineLevel="0" collapsed="false">
      <c r="A256" s="10"/>
      <c r="B256" s="10"/>
      <c r="C256" s="10" t="s">
        <v>89</v>
      </c>
      <c r="D256" s="10" t="s">
        <v>45</v>
      </c>
      <c r="E256" s="10" t="n">
        <v>16734.4</v>
      </c>
      <c r="F256" s="10" t="n">
        <v>2718.2</v>
      </c>
      <c r="G256" s="10" t="n">
        <v>16</v>
      </c>
      <c r="H256" s="14" t="n">
        <f aca="false">(E256/1000)*(F256/1000)*(G256/1000)*7850</f>
        <v>5713.223227648</v>
      </c>
      <c r="I256" s="10" t="n">
        <v>1</v>
      </c>
      <c r="J256" s="15" t="n">
        <f aca="false">H256*I256</f>
        <v>5713.223227648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</row>
    <row r="257" s="12" customFormat="true" ht="19.5" hidden="true" customHeight="true" outlineLevel="0" collapsed="false">
      <c r="A257" s="10"/>
      <c r="B257" s="10"/>
      <c r="C257" s="10" t="s">
        <v>90</v>
      </c>
      <c r="D257" s="10" t="s">
        <v>45</v>
      </c>
      <c r="E257" s="10" t="n">
        <v>16000</v>
      </c>
      <c r="F257" s="10" t="n">
        <v>2637.7</v>
      </c>
      <c r="G257" s="10" t="n">
        <v>14</v>
      </c>
      <c r="H257" s="14" t="n">
        <f aca="false">(E257/1000)*(F257/1000)*(G257/1000)*7850</f>
        <v>4638.13168</v>
      </c>
      <c r="I257" s="10" t="n">
        <v>4</v>
      </c>
      <c r="J257" s="15" t="n">
        <f aca="false">H257*I257</f>
        <v>18552.52672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</row>
    <row r="258" s="12" customFormat="true" ht="19.5" hidden="true" customHeight="true" outlineLevel="0" collapsed="false">
      <c r="A258" s="10"/>
      <c r="B258" s="10"/>
      <c r="C258" s="10" t="s">
        <v>91</v>
      </c>
      <c r="D258" s="10" t="s">
        <v>45</v>
      </c>
      <c r="E258" s="10" t="n">
        <v>16000</v>
      </c>
      <c r="F258" s="10" t="n">
        <v>2714.2</v>
      </c>
      <c r="G258" s="10" t="n">
        <v>14</v>
      </c>
      <c r="H258" s="14" t="n">
        <f aca="false">(E258/1000)*(F258/1000)*(G258/1000)*7850</f>
        <v>4772.64928</v>
      </c>
      <c r="I258" s="10" t="n">
        <v>4</v>
      </c>
      <c r="J258" s="15" t="n">
        <f aca="false">H258*I258</f>
        <v>19090.59712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</row>
    <row r="259" s="12" customFormat="true" ht="19.5" hidden="false" customHeight="true" outlineLevel="0" collapsed="false">
      <c r="A259" s="10"/>
      <c r="B259" s="10"/>
      <c r="C259" s="10" t="s">
        <v>92</v>
      </c>
      <c r="D259" s="10" t="s">
        <v>45</v>
      </c>
      <c r="E259" s="10" t="n">
        <v>16000</v>
      </c>
      <c r="F259" s="10" t="n">
        <v>2621.7</v>
      </c>
      <c r="G259" s="10" t="n">
        <v>20</v>
      </c>
      <c r="H259" s="14" t="n">
        <f aca="false">(E259/1000)*(F259/1000)*(G259/1000)*7850</f>
        <v>6585.7104</v>
      </c>
      <c r="I259" s="10" t="n">
        <v>1</v>
      </c>
      <c r="J259" s="15" t="n">
        <f aca="false">H259*I259</f>
        <v>6585.7104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</row>
    <row r="260" s="12" customFormat="true" ht="19.5" hidden="false" customHeight="true" outlineLevel="0" collapsed="false">
      <c r="A260" s="10"/>
      <c r="B260" s="10"/>
      <c r="C260" s="10" t="s">
        <v>93</v>
      </c>
      <c r="D260" s="10" t="s">
        <v>45</v>
      </c>
      <c r="E260" s="10" t="n">
        <v>16000</v>
      </c>
      <c r="F260" s="10" t="n">
        <v>2698.2</v>
      </c>
      <c r="G260" s="10" t="n">
        <v>20</v>
      </c>
      <c r="H260" s="14" t="n">
        <f aca="false">(E260/1000)*(F260/1000)*(G260/1000)*7850</f>
        <v>6777.8784</v>
      </c>
      <c r="I260" s="10" t="n">
        <v>1</v>
      </c>
      <c r="J260" s="15" t="n">
        <f aca="false">H260*I260</f>
        <v>6777.8784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</row>
    <row r="261" s="12" customFormat="true" ht="19.5" hidden="true" customHeight="true" outlineLevel="0" collapsed="false">
      <c r="A261" s="10"/>
      <c r="B261" s="10" t="s">
        <v>63</v>
      </c>
      <c r="C261" s="10" t="s">
        <v>94</v>
      </c>
      <c r="D261" s="10" t="s">
        <v>45</v>
      </c>
      <c r="E261" s="10" t="n">
        <v>6618.3</v>
      </c>
      <c r="F261" s="10" t="n">
        <v>2630</v>
      </c>
      <c r="G261" s="10" t="n">
        <v>16</v>
      </c>
      <c r="H261" s="14" t="n">
        <f aca="false">(E261/1000)*(F261/1000)*(G261/1000)*7850</f>
        <v>2186.2098024</v>
      </c>
      <c r="I261" s="10" t="n">
        <v>1</v>
      </c>
      <c r="J261" s="15" t="n">
        <f aca="false">H261*I261</f>
        <v>2186.2098024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</row>
    <row r="262" s="12" customFormat="true" ht="19.5" hidden="true" customHeight="true" outlineLevel="0" collapsed="false">
      <c r="A262" s="10"/>
      <c r="B262" s="10"/>
      <c r="C262" s="10" t="s">
        <v>95</v>
      </c>
      <c r="D262" s="10" t="s">
        <v>45</v>
      </c>
      <c r="E262" s="10" t="n">
        <v>15984.4</v>
      </c>
      <c r="F262" s="10" t="n">
        <v>2630</v>
      </c>
      <c r="G262" s="10" t="n">
        <v>16</v>
      </c>
      <c r="H262" s="14" t="n">
        <f aca="false">(E262/1000)*(F262/1000)*(G262/1000)*7850</f>
        <v>5280.0948832</v>
      </c>
      <c r="I262" s="10" t="n">
        <v>1</v>
      </c>
      <c r="J262" s="15" t="n">
        <f aca="false">H262*I262</f>
        <v>5280.0948832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</row>
    <row r="263" s="12" customFormat="true" ht="19.5" hidden="false" customHeight="true" outlineLevel="0" collapsed="false">
      <c r="A263" s="10"/>
      <c r="B263" s="10"/>
      <c r="C263" s="10" t="s">
        <v>96</v>
      </c>
      <c r="D263" s="10" t="s">
        <v>45</v>
      </c>
      <c r="E263" s="10" t="n">
        <v>16000</v>
      </c>
      <c r="F263" s="10" t="n">
        <v>2630</v>
      </c>
      <c r="G263" s="10" t="n">
        <v>20</v>
      </c>
      <c r="H263" s="14" t="n">
        <f aca="false">(E263/1000)*(F263/1000)*(G263/1000)*7850</f>
        <v>6606.56</v>
      </c>
      <c r="I263" s="10" t="n">
        <v>4</v>
      </c>
      <c r="J263" s="15" t="n">
        <f aca="false">H263*I263</f>
        <v>26426.24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</row>
    <row r="264" s="12" customFormat="true" ht="19.5" hidden="true" customHeight="true" outlineLevel="0" collapsed="false">
      <c r="A264" s="10"/>
      <c r="B264" s="10"/>
      <c r="C264" s="10" t="s">
        <v>97</v>
      </c>
      <c r="D264" s="10" t="s">
        <v>45</v>
      </c>
      <c r="E264" s="10" t="n">
        <v>16000</v>
      </c>
      <c r="F264" s="10" t="n">
        <v>2630</v>
      </c>
      <c r="G264" s="10" t="n">
        <v>24</v>
      </c>
      <c r="H264" s="14" t="n">
        <f aca="false">(E264/1000)*(F264/1000)*(G264/1000)*7850</f>
        <v>7927.872</v>
      </c>
      <c r="I264" s="10" t="n">
        <v>1</v>
      </c>
      <c r="J264" s="15" t="n">
        <f aca="false">H264*I264</f>
        <v>7927.872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</row>
    <row r="265" s="12" customFormat="true" ht="19.5" hidden="true" customHeight="true" outlineLevel="0" collapsed="false">
      <c r="A265" s="10"/>
      <c r="B265" s="10" t="s">
        <v>68</v>
      </c>
      <c r="C265" s="10" t="s">
        <v>98</v>
      </c>
      <c r="D265" s="10" t="s">
        <v>45</v>
      </c>
      <c r="E265" s="17" t="n">
        <v>19103.6</v>
      </c>
      <c r="F265" s="10" t="n">
        <v>140</v>
      </c>
      <c r="G265" s="10" t="n">
        <v>12</v>
      </c>
      <c r="H265" s="14" t="n">
        <f aca="false">(E265/1000)*(F265/1000)*(G265/1000)*7850</f>
        <v>251.9382768</v>
      </c>
      <c r="I265" s="10" t="n">
        <v>1</v>
      </c>
      <c r="J265" s="15" t="n">
        <f aca="false">H265*I265</f>
        <v>251.9382768</v>
      </c>
      <c r="K265" s="18" t="s">
        <v>70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6" s="12" customFormat="true" ht="19.5" hidden="true" customHeight="true" outlineLevel="0" collapsed="false">
      <c r="A266" s="10"/>
      <c r="B266" s="10"/>
      <c r="C266" s="10" t="s">
        <v>99</v>
      </c>
      <c r="D266" s="10" t="s">
        <v>45</v>
      </c>
      <c r="E266" s="17" t="n">
        <v>70993.5</v>
      </c>
      <c r="F266" s="10" t="n">
        <v>140</v>
      </c>
      <c r="G266" s="10" t="n">
        <v>12</v>
      </c>
      <c r="H266" s="14" t="n">
        <f aca="false">(E266/1000)*(F266/1000)*(G266/1000)*7850</f>
        <v>936.262278</v>
      </c>
      <c r="I266" s="10" t="n">
        <v>1</v>
      </c>
      <c r="J266" s="15" t="n">
        <f aca="false">H266*I266</f>
        <v>936.262278</v>
      </c>
      <c r="K266" s="18" t="s">
        <v>70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</row>
    <row r="267" s="12" customFormat="true" ht="19.5" hidden="true" customHeight="true" outlineLevel="0" collapsed="false">
      <c r="A267" s="10"/>
      <c r="B267" s="10"/>
      <c r="C267" s="10" t="s">
        <v>100</v>
      </c>
      <c r="D267" s="10" t="s">
        <v>45</v>
      </c>
      <c r="E267" s="17" t="n">
        <v>25406.2</v>
      </c>
      <c r="F267" s="10" t="n">
        <v>180</v>
      </c>
      <c r="G267" s="10" t="n">
        <v>16</v>
      </c>
      <c r="H267" s="14" t="n">
        <f aca="false">(E267/1000)*(F267/1000)*(G267/1000)*7850</f>
        <v>574.3833696</v>
      </c>
      <c r="I267" s="10" t="n">
        <v>1</v>
      </c>
      <c r="J267" s="15" t="n">
        <f aca="false">H267*I267</f>
        <v>574.3833696</v>
      </c>
      <c r="K267" s="18" t="s">
        <v>70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</row>
    <row r="268" s="12" customFormat="true" ht="19.5" hidden="true" customHeight="true" outlineLevel="0" collapsed="false">
      <c r="A268" s="10"/>
      <c r="B268" s="10" t="s">
        <v>73</v>
      </c>
      <c r="C268" s="10" t="s">
        <v>101</v>
      </c>
      <c r="D268" s="10" t="s">
        <v>45</v>
      </c>
      <c r="E268" s="10" t="n">
        <v>6068.3</v>
      </c>
      <c r="F268" s="10" t="n">
        <v>160</v>
      </c>
      <c r="G268" s="10" t="n">
        <v>14</v>
      </c>
      <c r="H268" s="14" t="n">
        <f aca="false">(E268/1000)*(F268/1000)*(G268/1000)*7850</f>
        <v>106.7049872</v>
      </c>
      <c r="I268" s="10" t="n">
        <v>2</v>
      </c>
      <c r="J268" s="15" t="n">
        <f aca="false">H268*I268</f>
        <v>213.4099744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</row>
    <row r="269" s="12" customFormat="true" ht="19.5" hidden="true" customHeight="true" outlineLevel="0" collapsed="false">
      <c r="A269" s="10"/>
      <c r="B269" s="10"/>
      <c r="C269" s="10" t="s">
        <v>102</v>
      </c>
      <c r="D269" s="10" t="s">
        <v>45</v>
      </c>
      <c r="E269" s="10" t="n">
        <v>15434.4</v>
      </c>
      <c r="F269" s="10" t="n">
        <v>160</v>
      </c>
      <c r="G269" s="10" t="n">
        <v>14</v>
      </c>
      <c r="H269" s="14" t="n">
        <f aca="false">(E269/1000)*(F269/1000)*(G269/1000)*7850</f>
        <v>271.3984896</v>
      </c>
      <c r="I269" s="10" t="n">
        <v>2</v>
      </c>
      <c r="J269" s="15" t="n">
        <f aca="false">H269*I269</f>
        <v>542.7969792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</row>
    <row r="270" s="12" customFormat="true" ht="19.5" hidden="true" customHeight="true" outlineLevel="0" collapsed="false">
      <c r="A270" s="10"/>
      <c r="B270" s="10"/>
      <c r="C270" s="10" t="s">
        <v>103</v>
      </c>
      <c r="D270" s="10" t="s">
        <v>45</v>
      </c>
      <c r="E270" s="10" t="n">
        <v>16000</v>
      </c>
      <c r="F270" s="10" t="n">
        <v>160</v>
      </c>
      <c r="G270" s="10" t="n">
        <v>14</v>
      </c>
      <c r="H270" s="14" t="n">
        <f aca="false">(E270/1000)*(F270/1000)*(G270/1000)*7850</f>
        <v>281.344</v>
      </c>
      <c r="I270" s="10" t="n">
        <v>8</v>
      </c>
      <c r="J270" s="15" t="n">
        <f aca="false">H270*I270</f>
        <v>2250.752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</row>
    <row r="271" s="12" customFormat="true" ht="19.5" hidden="false" customHeight="true" outlineLevel="0" collapsed="false">
      <c r="A271" s="10"/>
      <c r="B271" s="10"/>
      <c r="C271" s="10" t="s">
        <v>104</v>
      </c>
      <c r="D271" s="10" t="s">
        <v>45</v>
      </c>
      <c r="E271" s="10" t="n">
        <v>16000</v>
      </c>
      <c r="F271" s="10" t="n">
        <v>220</v>
      </c>
      <c r="G271" s="10" t="n">
        <v>20</v>
      </c>
      <c r="H271" s="14" t="n">
        <f aca="false">(E271/1000)*(F271/1000)*(G271/1000)*7850</f>
        <v>552.64</v>
      </c>
      <c r="I271" s="10" t="n">
        <v>3</v>
      </c>
      <c r="J271" s="15" t="n">
        <f aca="false">H271*I271</f>
        <v>1657.92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</row>
    <row r="272" s="12" customFormat="true" ht="19.5" hidden="true" customHeight="true" outlineLevel="0" collapsed="false">
      <c r="A272" s="10"/>
      <c r="B272" s="10" t="s">
        <v>78</v>
      </c>
      <c r="C272" s="10"/>
      <c r="D272" s="10"/>
      <c r="E272" s="10"/>
      <c r="F272" s="10"/>
      <c r="G272" s="10"/>
      <c r="H272" s="14"/>
      <c r="I272" s="10"/>
      <c r="J272" s="15" t="n">
        <f aca="false">SUM(J247:J271)</f>
        <v>141423.801436888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</row>
    <row r="273" s="12" customFormat="true" ht="19.5" hidden="false" customHeight="true" outlineLevel="0" collapsed="false">
      <c r="A273" s="10" t="s">
        <v>266</v>
      </c>
      <c r="B273" s="10" t="s">
        <v>43</v>
      </c>
      <c r="C273" s="10" t="s">
        <v>106</v>
      </c>
      <c r="D273" s="10" t="s">
        <v>45</v>
      </c>
      <c r="E273" s="10" t="n">
        <v>18331.5</v>
      </c>
      <c r="F273" s="10" t="n">
        <v>600</v>
      </c>
      <c r="G273" s="10" t="n">
        <v>20</v>
      </c>
      <c r="H273" s="14" t="n">
        <f aca="false">(E273/1000)*(F273/1000)*(G273/1000)*7850</f>
        <v>1726.8273</v>
      </c>
      <c r="I273" s="10" t="n">
        <v>2</v>
      </c>
      <c r="J273" s="15" t="n">
        <f aca="false">H273*I273</f>
        <v>3453.6546</v>
      </c>
      <c r="K273" s="10"/>
      <c r="L273" s="10" t="str">
        <f aca="false">A273</f>
        <v>下层3#</v>
      </c>
      <c r="M273" s="16" t="n">
        <f aca="false">SUMIF(G273:G297,$M$3,J273:J297)</f>
        <v>1254.3884892</v>
      </c>
      <c r="N273" s="16" t="n">
        <f aca="false">SUMIF(G273:G297,$N$3,J273:J297)</f>
        <v>40660.6472608</v>
      </c>
      <c r="O273" s="16" t="n">
        <f aca="false">SUMIF(G273:G297,$O$3,J273:J297)</f>
        <v>24568.725609864</v>
      </c>
      <c r="P273" s="16" t="n">
        <f aca="false">SUMIF(G273:G297,$P$3,J273:J297)</f>
        <v>46045.29284</v>
      </c>
      <c r="Q273" s="16" t="n">
        <f aca="false">SUMIF(G273:G297,$Q$3,J273:J297)</f>
        <v>22396.992</v>
      </c>
      <c r="R273" s="16" t="n">
        <f aca="false">SUMIF(G273:G297,$R$3,J273:J297)</f>
        <v>0</v>
      </c>
      <c r="S273" s="16" t="n">
        <f aca="false">SUMIF(G273:G297,$S$3,J273:J297)</f>
        <v>6933.12</v>
      </c>
      <c r="T273" s="16" t="n">
        <f aca="false">SUM(M273:S298)</f>
        <v>141859.166199864</v>
      </c>
      <c r="U273" s="16" t="n">
        <v>141859.2</v>
      </c>
      <c r="V273" s="16" t="n">
        <f aca="false">T273-U273</f>
        <v>-0.0338001360360067</v>
      </c>
      <c r="W273" s="10"/>
    </row>
    <row r="274" s="12" customFormat="true" ht="19.5" hidden="false" customHeight="true" outlineLevel="0" collapsed="false">
      <c r="A274" s="10"/>
      <c r="B274" s="10"/>
      <c r="C274" s="10" t="s">
        <v>107</v>
      </c>
      <c r="D274" s="10" t="s">
        <v>45</v>
      </c>
      <c r="E274" s="10" t="n">
        <v>6071.6</v>
      </c>
      <c r="F274" s="10" t="n">
        <v>600</v>
      </c>
      <c r="G274" s="10" t="n">
        <v>20</v>
      </c>
      <c r="H274" s="14" t="n">
        <f aca="false">(E274/1000)*(F274/1000)*(G274/1000)*7850</f>
        <v>571.94472</v>
      </c>
      <c r="I274" s="10" t="n">
        <v>2</v>
      </c>
      <c r="J274" s="15" t="n">
        <f aca="false">H274*I274</f>
        <v>1143.88944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</row>
    <row r="275" s="12" customFormat="true" ht="19.5" hidden="true" customHeight="true" outlineLevel="0" collapsed="false">
      <c r="A275" s="10"/>
      <c r="B275" s="10"/>
      <c r="C275" s="10" t="s">
        <v>108</v>
      </c>
      <c r="D275" s="10" t="s">
        <v>45</v>
      </c>
      <c r="E275" s="10" t="n">
        <v>16000</v>
      </c>
      <c r="F275" s="10" t="n">
        <v>600</v>
      </c>
      <c r="G275" s="10" t="n">
        <v>24</v>
      </c>
      <c r="H275" s="14" t="n">
        <f aca="false">(E275/1000)*(F275/1000)*(G275/1000)*7850</f>
        <v>1808.64</v>
      </c>
      <c r="I275" s="10" t="n">
        <v>8</v>
      </c>
      <c r="J275" s="15" t="n">
        <f aca="false">H275*I275</f>
        <v>14469.12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</row>
    <row r="276" s="12" customFormat="true" ht="19.5" hidden="true" customHeight="true" outlineLevel="0" collapsed="false">
      <c r="A276" s="10"/>
      <c r="B276" s="10"/>
      <c r="C276" s="10" t="s">
        <v>109</v>
      </c>
      <c r="D276" s="10" t="s">
        <v>45</v>
      </c>
      <c r="E276" s="10" t="n">
        <v>4900</v>
      </c>
      <c r="F276" s="10" t="n">
        <v>600</v>
      </c>
      <c r="G276" s="10" t="n">
        <v>40</v>
      </c>
      <c r="H276" s="14" t="n">
        <f aca="false">(E276/1000)*(F276/1000)*(G276/1000)*7850</f>
        <v>923.16</v>
      </c>
      <c r="I276" s="10" t="n">
        <v>2</v>
      </c>
      <c r="J276" s="15" t="n">
        <f aca="false">H276*I276</f>
        <v>1846.32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</row>
    <row r="277" s="12" customFormat="true" ht="19.5" hidden="true" customHeight="true" outlineLevel="0" collapsed="false">
      <c r="A277" s="10"/>
      <c r="B277" s="10"/>
      <c r="C277" s="10" t="s">
        <v>110</v>
      </c>
      <c r="D277" s="10" t="s">
        <v>45</v>
      </c>
      <c r="E277" s="10" t="n">
        <v>7200</v>
      </c>
      <c r="F277" s="10" t="n">
        <v>800</v>
      </c>
      <c r="G277" s="10" t="n">
        <v>40</v>
      </c>
      <c r="H277" s="14" t="n">
        <f aca="false">(E277/1000)*(F277/1000)*(G277/1000)*7850</f>
        <v>1808.64</v>
      </c>
      <c r="I277" s="10" t="n">
        <v>2</v>
      </c>
      <c r="J277" s="15" t="n">
        <f aca="false">H277*I277</f>
        <v>3617.28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</row>
    <row r="278" s="12" customFormat="true" ht="19.5" hidden="true" customHeight="true" outlineLevel="0" collapsed="false">
      <c r="A278" s="10"/>
      <c r="B278" s="10"/>
      <c r="C278" s="10" t="s">
        <v>111</v>
      </c>
      <c r="D278" s="10" t="s">
        <v>45</v>
      </c>
      <c r="E278" s="10" t="n">
        <v>3900</v>
      </c>
      <c r="F278" s="10" t="n">
        <v>600</v>
      </c>
      <c r="G278" s="10" t="n">
        <v>40</v>
      </c>
      <c r="H278" s="14" t="n">
        <f aca="false">(E278/1000)*(F278/1000)*(G278/1000)*7850</f>
        <v>734.76</v>
      </c>
      <c r="I278" s="10" t="n">
        <v>2</v>
      </c>
      <c r="J278" s="15" t="n">
        <f aca="false">H278*I278</f>
        <v>1469.52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</row>
    <row r="279" s="12" customFormat="true" ht="19.5" hidden="true" customHeight="true" outlineLevel="0" collapsed="false">
      <c r="A279" s="10"/>
      <c r="B279" s="10" t="s">
        <v>52</v>
      </c>
      <c r="C279" s="10" t="s">
        <v>112</v>
      </c>
      <c r="D279" s="10" t="s">
        <v>45</v>
      </c>
      <c r="E279" s="10" t="n">
        <v>18331.5</v>
      </c>
      <c r="F279" s="10" t="n">
        <v>2641.7</v>
      </c>
      <c r="G279" s="10" t="n">
        <v>16</v>
      </c>
      <c r="H279" s="14" t="n">
        <f aca="false">(E279/1000)*(F279/1000)*(G279/1000)*7850</f>
        <v>6082.34623788</v>
      </c>
      <c r="I279" s="10" t="n">
        <v>1</v>
      </c>
      <c r="J279" s="15" t="n">
        <f aca="false">H279*I279</f>
        <v>6082.34623788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</row>
    <row r="280" s="12" customFormat="true" ht="19.5" hidden="true" customHeight="true" outlineLevel="0" collapsed="false">
      <c r="A280" s="10"/>
      <c r="B280" s="10"/>
      <c r="C280" s="10" t="s">
        <v>113</v>
      </c>
      <c r="D280" s="10" t="s">
        <v>45</v>
      </c>
      <c r="E280" s="10" t="n">
        <v>18331.5</v>
      </c>
      <c r="F280" s="10" t="n">
        <v>2718.2</v>
      </c>
      <c r="G280" s="10" t="n">
        <v>16</v>
      </c>
      <c r="H280" s="14" t="n">
        <f aca="false">(E280/1000)*(F280/1000)*(G280/1000)*7850</f>
        <v>6258.48262248</v>
      </c>
      <c r="I280" s="10" t="n">
        <v>1</v>
      </c>
      <c r="J280" s="15" t="n">
        <f aca="false">H280*I280</f>
        <v>6258.48262248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</row>
    <row r="281" s="12" customFormat="true" ht="19.5" hidden="true" customHeight="true" outlineLevel="0" collapsed="false">
      <c r="A281" s="10"/>
      <c r="B281" s="10"/>
      <c r="C281" s="10" t="s">
        <v>114</v>
      </c>
      <c r="D281" s="10" t="s">
        <v>45</v>
      </c>
      <c r="E281" s="10" t="n">
        <v>6071.6</v>
      </c>
      <c r="F281" s="10" t="n">
        <v>2641.7</v>
      </c>
      <c r="G281" s="10" t="n">
        <v>16</v>
      </c>
      <c r="H281" s="14" t="n">
        <f aca="false">(E281/1000)*(F281/1000)*(G281/1000)*7850</f>
        <v>2014.541822432</v>
      </c>
      <c r="I281" s="10" t="n">
        <v>1</v>
      </c>
      <c r="J281" s="15" t="n">
        <f aca="false">H281*I281</f>
        <v>2014.541822432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</row>
    <row r="282" s="12" customFormat="true" ht="19.5" hidden="true" customHeight="true" outlineLevel="0" collapsed="false">
      <c r="A282" s="10"/>
      <c r="B282" s="10"/>
      <c r="C282" s="10" t="s">
        <v>115</v>
      </c>
      <c r="D282" s="10" t="s">
        <v>45</v>
      </c>
      <c r="E282" s="10" t="n">
        <v>6071.6</v>
      </c>
      <c r="F282" s="10" t="n">
        <v>2718.2</v>
      </c>
      <c r="G282" s="10" t="n">
        <v>16</v>
      </c>
      <c r="H282" s="14" t="n">
        <f aca="false">(E282/1000)*(F282/1000)*(G282/1000)*7850</f>
        <v>2072.880183872</v>
      </c>
      <c r="I282" s="10" t="n">
        <v>1</v>
      </c>
      <c r="J282" s="15" t="n">
        <f aca="false">H282*I282</f>
        <v>2072.880183872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</row>
    <row r="283" s="12" customFormat="true" ht="19.5" hidden="true" customHeight="true" outlineLevel="0" collapsed="false">
      <c r="A283" s="10"/>
      <c r="B283" s="10"/>
      <c r="C283" s="10" t="s">
        <v>116</v>
      </c>
      <c r="D283" s="10" t="s">
        <v>45</v>
      </c>
      <c r="E283" s="10" t="n">
        <v>16000</v>
      </c>
      <c r="F283" s="10" t="n">
        <v>2637.7</v>
      </c>
      <c r="G283" s="10" t="n">
        <v>14</v>
      </c>
      <c r="H283" s="14" t="n">
        <f aca="false">(E283/1000)*(F283/1000)*(G283/1000)*7850</f>
        <v>4638.13168</v>
      </c>
      <c r="I283" s="10" t="n">
        <v>4</v>
      </c>
      <c r="J283" s="15" t="n">
        <f aca="false">H283*I283</f>
        <v>18552.52672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</row>
    <row r="284" s="12" customFormat="true" ht="19.5" hidden="true" customHeight="true" outlineLevel="0" collapsed="false">
      <c r="A284" s="10"/>
      <c r="B284" s="10"/>
      <c r="C284" s="10" t="s">
        <v>117</v>
      </c>
      <c r="D284" s="10" t="s">
        <v>45</v>
      </c>
      <c r="E284" s="10" t="n">
        <v>16000</v>
      </c>
      <c r="F284" s="10" t="n">
        <v>2714.2</v>
      </c>
      <c r="G284" s="10" t="n">
        <v>14</v>
      </c>
      <c r="H284" s="14" t="n">
        <f aca="false">(E284/1000)*(F284/1000)*(G284/1000)*7850</f>
        <v>4772.64928</v>
      </c>
      <c r="I284" s="10" t="n">
        <v>4</v>
      </c>
      <c r="J284" s="15" t="n">
        <f aca="false">H284*I284</f>
        <v>19090.59712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</row>
    <row r="285" s="12" customFormat="true" ht="19.5" hidden="false" customHeight="true" outlineLevel="0" collapsed="false">
      <c r="A285" s="10"/>
      <c r="B285" s="10"/>
      <c r="C285" s="10" t="s">
        <v>118</v>
      </c>
      <c r="D285" s="10" t="s">
        <v>45</v>
      </c>
      <c r="E285" s="10" t="n">
        <v>16000</v>
      </c>
      <c r="F285" s="10" t="n">
        <v>2621.7</v>
      </c>
      <c r="G285" s="10" t="n">
        <v>20</v>
      </c>
      <c r="H285" s="14" t="n">
        <f aca="false">(E285/1000)*(F285/1000)*(G285/1000)*7850</f>
        <v>6585.7104</v>
      </c>
      <c r="I285" s="10" t="n">
        <v>1</v>
      </c>
      <c r="J285" s="15" t="n">
        <f aca="false">H285*I285</f>
        <v>6585.7104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</row>
    <row r="286" s="12" customFormat="true" ht="19.5" hidden="false" customHeight="true" outlineLevel="0" collapsed="false">
      <c r="A286" s="10"/>
      <c r="B286" s="10"/>
      <c r="C286" s="10" t="s">
        <v>119</v>
      </c>
      <c r="D286" s="10" t="s">
        <v>45</v>
      </c>
      <c r="E286" s="10" t="n">
        <v>16000</v>
      </c>
      <c r="F286" s="10" t="n">
        <v>2698.2</v>
      </c>
      <c r="G286" s="10" t="n">
        <v>20</v>
      </c>
      <c r="H286" s="14" t="n">
        <f aca="false">(E286/1000)*(F286/1000)*(G286/1000)*7850</f>
        <v>6777.8784</v>
      </c>
      <c r="I286" s="10" t="n">
        <v>1</v>
      </c>
      <c r="J286" s="15" t="n">
        <f aca="false">H286*I286</f>
        <v>6777.8784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</row>
    <row r="287" s="12" customFormat="true" ht="19.5" hidden="true" customHeight="true" outlineLevel="0" collapsed="false">
      <c r="A287" s="10"/>
      <c r="B287" s="10" t="s">
        <v>63</v>
      </c>
      <c r="C287" s="10" t="s">
        <v>120</v>
      </c>
      <c r="D287" s="10" t="s">
        <v>45</v>
      </c>
      <c r="E287" s="10" t="n">
        <v>17581.5</v>
      </c>
      <c r="F287" s="10" t="n">
        <v>2630</v>
      </c>
      <c r="G287" s="10" t="n">
        <v>16</v>
      </c>
      <c r="H287" s="14" t="n">
        <f aca="false">(E287/1000)*(F287/1000)*(G287/1000)*7850</f>
        <v>5807.661732</v>
      </c>
      <c r="I287" s="10" t="n">
        <v>1</v>
      </c>
      <c r="J287" s="15" t="n">
        <f aca="false">H287*I287</f>
        <v>5807.661732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</row>
    <row r="288" s="12" customFormat="true" ht="19.5" hidden="true" customHeight="true" outlineLevel="0" collapsed="false">
      <c r="A288" s="10"/>
      <c r="B288" s="10"/>
      <c r="C288" s="10" t="s">
        <v>121</v>
      </c>
      <c r="D288" s="10" t="s">
        <v>45</v>
      </c>
      <c r="E288" s="10" t="n">
        <v>5321.6</v>
      </c>
      <c r="F288" s="10" t="n">
        <v>2630</v>
      </c>
      <c r="G288" s="10" t="n">
        <v>16</v>
      </c>
      <c r="H288" s="14" t="n">
        <f aca="false">(E288/1000)*(F288/1000)*(G288/1000)*7850</f>
        <v>1757.8734848</v>
      </c>
      <c r="I288" s="10" t="n">
        <v>1</v>
      </c>
      <c r="J288" s="15" t="n">
        <f aca="false">H288*I288</f>
        <v>1757.8734848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</row>
    <row r="289" s="12" customFormat="true" ht="19.5" hidden="false" customHeight="true" outlineLevel="0" collapsed="false">
      <c r="A289" s="10"/>
      <c r="B289" s="10"/>
      <c r="C289" s="10" t="s">
        <v>122</v>
      </c>
      <c r="D289" s="10" t="s">
        <v>45</v>
      </c>
      <c r="E289" s="10" t="n">
        <v>16000</v>
      </c>
      <c r="F289" s="10" t="n">
        <v>2630</v>
      </c>
      <c r="G289" s="10" t="n">
        <v>20</v>
      </c>
      <c r="H289" s="14" t="n">
        <f aca="false">(E289/1000)*(F289/1000)*(G289/1000)*7850</f>
        <v>6606.56</v>
      </c>
      <c r="I289" s="10" t="n">
        <v>4</v>
      </c>
      <c r="J289" s="15" t="n">
        <f aca="false">H289*I289</f>
        <v>26426.24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</row>
    <row r="290" s="12" customFormat="true" ht="19.5" hidden="true" customHeight="true" outlineLevel="0" collapsed="false">
      <c r="A290" s="10"/>
      <c r="B290" s="10"/>
      <c r="C290" s="10" t="s">
        <v>123</v>
      </c>
      <c r="D290" s="10" t="s">
        <v>45</v>
      </c>
      <c r="E290" s="10" t="n">
        <v>16000</v>
      </c>
      <c r="F290" s="10" t="n">
        <v>2630</v>
      </c>
      <c r="G290" s="10" t="n">
        <v>24</v>
      </c>
      <c r="H290" s="14" t="n">
        <f aca="false">(E290/1000)*(F290/1000)*(G290/1000)*7850</f>
        <v>7927.872</v>
      </c>
      <c r="I290" s="10" t="n">
        <v>1</v>
      </c>
      <c r="J290" s="15" t="n">
        <f aca="false">H290*I290</f>
        <v>7927.872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</row>
    <row r="291" s="12" customFormat="true" ht="19.5" hidden="true" customHeight="true" outlineLevel="0" collapsed="false">
      <c r="A291" s="10"/>
      <c r="B291" s="10" t="s">
        <v>68</v>
      </c>
      <c r="C291" s="10" t="s">
        <v>124</v>
      </c>
      <c r="D291" s="10" t="s">
        <v>45</v>
      </c>
      <c r="E291" s="17" t="n">
        <v>18925.9</v>
      </c>
      <c r="F291" s="10" t="n">
        <v>140</v>
      </c>
      <c r="G291" s="10" t="n">
        <v>12</v>
      </c>
      <c r="H291" s="14" t="n">
        <f aca="false">(E291/1000)*(F291/1000)*(G291/1000)*7850</f>
        <v>249.5947692</v>
      </c>
      <c r="I291" s="10" t="n">
        <v>1</v>
      </c>
      <c r="J291" s="15" t="n">
        <f aca="false">H291*I291</f>
        <v>249.5947692</v>
      </c>
      <c r="K291" s="18" t="s">
        <v>70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</row>
    <row r="292" s="12" customFormat="true" ht="19.5" hidden="true" customHeight="true" outlineLevel="0" collapsed="false">
      <c r="A292" s="10"/>
      <c r="B292" s="10"/>
      <c r="C292" s="10" t="s">
        <v>125</v>
      </c>
      <c r="D292" s="10" t="s">
        <v>45</v>
      </c>
      <c r="E292" s="17" t="n">
        <v>76190</v>
      </c>
      <c r="F292" s="10" t="n">
        <v>140</v>
      </c>
      <c r="G292" s="10" t="n">
        <v>12</v>
      </c>
      <c r="H292" s="14" t="n">
        <f aca="false">(E292/1000)*(F292/1000)*(G292/1000)*7850</f>
        <v>1004.79372</v>
      </c>
      <c r="I292" s="10" t="n">
        <v>1</v>
      </c>
      <c r="J292" s="15" t="n">
        <f aca="false">H292*I292</f>
        <v>1004.79372</v>
      </c>
      <c r="K292" s="18" t="s">
        <v>70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</row>
    <row r="293" s="12" customFormat="true" ht="19.5" hidden="true" customHeight="true" outlineLevel="0" collapsed="false">
      <c r="A293" s="10"/>
      <c r="B293" s="10"/>
      <c r="C293" s="10" t="s">
        <v>126</v>
      </c>
      <c r="D293" s="10" t="s">
        <v>45</v>
      </c>
      <c r="E293" s="17" t="n">
        <v>25430.8</v>
      </c>
      <c r="F293" s="10" t="n">
        <v>180</v>
      </c>
      <c r="G293" s="10" t="n">
        <v>16</v>
      </c>
      <c r="H293" s="14" t="n">
        <f aca="false">(E293/1000)*(F293/1000)*(G293/1000)*7850</f>
        <v>574.9395264</v>
      </c>
      <c r="I293" s="10" t="n">
        <v>1</v>
      </c>
      <c r="J293" s="15" t="n">
        <f aca="false">H293*I293</f>
        <v>574.9395264</v>
      </c>
      <c r="K293" s="18" t="s">
        <v>70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</row>
    <row r="294" s="12" customFormat="true" ht="19.5" hidden="true" customHeight="true" outlineLevel="0" collapsed="false">
      <c r="A294" s="10"/>
      <c r="B294" s="10" t="s">
        <v>73</v>
      </c>
      <c r="C294" s="10" t="s">
        <v>127</v>
      </c>
      <c r="D294" s="10" t="s">
        <v>45</v>
      </c>
      <c r="E294" s="10" t="n">
        <v>17031.5</v>
      </c>
      <c r="F294" s="10" t="n">
        <v>160</v>
      </c>
      <c r="G294" s="10" t="n">
        <v>14</v>
      </c>
      <c r="H294" s="14" t="n">
        <f aca="false">(E294/1000)*(F294/1000)*(G294/1000)*7850</f>
        <v>299.481896</v>
      </c>
      <c r="I294" s="10" t="n">
        <v>2</v>
      </c>
      <c r="J294" s="15" t="n">
        <f aca="false">H294*I294</f>
        <v>598.963792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</row>
    <row r="295" s="12" customFormat="true" ht="19.5" hidden="true" customHeight="true" outlineLevel="0" collapsed="false">
      <c r="A295" s="10"/>
      <c r="B295" s="10"/>
      <c r="C295" s="10" t="s">
        <v>128</v>
      </c>
      <c r="D295" s="10" t="s">
        <v>45</v>
      </c>
      <c r="E295" s="10" t="n">
        <v>4771.6</v>
      </c>
      <c r="F295" s="10" t="n">
        <v>160</v>
      </c>
      <c r="G295" s="10" t="n">
        <v>14</v>
      </c>
      <c r="H295" s="14" t="n">
        <f aca="false">(E295/1000)*(F295/1000)*(G295/1000)*7850</f>
        <v>83.9038144</v>
      </c>
      <c r="I295" s="10" t="n">
        <v>2</v>
      </c>
      <c r="J295" s="15" t="n">
        <f aca="false">H295*I295</f>
        <v>167.8076288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</row>
    <row r="296" s="12" customFormat="true" ht="19.5" hidden="true" customHeight="true" outlineLevel="0" collapsed="false">
      <c r="A296" s="10"/>
      <c r="B296" s="10"/>
      <c r="C296" s="10" t="s">
        <v>129</v>
      </c>
      <c r="D296" s="10" t="s">
        <v>45</v>
      </c>
      <c r="E296" s="10" t="n">
        <v>16000</v>
      </c>
      <c r="F296" s="10" t="n">
        <v>160</v>
      </c>
      <c r="G296" s="10" t="n">
        <v>14</v>
      </c>
      <c r="H296" s="14" t="n">
        <f aca="false">(E296/1000)*(F296/1000)*(G296/1000)*7850</f>
        <v>281.344</v>
      </c>
      <c r="I296" s="10" t="n">
        <v>8</v>
      </c>
      <c r="J296" s="15" t="n">
        <f aca="false">H296*I296</f>
        <v>2250.752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</row>
    <row r="297" s="12" customFormat="true" ht="19.5" hidden="false" customHeight="true" outlineLevel="0" collapsed="false">
      <c r="A297" s="10"/>
      <c r="B297" s="10"/>
      <c r="C297" s="10" t="s">
        <v>130</v>
      </c>
      <c r="D297" s="10" t="s">
        <v>45</v>
      </c>
      <c r="E297" s="10" t="n">
        <v>16000</v>
      </c>
      <c r="F297" s="10" t="n">
        <v>220</v>
      </c>
      <c r="G297" s="10" t="n">
        <v>20</v>
      </c>
      <c r="H297" s="14" t="n">
        <f aca="false">(E297/1000)*(F297/1000)*(G297/1000)*7850</f>
        <v>552.64</v>
      </c>
      <c r="I297" s="10" t="n">
        <v>3</v>
      </c>
      <c r="J297" s="15" t="n">
        <f aca="false">H297*I297</f>
        <v>1657.92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</row>
    <row r="298" s="12" customFormat="true" ht="19.5" hidden="true" customHeight="true" outlineLevel="0" collapsed="false">
      <c r="A298" s="10"/>
      <c r="B298" s="10" t="s">
        <v>78</v>
      </c>
      <c r="C298" s="10"/>
      <c r="D298" s="10"/>
      <c r="E298" s="10"/>
      <c r="F298" s="10"/>
      <c r="G298" s="10"/>
      <c r="H298" s="14"/>
      <c r="I298" s="10"/>
      <c r="J298" s="15" t="n">
        <f aca="false">SUM(J273:J297)</f>
        <v>141859.166199864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</row>
    <row r="299" s="12" customFormat="true" ht="19.5" hidden="false" customHeight="true" outlineLevel="0" collapsed="false">
      <c r="A299" s="10" t="s">
        <v>267</v>
      </c>
      <c r="B299" s="10" t="s">
        <v>43</v>
      </c>
      <c r="C299" s="10" t="s">
        <v>132</v>
      </c>
      <c r="D299" s="10" t="s">
        <v>45</v>
      </c>
      <c r="E299" s="10" t="n">
        <v>14102.7</v>
      </c>
      <c r="F299" s="10" t="n">
        <v>600</v>
      </c>
      <c r="G299" s="10" t="n">
        <v>20</v>
      </c>
      <c r="H299" s="14" t="n">
        <f aca="false">(E299/1000)*(F299/1000)*(G299/1000)*7850</f>
        <v>1328.47434</v>
      </c>
      <c r="I299" s="10" t="n">
        <v>2</v>
      </c>
      <c r="J299" s="15" t="n">
        <f aca="false">H299*I299</f>
        <v>2656.94868</v>
      </c>
      <c r="K299" s="10"/>
      <c r="L299" s="10" t="str">
        <f aca="false">A299</f>
        <v>下层4#</v>
      </c>
      <c r="M299" s="16" t="n">
        <f aca="false">SUMIF(G299:G323,$M$3,J299:J323)</f>
        <v>1188.0488928</v>
      </c>
      <c r="N299" s="16" t="n">
        <f aca="false">SUMIF(G299:G323,$N$3,J299:J323)</f>
        <v>40671.211728</v>
      </c>
      <c r="O299" s="16" t="n">
        <f aca="false">SUMIF(G299:G323,$O$3,J299:J323)</f>
        <v>24905.61319044</v>
      </c>
      <c r="P299" s="16" t="n">
        <f aca="false">SUMIF(G299:G323,$P$3,J299:J323)</f>
        <v>46101.8882</v>
      </c>
      <c r="Q299" s="16" t="n">
        <f aca="false">SUMIF(G299:G323,$Q$3,J299:J323)</f>
        <v>22396.992</v>
      </c>
      <c r="R299" s="16" t="n">
        <f aca="false">SUMIF(G299:G323,$R$3,J299:J323)</f>
        <v>0</v>
      </c>
      <c r="S299" s="16" t="n">
        <f aca="false">SUMIF(G299:G323,$S$3,J299:J323)</f>
        <v>6933.12</v>
      </c>
      <c r="T299" s="16" t="n">
        <f aca="false">SUM(M299:S324)</f>
        <v>142196.87401124</v>
      </c>
      <c r="U299" s="16" t="n">
        <v>142196.9</v>
      </c>
      <c r="V299" s="16" t="n">
        <f aca="false">T299-U299</f>
        <v>-0.0259887599968351</v>
      </c>
      <c r="W299" s="10"/>
    </row>
    <row r="300" s="12" customFormat="true" ht="19.5" hidden="false" customHeight="true" outlineLevel="0" collapsed="false">
      <c r="A300" s="10"/>
      <c r="B300" s="10"/>
      <c r="C300" s="10" t="s">
        <v>133</v>
      </c>
      <c r="D300" s="10" t="s">
        <v>45</v>
      </c>
      <c r="E300" s="10" t="n">
        <v>10600.8</v>
      </c>
      <c r="F300" s="10" t="n">
        <v>600</v>
      </c>
      <c r="G300" s="10" t="n">
        <v>20</v>
      </c>
      <c r="H300" s="14" t="n">
        <f aca="false">(E300/1000)*(F300/1000)*(G300/1000)*7850</f>
        <v>998.59536</v>
      </c>
      <c r="I300" s="10" t="n">
        <v>2</v>
      </c>
      <c r="J300" s="15" t="n">
        <f aca="false">H300*I300</f>
        <v>1997.19072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</row>
    <row r="301" s="12" customFormat="true" ht="19.5" hidden="true" customHeight="true" outlineLevel="0" collapsed="false">
      <c r="A301" s="10"/>
      <c r="B301" s="10"/>
      <c r="C301" s="10" t="s">
        <v>134</v>
      </c>
      <c r="D301" s="10" t="s">
        <v>45</v>
      </c>
      <c r="E301" s="10" t="n">
        <v>16000</v>
      </c>
      <c r="F301" s="10" t="n">
        <v>600</v>
      </c>
      <c r="G301" s="10" t="n">
        <v>24</v>
      </c>
      <c r="H301" s="14" t="n">
        <f aca="false">(E301/1000)*(F301/1000)*(G301/1000)*7850</f>
        <v>1808.64</v>
      </c>
      <c r="I301" s="10" t="n">
        <v>8</v>
      </c>
      <c r="J301" s="15" t="n">
        <f aca="false">H301*I301</f>
        <v>14469.12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</row>
    <row r="302" s="12" customFormat="true" ht="19.5" hidden="true" customHeight="true" outlineLevel="0" collapsed="false">
      <c r="A302" s="10"/>
      <c r="B302" s="10"/>
      <c r="C302" s="10" t="s">
        <v>135</v>
      </c>
      <c r="D302" s="10" t="s">
        <v>45</v>
      </c>
      <c r="E302" s="10" t="n">
        <v>5100</v>
      </c>
      <c r="F302" s="10" t="n">
        <v>600</v>
      </c>
      <c r="G302" s="10" t="n">
        <v>40</v>
      </c>
      <c r="H302" s="14" t="n">
        <f aca="false">(E302/1000)*(F302/1000)*(G302/1000)*7850</f>
        <v>960.84</v>
      </c>
      <c r="I302" s="10" t="n">
        <v>2</v>
      </c>
      <c r="J302" s="15" t="n">
        <f aca="false">H302*I302</f>
        <v>1921.68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</row>
    <row r="303" s="12" customFormat="true" ht="19.5" hidden="true" customHeight="true" outlineLevel="0" collapsed="false">
      <c r="A303" s="10"/>
      <c r="B303" s="10"/>
      <c r="C303" s="10" t="s">
        <v>136</v>
      </c>
      <c r="D303" s="10" t="s">
        <v>45</v>
      </c>
      <c r="E303" s="10" t="n">
        <v>7200</v>
      </c>
      <c r="F303" s="10" t="n">
        <v>800</v>
      </c>
      <c r="G303" s="10" t="n">
        <v>40</v>
      </c>
      <c r="H303" s="14" t="n">
        <f aca="false">(E303/1000)*(F303/1000)*(G303/1000)*7850</f>
        <v>1808.64</v>
      </c>
      <c r="I303" s="10" t="n">
        <v>2</v>
      </c>
      <c r="J303" s="15" t="n">
        <f aca="false">H303*I303</f>
        <v>3617.28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</row>
    <row r="304" s="12" customFormat="true" ht="19.5" hidden="true" customHeight="true" outlineLevel="0" collapsed="false">
      <c r="A304" s="10"/>
      <c r="B304" s="10"/>
      <c r="C304" s="10" t="s">
        <v>137</v>
      </c>
      <c r="D304" s="10" t="s">
        <v>45</v>
      </c>
      <c r="E304" s="10" t="n">
        <v>3700</v>
      </c>
      <c r="F304" s="10" t="n">
        <v>600</v>
      </c>
      <c r="G304" s="10" t="n">
        <v>40</v>
      </c>
      <c r="H304" s="14" t="n">
        <f aca="false">(E304/1000)*(F304/1000)*(G304/1000)*7850</f>
        <v>697.08</v>
      </c>
      <c r="I304" s="10" t="n">
        <v>2</v>
      </c>
      <c r="J304" s="15" t="n">
        <f aca="false">H304*I304</f>
        <v>1394.16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</row>
    <row r="305" s="12" customFormat="true" ht="19.5" hidden="true" customHeight="true" outlineLevel="0" collapsed="false">
      <c r="A305" s="10"/>
      <c r="B305" s="10" t="s">
        <v>52</v>
      </c>
      <c r="C305" s="10" t="s">
        <v>138</v>
      </c>
      <c r="D305" s="10" t="s">
        <v>45</v>
      </c>
      <c r="E305" s="10" t="n">
        <v>14102.7</v>
      </c>
      <c r="F305" s="10" t="n">
        <v>2641.7</v>
      </c>
      <c r="G305" s="10" t="n">
        <v>16</v>
      </c>
      <c r="H305" s="14" t="n">
        <f aca="false">(E305/1000)*(F305/1000)*(G305/1000)*7850</f>
        <v>4679.240885304</v>
      </c>
      <c r="I305" s="10" t="n">
        <v>1</v>
      </c>
      <c r="J305" s="15" t="n">
        <f aca="false">H305*I305</f>
        <v>4679.240885304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</row>
    <row r="306" s="12" customFormat="true" ht="19.5" hidden="true" customHeight="true" outlineLevel="0" collapsed="false">
      <c r="A306" s="10"/>
      <c r="B306" s="10"/>
      <c r="C306" s="10" t="s">
        <v>139</v>
      </c>
      <c r="D306" s="10" t="s">
        <v>45</v>
      </c>
      <c r="E306" s="10" t="n">
        <v>14102.7</v>
      </c>
      <c r="F306" s="10" t="n">
        <v>2718.2</v>
      </c>
      <c r="G306" s="10" t="n">
        <v>16</v>
      </c>
      <c r="H306" s="14" t="n">
        <f aca="false">(E306/1000)*(F306/1000)*(G306/1000)*7850</f>
        <v>4814.745267984</v>
      </c>
      <c r="I306" s="10" t="n">
        <v>1</v>
      </c>
      <c r="J306" s="15" t="n">
        <f aca="false">H306*I306</f>
        <v>4814.745267984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</row>
    <row r="307" s="12" customFormat="true" ht="19.5" hidden="true" customHeight="true" outlineLevel="0" collapsed="false">
      <c r="A307" s="10"/>
      <c r="B307" s="10"/>
      <c r="C307" s="10" t="s">
        <v>140</v>
      </c>
      <c r="D307" s="10" t="s">
        <v>45</v>
      </c>
      <c r="E307" s="10" t="n">
        <v>10600.8</v>
      </c>
      <c r="F307" s="10" t="n">
        <v>2641.7</v>
      </c>
      <c r="G307" s="10" t="n">
        <v>16</v>
      </c>
      <c r="H307" s="14" t="n">
        <f aca="false">(E307/1000)*(F307/1000)*(G307/1000)*7850</f>
        <v>3517.319150016</v>
      </c>
      <c r="I307" s="10" t="n">
        <v>1</v>
      </c>
      <c r="J307" s="15" t="n">
        <f aca="false">H307*I307</f>
        <v>3517.319150016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</row>
    <row r="308" s="12" customFormat="true" ht="19.5" hidden="true" customHeight="true" outlineLevel="0" collapsed="false">
      <c r="A308" s="10"/>
      <c r="B308" s="10"/>
      <c r="C308" s="10" t="s">
        <v>141</v>
      </c>
      <c r="D308" s="10" t="s">
        <v>45</v>
      </c>
      <c r="E308" s="10" t="n">
        <v>10600.8</v>
      </c>
      <c r="F308" s="10" t="n">
        <v>2718.2</v>
      </c>
      <c r="G308" s="10" t="n">
        <v>16</v>
      </c>
      <c r="H308" s="14" t="n">
        <f aca="false">(E308/1000)*(F308/1000)*(G308/1000)*7850</f>
        <v>3619.175876736</v>
      </c>
      <c r="I308" s="10" t="n">
        <v>1</v>
      </c>
      <c r="J308" s="15" t="n">
        <f aca="false">H308*I308</f>
        <v>3619.175876736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</row>
    <row r="309" s="12" customFormat="true" ht="19.5" hidden="true" customHeight="true" outlineLevel="0" collapsed="false">
      <c r="A309" s="10"/>
      <c r="B309" s="10"/>
      <c r="C309" s="10" t="s">
        <v>142</v>
      </c>
      <c r="D309" s="10" t="s">
        <v>45</v>
      </c>
      <c r="E309" s="10" t="n">
        <v>16000</v>
      </c>
      <c r="F309" s="10" t="n">
        <v>2637.7</v>
      </c>
      <c r="G309" s="10" t="n">
        <v>14</v>
      </c>
      <c r="H309" s="14" t="n">
        <f aca="false">(E309/1000)*(F309/1000)*(G309/1000)*7850</f>
        <v>4638.13168</v>
      </c>
      <c r="I309" s="10" t="n">
        <v>4</v>
      </c>
      <c r="J309" s="15" t="n">
        <f aca="false">H309*I309</f>
        <v>18552.52672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</row>
    <row r="310" s="12" customFormat="true" ht="19.5" hidden="true" customHeight="true" outlineLevel="0" collapsed="false">
      <c r="A310" s="10"/>
      <c r="B310" s="10"/>
      <c r="C310" s="10" t="s">
        <v>143</v>
      </c>
      <c r="D310" s="10" t="s">
        <v>45</v>
      </c>
      <c r="E310" s="10" t="n">
        <v>16000</v>
      </c>
      <c r="F310" s="10" t="n">
        <v>2714.2</v>
      </c>
      <c r="G310" s="10" t="n">
        <v>14</v>
      </c>
      <c r="H310" s="14" t="n">
        <f aca="false">(E310/1000)*(F310/1000)*(G310/1000)*7850</f>
        <v>4772.64928</v>
      </c>
      <c r="I310" s="10" t="n">
        <v>4</v>
      </c>
      <c r="J310" s="15" t="n">
        <f aca="false">H310*I310</f>
        <v>19090.59712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</row>
    <row r="311" s="12" customFormat="true" ht="19.5" hidden="false" customHeight="true" outlineLevel="0" collapsed="false">
      <c r="A311" s="10"/>
      <c r="B311" s="10"/>
      <c r="C311" s="10" t="s">
        <v>144</v>
      </c>
      <c r="D311" s="10" t="s">
        <v>45</v>
      </c>
      <c r="E311" s="10" t="n">
        <v>16000</v>
      </c>
      <c r="F311" s="10" t="n">
        <v>2621.7</v>
      </c>
      <c r="G311" s="10" t="n">
        <v>20</v>
      </c>
      <c r="H311" s="14" t="n">
        <f aca="false">(E311/1000)*(F311/1000)*(G311/1000)*7850</f>
        <v>6585.7104</v>
      </c>
      <c r="I311" s="10" t="n">
        <v>1</v>
      </c>
      <c r="J311" s="15" t="n">
        <f aca="false">H311*I311</f>
        <v>6585.7104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</row>
    <row r="312" s="12" customFormat="true" ht="19.5" hidden="false" customHeight="true" outlineLevel="0" collapsed="false">
      <c r="A312" s="10"/>
      <c r="B312" s="10"/>
      <c r="C312" s="10" t="s">
        <v>145</v>
      </c>
      <c r="D312" s="10" t="s">
        <v>45</v>
      </c>
      <c r="E312" s="10" t="n">
        <v>16000</v>
      </c>
      <c r="F312" s="10" t="n">
        <v>2698.2</v>
      </c>
      <c r="G312" s="10" t="n">
        <v>20</v>
      </c>
      <c r="H312" s="14" t="n">
        <f aca="false">(E312/1000)*(F312/1000)*(G312/1000)*7850</f>
        <v>6777.8784</v>
      </c>
      <c r="I312" s="10" t="n">
        <v>1</v>
      </c>
      <c r="J312" s="15" t="n">
        <f aca="false">H312*I312</f>
        <v>6777.8784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</row>
    <row r="313" s="12" customFormat="true" ht="19.5" hidden="true" customHeight="true" outlineLevel="0" collapsed="false">
      <c r="A313" s="10"/>
      <c r="B313" s="10" t="s">
        <v>63</v>
      </c>
      <c r="C313" s="10" t="s">
        <v>146</v>
      </c>
      <c r="D313" s="10" t="s">
        <v>45</v>
      </c>
      <c r="E313" s="10" t="n">
        <v>13352.7</v>
      </c>
      <c r="F313" s="10" t="n">
        <v>2630</v>
      </c>
      <c r="G313" s="10" t="n">
        <v>16</v>
      </c>
      <c r="H313" s="14" t="n">
        <f aca="false">(E313/1000)*(F313/1000)*(G313/1000)*7850</f>
        <v>4410.7706856</v>
      </c>
      <c r="I313" s="10" t="n">
        <v>1</v>
      </c>
      <c r="J313" s="15" t="n">
        <f aca="false">H313*I313</f>
        <v>4410.7706856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</row>
    <row r="314" s="12" customFormat="true" ht="19.5" hidden="true" customHeight="true" outlineLevel="0" collapsed="false">
      <c r="A314" s="10"/>
      <c r="B314" s="10"/>
      <c r="C314" s="10" t="s">
        <v>147</v>
      </c>
      <c r="D314" s="10" t="s">
        <v>45</v>
      </c>
      <c r="E314" s="10" t="n">
        <v>9850.8</v>
      </c>
      <c r="F314" s="10" t="n">
        <v>2630</v>
      </c>
      <c r="G314" s="10" t="n">
        <v>16</v>
      </c>
      <c r="H314" s="14" t="n">
        <f aca="false">(E314/1000)*(F314/1000)*(G314/1000)*7850</f>
        <v>3253.9950624</v>
      </c>
      <c r="I314" s="10" t="n">
        <v>1</v>
      </c>
      <c r="J314" s="15" t="n">
        <f aca="false">H314*I314</f>
        <v>3253.9950624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</row>
    <row r="315" s="12" customFormat="true" ht="19.5" hidden="false" customHeight="true" outlineLevel="0" collapsed="false">
      <c r="A315" s="10"/>
      <c r="B315" s="10"/>
      <c r="C315" s="10" t="s">
        <v>148</v>
      </c>
      <c r="D315" s="10" t="s">
        <v>45</v>
      </c>
      <c r="E315" s="10" t="n">
        <v>16000</v>
      </c>
      <c r="F315" s="10" t="n">
        <v>2630</v>
      </c>
      <c r="G315" s="10" t="n">
        <v>20</v>
      </c>
      <c r="H315" s="14" t="n">
        <f aca="false">(E315/1000)*(F315/1000)*(G315/1000)*7850</f>
        <v>6606.56</v>
      </c>
      <c r="I315" s="10" t="n">
        <v>4</v>
      </c>
      <c r="J315" s="15" t="n">
        <f aca="false">H315*I315</f>
        <v>26426.24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</row>
    <row r="316" s="12" customFormat="true" ht="19.5" hidden="true" customHeight="true" outlineLevel="0" collapsed="false">
      <c r="A316" s="10"/>
      <c r="B316" s="10"/>
      <c r="C316" s="10" t="s">
        <v>149</v>
      </c>
      <c r="D316" s="10" t="s">
        <v>45</v>
      </c>
      <c r="E316" s="10" t="n">
        <v>16000</v>
      </c>
      <c r="F316" s="10" t="n">
        <v>2630</v>
      </c>
      <c r="G316" s="10" t="n">
        <v>24</v>
      </c>
      <c r="H316" s="14" t="n">
        <f aca="false">(E316/1000)*(F316/1000)*(G316/1000)*7850</f>
        <v>7927.872</v>
      </c>
      <c r="I316" s="10" t="n">
        <v>1</v>
      </c>
      <c r="J316" s="15" t="n">
        <f aca="false">H316*I316</f>
        <v>7927.872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</row>
    <row r="317" s="12" customFormat="true" ht="19.5" hidden="true" customHeight="true" outlineLevel="0" collapsed="false">
      <c r="A317" s="10"/>
      <c r="B317" s="10" t="s">
        <v>68</v>
      </c>
      <c r="C317" s="10" t="s">
        <v>150</v>
      </c>
      <c r="D317" s="10" t="s">
        <v>45</v>
      </c>
      <c r="E317" s="17" t="n">
        <v>20044.1</v>
      </c>
      <c r="F317" s="10" t="n">
        <v>140</v>
      </c>
      <c r="G317" s="10" t="n">
        <v>12</v>
      </c>
      <c r="H317" s="14" t="n">
        <f aca="false">(E317/1000)*(F317/1000)*(G317/1000)*7850</f>
        <v>264.3415908</v>
      </c>
      <c r="I317" s="10" t="n">
        <v>1</v>
      </c>
      <c r="J317" s="15" t="n">
        <f aca="false">H317*I317</f>
        <v>264.3415908</v>
      </c>
      <c r="K317" s="18" t="s">
        <v>70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</row>
    <row r="318" s="12" customFormat="true" ht="19.5" hidden="true" customHeight="true" outlineLevel="0" collapsed="false">
      <c r="A318" s="10"/>
      <c r="B318" s="10"/>
      <c r="C318" s="10" t="s">
        <v>151</v>
      </c>
      <c r="D318" s="10" t="s">
        <v>45</v>
      </c>
      <c r="E318" s="17" t="n">
        <v>70041.5</v>
      </c>
      <c r="F318" s="10" t="n">
        <v>140</v>
      </c>
      <c r="G318" s="10" t="n">
        <v>12</v>
      </c>
      <c r="H318" s="14" t="n">
        <f aca="false">(E318/1000)*(F318/1000)*(G318/1000)*7850</f>
        <v>923.707302</v>
      </c>
      <c r="I318" s="10" t="n">
        <v>1</v>
      </c>
      <c r="J318" s="15" t="n">
        <f aca="false">H318*I318</f>
        <v>923.707302</v>
      </c>
      <c r="K318" s="18" t="s">
        <v>70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</row>
    <row r="319" s="12" customFormat="true" ht="19.5" hidden="true" customHeight="true" outlineLevel="0" collapsed="false">
      <c r="A319" s="10"/>
      <c r="B319" s="10"/>
      <c r="C319" s="10" t="s">
        <v>152</v>
      </c>
      <c r="D319" s="10" t="s">
        <v>45</v>
      </c>
      <c r="E319" s="17" t="n">
        <v>26997.8</v>
      </c>
      <c r="F319" s="10" t="n">
        <v>180</v>
      </c>
      <c r="G319" s="10" t="n">
        <v>16</v>
      </c>
      <c r="H319" s="14" t="n">
        <f aca="false">(E319/1000)*(F319/1000)*(G319/1000)*7850</f>
        <v>610.3662624</v>
      </c>
      <c r="I319" s="10" t="n">
        <v>1</v>
      </c>
      <c r="J319" s="15" t="n">
        <f aca="false">H319*I319</f>
        <v>610.3662624</v>
      </c>
      <c r="K319" s="18" t="s">
        <v>70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</row>
    <row r="320" s="12" customFormat="true" ht="19.5" hidden="true" customHeight="true" outlineLevel="0" collapsed="false">
      <c r="A320" s="10"/>
      <c r="B320" s="10" t="s">
        <v>73</v>
      </c>
      <c r="C320" s="10" t="s">
        <v>153</v>
      </c>
      <c r="D320" s="10" t="s">
        <v>45</v>
      </c>
      <c r="E320" s="10" t="n">
        <v>12802.7</v>
      </c>
      <c r="F320" s="10" t="n">
        <v>160</v>
      </c>
      <c r="G320" s="10" t="n">
        <v>14</v>
      </c>
      <c r="H320" s="14" t="n">
        <f aca="false">(E320/1000)*(F320/1000)*(G320/1000)*7850</f>
        <v>225.1226768</v>
      </c>
      <c r="I320" s="10" t="n">
        <v>2</v>
      </c>
      <c r="J320" s="15" t="n">
        <f aca="false">H320*I320</f>
        <v>450.2453536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</row>
    <row r="321" s="12" customFormat="true" ht="19.5" hidden="true" customHeight="true" outlineLevel="0" collapsed="false">
      <c r="A321" s="10"/>
      <c r="B321" s="10"/>
      <c r="C321" s="10" t="s">
        <v>154</v>
      </c>
      <c r="D321" s="10" t="s">
        <v>45</v>
      </c>
      <c r="E321" s="10" t="n">
        <v>9300.8</v>
      </c>
      <c r="F321" s="10" t="n">
        <v>160</v>
      </c>
      <c r="G321" s="10" t="n">
        <v>14</v>
      </c>
      <c r="H321" s="14" t="n">
        <f aca="false">(E321/1000)*(F321/1000)*(G321/1000)*7850</f>
        <v>163.5452672</v>
      </c>
      <c r="I321" s="10" t="n">
        <v>2</v>
      </c>
      <c r="J321" s="15" t="n">
        <f aca="false">H321*I321</f>
        <v>327.0905344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</row>
    <row r="322" s="12" customFormat="true" ht="19.5" hidden="true" customHeight="true" outlineLevel="0" collapsed="false">
      <c r="A322" s="10"/>
      <c r="B322" s="10"/>
      <c r="C322" s="10" t="s">
        <v>155</v>
      </c>
      <c r="D322" s="10" t="s">
        <v>45</v>
      </c>
      <c r="E322" s="10" t="n">
        <v>16000</v>
      </c>
      <c r="F322" s="10" t="n">
        <v>160</v>
      </c>
      <c r="G322" s="10" t="n">
        <v>14</v>
      </c>
      <c r="H322" s="14" t="n">
        <f aca="false">(E322/1000)*(F322/1000)*(G322/1000)*7850</f>
        <v>281.344</v>
      </c>
      <c r="I322" s="10" t="n">
        <v>8</v>
      </c>
      <c r="J322" s="15" t="n">
        <f aca="false">H322*I322</f>
        <v>2250.752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</row>
    <row r="323" s="12" customFormat="true" ht="19.5" hidden="false" customHeight="true" outlineLevel="0" collapsed="false">
      <c r="A323" s="10"/>
      <c r="B323" s="10"/>
      <c r="C323" s="10" t="s">
        <v>156</v>
      </c>
      <c r="D323" s="10" t="s">
        <v>45</v>
      </c>
      <c r="E323" s="10" t="n">
        <v>16000</v>
      </c>
      <c r="F323" s="10" t="n">
        <v>220</v>
      </c>
      <c r="G323" s="10" t="n">
        <v>20</v>
      </c>
      <c r="H323" s="14" t="n">
        <f aca="false">(E323/1000)*(F323/1000)*(G323/1000)*7850</f>
        <v>552.64</v>
      </c>
      <c r="I323" s="10" t="n">
        <v>3</v>
      </c>
      <c r="J323" s="15" t="n">
        <f aca="false">H323*I323</f>
        <v>1657.92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</row>
    <row r="324" s="12" customFormat="true" ht="19.5" hidden="true" customHeight="true" outlineLevel="0" collapsed="false">
      <c r="A324" s="10"/>
      <c r="B324" s="10" t="s">
        <v>78</v>
      </c>
      <c r="C324" s="10"/>
      <c r="D324" s="10"/>
      <c r="E324" s="10"/>
      <c r="F324" s="10"/>
      <c r="G324" s="10"/>
      <c r="H324" s="14"/>
      <c r="I324" s="10"/>
      <c r="J324" s="15" t="n">
        <f aca="false">SUM(J299:J323)</f>
        <v>142196.87401124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</row>
    <row r="325" s="12" customFormat="true" ht="19.5" hidden="false" customHeight="true" outlineLevel="0" collapsed="false">
      <c r="A325" s="10" t="s">
        <v>268</v>
      </c>
      <c r="B325" s="10" t="s">
        <v>43</v>
      </c>
      <c r="C325" s="10" t="s">
        <v>158</v>
      </c>
      <c r="D325" s="10" t="s">
        <v>45</v>
      </c>
      <c r="E325" s="10" t="n">
        <v>10780</v>
      </c>
      <c r="F325" s="10" t="n">
        <v>600</v>
      </c>
      <c r="G325" s="10" t="n">
        <v>20</v>
      </c>
      <c r="H325" s="14" t="n">
        <f aca="false">(E325/1000)*(F325/1000)*(G325/1000)*7850</f>
        <v>1015.476</v>
      </c>
      <c r="I325" s="10" t="n">
        <v>2</v>
      </c>
      <c r="J325" s="15" t="n">
        <f aca="false">H325*I325</f>
        <v>2030.952</v>
      </c>
      <c r="K325" s="10"/>
      <c r="L325" s="10" t="str">
        <f aca="false">A325</f>
        <v>下层5#</v>
      </c>
      <c r="M325" s="16" t="n">
        <f aca="false">SUMIF(G325:G349,$M$3,J325:J349)</f>
        <v>1191.5358</v>
      </c>
      <c r="N325" s="16" t="n">
        <f aca="false">SUMIF(G325:G349,$N$3,J325:J349)</f>
        <v>40683.626032</v>
      </c>
      <c r="O325" s="16" t="n">
        <f aca="false">SUMIF(G325:G349,$O$3,J325:J349)</f>
        <v>25255.25227836</v>
      </c>
      <c r="P325" s="16" t="n">
        <f aca="false">SUMIF(G325:G349,$P$3,J325:J349)</f>
        <v>46168.3934</v>
      </c>
      <c r="Q325" s="16" t="n">
        <f aca="false">SUMIF(G325:G349,$Q$3,J325:J349)</f>
        <v>22396.992</v>
      </c>
      <c r="R325" s="16" t="n">
        <f aca="false">SUMIF(G325:G349,$R$3,J325:J349)</f>
        <v>0</v>
      </c>
      <c r="S325" s="16" t="n">
        <f aca="false">SUMIF(G325:G349,$S$3,J325:J349)</f>
        <v>6933.12</v>
      </c>
      <c r="T325" s="16" t="n">
        <f aca="false">SUM(M325:S350)</f>
        <v>142628.91951036</v>
      </c>
      <c r="U325" s="16" t="n">
        <v>142628.9</v>
      </c>
      <c r="V325" s="16" t="n">
        <f aca="false">T325-U325</f>
        <v>0.0195103599980939</v>
      </c>
      <c r="W325" s="10"/>
    </row>
    <row r="326" s="12" customFormat="true" ht="19.5" hidden="false" customHeight="true" outlineLevel="0" collapsed="false">
      <c r="A326" s="10"/>
      <c r="B326" s="10"/>
      <c r="C326" s="10" t="s">
        <v>159</v>
      </c>
      <c r="D326" s="10" t="s">
        <v>45</v>
      </c>
      <c r="E326" s="10" t="n">
        <v>14276.5</v>
      </c>
      <c r="F326" s="10" t="n">
        <v>600</v>
      </c>
      <c r="G326" s="10" t="n">
        <v>20</v>
      </c>
      <c r="H326" s="14" t="n">
        <f aca="false">(E326/1000)*(F326/1000)*(G326/1000)*7850</f>
        <v>1344.8463</v>
      </c>
      <c r="I326" s="10" t="n">
        <v>2</v>
      </c>
      <c r="J326" s="15" t="n">
        <f aca="false">H326*I326</f>
        <v>2689.6926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</row>
    <row r="327" s="12" customFormat="true" ht="19.5" hidden="true" customHeight="true" outlineLevel="0" collapsed="false">
      <c r="A327" s="10"/>
      <c r="B327" s="10"/>
      <c r="C327" s="10" t="s">
        <v>160</v>
      </c>
      <c r="D327" s="10" t="s">
        <v>45</v>
      </c>
      <c r="E327" s="10" t="n">
        <v>16000</v>
      </c>
      <c r="F327" s="10" t="n">
        <v>600</v>
      </c>
      <c r="G327" s="10" t="n">
        <v>24</v>
      </c>
      <c r="H327" s="14" t="n">
        <f aca="false">(E327/1000)*(F327/1000)*(G327/1000)*7850</f>
        <v>1808.64</v>
      </c>
      <c r="I327" s="10" t="n">
        <v>8</v>
      </c>
      <c r="J327" s="15" t="n">
        <f aca="false">H327*I327</f>
        <v>14469.12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</row>
    <row r="328" s="12" customFormat="true" ht="19.5" hidden="true" customHeight="true" outlineLevel="0" collapsed="false">
      <c r="A328" s="10"/>
      <c r="B328" s="10"/>
      <c r="C328" s="10" t="s">
        <v>161</v>
      </c>
      <c r="D328" s="10" t="s">
        <v>45</v>
      </c>
      <c r="E328" s="10" t="n">
        <v>3700</v>
      </c>
      <c r="F328" s="10" t="n">
        <v>600</v>
      </c>
      <c r="G328" s="10" t="n">
        <v>40</v>
      </c>
      <c r="H328" s="14" t="n">
        <f aca="false">(E328/1000)*(F328/1000)*(G328/1000)*7850</f>
        <v>697.08</v>
      </c>
      <c r="I328" s="10" t="n">
        <v>2</v>
      </c>
      <c r="J328" s="15" t="n">
        <f aca="false">H328*I328</f>
        <v>1394.16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</row>
    <row r="329" s="12" customFormat="true" ht="19.5" hidden="true" customHeight="true" outlineLevel="0" collapsed="false">
      <c r="A329" s="10"/>
      <c r="B329" s="10"/>
      <c r="C329" s="10" t="s">
        <v>162</v>
      </c>
      <c r="D329" s="10" t="s">
        <v>45</v>
      </c>
      <c r="E329" s="10" t="n">
        <v>7200</v>
      </c>
      <c r="F329" s="10" t="n">
        <v>800</v>
      </c>
      <c r="G329" s="10" t="n">
        <v>40</v>
      </c>
      <c r="H329" s="14" t="n">
        <f aca="false">(E329/1000)*(F329/1000)*(G329/1000)*7850</f>
        <v>1808.64</v>
      </c>
      <c r="I329" s="10" t="n">
        <v>2</v>
      </c>
      <c r="J329" s="15" t="n">
        <f aca="false">H329*I329</f>
        <v>3617.28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</row>
    <row r="330" s="12" customFormat="true" ht="19.5" hidden="true" customHeight="true" outlineLevel="0" collapsed="false">
      <c r="A330" s="10"/>
      <c r="B330" s="10"/>
      <c r="C330" s="10" t="s">
        <v>163</v>
      </c>
      <c r="D330" s="10" t="s">
        <v>45</v>
      </c>
      <c r="E330" s="10" t="n">
        <v>5100</v>
      </c>
      <c r="F330" s="10" t="n">
        <v>600</v>
      </c>
      <c r="G330" s="10" t="n">
        <v>40</v>
      </c>
      <c r="H330" s="14" t="n">
        <f aca="false">(E330/1000)*(F330/1000)*(G330/1000)*7850</f>
        <v>960.84</v>
      </c>
      <c r="I330" s="10" t="n">
        <v>2</v>
      </c>
      <c r="J330" s="15" t="n">
        <f aca="false">H330*I330</f>
        <v>1921.68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</row>
    <row r="331" s="12" customFormat="true" ht="19.5" hidden="true" customHeight="true" outlineLevel="0" collapsed="false">
      <c r="A331" s="10"/>
      <c r="B331" s="10" t="s">
        <v>52</v>
      </c>
      <c r="C331" s="10" t="s">
        <v>164</v>
      </c>
      <c r="D331" s="10" t="s">
        <v>45</v>
      </c>
      <c r="E331" s="10" t="n">
        <v>10780</v>
      </c>
      <c r="F331" s="10" t="n">
        <v>2641.7</v>
      </c>
      <c r="G331" s="10" t="n">
        <v>16</v>
      </c>
      <c r="H331" s="14" t="n">
        <f aca="false">(E331/1000)*(F331/1000)*(G331/1000)*7850</f>
        <v>3576.7772656</v>
      </c>
      <c r="I331" s="10" t="n">
        <v>1</v>
      </c>
      <c r="J331" s="15" t="n">
        <f aca="false">H331*I331</f>
        <v>3576.7772656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</row>
    <row r="332" s="12" customFormat="true" ht="19.5" hidden="true" customHeight="true" outlineLevel="0" collapsed="false">
      <c r="A332" s="10"/>
      <c r="B332" s="10"/>
      <c r="C332" s="10" t="s">
        <v>165</v>
      </c>
      <c r="D332" s="10" t="s">
        <v>45</v>
      </c>
      <c r="E332" s="10" t="n">
        <v>10780</v>
      </c>
      <c r="F332" s="10" t="n">
        <v>2718.2</v>
      </c>
      <c r="G332" s="10" t="n">
        <v>16</v>
      </c>
      <c r="H332" s="14" t="n">
        <f aca="false">(E332/1000)*(F332/1000)*(G332/1000)*7850</f>
        <v>3680.3558176</v>
      </c>
      <c r="I332" s="10" t="n">
        <v>1</v>
      </c>
      <c r="J332" s="15" t="n">
        <f aca="false">H332*I332</f>
        <v>3680.3558176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</row>
    <row r="333" s="12" customFormat="true" ht="19.5" hidden="true" customHeight="true" outlineLevel="0" collapsed="false">
      <c r="A333" s="10"/>
      <c r="B333" s="10"/>
      <c r="C333" s="10" t="s">
        <v>166</v>
      </c>
      <c r="D333" s="10" t="s">
        <v>45</v>
      </c>
      <c r="E333" s="10" t="n">
        <v>14276.5</v>
      </c>
      <c r="F333" s="10" t="n">
        <v>2641.7</v>
      </c>
      <c r="G333" s="10" t="n">
        <v>16</v>
      </c>
      <c r="H333" s="14" t="n">
        <f aca="false">(E333/1000)*(F333/1000)*(G333/1000)*7850</f>
        <v>4736.90729428</v>
      </c>
      <c r="I333" s="10" t="n">
        <v>1</v>
      </c>
      <c r="J333" s="15" t="n">
        <f aca="false">H333*I333</f>
        <v>4736.90729428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</row>
    <row r="334" s="12" customFormat="true" ht="19.5" hidden="true" customHeight="true" outlineLevel="0" collapsed="false">
      <c r="A334" s="10"/>
      <c r="B334" s="10"/>
      <c r="C334" s="10" t="s">
        <v>167</v>
      </c>
      <c r="D334" s="10" t="s">
        <v>45</v>
      </c>
      <c r="E334" s="10" t="n">
        <v>14276.5</v>
      </c>
      <c r="F334" s="10" t="n">
        <v>2718.2</v>
      </c>
      <c r="G334" s="10" t="n">
        <v>16</v>
      </c>
      <c r="H334" s="14" t="n">
        <f aca="false">(E334/1000)*(F334/1000)*(G334/1000)*7850</f>
        <v>4874.08161688</v>
      </c>
      <c r="I334" s="10" t="n">
        <v>1</v>
      </c>
      <c r="J334" s="15" t="n">
        <f aca="false">H334*I334</f>
        <v>4874.08161688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</row>
    <row r="335" s="12" customFormat="true" ht="19.5" hidden="true" customHeight="true" outlineLevel="0" collapsed="false">
      <c r="A335" s="10"/>
      <c r="B335" s="10"/>
      <c r="C335" s="10" t="s">
        <v>168</v>
      </c>
      <c r="D335" s="10" t="s">
        <v>45</v>
      </c>
      <c r="E335" s="10" t="n">
        <v>16000</v>
      </c>
      <c r="F335" s="10" t="n">
        <v>2637.7</v>
      </c>
      <c r="G335" s="10" t="n">
        <v>14</v>
      </c>
      <c r="H335" s="14" t="n">
        <f aca="false">(E335/1000)*(F335/1000)*(G335/1000)*7850</f>
        <v>4638.13168</v>
      </c>
      <c r="I335" s="10" t="n">
        <v>4</v>
      </c>
      <c r="J335" s="15" t="n">
        <f aca="false">H335*I335</f>
        <v>18552.52672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</row>
    <row r="336" s="12" customFormat="true" ht="19.5" hidden="true" customHeight="true" outlineLevel="0" collapsed="false">
      <c r="A336" s="10"/>
      <c r="B336" s="10"/>
      <c r="C336" s="10" t="s">
        <v>169</v>
      </c>
      <c r="D336" s="10" t="s">
        <v>45</v>
      </c>
      <c r="E336" s="10" t="n">
        <v>16000</v>
      </c>
      <c r="F336" s="10" t="n">
        <v>2714.2</v>
      </c>
      <c r="G336" s="10" t="n">
        <v>14</v>
      </c>
      <c r="H336" s="14" t="n">
        <f aca="false">(E336/1000)*(F336/1000)*(G336/1000)*7850</f>
        <v>4772.64928</v>
      </c>
      <c r="I336" s="10" t="n">
        <v>4</v>
      </c>
      <c r="J336" s="15" t="n">
        <f aca="false">H336*I336</f>
        <v>19090.59712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</row>
    <row r="337" s="12" customFormat="true" ht="19.5" hidden="false" customHeight="true" outlineLevel="0" collapsed="false">
      <c r="A337" s="10"/>
      <c r="B337" s="10"/>
      <c r="C337" s="10" t="s">
        <v>170</v>
      </c>
      <c r="D337" s="10" t="s">
        <v>45</v>
      </c>
      <c r="E337" s="10" t="n">
        <v>16000</v>
      </c>
      <c r="F337" s="10" t="n">
        <v>2621.7</v>
      </c>
      <c r="G337" s="10" t="n">
        <v>20</v>
      </c>
      <c r="H337" s="14" t="n">
        <f aca="false">(E337/1000)*(F337/1000)*(G337/1000)*7850</f>
        <v>6585.7104</v>
      </c>
      <c r="I337" s="10" t="n">
        <v>1</v>
      </c>
      <c r="J337" s="15" t="n">
        <f aca="false">H337*I337</f>
        <v>6585.7104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</row>
    <row r="338" s="12" customFormat="true" ht="19.5" hidden="false" customHeight="true" outlineLevel="0" collapsed="false">
      <c r="A338" s="10"/>
      <c r="B338" s="10"/>
      <c r="C338" s="10" t="s">
        <v>171</v>
      </c>
      <c r="D338" s="10" t="s">
        <v>45</v>
      </c>
      <c r="E338" s="10" t="n">
        <v>16000</v>
      </c>
      <c r="F338" s="10" t="n">
        <v>2698.2</v>
      </c>
      <c r="G338" s="10" t="n">
        <v>20</v>
      </c>
      <c r="H338" s="14" t="n">
        <f aca="false">(E338/1000)*(F338/1000)*(G338/1000)*7850</f>
        <v>6777.8784</v>
      </c>
      <c r="I338" s="10" t="n">
        <v>1</v>
      </c>
      <c r="J338" s="15" t="n">
        <f aca="false">H338*I338</f>
        <v>6777.8784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</row>
    <row r="339" s="12" customFormat="true" ht="19.5" hidden="true" customHeight="true" outlineLevel="0" collapsed="false">
      <c r="A339" s="10"/>
      <c r="B339" s="10" t="s">
        <v>63</v>
      </c>
      <c r="C339" s="10" t="s">
        <v>172</v>
      </c>
      <c r="D339" s="10" t="s">
        <v>45</v>
      </c>
      <c r="E339" s="10" t="n">
        <v>10030</v>
      </c>
      <c r="F339" s="10" t="n">
        <v>2630</v>
      </c>
      <c r="G339" s="10" t="n">
        <v>16</v>
      </c>
      <c r="H339" s="14" t="n">
        <f aca="false">(E339/1000)*(F339/1000)*(G339/1000)*7850</f>
        <v>3313.18984</v>
      </c>
      <c r="I339" s="10" t="n">
        <v>1</v>
      </c>
      <c r="J339" s="15" t="n">
        <f aca="false">H339*I339</f>
        <v>3313.18984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</row>
    <row r="340" s="12" customFormat="true" ht="19.5" hidden="true" customHeight="true" outlineLevel="0" collapsed="false">
      <c r="A340" s="10"/>
      <c r="B340" s="10"/>
      <c r="C340" s="10" t="s">
        <v>173</v>
      </c>
      <c r="D340" s="10" t="s">
        <v>45</v>
      </c>
      <c r="E340" s="10" t="n">
        <v>13526.5</v>
      </c>
      <c r="F340" s="10" t="n">
        <v>2630</v>
      </c>
      <c r="G340" s="10" t="n">
        <v>16</v>
      </c>
      <c r="H340" s="14" t="n">
        <f aca="false">(E340/1000)*(F340/1000)*(G340/1000)*7850</f>
        <v>4468.181692</v>
      </c>
      <c r="I340" s="10" t="n">
        <v>1</v>
      </c>
      <c r="J340" s="15" t="n">
        <f aca="false">H340*I340</f>
        <v>4468.181692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</row>
    <row r="341" s="12" customFormat="true" ht="19.5" hidden="false" customHeight="true" outlineLevel="0" collapsed="false">
      <c r="A341" s="10"/>
      <c r="B341" s="10"/>
      <c r="C341" s="10" t="s">
        <v>174</v>
      </c>
      <c r="D341" s="10" t="s">
        <v>45</v>
      </c>
      <c r="E341" s="10" t="n">
        <v>16000</v>
      </c>
      <c r="F341" s="10" t="n">
        <v>2630</v>
      </c>
      <c r="G341" s="10" t="n">
        <v>20</v>
      </c>
      <c r="H341" s="14" t="n">
        <f aca="false">(E341/1000)*(F341/1000)*(G341/1000)*7850</f>
        <v>6606.56</v>
      </c>
      <c r="I341" s="10" t="n">
        <v>4</v>
      </c>
      <c r="J341" s="15" t="n">
        <f aca="false">H341*I341</f>
        <v>26426.24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</row>
    <row r="342" s="12" customFormat="true" ht="19.5" hidden="true" customHeight="true" outlineLevel="0" collapsed="false">
      <c r="A342" s="10"/>
      <c r="B342" s="10"/>
      <c r="C342" s="10" t="s">
        <v>175</v>
      </c>
      <c r="D342" s="10" t="s">
        <v>45</v>
      </c>
      <c r="E342" s="10" t="n">
        <v>16000</v>
      </c>
      <c r="F342" s="10" t="n">
        <v>2630</v>
      </c>
      <c r="G342" s="10" t="n">
        <v>24</v>
      </c>
      <c r="H342" s="14" t="n">
        <f aca="false">(E342/1000)*(F342/1000)*(G342/1000)*7850</f>
        <v>7927.872</v>
      </c>
      <c r="I342" s="10" t="n">
        <v>1</v>
      </c>
      <c r="J342" s="15" t="n">
        <f aca="false">H342*I342</f>
        <v>7927.872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</row>
    <row r="343" s="12" customFormat="true" ht="19.5" hidden="true" customHeight="true" outlineLevel="0" collapsed="false">
      <c r="A343" s="10"/>
      <c r="B343" s="10" t="s">
        <v>68</v>
      </c>
      <c r="C343" s="10" t="s">
        <v>176</v>
      </c>
      <c r="D343" s="10" t="s">
        <v>45</v>
      </c>
      <c r="E343" s="17" t="n">
        <v>19225.6</v>
      </c>
      <c r="F343" s="10" t="n">
        <v>140</v>
      </c>
      <c r="G343" s="10" t="n">
        <v>12</v>
      </c>
      <c r="H343" s="14" t="n">
        <f aca="false">(E343/1000)*(F343/1000)*(G343/1000)*7850</f>
        <v>253.5472128</v>
      </c>
      <c r="I343" s="10" t="n">
        <v>1</v>
      </c>
      <c r="J343" s="15" t="n">
        <f aca="false">H343*I343</f>
        <v>253.5472128</v>
      </c>
      <c r="K343" s="18" t="s">
        <v>70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</row>
    <row r="344" s="12" customFormat="true" ht="19.5" hidden="true" customHeight="true" outlineLevel="0" collapsed="false">
      <c r="A344" s="10"/>
      <c r="B344" s="10"/>
      <c r="C344" s="10" t="s">
        <v>177</v>
      </c>
      <c r="D344" s="10" t="s">
        <v>45</v>
      </c>
      <c r="E344" s="17" t="n">
        <v>71124.4</v>
      </c>
      <c r="F344" s="10" t="n">
        <v>140</v>
      </c>
      <c r="G344" s="10" t="n">
        <v>12</v>
      </c>
      <c r="H344" s="14" t="n">
        <f aca="false">(E344/1000)*(F344/1000)*(G344/1000)*7850</f>
        <v>937.9885872</v>
      </c>
      <c r="I344" s="10" t="n">
        <v>1</v>
      </c>
      <c r="J344" s="15" t="n">
        <f aca="false">H344*I344</f>
        <v>937.9885872</v>
      </c>
      <c r="K344" s="18" t="s">
        <v>70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</row>
    <row r="345" s="12" customFormat="true" ht="19.5" hidden="true" customHeight="true" outlineLevel="0" collapsed="false">
      <c r="A345" s="10"/>
      <c r="B345" s="10"/>
      <c r="C345" s="10" t="s">
        <v>178</v>
      </c>
      <c r="D345" s="10" t="s">
        <v>45</v>
      </c>
      <c r="E345" s="17" t="n">
        <v>26794</v>
      </c>
      <c r="F345" s="10" t="n">
        <v>180</v>
      </c>
      <c r="G345" s="10" t="n">
        <v>16</v>
      </c>
      <c r="H345" s="14" t="n">
        <f aca="false">(E345/1000)*(F345/1000)*(G345/1000)*7850</f>
        <v>605.758752</v>
      </c>
      <c r="I345" s="10" t="n">
        <v>1</v>
      </c>
      <c r="J345" s="15" t="n">
        <f aca="false">H345*I345</f>
        <v>605.758752</v>
      </c>
      <c r="K345" s="18" t="s">
        <v>70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</row>
    <row r="346" s="12" customFormat="true" ht="19.5" hidden="true" customHeight="true" outlineLevel="0" collapsed="false">
      <c r="A346" s="10"/>
      <c r="B346" s="10" t="s">
        <v>73</v>
      </c>
      <c r="C346" s="10" t="s">
        <v>179</v>
      </c>
      <c r="D346" s="10" t="s">
        <v>45</v>
      </c>
      <c r="E346" s="10" t="n">
        <v>9480</v>
      </c>
      <c r="F346" s="10" t="n">
        <v>160</v>
      </c>
      <c r="G346" s="10" t="n">
        <v>14</v>
      </c>
      <c r="H346" s="14" t="n">
        <f aca="false">(E346/1000)*(F346/1000)*(G346/1000)*7850</f>
        <v>166.69632</v>
      </c>
      <c r="I346" s="10" t="n">
        <v>2</v>
      </c>
      <c r="J346" s="15" t="n">
        <f aca="false">H346*I346</f>
        <v>333.39264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</row>
    <row r="347" s="12" customFormat="true" ht="19.5" hidden="true" customHeight="true" outlineLevel="0" collapsed="false">
      <c r="A347" s="10"/>
      <c r="B347" s="10"/>
      <c r="C347" s="10" t="s">
        <v>180</v>
      </c>
      <c r="D347" s="10" t="s">
        <v>45</v>
      </c>
      <c r="E347" s="10" t="n">
        <v>12976.5</v>
      </c>
      <c r="F347" s="10" t="n">
        <v>160</v>
      </c>
      <c r="G347" s="10" t="n">
        <v>14</v>
      </c>
      <c r="H347" s="14" t="n">
        <f aca="false">(E347/1000)*(F347/1000)*(G347/1000)*7850</f>
        <v>228.178776</v>
      </c>
      <c r="I347" s="10" t="n">
        <v>2</v>
      </c>
      <c r="J347" s="15" t="n">
        <f aca="false">H347*I347</f>
        <v>456.357552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</row>
    <row r="348" s="12" customFormat="true" ht="19.5" hidden="true" customHeight="true" outlineLevel="0" collapsed="false">
      <c r="A348" s="10"/>
      <c r="B348" s="10"/>
      <c r="C348" s="10" t="s">
        <v>181</v>
      </c>
      <c r="D348" s="10" t="s">
        <v>45</v>
      </c>
      <c r="E348" s="10" t="n">
        <v>16000</v>
      </c>
      <c r="F348" s="10" t="n">
        <v>160</v>
      </c>
      <c r="G348" s="10" t="n">
        <v>14</v>
      </c>
      <c r="H348" s="14" t="n">
        <f aca="false">(E348/1000)*(F348/1000)*(G348/1000)*7850</f>
        <v>281.344</v>
      </c>
      <c r="I348" s="10" t="n">
        <v>8</v>
      </c>
      <c r="J348" s="15" t="n">
        <f aca="false">H348*I348</f>
        <v>2250.752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</row>
    <row r="349" s="12" customFormat="true" ht="19.5" hidden="false" customHeight="true" outlineLevel="0" collapsed="false">
      <c r="A349" s="10"/>
      <c r="B349" s="10"/>
      <c r="C349" s="10" t="s">
        <v>182</v>
      </c>
      <c r="D349" s="10" t="s">
        <v>45</v>
      </c>
      <c r="E349" s="10" t="n">
        <v>16000</v>
      </c>
      <c r="F349" s="10" t="n">
        <v>220</v>
      </c>
      <c r="G349" s="10" t="n">
        <v>20</v>
      </c>
      <c r="H349" s="14" t="n">
        <f aca="false">(E349/1000)*(F349/1000)*(G349/1000)*7850</f>
        <v>552.64</v>
      </c>
      <c r="I349" s="10" t="n">
        <v>3</v>
      </c>
      <c r="J349" s="15" t="n">
        <f aca="false">H349*I349</f>
        <v>1657.92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</row>
    <row r="350" s="12" customFormat="true" ht="19.5" hidden="true" customHeight="true" outlineLevel="0" collapsed="false">
      <c r="A350" s="10"/>
      <c r="B350" s="10" t="s">
        <v>78</v>
      </c>
      <c r="C350" s="10"/>
      <c r="D350" s="10"/>
      <c r="E350" s="10"/>
      <c r="F350" s="10"/>
      <c r="G350" s="10"/>
      <c r="H350" s="14"/>
      <c r="I350" s="10"/>
      <c r="J350" s="15" t="n">
        <f aca="false">SUM(J325:J349)</f>
        <v>142628.91951036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</row>
    <row r="351" s="12" customFormat="true" ht="19.5" hidden="false" customHeight="true" outlineLevel="0" collapsed="false">
      <c r="A351" s="10" t="s">
        <v>269</v>
      </c>
      <c r="B351" s="10" t="s">
        <v>43</v>
      </c>
      <c r="C351" s="10" t="s">
        <v>184</v>
      </c>
      <c r="D351" s="10" t="s">
        <v>45</v>
      </c>
      <c r="E351" s="10" t="n">
        <v>6568.2</v>
      </c>
      <c r="F351" s="10" t="n">
        <v>600</v>
      </c>
      <c r="G351" s="10" t="n">
        <v>20</v>
      </c>
      <c r="H351" s="14" t="n">
        <f aca="false">(E351/1000)*(F351/1000)*(G351/1000)*7850</f>
        <v>618.72444</v>
      </c>
      <c r="I351" s="10" t="n">
        <v>2</v>
      </c>
      <c r="J351" s="15" t="n">
        <f aca="false">H351*I351</f>
        <v>1237.44888</v>
      </c>
      <c r="K351" s="10"/>
      <c r="L351" s="10" t="str">
        <f aca="false">A351</f>
        <v>下层6#</v>
      </c>
      <c r="M351" s="16" t="n">
        <f aca="false">SUMIF(G351:G375,$M$3,J351:J375)</f>
        <v>1209.1839816</v>
      </c>
      <c r="N351" s="16" t="n">
        <f aca="false">SUMIF(G351:G375,$N$3,J351:J375)</f>
        <v>40694.1904992</v>
      </c>
      <c r="O351" s="16" t="n">
        <f aca="false">SUMIF(G351:G375,$O$3,J351:J375)</f>
        <v>25517.121993336</v>
      </c>
      <c r="P351" s="16" t="n">
        <f aca="false">SUMIF(G351:G375,$P$3,J351:J375)</f>
        <v>46224.98876</v>
      </c>
      <c r="Q351" s="16" t="n">
        <f aca="false">SUMIF(G351:G375,$Q$3,J351:J375)</f>
        <v>22396.992</v>
      </c>
      <c r="R351" s="16" t="n">
        <f aca="false">SUMIF(G351:G375,$R$3,J351:J375)</f>
        <v>0</v>
      </c>
      <c r="S351" s="16" t="n">
        <f aca="false">SUMIF(G351:G375,$S$3,J351:J375)</f>
        <v>6933.12</v>
      </c>
      <c r="T351" s="16" t="n">
        <f aca="false">SUM(M351:S376)</f>
        <v>142975.597234136</v>
      </c>
      <c r="U351" s="16" t="n">
        <v>142975.6</v>
      </c>
      <c r="V351" s="16" t="n">
        <f aca="false">T351-U351</f>
        <v>-0.00276586401741952</v>
      </c>
      <c r="W351" s="10"/>
    </row>
    <row r="352" s="12" customFormat="true" ht="19.5" hidden="false" customHeight="true" outlineLevel="0" collapsed="false">
      <c r="A352" s="10"/>
      <c r="B352" s="10"/>
      <c r="C352" s="10" t="s">
        <v>185</v>
      </c>
      <c r="D352" s="10" t="s">
        <v>45</v>
      </c>
      <c r="E352" s="10" t="n">
        <v>18788.7</v>
      </c>
      <c r="F352" s="10" t="n">
        <v>600</v>
      </c>
      <c r="G352" s="10" t="n">
        <v>20</v>
      </c>
      <c r="H352" s="14" t="n">
        <f aca="false">(E352/1000)*(F352/1000)*(G352/1000)*7850</f>
        <v>1769.89554</v>
      </c>
      <c r="I352" s="10" t="n">
        <v>2</v>
      </c>
      <c r="J352" s="15" t="n">
        <f aca="false">H352*I352</f>
        <v>3539.79108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</row>
    <row r="353" s="12" customFormat="true" ht="19.5" hidden="true" customHeight="true" outlineLevel="0" collapsed="false">
      <c r="A353" s="10"/>
      <c r="B353" s="10"/>
      <c r="C353" s="10" t="s">
        <v>186</v>
      </c>
      <c r="D353" s="10" t="s">
        <v>45</v>
      </c>
      <c r="E353" s="10" t="n">
        <v>16000</v>
      </c>
      <c r="F353" s="10" t="n">
        <v>600</v>
      </c>
      <c r="G353" s="10" t="n">
        <v>24</v>
      </c>
      <c r="H353" s="14" t="n">
        <f aca="false">(E353/1000)*(F353/1000)*(G353/1000)*7850</f>
        <v>1808.64</v>
      </c>
      <c r="I353" s="10" t="n">
        <v>8</v>
      </c>
      <c r="J353" s="15" t="n">
        <f aca="false">H353*I353</f>
        <v>14469.12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</row>
    <row r="354" s="12" customFormat="true" ht="19.5" hidden="true" customHeight="true" outlineLevel="0" collapsed="false">
      <c r="A354" s="10"/>
      <c r="B354" s="10"/>
      <c r="C354" s="10" t="s">
        <v>187</v>
      </c>
      <c r="D354" s="10" t="s">
        <v>45</v>
      </c>
      <c r="E354" s="10" t="n">
        <v>3900</v>
      </c>
      <c r="F354" s="10" t="n">
        <v>600</v>
      </c>
      <c r="G354" s="10" t="n">
        <v>40</v>
      </c>
      <c r="H354" s="14" t="n">
        <f aca="false">(E354/1000)*(F354/1000)*(G354/1000)*7850</f>
        <v>734.76</v>
      </c>
      <c r="I354" s="10" t="n">
        <v>2</v>
      </c>
      <c r="J354" s="15" t="n">
        <f aca="false">H354*I354</f>
        <v>1469.52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</row>
    <row r="355" s="12" customFormat="true" ht="19.5" hidden="true" customHeight="true" outlineLevel="0" collapsed="false">
      <c r="A355" s="10"/>
      <c r="B355" s="10"/>
      <c r="C355" s="10" t="s">
        <v>188</v>
      </c>
      <c r="D355" s="10" t="s">
        <v>45</v>
      </c>
      <c r="E355" s="10" t="n">
        <v>7200</v>
      </c>
      <c r="F355" s="10" t="n">
        <v>800</v>
      </c>
      <c r="G355" s="10" t="n">
        <v>40</v>
      </c>
      <c r="H355" s="14" t="n">
        <f aca="false">(E355/1000)*(F355/1000)*(G355/1000)*7850</f>
        <v>1808.64</v>
      </c>
      <c r="I355" s="10" t="n">
        <v>2</v>
      </c>
      <c r="J355" s="15" t="n">
        <f aca="false">H355*I355</f>
        <v>3617.28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</row>
    <row r="356" s="12" customFormat="true" ht="19.5" hidden="true" customHeight="true" outlineLevel="0" collapsed="false">
      <c r="A356" s="10"/>
      <c r="B356" s="10"/>
      <c r="C356" s="10" t="s">
        <v>189</v>
      </c>
      <c r="D356" s="10" t="s">
        <v>45</v>
      </c>
      <c r="E356" s="10" t="n">
        <v>4900</v>
      </c>
      <c r="F356" s="10" t="n">
        <v>600</v>
      </c>
      <c r="G356" s="10" t="n">
        <v>40</v>
      </c>
      <c r="H356" s="14" t="n">
        <f aca="false">(E356/1000)*(F356/1000)*(G356/1000)*7850</f>
        <v>923.16</v>
      </c>
      <c r="I356" s="10" t="n">
        <v>2</v>
      </c>
      <c r="J356" s="15" t="n">
        <f aca="false">H356*I356</f>
        <v>1846.32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</row>
    <row r="357" s="12" customFormat="true" ht="19.5" hidden="true" customHeight="true" outlineLevel="0" collapsed="false">
      <c r="A357" s="10"/>
      <c r="B357" s="10" t="s">
        <v>52</v>
      </c>
      <c r="C357" s="10" t="s">
        <v>190</v>
      </c>
      <c r="D357" s="10" t="s">
        <v>45</v>
      </c>
      <c r="E357" s="10" t="n">
        <v>6568.2</v>
      </c>
      <c r="F357" s="10" t="n">
        <v>2641.7</v>
      </c>
      <c r="G357" s="10" t="n">
        <v>16</v>
      </c>
      <c r="H357" s="14" t="n">
        <f aca="false">(E357/1000)*(F357/1000)*(G357/1000)*7850</f>
        <v>2179.312470864</v>
      </c>
      <c r="I357" s="10" t="n">
        <v>1</v>
      </c>
      <c r="J357" s="15" t="n">
        <f aca="false">H357*I357</f>
        <v>2179.312470864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</row>
    <row r="358" s="12" customFormat="true" ht="19.5" hidden="true" customHeight="true" outlineLevel="0" collapsed="false">
      <c r="A358" s="10"/>
      <c r="B358" s="10"/>
      <c r="C358" s="10" t="s">
        <v>191</v>
      </c>
      <c r="D358" s="10" t="s">
        <v>45</v>
      </c>
      <c r="E358" s="10" t="n">
        <v>6568.2</v>
      </c>
      <c r="F358" s="10" t="n">
        <v>2718.2</v>
      </c>
      <c r="G358" s="10" t="n">
        <v>16</v>
      </c>
      <c r="H358" s="14" t="n">
        <f aca="false">(E358/1000)*(F358/1000)*(G358/1000)*7850</f>
        <v>2242.422363744</v>
      </c>
      <c r="I358" s="10" t="n">
        <v>1</v>
      </c>
      <c r="J358" s="15" t="n">
        <f aca="false">H358*I358</f>
        <v>2242.422363744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</row>
    <row r="359" s="12" customFormat="true" ht="19.5" hidden="true" customHeight="true" outlineLevel="0" collapsed="false">
      <c r="A359" s="10"/>
      <c r="B359" s="10"/>
      <c r="C359" s="10" t="s">
        <v>192</v>
      </c>
      <c r="D359" s="10" t="s">
        <v>45</v>
      </c>
      <c r="E359" s="10" t="n">
        <v>18788.7</v>
      </c>
      <c r="F359" s="10" t="n">
        <v>2641.7</v>
      </c>
      <c r="G359" s="10" t="n">
        <v>16</v>
      </c>
      <c r="H359" s="14" t="n">
        <f aca="false">(E359/1000)*(F359/1000)*(G359/1000)*7850</f>
        <v>6234.044064024</v>
      </c>
      <c r="I359" s="10" t="n">
        <v>1</v>
      </c>
      <c r="J359" s="15" t="n">
        <f aca="false">H359*I359</f>
        <v>6234.044064024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</row>
    <row r="360" s="12" customFormat="true" ht="19.5" hidden="true" customHeight="true" outlineLevel="0" collapsed="false">
      <c r="A360" s="10"/>
      <c r="B360" s="10"/>
      <c r="C360" s="10" t="s">
        <v>193</v>
      </c>
      <c r="D360" s="10" t="s">
        <v>45</v>
      </c>
      <c r="E360" s="10" t="n">
        <v>18788.7</v>
      </c>
      <c r="F360" s="10" t="n">
        <v>2718.2</v>
      </c>
      <c r="G360" s="10" t="n">
        <v>16</v>
      </c>
      <c r="H360" s="14" t="n">
        <f aca="false">(E360/1000)*(F360/1000)*(G360/1000)*7850</f>
        <v>6414.573409104</v>
      </c>
      <c r="I360" s="10" t="n">
        <v>1</v>
      </c>
      <c r="J360" s="15" t="n">
        <f aca="false">H360*I360</f>
        <v>6414.573409104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</row>
    <row r="361" s="12" customFormat="true" ht="19.5" hidden="true" customHeight="true" outlineLevel="0" collapsed="false">
      <c r="A361" s="10"/>
      <c r="B361" s="10"/>
      <c r="C361" s="10" t="s">
        <v>194</v>
      </c>
      <c r="D361" s="10" t="s">
        <v>45</v>
      </c>
      <c r="E361" s="10" t="n">
        <v>16000</v>
      </c>
      <c r="F361" s="10" t="n">
        <v>2637.7</v>
      </c>
      <c r="G361" s="10" t="n">
        <v>14</v>
      </c>
      <c r="H361" s="14" t="n">
        <f aca="false">(E361/1000)*(F361/1000)*(G361/1000)*7850</f>
        <v>4638.13168</v>
      </c>
      <c r="I361" s="10" t="n">
        <v>4</v>
      </c>
      <c r="J361" s="15" t="n">
        <f aca="false">H361*I361</f>
        <v>18552.52672</v>
      </c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</row>
    <row r="362" s="12" customFormat="true" ht="19.5" hidden="true" customHeight="true" outlineLevel="0" collapsed="false">
      <c r="A362" s="10"/>
      <c r="B362" s="10"/>
      <c r="C362" s="10" t="s">
        <v>195</v>
      </c>
      <c r="D362" s="10" t="s">
        <v>45</v>
      </c>
      <c r="E362" s="10" t="n">
        <v>16000</v>
      </c>
      <c r="F362" s="10" t="n">
        <v>2714.2</v>
      </c>
      <c r="G362" s="10" t="n">
        <v>14</v>
      </c>
      <c r="H362" s="14" t="n">
        <f aca="false">(E362/1000)*(F362/1000)*(G362/1000)*7850</f>
        <v>4772.64928</v>
      </c>
      <c r="I362" s="10" t="n">
        <v>4</v>
      </c>
      <c r="J362" s="15" t="n">
        <f aca="false">H362*I362</f>
        <v>19090.59712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</row>
    <row r="363" s="12" customFormat="true" ht="19.5" hidden="false" customHeight="true" outlineLevel="0" collapsed="false">
      <c r="A363" s="10"/>
      <c r="B363" s="10"/>
      <c r="C363" s="10" t="s">
        <v>196</v>
      </c>
      <c r="D363" s="10" t="s">
        <v>45</v>
      </c>
      <c r="E363" s="10" t="n">
        <v>16000</v>
      </c>
      <c r="F363" s="10" t="n">
        <v>2621.7</v>
      </c>
      <c r="G363" s="10" t="n">
        <v>20</v>
      </c>
      <c r="H363" s="14" t="n">
        <f aca="false">(E363/1000)*(F363/1000)*(G363/1000)*7850</f>
        <v>6585.7104</v>
      </c>
      <c r="I363" s="10" t="n">
        <v>1</v>
      </c>
      <c r="J363" s="15" t="n">
        <f aca="false">H363*I363</f>
        <v>6585.7104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</row>
    <row r="364" s="12" customFormat="true" ht="19.5" hidden="false" customHeight="true" outlineLevel="0" collapsed="false">
      <c r="A364" s="10"/>
      <c r="B364" s="10"/>
      <c r="C364" s="10" t="s">
        <v>197</v>
      </c>
      <c r="D364" s="10" t="s">
        <v>45</v>
      </c>
      <c r="E364" s="10" t="n">
        <v>16000</v>
      </c>
      <c r="F364" s="10" t="n">
        <v>2698.2</v>
      </c>
      <c r="G364" s="10" t="n">
        <v>20</v>
      </c>
      <c r="H364" s="14" t="n">
        <f aca="false">(E364/1000)*(F364/1000)*(G364/1000)*7850</f>
        <v>6777.8784</v>
      </c>
      <c r="I364" s="10" t="n">
        <v>1</v>
      </c>
      <c r="J364" s="15" t="n">
        <f aca="false">H364*I364</f>
        <v>6777.8784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</row>
    <row r="365" s="12" customFormat="true" ht="19.5" hidden="true" customHeight="true" outlineLevel="0" collapsed="false">
      <c r="A365" s="10"/>
      <c r="B365" s="10" t="s">
        <v>63</v>
      </c>
      <c r="C365" s="10" t="s">
        <v>198</v>
      </c>
      <c r="D365" s="10" t="s">
        <v>45</v>
      </c>
      <c r="E365" s="10" t="n">
        <v>5818.2</v>
      </c>
      <c r="F365" s="10" t="n">
        <v>2630</v>
      </c>
      <c r="G365" s="10" t="n">
        <v>16</v>
      </c>
      <c r="H365" s="14" t="n">
        <f aca="false">(E365/1000)*(F365/1000)*(G365/1000)*7850</f>
        <v>1921.9143696</v>
      </c>
      <c r="I365" s="10" t="n">
        <v>1</v>
      </c>
      <c r="J365" s="15" t="n">
        <f aca="false">H365*I365</f>
        <v>1921.9143696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</row>
    <row r="366" s="12" customFormat="true" ht="19.5" hidden="true" customHeight="true" outlineLevel="0" collapsed="false">
      <c r="A366" s="10"/>
      <c r="B366" s="10"/>
      <c r="C366" s="10" t="s">
        <v>199</v>
      </c>
      <c r="D366" s="10" t="s">
        <v>45</v>
      </c>
      <c r="E366" s="10" t="n">
        <v>18038.7</v>
      </c>
      <c r="F366" s="10" t="n">
        <v>2630</v>
      </c>
      <c r="G366" s="10" t="n">
        <v>16</v>
      </c>
      <c r="H366" s="14" t="n">
        <f aca="false">(E366/1000)*(F366/1000)*(G366/1000)*7850</f>
        <v>5958.6876936</v>
      </c>
      <c r="I366" s="10" t="n">
        <v>1</v>
      </c>
      <c r="J366" s="15" t="n">
        <f aca="false">H366*I366</f>
        <v>5958.6876936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</row>
    <row r="367" s="12" customFormat="true" ht="19.5" hidden="false" customHeight="true" outlineLevel="0" collapsed="false">
      <c r="A367" s="10"/>
      <c r="B367" s="10"/>
      <c r="C367" s="10" t="s">
        <v>200</v>
      </c>
      <c r="D367" s="10" t="s">
        <v>45</v>
      </c>
      <c r="E367" s="10" t="n">
        <v>16000</v>
      </c>
      <c r="F367" s="10" t="n">
        <v>2630</v>
      </c>
      <c r="G367" s="10" t="n">
        <v>20</v>
      </c>
      <c r="H367" s="14" t="n">
        <f aca="false">(E367/1000)*(F367/1000)*(G367/1000)*7850</f>
        <v>6606.56</v>
      </c>
      <c r="I367" s="10" t="n">
        <v>4</v>
      </c>
      <c r="J367" s="15" t="n">
        <f aca="false">H367*I367</f>
        <v>26426.24</v>
      </c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</row>
    <row r="368" s="12" customFormat="true" ht="19.5" hidden="true" customHeight="true" outlineLevel="0" collapsed="false">
      <c r="A368" s="10"/>
      <c r="B368" s="10"/>
      <c r="C368" s="10" t="s">
        <v>201</v>
      </c>
      <c r="D368" s="10" t="s">
        <v>45</v>
      </c>
      <c r="E368" s="10" t="n">
        <v>16000</v>
      </c>
      <c r="F368" s="10" t="n">
        <v>2630</v>
      </c>
      <c r="G368" s="10" t="n">
        <v>24</v>
      </c>
      <c r="H368" s="14" t="n">
        <f aca="false">(E368/1000)*(F368/1000)*(G368/1000)*7850</f>
        <v>7927.872</v>
      </c>
      <c r="I368" s="10" t="n">
        <v>1</v>
      </c>
      <c r="J368" s="15" t="n">
        <f aca="false">H368*I368</f>
        <v>7927.872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</row>
    <row r="369" s="12" customFormat="true" ht="19.5" hidden="true" customHeight="true" outlineLevel="0" collapsed="false">
      <c r="A369" s="10"/>
      <c r="B369" s="10" t="s">
        <v>68</v>
      </c>
      <c r="C369" s="10" t="s">
        <v>202</v>
      </c>
      <c r="D369" s="10" t="s">
        <v>45</v>
      </c>
      <c r="E369" s="17" t="n">
        <v>21105.2</v>
      </c>
      <c r="F369" s="10" t="n">
        <v>140</v>
      </c>
      <c r="G369" s="10" t="n">
        <v>12</v>
      </c>
      <c r="H369" s="14" t="n">
        <f aca="false">(E369/1000)*(F369/1000)*(G369/1000)*7850</f>
        <v>278.3353776</v>
      </c>
      <c r="I369" s="10" t="n">
        <v>1</v>
      </c>
      <c r="J369" s="15" t="n">
        <f aca="false">H369*I369</f>
        <v>278.3353776</v>
      </c>
      <c r="K369" s="18" t="s">
        <v>70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</row>
    <row r="370" s="12" customFormat="true" ht="19.5" hidden="true" customHeight="true" outlineLevel="0" collapsed="false">
      <c r="A370" s="10"/>
      <c r="B370" s="10"/>
      <c r="C370" s="10" t="s">
        <v>203</v>
      </c>
      <c r="D370" s="10" t="s">
        <v>45</v>
      </c>
      <c r="E370" s="17" t="n">
        <v>70583</v>
      </c>
      <c r="F370" s="10" t="n">
        <v>140</v>
      </c>
      <c r="G370" s="10" t="n">
        <v>12</v>
      </c>
      <c r="H370" s="14" t="n">
        <f aca="false">(E370/1000)*(F370/1000)*(G370/1000)*7850</f>
        <v>930.848604</v>
      </c>
      <c r="I370" s="10" t="n">
        <v>1</v>
      </c>
      <c r="J370" s="15" t="n">
        <f aca="false">H370*I370</f>
        <v>930.848604</v>
      </c>
      <c r="K370" s="18" t="s">
        <v>70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</row>
    <row r="371" s="12" customFormat="true" ht="19.5" hidden="true" customHeight="true" outlineLevel="0" collapsed="false">
      <c r="A371" s="10"/>
      <c r="B371" s="10"/>
      <c r="C371" s="10" t="s">
        <v>204</v>
      </c>
      <c r="D371" s="10" t="s">
        <v>45</v>
      </c>
      <c r="E371" s="17" t="n">
        <v>25042.8</v>
      </c>
      <c r="F371" s="10" t="n">
        <v>180</v>
      </c>
      <c r="G371" s="10" t="n">
        <v>16</v>
      </c>
      <c r="H371" s="14" t="n">
        <f aca="false">(E371/1000)*(F371/1000)*(G371/1000)*7850</f>
        <v>566.1676224</v>
      </c>
      <c r="I371" s="10" t="n">
        <v>1</v>
      </c>
      <c r="J371" s="15" t="n">
        <f aca="false">H371*I371</f>
        <v>566.1676224</v>
      </c>
      <c r="K371" s="18" t="s">
        <v>70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</row>
    <row r="372" s="12" customFormat="true" ht="19.5" hidden="true" customHeight="true" outlineLevel="0" collapsed="false">
      <c r="A372" s="10"/>
      <c r="B372" s="10" t="s">
        <v>73</v>
      </c>
      <c r="C372" s="10" t="s">
        <v>205</v>
      </c>
      <c r="D372" s="10" t="s">
        <v>45</v>
      </c>
      <c r="E372" s="10" t="n">
        <v>5268.2</v>
      </c>
      <c r="F372" s="10" t="n">
        <v>160</v>
      </c>
      <c r="G372" s="10" t="n">
        <v>14</v>
      </c>
      <c r="H372" s="14" t="n">
        <f aca="false">(E372/1000)*(F372/1000)*(G372/1000)*7850</f>
        <v>92.6360288</v>
      </c>
      <c r="I372" s="10" t="n">
        <v>2</v>
      </c>
      <c r="J372" s="15" t="n">
        <f aca="false">H372*I372</f>
        <v>185.2720576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</row>
    <row r="373" s="12" customFormat="true" ht="19.5" hidden="true" customHeight="true" outlineLevel="0" collapsed="false">
      <c r="A373" s="10"/>
      <c r="B373" s="10"/>
      <c r="C373" s="10" t="s">
        <v>206</v>
      </c>
      <c r="D373" s="10" t="s">
        <v>45</v>
      </c>
      <c r="E373" s="10" t="n">
        <v>17488.7</v>
      </c>
      <c r="F373" s="10" t="n">
        <v>160</v>
      </c>
      <c r="G373" s="10" t="n">
        <v>14</v>
      </c>
      <c r="H373" s="14" t="n">
        <f aca="false">(E373/1000)*(F373/1000)*(G373/1000)*7850</f>
        <v>307.5213008</v>
      </c>
      <c r="I373" s="10" t="n">
        <v>2</v>
      </c>
      <c r="J373" s="15" t="n">
        <f aca="false">H373*I373</f>
        <v>615.0426016</v>
      </c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</row>
    <row r="374" s="12" customFormat="true" ht="19.5" hidden="true" customHeight="true" outlineLevel="0" collapsed="false">
      <c r="A374" s="10"/>
      <c r="B374" s="10"/>
      <c r="C374" s="10" t="s">
        <v>207</v>
      </c>
      <c r="D374" s="10" t="s">
        <v>45</v>
      </c>
      <c r="E374" s="10" t="n">
        <v>16000</v>
      </c>
      <c r="F374" s="10" t="n">
        <v>160</v>
      </c>
      <c r="G374" s="10" t="n">
        <v>14</v>
      </c>
      <c r="H374" s="14" t="n">
        <f aca="false">(E374/1000)*(F374/1000)*(G374/1000)*7850</f>
        <v>281.344</v>
      </c>
      <c r="I374" s="10" t="n">
        <v>8</v>
      </c>
      <c r="J374" s="15" t="n">
        <f aca="false">H374*I374</f>
        <v>2250.752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</row>
    <row r="375" s="12" customFormat="true" ht="19.5" hidden="false" customHeight="true" outlineLevel="0" collapsed="false">
      <c r="A375" s="10"/>
      <c r="B375" s="10"/>
      <c r="C375" s="10" t="s">
        <v>208</v>
      </c>
      <c r="D375" s="10" t="s">
        <v>45</v>
      </c>
      <c r="E375" s="10" t="n">
        <v>16000</v>
      </c>
      <c r="F375" s="10" t="n">
        <v>220</v>
      </c>
      <c r="G375" s="10" t="n">
        <v>20</v>
      </c>
      <c r="H375" s="14" t="n">
        <f aca="false">(E375/1000)*(F375/1000)*(G375/1000)*7850</f>
        <v>552.64</v>
      </c>
      <c r="I375" s="10" t="n">
        <v>3</v>
      </c>
      <c r="J375" s="15" t="n">
        <f aca="false">H375*I375</f>
        <v>1657.92</v>
      </c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</row>
    <row r="376" s="12" customFormat="true" ht="19.5" hidden="true" customHeight="true" outlineLevel="0" collapsed="false">
      <c r="A376" s="10"/>
      <c r="B376" s="10" t="s">
        <v>78</v>
      </c>
      <c r="C376" s="10"/>
      <c r="D376" s="10"/>
      <c r="E376" s="10"/>
      <c r="F376" s="10"/>
      <c r="G376" s="10"/>
      <c r="H376" s="14"/>
      <c r="I376" s="10"/>
      <c r="J376" s="15" t="n">
        <f aca="false">SUM(J351:J375)</f>
        <v>142975.597234136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</row>
    <row r="377" s="12" customFormat="true" ht="19.5" hidden="false" customHeight="true" outlineLevel="0" collapsed="false">
      <c r="A377" s="10" t="s">
        <v>270</v>
      </c>
      <c r="B377" s="10" t="s">
        <v>43</v>
      </c>
      <c r="C377" s="10" t="s">
        <v>210</v>
      </c>
      <c r="D377" s="10" t="s">
        <v>45</v>
      </c>
      <c r="E377" s="10" t="n">
        <v>17564.1</v>
      </c>
      <c r="F377" s="10" t="n">
        <v>600</v>
      </c>
      <c r="G377" s="10" t="n">
        <v>20</v>
      </c>
      <c r="H377" s="14" t="n">
        <f aca="false">(E377/1000)*(F377/1000)*(G377/1000)*7850</f>
        <v>1654.53822</v>
      </c>
      <c r="I377" s="10" t="n">
        <v>2</v>
      </c>
      <c r="J377" s="15" t="n">
        <f aca="false">H377*I377</f>
        <v>3309.07644</v>
      </c>
      <c r="K377" s="10"/>
      <c r="L377" s="10" t="str">
        <f aca="false">A377</f>
        <v>下层7#</v>
      </c>
      <c r="M377" s="16" t="n">
        <f aca="false">SUMIF(G377:G401,$M$3,J377:J401)</f>
        <v>1213.6824084</v>
      </c>
      <c r="N377" s="16" t="n">
        <f aca="false">SUMIF(G377:G401,$N$3,J377:J401)</f>
        <v>40704.7549664</v>
      </c>
      <c r="O377" s="16" t="n">
        <f aca="false">SUMIF(G377:G401,$O$3,J377:J401)</f>
        <v>25819.717759512</v>
      </c>
      <c r="P377" s="16" t="n">
        <f aca="false">SUMIF(G377:G401,$P$3,J377:J401)</f>
        <v>46281.58412</v>
      </c>
      <c r="Q377" s="16" t="n">
        <f aca="false">SUMIF(G377:G401,$Q$3,J377:J401)</f>
        <v>22396.992</v>
      </c>
      <c r="R377" s="16" t="n">
        <f aca="false">SUMIF(G377:G401,$R$3,J377:J401)</f>
        <v>0</v>
      </c>
      <c r="S377" s="16" t="n">
        <f aca="false">SUMIF(G377:G401,$S$3,J377:J401)</f>
        <v>6933.12</v>
      </c>
      <c r="T377" s="16" t="n">
        <f aca="false">SUM(M377:S402)</f>
        <v>143349.851254312</v>
      </c>
      <c r="U377" s="16" t="n">
        <v>143349.9</v>
      </c>
      <c r="V377" s="16" t="n">
        <f aca="false">T377-U377</f>
        <v>-0.0487456880218815</v>
      </c>
      <c r="W377" s="10"/>
    </row>
    <row r="378" s="12" customFormat="true" ht="19.5" hidden="false" customHeight="true" outlineLevel="0" collapsed="false">
      <c r="A378" s="10"/>
      <c r="B378" s="10"/>
      <c r="C378" s="10" t="s">
        <v>211</v>
      </c>
      <c r="D378" s="10" t="s">
        <v>45</v>
      </c>
      <c r="E378" s="10" t="n">
        <v>8093.2</v>
      </c>
      <c r="F378" s="10" t="n">
        <v>600</v>
      </c>
      <c r="G378" s="10" t="n">
        <v>20</v>
      </c>
      <c r="H378" s="14" t="n">
        <f aca="false">(E378/1000)*(F378/1000)*(G378/1000)*7850</f>
        <v>762.37944</v>
      </c>
      <c r="I378" s="10" t="n">
        <v>2</v>
      </c>
      <c r="J378" s="15" t="n">
        <f aca="false">H378*I378</f>
        <v>1524.75888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</row>
    <row r="379" s="12" customFormat="true" ht="19.5" hidden="true" customHeight="true" outlineLevel="0" collapsed="false">
      <c r="A379" s="10"/>
      <c r="B379" s="10"/>
      <c r="C379" s="10" t="s">
        <v>212</v>
      </c>
      <c r="D379" s="10" t="s">
        <v>45</v>
      </c>
      <c r="E379" s="10" t="n">
        <v>16000</v>
      </c>
      <c r="F379" s="10" t="n">
        <v>600</v>
      </c>
      <c r="G379" s="10" t="n">
        <v>24</v>
      </c>
      <c r="H379" s="14" t="n">
        <f aca="false">(E379/1000)*(F379/1000)*(G379/1000)*7850</f>
        <v>1808.64</v>
      </c>
      <c r="I379" s="10" t="n">
        <v>8</v>
      </c>
      <c r="J379" s="15" t="n">
        <f aca="false">H379*I379</f>
        <v>14469.12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</row>
    <row r="380" s="12" customFormat="true" ht="19.5" hidden="true" customHeight="true" outlineLevel="0" collapsed="false">
      <c r="A380" s="10"/>
      <c r="B380" s="10"/>
      <c r="C380" s="10" t="s">
        <v>213</v>
      </c>
      <c r="D380" s="10" t="s">
        <v>45</v>
      </c>
      <c r="E380" s="10" t="n">
        <v>3900</v>
      </c>
      <c r="F380" s="10" t="n">
        <v>600</v>
      </c>
      <c r="G380" s="10" t="n">
        <v>40</v>
      </c>
      <c r="H380" s="14" t="n">
        <f aca="false">(E380/1000)*(F380/1000)*(G380/1000)*7850</f>
        <v>734.76</v>
      </c>
      <c r="I380" s="10" t="n">
        <v>2</v>
      </c>
      <c r="J380" s="15" t="n">
        <f aca="false">H380*I380</f>
        <v>1469.52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</row>
    <row r="381" s="12" customFormat="true" ht="19.5" hidden="true" customHeight="true" outlineLevel="0" collapsed="false">
      <c r="A381" s="10"/>
      <c r="B381" s="10"/>
      <c r="C381" s="10" t="s">
        <v>214</v>
      </c>
      <c r="D381" s="10" t="s">
        <v>45</v>
      </c>
      <c r="E381" s="10" t="n">
        <v>7200</v>
      </c>
      <c r="F381" s="10" t="n">
        <v>800</v>
      </c>
      <c r="G381" s="10" t="n">
        <v>40</v>
      </c>
      <c r="H381" s="14" t="n">
        <f aca="false">(E381/1000)*(F381/1000)*(G381/1000)*7850</f>
        <v>1808.64</v>
      </c>
      <c r="I381" s="10" t="n">
        <v>2</v>
      </c>
      <c r="J381" s="15" t="n">
        <f aca="false">H381*I381</f>
        <v>3617.28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</row>
    <row r="382" s="12" customFormat="true" ht="19.5" hidden="true" customHeight="true" outlineLevel="0" collapsed="false">
      <c r="A382" s="10"/>
      <c r="B382" s="10"/>
      <c r="C382" s="10" t="s">
        <v>215</v>
      </c>
      <c r="D382" s="10" t="s">
        <v>45</v>
      </c>
      <c r="E382" s="10" t="n">
        <v>4900</v>
      </c>
      <c r="F382" s="10" t="n">
        <v>600</v>
      </c>
      <c r="G382" s="10" t="n">
        <v>40</v>
      </c>
      <c r="H382" s="14" t="n">
        <f aca="false">(E382/1000)*(F382/1000)*(G382/1000)*7850</f>
        <v>923.16</v>
      </c>
      <c r="I382" s="10" t="n">
        <v>2</v>
      </c>
      <c r="J382" s="15" t="n">
        <f aca="false">H382*I382</f>
        <v>1846.32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</row>
    <row r="383" s="12" customFormat="true" ht="19.5" hidden="true" customHeight="true" outlineLevel="0" collapsed="false">
      <c r="A383" s="10"/>
      <c r="B383" s="10" t="s">
        <v>52</v>
      </c>
      <c r="C383" s="10" t="s">
        <v>216</v>
      </c>
      <c r="D383" s="10" t="s">
        <v>45</v>
      </c>
      <c r="E383" s="10" t="n">
        <v>17564.1</v>
      </c>
      <c r="F383" s="10" t="n">
        <v>2641.7</v>
      </c>
      <c r="G383" s="10" t="n">
        <v>16</v>
      </c>
      <c r="H383" s="14" t="n">
        <f aca="false">(E383/1000)*(F383/1000)*(G383/1000)*7850</f>
        <v>5827.724821032</v>
      </c>
      <c r="I383" s="10" t="n">
        <v>1</v>
      </c>
      <c r="J383" s="15" t="n">
        <f aca="false">H383*I383</f>
        <v>5827.724821032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</row>
    <row r="384" s="12" customFormat="true" ht="19.5" hidden="true" customHeight="true" outlineLevel="0" collapsed="false">
      <c r="A384" s="10"/>
      <c r="B384" s="10"/>
      <c r="C384" s="10" t="s">
        <v>217</v>
      </c>
      <c r="D384" s="10" t="s">
        <v>45</v>
      </c>
      <c r="E384" s="10" t="n">
        <v>17564.1</v>
      </c>
      <c r="F384" s="10" t="n">
        <v>2718.2</v>
      </c>
      <c r="G384" s="10" t="n">
        <v>16</v>
      </c>
      <c r="H384" s="14" t="n">
        <f aca="false">(E384/1000)*(F384/1000)*(G384/1000)*7850</f>
        <v>5996.487719472</v>
      </c>
      <c r="I384" s="10" t="n">
        <v>1</v>
      </c>
      <c r="J384" s="15" t="n">
        <f aca="false">H384*I384</f>
        <v>5996.487719472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</row>
    <row r="385" s="12" customFormat="true" ht="19.5" hidden="true" customHeight="true" outlineLevel="0" collapsed="false">
      <c r="A385" s="10"/>
      <c r="B385" s="10"/>
      <c r="C385" s="10" t="s">
        <v>218</v>
      </c>
      <c r="D385" s="10" t="s">
        <v>45</v>
      </c>
      <c r="E385" s="10" t="n">
        <v>8093.2</v>
      </c>
      <c r="F385" s="10" t="n">
        <v>2641.7</v>
      </c>
      <c r="G385" s="10" t="n">
        <v>16</v>
      </c>
      <c r="H385" s="14" t="n">
        <f aca="false">(E385/1000)*(F385/1000)*(G385/1000)*7850</f>
        <v>2685.303688864</v>
      </c>
      <c r="I385" s="10" t="n">
        <v>1</v>
      </c>
      <c r="J385" s="15" t="n">
        <f aca="false">H385*I385</f>
        <v>2685.303688864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</row>
    <row r="386" s="12" customFormat="true" ht="19.5" hidden="true" customHeight="true" outlineLevel="0" collapsed="false">
      <c r="A386" s="10"/>
      <c r="B386" s="10"/>
      <c r="C386" s="10" t="s">
        <v>219</v>
      </c>
      <c r="D386" s="10" t="s">
        <v>45</v>
      </c>
      <c r="E386" s="10" t="n">
        <v>8093.2</v>
      </c>
      <c r="F386" s="10" t="n">
        <v>2718.2</v>
      </c>
      <c r="G386" s="10" t="n">
        <v>16</v>
      </c>
      <c r="H386" s="14" t="n">
        <f aca="false">(E386/1000)*(F386/1000)*(G386/1000)*7850</f>
        <v>2763.066391744</v>
      </c>
      <c r="I386" s="10" t="n">
        <v>1</v>
      </c>
      <c r="J386" s="15" t="n">
        <f aca="false">H386*I386</f>
        <v>2763.066391744</v>
      </c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</row>
    <row r="387" s="12" customFormat="true" ht="19.5" hidden="true" customHeight="true" outlineLevel="0" collapsed="false">
      <c r="A387" s="10"/>
      <c r="B387" s="10"/>
      <c r="C387" s="10" t="s">
        <v>220</v>
      </c>
      <c r="D387" s="10" t="s">
        <v>45</v>
      </c>
      <c r="E387" s="10" t="n">
        <v>16000</v>
      </c>
      <c r="F387" s="10" t="n">
        <v>2637.7</v>
      </c>
      <c r="G387" s="10" t="n">
        <v>14</v>
      </c>
      <c r="H387" s="14" t="n">
        <f aca="false">(E387/1000)*(F387/1000)*(G387/1000)*7850</f>
        <v>4638.13168</v>
      </c>
      <c r="I387" s="10" t="n">
        <v>4</v>
      </c>
      <c r="J387" s="15" t="n">
        <f aca="false">H387*I387</f>
        <v>18552.52672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</row>
    <row r="388" s="12" customFormat="true" ht="19.5" hidden="true" customHeight="true" outlineLevel="0" collapsed="false">
      <c r="A388" s="10"/>
      <c r="B388" s="10"/>
      <c r="C388" s="10" t="s">
        <v>221</v>
      </c>
      <c r="D388" s="10" t="s">
        <v>45</v>
      </c>
      <c r="E388" s="10" t="n">
        <v>16000</v>
      </c>
      <c r="F388" s="10" t="n">
        <v>2714.2</v>
      </c>
      <c r="G388" s="10" t="n">
        <v>14</v>
      </c>
      <c r="H388" s="14" t="n">
        <f aca="false">(E388/1000)*(F388/1000)*(G388/1000)*7850</f>
        <v>4772.64928</v>
      </c>
      <c r="I388" s="10" t="n">
        <v>4</v>
      </c>
      <c r="J388" s="15" t="n">
        <f aca="false">H388*I388</f>
        <v>19090.59712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</row>
    <row r="389" s="12" customFormat="true" ht="19.5" hidden="false" customHeight="true" outlineLevel="0" collapsed="false">
      <c r="A389" s="10"/>
      <c r="B389" s="10"/>
      <c r="C389" s="10" t="s">
        <v>222</v>
      </c>
      <c r="D389" s="10" t="s">
        <v>45</v>
      </c>
      <c r="E389" s="10" t="n">
        <v>16000</v>
      </c>
      <c r="F389" s="10" t="n">
        <v>2621.7</v>
      </c>
      <c r="G389" s="10" t="n">
        <v>20</v>
      </c>
      <c r="H389" s="14" t="n">
        <f aca="false">(E389/1000)*(F389/1000)*(G389/1000)*7850</f>
        <v>6585.7104</v>
      </c>
      <c r="I389" s="10" t="n">
        <v>1</v>
      </c>
      <c r="J389" s="15" t="n">
        <f aca="false">H389*I389</f>
        <v>6585.7104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</row>
    <row r="390" s="12" customFormat="true" ht="19.5" hidden="false" customHeight="true" outlineLevel="0" collapsed="false">
      <c r="A390" s="10"/>
      <c r="B390" s="10"/>
      <c r="C390" s="10" t="s">
        <v>223</v>
      </c>
      <c r="D390" s="10" t="s">
        <v>45</v>
      </c>
      <c r="E390" s="10" t="n">
        <v>16000</v>
      </c>
      <c r="F390" s="10" t="n">
        <v>2698.2</v>
      </c>
      <c r="G390" s="10" t="n">
        <v>20</v>
      </c>
      <c r="H390" s="14" t="n">
        <f aca="false">(E390/1000)*(F390/1000)*(G390/1000)*7850</f>
        <v>6777.8784</v>
      </c>
      <c r="I390" s="10" t="n">
        <v>1</v>
      </c>
      <c r="J390" s="15" t="n">
        <f aca="false">H390*I390</f>
        <v>6777.8784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</row>
    <row r="391" s="12" customFormat="true" ht="19.5" hidden="true" customHeight="true" outlineLevel="0" collapsed="false">
      <c r="A391" s="10"/>
      <c r="B391" s="10" t="s">
        <v>63</v>
      </c>
      <c r="C391" s="10" t="s">
        <v>224</v>
      </c>
      <c r="D391" s="10" t="s">
        <v>45</v>
      </c>
      <c r="E391" s="10" t="n">
        <v>16814.1</v>
      </c>
      <c r="F391" s="10" t="n">
        <v>2630</v>
      </c>
      <c r="G391" s="10" t="n">
        <v>16</v>
      </c>
      <c r="H391" s="14" t="n">
        <f aca="false">(E391/1000)*(F391/1000)*(G391/1000)*7850</f>
        <v>5554.1680248</v>
      </c>
      <c r="I391" s="10" t="n">
        <v>1</v>
      </c>
      <c r="J391" s="15" t="n">
        <f aca="false">H391*I391</f>
        <v>5554.1680248</v>
      </c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</row>
    <row r="392" s="12" customFormat="true" ht="19.5" hidden="true" customHeight="true" outlineLevel="0" collapsed="false">
      <c r="A392" s="10"/>
      <c r="B392" s="10"/>
      <c r="C392" s="10" t="s">
        <v>225</v>
      </c>
      <c r="D392" s="10" t="s">
        <v>45</v>
      </c>
      <c r="E392" s="10" t="n">
        <v>7343.2</v>
      </c>
      <c r="F392" s="10" t="n">
        <v>2630</v>
      </c>
      <c r="G392" s="10" t="n">
        <v>16</v>
      </c>
      <c r="H392" s="14" t="n">
        <f aca="false">(E392/1000)*(F392/1000)*(G392/1000)*7850</f>
        <v>2425.6645696</v>
      </c>
      <c r="I392" s="10" t="n">
        <v>1</v>
      </c>
      <c r="J392" s="15" t="n">
        <f aca="false">H392*I392</f>
        <v>2425.6645696</v>
      </c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</row>
    <row r="393" s="12" customFormat="true" ht="19.5" hidden="false" customHeight="true" outlineLevel="0" collapsed="false">
      <c r="A393" s="10"/>
      <c r="B393" s="10"/>
      <c r="C393" s="10" t="s">
        <v>226</v>
      </c>
      <c r="D393" s="10" t="s">
        <v>45</v>
      </c>
      <c r="E393" s="10" t="n">
        <v>16000</v>
      </c>
      <c r="F393" s="10" t="n">
        <v>2630</v>
      </c>
      <c r="G393" s="10" t="n">
        <v>20</v>
      </c>
      <c r="H393" s="14" t="n">
        <f aca="false">(E393/1000)*(F393/1000)*(G393/1000)*7850</f>
        <v>6606.56</v>
      </c>
      <c r="I393" s="10" t="n">
        <v>4</v>
      </c>
      <c r="J393" s="15" t="n">
        <f aca="false">H393*I393</f>
        <v>26426.24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</row>
    <row r="394" s="12" customFormat="true" ht="19.5" hidden="true" customHeight="true" outlineLevel="0" collapsed="false">
      <c r="A394" s="10"/>
      <c r="B394" s="10"/>
      <c r="C394" s="10" t="s">
        <v>227</v>
      </c>
      <c r="D394" s="10" t="s">
        <v>45</v>
      </c>
      <c r="E394" s="10" t="n">
        <v>16000</v>
      </c>
      <c r="F394" s="10" t="n">
        <v>2630</v>
      </c>
      <c r="G394" s="10" t="n">
        <v>24</v>
      </c>
      <c r="H394" s="14" t="n">
        <f aca="false">(E394/1000)*(F394/1000)*(G394/1000)*7850</f>
        <v>7927.872</v>
      </c>
      <c r="I394" s="10" t="n">
        <v>1</v>
      </c>
      <c r="J394" s="15" t="n">
        <f aca="false">H394*I394</f>
        <v>7927.872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</row>
    <row r="395" s="12" customFormat="true" ht="19.5" hidden="true" customHeight="true" outlineLevel="0" collapsed="false">
      <c r="A395" s="10"/>
      <c r="B395" s="10" t="s">
        <v>68</v>
      </c>
      <c r="C395" s="10" t="s">
        <v>228</v>
      </c>
      <c r="D395" s="10" t="s">
        <v>45</v>
      </c>
      <c r="E395" s="17" t="n">
        <v>21181.9</v>
      </c>
      <c r="F395" s="10" t="n">
        <v>140</v>
      </c>
      <c r="G395" s="10" t="n">
        <v>12</v>
      </c>
      <c r="H395" s="14" t="n">
        <f aca="false">(E395/1000)*(F395/1000)*(G395/1000)*7850</f>
        <v>279.3468972</v>
      </c>
      <c r="I395" s="10" t="n">
        <v>1</v>
      </c>
      <c r="J395" s="15" t="n">
        <f aca="false">H395*I395</f>
        <v>279.3468972</v>
      </c>
      <c r="K395" s="18" t="s">
        <v>70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</row>
    <row r="396" s="12" customFormat="true" ht="19.5" hidden="true" customHeight="true" outlineLevel="0" collapsed="false">
      <c r="A396" s="10"/>
      <c r="B396" s="10"/>
      <c r="C396" s="10" t="s">
        <v>229</v>
      </c>
      <c r="D396" s="10" t="s">
        <v>45</v>
      </c>
      <c r="E396" s="17" t="n">
        <v>70847.4</v>
      </c>
      <c r="F396" s="10" t="n">
        <v>140</v>
      </c>
      <c r="G396" s="10" t="n">
        <v>12</v>
      </c>
      <c r="H396" s="14" t="n">
        <f aca="false">(E396/1000)*(F396/1000)*(G396/1000)*7850</f>
        <v>934.3355112</v>
      </c>
      <c r="I396" s="10" t="n">
        <v>1</v>
      </c>
      <c r="J396" s="15" t="n">
        <f aca="false">H396*I396</f>
        <v>934.3355112</v>
      </c>
      <c r="K396" s="18" t="s">
        <v>70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</row>
    <row r="397" s="12" customFormat="true" ht="19.5" hidden="true" customHeight="true" outlineLevel="0" collapsed="false">
      <c r="A397" s="10"/>
      <c r="B397" s="10"/>
      <c r="C397" s="10" t="s">
        <v>230</v>
      </c>
      <c r="D397" s="10" t="s">
        <v>45</v>
      </c>
      <c r="E397" s="17" t="n">
        <v>25093</v>
      </c>
      <c r="F397" s="10" t="n">
        <v>180</v>
      </c>
      <c r="G397" s="10" t="n">
        <v>16</v>
      </c>
      <c r="H397" s="14" t="n">
        <f aca="false">(E397/1000)*(F397/1000)*(G397/1000)*7850</f>
        <v>567.302544</v>
      </c>
      <c r="I397" s="10" t="n">
        <v>1</v>
      </c>
      <c r="J397" s="15" t="n">
        <f aca="false">H397*I397</f>
        <v>567.302544</v>
      </c>
      <c r="K397" s="18" t="s">
        <v>70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</row>
    <row r="398" s="12" customFormat="true" ht="19.5" hidden="true" customHeight="true" outlineLevel="0" collapsed="false">
      <c r="A398" s="10"/>
      <c r="B398" s="10" t="s">
        <v>73</v>
      </c>
      <c r="C398" s="10" t="s">
        <v>231</v>
      </c>
      <c r="D398" s="10" t="s">
        <v>45</v>
      </c>
      <c r="E398" s="10" t="n">
        <v>16264.1</v>
      </c>
      <c r="F398" s="10" t="n">
        <v>160</v>
      </c>
      <c r="G398" s="10" t="n">
        <v>14</v>
      </c>
      <c r="H398" s="14" t="n">
        <f aca="false">(E398/1000)*(F398/1000)*(G398/1000)*7850</f>
        <v>285.9879344</v>
      </c>
      <c r="I398" s="10" t="n">
        <v>2</v>
      </c>
      <c r="J398" s="15" t="n">
        <f aca="false">H398*I398</f>
        <v>571.9758688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</row>
    <row r="399" s="12" customFormat="true" ht="19.5" hidden="true" customHeight="true" outlineLevel="0" collapsed="false">
      <c r="A399" s="10"/>
      <c r="B399" s="10"/>
      <c r="C399" s="10" t="s">
        <v>232</v>
      </c>
      <c r="D399" s="10" t="s">
        <v>45</v>
      </c>
      <c r="E399" s="10" t="n">
        <v>6793.2</v>
      </c>
      <c r="F399" s="10" t="n">
        <v>160</v>
      </c>
      <c r="G399" s="10" t="n">
        <v>14</v>
      </c>
      <c r="H399" s="14" t="n">
        <f aca="false">(E399/1000)*(F399/1000)*(G399/1000)*7850</f>
        <v>119.4516288</v>
      </c>
      <c r="I399" s="10" t="n">
        <v>2</v>
      </c>
      <c r="J399" s="15" t="n">
        <f aca="false">H399*I399</f>
        <v>238.9032576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</row>
    <row r="400" s="12" customFormat="true" ht="19.5" hidden="true" customHeight="true" outlineLevel="0" collapsed="false">
      <c r="A400" s="10"/>
      <c r="B400" s="10"/>
      <c r="C400" s="10" t="s">
        <v>233</v>
      </c>
      <c r="D400" s="10" t="s">
        <v>45</v>
      </c>
      <c r="E400" s="10" t="n">
        <v>16000</v>
      </c>
      <c r="F400" s="10" t="n">
        <v>160</v>
      </c>
      <c r="G400" s="10" t="n">
        <v>14</v>
      </c>
      <c r="H400" s="14" t="n">
        <f aca="false">(E400/1000)*(F400/1000)*(G400/1000)*7850</f>
        <v>281.344</v>
      </c>
      <c r="I400" s="10" t="n">
        <v>8</v>
      </c>
      <c r="J400" s="15" t="n">
        <f aca="false">H400*I400</f>
        <v>2250.752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</row>
    <row r="401" s="12" customFormat="true" ht="19.5" hidden="false" customHeight="true" outlineLevel="0" collapsed="false">
      <c r="A401" s="10"/>
      <c r="B401" s="10"/>
      <c r="C401" s="10" t="s">
        <v>234</v>
      </c>
      <c r="D401" s="10" t="s">
        <v>45</v>
      </c>
      <c r="E401" s="10" t="n">
        <v>16000</v>
      </c>
      <c r="F401" s="10" t="n">
        <v>220</v>
      </c>
      <c r="G401" s="10" t="n">
        <v>20</v>
      </c>
      <c r="H401" s="14" t="n">
        <f aca="false">(E401/1000)*(F401/1000)*(G401/1000)*7850</f>
        <v>552.64</v>
      </c>
      <c r="I401" s="10" t="n">
        <v>3</v>
      </c>
      <c r="J401" s="15" t="n">
        <f aca="false">H401*I401</f>
        <v>1657.92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</row>
    <row r="402" s="12" customFormat="true" ht="19.5" hidden="true" customHeight="true" outlineLevel="0" collapsed="false">
      <c r="A402" s="10"/>
      <c r="B402" s="10" t="s">
        <v>78</v>
      </c>
      <c r="C402" s="10"/>
      <c r="D402" s="10"/>
      <c r="E402" s="10"/>
      <c r="F402" s="10"/>
      <c r="G402" s="10"/>
      <c r="H402" s="14"/>
      <c r="I402" s="10"/>
      <c r="J402" s="15" t="n">
        <f aca="false">SUM(J377:J401)</f>
        <v>143349.851254312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</row>
    <row r="403" s="12" customFormat="true" ht="19.5" hidden="false" customHeight="true" outlineLevel="0" collapsed="false">
      <c r="A403" s="10" t="s">
        <v>271</v>
      </c>
      <c r="B403" s="10" t="s">
        <v>43</v>
      </c>
      <c r="C403" s="10" t="s">
        <v>236</v>
      </c>
      <c r="D403" s="10" t="s">
        <v>45</v>
      </c>
      <c r="E403" s="10" t="n">
        <v>13767.4</v>
      </c>
      <c r="F403" s="10" t="n">
        <v>600</v>
      </c>
      <c r="G403" s="10" t="n">
        <v>20</v>
      </c>
      <c r="H403" s="14" t="n">
        <f aca="false">(E403/1000)*(F403/1000)*(G403/1000)*7850</f>
        <v>1296.88908</v>
      </c>
      <c r="I403" s="10" t="n">
        <v>2</v>
      </c>
      <c r="J403" s="15" t="n">
        <f aca="false">H403*I403</f>
        <v>2593.77816</v>
      </c>
      <c r="K403" s="10"/>
      <c r="L403" s="10" t="str">
        <f aca="false">A403</f>
        <v>下层8#</v>
      </c>
      <c r="M403" s="16" t="n">
        <f aca="false">SUMIF(G403:G430,$M$3,J403:J430)</f>
        <v>1222.435284</v>
      </c>
      <c r="N403" s="16" t="n">
        <f aca="false">SUMIF(G403:G430,$N$3,J403:J430)</f>
        <v>40673.1178336</v>
      </c>
      <c r="O403" s="16" t="n">
        <f aca="false">SUMIF(G403:G430,$O$3,J403:J430)</f>
        <v>26163.026012088</v>
      </c>
      <c r="P403" s="16" t="n">
        <f aca="false">SUMIF(G403:G430,$P$3,J403:J430)</f>
        <v>46338.17948</v>
      </c>
      <c r="Q403" s="16" t="n">
        <f aca="false">SUMIF(G403:G430,$Q$3,J403:J430)</f>
        <v>15162.432</v>
      </c>
      <c r="R403" s="16" t="n">
        <f aca="false">SUMIF(G403:G430,$R$3,J403:J430)</f>
        <v>9043.2</v>
      </c>
      <c r="S403" s="16" t="n">
        <f aca="false">SUMIF(G403:G430,$S$3,J403:J430)</f>
        <v>6933.12</v>
      </c>
      <c r="T403" s="16" t="n">
        <f aca="false">SUM(M403:S431)</f>
        <v>145535.510609688</v>
      </c>
      <c r="U403" s="16" t="n">
        <v>145535.5</v>
      </c>
      <c r="V403" s="16" t="n">
        <f aca="false">T403-U403</f>
        <v>0.0106096880044788</v>
      </c>
      <c r="W403" s="10"/>
    </row>
    <row r="404" s="12" customFormat="true" ht="19.5" hidden="false" customHeight="true" outlineLevel="0" collapsed="false">
      <c r="A404" s="10"/>
      <c r="B404" s="10"/>
      <c r="C404" s="10" t="s">
        <v>237</v>
      </c>
      <c r="D404" s="10" t="s">
        <v>45</v>
      </c>
      <c r="E404" s="10" t="n">
        <v>12190.3</v>
      </c>
      <c r="F404" s="10" t="n">
        <v>600</v>
      </c>
      <c r="G404" s="10" t="n">
        <v>20</v>
      </c>
      <c r="H404" s="14" t="n">
        <f aca="false">(E404/1000)*(F404/1000)*(G404/1000)*7850</f>
        <v>1148.32626</v>
      </c>
      <c r="I404" s="10" t="n">
        <v>2</v>
      </c>
      <c r="J404" s="15" t="n">
        <f aca="false">H404*I404</f>
        <v>2296.65252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</row>
    <row r="405" s="12" customFormat="true" ht="19.5" hidden="true" customHeight="true" outlineLevel="0" collapsed="false">
      <c r="A405" s="10"/>
      <c r="B405" s="10"/>
      <c r="C405" s="10" t="s">
        <v>238</v>
      </c>
      <c r="D405" s="10" t="s">
        <v>45</v>
      </c>
      <c r="E405" s="10" t="n">
        <v>16000</v>
      </c>
      <c r="F405" s="10" t="n">
        <v>600</v>
      </c>
      <c r="G405" s="10" t="n">
        <v>30</v>
      </c>
      <c r="H405" s="14" t="n">
        <f aca="false">(E405/1000)*(F405/1000)*(G405/1000)*7850</f>
        <v>2260.8</v>
      </c>
      <c r="I405" s="10" t="n">
        <v>4</v>
      </c>
      <c r="J405" s="15" t="n">
        <f aca="false">H405*I405</f>
        <v>9043.2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</row>
    <row r="406" s="12" customFormat="true" ht="19.5" hidden="true" customHeight="true" outlineLevel="0" collapsed="false">
      <c r="A406" s="10"/>
      <c r="B406" s="10"/>
      <c r="C406" s="10" t="s">
        <v>239</v>
      </c>
      <c r="D406" s="10" t="s">
        <v>45</v>
      </c>
      <c r="E406" s="10" t="n">
        <v>16000</v>
      </c>
      <c r="F406" s="10" t="n">
        <v>600</v>
      </c>
      <c r="G406" s="10" t="n">
        <v>24</v>
      </c>
      <c r="H406" s="14" t="n">
        <f aca="false">(E406/1000)*(F406/1000)*(G406/1000)*7850</f>
        <v>1808.64</v>
      </c>
      <c r="I406" s="10" t="n">
        <v>4</v>
      </c>
      <c r="J406" s="15" t="n">
        <f aca="false">H406*I406</f>
        <v>7234.56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</row>
    <row r="407" s="12" customFormat="true" ht="19.5" hidden="true" customHeight="true" outlineLevel="0" collapsed="false">
      <c r="A407" s="10"/>
      <c r="B407" s="10"/>
      <c r="C407" s="10" t="s">
        <v>240</v>
      </c>
      <c r="D407" s="10" t="s">
        <v>45</v>
      </c>
      <c r="E407" s="10" t="n">
        <v>4700</v>
      </c>
      <c r="F407" s="10" t="n">
        <v>600</v>
      </c>
      <c r="G407" s="10" t="n">
        <v>40</v>
      </c>
      <c r="H407" s="14" t="n">
        <f aca="false">(E407/1000)*(F407/1000)*(G407/1000)*7850</f>
        <v>885.48</v>
      </c>
      <c r="I407" s="10" t="n">
        <v>2</v>
      </c>
      <c r="J407" s="15" t="n">
        <f aca="false">H407*I407</f>
        <v>1770.96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</row>
    <row r="408" s="12" customFormat="true" ht="19.5" hidden="true" customHeight="true" outlineLevel="0" collapsed="false">
      <c r="A408" s="10"/>
      <c r="B408" s="10"/>
      <c r="C408" s="10" t="s">
        <v>241</v>
      </c>
      <c r="D408" s="10" t="s">
        <v>45</v>
      </c>
      <c r="E408" s="10" t="n">
        <v>7200</v>
      </c>
      <c r="F408" s="10" t="n">
        <v>800</v>
      </c>
      <c r="G408" s="10" t="n">
        <v>40</v>
      </c>
      <c r="H408" s="14" t="n">
        <f aca="false">(E408/1000)*(F408/1000)*(G408/1000)*7850</f>
        <v>1808.64</v>
      </c>
      <c r="I408" s="10" t="n">
        <v>2</v>
      </c>
      <c r="J408" s="15" t="n">
        <f aca="false">H408*I408</f>
        <v>3617.28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</row>
    <row r="409" s="12" customFormat="true" ht="19.5" hidden="true" customHeight="true" outlineLevel="0" collapsed="false">
      <c r="A409" s="10"/>
      <c r="B409" s="10"/>
      <c r="C409" s="10" t="s">
        <v>242</v>
      </c>
      <c r="D409" s="10" t="s">
        <v>45</v>
      </c>
      <c r="E409" s="10" t="n">
        <v>4100</v>
      </c>
      <c r="F409" s="10" t="n">
        <v>600</v>
      </c>
      <c r="G409" s="10" t="n">
        <v>40</v>
      </c>
      <c r="H409" s="14" t="n">
        <f aca="false">(E409/1000)*(F409/1000)*(G409/1000)*7850</f>
        <v>772.44</v>
      </c>
      <c r="I409" s="10" t="n">
        <v>2</v>
      </c>
      <c r="J409" s="15" t="n">
        <f aca="false">H409*I409</f>
        <v>1544.88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</row>
    <row r="410" s="12" customFormat="true" ht="19.5" hidden="true" customHeight="true" outlineLevel="0" collapsed="false">
      <c r="A410" s="10"/>
      <c r="B410" s="10" t="s">
        <v>52</v>
      </c>
      <c r="C410" s="10" t="s">
        <v>243</v>
      </c>
      <c r="D410" s="10" t="s">
        <v>45</v>
      </c>
      <c r="E410" s="10" t="n">
        <v>13767.4</v>
      </c>
      <c r="F410" s="10" t="n">
        <v>2641.7</v>
      </c>
      <c r="G410" s="10" t="n">
        <v>16</v>
      </c>
      <c r="H410" s="14" t="n">
        <f aca="false">(E410/1000)*(F410/1000)*(G410/1000)*7850</f>
        <v>4567.989176848</v>
      </c>
      <c r="I410" s="10" t="n">
        <v>1</v>
      </c>
      <c r="J410" s="15" t="n">
        <f aca="false">H410*I410</f>
        <v>4567.989176848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</row>
    <row r="411" s="12" customFormat="true" ht="19.5" hidden="true" customHeight="true" outlineLevel="0" collapsed="false">
      <c r="A411" s="10"/>
      <c r="B411" s="10"/>
      <c r="C411" s="10" t="s">
        <v>244</v>
      </c>
      <c r="D411" s="10" t="s">
        <v>45</v>
      </c>
      <c r="E411" s="10" t="n">
        <v>13767.4</v>
      </c>
      <c r="F411" s="10" t="n">
        <v>2718.2</v>
      </c>
      <c r="G411" s="10" t="n">
        <v>16</v>
      </c>
      <c r="H411" s="14" t="n">
        <f aca="false">(E411/1000)*(F411/1000)*(G411/1000)*7850</f>
        <v>4700.271863008</v>
      </c>
      <c r="I411" s="10" t="n">
        <v>1</v>
      </c>
      <c r="J411" s="15" t="n">
        <f aca="false">H411*I411</f>
        <v>4700.271863008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</row>
    <row r="412" s="12" customFormat="true" ht="19.5" hidden="true" customHeight="true" outlineLevel="0" collapsed="false">
      <c r="A412" s="10"/>
      <c r="B412" s="10"/>
      <c r="C412" s="10" t="s">
        <v>245</v>
      </c>
      <c r="D412" s="10" t="s">
        <v>45</v>
      </c>
      <c r="E412" s="10" t="n">
        <v>12190.3</v>
      </c>
      <c r="F412" s="10" t="n">
        <v>2641.7</v>
      </c>
      <c r="G412" s="10" t="n">
        <v>16</v>
      </c>
      <c r="H412" s="14" t="n">
        <f aca="false">(E412/1000)*(F412/1000)*(G412/1000)*7850</f>
        <v>4044.711308056</v>
      </c>
      <c r="I412" s="10" t="n">
        <v>1</v>
      </c>
      <c r="J412" s="15" t="n">
        <f aca="false">H412*I412</f>
        <v>4044.711308056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</row>
    <row r="413" s="12" customFormat="true" ht="19.5" hidden="true" customHeight="true" outlineLevel="0" collapsed="false">
      <c r="A413" s="10"/>
      <c r="B413" s="10"/>
      <c r="C413" s="10" t="s">
        <v>246</v>
      </c>
      <c r="D413" s="10" t="s">
        <v>45</v>
      </c>
      <c r="E413" s="10" t="n">
        <v>12190.3</v>
      </c>
      <c r="F413" s="10" t="n">
        <v>2718.2</v>
      </c>
      <c r="G413" s="10" t="n">
        <v>16</v>
      </c>
      <c r="H413" s="14" t="n">
        <f aca="false">(E413/1000)*(F413/1000)*(G413/1000)*7850</f>
        <v>4161.840586576</v>
      </c>
      <c r="I413" s="10" t="n">
        <v>1</v>
      </c>
      <c r="J413" s="15" t="n">
        <f aca="false">H413*I413</f>
        <v>4161.840586576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</row>
    <row r="414" s="12" customFormat="true" ht="19.5" hidden="true" customHeight="true" outlineLevel="0" collapsed="false">
      <c r="A414" s="10"/>
      <c r="B414" s="10"/>
      <c r="C414" s="10" t="s">
        <v>247</v>
      </c>
      <c r="D414" s="10" t="s">
        <v>45</v>
      </c>
      <c r="E414" s="10" t="n">
        <v>16000</v>
      </c>
      <c r="F414" s="10" t="n">
        <v>2631.7</v>
      </c>
      <c r="G414" s="10" t="n">
        <v>14</v>
      </c>
      <c r="H414" s="14" t="n">
        <f aca="false">(E414/1000)*(F414/1000)*(G414/1000)*7850</f>
        <v>4627.58128</v>
      </c>
      <c r="I414" s="10" t="n">
        <v>2</v>
      </c>
      <c r="J414" s="15" t="n">
        <f aca="false">H414*I414</f>
        <v>9255.16256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</row>
    <row r="415" s="12" customFormat="true" ht="19.5" hidden="true" customHeight="true" outlineLevel="0" collapsed="false">
      <c r="A415" s="10"/>
      <c r="B415" s="10"/>
      <c r="C415" s="10" t="s">
        <v>248</v>
      </c>
      <c r="D415" s="10" t="s">
        <v>45</v>
      </c>
      <c r="E415" s="10" t="n">
        <v>16000</v>
      </c>
      <c r="F415" s="10" t="n">
        <v>2708.2</v>
      </c>
      <c r="G415" s="10" t="n">
        <v>14</v>
      </c>
      <c r="H415" s="14" t="n">
        <f aca="false">(E415/1000)*(F415/1000)*(G415/1000)*7850</f>
        <v>4762.09888</v>
      </c>
      <c r="I415" s="10" t="n">
        <v>2</v>
      </c>
      <c r="J415" s="15" t="n">
        <f aca="false">H415*I415</f>
        <v>9524.19776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</row>
    <row r="416" s="12" customFormat="true" ht="19.5" hidden="true" customHeight="true" outlineLevel="0" collapsed="false">
      <c r="A416" s="10"/>
      <c r="B416" s="10"/>
      <c r="C416" s="10" t="s">
        <v>249</v>
      </c>
      <c r="D416" s="10" t="s">
        <v>45</v>
      </c>
      <c r="E416" s="10" t="n">
        <v>16000</v>
      </c>
      <c r="F416" s="10" t="n">
        <v>2637.7</v>
      </c>
      <c r="G416" s="10" t="n">
        <v>14</v>
      </c>
      <c r="H416" s="14" t="n">
        <f aca="false">(E416/1000)*(F416/1000)*(G416/1000)*7850</f>
        <v>4638.13168</v>
      </c>
      <c r="I416" s="10" t="n">
        <v>2</v>
      </c>
      <c r="J416" s="15" t="n">
        <f aca="false">H416*I416</f>
        <v>9276.26336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</row>
    <row r="417" s="12" customFormat="true" ht="19.5" hidden="true" customHeight="true" outlineLevel="0" collapsed="false">
      <c r="A417" s="10"/>
      <c r="B417" s="10"/>
      <c r="C417" s="10" t="s">
        <v>250</v>
      </c>
      <c r="D417" s="10" t="s">
        <v>45</v>
      </c>
      <c r="E417" s="10" t="n">
        <v>16000</v>
      </c>
      <c r="F417" s="10" t="n">
        <v>2714.2</v>
      </c>
      <c r="G417" s="10" t="n">
        <v>14</v>
      </c>
      <c r="H417" s="14" t="n">
        <f aca="false">(E417/1000)*(F417/1000)*(G417/1000)*7850</f>
        <v>4772.64928</v>
      </c>
      <c r="I417" s="10" t="n">
        <v>2</v>
      </c>
      <c r="J417" s="15" t="n">
        <f aca="false">H417*I417</f>
        <v>9545.29856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</row>
    <row r="418" s="12" customFormat="true" ht="19.5" hidden="false" customHeight="true" outlineLevel="0" collapsed="false">
      <c r="A418" s="10"/>
      <c r="B418" s="10"/>
      <c r="C418" s="10" t="s">
        <v>251</v>
      </c>
      <c r="D418" s="10" t="s">
        <v>45</v>
      </c>
      <c r="E418" s="10" t="n">
        <v>16000</v>
      </c>
      <c r="F418" s="10" t="n">
        <v>2621.7</v>
      </c>
      <c r="G418" s="10" t="n">
        <v>20</v>
      </c>
      <c r="H418" s="14" t="n">
        <f aca="false">(E418/1000)*(F418/1000)*(G418/1000)*7850</f>
        <v>6585.7104</v>
      </c>
      <c r="I418" s="10" t="n">
        <v>1</v>
      </c>
      <c r="J418" s="15" t="n">
        <f aca="false">H418*I418</f>
        <v>6585.7104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</row>
    <row r="419" s="12" customFormat="true" ht="19.5" hidden="false" customHeight="true" outlineLevel="0" collapsed="false">
      <c r="A419" s="10"/>
      <c r="B419" s="10"/>
      <c r="C419" s="10" t="s">
        <v>252</v>
      </c>
      <c r="D419" s="10" t="s">
        <v>45</v>
      </c>
      <c r="E419" s="10" t="n">
        <v>16000</v>
      </c>
      <c r="F419" s="10" t="n">
        <v>2698.2</v>
      </c>
      <c r="G419" s="10" t="n">
        <v>20</v>
      </c>
      <c r="H419" s="14" t="n">
        <f aca="false">(E419/1000)*(F419/1000)*(G419/1000)*7850</f>
        <v>6777.8784</v>
      </c>
      <c r="I419" s="10" t="n">
        <v>1</v>
      </c>
      <c r="J419" s="15" t="n">
        <f aca="false">H419*I419</f>
        <v>6777.8784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</row>
    <row r="420" s="12" customFormat="true" ht="19.5" hidden="true" customHeight="true" outlineLevel="0" collapsed="false">
      <c r="A420" s="10"/>
      <c r="B420" s="10" t="s">
        <v>63</v>
      </c>
      <c r="C420" s="10" t="s">
        <v>253</v>
      </c>
      <c r="D420" s="10" t="s">
        <v>45</v>
      </c>
      <c r="E420" s="10" t="n">
        <v>13017.4</v>
      </c>
      <c r="F420" s="10" t="n">
        <v>2630</v>
      </c>
      <c r="G420" s="10" t="n">
        <v>16</v>
      </c>
      <c r="H420" s="14" t="n">
        <f aca="false">(E420/1000)*(F420/1000)*(G420/1000)*7850</f>
        <v>4300.0117072</v>
      </c>
      <c r="I420" s="10" t="n">
        <v>1</v>
      </c>
      <c r="J420" s="15" t="n">
        <f aca="false">H420*I420</f>
        <v>4300.0117072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</row>
    <row r="421" s="12" customFormat="true" ht="19.5" hidden="true" customHeight="true" outlineLevel="0" collapsed="false">
      <c r="A421" s="10"/>
      <c r="B421" s="10"/>
      <c r="C421" s="10" t="s">
        <v>254</v>
      </c>
      <c r="D421" s="10" t="s">
        <v>45</v>
      </c>
      <c r="E421" s="10" t="n">
        <v>11440.3</v>
      </c>
      <c r="F421" s="10" t="n">
        <v>2630</v>
      </c>
      <c r="G421" s="10" t="n">
        <v>16</v>
      </c>
      <c r="H421" s="14" t="n">
        <f aca="false">(E421/1000)*(F421/1000)*(G421/1000)*7850</f>
        <v>3779.0514184</v>
      </c>
      <c r="I421" s="10" t="n">
        <v>1</v>
      </c>
      <c r="J421" s="15" t="n">
        <f aca="false">H421*I421</f>
        <v>3779.0514184</v>
      </c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</row>
    <row r="422" s="12" customFormat="true" ht="19.5" hidden="false" customHeight="true" outlineLevel="0" collapsed="false">
      <c r="A422" s="10"/>
      <c r="B422" s="10"/>
      <c r="C422" s="10" t="s">
        <v>255</v>
      </c>
      <c r="D422" s="10" t="s">
        <v>45</v>
      </c>
      <c r="E422" s="10" t="n">
        <v>16000</v>
      </c>
      <c r="F422" s="10" t="n">
        <v>2630</v>
      </c>
      <c r="G422" s="10" t="n">
        <v>20</v>
      </c>
      <c r="H422" s="14" t="n">
        <f aca="false">(E422/1000)*(F422/1000)*(G422/1000)*7850</f>
        <v>6606.56</v>
      </c>
      <c r="I422" s="10" t="n">
        <v>4</v>
      </c>
      <c r="J422" s="15" t="n">
        <f aca="false">H422*I422</f>
        <v>26426.24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</row>
    <row r="423" s="12" customFormat="true" ht="19.5" hidden="true" customHeight="true" outlineLevel="0" collapsed="false">
      <c r="A423" s="10"/>
      <c r="B423" s="10"/>
      <c r="C423" s="10" t="s">
        <v>256</v>
      </c>
      <c r="D423" s="10" t="s">
        <v>45</v>
      </c>
      <c r="E423" s="10" t="n">
        <v>16000</v>
      </c>
      <c r="F423" s="10" t="n">
        <v>2630</v>
      </c>
      <c r="G423" s="10" t="n">
        <v>24</v>
      </c>
      <c r="H423" s="14" t="n">
        <f aca="false">(E423/1000)*(F423/1000)*(G423/1000)*7850</f>
        <v>7927.872</v>
      </c>
      <c r="I423" s="10" t="n">
        <v>1</v>
      </c>
      <c r="J423" s="15" t="n">
        <f aca="false">H423*I423</f>
        <v>7927.872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</row>
    <row r="424" s="12" customFormat="true" ht="19.5" hidden="true" customHeight="true" outlineLevel="0" collapsed="false">
      <c r="A424" s="10"/>
      <c r="B424" s="10" t="s">
        <v>68</v>
      </c>
      <c r="C424" s="10" t="s">
        <v>257</v>
      </c>
      <c r="D424" s="10" t="s">
        <v>45</v>
      </c>
      <c r="E424" s="17" t="n">
        <v>20753</v>
      </c>
      <c r="F424" s="10" t="n">
        <v>140</v>
      </c>
      <c r="G424" s="10" t="n">
        <v>12</v>
      </c>
      <c r="H424" s="14" t="n">
        <f aca="false">(E424/1000)*(F424/1000)*(G424/1000)*7850</f>
        <v>273.690564</v>
      </c>
      <c r="I424" s="10" t="n">
        <v>1</v>
      </c>
      <c r="J424" s="15" t="n">
        <f aca="false">H424*I424</f>
        <v>273.690564</v>
      </c>
      <c r="K424" s="18" t="s">
        <v>70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</row>
    <row r="425" s="12" customFormat="true" ht="19.5" hidden="true" customHeight="true" outlineLevel="0" collapsed="false">
      <c r="A425" s="10"/>
      <c r="B425" s="10"/>
      <c r="C425" s="10" t="s">
        <v>258</v>
      </c>
      <c r="D425" s="10" t="s">
        <v>45</v>
      </c>
      <c r="E425" s="17" t="n">
        <v>71940</v>
      </c>
      <c r="F425" s="10" t="n">
        <v>140</v>
      </c>
      <c r="G425" s="10" t="n">
        <v>12</v>
      </c>
      <c r="H425" s="14" t="n">
        <f aca="false">(E425/1000)*(F425/1000)*(G425/1000)*7850</f>
        <v>948.74472</v>
      </c>
      <c r="I425" s="10" t="n">
        <v>1</v>
      </c>
      <c r="J425" s="15" t="n">
        <f aca="false">H425*I425</f>
        <v>948.74472</v>
      </c>
      <c r="K425" s="18" t="s">
        <v>70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</row>
    <row r="426" s="12" customFormat="true" ht="19.5" hidden="true" customHeight="true" outlineLevel="0" collapsed="false">
      <c r="A426" s="10"/>
      <c r="B426" s="10"/>
      <c r="C426" s="10" t="s">
        <v>259</v>
      </c>
      <c r="D426" s="10" t="s">
        <v>45</v>
      </c>
      <c r="E426" s="17" t="n">
        <v>26944</v>
      </c>
      <c r="F426" s="10" t="n">
        <v>180</v>
      </c>
      <c r="G426" s="10" t="n">
        <v>16</v>
      </c>
      <c r="H426" s="14" t="n">
        <f aca="false">(E426/1000)*(F426/1000)*(G426/1000)*7850</f>
        <v>609.149952</v>
      </c>
      <c r="I426" s="10" t="n">
        <v>1</v>
      </c>
      <c r="J426" s="15" t="n">
        <f aca="false">H426*I426</f>
        <v>609.149952</v>
      </c>
      <c r="K426" s="18" t="s">
        <v>70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</row>
    <row r="427" s="12" customFormat="true" ht="19.5" hidden="true" customHeight="true" outlineLevel="0" collapsed="false">
      <c r="A427" s="10"/>
      <c r="B427" s="10" t="s">
        <v>73</v>
      </c>
      <c r="C427" s="10" t="s">
        <v>260</v>
      </c>
      <c r="D427" s="10" t="s">
        <v>45</v>
      </c>
      <c r="E427" s="10" t="n">
        <v>12467.4</v>
      </c>
      <c r="F427" s="10" t="n">
        <v>160</v>
      </c>
      <c r="G427" s="10" t="n">
        <v>14</v>
      </c>
      <c r="H427" s="14" t="n">
        <f aca="false">(E427/1000)*(F427/1000)*(G427/1000)*7850</f>
        <v>219.2267616</v>
      </c>
      <c r="I427" s="10" t="n">
        <v>2</v>
      </c>
      <c r="J427" s="15" t="n">
        <f aca="false">H427*I427</f>
        <v>438.4535232</v>
      </c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</row>
    <row r="428" s="12" customFormat="true" ht="19.5" hidden="true" customHeight="true" outlineLevel="0" collapsed="false">
      <c r="A428" s="10"/>
      <c r="B428" s="10"/>
      <c r="C428" s="10" t="s">
        <v>261</v>
      </c>
      <c r="D428" s="10" t="s">
        <v>45</v>
      </c>
      <c r="E428" s="10" t="n">
        <v>10890.3</v>
      </c>
      <c r="F428" s="10" t="n">
        <v>160</v>
      </c>
      <c r="G428" s="10" t="n">
        <v>14</v>
      </c>
      <c r="H428" s="14" t="n">
        <f aca="false">(E428/1000)*(F428/1000)*(G428/1000)*7850</f>
        <v>191.4950352</v>
      </c>
      <c r="I428" s="10" t="n">
        <v>2</v>
      </c>
      <c r="J428" s="15" t="n">
        <f aca="false">H428*I428</f>
        <v>382.9900704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</row>
    <row r="429" s="12" customFormat="true" ht="19.5" hidden="true" customHeight="true" outlineLevel="0" collapsed="false">
      <c r="A429" s="10"/>
      <c r="B429" s="10"/>
      <c r="C429" s="10" t="s">
        <v>262</v>
      </c>
      <c r="D429" s="10" t="s">
        <v>45</v>
      </c>
      <c r="E429" s="10" t="n">
        <v>16000</v>
      </c>
      <c r="F429" s="10" t="n">
        <v>160</v>
      </c>
      <c r="G429" s="10" t="n">
        <v>14</v>
      </c>
      <c r="H429" s="14" t="n">
        <f aca="false">(E429/1000)*(F429/1000)*(G429/1000)*7850</f>
        <v>281.344</v>
      </c>
      <c r="I429" s="10" t="n">
        <v>8</v>
      </c>
      <c r="J429" s="15" t="n">
        <f aca="false">H429*I429</f>
        <v>2250.752</v>
      </c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</row>
    <row r="430" s="12" customFormat="true" ht="19.5" hidden="false" customHeight="true" outlineLevel="0" collapsed="false">
      <c r="A430" s="10"/>
      <c r="B430" s="10"/>
      <c r="C430" s="10" t="s">
        <v>263</v>
      </c>
      <c r="D430" s="10" t="s">
        <v>45</v>
      </c>
      <c r="E430" s="10" t="n">
        <v>16000</v>
      </c>
      <c r="F430" s="10" t="n">
        <v>220</v>
      </c>
      <c r="G430" s="10" t="n">
        <v>20</v>
      </c>
      <c r="H430" s="14" t="n">
        <f aca="false">(E430/1000)*(F430/1000)*(G430/1000)*7850</f>
        <v>552.64</v>
      </c>
      <c r="I430" s="10" t="n">
        <v>3</v>
      </c>
      <c r="J430" s="15" t="n">
        <f aca="false">H430*I430</f>
        <v>1657.92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</row>
    <row r="431" s="12" customFormat="true" ht="19.5" hidden="true" customHeight="true" outlineLevel="0" collapsed="false">
      <c r="A431" s="10"/>
      <c r="B431" s="10" t="s">
        <v>78</v>
      </c>
      <c r="C431" s="10"/>
      <c r="D431" s="10"/>
      <c r="E431" s="10"/>
      <c r="F431" s="10"/>
      <c r="G431" s="10"/>
      <c r="H431" s="14"/>
      <c r="I431" s="10"/>
      <c r="J431" s="15" t="n">
        <f aca="false">SUM(J403:J430)</f>
        <v>145535.510609688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</row>
    <row r="432" s="12" customFormat="true" ht="25.5" hidden="true" customHeight="true" outlineLevel="0" collapsed="false">
      <c r="A432" s="19" t="s">
        <v>272</v>
      </c>
      <c r="B432" s="19"/>
      <c r="C432" s="19"/>
      <c r="D432" s="19" t="s">
        <v>34</v>
      </c>
      <c r="E432" s="19" t="s">
        <v>2</v>
      </c>
      <c r="F432" s="19" t="s">
        <v>4</v>
      </c>
      <c r="G432" s="19" t="s">
        <v>3</v>
      </c>
      <c r="H432" s="19" t="s">
        <v>5</v>
      </c>
      <c r="I432" s="10"/>
      <c r="J432" s="15"/>
      <c r="K432" s="10" t="s">
        <v>273</v>
      </c>
      <c r="L432" s="10" t="s">
        <v>274</v>
      </c>
      <c r="M432" s="16" t="n">
        <f aca="false">SUM(M4:M431)</f>
        <v>19292.3941812</v>
      </c>
      <c r="N432" s="16" t="n">
        <f aca="false">SUM(N4:N431)</f>
        <v>650669.89568</v>
      </c>
      <c r="O432" s="16" t="n">
        <f aca="false">SUM(O4:O431)</f>
        <v>401058.9356352</v>
      </c>
      <c r="P432" s="16" t="n">
        <f aca="false">SUM(P4:P431)</f>
        <v>738162.2528</v>
      </c>
      <c r="Q432" s="16" t="n">
        <f aca="false">SUM(Q4:Q431)</f>
        <v>329413.632</v>
      </c>
      <c r="R432" s="16" t="n">
        <f aca="false">SUM(R4:R431)</f>
        <v>36172.8</v>
      </c>
      <c r="S432" s="16" t="n">
        <f aca="false">SUM(S4:S431)</f>
        <v>110929.92</v>
      </c>
      <c r="T432" s="16" t="n">
        <f aca="false">SUM(T4:T431)</f>
        <v>2285699.8302964</v>
      </c>
      <c r="U432" s="16" t="n">
        <f aca="false">SUM(U4:U431)</f>
        <v>2285699.9</v>
      </c>
      <c r="V432" s="16" t="n">
        <f aca="false">T432-U432</f>
        <v>-0.0697035999037325</v>
      </c>
      <c r="W432" s="10"/>
    </row>
    <row r="433" s="12" customFormat="true" ht="25.5" hidden="true" customHeight="true" outlineLevel="0" collapsed="false">
      <c r="A433" s="19" t="s">
        <v>275</v>
      </c>
      <c r="B433" s="19"/>
      <c r="C433" s="19"/>
      <c r="D433" s="19" t="str">
        <f aca="false">D430</f>
        <v>Q420MD</v>
      </c>
      <c r="E433" s="19" t="s">
        <v>11</v>
      </c>
      <c r="F433" s="20" t="n">
        <f aca="false">T432</f>
        <v>2285699.8302964</v>
      </c>
      <c r="G433" s="20" t="n">
        <f aca="false">U432</f>
        <v>2285699.9</v>
      </c>
      <c r="H433" s="20" t="n">
        <f aca="false">F433-G433</f>
        <v>-0.0697035999037325</v>
      </c>
      <c r="I433" s="10"/>
      <c r="J433" s="15"/>
      <c r="K433" s="10"/>
      <c r="L433" s="10" t="s">
        <v>276</v>
      </c>
      <c r="M433" s="10" t="n">
        <v>19292.4</v>
      </c>
      <c r="N433" s="10" t="n">
        <v>650669.9</v>
      </c>
      <c r="O433" s="10" t="n">
        <v>401058.9</v>
      </c>
      <c r="P433" s="10" t="n">
        <v>738162.3</v>
      </c>
      <c r="Q433" s="10" t="n">
        <v>329413.6</v>
      </c>
      <c r="R433" s="10" t="n">
        <v>36172.8</v>
      </c>
      <c r="S433" s="10" t="n">
        <v>110930.1</v>
      </c>
      <c r="T433" s="10" t="n">
        <f aca="false">SUM(M433:S433)</f>
        <v>2285700</v>
      </c>
      <c r="U433" s="10" t="n">
        <f aca="false">T433</f>
        <v>2285700</v>
      </c>
      <c r="V433" s="16" t="n">
        <f aca="false">T433-U433</f>
        <v>0</v>
      </c>
      <c r="W433" s="10"/>
    </row>
    <row r="434" s="12" customFormat="true" ht="19.5" hidden="true" customHeight="true" outlineLevel="0" collapsed="false">
      <c r="A434" s="10"/>
      <c r="B434" s="10"/>
      <c r="C434" s="10"/>
      <c r="D434" s="10"/>
      <c r="E434" s="10"/>
      <c r="F434" s="10"/>
      <c r="G434" s="10"/>
      <c r="H434" s="14"/>
      <c r="I434" s="10"/>
      <c r="J434" s="15"/>
      <c r="K434" s="10"/>
      <c r="L434" s="10" t="s">
        <v>5</v>
      </c>
      <c r="M434" s="16" t="n">
        <f aca="false">M432-M433</f>
        <v>-0.00581880000027013</v>
      </c>
      <c r="N434" s="16" t="n">
        <f aca="false">N432-N433</f>
        <v>-0.0043200000654906</v>
      </c>
      <c r="O434" s="16" t="n">
        <f aca="false">O432-O433</f>
        <v>0.035635199979879</v>
      </c>
      <c r="P434" s="16" t="n">
        <f aca="false">P432-P433</f>
        <v>-0.0472000000299886</v>
      </c>
      <c r="Q434" s="16" t="n">
        <f aca="false">Q432-Q433</f>
        <v>0.0319999999483116</v>
      </c>
      <c r="R434" s="16" t="n">
        <f aca="false">R432-R433</f>
        <v>0</v>
      </c>
      <c r="S434" s="16" t="n">
        <f aca="false">S432-S433</f>
        <v>-0.180000000007567</v>
      </c>
      <c r="T434" s="16" t="n">
        <f aca="false">T432-T433</f>
        <v>-0.169703599996865</v>
      </c>
      <c r="U434" s="10"/>
      <c r="V434" s="10"/>
      <c r="W434" s="10"/>
    </row>
    <row r="435" s="12" customFormat="true" ht="19.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4"/>
      <c r="I435" s="10"/>
      <c r="J435" s="15"/>
      <c r="K435" s="10"/>
    </row>
  </sheetData>
  <autoFilter ref="A3:W434">
    <filterColumn colId="6">
      <filters>
        <filter val="20"/>
      </filters>
    </filterColumn>
  </autoFilter>
  <mergeCells count="315">
    <mergeCell ref="A1:K1"/>
    <mergeCell ref="A2:A3"/>
    <mergeCell ref="B2:B3"/>
    <mergeCell ref="C2:C3"/>
    <mergeCell ref="D2:D3"/>
    <mergeCell ref="K2:K3"/>
    <mergeCell ref="L2:L3"/>
    <mergeCell ref="M2:T2"/>
    <mergeCell ref="U2:U3"/>
    <mergeCell ref="A4:A32"/>
    <mergeCell ref="B4:B10"/>
    <mergeCell ref="L4:L32"/>
    <mergeCell ref="M4:M32"/>
    <mergeCell ref="N4:N32"/>
    <mergeCell ref="O4:O32"/>
    <mergeCell ref="P4:P32"/>
    <mergeCell ref="Q4:Q32"/>
    <mergeCell ref="R4:R32"/>
    <mergeCell ref="S4:S32"/>
    <mergeCell ref="T4:T32"/>
    <mergeCell ref="U4:U32"/>
    <mergeCell ref="V4:V32"/>
    <mergeCell ref="W4:W32"/>
    <mergeCell ref="B11:B20"/>
    <mergeCell ref="B21:B24"/>
    <mergeCell ref="B25:B27"/>
    <mergeCell ref="B28:B31"/>
    <mergeCell ref="B32:C32"/>
    <mergeCell ref="A33:A58"/>
    <mergeCell ref="B33:B38"/>
    <mergeCell ref="L33:L58"/>
    <mergeCell ref="M33:M58"/>
    <mergeCell ref="N33:N58"/>
    <mergeCell ref="O33:O58"/>
    <mergeCell ref="P33:P58"/>
    <mergeCell ref="Q33:Q58"/>
    <mergeCell ref="R33:R58"/>
    <mergeCell ref="S33:S58"/>
    <mergeCell ref="T33:T58"/>
    <mergeCell ref="U33:U58"/>
    <mergeCell ref="V33:V58"/>
    <mergeCell ref="W33:W58"/>
    <mergeCell ref="B39:B46"/>
    <mergeCell ref="B47:B50"/>
    <mergeCell ref="B51:B53"/>
    <mergeCell ref="B54:B57"/>
    <mergeCell ref="B58:C58"/>
    <mergeCell ref="A59:A84"/>
    <mergeCell ref="B59:B64"/>
    <mergeCell ref="L59:L84"/>
    <mergeCell ref="M59:M84"/>
    <mergeCell ref="N59:N84"/>
    <mergeCell ref="O59:O84"/>
    <mergeCell ref="P59:P84"/>
    <mergeCell ref="Q59:Q84"/>
    <mergeCell ref="R59:R84"/>
    <mergeCell ref="S59:S84"/>
    <mergeCell ref="T59:T84"/>
    <mergeCell ref="U59:U84"/>
    <mergeCell ref="V59:V84"/>
    <mergeCell ref="W59:W84"/>
    <mergeCell ref="B65:B72"/>
    <mergeCell ref="B73:B76"/>
    <mergeCell ref="B77:B79"/>
    <mergeCell ref="B80:B83"/>
    <mergeCell ref="B84:C84"/>
    <mergeCell ref="A85:A110"/>
    <mergeCell ref="B85:B90"/>
    <mergeCell ref="L85:L110"/>
    <mergeCell ref="M85:M110"/>
    <mergeCell ref="N85:N110"/>
    <mergeCell ref="O85:O110"/>
    <mergeCell ref="P85:P110"/>
    <mergeCell ref="Q85:Q110"/>
    <mergeCell ref="R85:R110"/>
    <mergeCell ref="S85:S110"/>
    <mergeCell ref="T85:T110"/>
    <mergeCell ref="U85:U110"/>
    <mergeCell ref="V85:V110"/>
    <mergeCell ref="W85:W110"/>
    <mergeCell ref="B91:B98"/>
    <mergeCell ref="B99:B102"/>
    <mergeCell ref="B103:B105"/>
    <mergeCell ref="B106:B109"/>
    <mergeCell ref="B110:C110"/>
    <mergeCell ref="A111:A136"/>
    <mergeCell ref="B111:B116"/>
    <mergeCell ref="L111:L136"/>
    <mergeCell ref="M111:M136"/>
    <mergeCell ref="N111:N136"/>
    <mergeCell ref="O111:O136"/>
    <mergeCell ref="P111:P136"/>
    <mergeCell ref="Q111:Q136"/>
    <mergeCell ref="R111:R136"/>
    <mergeCell ref="S111:S136"/>
    <mergeCell ref="T111:T136"/>
    <mergeCell ref="U111:U136"/>
    <mergeCell ref="V111:V136"/>
    <mergeCell ref="W111:W136"/>
    <mergeCell ref="B117:B124"/>
    <mergeCell ref="B125:B128"/>
    <mergeCell ref="B129:B131"/>
    <mergeCell ref="B132:B135"/>
    <mergeCell ref="B136:C136"/>
    <mergeCell ref="A137:A162"/>
    <mergeCell ref="B137:B142"/>
    <mergeCell ref="L137:L162"/>
    <mergeCell ref="M137:M162"/>
    <mergeCell ref="N137:N162"/>
    <mergeCell ref="O137:O162"/>
    <mergeCell ref="P137:P162"/>
    <mergeCell ref="Q137:Q162"/>
    <mergeCell ref="R137:R162"/>
    <mergeCell ref="S137:S162"/>
    <mergeCell ref="T137:T162"/>
    <mergeCell ref="U137:U162"/>
    <mergeCell ref="V137:V162"/>
    <mergeCell ref="W137:W162"/>
    <mergeCell ref="B143:B150"/>
    <mergeCell ref="B151:B154"/>
    <mergeCell ref="B155:B157"/>
    <mergeCell ref="B158:B161"/>
    <mergeCell ref="B162:C162"/>
    <mergeCell ref="A163:A188"/>
    <mergeCell ref="B163:B168"/>
    <mergeCell ref="L163:L188"/>
    <mergeCell ref="M163:M188"/>
    <mergeCell ref="N163:N188"/>
    <mergeCell ref="O163:O188"/>
    <mergeCell ref="P163:P188"/>
    <mergeCell ref="Q163:Q188"/>
    <mergeCell ref="R163:R188"/>
    <mergeCell ref="S163:S188"/>
    <mergeCell ref="T163:T188"/>
    <mergeCell ref="U163:U188"/>
    <mergeCell ref="V163:V188"/>
    <mergeCell ref="W163:W188"/>
    <mergeCell ref="B169:B176"/>
    <mergeCell ref="B177:B180"/>
    <mergeCell ref="B181:B183"/>
    <mergeCell ref="B184:B187"/>
    <mergeCell ref="B188:C188"/>
    <mergeCell ref="A189:A217"/>
    <mergeCell ref="B189:B195"/>
    <mergeCell ref="L189:L217"/>
    <mergeCell ref="M189:M217"/>
    <mergeCell ref="N189:N217"/>
    <mergeCell ref="O189:O217"/>
    <mergeCell ref="P189:P217"/>
    <mergeCell ref="Q189:Q217"/>
    <mergeCell ref="R189:R217"/>
    <mergeCell ref="S189:S217"/>
    <mergeCell ref="T189:T217"/>
    <mergeCell ref="U189:U217"/>
    <mergeCell ref="V189:V217"/>
    <mergeCell ref="W189:W217"/>
    <mergeCell ref="B196:B205"/>
    <mergeCell ref="B206:B209"/>
    <mergeCell ref="B210:B212"/>
    <mergeCell ref="B213:B216"/>
    <mergeCell ref="B217:C217"/>
    <mergeCell ref="A218:A246"/>
    <mergeCell ref="B218:B224"/>
    <mergeCell ref="L218:L246"/>
    <mergeCell ref="M218:M246"/>
    <mergeCell ref="N218:N246"/>
    <mergeCell ref="O218:O246"/>
    <mergeCell ref="P218:P246"/>
    <mergeCell ref="Q218:Q246"/>
    <mergeCell ref="R218:R246"/>
    <mergeCell ref="S218:S246"/>
    <mergeCell ref="T218:T246"/>
    <mergeCell ref="U218:U246"/>
    <mergeCell ref="V218:V246"/>
    <mergeCell ref="W218:W246"/>
    <mergeCell ref="B225:B234"/>
    <mergeCell ref="B235:B238"/>
    <mergeCell ref="B239:B241"/>
    <mergeCell ref="B242:B245"/>
    <mergeCell ref="B246:C246"/>
    <mergeCell ref="A247:A272"/>
    <mergeCell ref="B247:B252"/>
    <mergeCell ref="L247:L272"/>
    <mergeCell ref="M247:M272"/>
    <mergeCell ref="N247:N272"/>
    <mergeCell ref="O247:O272"/>
    <mergeCell ref="P247:P272"/>
    <mergeCell ref="Q247:Q272"/>
    <mergeCell ref="R247:R272"/>
    <mergeCell ref="S247:S272"/>
    <mergeCell ref="T247:T272"/>
    <mergeCell ref="U247:U272"/>
    <mergeCell ref="V247:V272"/>
    <mergeCell ref="W247:W272"/>
    <mergeCell ref="B253:B260"/>
    <mergeCell ref="B261:B264"/>
    <mergeCell ref="B265:B267"/>
    <mergeCell ref="B268:B271"/>
    <mergeCell ref="B272:C272"/>
    <mergeCell ref="A273:A298"/>
    <mergeCell ref="B273:B278"/>
    <mergeCell ref="L273:L298"/>
    <mergeCell ref="M273:M298"/>
    <mergeCell ref="N273:N298"/>
    <mergeCell ref="O273:O298"/>
    <mergeCell ref="P273:P298"/>
    <mergeCell ref="Q273:Q298"/>
    <mergeCell ref="R273:R298"/>
    <mergeCell ref="S273:S298"/>
    <mergeCell ref="T273:T298"/>
    <mergeCell ref="U273:U298"/>
    <mergeCell ref="V273:V298"/>
    <mergeCell ref="W273:W298"/>
    <mergeCell ref="B279:B286"/>
    <mergeCell ref="B287:B290"/>
    <mergeCell ref="B291:B293"/>
    <mergeCell ref="B294:B297"/>
    <mergeCell ref="B298:C298"/>
    <mergeCell ref="A299:A324"/>
    <mergeCell ref="B299:B304"/>
    <mergeCell ref="L299:L324"/>
    <mergeCell ref="M299:M324"/>
    <mergeCell ref="N299:N324"/>
    <mergeCell ref="O299:O324"/>
    <mergeCell ref="P299:P324"/>
    <mergeCell ref="Q299:Q324"/>
    <mergeCell ref="R299:R324"/>
    <mergeCell ref="S299:S324"/>
    <mergeCell ref="T299:T324"/>
    <mergeCell ref="U299:U324"/>
    <mergeCell ref="V299:V324"/>
    <mergeCell ref="W299:W324"/>
    <mergeCell ref="B305:B312"/>
    <mergeCell ref="B313:B316"/>
    <mergeCell ref="B317:B319"/>
    <mergeCell ref="B320:B323"/>
    <mergeCell ref="B324:C324"/>
    <mergeCell ref="A325:A350"/>
    <mergeCell ref="B325:B330"/>
    <mergeCell ref="L325:L350"/>
    <mergeCell ref="M325:M350"/>
    <mergeCell ref="N325:N350"/>
    <mergeCell ref="O325:O350"/>
    <mergeCell ref="P325:P350"/>
    <mergeCell ref="Q325:Q350"/>
    <mergeCell ref="R325:R350"/>
    <mergeCell ref="S325:S350"/>
    <mergeCell ref="T325:T350"/>
    <mergeCell ref="U325:U350"/>
    <mergeCell ref="V325:V350"/>
    <mergeCell ref="W325:W350"/>
    <mergeCell ref="B331:B338"/>
    <mergeCell ref="B339:B342"/>
    <mergeCell ref="B343:B345"/>
    <mergeCell ref="B346:B349"/>
    <mergeCell ref="B350:C350"/>
    <mergeCell ref="A351:A376"/>
    <mergeCell ref="B351:B356"/>
    <mergeCell ref="L351:L376"/>
    <mergeCell ref="M351:M376"/>
    <mergeCell ref="N351:N376"/>
    <mergeCell ref="O351:O376"/>
    <mergeCell ref="P351:P376"/>
    <mergeCell ref="Q351:Q376"/>
    <mergeCell ref="R351:R376"/>
    <mergeCell ref="S351:S376"/>
    <mergeCell ref="T351:T376"/>
    <mergeCell ref="U351:U376"/>
    <mergeCell ref="V351:V376"/>
    <mergeCell ref="W351:W376"/>
    <mergeCell ref="B357:B364"/>
    <mergeCell ref="B365:B368"/>
    <mergeCell ref="B369:B371"/>
    <mergeCell ref="B372:B375"/>
    <mergeCell ref="B376:C376"/>
    <mergeCell ref="A377:A402"/>
    <mergeCell ref="B377:B382"/>
    <mergeCell ref="L377:L402"/>
    <mergeCell ref="M377:M402"/>
    <mergeCell ref="N377:N402"/>
    <mergeCell ref="O377:O402"/>
    <mergeCell ref="P377:P402"/>
    <mergeCell ref="Q377:Q402"/>
    <mergeCell ref="R377:R402"/>
    <mergeCell ref="S377:S402"/>
    <mergeCell ref="T377:T402"/>
    <mergeCell ref="U377:U402"/>
    <mergeCell ref="V377:V402"/>
    <mergeCell ref="W377:W402"/>
    <mergeCell ref="B383:B390"/>
    <mergeCell ref="B391:B394"/>
    <mergeCell ref="B395:B397"/>
    <mergeCell ref="B398:B401"/>
    <mergeCell ref="B402:C402"/>
    <mergeCell ref="A403:A431"/>
    <mergeCell ref="B403:B409"/>
    <mergeCell ref="L403:L431"/>
    <mergeCell ref="M403:M431"/>
    <mergeCell ref="N403:N431"/>
    <mergeCell ref="O403:O431"/>
    <mergeCell ref="P403:P431"/>
    <mergeCell ref="Q403:Q431"/>
    <mergeCell ref="R403:R431"/>
    <mergeCell ref="S403:S431"/>
    <mergeCell ref="T403:T431"/>
    <mergeCell ref="U403:U431"/>
    <mergeCell ref="V403:V431"/>
    <mergeCell ref="W403:W431"/>
    <mergeCell ref="B410:B419"/>
    <mergeCell ref="B420:B423"/>
    <mergeCell ref="B424:B426"/>
    <mergeCell ref="B427:B430"/>
    <mergeCell ref="B431:C431"/>
    <mergeCell ref="A432:C432"/>
    <mergeCell ref="A433:C4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8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A14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K2" activeCellId="0" sqref="K2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21" width="5.725"/>
    <col collapsed="false" customWidth="true" hidden="false" outlineLevel="0" max="2" min="2" style="21" width="6.63333333333333"/>
    <col collapsed="false" customWidth="true" hidden="false" outlineLevel="0" max="3" min="3" style="21" width="6.81666666666667"/>
    <col collapsed="false" customWidth="true" hidden="false" outlineLevel="0" max="7" min="4" style="21" width="7.81666666666667"/>
    <col collapsed="false" customWidth="true" hidden="false" outlineLevel="0" max="8" min="8" style="21" width="6.0"/>
    <col collapsed="false" customWidth="true" hidden="false" outlineLevel="0" max="9" min="9" style="21" width="7.81666666666667"/>
    <col collapsed="false" customWidth="true" hidden="false" outlineLevel="0" max="10" min="10" style="21" width="7.275"/>
    <col collapsed="false" customWidth="true" hidden="false" outlineLevel="0" max="12" min="11" style="21" width="9.0"/>
    <col collapsed="false" customWidth="true" hidden="false" outlineLevel="0" max="27" min="13" style="21" width="7.81666666666667"/>
    <col collapsed="false" customWidth="true" hidden="false" outlineLevel="0" max="16384" min="28" style="21" width="9.0"/>
  </cols>
  <sheetData>
    <row r="1" customFormat="false" ht="27" hidden="false" customHeight="true" outlineLevel="0" collapsed="false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="23" customFormat="true" ht="19.5" hidden="false" customHeight="true" outlineLevel="0" collapsed="false">
      <c r="A2" s="18" t="s">
        <v>31</v>
      </c>
      <c r="B2" s="18" t="s">
        <v>32</v>
      </c>
      <c r="C2" s="18" t="s">
        <v>33</v>
      </c>
      <c r="D2" s="18" t="s">
        <v>34</v>
      </c>
      <c r="E2" s="18" t="s">
        <v>35</v>
      </c>
      <c r="F2" s="18" t="s">
        <v>36</v>
      </c>
      <c r="G2" s="18" t="s">
        <v>37</v>
      </c>
      <c r="H2" s="18" t="s">
        <v>39</v>
      </c>
      <c r="I2" s="18" t="s">
        <v>38</v>
      </c>
      <c r="J2" s="18" t="s">
        <v>277</v>
      </c>
      <c r="K2" s="18" t="s">
        <v>40</v>
      </c>
      <c r="L2" s="18" t="s">
        <v>6</v>
      </c>
      <c r="M2" s="18" t="s">
        <v>31</v>
      </c>
      <c r="N2" s="18"/>
      <c r="O2" s="18" t="s">
        <v>4</v>
      </c>
      <c r="P2" s="18"/>
      <c r="Q2" s="18"/>
      <c r="R2" s="18"/>
      <c r="S2" s="18"/>
      <c r="T2" s="18"/>
      <c r="U2" s="18"/>
      <c r="V2" s="18"/>
      <c r="W2" s="18"/>
      <c r="X2" s="18"/>
      <c r="Y2" s="18" t="s">
        <v>3</v>
      </c>
      <c r="Z2" s="18" t="s">
        <v>5</v>
      </c>
      <c r="AA2" s="18" t="s">
        <v>6</v>
      </c>
    </row>
    <row r="3" s="23" customFormat="true" ht="19.5" hidden="false" customHeight="true" outlineLevel="0" collapsed="false">
      <c r="A3" s="18"/>
      <c r="B3" s="18"/>
      <c r="C3" s="18"/>
      <c r="D3" s="18"/>
      <c r="E3" s="18" t="s">
        <v>41</v>
      </c>
      <c r="F3" s="18" t="s">
        <v>41</v>
      </c>
      <c r="G3" s="18" t="s">
        <v>41</v>
      </c>
      <c r="H3" s="18"/>
      <c r="I3" s="18" t="s">
        <v>11</v>
      </c>
      <c r="J3" s="18"/>
      <c r="K3" s="18" t="s">
        <v>11</v>
      </c>
      <c r="L3" s="18"/>
      <c r="M3" s="18"/>
      <c r="N3" s="18" t="n">
        <v>10</v>
      </c>
      <c r="O3" s="18" t="n">
        <v>12</v>
      </c>
      <c r="P3" s="18" t="n">
        <v>14</v>
      </c>
      <c r="Q3" s="18" t="n">
        <v>16</v>
      </c>
      <c r="R3" s="18" t="n">
        <v>20</v>
      </c>
      <c r="S3" s="18" t="n">
        <v>24</v>
      </c>
      <c r="T3" s="18" t="n">
        <v>28</v>
      </c>
      <c r="U3" s="18" t="n">
        <v>30</v>
      </c>
      <c r="V3" s="18" t="n">
        <v>40</v>
      </c>
      <c r="W3" s="18" t="n">
        <v>50</v>
      </c>
      <c r="X3" s="18" t="s">
        <v>9</v>
      </c>
      <c r="Y3" s="18"/>
      <c r="Z3" s="18"/>
      <c r="AA3" s="18"/>
    </row>
    <row r="4" s="23" customFormat="true" ht="19.5" hidden="false" customHeight="true" outlineLevel="0" collapsed="false">
      <c r="A4" s="18" t="s">
        <v>278</v>
      </c>
      <c r="B4" s="24" t="s">
        <v>279</v>
      </c>
      <c r="C4" s="18" t="s">
        <v>280</v>
      </c>
      <c r="D4" s="18" t="s">
        <v>281</v>
      </c>
      <c r="E4" s="18" t="n">
        <v>1951</v>
      </c>
      <c r="F4" s="18" t="n">
        <v>1790</v>
      </c>
      <c r="G4" s="18" t="n">
        <v>20</v>
      </c>
      <c r="H4" s="18" t="n">
        <v>1</v>
      </c>
      <c r="I4" s="25" t="n">
        <f aca="false">(E4/1000)*(F4/1000)*(G4/1000)*7850*H4</f>
        <v>548.28953</v>
      </c>
      <c r="J4" s="18" t="n">
        <v>32</v>
      </c>
      <c r="K4" s="25" t="n">
        <f aca="false">I4*J4</f>
        <v>17545.26496</v>
      </c>
      <c r="L4" s="18"/>
      <c r="M4" s="18" t="str">
        <f aca="false">B4</f>
        <v>Z1边支点横隔板</v>
      </c>
      <c r="N4" s="18"/>
      <c r="O4" s="26" t="n">
        <f aca="false">SUMIF(G4:G22,$O$3,K4:K22)</f>
        <v>646.4</v>
      </c>
      <c r="P4" s="26" t="n">
        <f aca="false">SUMIF(G4:G22,$P$3,K4:K22)</f>
        <v>0</v>
      </c>
      <c r="Q4" s="26" t="n">
        <f aca="false">SUMIF(G4:G22,$Q$3,K4:K22)</f>
        <v>0</v>
      </c>
      <c r="R4" s="26" t="n">
        <f aca="false">SUMIF(G4:G22,$R$3,K4:K22)</f>
        <v>131616.82464</v>
      </c>
      <c r="S4" s="26" t="n">
        <f aca="false">SUMIF(G4:G22,$S$3,K4:K22)</f>
        <v>0</v>
      </c>
      <c r="T4" s="27"/>
      <c r="U4" s="26" t="n">
        <f aca="false">SUMIF(G4:G22,$U$3,K4:K22)</f>
        <v>2411.52</v>
      </c>
      <c r="V4" s="26" t="n">
        <f aca="false">SUMIF(G4:G22,$V$3,K4:K22)</f>
        <v>6430.72</v>
      </c>
      <c r="W4" s="27"/>
      <c r="X4" s="26" t="n">
        <f aca="false">SUM(O4:V23)</f>
        <v>141105.46464</v>
      </c>
      <c r="Y4" s="26" t="n">
        <v>141101.8</v>
      </c>
      <c r="Z4" s="26" t="n">
        <f aca="false">X4-Y4</f>
        <v>3.6646400000318</v>
      </c>
      <c r="AA4" s="18"/>
    </row>
    <row r="5" s="23" customFormat="true" ht="19.5" hidden="false" customHeight="true" outlineLevel="0" collapsed="false">
      <c r="A5" s="18"/>
      <c r="B5" s="18"/>
      <c r="C5" s="18" t="s">
        <v>282</v>
      </c>
      <c r="D5" s="18" t="s">
        <v>281</v>
      </c>
      <c r="E5" s="18" t="n">
        <v>2718</v>
      </c>
      <c r="F5" s="18" t="n">
        <v>2550</v>
      </c>
      <c r="G5" s="18" t="n">
        <v>20</v>
      </c>
      <c r="H5" s="18" t="n">
        <v>1</v>
      </c>
      <c r="I5" s="25" t="n">
        <v>1033.76</v>
      </c>
      <c r="J5" s="18" t="n">
        <v>32</v>
      </c>
      <c r="K5" s="25" t="n">
        <f aca="false">I5*J5</f>
        <v>33080.32</v>
      </c>
      <c r="L5" s="18"/>
      <c r="M5" s="18"/>
      <c r="N5" s="18"/>
      <c r="O5" s="18"/>
      <c r="P5" s="18"/>
      <c r="Q5" s="18"/>
      <c r="R5" s="18"/>
      <c r="S5" s="18"/>
      <c r="T5" s="28"/>
      <c r="U5" s="26"/>
      <c r="V5" s="26"/>
      <c r="W5" s="28"/>
      <c r="X5" s="26"/>
      <c r="Y5" s="26"/>
      <c r="Z5" s="26"/>
      <c r="AA5" s="26"/>
    </row>
    <row r="6" s="23" customFormat="true" ht="19.5" hidden="false" customHeight="true" outlineLevel="0" collapsed="false">
      <c r="A6" s="18"/>
      <c r="B6" s="18"/>
      <c r="C6" s="18" t="s">
        <v>283</v>
      </c>
      <c r="D6" s="18" t="s">
        <v>281</v>
      </c>
      <c r="E6" s="18" t="n">
        <v>2653</v>
      </c>
      <c r="F6" s="18" t="n">
        <v>470</v>
      </c>
      <c r="G6" s="18" t="n">
        <v>20</v>
      </c>
      <c r="H6" s="18" t="n">
        <v>1</v>
      </c>
      <c r="I6" s="25" t="n">
        <v>132.31</v>
      </c>
      <c r="J6" s="18" t="n">
        <v>32</v>
      </c>
      <c r="K6" s="25" t="n">
        <f aca="false">I6*J6</f>
        <v>4233.92</v>
      </c>
      <c r="L6" s="18"/>
      <c r="M6" s="18"/>
      <c r="N6" s="18"/>
      <c r="O6" s="18"/>
      <c r="P6" s="18"/>
      <c r="Q6" s="18"/>
      <c r="R6" s="18"/>
      <c r="S6" s="18"/>
      <c r="T6" s="28"/>
      <c r="U6" s="26"/>
      <c r="V6" s="26"/>
      <c r="W6" s="28"/>
      <c r="X6" s="26"/>
      <c r="Y6" s="26"/>
      <c r="Z6" s="26"/>
      <c r="AA6" s="26"/>
    </row>
    <row r="7" s="23" customFormat="true" ht="19.5" hidden="false" customHeight="true" outlineLevel="0" collapsed="false">
      <c r="A7" s="18"/>
      <c r="B7" s="18"/>
      <c r="C7" s="18" t="s">
        <v>284</v>
      </c>
      <c r="D7" s="18" t="s">
        <v>281</v>
      </c>
      <c r="E7" s="18" t="n">
        <v>2653</v>
      </c>
      <c r="F7" s="18" t="n">
        <v>440</v>
      </c>
      <c r="G7" s="18" t="n">
        <v>20</v>
      </c>
      <c r="H7" s="18" t="n">
        <v>1</v>
      </c>
      <c r="I7" s="25" t="n">
        <v>119.56</v>
      </c>
      <c r="J7" s="18" t="n">
        <v>32</v>
      </c>
      <c r="K7" s="25" t="n">
        <f aca="false">I7*J7</f>
        <v>3825.92</v>
      </c>
      <c r="L7" s="18"/>
      <c r="M7" s="18"/>
      <c r="N7" s="18"/>
      <c r="O7" s="18"/>
      <c r="P7" s="18"/>
      <c r="Q7" s="18"/>
      <c r="R7" s="18"/>
      <c r="S7" s="18"/>
      <c r="T7" s="28"/>
      <c r="U7" s="26"/>
      <c r="V7" s="26"/>
      <c r="W7" s="28"/>
      <c r="X7" s="26"/>
      <c r="Y7" s="26"/>
      <c r="Z7" s="26"/>
      <c r="AA7" s="26"/>
    </row>
    <row r="8" s="23" customFormat="true" ht="19.5" hidden="false" customHeight="true" outlineLevel="0" collapsed="false">
      <c r="A8" s="18"/>
      <c r="B8" s="18"/>
      <c r="C8" s="18" t="s">
        <v>285</v>
      </c>
      <c r="D8" s="18" t="s">
        <v>281</v>
      </c>
      <c r="E8" s="18" t="n">
        <v>2671</v>
      </c>
      <c r="F8" s="18" t="n">
        <v>470</v>
      </c>
      <c r="G8" s="18" t="n">
        <v>20</v>
      </c>
      <c r="H8" s="18" t="n">
        <v>1</v>
      </c>
      <c r="I8" s="25" t="n">
        <v>132.98</v>
      </c>
      <c r="J8" s="18" t="n">
        <v>32</v>
      </c>
      <c r="K8" s="25" t="n">
        <f aca="false">I8*J8</f>
        <v>4255.36</v>
      </c>
      <c r="L8" s="18"/>
      <c r="M8" s="18"/>
      <c r="N8" s="18"/>
      <c r="O8" s="18"/>
      <c r="P8" s="18"/>
      <c r="Q8" s="18"/>
      <c r="R8" s="18"/>
      <c r="S8" s="18"/>
      <c r="T8" s="28"/>
      <c r="U8" s="26"/>
      <c r="V8" s="26"/>
      <c r="W8" s="28"/>
      <c r="X8" s="26"/>
      <c r="Y8" s="26"/>
      <c r="Z8" s="26"/>
      <c r="AA8" s="26"/>
    </row>
    <row r="9" s="23" customFormat="true" ht="19.5" hidden="false" customHeight="true" outlineLevel="0" collapsed="false">
      <c r="A9" s="18"/>
      <c r="B9" s="18"/>
      <c r="C9" s="18" t="s">
        <v>286</v>
      </c>
      <c r="D9" s="18" t="s">
        <v>281</v>
      </c>
      <c r="E9" s="18" t="n">
        <v>2671</v>
      </c>
      <c r="F9" s="18" t="n">
        <v>440</v>
      </c>
      <c r="G9" s="18" t="n">
        <v>20</v>
      </c>
      <c r="H9" s="18" t="n">
        <v>1</v>
      </c>
      <c r="I9" s="25" t="n">
        <v>120.24</v>
      </c>
      <c r="J9" s="18" t="n">
        <v>32</v>
      </c>
      <c r="K9" s="25" t="n">
        <f aca="false">I9*J9</f>
        <v>3847.68</v>
      </c>
      <c r="L9" s="18"/>
      <c r="M9" s="18"/>
      <c r="N9" s="18"/>
      <c r="O9" s="18"/>
      <c r="P9" s="18"/>
      <c r="Q9" s="18"/>
      <c r="R9" s="18"/>
      <c r="S9" s="18"/>
      <c r="T9" s="28"/>
      <c r="U9" s="26"/>
      <c r="V9" s="26"/>
      <c r="W9" s="28"/>
      <c r="X9" s="26"/>
      <c r="Y9" s="26"/>
      <c r="Z9" s="26"/>
      <c r="AA9" s="26"/>
    </row>
    <row r="10" s="23" customFormat="true" ht="19.5" hidden="false" customHeight="true" outlineLevel="0" collapsed="false">
      <c r="A10" s="18"/>
      <c r="B10" s="18"/>
      <c r="C10" s="18" t="s">
        <v>287</v>
      </c>
      <c r="D10" s="18" t="s">
        <v>281</v>
      </c>
      <c r="E10" s="18" t="n">
        <v>2689</v>
      </c>
      <c r="F10" s="18" t="n">
        <v>470</v>
      </c>
      <c r="G10" s="18" t="n">
        <v>20</v>
      </c>
      <c r="H10" s="18" t="n">
        <v>1</v>
      </c>
      <c r="I10" s="25" t="n">
        <v>133.66</v>
      </c>
      <c r="J10" s="18" t="n">
        <v>32</v>
      </c>
      <c r="K10" s="25" t="n">
        <f aca="false">I10*J10</f>
        <v>4277.12</v>
      </c>
      <c r="L10" s="18"/>
      <c r="M10" s="18"/>
      <c r="N10" s="18"/>
      <c r="O10" s="18"/>
      <c r="P10" s="18"/>
      <c r="Q10" s="18"/>
      <c r="R10" s="18"/>
      <c r="S10" s="18"/>
      <c r="T10" s="28"/>
      <c r="U10" s="26"/>
      <c r="V10" s="26"/>
      <c r="W10" s="28"/>
      <c r="X10" s="26"/>
      <c r="Y10" s="26"/>
      <c r="Z10" s="26"/>
      <c r="AA10" s="26"/>
    </row>
    <row r="11" s="23" customFormat="true" ht="19.5" hidden="false" customHeight="true" outlineLevel="0" collapsed="false">
      <c r="A11" s="18"/>
      <c r="B11" s="18"/>
      <c r="C11" s="18" t="s">
        <v>288</v>
      </c>
      <c r="D11" s="18" t="s">
        <v>281</v>
      </c>
      <c r="E11" s="18" t="n">
        <v>2689</v>
      </c>
      <c r="F11" s="18" t="n">
        <v>440</v>
      </c>
      <c r="G11" s="18" t="n">
        <v>20</v>
      </c>
      <c r="H11" s="18" t="n">
        <v>1</v>
      </c>
      <c r="I11" s="25" t="n">
        <v>120.91</v>
      </c>
      <c r="J11" s="18" t="n">
        <v>32</v>
      </c>
      <c r="K11" s="25" t="n">
        <f aca="false">I11*J11</f>
        <v>3869.12</v>
      </c>
      <c r="L11" s="18"/>
      <c r="M11" s="18"/>
      <c r="N11" s="18"/>
      <c r="O11" s="18"/>
      <c r="P11" s="18"/>
      <c r="Q11" s="18"/>
      <c r="R11" s="18"/>
      <c r="S11" s="18"/>
      <c r="T11" s="28"/>
      <c r="U11" s="26"/>
      <c r="V11" s="26"/>
      <c r="W11" s="28"/>
      <c r="X11" s="26"/>
      <c r="Y11" s="26"/>
      <c r="Z11" s="26"/>
      <c r="AA11" s="26"/>
    </row>
    <row r="12" s="23" customFormat="true" ht="19.5" hidden="false" customHeight="true" outlineLevel="0" collapsed="false">
      <c r="A12" s="18"/>
      <c r="B12" s="18"/>
      <c r="C12" s="18" t="s">
        <v>289</v>
      </c>
      <c r="D12" s="18" t="s">
        <v>281</v>
      </c>
      <c r="E12" s="18" t="n">
        <v>2707</v>
      </c>
      <c r="F12" s="18" t="n">
        <v>470</v>
      </c>
      <c r="G12" s="18" t="n">
        <v>20</v>
      </c>
      <c r="H12" s="18" t="n">
        <v>1</v>
      </c>
      <c r="I12" s="25" t="n">
        <v>134.34</v>
      </c>
      <c r="J12" s="18" t="n">
        <v>32</v>
      </c>
      <c r="K12" s="25" t="n">
        <f aca="false">I12*J12</f>
        <v>4298.88</v>
      </c>
      <c r="L12" s="18"/>
      <c r="M12" s="18"/>
      <c r="N12" s="18"/>
      <c r="O12" s="18"/>
      <c r="P12" s="18"/>
      <c r="Q12" s="18"/>
      <c r="R12" s="18"/>
      <c r="S12" s="18"/>
      <c r="T12" s="28"/>
      <c r="U12" s="26"/>
      <c r="V12" s="26"/>
      <c r="W12" s="28"/>
      <c r="X12" s="26"/>
      <c r="Y12" s="26"/>
      <c r="Z12" s="26"/>
      <c r="AA12" s="26"/>
    </row>
    <row r="13" s="23" customFormat="true" ht="19.5" hidden="false" customHeight="true" outlineLevel="0" collapsed="false">
      <c r="A13" s="18"/>
      <c r="B13" s="18"/>
      <c r="C13" s="18" t="s">
        <v>290</v>
      </c>
      <c r="D13" s="18" t="s">
        <v>281</v>
      </c>
      <c r="E13" s="18" t="n">
        <v>2707</v>
      </c>
      <c r="F13" s="18" t="n">
        <v>440</v>
      </c>
      <c r="G13" s="18" t="n">
        <v>20</v>
      </c>
      <c r="H13" s="18" t="n">
        <v>1</v>
      </c>
      <c r="I13" s="25" t="n">
        <v>121.59</v>
      </c>
      <c r="J13" s="18" t="n">
        <v>32</v>
      </c>
      <c r="K13" s="25" t="n">
        <f aca="false">I13*J13</f>
        <v>3890.88</v>
      </c>
      <c r="L13" s="18"/>
      <c r="M13" s="18"/>
      <c r="N13" s="18"/>
      <c r="O13" s="18"/>
      <c r="P13" s="18"/>
      <c r="Q13" s="18"/>
      <c r="R13" s="18"/>
      <c r="S13" s="18"/>
      <c r="T13" s="28"/>
      <c r="U13" s="26"/>
      <c r="V13" s="26"/>
      <c r="W13" s="28"/>
      <c r="X13" s="26"/>
      <c r="Y13" s="26"/>
      <c r="Z13" s="26"/>
      <c r="AA13" s="26"/>
    </row>
    <row r="14" s="23" customFormat="true" ht="19.5" hidden="false" customHeight="true" outlineLevel="0" collapsed="false">
      <c r="A14" s="18"/>
      <c r="B14" s="18"/>
      <c r="C14" s="18" t="s">
        <v>291</v>
      </c>
      <c r="D14" s="18" t="s">
        <v>281</v>
      </c>
      <c r="E14" s="18" t="n">
        <v>1150</v>
      </c>
      <c r="F14" s="18" t="n">
        <v>470</v>
      </c>
      <c r="G14" s="18" t="n">
        <v>20</v>
      </c>
      <c r="H14" s="18" t="n">
        <v>1</v>
      </c>
      <c r="I14" s="25" t="n">
        <v>75.68</v>
      </c>
      <c r="J14" s="18" t="n">
        <v>32</v>
      </c>
      <c r="K14" s="25" t="n">
        <f aca="false">I14*J14</f>
        <v>2421.76</v>
      </c>
      <c r="L14" s="18"/>
      <c r="M14" s="18"/>
      <c r="N14" s="18"/>
      <c r="O14" s="18"/>
      <c r="P14" s="18"/>
      <c r="Q14" s="18"/>
      <c r="R14" s="18"/>
      <c r="S14" s="18"/>
      <c r="T14" s="28"/>
      <c r="U14" s="26"/>
      <c r="V14" s="26"/>
      <c r="W14" s="28"/>
      <c r="X14" s="26"/>
      <c r="Y14" s="26"/>
      <c r="Z14" s="26"/>
      <c r="AA14" s="26"/>
    </row>
    <row r="15" s="23" customFormat="true" ht="19.5" hidden="false" customHeight="true" outlineLevel="0" collapsed="false">
      <c r="A15" s="18"/>
      <c r="B15" s="18"/>
      <c r="C15" s="18" t="s">
        <v>292</v>
      </c>
      <c r="D15" s="18" t="s">
        <v>281</v>
      </c>
      <c r="E15" s="18" t="n">
        <v>1150</v>
      </c>
      <c r="F15" s="18" t="n">
        <v>440</v>
      </c>
      <c r="G15" s="18" t="n">
        <v>20</v>
      </c>
      <c r="H15" s="18" t="n">
        <v>1</v>
      </c>
      <c r="I15" s="25" t="n">
        <v>62.32</v>
      </c>
      <c r="J15" s="18" t="n">
        <v>32</v>
      </c>
      <c r="K15" s="25" t="n">
        <f aca="false">I15*J15</f>
        <v>1994.24</v>
      </c>
      <c r="L15" s="18"/>
      <c r="M15" s="18"/>
      <c r="N15" s="18"/>
      <c r="O15" s="18"/>
      <c r="P15" s="18"/>
      <c r="Q15" s="18"/>
      <c r="R15" s="18"/>
      <c r="S15" s="18"/>
      <c r="T15" s="28"/>
      <c r="U15" s="26"/>
      <c r="V15" s="26"/>
      <c r="W15" s="28"/>
      <c r="X15" s="26"/>
      <c r="Y15" s="26"/>
      <c r="Z15" s="26"/>
      <c r="AA15" s="26"/>
    </row>
    <row r="16" s="23" customFormat="true" ht="19.5" hidden="false" customHeight="true" outlineLevel="0" collapsed="false">
      <c r="A16" s="18"/>
      <c r="B16" s="18"/>
      <c r="C16" s="18" t="s">
        <v>293</v>
      </c>
      <c r="D16" s="18" t="s">
        <v>281</v>
      </c>
      <c r="E16" s="18" t="n">
        <v>776</v>
      </c>
      <c r="F16" s="18" t="n">
        <v>160</v>
      </c>
      <c r="G16" s="18" t="n">
        <v>20</v>
      </c>
      <c r="H16" s="18" t="n">
        <v>2</v>
      </c>
      <c r="I16" s="25" t="n">
        <f aca="false">(E16/1000)*(F16/1000)*(G16/1000)*7850*H16</f>
        <v>38.98624</v>
      </c>
      <c r="J16" s="18" t="n">
        <v>32</v>
      </c>
      <c r="K16" s="25" t="n">
        <f aca="false">I16*J16</f>
        <v>1247.55968</v>
      </c>
      <c r="L16" s="18"/>
      <c r="M16" s="18"/>
      <c r="N16" s="18"/>
      <c r="O16" s="18"/>
      <c r="P16" s="18"/>
      <c r="Q16" s="18"/>
      <c r="R16" s="18"/>
      <c r="S16" s="18"/>
      <c r="T16" s="28"/>
      <c r="U16" s="26"/>
      <c r="V16" s="26"/>
      <c r="W16" s="28"/>
      <c r="X16" s="26"/>
      <c r="Y16" s="26"/>
      <c r="Z16" s="26"/>
      <c r="AA16" s="26"/>
    </row>
    <row r="17" s="23" customFormat="true" ht="19.5" hidden="false" customHeight="true" outlineLevel="0" collapsed="false">
      <c r="A17" s="18"/>
      <c r="B17" s="18"/>
      <c r="C17" s="18" t="s">
        <v>294</v>
      </c>
      <c r="D17" s="18" t="s">
        <v>281</v>
      </c>
      <c r="E17" s="18" t="n">
        <v>500</v>
      </c>
      <c r="F17" s="18" t="n">
        <v>240</v>
      </c>
      <c r="G17" s="18" t="n">
        <v>20</v>
      </c>
      <c r="H17" s="18" t="n">
        <v>2</v>
      </c>
      <c r="I17" s="25" t="n">
        <v>33.7</v>
      </c>
      <c r="J17" s="18" t="n">
        <v>32</v>
      </c>
      <c r="K17" s="25" t="n">
        <f aca="false">I17*J17</f>
        <v>1078.4</v>
      </c>
      <c r="L17" s="18"/>
      <c r="M17" s="18"/>
      <c r="N17" s="18"/>
      <c r="O17" s="18"/>
      <c r="P17" s="18"/>
      <c r="Q17" s="18"/>
      <c r="R17" s="18"/>
      <c r="S17" s="18"/>
      <c r="T17" s="28"/>
      <c r="U17" s="26"/>
      <c r="V17" s="26"/>
      <c r="W17" s="28"/>
      <c r="X17" s="26"/>
      <c r="Y17" s="26"/>
      <c r="Z17" s="26"/>
      <c r="AA17" s="26"/>
    </row>
    <row r="18" s="23" customFormat="true" ht="19.5" hidden="true" customHeight="true" outlineLevel="0" collapsed="false">
      <c r="A18" s="18"/>
      <c r="B18" s="18"/>
      <c r="C18" s="18" t="s">
        <v>295</v>
      </c>
      <c r="D18" s="18" t="s">
        <v>281</v>
      </c>
      <c r="E18" s="18" t="n">
        <v>400</v>
      </c>
      <c r="F18" s="18" t="n">
        <v>400</v>
      </c>
      <c r="G18" s="18" t="n">
        <v>30</v>
      </c>
      <c r="H18" s="18" t="n">
        <v>2</v>
      </c>
      <c r="I18" s="25" t="n">
        <f aca="false">(E18/1000)*(F18/1000)*(G18/1000)*7850*H18</f>
        <v>75.36</v>
      </c>
      <c r="J18" s="18" t="n">
        <v>32</v>
      </c>
      <c r="K18" s="25" t="n">
        <f aca="false">I18*J18</f>
        <v>2411.52</v>
      </c>
      <c r="L18" s="18"/>
      <c r="M18" s="18"/>
      <c r="N18" s="18"/>
      <c r="O18" s="18"/>
      <c r="P18" s="18"/>
      <c r="Q18" s="18"/>
      <c r="R18" s="18"/>
      <c r="S18" s="18"/>
      <c r="T18" s="28"/>
      <c r="U18" s="26"/>
      <c r="V18" s="26"/>
      <c r="W18" s="28"/>
      <c r="X18" s="26"/>
      <c r="Y18" s="26"/>
      <c r="Z18" s="26"/>
      <c r="AA18" s="26"/>
    </row>
    <row r="19" s="23" customFormat="true" ht="19.5" hidden="true" customHeight="true" outlineLevel="0" collapsed="false">
      <c r="A19" s="18"/>
      <c r="B19" s="18"/>
      <c r="C19" s="18" t="s">
        <v>296</v>
      </c>
      <c r="D19" s="18" t="s">
        <v>281</v>
      </c>
      <c r="E19" s="18" t="n">
        <v>800</v>
      </c>
      <c r="F19" s="18" t="n">
        <v>800</v>
      </c>
      <c r="G19" s="18" t="n">
        <v>40</v>
      </c>
      <c r="H19" s="18" t="n">
        <v>1</v>
      </c>
      <c r="I19" s="25" t="n">
        <f aca="false">(E19/1000)*(F19/1000)*(G19/1000)*7850*H19</f>
        <v>200.96</v>
      </c>
      <c r="J19" s="18" t="n">
        <v>32</v>
      </c>
      <c r="K19" s="25" t="n">
        <f aca="false">I19*J19</f>
        <v>6430.72</v>
      </c>
      <c r="L19" s="18"/>
      <c r="M19" s="18"/>
      <c r="N19" s="18"/>
      <c r="O19" s="18"/>
      <c r="P19" s="18"/>
      <c r="Q19" s="18"/>
      <c r="R19" s="18"/>
      <c r="S19" s="18"/>
      <c r="T19" s="28"/>
      <c r="U19" s="26"/>
      <c r="V19" s="26"/>
      <c r="W19" s="28"/>
      <c r="X19" s="26"/>
      <c r="Y19" s="26"/>
      <c r="Z19" s="26"/>
      <c r="AA19" s="26"/>
    </row>
    <row r="20" s="23" customFormat="true" ht="19.5" hidden="true" customHeight="true" outlineLevel="0" collapsed="false">
      <c r="A20" s="18"/>
      <c r="B20" s="18"/>
      <c r="C20" s="18" t="s">
        <v>297</v>
      </c>
      <c r="D20" s="18" t="s">
        <v>281</v>
      </c>
      <c r="E20" s="18" t="n">
        <v>840</v>
      </c>
      <c r="F20" s="18" t="n">
        <v>540</v>
      </c>
      <c r="G20" s="18" t="n">
        <v>12</v>
      </c>
      <c r="H20" s="29" t="n">
        <v>2</v>
      </c>
      <c r="I20" s="25" t="n">
        <v>20.2</v>
      </c>
      <c r="J20" s="18" t="n">
        <v>32</v>
      </c>
      <c r="K20" s="25" t="n">
        <f aca="false">I20*J20</f>
        <v>646.4</v>
      </c>
      <c r="L20" s="18" t="s">
        <v>298</v>
      </c>
      <c r="M20" s="18"/>
      <c r="N20" s="18"/>
      <c r="O20" s="18"/>
      <c r="P20" s="18"/>
      <c r="Q20" s="18"/>
      <c r="R20" s="18"/>
      <c r="S20" s="18"/>
      <c r="T20" s="28"/>
      <c r="U20" s="26"/>
      <c r="V20" s="26"/>
      <c r="W20" s="28"/>
      <c r="X20" s="26"/>
      <c r="Y20" s="26"/>
      <c r="Z20" s="26"/>
      <c r="AA20" s="26"/>
    </row>
    <row r="21" s="23" customFormat="true" ht="19.5" hidden="false" customHeight="true" outlineLevel="0" collapsed="false">
      <c r="A21" s="18"/>
      <c r="B21" s="18"/>
      <c r="C21" s="18" t="s">
        <v>299</v>
      </c>
      <c r="D21" s="18" t="s">
        <v>281</v>
      </c>
      <c r="E21" s="18" t="n">
        <v>2718</v>
      </c>
      <c r="F21" s="18" t="n">
        <v>2550</v>
      </c>
      <c r="G21" s="18" t="n">
        <v>20</v>
      </c>
      <c r="H21" s="18" t="n">
        <v>1</v>
      </c>
      <c r="I21" s="25" t="n">
        <v>1033.8</v>
      </c>
      <c r="J21" s="18" t="n">
        <v>32</v>
      </c>
      <c r="K21" s="25" t="n">
        <f aca="false">I21*J21</f>
        <v>33081.6</v>
      </c>
      <c r="L21" s="18"/>
      <c r="M21" s="18"/>
      <c r="N21" s="18"/>
      <c r="O21" s="18"/>
      <c r="P21" s="18"/>
      <c r="Q21" s="18"/>
      <c r="R21" s="18"/>
      <c r="S21" s="18"/>
      <c r="T21" s="28"/>
      <c r="U21" s="26"/>
      <c r="V21" s="26"/>
      <c r="W21" s="28"/>
      <c r="X21" s="26"/>
      <c r="Y21" s="26"/>
      <c r="Z21" s="26"/>
      <c r="AA21" s="26"/>
    </row>
    <row r="22" s="23" customFormat="true" ht="19.5" hidden="false" customHeight="true" outlineLevel="0" collapsed="false">
      <c r="A22" s="18"/>
      <c r="B22" s="18"/>
      <c r="C22" s="18" t="s">
        <v>300</v>
      </c>
      <c r="D22" s="18" t="s">
        <v>281</v>
      </c>
      <c r="E22" s="18" t="n">
        <v>740</v>
      </c>
      <c r="F22" s="18" t="n">
        <v>785</v>
      </c>
      <c r="G22" s="18" t="n">
        <v>20</v>
      </c>
      <c r="H22" s="18" t="n">
        <v>1</v>
      </c>
      <c r="I22" s="25" t="n">
        <v>270.9</v>
      </c>
      <c r="J22" s="18" t="n">
        <v>32</v>
      </c>
      <c r="K22" s="25" t="n">
        <f aca="false">I22*J22</f>
        <v>8668.8</v>
      </c>
      <c r="L22" s="18"/>
      <c r="M22" s="18"/>
      <c r="N22" s="18"/>
      <c r="O22" s="18"/>
      <c r="P22" s="18"/>
      <c r="Q22" s="18"/>
      <c r="R22" s="18"/>
      <c r="S22" s="18"/>
      <c r="T22" s="28"/>
      <c r="U22" s="26"/>
      <c r="V22" s="26"/>
      <c r="W22" s="28"/>
      <c r="X22" s="26"/>
      <c r="Y22" s="26"/>
      <c r="Z22" s="26"/>
      <c r="AA22" s="26"/>
    </row>
    <row r="23" s="23" customFormat="true" ht="19.5" hidden="true" customHeight="true" outlineLevel="0" collapsed="false">
      <c r="A23" s="18"/>
      <c r="B23" s="18" t="s">
        <v>78</v>
      </c>
      <c r="C23" s="18"/>
      <c r="D23" s="18"/>
      <c r="E23" s="18"/>
      <c r="F23" s="18"/>
      <c r="G23" s="18"/>
      <c r="H23" s="18"/>
      <c r="I23" s="30"/>
      <c r="J23" s="18"/>
      <c r="K23" s="25" t="n">
        <f aca="false">SUM(K4:K22)</f>
        <v>141105.46464</v>
      </c>
      <c r="L23" s="18"/>
      <c r="M23" s="18"/>
      <c r="N23" s="18"/>
      <c r="O23" s="18"/>
      <c r="P23" s="18"/>
      <c r="Q23" s="18"/>
      <c r="R23" s="18"/>
      <c r="S23" s="18"/>
      <c r="T23" s="31"/>
      <c r="U23" s="26"/>
      <c r="V23" s="26"/>
      <c r="W23" s="31"/>
      <c r="X23" s="26"/>
      <c r="Y23" s="26"/>
      <c r="Z23" s="26"/>
      <c r="AA23" s="26"/>
    </row>
    <row r="24" s="23" customFormat="true" ht="19.5" hidden="false" customHeight="true" outlineLevel="0" collapsed="false">
      <c r="A24" s="18" t="s">
        <v>278</v>
      </c>
      <c r="B24" s="24" t="s">
        <v>301</v>
      </c>
      <c r="C24" s="18" t="s">
        <v>302</v>
      </c>
      <c r="D24" s="18" t="s">
        <v>281</v>
      </c>
      <c r="E24" s="18" t="n">
        <v>1109</v>
      </c>
      <c r="F24" s="18" t="n">
        <v>575</v>
      </c>
      <c r="G24" s="18" t="n">
        <v>20</v>
      </c>
      <c r="H24" s="18" t="n">
        <v>1</v>
      </c>
      <c r="I24" s="25" t="n">
        <v>65.3</v>
      </c>
      <c r="J24" s="18" t="n">
        <v>4</v>
      </c>
      <c r="K24" s="25" t="n">
        <f aca="false">I24*J24</f>
        <v>261.2</v>
      </c>
      <c r="L24" s="18"/>
      <c r="M24" s="32" t="str">
        <f aca="false">B24</f>
        <v>T1上层挑梁</v>
      </c>
      <c r="N24" s="33" t="n">
        <f aca="false">K26</f>
        <v>109.2</v>
      </c>
      <c r="O24" s="32"/>
      <c r="P24" s="32"/>
      <c r="Q24" s="32" t="n">
        <f aca="false">K27+K28</f>
        <v>234</v>
      </c>
      <c r="R24" s="32" t="n">
        <f aca="false">K24+K25</f>
        <v>1188.4</v>
      </c>
      <c r="S24" s="32"/>
      <c r="T24" s="34"/>
      <c r="U24" s="32"/>
      <c r="V24" s="32"/>
      <c r="W24" s="34"/>
      <c r="X24" s="32" t="n">
        <f aca="false">SUM(N24:V24)</f>
        <v>1531.6</v>
      </c>
      <c r="Y24" s="32" t="n">
        <v>1532.1</v>
      </c>
      <c r="Z24" s="31" t="n">
        <f aca="false">X24-Y24</f>
        <v>-0.499999999999773</v>
      </c>
      <c r="AA24" s="32"/>
    </row>
    <row r="25" s="23" customFormat="true" ht="19.5" hidden="false" customHeight="true" outlineLevel="0" collapsed="false">
      <c r="A25" s="18"/>
      <c r="B25" s="18"/>
      <c r="C25" s="18" t="s">
        <v>303</v>
      </c>
      <c r="D25" s="18" t="s">
        <v>281</v>
      </c>
      <c r="E25" s="18" t="n">
        <v>1790</v>
      </c>
      <c r="F25" s="18" t="n">
        <v>825</v>
      </c>
      <c r="G25" s="18" t="n">
        <v>20</v>
      </c>
      <c r="H25" s="18" t="n">
        <v>1</v>
      </c>
      <c r="I25" s="25" t="n">
        <v>231.8</v>
      </c>
      <c r="J25" s="18" t="n">
        <v>4</v>
      </c>
      <c r="K25" s="25" t="n">
        <f aca="false">I25*J25</f>
        <v>927.2</v>
      </c>
      <c r="L25" s="18"/>
      <c r="M25" s="32"/>
      <c r="N25" s="32"/>
      <c r="O25" s="32"/>
      <c r="P25" s="32"/>
      <c r="Q25" s="32"/>
      <c r="R25" s="32"/>
      <c r="S25" s="32"/>
      <c r="T25" s="34"/>
      <c r="U25" s="32"/>
      <c r="V25" s="32"/>
      <c r="W25" s="34"/>
      <c r="X25" s="32"/>
      <c r="Y25" s="32"/>
      <c r="Z25" s="32"/>
      <c r="AA25" s="32"/>
    </row>
    <row r="26" s="23" customFormat="true" ht="19.5" hidden="true" customHeight="true" outlineLevel="0" collapsed="false">
      <c r="A26" s="18"/>
      <c r="B26" s="18"/>
      <c r="C26" s="18" t="s">
        <v>304</v>
      </c>
      <c r="D26" s="18" t="s">
        <v>281</v>
      </c>
      <c r="E26" s="18" t="n">
        <v>1161</v>
      </c>
      <c r="F26" s="18" t="n">
        <v>300</v>
      </c>
      <c r="G26" s="18" t="n">
        <v>10</v>
      </c>
      <c r="H26" s="18" t="n">
        <v>1</v>
      </c>
      <c r="I26" s="25" t="n">
        <v>27.3</v>
      </c>
      <c r="J26" s="18" t="n">
        <v>4</v>
      </c>
      <c r="K26" s="25" t="n">
        <f aca="false">I26*J26</f>
        <v>109.2</v>
      </c>
      <c r="L26" s="18"/>
      <c r="M26" s="32"/>
      <c r="N26" s="32"/>
      <c r="O26" s="32"/>
      <c r="P26" s="32"/>
      <c r="Q26" s="32"/>
      <c r="R26" s="32"/>
      <c r="S26" s="32"/>
      <c r="T26" s="34"/>
      <c r="U26" s="32"/>
      <c r="V26" s="32"/>
      <c r="W26" s="34"/>
      <c r="X26" s="32"/>
      <c r="Y26" s="32"/>
      <c r="Z26" s="32"/>
      <c r="AA26" s="32"/>
    </row>
    <row r="27" s="23" customFormat="true" ht="19.5" hidden="true" customHeight="true" outlineLevel="0" collapsed="false">
      <c r="A27" s="18"/>
      <c r="B27" s="18"/>
      <c r="C27" s="18" t="s">
        <v>305</v>
      </c>
      <c r="D27" s="18" t="s">
        <v>281</v>
      </c>
      <c r="E27" s="18" t="n">
        <v>1234</v>
      </c>
      <c r="F27" s="18" t="n">
        <v>160</v>
      </c>
      <c r="G27" s="18" t="n">
        <v>16</v>
      </c>
      <c r="H27" s="18" t="n">
        <v>2</v>
      </c>
      <c r="I27" s="25" t="n">
        <v>49.6</v>
      </c>
      <c r="J27" s="18" t="n">
        <v>4</v>
      </c>
      <c r="K27" s="25" t="n">
        <f aca="false">I27*J27</f>
        <v>198.4</v>
      </c>
      <c r="L27" s="18"/>
      <c r="M27" s="32"/>
      <c r="N27" s="32"/>
      <c r="O27" s="32"/>
      <c r="P27" s="32"/>
      <c r="Q27" s="32"/>
      <c r="R27" s="32"/>
      <c r="S27" s="32"/>
      <c r="T27" s="34"/>
      <c r="U27" s="32"/>
      <c r="V27" s="32"/>
      <c r="W27" s="34"/>
      <c r="X27" s="32"/>
      <c r="Y27" s="32"/>
      <c r="Z27" s="32"/>
      <c r="AA27" s="32"/>
    </row>
    <row r="28" s="23" customFormat="true" ht="19.5" hidden="true" customHeight="true" outlineLevel="0" collapsed="false">
      <c r="A28" s="18"/>
      <c r="B28" s="18"/>
      <c r="C28" s="18" t="s">
        <v>306</v>
      </c>
      <c r="D28" s="18" t="s">
        <v>281</v>
      </c>
      <c r="E28" s="18" t="n">
        <v>444</v>
      </c>
      <c r="F28" s="18" t="n">
        <v>160</v>
      </c>
      <c r="G28" s="18" t="n">
        <v>16</v>
      </c>
      <c r="H28" s="29" t="n">
        <v>1</v>
      </c>
      <c r="I28" s="25" t="n">
        <v>8.9</v>
      </c>
      <c r="J28" s="18" t="n">
        <v>4</v>
      </c>
      <c r="K28" s="25" t="n">
        <f aca="false">I28*J28</f>
        <v>35.6</v>
      </c>
      <c r="L28" s="18" t="s">
        <v>298</v>
      </c>
      <c r="M28" s="32"/>
      <c r="N28" s="32"/>
      <c r="O28" s="32"/>
      <c r="P28" s="32"/>
      <c r="Q28" s="32"/>
      <c r="R28" s="32"/>
      <c r="S28" s="32"/>
      <c r="T28" s="34"/>
      <c r="U28" s="32"/>
      <c r="V28" s="32"/>
      <c r="W28" s="34"/>
      <c r="X28" s="32"/>
      <c r="Y28" s="32"/>
      <c r="Z28" s="32"/>
      <c r="AA28" s="32"/>
    </row>
    <row r="29" s="23" customFormat="true" ht="19.5" hidden="true" customHeight="true" outlineLevel="0" collapsed="false">
      <c r="A29" s="18"/>
      <c r="B29" s="18" t="s">
        <v>78</v>
      </c>
      <c r="C29" s="18"/>
      <c r="D29" s="18"/>
      <c r="E29" s="18"/>
      <c r="F29" s="18"/>
      <c r="G29" s="18"/>
      <c r="H29" s="18"/>
      <c r="I29" s="30"/>
      <c r="J29" s="18"/>
      <c r="K29" s="25" t="n">
        <f aca="false">SUM(K24:K28)</f>
        <v>1531.6</v>
      </c>
      <c r="L29" s="18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="23" customFormat="true" ht="19.5" hidden="false" customHeight="true" outlineLevel="0" collapsed="false">
      <c r="A30" s="18" t="s">
        <v>278</v>
      </c>
      <c r="B30" s="24" t="s">
        <v>307</v>
      </c>
      <c r="C30" s="18" t="s">
        <v>280</v>
      </c>
      <c r="D30" s="18" t="s">
        <v>281</v>
      </c>
      <c r="E30" s="18" t="n">
        <v>1109</v>
      </c>
      <c r="F30" s="18" t="n">
        <v>575</v>
      </c>
      <c r="G30" s="18" t="n">
        <v>20</v>
      </c>
      <c r="H30" s="18" t="n">
        <v>1</v>
      </c>
      <c r="I30" s="25" t="n">
        <v>59.4</v>
      </c>
      <c r="J30" s="18" t="n">
        <v>4</v>
      </c>
      <c r="K30" s="25" t="n">
        <f aca="false">I30*J30</f>
        <v>237.6</v>
      </c>
      <c r="L30" s="18"/>
      <c r="M30" s="32" t="str">
        <f aca="false">B30</f>
        <v>T2上层挑梁</v>
      </c>
      <c r="N30" s="33" t="n">
        <f aca="false">K32</f>
        <v>100.8</v>
      </c>
      <c r="O30" s="32"/>
      <c r="P30" s="32"/>
      <c r="Q30" s="32" t="n">
        <f aca="false">K33+K34</f>
        <v>234</v>
      </c>
      <c r="R30" s="32" t="n">
        <f aca="false">K30+K31</f>
        <v>1052.4</v>
      </c>
      <c r="S30" s="32"/>
      <c r="T30" s="34"/>
      <c r="U30" s="32"/>
      <c r="V30" s="32"/>
      <c r="W30" s="34"/>
      <c r="X30" s="32" t="n">
        <f aca="false">SUM(N30:V30)</f>
        <v>1387.2</v>
      </c>
      <c r="Y30" s="32" t="n">
        <v>1387.5</v>
      </c>
      <c r="Z30" s="31" t="n">
        <f aca="false">X30-Y30</f>
        <v>-0.300000000000182</v>
      </c>
      <c r="AA30" s="32"/>
    </row>
    <row r="31" s="23" customFormat="true" ht="19.5" hidden="false" customHeight="true" outlineLevel="0" collapsed="false">
      <c r="A31" s="18"/>
      <c r="B31" s="18"/>
      <c r="C31" s="18" t="s">
        <v>282</v>
      </c>
      <c r="D31" s="18" t="s">
        <v>281</v>
      </c>
      <c r="E31" s="18" t="n">
        <v>1790</v>
      </c>
      <c r="F31" s="18" t="n">
        <v>725</v>
      </c>
      <c r="G31" s="18" t="n">
        <v>20</v>
      </c>
      <c r="H31" s="18" t="n">
        <v>1</v>
      </c>
      <c r="I31" s="25" t="n">
        <v>203.7</v>
      </c>
      <c r="J31" s="18" t="n">
        <v>4</v>
      </c>
      <c r="K31" s="25" t="n">
        <f aca="false">I31*J31</f>
        <v>814.8</v>
      </c>
      <c r="L31" s="18"/>
      <c r="M31" s="32"/>
      <c r="N31" s="32"/>
      <c r="O31" s="32"/>
      <c r="P31" s="32"/>
      <c r="Q31" s="32"/>
      <c r="R31" s="32"/>
      <c r="S31" s="32"/>
      <c r="T31" s="34"/>
      <c r="U31" s="32"/>
      <c r="V31" s="32"/>
      <c r="W31" s="34"/>
      <c r="X31" s="32"/>
      <c r="Y31" s="32"/>
      <c r="Z31" s="32"/>
      <c r="AA31" s="32"/>
    </row>
    <row r="32" s="23" customFormat="true" ht="19.5" hidden="true" customHeight="true" outlineLevel="0" collapsed="false">
      <c r="A32" s="18"/>
      <c r="B32" s="18"/>
      <c r="C32" s="18" t="s">
        <v>283</v>
      </c>
      <c r="D32" s="18" t="s">
        <v>281</v>
      </c>
      <c r="E32" s="18" t="n">
        <v>1071</v>
      </c>
      <c r="F32" s="18" t="n">
        <v>300</v>
      </c>
      <c r="G32" s="18" t="n">
        <v>10</v>
      </c>
      <c r="H32" s="18" t="n">
        <v>1</v>
      </c>
      <c r="I32" s="25" t="n">
        <v>25.2</v>
      </c>
      <c r="J32" s="18" t="n">
        <v>4</v>
      </c>
      <c r="K32" s="25" t="n">
        <f aca="false">I32*J32</f>
        <v>100.8</v>
      </c>
      <c r="L32" s="18"/>
      <c r="M32" s="32"/>
      <c r="N32" s="32"/>
      <c r="O32" s="32"/>
      <c r="P32" s="32"/>
      <c r="Q32" s="32"/>
      <c r="R32" s="32"/>
      <c r="S32" s="32"/>
      <c r="T32" s="34"/>
      <c r="U32" s="32"/>
      <c r="V32" s="32"/>
      <c r="W32" s="34"/>
      <c r="X32" s="32"/>
      <c r="Y32" s="32"/>
      <c r="Z32" s="32"/>
      <c r="AA32" s="32"/>
    </row>
    <row r="33" s="23" customFormat="true" ht="19.5" hidden="true" customHeight="true" outlineLevel="0" collapsed="false">
      <c r="A33" s="18"/>
      <c r="B33" s="18"/>
      <c r="C33" s="18" t="s">
        <v>293</v>
      </c>
      <c r="D33" s="18" t="s">
        <v>281</v>
      </c>
      <c r="E33" s="18" t="n">
        <v>1234</v>
      </c>
      <c r="F33" s="18" t="n">
        <v>160</v>
      </c>
      <c r="G33" s="18" t="n">
        <v>16</v>
      </c>
      <c r="H33" s="18" t="n">
        <v>2</v>
      </c>
      <c r="I33" s="25" t="n">
        <v>49.6</v>
      </c>
      <c r="J33" s="18" t="n">
        <v>4</v>
      </c>
      <c r="K33" s="25" t="n">
        <f aca="false">I33*J33</f>
        <v>198.4</v>
      </c>
      <c r="L33" s="18"/>
      <c r="M33" s="32"/>
      <c r="N33" s="32"/>
      <c r="O33" s="32"/>
      <c r="P33" s="32"/>
      <c r="Q33" s="32"/>
      <c r="R33" s="32"/>
      <c r="S33" s="32"/>
      <c r="T33" s="34"/>
      <c r="U33" s="32"/>
      <c r="V33" s="32"/>
      <c r="W33" s="34"/>
      <c r="X33" s="32"/>
      <c r="Y33" s="32"/>
      <c r="Z33" s="32"/>
      <c r="AA33" s="32"/>
    </row>
    <row r="34" s="23" customFormat="true" ht="19.5" hidden="true" customHeight="true" outlineLevel="0" collapsed="false">
      <c r="A34" s="18"/>
      <c r="B34" s="18"/>
      <c r="C34" s="18" t="s">
        <v>308</v>
      </c>
      <c r="D34" s="18" t="s">
        <v>281</v>
      </c>
      <c r="E34" s="18" t="n">
        <v>444</v>
      </c>
      <c r="F34" s="18" t="n">
        <v>160</v>
      </c>
      <c r="G34" s="18" t="n">
        <v>16</v>
      </c>
      <c r="H34" s="29" t="n">
        <v>1</v>
      </c>
      <c r="I34" s="25" t="n">
        <v>8.9</v>
      </c>
      <c r="J34" s="18" t="n">
        <v>4</v>
      </c>
      <c r="K34" s="25" t="n">
        <f aca="false">I34*J34</f>
        <v>35.6</v>
      </c>
      <c r="L34" s="18" t="s">
        <v>298</v>
      </c>
      <c r="M34" s="32"/>
      <c r="N34" s="32"/>
      <c r="O34" s="32"/>
      <c r="P34" s="32"/>
      <c r="Q34" s="32"/>
      <c r="R34" s="32"/>
      <c r="S34" s="32"/>
      <c r="T34" s="34"/>
      <c r="U34" s="32"/>
      <c r="V34" s="32"/>
      <c r="W34" s="34"/>
      <c r="X34" s="32"/>
      <c r="Y34" s="32"/>
      <c r="Z34" s="32"/>
      <c r="AA34" s="32"/>
    </row>
    <row r="35" s="23" customFormat="true" ht="19.5" hidden="true" customHeight="true" outlineLevel="0" collapsed="false">
      <c r="A35" s="18"/>
      <c r="B35" s="18" t="s">
        <v>78</v>
      </c>
      <c r="C35" s="18"/>
      <c r="D35" s="18"/>
      <c r="E35" s="18"/>
      <c r="F35" s="18"/>
      <c r="G35" s="18"/>
      <c r="H35" s="18"/>
      <c r="I35" s="30"/>
      <c r="J35" s="18"/>
      <c r="K35" s="25" t="n">
        <f aca="false">SUM(K30:K34)</f>
        <v>1387.2</v>
      </c>
      <c r="L35" s="18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="23" customFormat="true" ht="19.5" hidden="false" customHeight="true" outlineLevel="0" collapsed="false">
      <c r="A36" s="18" t="s">
        <v>278</v>
      </c>
      <c r="B36" s="24" t="s">
        <v>309</v>
      </c>
      <c r="C36" s="18" t="s">
        <v>310</v>
      </c>
      <c r="D36" s="18" t="s">
        <v>281</v>
      </c>
      <c r="E36" s="18" t="n">
        <v>634</v>
      </c>
      <c r="F36" s="18" t="n">
        <v>575</v>
      </c>
      <c r="G36" s="18" t="n">
        <v>20</v>
      </c>
      <c r="H36" s="18" t="n">
        <v>1</v>
      </c>
      <c r="I36" s="25" t="n">
        <v>37.2</v>
      </c>
      <c r="J36" s="18" t="n">
        <v>8</v>
      </c>
      <c r="K36" s="25" t="n">
        <f aca="false">I36*J36</f>
        <v>297.6</v>
      </c>
      <c r="L36" s="18"/>
      <c r="M36" s="32" t="str">
        <f aca="false">B36</f>
        <v>T3下层挑梁</v>
      </c>
      <c r="N36" s="33" t="n">
        <f aca="false">K38</f>
        <v>139.2</v>
      </c>
      <c r="O36" s="32"/>
      <c r="P36" s="32"/>
      <c r="Q36" s="32" t="n">
        <f aca="false">K39+K40</f>
        <v>269.6</v>
      </c>
      <c r="R36" s="32" t="n">
        <f aca="false">K36+K37</f>
        <v>1084.8</v>
      </c>
      <c r="S36" s="32"/>
      <c r="T36" s="34"/>
      <c r="U36" s="32"/>
      <c r="V36" s="32"/>
      <c r="W36" s="34"/>
      <c r="X36" s="32" t="n">
        <f aca="false">SUM(N36:V36)</f>
        <v>1493.6</v>
      </c>
      <c r="Y36" s="32" t="n">
        <v>1492.9</v>
      </c>
      <c r="Z36" s="31" t="n">
        <f aca="false">X36-Y36</f>
        <v>0.700000000000046</v>
      </c>
      <c r="AA36" s="32"/>
    </row>
    <row r="37" s="23" customFormat="true" ht="19.5" hidden="false" customHeight="true" outlineLevel="0" collapsed="false">
      <c r="A37" s="18"/>
      <c r="B37" s="18"/>
      <c r="C37" s="18" t="s">
        <v>311</v>
      </c>
      <c r="D37" s="18" t="s">
        <v>281</v>
      </c>
      <c r="E37" s="18" t="n">
        <v>1790</v>
      </c>
      <c r="F37" s="18" t="n">
        <v>350</v>
      </c>
      <c r="G37" s="18" t="n">
        <v>20</v>
      </c>
      <c r="H37" s="18" t="n">
        <v>1</v>
      </c>
      <c r="I37" s="25" t="n">
        <v>98.4</v>
      </c>
      <c r="J37" s="18" t="n">
        <v>8</v>
      </c>
      <c r="K37" s="25" t="n">
        <f aca="false">I37*J37</f>
        <v>787.2</v>
      </c>
      <c r="L37" s="18"/>
      <c r="M37" s="32"/>
      <c r="N37" s="32"/>
      <c r="O37" s="32"/>
      <c r="P37" s="32"/>
      <c r="Q37" s="32"/>
      <c r="R37" s="32"/>
      <c r="S37" s="32"/>
      <c r="T37" s="34"/>
      <c r="U37" s="32"/>
      <c r="V37" s="32"/>
      <c r="W37" s="34"/>
      <c r="X37" s="32"/>
      <c r="Y37" s="32"/>
      <c r="Z37" s="32"/>
      <c r="AA37" s="32"/>
    </row>
    <row r="38" s="23" customFormat="true" ht="19.5" hidden="true" customHeight="true" outlineLevel="0" collapsed="false">
      <c r="A38" s="18"/>
      <c r="B38" s="18"/>
      <c r="C38" s="18" t="s">
        <v>284</v>
      </c>
      <c r="D38" s="18" t="s">
        <v>281</v>
      </c>
      <c r="E38" s="18" t="n">
        <v>738</v>
      </c>
      <c r="F38" s="18" t="n">
        <v>300</v>
      </c>
      <c r="G38" s="18" t="n">
        <v>10</v>
      </c>
      <c r="H38" s="18" t="n">
        <v>1</v>
      </c>
      <c r="I38" s="25" t="n">
        <v>17.4</v>
      </c>
      <c r="J38" s="18" t="n">
        <v>8</v>
      </c>
      <c r="K38" s="25" t="n">
        <f aca="false">I38*J38</f>
        <v>139.2</v>
      </c>
      <c r="L38" s="18"/>
      <c r="M38" s="32"/>
      <c r="N38" s="32"/>
      <c r="O38" s="32"/>
      <c r="P38" s="32"/>
      <c r="Q38" s="32"/>
      <c r="R38" s="32"/>
      <c r="S38" s="32"/>
      <c r="T38" s="34"/>
      <c r="U38" s="32"/>
      <c r="V38" s="32"/>
      <c r="W38" s="34"/>
      <c r="X38" s="32"/>
      <c r="Y38" s="32"/>
      <c r="Z38" s="32"/>
      <c r="AA38" s="32"/>
    </row>
    <row r="39" s="23" customFormat="true" ht="19.5" hidden="true" customHeight="true" outlineLevel="0" collapsed="false">
      <c r="A39" s="18"/>
      <c r="B39" s="18"/>
      <c r="C39" s="18" t="s">
        <v>312</v>
      </c>
      <c r="D39" s="18" t="s">
        <v>281</v>
      </c>
      <c r="E39" s="18" t="n">
        <v>1234</v>
      </c>
      <c r="F39" s="18" t="n">
        <v>160</v>
      </c>
      <c r="G39" s="18" t="n">
        <v>16</v>
      </c>
      <c r="H39" s="18" t="n">
        <v>1</v>
      </c>
      <c r="I39" s="25" t="n">
        <v>24.8</v>
      </c>
      <c r="J39" s="18" t="n">
        <v>8</v>
      </c>
      <c r="K39" s="25" t="n">
        <f aca="false">I39*J39</f>
        <v>198.4</v>
      </c>
      <c r="L39" s="18"/>
      <c r="M39" s="32"/>
      <c r="N39" s="32"/>
      <c r="O39" s="32"/>
      <c r="P39" s="32"/>
      <c r="Q39" s="32"/>
      <c r="R39" s="32"/>
      <c r="S39" s="32"/>
      <c r="T39" s="34"/>
      <c r="U39" s="32"/>
      <c r="V39" s="32"/>
      <c r="W39" s="34"/>
      <c r="X39" s="32"/>
      <c r="Y39" s="32"/>
      <c r="Z39" s="32"/>
      <c r="AA39" s="32"/>
    </row>
    <row r="40" s="23" customFormat="true" ht="19.5" hidden="true" customHeight="true" outlineLevel="0" collapsed="false">
      <c r="A40" s="18"/>
      <c r="B40" s="18"/>
      <c r="C40" s="18" t="s">
        <v>313</v>
      </c>
      <c r="D40" s="18" t="s">
        <v>281</v>
      </c>
      <c r="E40" s="18" t="n">
        <v>444</v>
      </c>
      <c r="F40" s="18" t="n">
        <v>160</v>
      </c>
      <c r="G40" s="18" t="n">
        <v>16</v>
      </c>
      <c r="H40" s="18" t="n">
        <v>1</v>
      </c>
      <c r="I40" s="25" t="n">
        <v>8.9</v>
      </c>
      <c r="J40" s="18" t="n">
        <v>8</v>
      </c>
      <c r="K40" s="25" t="n">
        <f aca="false">I40*J40</f>
        <v>71.2</v>
      </c>
      <c r="L40" s="18"/>
      <c r="M40" s="32"/>
      <c r="N40" s="32"/>
      <c r="O40" s="32"/>
      <c r="P40" s="32"/>
      <c r="Q40" s="32"/>
      <c r="R40" s="32"/>
      <c r="S40" s="32"/>
      <c r="T40" s="34"/>
      <c r="U40" s="32"/>
      <c r="V40" s="32"/>
      <c r="W40" s="34"/>
      <c r="X40" s="32"/>
      <c r="Y40" s="32"/>
      <c r="Z40" s="32"/>
      <c r="AA40" s="32"/>
    </row>
    <row r="41" s="23" customFormat="true" ht="19.5" hidden="true" customHeight="true" outlineLevel="0" collapsed="false">
      <c r="A41" s="18"/>
      <c r="B41" s="18" t="s">
        <v>78</v>
      </c>
      <c r="C41" s="18"/>
      <c r="D41" s="18"/>
      <c r="E41" s="18"/>
      <c r="F41" s="18"/>
      <c r="G41" s="18"/>
      <c r="H41" s="18"/>
      <c r="I41" s="30"/>
      <c r="J41" s="18"/>
      <c r="K41" s="25" t="n">
        <f aca="false">SUM(K36:K40)</f>
        <v>1493.6</v>
      </c>
      <c r="L41" s="18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</row>
    <row r="42" s="23" customFormat="true" ht="19.5" hidden="false" customHeight="true" outlineLevel="0" collapsed="false">
      <c r="A42" s="18" t="s">
        <v>278</v>
      </c>
      <c r="B42" s="24" t="s">
        <v>314</v>
      </c>
      <c r="C42" s="18" t="s">
        <v>280</v>
      </c>
      <c r="D42" s="18" t="s">
        <v>281</v>
      </c>
      <c r="E42" s="18" t="n">
        <v>1759</v>
      </c>
      <c r="F42" s="18" t="n">
        <v>600</v>
      </c>
      <c r="G42" s="18" t="n">
        <v>20</v>
      </c>
      <c r="H42" s="18" t="n">
        <v>1</v>
      </c>
      <c r="I42" s="25" t="n">
        <f aca="false">165.7*H42</f>
        <v>165.7</v>
      </c>
      <c r="J42" s="18" t="n">
        <v>16</v>
      </c>
      <c r="K42" s="25" t="n">
        <f aca="false">I42*J42</f>
        <v>2651.2</v>
      </c>
      <c r="L42" s="18"/>
      <c r="M42" s="32" t="str">
        <f aca="false">B42</f>
        <v>Z2支点横梁</v>
      </c>
      <c r="N42" s="32"/>
      <c r="O42" s="33" t="n">
        <f aca="false">K50</f>
        <v>321.6</v>
      </c>
      <c r="P42" s="32"/>
      <c r="Q42" s="32"/>
      <c r="R42" s="32" t="n">
        <f aca="false">K42+K48</f>
        <v>3742.4</v>
      </c>
      <c r="S42" s="32" t="n">
        <f aca="false">K44+K45+K46+K47+K49</f>
        <v>20329.6</v>
      </c>
      <c r="T42" s="33" t="n">
        <f aca="false">K43</f>
        <v>23113.6</v>
      </c>
      <c r="U42" s="32"/>
      <c r="V42" s="33" t="n">
        <f aca="false">K51</f>
        <v>1608</v>
      </c>
      <c r="W42" s="33" t="n">
        <f aca="false">K52</f>
        <v>6280</v>
      </c>
      <c r="X42" s="32" t="n">
        <f aca="false">SUM(N42:W53)</f>
        <v>55395.2</v>
      </c>
      <c r="Y42" s="32" t="n">
        <f aca="false">56228.4-831</f>
        <v>55397.4</v>
      </c>
      <c r="Z42" s="31" t="n">
        <f aca="false">X42-Y42</f>
        <v>-2.20000000000437</v>
      </c>
      <c r="AA42" s="32"/>
    </row>
    <row r="43" s="23" customFormat="true" ht="19.5" hidden="true" customHeight="true" outlineLevel="0" collapsed="false">
      <c r="A43" s="18"/>
      <c r="B43" s="18"/>
      <c r="C43" s="18" t="s">
        <v>282</v>
      </c>
      <c r="D43" s="18" t="s">
        <v>281</v>
      </c>
      <c r="E43" s="18"/>
      <c r="F43" s="18"/>
      <c r="G43" s="18" t="n">
        <v>28</v>
      </c>
      <c r="H43" s="18" t="n">
        <v>1</v>
      </c>
      <c r="I43" s="25" t="n">
        <v>1444.6</v>
      </c>
      <c r="J43" s="18" t="n">
        <v>16</v>
      </c>
      <c r="K43" s="25" t="n">
        <f aca="false">I43*J43</f>
        <v>23113.6</v>
      </c>
      <c r="L43" s="18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</row>
    <row r="44" s="23" customFormat="true" ht="19.5" hidden="true" customHeight="true" outlineLevel="0" collapsed="false">
      <c r="A44" s="18"/>
      <c r="B44" s="18"/>
      <c r="C44" s="18" t="s">
        <v>283</v>
      </c>
      <c r="D44" s="18" t="s">
        <v>281</v>
      </c>
      <c r="E44" s="18"/>
      <c r="F44" s="18"/>
      <c r="G44" s="18" t="n">
        <v>24</v>
      </c>
      <c r="H44" s="18" t="n">
        <v>2</v>
      </c>
      <c r="I44" s="25" t="n">
        <v>297.7</v>
      </c>
      <c r="J44" s="18" t="n">
        <v>16</v>
      </c>
      <c r="K44" s="25" t="n">
        <f aca="false">I44*J44</f>
        <v>4763.2</v>
      </c>
      <c r="L44" s="18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</row>
    <row r="45" s="23" customFormat="true" ht="19.5" hidden="true" customHeight="true" outlineLevel="0" collapsed="false">
      <c r="A45" s="18"/>
      <c r="B45" s="18"/>
      <c r="C45" s="18" t="s">
        <v>285</v>
      </c>
      <c r="D45" s="18" t="s">
        <v>281</v>
      </c>
      <c r="E45" s="18"/>
      <c r="F45" s="18"/>
      <c r="G45" s="18" t="n">
        <v>24</v>
      </c>
      <c r="H45" s="18" t="n">
        <v>2</v>
      </c>
      <c r="I45" s="25" t="n">
        <v>298.8</v>
      </c>
      <c r="J45" s="18" t="n">
        <v>16</v>
      </c>
      <c r="K45" s="25" t="n">
        <f aca="false">I45*J45</f>
        <v>4780.8</v>
      </c>
      <c r="L45" s="18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</row>
    <row r="46" s="23" customFormat="true" ht="19.5" hidden="true" customHeight="true" outlineLevel="0" collapsed="false">
      <c r="A46" s="18"/>
      <c r="B46" s="18"/>
      <c r="C46" s="18" t="s">
        <v>287</v>
      </c>
      <c r="D46" s="18" t="s">
        <v>281</v>
      </c>
      <c r="E46" s="18"/>
      <c r="F46" s="18"/>
      <c r="G46" s="18" t="n">
        <v>24</v>
      </c>
      <c r="H46" s="18" t="n">
        <v>2</v>
      </c>
      <c r="I46" s="25" t="n">
        <v>301.4</v>
      </c>
      <c r="J46" s="18" t="n">
        <v>16</v>
      </c>
      <c r="K46" s="25" t="n">
        <f aca="false">I46*J46</f>
        <v>4822.4</v>
      </c>
      <c r="L46" s="18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</row>
    <row r="47" s="23" customFormat="true" ht="19.5" hidden="true" customHeight="true" outlineLevel="0" collapsed="false">
      <c r="A47" s="18"/>
      <c r="B47" s="18"/>
      <c r="C47" s="18" t="s">
        <v>289</v>
      </c>
      <c r="D47" s="18" t="s">
        <v>281</v>
      </c>
      <c r="E47" s="18"/>
      <c r="F47" s="18"/>
      <c r="G47" s="18" t="n">
        <v>24</v>
      </c>
      <c r="H47" s="18" t="n">
        <v>2</v>
      </c>
      <c r="I47" s="25" t="n">
        <v>302.6</v>
      </c>
      <c r="J47" s="18" t="n">
        <v>16</v>
      </c>
      <c r="K47" s="25" t="n">
        <f aca="false">I47*J47</f>
        <v>4841.6</v>
      </c>
      <c r="L47" s="18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</row>
    <row r="48" s="23" customFormat="true" ht="19.5" hidden="false" customHeight="true" outlineLevel="0" collapsed="false">
      <c r="A48" s="18"/>
      <c r="B48" s="18"/>
      <c r="C48" s="18" t="s">
        <v>293</v>
      </c>
      <c r="D48" s="18" t="s">
        <v>281</v>
      </c>
      <c r="E48" s="18" t="n">
        <v>776</v>
      </c>
      <c r="F48" s="18" t="n">
        <v>280</v>
      </c>
      <c r="G48" s="18" t="n">
        <v>20</v>
      </c>
      <c r="H48" s="18" t="n">
        <v>2</v>
      </c>
      <c r="I48" s="25" t="n">
        <v>68.2</v>
      </c>
      <c r="J48" s="18" t="n">
        <v>16</v>
      </c>
      <c r="K48" s="25" t="n">
        <f aca="false">I48*J48</f>
        <v>1091.2</v>
      </c>
      <c r="L48" s="18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</row>
    <row r="49" s="23" customFormat="true" ht="19.5" hidden="true" customHeight="true" outlineLevel="0" collapsed="false">
      <c r="A49" s="18"/>
      <c r="B49" s="18"/>
      <c r="C49" s="18" t="s">
        <v>294</v>
      </c>
      <c r="D49" s="18" t="s">
        <v>281</v>
      </c>
      <c r="E49" s="18"/>
      <c r="F49" s="18"/>
      <c r="G49" s="18" t="n">
        <v>24</v>
      </c>
      <c r="H49" s="18" t="n">
        <v>2</v>
      </c>
      <c r="I49" s="25" t="n">
        <v>70.1</v>
      </c>
      <c r="J49" s="18" t="n">
        <v>16</v>
      </c>
      <c r="K49" s="25" t="n">
        <f aca="false">I49*J49</f>
        <v>1121.6</v>
      </c>
      <c r="L49" s="18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</row>
    <row r="50" s="23" customFormat="true" ht="19.5" hidden="true" customHeight="true" outlineLevel="0" collapsed="false">
      <c r="A50" s="18"/>
      <c r="B50" s="18"/>
      <c r="C50" s="18" t="s">
        <v>295</v>
      </c>
      <c r="D50" s="18" t="s">
        <v>281</v>
      </c>
      <c r="E50" s="18" t="n">
        <v>2139</v>
      </c>
      <c r="F50" s="18" t="n">
        <v>50</v>
      </c>
      <c r="G50" s="18" t="n">
        <v>12</v>
      </c>
      <c r="H50" s="18" t="n">
        <v>2</v>
      </c>
      <c r="I50" s="25" t="n">
        <v>20.1</v>
      </c>
      <c r="J50" s="18" t="n">
        <v>16</v>
      </c>
      <c r="K50" s="25" t="n">
        <f aca="false">I50*J50</f>
        <v>321.6</v>
      </c>
      <c r="L50" s="18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</row>
    <row r="51" s="23" customFormat="true" ht="19.5" hidden="true" customHeight="true" outlineLevel="0" collapsed="false">
      <c r="A51" s="18"/>
      <c r="B51" s="18"/>
      <c r="C51" s="18" t="s">
        <v>296</v>
      </c>
      <c r="D51" s="18" t="s">
        <v>281</v>
      </c>
      <c r="E51" s="18" t="n">
        <v>400</v>
      </c>
      <c r="F51" s="18" t="n">
        <v>400</v>
      </c>
      <c r="G51" s="18" t="n">
        <v>40</v>
      </c>
      <c r="H51" s="18" t="n">
        <v>2</v>
      </c>
      <c r="I51" s="25" t="n">
        <v>100.5</v>
      </c>
      <c r="J51" s="18" t="n">
        <v>16</v>
      </c>
      <c r="K51" s="25" t="n">
        <f aca="false">I51*J51</f>
        <v>1608</v>
      </c>
      <c r="L51" s="18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="23" customFormat="true" ht="19.5" hidden="true" customHeight="true" outlineLevel="0" collapsed="false">
      <c r="A52" s="18"/>
      <c r="B52" s="18"/>
      <c r="C52" s="18" t="s">
        <v>297</v>
      </c>
      <c r="D52" s="18" t="s">
        <v>281</v>
      </c>
      <c r="E52" s="18" t="n">
        <v>1000</v>
      </c>
      <c r="F52" s="18" t="n">
        <v>1000</v>
      </c>
      <c r="G52" s="18" t="n">
        <v>50</v>
      </c>
      <c r="H52" s="18" t="n">
        <v>1</v>
      </c>
      <c r="I52" s="25" t="n">
        <v>392.5</v>
      </c>
      <c r="J52" s="18" t="n">
        <v>16</v>
      </c>
      <c r="K52" s="25" t="n">
        <f aca="false">I52*J52</f>
        <v>6280</v>
      </c>
      <c r="L52" s="18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="23" customFormat="true" ht="19.5" hidden="true" customHeight="true" outlineLevel="0" collapsed="false">
      <c r="A53" s="18"/>
      <c r="B53" s="18" t="s">
        <v>78</v>
      </c>
      <c r="C53" s="18"/>
      <c r="D53" s="18"/>
      <c r="E53" s="18"/>
      <c r="F53" s="18"/>
      <c r="G53" s="18"/>
      <c r="H53" s="18"/>
      <c r="I53" s="30"/>
      <c r="J53" s="18"/>
      <c r="K53" s="25" t="n">
        <f aca="false">SUM(K42:K52)</f>
        <v>55395.2</v>
      </c>
      <c r="L53" s="18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="23" customFormat="true" ht="19.5" hidden="true" customHeight="true" outlineLevel="0" collapsed="false">
      <c r="A54" s="18" t="s">
        <v>278</v>
      </c>
      <c r="B54" s="24" t="s">
        <v>315</v>
      </c>
      <c r="C54" s="18" t="s">
        <v>280</v>
      </c>
      <c r="D54" s="18" t="s">
        <v>281</v>
      </c>
      <c r="E54" s="18" t="n">
        <v>1650</v>
      </c>
      <c r="F54" s="18" t="n">
        <v>300</v>
      </c>
      <c r="G54" s="18" t="n">
        <v>12</v>
      </c>
      <c r="H54" s="18" t="n">
        <v>1</v>
      </c>
      <c r="I54" s="25" t="n">
        <v>46.6</v>
      </c>
      <c r="J54" s="18" t="n">
        <v>64</v>
      </c>
      <c r="K54" s="25" t="n">
        <f aca="false">I54*J54</f>
        <v>2982.4</v>
      </c>
      <c r="L54" s="18"/>
      <c r="M54" s="32" t="str">
        <f aca="false">B54</f>
        <v>HG1</v>
      </c>
      <c r="N54" s="32"/>
      <c r="O54" s="33" t="n">
        <f aca="false">K57</f>
        <v>39052.8</v>
      </c>
      <c r="P54" s="32"/>
      <c r="Q54" s="32"/>
      <c r="R54" s="32"/>
      <c r="S54" s="32"/>
      <c r="T54" s="34"/>
      <c r="U54" s="32"/>
      <c r="V54" s="32"/>
      <c r="W54" s="34"/>
      <c r="X54" s="32" t="n">
        <f aca="false">SUM(N54:W57)</f>
        <v>39052.8</v>
      </c>
      <c r="Y54" s="32" t="n">
        <f aca="false">2984.3+34160.9+1905.7</f>
        <v>39050.9</v>
      </c>
      <c r="Z54" s="31" t="n">
        <f aca="false">X54-Y54</f>
        <v>1.89999999999418</v>
      </c>
      <c r="AA54" s="32"/>
    </row>
    <row r="55" s="23" customFormat="true" ht="19.5" hidden="true" customHeight="true" outlineLevel="0" collapsed="false">
      <c r="A55" s="18"/>
      <c r="B55" s="18"/>
      <c r="C55" s="18" t="s">
        <v>282</v>
      </c>
      <c r="D55" s="18" t="s">
        <v>281</v>
      </c>
      <c r="E55" s="18"/>
      <c r="F55" s="18"/>
      <c r="G55" s="18" t="n">
        <v>12</v>
      </c>
      <c r="H55" s="18" t="n">
        <v>1</v>
      </c>
      <c r="I55" s="25" t="n">
        <v>533.8</v>
      </c>
      <c r="J55" s="18" t="n">
        <v>64</v>
      </c>
      <c r="K55" s="25" t="n">
        <f aca="false">I55*J55</f>
        <v>34163.2</v>
      </c>
      <c r="L55" s="18"/>
      <c r="M55" s="32"/>
      <c r="N55" s="32"/>
      <c r="O55" s="32"/>
      <c r="P55" s="32"/>
      <c r="Q55" s="32"/>
      <c r="R55" s="32"/>
      <c r="S55" s="32"/>
      <c r="T55" s="34"/>
      <c r="U55" s="32"/>
      <c r="V55" s="32"/>
      <c r="W55" s="34"/>
      <c r="X55" s="32"/>
      <c r="Y55" s="32"/>
      <c r="Z55" s="32"/>
      <c r="AA55" s="32"/>
    </row>
    <row r="56" s="23" customFormat="true" ht="19.5" hidden="true" customHeight="true" outlineLevel="0" collapsed="false">
      <c r="A56" s="18"/>
      <c r="B56" s="18"/>
      <c r="C56" s="18" t="s">
        <v>283</v>
      </c>
      <c r="D56" s="18" t="s">
        <v>281</v>
      </c>
      <c r="E56" s="18" t="n">
        <v>3161</v>
      </c>
      <c r="F56" s="18" t="n">
        <v>100</v>
      </c>
      <c r="G56" s="18" t="n">
        <v>12</v>
      </c>
      <c r="H56" s="18" t="n">
        <v>1</v>
      </c>
      <c r="I56" s="25" t="n">
        <v>29.8</v>
      </c>
      <c r="J56" s="18" t="n">
        <v>64</v>
      </c>
      <c r="K56" s="25" t="n">
        <f aca="false">I56*J56</f>
        <v>1907.2</v>
      </c>
      <c r="L56" s="18"/>
      <c r="M56" s="32"/>
      <c r="N56" s="32"/>
      <c r="O56" s="32"/>
      <c r="P56" s="32"/>
      <c r="Q56" s="32"/>
      <c r="R56" s="32"/>
      <c r="S56" s="32"/>
      <c r="T56" s="34"/>
      <c r="U56" s="32"/>
      <c r="V56" s="32"/>
      <c r="W56" s="34"/>
      <c r="X56" s="32"/>
      <c r="Y56" s="32"/>
      <c r="Z56" s="32"/>
      <c r="AA56" s="32"/>
    </row>
    <row r="57" s="23" customFormat="true" ht="19.5" hidden="true" customHeight="true" outlineLevel="0" collapsed="false">
      <c r="A57" s="18"/>
      <c r="B57" s="18" t="s">
        <v>78</v>
      </c>
      <c r="C57" s="18"/>
      <c r="D57" s="18"/>
      <c r="E57" s="18"/>
      <c r="F57" s="18"/>
      <c r="G57" s="18"/>
      <c r="H57" s="18"/>
      <c r="I57" s="30"/>
      <c r="J57" s="18"/>
      <c r="K57" s="25" t="n">
        <f aca="false">SUM(K54:K56)</f>
        <v>39052.8</v>
      </c>
      <c r="L57" s="18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="23" customFormat="true" ht="19.5" hidden="true" customHeight="true" outlineLevel="0" collapsed="false">
      <c r="A58" s="18" t="s">
        <v>278</v>
      </c>
      <c r="B58" s="24" t="s">
        <v>316</v>
      </c>
      <c r="C58" s="18" t="s">
        <v>280</v>
      </c>
      <c r="D58" s="18" t="s">
        <v>281</v>
      </c>
      <c r="E58" s="18" t="n">
        <v>1650</v>
      </c>
      <c r="F58" s="18" t="n">
        <v>300</v>
      </c>
      <c r="G58" s="18" t="n">
        <v>12</v>
      </c>
      <c r="H58" s="18" t="n">
        <v>1</v>
      </c>
      <c r="I58" s="25" t="n">
        <v>46.6</v>
      </c>
      <c r="J58" s="18" t="n">
        <v>200</v>
      </c>
      <c r="K58" s="25" t="n">
        <f aca="false">I58*J58</f>
        <v>9320</v>
      </c>
      <c r="L58" s="18"/>
      <c r="M58" s="32" t="str">
        <f aca="false">B58</f>
        <v>HG2</v>
      </c>
      <c r="N58" s="32"/>
      <c r="O58" s="33" t="n">
        <f aca="false">K61</f>
        <v>122000</v>
      </c>
      <c r="P58" s="32"/>
      <c r="Q58" s="32"/>
      <c r="R58" s="32"/>
      <c r="S58" s="32"/>
      <c r="T58" s="34"/>
      <c r="U58" s="32"/>
      <c r="V58" s="32"/>
      <c r="W58" s="34"/>
      <c r="X58" s="32" t="n">
        <f aca="false">SUM(N58:W61)</f>
        <v>122000</v>
      </c>
      <c r="Y58" s="32" t="n">
        <f aca="false">9325.8+106715+5955.3</f>
        <v>121996.1</v>
      </c>
      <c r="Z58" s="31" t="n">
        <f aca="false">X58-Y58</f>
        <v>3.89999999999418</v>
      </c>
      <c r="AA58" s="32"/>
    </row>
    <row r="59" s="23" customFormat="true" ht="19.5" hidden="true" customHeight="true" outlineLevel="0" collapsed="false">
      <c r="A59" s="18"/>
      <c r="B59" s="18"/>
      <c r="C59" s="18" t="s">
        <v>282</v>
      </c>
      <c r="D59" s="18" t="s">
        <v>281</v>
      </c>
      <c r="E59" s="18"/>
      <c r="F59" s="18"/>
      <c r="G59" s="18" t="n">
        <v>12</v>
      </c>
      <c r="H59" s="18" t="n">
        <v>1</v>
      </c>
      <c r="I59" s="25" t="n">
        <v>533.6</v>
      </c>
      <c r="J59" s="18" t="n">
        <v>200</v>
      </c>
      <c r="K59" s="25" t="n">
        <f aca="false">I59*J59</f>
        <v>106720</v>
      </c>
      <c r="L59" s="18"/>
      <c r="M59" s="32"/>
      <c r="N59" s="32"/>
      <c r="O59" s="32"/>
      <c r="P59" s="32"/>
      <c r="Q59" s="32"/>
      <c r="R59" s="32"/>
      <c r="S59" s="32"/>
      <c r="T59" s="34"/>
      <c r="U59" s="32"/>
      <c r="V59" s="32"/>
      <c r="W59" s="34"/>
      <c r="X59" s="32"/>
      <c r="Y59" s="32"/>
      <c r="Z59" s="32"/>
      <c r="AA59" s="32"/>
    </row>
    <row r="60" s="23" customFormat="true" ht="19.5" hidden="true" customHeight="true" outlineLevel="0" collapsed="false">
      <c r="A60" s="18"/>
      <c r="B60" s="18"/>
      <c r="C60" s="18" t="s">
        <v>283</v>
      </c>
      <c r="D60" s="18" t="s">
        <v>281</v>
      </c>
      <c r="E60" s="18" t="n">
        <v>3161</v>
      </c>
      <c r="F60" s="18" t="n">
        <v>100</v>
      </c>
      <c r="G60" s="18" t="n">
        <v>12</v>
      </c>
      <c r="H60" s="18" t="n">
        <v>1</v>
      </c>
      <c r="I60" s="25" t="n">
        <v>29.8</v>
      </c>
      <c r="J60" s="18" t="n">
        <v>200</v>
      </c>
      <c r="K60" s="25" t="n">
        <f aca="false">I60*J60</f>
        <v>5960</v>
      </c>
      <c r="L60" s="18"/>
      <c r="M60" s="32"/>
      <c r="N60" s="32"/>
      <c r="O60" s="32"/>
      <c r="P60" s="32"/>
      <c r="Q60" s="32"/>
      <c r="R60" s="32"/>
      <c r="S60" s="32"/>
      <c r="T60" s="34"/>
      <c r="U60" s="32"/>
      <c r="V60" s="32"/>
      <c r="W60" s="34"/>
      <c r="X60" s="32"/>
      <c r="Y60" s="32"/>
      <c r="Z60" s="32"/>
      <c r="AA60" s="32"/>
    </row>
    <row r="61" s="23" customFormat="true" ht="19.5" hidden="true" customHeight="true" outlineLevel="0" collapsed="false">
      <c r="A61" s="18"/>
      <c r="B61" s="18" t="s">
        <v>78</v>
      </c>
      <c r="C61" s="18"/>
      <c r="D61" s="18"/>
      <c r="E61" s="18"/>
      <c r="F61" s="18"/>
      <c r="G61" s="18"/>
      <c r="H61" s="18"/>
      <c r="I61" s="30"/>
      <c r="J61" s="18"/>
      <c r="K61" s="25" t="n">
        <f aca="false">SUM(K58:K60)</f>
        <v>122000</v>
      </c>
      <c r="L61" s="18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="23" customFormat="true" ht="19.5" hidden="true" customHeight="true" outlineLevel="0" collapsed="false">
      <c r="A62" s="18" t="s">
        <v>278</v>
      </c>
      <c r="B62" s="24" t="s">
        <v>317</v>
      </c>
      <c r="C62" s="18" t="s">
        <v>280</v>
      </c>
      <c r="D62" s="18" t="s">
        <v>281</v>
      </c>
      <c r="E62" s="18" t="n">
        <v>1650</v>
      </c>
      <c r="F62" s="18" t="n">
        <v>300</v>
      </c>
      <c r="G62" s="18" t="n">
        <v>12</v>
      </c>
      <c r="H62" s="18" t="n">
        <v>1</v>
      </c>
      <c r="I62" s="25" t="n">
        <v>46.6</v>
      </c>
      <c r="J62" s="18" t="n">
        <v>32</v>
      </c>
      <c r="K62" s="25" t="n">
        <f aca="false">I62*J62</f>
        <v>1491.2</v>
      </c>
      <c r="L62" s="18"/>
      <c r="M62" s="32" t="str">
        <f aca="false">B62</f>
        <v>HG3</v>
      </c>
      <c r="N62" s="32"/>
      <c r="O62" s="33" t="n">
        <f aca="false">K65</f>
        <v>19494.4</v>
      </c>
      <c r="P62" s="32"/>
      <c r="Q62" s="32"/>
      <c r="R62" s="32"/>
      <c r="S62" s="32"/>
      <c r="T62" s="34"/>
      <c r="U62" s="32"/>
      <c r="V62" s="32"/>
      <c r="W62" s="34"/>
      <c r="X62" s="32" t="n">
        <f aca="false">SUM(N62:W65)</f>
        <v>19494.4</v>
      </c>
      <c r="Y62" s="32" t="n">
        <f aca="false">1492.1+17050.3+952.9</f>
        <v>19495.3</v>
      </c>
      <c r="Z62" s="31" t="n">
        <f aca="false">X62-Y62</f>
        <v>-0.900000000001455</v>
      </c>
      <c r="AA62" s="32"/>
    </row>
    <row r="63" s="23" customFormat="true" ht="19.5" hidden="true" customHeight="true" outlineLevel="0" collapsed="false">
      <c r="A63" s="18"/>
      <c r="B63" s="18"/>
      <c r="C63" s="18" t="s">
        <v>282</v>
      </c>
      <c r="D63" s="18" t="s">
        <v>281</v>
      </c>
      <c r="E63" s="18"/>
      <c r="F63" s="18"/>
      <c r="G63" s="18" t="n">
        <v>12</v>
      </c>
      <c r="H63" s="18" t="n">
        <v>1</v>
      </c>
      <c r="I63" s="25" t="n">
        <v>532.8</v>
      </c>
      <c r="J63" s="18" t="n">
        <v>32</v>
      </c>
      <c r="K63" s="25" t="n">
        <f aca="false">I63*J63</f>
        <v>17049.6</v>
      </c>
      <c r="L63" s="18"/>
      <c r="M63" s="32"/>
      <c r="N63" s="32"/>
      <c r="O63" s="32"/>
      <c r="P63" s="32"/>
      <c r="Q63" s="32"/>
      <c r="R63" s="32"/>
      <c r="S63" s="32"/>
      <c r="T63" s="34"/>
      <c r="U63" s="32"/>
      <c r="V63" s="32"/>
      <c r="W63" s="34"/>
      <c r="X63" s="32"/>
      <c r="Y63" s="32"/>
      <c r="Z63" s="32"/>
      <c r="AA63" s="32"/>
    </row>
    <row r="64" s="23" customFormat="true" ht="19.5" hidden="true" customHeight="true" outlineLevel="0" collapsed="false">
      <c r="A64" s="18"/>
      <c r="B64" s="18"/>
      <c r="C64" s="18" t="s">
        <v>283</v>
      </c>
      <c r="D64" s="18" t="s">
        <v>281</v>
      </c>
      <c r="E64" s="18" t="n">
        <v>3161</v>
      </c>
      <c r="F64" s="18" t="n">
        <v>100</v>
      </c>
      <c r="G64" s="18" t="n">
        <v>12</v>
      </c>
      <c r="H64" s="18" t="n">
        <v>1</v>
      </c>
      <c r="I64" s="25" t="n">
        <v>29.8</v>
      </c>
      <c r="J64" s="18" t="n">
        <v>32</v>
      </c>
      <c r="K64" s="25" t="n">
        <f aca="false">I64*J64</f>
        <v>953.6</v>
      </c>
      <c r="L64" s="18"/>
      <c r="M64" s="32"/>
      <c r="N64" s="32"/>
      <c r="O64" s="32"/>
      <c r="P64" s="32"/>
      <c r="Q64" s="32"/>
      <c r="R64" s="32"/>
      <c r="S64" s="32"/>
      <c r="T64" s="34"/>
      <c r="U64" s="32"/>
      <c r="V64" s="32"/>
      <c r="W64" s="34"/>
      <c r="X64" s="32"/>
      <c r="Y64" s="32"/>
      <c r="Z64" s="32"/>
      <c r="AA64" s="32"/>
    </row>
    <row r="65" s="23" customFormat="true" ht="19.5" hidden="true" customHeight="true" outlineLevel="0" collapsed="false">
      <c r="A65" s="18"/>
      <c r="B65" s="18" t="s">
        <v>78</v>
      </c>
      <c r="C65" s="18"/>
      <c r="D65" s="18"/>
      <c r="E65" s="18"/>
      <c r="F65" s="18"/>
      <c r="G65" s="18"/>
      <c r="H65" s="18"/>
      <c r="I65" s="30"/>
      <c r="J65" s="18"/>
      <c r="K65" s="25" t="n">
        <f aca="false">SUM(K62:K64)</f>
        <v>19494.4</v>
      </c>
      <c r="L65" s="18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</row>
    <row r="66" s="23" customFormat="true" ht="19.5" hidden="false" customHeight="true" outlineLevel="0" collapsed="false">
      <c r="A66" s="18" t="s">
        <v>278</v>
      </c>
      <c r="B66" s="24" t="s">
        <v>318</v>
      </c>
      <c r="C66" s="18" t="s">
        <v>280</v>
      </c>
      <c r="D66" s="18" t="s">
        <v>281</v>
      </c>
      <c r="E66" s="18" t="n">
        <v>1650</v>
      </c>
      <c r="F66" s="18" t="n">
        <v>300</v>
      </c>
      <c r="G66" s="18" t="n">
        <v>20</v>
      </c>
      <c r="H66" s="18" t="n">
        <v>1</v>
      </c>
      <c r="I66" s="25" t="n">
        <v>77.7</v>
      </c>
      <c r="J66" s="18" t="n">
        <v>24</v>
      </c>
      <c r="K66" s="25" t="n">
        <f aca="false">I66*J66</f>
        <v>1864.8</v>
      </c>
      <c r="L66" s="18"/>
      <c r="M66" s="32" t="str">
        <f aca="false">B66</f>
        <v>HG5</v>
      </c>
      <c r="N66" s="32"/>
      <c r="O66" s="33" t="n">
        <f aca="false">K68</f>
        <v>715.2</v>
      </c>
      <c r="P66" s="32"/>
      <c r="Q66" s="33" t="n">
        <f aca="false">K67</f>
        <v>17018.4</v>
      </c>
      <c r="R66" s="33" t="n">
        <f aca="false">K66</f>
        <v>1864.8</v>
      </c>
      <c r="S66" s="32"/>
      <c r="T66" s="34"/>
      <c r="U66" s="32"/>
      <c r="V66" s="32"/>
      <c r="W66" s="34"/>
      <c r="X66" s="32" t="n">
        <f aca="false">SUM(N66:W69)</f>
        <v>19598.4</v>
      </c>
      <c r="Y66" s="32" t="n">
        <f aca="false">1865.2+17017.7+714.6</f>
        <v>19597.5</v>
      </c>
      <c r="Z66" s="31" t="n">
        <f aca="false">X66-Y66</f>
        <v>0.900000000001455</v>
      </c>
      <c r="AA66" s="32"/>
    </row>
    <row r="67" s="23" customFormat="true" ht="19.5" hidden="true" customHeight="true" outlineLevel="0" collapsed="false">
      <c r="A67" s="18"/>
      <c r="B67" s="18"/>
      <c r="C67" s="18" t="s">
        <v>282</v>
      </c>
      <c r="D67" s="18" t="s">
        <v>281</v>
      </c>
      <c r="E67" s="18"/>
      <c r="F67" s="18"/>
      <c r="G67" s="18" t="n">
        <v>16</v>
      </c>
      <c r="H67" s="18" t="n">
        <v>1</v>
      </c>
      <c r="I67" s="25" t="n">
        <v>709.1</v>
      </c>
      <c r="J67" s="18" t="n">
        <v>24</v>
      </c>
      <c r="K67" s="25" t="n">
        <f aca="false">I67*J67</f>
        <v>17018.4</v>
      </c>
      <c r="L67" s="18"/>
      <c r="M67" s="32"/>
      <c r="N67" s="32"/>
      <c r="O67" s="32"/>
      <c r="P67" s="32"/>
      <c r="Q67" s="32"/>
      <c r="R67" s="32"/>
      <c r="S67" s="32"/>
      <c r="T67" s="34"/>
      <c r="U67" s="32"/>
      <c r="V67" s="32"/>
      <c r="W67" s="34"/>
      <c r="X67" s="32"/>
      <c r="Y67" s="32"/>
      <c r="Z67" s="32"/>
      <c r="AA67" s="32"/>
    </row>
    <row r="68" s="23" customFormat="true" ht="19.5" hidden="true" customHeight="true" outlineLevel="0" collapsed="false">
      <c r="A68" s="18"/>
      <c r="B68" s="18"/>
      <c r="C68" s="18" t="s">
        <v>283</v>
      </c>
      <c r="D68" s="18" t="s">
        <v>281</v>
      </c>
      <c r="E68" s="18" t="n">
        <v>3161</v>
      </c>
      <c r="F68" s="18" t="n">
        <v>100</v>
      </c>
      <c r="G68" s="18" t="n">
        <v>12</v>
      </c>
      <c r="H68" s="18" t="n">
        <v>1</v>
      </c>
      <c r="I68" s="25" t="n">
        <v>29.8</v>
      </c>
      <c r="J68" s="18" t="n">
        <v>24</v>
      </c>
      <c r="K68" s="25" t="n">
        <f aca="false">I68*J68</f>
        <v>715.2</v>
      </c>
      <c r="L68" s="18"/>
      <c r="M68" s="32"/>
      <c r="N68" s="32"/>
      <c r="O68" s="32"/>
      <c r="P68" s="32"/>
      <c r="Q68" s="32"/>
      <c r="R68" s="32"/>
      <c r="S68" s="32"/>
      <c r="T68" s="34"/>
      <c r="U68" s="32"/>
      <c r="V68" s="32"/>
      <c r="W68" s="34"/>
      <c r="X68" s="32"/>
      <c r="Y68" s="32"/>
      <c r="Z68" s="32"/>
      <c r="AA68" s="32"/>
    </row>
    <row r="69" s="23" customFormat="true" ht="19.5" hidden="true" customHeight="true" outlineLevel="0" collapsed="false">
      <c r="A69" s="18"/>
      <c r="B69" s="18" t="s">
        <v>78</v>
      </c>
      <c r="C69" s="18"/>
      <c r="D69" s="18"/>
      <c r="E69" s="18"/>
      <c r="F69" s="18"/>
      <c r="G69" s="18"/>
      <c r="H69" s="18"/>
      <c r="I69" s="30"/>
      <c r="J69" s="18"/>
      <c r="K69" s="25" t="n">
        <f aca="false">SUM(K66:K68)</f>
        <v>19598.4</v>
      </c>
      <c r="L69" s="18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</row>
    <row r="70" s="23" customFormat="true" ht="19.5" hidden="false" customHeight="true" outlineLevel="0" collapsed="false">
      <c r="A70" s="18" t="s">
        <v>278</v>
      </c>
      <c r="B70" s="24" t="s">
        <v>319</v>
      </c>
      <c r="C70" s="18" t="s">
        <v>280</v>
      </c>
      <c r="D70" s="18" t="s">
        <v>281</v>
      </c>
      <c r="E70" s="18" t="n">
        <v>1950</v>
      </c>
      <c r="F70" s="18" t="n">
        <v>300</v>
      </c>
      <c r="G70" s="18" t="n">
        <v>20</v>
      </c>
      <c r="H70" s="18" t="n">
        <v>1</v>
      </c>
      <c r="I70" s="25" t="n">
        <v>91.8</v>
      </c>
      <c r="J70" s="18" t="n">
        <v>24</v>
      </c>
      <c r="K70" s="25" t="n">
        <f aca="false">I70*J70</f>
        <v>2203.2</v>
      </c>
      <c r="L70" s="18"/>
      <c r="M70" s="32" t="str">
        <f aca="false">B70</f>
        <v>HG4</v>
      </c>
      <c r="N70" s="32"/>
      <c r="O70" s="33" t="n">
        <f aca="false">K72</f>
        <v>715.2</v>
      </c>
      <c r="P70" s="32"/>
      <c r="Q70" s="33" t="n">
        <f aca="false">K71</f>
        <v>18465.6</v>
      </c>
      <c r="R70" s="33" t="n">
        <f aca="false">K70</f>
        <v>2203.2</v>
      </c>
      <c r="S70" s="32"/>
      <c r="T70" s="34"/>
      <c r="U70" s="32"/>
      <c r="V70" s="32"/>
      <c r="W70" s="34"/>
      <c r="X70" s="32" t="n">
        <f aca="false">SUM(N70:W73)</f>
        <v>21384</v>
      </c>
      <c r="Y70" s="32" t="n">
        <f aca="false">2204.3+18466.5+714.6</f>
        <v>21385.4</v>
      </c>
      <c r="Z70" s="31" t="n">
        <f aca="false">X70-Y70</f>
        <v>-1.39999999999782</v>
      </c>
      <c r="AA70" s="32"/>
    </row>
    <row r="71" s="23" customFormat="true" ht="19.5" hidden="true" customHeight="true" outlineLevel="0" collapsed="false">
      <c r="A71" s="18"/>
      <c r="B71" s="18"/>
      <c r="C71" s="18" t="s">
        <v>282</v>
      </c>
      <c r="D71" s="18" t="s">
        <v>281</v>
      </c>
      <c r="E71" s="18"/>
      <c r="F71" s="18"/>
      <c r="G71" s="18" t="n">
        <v>16</v>
      </c>
      <c r="H71" s="18" t="n">
        <v>1</v>
      </c>
      <c r="I71" s="25" t="n">
        <v>769.4</v>
      </c>
      <c r="J71" s="18" t="n">
        <v>24</v>
      </c>
      <c r="K71" s="25" t="n">
        <f aca="false">I71*J71</f>
        <v>18465.6</v>
      </c>
      <c r="L71" s="18"/>
      <c r="M71" s="32"/>
      <c r="N71" s="32"/>
      <c r="O71" s="32"/>
      <c r="P71" s="32"/>
      <c r="Q71" s="32"/>
      <c r="R71" s="32"/>
      <c r="S71" s="32"/>
      <c r="T71" s="34"/>
      <c r="U71" s="32"/>
      <c r="V71" s="32"/>
      <c r="W71" s="34"/>
      <c r="X71" s="32"/>
      <c r="Y71" s="32"/>
      <c r="Z71" s="32"/>
      <c r="AA71" s="32"/>
    </row>
    <row r="72" s="23" customFormat="true" ht="19.5" hidden="true" customHeight="true" outlineLevel="0" collapsed="false">
      <c r="A72" s="18"/>
      <c r="B72" s="18"/>
      <c r="C72" s="18" t="s">
        <v>283</v>
      </c>
      <c r="D72" s="18" t="s">
        <v>281</v>
      </c>
      <c r="E72" s="18" t="n">
        <v>3161</v>
      </c>
      <c r="F72" s="18" t="n">
        <v>100</v>
      </c>
      <c r="G72" s="18" t="n">
        <v>12</v>
      </c>
      <c r="H72" s="18" t="n">
        <v>1</v>
      </c>
      <c r="I72" s="25" t="n">
        <v>29.8</v>
      </c>
      <c r="J72" s="18" t="n">
        <v>24</v>
      </c>
      <c r="K72" s="25" t="n">
        <f aca="false">I72*J72</f>
        <v>715.2</v>
      </c>
      <c r="L72" s="18"/>
      <c r="M72" s="32"/>
      <c r="N72" s="32"/>
      <c r="O72" s="32"/>
      <c r="P72" s="32"/>
      <c r="Q72" s="32"/>
      <c r="R72" s="32"/>
      <c r="S72" s="32"/>
      <c r="T72" s="34"/>
      <c r="U72" s="32"/>
      <c r="V72" s="32"/>
      <c r="W72" s="34"/>
      <c r="X72" s="32"/>
      <c r="Y72" s="32"/>
      <c r="Z72" s="32"/>
      <c r="AA72" s="32"/>
    </row>
    <row r="73" s="23" customFormat="true" ht="19.5" hidden="true" customHeight="true" outlineLevel="0" collapsed="false">
      <c r="A73" s="18"/>
      <c r="B73" s="18" t="s">
        <v>78</v>
      </c>
      <c r="C73" s="18"/>
      <c r="D73" s="18"/>
      <c r="E73" s="18"/>
      <c r="F73" s="18"/>
      <c r="G73" s="18"/>
      <c r="H73" s="18"/>
      <c r="I73" s="30"/>
      <c r="J73" s="18"/>
      <c r="K73" s="25" t="n">
        <f aca="false">SUM(K70:K72)</f>
        <v>21384</v>
      </c>
      <c r="L73" s="18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</row>
    <row r="74" s="23" customFormat="true" ht="19.5" hidden="false" customHeight="true" outlineLevel="0" collapsed="false">
      <c r="A74" s="18" t="s">
        <v>278</v>
      </c>
      <c r="B74" s="24" t="s">
        <v>320</v>
      </c>
      <c r="C74" s="18" t="s">
        <v>280</v>
      </c>
      <c r="D74" s="18" t="s">
        <v>281</v>
      </c>
      <c r="E74" s="18" t="n">
        <v>1950</v>
      </c>
      <c r="F74" s="18" t="n">
        <v>300</v>
      </c>
      <c r="G74" s="18" t="n">
        <v>20</v>
      </c>
      <c r="H74" s="18" t="n">
        <v>1</v>
      </c>
      <c r="I74" s="25" t="n">
        <v>91.8</v>
      </c>
      <c r="J74" s="18" t="n">
        <v>24</v>
      </c>
      <c r="K74" s="25" t="n">
        <f aca="false">I74*J74</f>
        <v>2203.2</v>
      </c>
      <c r="L74" s="18"/>
      <c r="M74" s="32" t="str">
        <f aca="false">B74</f>
        <v>HG6</v>
      </c>
      <c r="N74" s="32"/>
      <c r="O74" s="33" t="n">
        <f aca="false">K76</f>
        <v>715.2</v>
      </c>
      <c r="P74" s="32"/>
      <c r="Q74" s="33" t="n">
        <f aca="false">K75</f>
        <v>18372</v>
      </c>
      <c r="R74" s="33" t="n">
        <f aca="false">K74</f>
        <v>2203.2</v>
      </c>
      <c r="S74" s="32"/>
      <c r="T74" s="34"/>
      <c r="U74" s="32"/>
      <c r="V74" s="32"/>
      <c r="W74" s="34"/>
      <c r="X74" s="32" t="n">
        <f aca="false">SUM(N74:W77)</f>
        <v>21290.4</v>
      </c>
      <c r="Y74" s="32" t="n">
        <f aca="false">2204.3+18372.3+714.6</f>
        <v>21291.2</v>
      </c>
      <c r="Z74" s="31" t="n">
        <f aca="false">X74-Y74</f>
        <v>-0.799999999995634</v>
      </c>
      <c r="AA74" s="32"/>
    </row>
    <row r="75" s="23" customFormat="true" ht="19.5" hidden="true" customHeight="true" outlineLevel="0" collapsed="false">
      <c r="A75" s="18"/>
      <c r="B75" s="18"/>
      <c r="C75" s="18" t="s">
        <v>282</v>
      </c>
      <c r="D75" s="18" t="s">
        <v>281</v>
      </c>
      <c r="E75" s="18"/>
      <c r="F75" s="18"/>
      <c r="G75" s="18" t="n">
        <v>16</v>
      </c>
      <c r="H75" s="18" t="n">
        <v>1</v>
      </c>
      <c r="I75" s="25" t="n">
        <v>765.5</v>
      </c>
      <c r="J75" s="18" t="n">
        <v>24</v>
      </c>
      <c r="K75" s="25" t="n">
        <f aca="false">I75*J75</f>
        <v>18372</v>
      </c>
      <c r="L75" s="18"/>
      <c r="M75" s="32"/>
      <c r="N75" s="32"/>
      <c r="O75" s="32"/>
      <c r="P75" s="32"/>
      <c r="Q75" s="32"/>
      <c r="R75" s="32"/>
      <c r="S75" s="32"/>
      <c r="T75" s="34"/>
      <c r="U75" s="32"/>
      <c r="V75" s="32"/>
      <c r="W75" s="34"/>
      <c r="X75" s="32"/>
      <c r="Y75" s="32"/>
      <c r="Z75" s="32"/>
      <c r="AA75" s="32"/>
    </row>
    <row r="76" s="23" customFormat="true" ht="19.5" hidden="true" customHeight="true" outlineLevel="0" collapsed="false">
      <c r="A76" s="18"/>
      <c r="B76" s="18"/>
      <c r="C76" s="18" t="s">
        <v>283</v>
      </c>
      <c r="D76" s="18" t="s">
        <v>281</v>
      </c>
      <c r="E76" s="18" t="n">
        <v>3161</v>
      </c>
      <c r="F76" s="18" t="n">
        <v>100</v>
      </c>
      <c r="G76" s="18" t="n">
        <v>12</v>
      </c>
      <c r="H76" s="18" t="n">
        <v>1</v>
      </c>
      <c r="I76" s="25" t="n">
        <v>29.8</v>
      </c>
      <c r="J76" s="18" t="n">
        <v>24</v>
      </c>
      <c r="K76" s="25" t="n">
        <f aca="false">I76*J76</f>
        <v>715.2</v>
      </c>
      <c r="L76" s="18"/>
      <c r="M76" s="32"/>
      <c r="N76" s="32"/>
      <c r="O76" s="32"/>
      <c r="P76" s="32"/>
      <c r="Q76" s="32"/>
      <c r="R76" s="32"/>
      <c r="S76" s="32"/>
      <c r="T76" s="34"/>
      <c r="U76" s="32"/>
      <c r="V76" s="32"/>
      <c r="W76" s="34"/>
      <c r="X76" s="32"/>
      <c r="Y76" s="32"/>
      <c r="Z76" s="32"/>
      <c r="AA76" s="32"/>
    </row>
    <row r="77" s="23" customFormat="true" ht="19.5" hidden="true" customHeight="true" outlineLevel="0" collapsed="false">
      <c r="A77" s="18"/>
      <c r="B77" s="18" t="s">
        <v>78</v>
      </c>
      <c r="C77" s="18"/>
      <c r="D77" s="18"/>
      <c r="E77" s="18"/>
      <c r="F77" s="18"/>
      <c r="G77" s="18"/>
      <c r="H77" s="18"/>
      <c r="I77" s="30"/>
      <c r="J77" s="18"/>
      <c r="K77" s="25" t="n">
        <f aca="false">SUM(K74:K76)</f>
        <v>21290.4</v>
      </c>
      <c r="L77" s="18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="23" customFormat="true" ht="19.5" hidden="true" customHeight="true" outlineLevel="0" collapsed="false">
      <c r="A78" s="18" t="s">
        <v>321</v>
      </c>
      <c r="B78" s="24" t="s">
        <v>322</v>
      </c>
      <c r="C78" s="18" t="s">
        <v>280</v>
      </c>
      <c r="D78" s="18" t="s">
        <v>281</v>
      </c>
      <c r="E78" s="18" t="n">
        <v>2642</v>
      </c>
      <c r="F78" s="18" t="n">
        <v>160</v>
      </c>
      <c r="G78" s="18" t="n">
        <v>12</v>
      </c>
      <c r="H78" s="18" t="n">
        <v>1</v>
      </c>
      <c r="I78" s="25" t="n">
        <f aca="false">(E78/1000)*(F78/1000)*(G78/1000)*7850</f>
        <v>39.820224</v>
      </c>
      <c r="J78" s="29" t="n">
        <v>144</v>
      </c>
      <c r="K78" s="25" t="n">
        <f aca="false">I78*J78</f>
        <v>5734.112256</v>
      </c>
      <c r="L78" s="18" t="s">
        <v>323</v>
      </c>
      <c r="M78" s="32" t="str">
        <f aca="false">B78</f>
        <v>L1横肋</v>
      </c>
      <c r="N78" s="32"/>
      <c r="O78" s="32" t="n">
        <f aca="false">K78+K79</f>
        <v>11635.342848</v>
      </c>
      <c r="P78" s="32"/>
      <c r="Q78" s="32"/>
      <c r="R78" s="32"/>
      <c r="S78" s="32"/>
      <c r="T78" s="34"/>
      <c r="U78" s="32"/>
      <c r="V78" s="32"/>
      <c r="W78" s="34"/>
      <c r="X78" s="32" t="n">
        <f aca="false">SUM(N78:W80)</f>
        <v>11635.342848</v>
      </c>
      <c r="Y78" s="32" t="n">
        <f aca="false">5734.1+5901.2</f>
        <v>11635.3</v>
      </c>
      <c r="Z78" s="31" t="n">
        <f aca="false">X78-Y78</f>
        <v>0.0428480000009586</v>
      </c>
      <c r="AA78" s="32"/>
    </row>
    <row r="79" s="23" customFormat="true" ht="19.5" hidden="true" customHeight="true" outlineLevel="0" collapsed="false">
      <c r="A79" s="18"/>
      <c r="B79" s="18"/>
      <c r="C79" s="18" t="s">
        <v>282</v>
      </c>
      <c r="D79" s="18" t="s">
        <v>281</v>
      </c>
      <c r="E79" s="18" t="n">
        <v>2719</v>
      </c>
      <c r="F79" s="18" t="n">
        <v>160</v>
      </c>
      <c r="G79" s="18" t="n">
        <v>12</v>
      </c>
      <c r="H79" s="18" t="n">
        <v>1</v>
      </c>
      <c r="I79" s="25" t="n">
        <f aca="false">(E79/1000)*(F79/1000)*(G79/1000)*7850</f>
        <v>40.980768</v>
      </c>
      <c r="J79" s="29" t="n">
        <v>144</v>
      </c>
      <c r="K79" s="25" t="n">
        <f aca="false">I79*J79</f>
        <v>5901.230592</v>
      </c>
      <c r="L79" s="18" t="s">
        <v>323</v>
      </c>
      <c r="M79" s="32"/>
      <c r="N79" s="32"/>
      <c r="O79" s="32"/>
      <c r="P79" s="32"/>
      <c r="Q79" s="32"/>
      <c r="R79" s="32"/>
      <c r="S79" s="32"/>
      <c r="T79" s="34"/>
      <c r="U79" s="32"/>
      <c r="V79" s="32"/>
      <c r="W79" s="34"/>
      <c r="X79" s="32"/>
      <c r="Y79" s="32"/>
      <c r="Z79" s="32"/>
      <c r="AA79" s="32"/>
    </row>
    <row r="80" s="23" customFormat="true" ht="19.5" hidden="true" customHeight="true" outlineLevel="0" collapsed="false">
      <c r="A80" s="18"/>
      <c r="B80" s="18" t="s">
        <v>78</v>
      </c>
      <c r="C80" s="18"/>
      <c r="D80" s="18"/>
      <c r="E80" s="18"/>
      <c r="F80" s="18"/>
      <c r="G80" s="18"/>
      <c r="H80" s="18"/>
      <c r="I80" s="30"/>
      <c r="J80" s="18"/>
      <c r="K80" s="25" t="n">
        <f aca="false">SUM(K78:K79)</f>
        <v>11635.342848</v>
      </c>
      <c r="L80" s="18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="23" customFormat="true" ht="19.5" hidden="true" customHeight="true" outlineLevel="0" collapsed="false">
      <c r="A81" s="18" t="s">
        <v>321</v>
      </c>
      <c r="B81" s="24" t="s">
        <v>324</v>
      </c>
      <c r="C81" s="18" t="s">
        <v>280</v>
      </c>
      <c r="D81" s="18" t="s">
        <v>281</v>
      </c>
      <c r="E81" s="18" t="n">
        <v>2638</v>
      </c>
      <c r="F81" s="18" t="n">
        <v>160</v>
      </c>
      <c r="G81" s="18" t="n">
        <v>12</v>
      </c>
      <c r="H81" s="18" t="n">
        <v>1</v>
      </c>
      <c r="I81" s="25" t="n">
        <f aca="false">(E81/1000)*(F81/1000)*(G81/1000)*7850</f>
        <v>39.759936</v>
      </c>
      <c r="J81" s="18" t="n">
        <v>336</v>
      </c>
      <c r="K81" s="25" t="n">
        <f aca="false">I81*J81</f>
        <v>13359.338496</v>
      </c>
      <c r="L81" s="18"/>
      <c r="M81" s="32" t="str">
        <f aca="false">B81</f>
        <v>L2横肋</v>
      </c>
      <c r="N81" s="32"/>
      <c r="O81" s="32" t="n">
        <f aca="false">K81+K82</f>
        <v>27108.619776</v>
      </c>
      <c r="P81" s="32"/>
      <c r="Q81" s="32"/>
      <c r="R81" s="32"/>
      <c r="S81" s="32"/>
      <c r="T81" s="34"/>
      <c r="U81" s="32"/>
      <c r="V81" s="32"/>
      <c r="W81" s="34"/>
      <c r="X81" s="32" t="n">
        <f aca="false">SUM(N81:W83)</f>
        <v>27108.619776</v>
      </c>
      <c r="Y81" s="32" t="n">
        <f aca="false">13359.3+13749.3</f>
        <v>27108.6</v>
      </c>
      <c r="Z81" s="31" t="n">
        <f aca="false">X81-Y81</f>
        <v>0.0197760000010021</v>
      </c>
      <c r="AA81" s="32"/>
    </row>
    <row r="82" s="23" customFormat="true" ht="19.5" hidden="true" customHeight="true" outlineLevel="0" collapsed="false">
      <c r="A82" s="18"/>
      <c r="B82" s="18"/>
      <c r="C82" s="18" t="s">
        <v>282</v>
      </c>
      <c r="D82" s="18" t="s">
        <v>281</v>
      </c>
      <c r="E82" s="18" t="n">
        <v>2715</v>
      </c>
      <c r="F82" s="18" t="n">
        <v>160</v>
      </c>
      <c r="G82" s="18" t="n">
        <v>12</v>
      </c>
      <c r="H82" s="18" t="n">
        <v>1</v>
      </c>
      <c r="I82" s="25" t="n">
        <f aca="false">(E82/1000)*(F82/1000)*(G82/1000)*7850</f>
        <v>40.92048</v>
      </c>
      <c r="J82" s="18" t="n">
        <v>336</v>
      </c>
      <c r="K82" s="25" t="n">
        <f aca="false">I82*J82</f>
        <v>13749.28128</v>
      </c>
      <c r="L82" s="18"/>
      <c r="M82" s="32"/>
      <c r="N82" s="32"/>
      <c r="O82" s="32"/>
      <c r="P82" s="32"/>
      <c r="Q82" s="32"/>
      <c r="R82" s="32"/>
      <c r="S82" s="32"/>
      <c r="T82" s="34"/>
      <c r="U82" s="32"/>
      <c r="V82" s="32"/>
      <c r="W82" s="34"/>
      <c r="X82" s="32"/>
      <c r="Y82" s="32"/>
      <c r="Z82" s="32"/>
      <c r="AA82" s="32"/>
    </row>
    <row r="83" s="23" customFormat="true" ht="19.5" hidden="true" customHeight="true" outlineLevel="0" collapsed="false">
      <c r="A83" s="18"/>
      <c r="B83" s="18" t="s">
        <v>78</v>
      </c>
      <c r="C83" s="18"/>
      <c r="D83" s="18"/>
      <c r="E83" s="18"/>
      <c r="F83" s="18"/>
      <c r="G83" s="18"/>
      <c r="H83" s="18"/>
      <c r="I83" s="25"/>
      <c r="J83" s="18"/>
      <c r="K83" s="25" t="n">
        <f aca="false">SUM(K81:K82)</f>
        <v>27108.619776</v>
      </c>
      <c r="L83" s="18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="23" customFormat="true" ht="19.5" hidden="true" customHeight="true" outlineLevel="0" collapsed="false">
      <c r="A84" s="18" t="s">
        <v>321</v>
      </c>
      <c r="B84" s="24" t="s">
        <v>325</v>
      </c>
      <c r="C84" s="18" t="s">
        <v>280</v>
      </c>
      <c r="D84" s="18" t="s">
        <v>281</v>
      </c>
      <c r="E84" s="18" t="n">
        <v>2632</v>
      </c>
      <c r="F84" s="18" t="n">
        <v>160</v>
      </c>
      <c r="G84" s="18" t="n">
        <v>12</v>
      </c>
      <c r="H84" s="18" t="n">
        <v>1</v>
      </c>
      <c r="I84" s="25" t="n">
        <f aca="false">(E84/1000)*(F84/1000)*(G84/1000)*7850</f>
        <v>39.669504</v>
      </c>
      <c r="J84" s="18" t="n">
        <v>48</v>
      </c>
      <c r="K84" s="25" t="n">
        <f aca="false">I84*J84</f>
        <v>1904.136192</v>
      </c>
      <c r="L84" s="18"/>
      <c r="M84" s="32" t="str">
        <f aca="false">B84</f>
        <v>L3横肋</v>
      </c>
      <c r="N84" s="32"/>
      <c r="O84" s="32" t="n">
        <f aca="false">K84+K85</f>
        <v>3863.978496</v>
      </c>
      <c r="P84" s="32"/>
      <c r="Q84" s="32"/>
      <c r="R84" s="32"/>
      <c r="S84" s="32"/>
      <c r="T84" s="34"/>
      <c r="U84" s="32"/>
      <c r="V84" s="32"/>
      <c r="W84" s="34"/>
      <c r="X84" s="32" t="n">
        <f aca="false">SUM(N84:W86)</f>
        <v>3863.978496</v>
      </c>
      <c r="Y84" s="32" t="n">
        <f aca="false">1904.1+1959.8</f>
        <v>3863.9</v>
      </c>
      <c r="Z84" s="31" t="n">
        <f aca="false">X84-Y84</f>
        <v>0.078496000000996</v>
      </c>
      <c r="AA84" s="32"/>
    </row>
    <row r="85" s="23" customFormat="true" ht="19.5" hidden="true" customHeight="true" outlineLevel="0" collapsed="false">
      <c r="A85" s="18"/>
      <c r="B85" s="18"/>
      <c r="C85" s="18" t="s">
        <v>282</v>
      </c>
      <c r="D85" s="18" t="s">
        <v>281</v>
      </c>
      <c r="E85" s="18" t="n">
        <v>2709</v>
      </c>
      <c r="F85" s="18" t="n">
        <v>160</v>
      </c>
      <c r="G85" s="18" t="n">
        <v>12</v>
      </c>
      <c r="H85" s="18" t="n">
        <v>1</v>
      </c>
      <c r="I85" s="25" t="n">
        <f aca="false">(E85/1000)*(F85/1000)*(G85/1000)*7850</f>
        <v>40.830048</v>
      </c>
      <c r="J85" s="18" t="n">
        <v>48</v>
      </c>
      <c r="K85" s="25" t="n">
        <f aca="false">I85*J85</f>
        <v>1959.842304</v>
      </c>
      <c r="L85" s="18"/>
      <c r="M85" s="32"/>
      <c r="N85" s="32"/>
      <c r="O85" s="32"/>
      <c r="P85" s="32"/>
      <c r="Q85" s="32"/>
      <c r="R85" s="32"/>
      <c r="S85" s="32"/>
      <c r="T85" s="34"/>
      <c r="U85" s="32"/>
      <c r="V85" s="32"/>
      <c r="W85" s="34"/>
      <c r="X85" s="32"/>
      <c r="Y85" s="32"/>
      <c r="Z85" s="32"/>
      <c r="AA85" s="32"/>
    </row>
    <row r="86" s="23" customFormat="true" ht="19.5" hidden="true" customHeight="true" outlineLevel="0" collapsed="false">
      <c r="A86" s="18"/>
      <c r="B86" s="18" t="s">
        <v>78</v>
      </c>
      <c r="C86" s="18"/>
      <c r="D86" s="18"/>
      <c r="E86" s="18"/>
      <c r="F86" s="18"/>
      <c r="G86" s="18"/>
      <c r="H86" s="18"/>
      <c r="I86" s="25"/>
      <c r="J86" s="18"/>
      <c r="K86" s="25" t="n">
        <f aca="false">SUM(K84:K85)</f>
        <v>3863.978496</v>
      </c>
      <c r="L86" s="18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="23" customFormat="true" ht="19.5" hidden="false" customHeight="true" outlineLevel="0" collapsed="false">
      <c r="A87" s="18" t="s">
        <v>321</v>
      </c>
      <c r="B87" s="24" t="s">
        <v>326</v>
      </c>
      <c r="C87" s="18" t="s">
        <v>280</v>
      </c>
      <c r="D87" s="18" t="s">
        <v>281</v>
      </c>
      <c r="E87" s="18"/>
      <c r="F87" s="18"/>
      <c r="G87" s="18" t="n">
        <v>20</v>
      </c>
      <c r="H87" s="18" t="n">
        <v>1</v>
      </c>
      <c r="I87" s="25" t="n">
        <v>314</v>
      </c>
      <c r="J87" s="18" t="n">
        <v>112</v>
      </c>
      <c r="K87" s="25" t="n">
        <f aca="false">I87*J87</f>
        <v>35168</v>
      </c>
      <c r="L87" s="18"/>
      <c r="M87" s="32" t="str">
        <f aca="false">B87</f>
        <v>U肋</v>
      </c>
      <c r="N87" s="32"/>
      <c r="O87" s="32"/>
      <c r="P87" s="32"/>
      <c r="Q87" s="32"/>
      <c r="R87" s="32" t="n">
        <f aca="false">K87+K88</f>
        <v>37172.8</v>
      </c>
      <c r="S87" s="32"/>
      <c r="T87" s="34"/>
      <c r="U87" s="32"/>
      <c r="V87" s="32"/>
      <c r="W87" s="34"/>
      <c r="X87" s="32" t="n">
        <f aca="false">SUM(N87:W89)</f>
        <v>37172.8</v>
      </c>
      <c r="Y87" s="32" t="n">
        <f aca="false">35163.5+2008</f>
        <v>37171.5</v>
      </c>
      <c r="Z87" s="31" t="n">
        <f aca="false">X87-Y87</f>
        <v>1.30000000000291</v>
      </c>
      <c r="AA87" s="32"/>
    </row>
    <row r="88" s="23" customFormat="true" ht="19.5" hidden="false" customHeight="true" outlineLevel="0" collapsed="false">
      <c r="A88" s="18"/>
      <c r="B88" s="18"/>
      <c r="C88" s="18" t="s">
        <v>282</v>
      </c>
      <c r="D88" s="18" t="s">
        <v>281</v>
      </c>
      <c r="E88" s="18"/>
      <c r="F88" s="18"/>
      <c r="G88" s="18" t="n">
        <v>20</v>
      </c>
      <c r="H88" s="18" t="n">
        <v>1</v>
      </c>
      <c r="I88" s="35" t="n">
        <v>17.9</v>
      </c>
      <c r="J88" s="29" t="n">
        <v>112</v>
      </c>
      <c r="K88" s="25" t="n">
        <f aca="false">I88*J88</f>
        <v>2004.8</v>
      </c>
      <c r="L88" s="18" t="s">
        <v>327</v>
      </c>
      <c r="M88" s="32"/>
      <c r="N88" s="32"/>
      <c r="O88" s="32"/>
      <c r="P88" s="32"/>
      <c r="Q88" s="32"/>
      <c r="R88" s="32"/>
      <c r="S88" s="32"/>
      <c r="T88" s="34"/>
      <c r="U88" s="32"/>
      <c r="V88" s="32"/>
      <c r="W88" s="34"/>
      <c r="X88" s="32"/>
      <c r="Y88" s="32"/>
      <c r="Z88" s="32"/>
      <c r="AA88" s="32"/>
    </row>
    <row r="89" s="23" customFormat="true" ht="19.5" hidden="true" customHeight="true" outlineLevel="0" collapsed="false">
      <c r="A89" s="18"/>
      <c r="B89" s="18" t="s">
        <v>78</v>
      </c>
      <c r="C89" s="18"/>
      <c r="D89" s="18"/>
      <c r="E89" s="18"/>
      <c r="F89" s="18"/>
      <c r="G89" s="18"/>
      <c r="H89" s="18"/>
      <c r="I89" s="25"/>
      <c r="J89" s="18"/>
      <c r="K89" s="25" t="n">
        <f aca="false">SUM(K87:K88)</f>
        <v>37172.8</v>
      </c>
      <c r="L89" s="18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</row>
    <row r="90" s="23" customFormat="true" ht="19.5" hidden="true" customHeight="true" outlineLevel="0" collapsed="false">
      <c r="A90" s="18" t="s">
        <v>328</v>
      </c>
      <c r="B90" s="24" t="s">
        <v>329</v>
      </c>
      <c r="C90" s="18" t="s">
        <v>280</v>
      </c>
      <c r="D90" s="18" t="s">
        <v>281</v>
      </c>
      <c r="E90" s="18" t="n">
        <v>1790</v>
      </c>
      <c r="F90" s="18" t="n">
        <v>2001</v>
      </c>
      <c r="G90" s="18" t="n">
        <v>16</v>
      </c>
      <c r="H90" s="18" t="n">
        <v>1</v>
      </c>
      <c r="I90" s="25" t="n">
        <f aca="false">(E90/1000)*(F90/1000)*(G90/1000)*7850</f>
        <v>449.872824</v>
      </c>
      <c r="J90" s="18" t="n">
        <v>24</v>
      </c>
      <c r="K90" s="25" t="n">
        <f aca="false">I90*J90</f>
        <v>10796.947776</v>
      </c>
      <c r="L90" s="18"/>
      <c r="M90" s="32" t="str">
        <f aca="false">B90</f>
        <v>XJZ1</v>
      </c>
      <c r="N90" s="32"/>
      <c r="O90" s="32" t="n">
        <f aca="false">K94+K95</f>
        <v>14608.8</v>
      </c>
      <c r="P90" s="32"/>
      <c r="Q90" s="33" t="n">
        <f aca="false">K90</f>
        <v>10796.947776</v>
      </c>
      <c r="R90" s="32" t="n">
        <f aca="false">K91+K92+K93+K96+K97+K98</f>
        <v>22413.26304</v>
      </c>
      <c r="S90" s="32"/>
      <c r="T90" s="32"/>
      <c r="U90" s="32"/>
      <c r="V90" s="32"/>
      <c r="W90" s="32"/>
      <c r="X90" s="32" t="n">
        <f aca="false">SUM(N90:W99)</f>
        <v>47819.010816</v>
      </c>
      <c r="Y90" s="32" t="n">
        <v>47820.1</v>
      </c>
      <c r="Z90" s="31" t="n">
        <f aca="false">X90-Y90</f>
        <v>-1.08918400000402</v>
      </c>
      <c r="AA90" s="32"/>
    </row>
    <row r="91" s="23" customFormat="true" ht="19.5" hidden="false" customHeight="true" outlineLevel="0" collapsed="false">
      <c r="A91" s="18"/>
      <c r="B91" s="18"/>
      <c r="C91" s="18" t="s">
        <v>282</v>
      </c>
      <c r="D91" s="18" t="s">
        <v>281</v>
      </c>
      <c r="E91" s="18" t="n">
        <v>1974</v>
      </c>
      <c r="F91" s="18" t="n">
        <v>285</v>
      </c>
      <c r="G91" s="18" t="n">
        <v>20</v>
      </c>
      <c r="H91" s="18" t="n">
        <v>1</v>
      </c>
      <c r="I91" s="25" t="n">
        <f aca="false">(E91/1000)*(F91/1000)*(G91/1000)*7850</f>
        <v>88.32663</v>
      </c>
      <c r="J91" s="18" t="n">
        <v>24</v>
      </c>
      <c r="K91" s="25" t="n">
        <f aca="false">I91*J91</f>
        <v>2119.83912</v>
      </c>
      <c r="L91" s="18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</row>
    <row r="92" s="23" customFormat="true" ht="19.5" hidden="false" customHeight="true" outlineLevel="0" collapsed="false">
      <c r="A92" s="18"/>
      <c r="B92" s="18"/>
      <c r="C92" s="18" t="s">
        <v>311</v>
      </c>
      <c r="D92" s="18" t="s">
        <v>281</v>
      </c>
      <c r="E92" s="18" t="n">
        <v>1974</v>
      </c>
      <c r="F92" s="18" t="n">
        <v>285</v>
      </c>
      <c r="G92" s="18" t="n">
        <v>20</v>
      </c>
      <c r="H92" s="18" t="n">
        <v>1</v>
      </c>
      <c r="I92" s="25" t="n">
        <f aca="false">(E92/1000)*(F92/1000)*(G92/1000)*7850</f>
        <v>88.32663</v>
      </c>
      <c r="J92" s="18" t="n">
        <v>24</v>
      </c>
      <c r="K92" s="25" t="n">
        <f aca="false">I92*J92</f>
        <v>2119.83912</v>
      </c>
      <c r="L92" s="18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</row>
    <row r="93" s="23" customFormat="true" ht="19.5" hidden="false" customHeight="true" outlineLevel="0" collapsed="false">
      <c r="A93" s="18"/>
      <c r="B93" s="18"/>
      <c r="C93" s="18" t="s">
        <v>283</v>
      </c>
      <c r="D93" s="18" t="s">
        <v>281</v>
      </c>
      <c r="E93" s="18" t="n">
        <v>1974</v>
      </c>
      <c r="F93" s="18" t="n">
        <v>2001</v>
      </c>
      <c r="G93" s="18" t="n">
        <v>20</v>
      </c>
      <c r="H93" s="18" t="n">
        <v>1</v>
      </c>
      <c r="I93" s="25" t="n">
        <v>618.9</v>
      </c>
      <c r="J93" s="18" t="n">
        <v>24</v>
      </c>
      <c r="K93" s="25" t="n">
        <f aca="false">I93*J93</f>
        <v>14853.6</v>
      </c>
      <c r="L93" s="18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s="23" customFormat="true" ht="19.5" hidden="true" customHeight="true" outlineLevel="0" collapsed="false">
      <c r="A94" s="18"/>
      <c r="B94" s="18"/>
      <c r="C94" s="18" t="s">
        <v>293</v>
      </c>
      <c r="D94" s="18" t="s">
        <v>281</v>
      </c>
      <c r="E94" s="18" t="n">
        <v>1970</v>
      </c>
      <c r="F94" s="18" t="n">
        <v>1230</v>
      </c>
      <c r="G94" s="18" t="n">
        <v>12</v>
      </c>
      <c r="H94" s="18" t="n">
        <v>5</v>
      </c>
      <c r="I94" s="35" t="n">
        <v>411.4</v>
      </c>
      <c r="J94" s="18" t="n">
        <v>24</v>
      </c>
      <c r="K94" s="25" t="n">
        <f aca="false">I94*J94</f>
        <v>9873.6</v>
      </c>
      <c r="L94" s="18" t="s">
        <v>323</v>
      </c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s="23" customFormat="true" ht="19.5" hidden="true" customHeight="true" outlineLevel="0" collapsed="false">
      <c r="A95" s="18"/>
      <c r="B95" s="18"/>
      <c r="C95" s="18" t="s">
        <v>312</v>
      </c>
      <c r="D95" s="18" t="s">
        <v>281</v>
      </c>
      <c r="E95" s="18" t="n">
        <v>1970</v>
      </c>
      <c r="F95" s="18" t="n">
        <v>440</v>
      </c>
      <c r="G95" s="18" t="n">
        <v>12</v>
      </c>
      <c r="H95" s="18" t="n">
        <v>5</v>
      </c>
      <c r="I95" s="25" t="n">
        <v>197.3</v>
      </c>
      <c r="J95" s="18" t="n">
        <v>24</v>
      </c>
      <c r="K95" s="25" t="n">
        <f aca="false">I95*J95</f>
        <v>4735.2</v>
      </c>
      <c r="L95" s="18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s="23" customFormat="true" ht="19.5" hidden="false" customHeight="true" outlineLevel="0" collapsed="false">
      <c r="A96" s="18"/>
      <c r="B96" s="18"/>
      <c r="C96" s="18" t="s">
        <v>294</v>
      </c>
      <c r="D96" s="18" t="s">
        <v>281</v>
      </c>
      <c r="E96" s="18" t="n">
        <v>300</v>
      </c>
      <c r="F96" s="18" t="n">
        <v>300</v>
      </c>
      <c r="G96" s="18" t="n">
        <v>20</v>
      </c>
      <c r="H96" s="18" t="n">
        <v>2</v>
      </c>
      <c r="I96" s="25" t="n">
        <f aca="false">(E96/1000)*(F96/1000)*(G96/1000)*7850*H96</f>
        <v>28.26</v>
      </c>
      <c r="J96" s="18" t="n">
        <v>24</v>
      </c>
      <c r="K96" s="25" t="n">
        <f aca="false">I96*J96</f>
        <v>678.24</v>
      </c>
      <c r="L96" s="18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s="23" customFormat="true" ht="19.5" hidden="false" customHeight="true" outlineLevel="0" collapsed="false">
      <c r="A97" s="18"/>
      <c r="B97" s="18"/>
      <c r="C97" s="18" t="s">
        <v>295</v>
      </c>
      <c r="D97" s="18" t="s">
        <v>281</v>
      </c>
      <c r="E97" s="18" t="n">
        <v>2001</v>
      </c>
      <c r="F97" s="18" t="n">
        <v>300</v>
      </c>
      <c r="G97" s="18" t="n">
        <v>20</v>
      </c>
      <c r="H97" s="18" t="n">
        <v>1</v>
      </c>
      <c r="I97" s="25" t="n">
        <f aca="false">(E97/1000)*(F97/1000)*(G97/1000)*7850*H97</f>
        <v>94.2471</v>
      </c>
      <c r="J97" s="18" t="n">
        <v>24</v>
      </c>
      <c r="K97" s="25" t="n">
        <f aca="false">I97*J97</f>
        <v>2261.9304</v>
      </c>
      <c r="L97" s="18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s="23" customFormat="true" ht="19.5" hidden="false" customHeight="true" outlineLevel="0" collapsed="false">
      <c r="A98" s="18"/>
      <c r="B98" s="18"/>
      <c r="C98" s="18" t="s">
        <v>296</v>
      </c>
      <c r="D98" s="18" t="s">
        <v>281</v>
      </c>
      <c r="E98" s="18" t="n">
        <v>180</v>
      </c>
      <c r="F98" s="18" t="n">
        <v>140</v>
      </c>
      <c r="G98" s="18" t="n">
        <v>20</v>
      </c>
      <c r="H98" s="18" t="n">
        <v>4</v>
      </c>
      <c r="I98" s="25" t="n">
        <f aca="false">(E98/1000)*(F98/1000)*(G98/1000)*7850*H98</f>
        <v>15.8256</v>
      </c>
      <c r="J98" s="18" t="n">
        <v>24</v>
      </c>
      <c r="K98" s="25" t="n">
        <f aca="false">I98*J98</f>
        <v>379.8144</v>
      </c>
      <c r="L98" s="18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s="23" customFormat="true" ht="19.5" hidden="true" customHeight="true" outlineLevel="0" collapsed="false">
      <c r="A99" s="18"/>
      <c r="B99" s="18" t="s">
        <v>78</v>
      </c>
      <c r="C99" s="18"/>
      <c r="D99" s="18"/>
      <c r="E99" s="18"/>
      <c r="F99" s="18"/>
      <c r="G99" s="18"/>
      <c r="H99" s="18"/>
      <c r="I99" s="30"/>
      <c r="J99" s="18"/>
      <c r="K99" s="25" t="n">
        <f aca="false">SUM(K90:K98)</f>
        <v>47819.010816</v>
      </c>
      <c r="L99" s="18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="23" customFormat="true" ht="19.5" hidden="true" customHeight="true" outlineLevel="0" collapsed="false">
      <c r="A100" s="18" t="s">
        <v>328</v>
      </c>
      <c r="B100" s="24" t="s">
        <v>330</v>
      </c>
      <c r="C100" s="18" t="s">
        <v>280</v>
      </c>
      <c r="D100" s="18" t="s">
        <v>281</v>
      </c>
      <c r="E100" s="18" t="n">
        <v>2000</v>
      </c>
      <c r="F100" s="18" t="n">
        <v>600</v>
      </c>
      <c r="G100" s="18" t="n">
        <v>16</v>
      </c>
      <c r="H100" s="18" t="n">
        <v>1</v>
      </c>
      <c r="I100" s="25" t="n">
        <f aca="false">(E100/1000)*(F100/1000)*(G100/1000)*7850</f>
        <v>150.72</v>
      </c>
      <c r="J100" s="18" t="n">
        <v>8</v>
      </c>
      <c r="K100" s="25" t="n">
        <f aca="false">I100*J100</f>
        <v>1205.76</v>
      </c>
      <c r="L100" s="18"/>
      <c r="M100" s="32" t="str">
        <f aca="false">B100</f>
        <v>XJZ2</v>
      </c>
      <c r="N100" s="32"/>
      <c r="O100" s="32" t="n">
        <f aca="false">K104+K105</f>
        <v>1185.059584</v>
      </c>
      <c r="P100" s="32"/>
      <c r="Q100" s="32" t="n">
        <f aca="false">K100+K106</f>
        <v>1376.495616</v>
      </c>
      <c r="R100" s="32" t="n">
        <f aca="false">K101+K102+K103</f>
        <v>7632.872768</v>
      </c>
      <c r="S100" s="32"/>
      <c r="T100" s="32"/>
      <c r="U100" s="32"/>
      <c r="V100" s="32"/>
      <c r="W100" s="32"/>
      <c r="X100" s="32" t="n">
        <f aca="false">SUM(N100:W107)</f>
        <v>10194.427968</v>
      </c>
      <c r="Y100" s="32" t="n">
        <f aca="false">1205.8+4958.7+1418.2+1256+351.7+833.1+170.7</f>
        <v>10194.2</v>
      </c>
      <c r="Z100" s="31" t="n">
        <f aca="false">X100-Y100</f>
        <v>0.227967999997418</v>
      </c>
      <c r="AA100" s="32"/>
    </row>
    <row r="101" s="23" customFormat="true" ht="19.5" hidden="false" customHeight="true" outlineLevel="0" collapsed="false">
      <c r="A101" s="18"/>
      <c r="B101" s="18"/>
      <c r="C101" s="18" t="s">
        <v>282</v>
      </c>
      <c r="D101" s="18" t="s">
        <v>281</v>
      </c>
      <c r="E101" s="18" t="n">
        <v>1974</v>
      </c>
      <c r="F101" s="18" t="n">
        <v>2000</v>
      </c>
      <c r="G101" s="18" t="n">
        <v>20</v>
      </c>
      <c r="H101" s="18" t="n">
        <v>1</v>
      </c>
      <c r="I101" s="25" t="n">
        <f aca="false">(E101/1000)*(F101/1000)*(G101/1000)*7850</f>
        <v>619.836</v>
      </c>
      <c r="J101" s="18" t="n">
        <v>8</v>
      </c>
      <c r="K101" s="25" t="n">
        <f aca="false">I101*J101</f>
        <v>4958.688</v>
      </c>
      <c r="L101" s="18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="23" customFormat="true" ht="19.5" hidden="false" customHeight="true" outlineLevel="0" collapsed="false">
      <c r="A102" s="18"/>
      <c r="B102" s="18"/>
      <c r="C102" s="18" t="s">
        <v>283</v>
      </c>
      <c r="D102" s="18" t="s">
        <v>281</v>
      </c>
      <c r="E102" s="18" t="n">
        <v>1974</v>
      </c>
      <c r="F102" s="18" t="n">
        <v>286</v>
      </c>
      <c r="G102" s="18" t="n">
        <v>20</v>
      </c>
      <c r="H102" s="18" t="n">
        <v>2</v>
      </c>
      <c r="I102" s="25" t="n">
        <f aca="false">(E102/1000)*(F102/1000)*(G102/1000)*7850*H102</f>
        <v>177.273096</v>
      </c>
      <c r="J102" s="18" t="n">
        <v>8</v>
      </c>
      <c r="K102" s="25" t="n">
        <f aca="false">I102*J102</f>
        <v>1418.184768</v>
      </c>
      <c r="L102" s="18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="23" customFormat="true" ht="19.5" hidden="false" customHeight="true" outlineLevel="0" collapsed="false">
      <c r="A103" s="18"/>
      <c r="B103" s="18"/>
      <c r="C103" s="18" t="s">
        <v>293</v>
      </c>
      <c r="D103" s="18" t="s">
        <v>281</v>
      </c>
      <c r="E103" s="18" t="n">
        <v>2000</v>
      </c>
      <c r="F103" s="18" t="n">
        <v>500</v>
      </c>
      <c r="G103" s="18" t="n">
        <v>20</v>
      </c>
      <c r="H103" s="18" t="n">
        <v>1</v>
      </c>
      <c r="I103" s="25" t="n">
        <f aca="false">(E103/1000)*(F103/1000)*(G103/1000)*7850*H103</f>
        <v>157</v>
      </c>
      <c r="J103" s="18" t="n">
        <v>8</v>
      </c>
      <c r="K103" s="25" t="n">
        <f aca="false">I103*J103</f>
        <v>1256</v>
      </c>
      <c r="L103" s="18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="23" customFormat="true" ht="19.5" hidden="true" customHeight="true" outlineLevel="0" collapsed="false">
      <c r="A104" s="18"/>
      <c r="B104" s="18"/>
      <c r="C104" s="18" t="s">
        <v>294</v>
      </c>
      <c r="D104" s="18" t="s">
        <v>281</v>
      </c>
      <c r="E104" s="18" t="n">
        <v>280</v>
      </c>
      <c r="F104" s="18" t="n">
        <v>500</v>
      </c>
      <c r="G104" s="18" t="n">
        <v>12</v>
      </c>
      <c r="H104" s="18" t="n">
        <v>2</v>
      </c>
      <c r="I104" s="25" t="n">
        <v>44</v>
      </c>
      <c r="J104" s="18" t="n">
        <v>8</v>
      </c>
      <c r="K104" s="25" t="n">
        <f aca="false">I104*J104</f>
        <v>352</v>
      </c>
      <c r="L104" s="18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="23" customFormat="true" ht="19.5" hidden="true" customHeight="true" outlineLevel="0" collapsed="false">
      <c r="A105" s="18"/>
      <c r="B105" s="18"/>
      <c r="C105" s="18" t="s">
        <v>295</v>
      </c>
      <c r="D105" s="18" t="s">
        <v>281</v>
      </c>
      <c r="E105" s="18" t="n">
        <v>1974</v>
      </c>
      <c r="F105" s="18" t="n">
        <v>140</v>
      </c>
      <c r="G105" s="18" t="n">
        <v>12</v>
      </c>
      <c r="H105" s="18" t="n">
        <v>4</v>
      </c>
      <c r="I105" s="25" t="n">
        <f aca="false">(E105/1000)*(F105/1000)*(G105/1000)*7850*H105</f>
        <v>104.132448</v>
      </c>
      <c r="J105" s="18" t="n">
        <v>8</v>
      </c>
      <c r="K105" s="25" t="n">
        <f aca="false">I105*J105</f>
        <v>833.059584</v>
      </c>
      <c r="L105" s="18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="23" customFormat="true" ht="19.5" hidden="true" customHeight="true" outlineLevel="0" collapsed="false">
      <c r="A106" s="18"/>
      <c r="B106" s="18"/>
      <c r="C106" s="18" t="s">
        <v>296</v>
      </c>
      <c r="D106" s="18" t="s">
        <v>281</v>
      </c>
      <c r="E106" s="18" t="n">
        <v>236</v>
      </c>
      <c r="F106" s="18" t="n">
        <v>180</v>
      </c>
      <c r="G106" s="18" t="n">
        <v>16</v>
      </c>
      <c r="H106" s="18" t="n">
        <v>4</v>
      </c>
      <c r="I106" s="25" t="n">
        <f aca="false">(E106/1000)*(F106/1000)*(G106/1000)*7850*H106</f>
        <v>21.341952</v>
      </c>
      <c r="J106" s="18" t="n">
        <v>8</v>
      </c>
      <c r="K106" s="25" t="n">
        <f aca="false">I106*J106</f>
        <v>170.735616</v>
      </c>
      <c r="L106" s="18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="23" customFormat="true" ht="19.5" hidden="true" customHeight="true" outlineLevel="0" collapsed="false">
      <c r="A107" s="18"/>
      <c r="B107" s="18" t="s">
        <v>78</v>
      </c>
      <c r="C107" s="18"/>
      <c r="D107" s="18"/>
      <c r="E107" s="18"/>
      <c r="F107" s="18"/>
      <c r="G107" s="18"/>
      <c r="H107" s="18"/>
      <c r="I107" s="30"/>
      <c r="J107" s="18"/>
      <c r="K107" s="25" t="n">
        <f aca="false">SUM(K100:K106)</f>
        <v>10194.427968</v>
      </c>
      <c r="L107" s="18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="23" customFormat="true" ht="19.5" hidden="true" customHeight="true" outlineLevel="0" collapsed="false">
      <c r="A108" s="18" t="s">
        <v>328</v>
      </c>
      <c r="B108" s="24" t="s">
        <v>331</v>
      </c>
      <c r="C108" s="18" t="s">
        <v>280</v>
      </c>
      <c r="D108" s="18" t="s">
        <v>281</v>
      </c>
      <c r="E108" s="18" t="n">
        <v>2000</v>
      </c>
      <c r="F108" s="18" t="n">
        <v>600</v>
      </c>
      <c r="G108" s="18" t="n">
        <v>16</v>
      </c>
      <c r="H108" s="18" t="n">
        <v>1</v>
      </c>
      <c r="I108" s="25" t="n">
        <f aca="false">(E108/1000)*(F108/1000)*(G108/1000)*7850*H108</f>
        <v>150.72</v>
      </c>
      <c r="J108" s="18" t="n">
        <v>16</v>
      </c>
      <c r="K108" s="25" t="n">
        <f aca="false">I108*J108</f>
        <v>2411.52</v>
      </c>
      <c r="L108" s="18"/>
      <c r="M108" s="32" t="str">
        <f aca="false">B108</f>
        <v>XJZ3</v>
      </c>
      <c r="N108" s="32"/>
      <c r="O108" s="31" t="n">
        <f aca="false">K114</f>
        <v>1666.9632</v>
      </c>
      <c r="P108" s="31"/>
      <c r="Q108" s="31" t="n">
        <f aca="false">K108+K115</f>
        <v>2582.255616</v>
      </c>
      <c r="R108" s="31" t="n">
        <f aca="false">K109+K110+K111+K112+K113</f>
        <v>15923.811104</v>
      </c>
      <c r="S108" s="31"/>
      <c r="T108" s="31"/>
      <c r="U108" s="31"/>
      <c r="V108" s="31"/>
      <c r="W108" s="31"/>
      <c r="X108" s="31" t="n">
        <f aca="false">SUM(N108:W116)</f>
        <v>20173.02992</v>
      </c>
      <c r="Y108" s="32" t="n">
        <f aca="false">2411.5+9922.4+1413.2+1372.3+2512+703.4+1667+170.7</f>
        <v>20172.5</v>
      </c>
      <c r="Z108" s="31" t="n">
        <f aca="false">X108-Y108</f>
        <v>0.529919999997219</v>
      </c>
      <c r="AA108" s="32"/>
    </row>
    <row r="109" s="23" customFormat="true" ht="19.5" hidden="false" customHeight="true" outlineLevel="0" collapsed="false">
      <c r="A109" s="18"/>
      <c r="B109" s="18"/>
      <c r="C109" s="18" t="s">
        <v>282</v>
      </c>
      <c r="D109" s="18" t="s">
        <v>281</v>
      </c>
      <c r="E109" s="18" t="n">
        <v>1975</v>
      </c>
      <c r="F109" s="18" t="n">
        <v>2000</v>
      </c>
      <c r="G109" s="18" t="n">
        <v>20</v>
      </c>
      <c r="H109" s="18" t="n">
        <v>1</v>
      </c>
      <c r="I109" s="25" t="n">
        <f aca="false">(E109/1000)*(F109/1000)*(G109/1000)*7850*H109</f>
        <v>620.15</v>
      </c>
      <c r="J109" s="18" t="n">
        <v>16</v>
      </c>
      <c r="K109" s="25" t="n">
        <f aca="false">I109*J109</f>
        <v>9922.4</v>
      </c>
      <c r="L109" s="18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="23" customFormat="true" ht="19.5" hidden="false" customHeight="true" outlineLevel="0" collapsed="false">
      <c r="A110" s="18"/>
      <c r="B110" s="18"/>
      <c r="C110" s="18" t="s">
        <v>283</v>
      </c>
      <c r="D110" s="18" t="s">
        <v>281</v>
      </c>
      <c r="E110" s="18" t="n">
        <v>1967</v>
      </c>
      <c r="F110" s="18" t="n">
        <v>286</v>
      </c>
      <c r="G110" s="18" t="n">
        <v>20</v>
      </c>
      <c r="H110" s="18" t="n">
        <v>1</v>
      </c>
      <c r="I110" s="25" t="n">
        <f aca="false">(E110/1000)*(F110/1000)*(G110/1000)*7850*H110</f>
        <v>88.322234</v>
      </c>
      <c r="J110" s="18" t="n">
        <v>16</v>
      </c>
      <c r="K110" s="25" t="n">
        <f aca="false">I110*J110</f>
        <v>1413.155744</v>
      </c>
      <c r="L110" s="18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="23" customFormat="true" ht="19.5" hidden="false" customHeight="true" outlineLevel="0" collapsed="false">
      <c r="A111" s="18"/>
      <c r="B111" s="18"/>
      <c r="C111" s="18" t="s">
        <v>285</v>
      </c>
      <c r="D111" s="18" t="s">
        <v>281</v>
      </c>
      <c r="E111" s="18" t="n">
        <v>1951</v>
      </c>
      <c r="F111" s="18" t="n">
        <v>280</v>
      </c>
      <c r="G111" s="18" t="n">
        <v>20</v>
      </c>
      <c r="H111" s="18" t="n">
        <v>1</v>
      </c>
      <c r="I111" s="25" t="n">
        <f aca="false">(E111/1000)*(F111/1000)*(G111/1000)*7850*H111</f>
        <v>85.76596</v>
      </c>
      <c r="J111" s="18" t="n">
        <v>16</v>
      </c>
      <c r="K111" s="25" t="n">
        <f aca="false">I111*J111</f>
        <v>1372.25536</v>
      </c>
      <c r="L111" s="18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="23" customFormat="true" ht="19.5" hidden="false" customHeight="true" outlineLevel="0" collapsed="false">
      <c r="A112" s="18"/>
      <c r="B112" s="18"/>
      <c r="C112" s="18" t="s">
        <v>293</v>
      </c>
      <c r="D112" s="18" t="s">
        <v>281</v>
      </c>
      <c r="E112" s="18" t="n">
        <v>2000</v>
      </c>
      <c r="F112" s="18" t="n">
        <v>500</v>
      </c>
      <c r="G112" s="18" t="n">
        <v>20</v>
      </c>
      <c r="H112" s="18" t="n">
        <v>1</v>
      </c>
      <c r="I112" s="25" t="n">
        <f aca="false">(E112/1000)*(F112/1000)*(G112/1000)*7850*H112</f>
        <v>157</v>
      </c>
      <c r="J112" s="18" t="n">
        <v>16</v>
      </c>
      <c r="K112" s="25" t="n">
        <f aca="false">I112*J112</f>
        <v>2512</v>
      </c>
      <c r="L112" s="18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</row>
    <row r="113" s="23" customFormat="true" ht="19.5" hidden="false" customHeight="true" outlineLevel="0" collapsed="false">
      <c r="A113" s="18"/>
      <c r="B113" s="18"/>
      <c r="C113" s="18" t="s">
        <v>294</v>
      </c>
      <c r="D113" s="18" t="s">
        <v>281</v>
      </c>
      <c r="E113" s="18" t="n">
        <v>280</v>
      </c>
      <c r="F113" s="18" t="n">
        <v>500</v>
      </c>
      <c r="G113" s="18" t="n">
        <v>20</v>
      </c>
      <c r="H113" s="18" t="n">
        <v>2</v>
      </c>
      <c r="I113" s="25" t="n">
        <v>44</v>
      </c>
      <c r="J113" s="18" t="n">
        <v>16</v>
      </c>
      <c r="K113" s="25" t="n">
        <f aca="false">I113*J113</f>
        <v>704</v>
      </c>
      <c r="L113" s="18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s="23" customFormat="true" ht="19.5" hidden="true" customHeight="true" outlineLevel="0" collapsed="false">
      <c r="A114" s="18"/>
      <c r="B114" s="18"/>
      <c r="C114" s="18" t="s">
        <v>295</v>
      </c>
      <c r="D114" s="18" t="s">
        <v>281</v>
      </c>
      <c r="E114" s="18" t="n">
        <v>1975</v>
      </c>
      <c r="F114" s="18" t="n">
        <v>140</v>
      </c>
      <c r="G114" s="18" t="n">
        <v>12</v>
      </c>
      <c r="H114" s="18" t="n">
        <v>4</v>
      </c>
      <c r="I114" s="25" t="n">
        <f aca="false">(E114/1000)*(F114/1000)*(G114/1000)*7850*H114</f>
        <v>104.1852</v>
      </c>
      <c r="J114" s="18" t="n">
        <v>16</v>
      </c>
      <c r="K114" s="25" t="n">
        <f aca="false">I114*J114</f>
        <v>1666.9632</v>
      </c>
      <c r="L114" s="18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s="23" customFormat="true" ht="19.5" hidden="true" customHeight="true" outlineLevel="0" collapsed="false">
      <c r="A115" s="18"/>
      <c r="B115" s="18"/>
      <c r="C115" s="18" t="s">
        <v>296</v>
      </c>
      <c r="D115" s="18" t="s">
        <v>281</v>
      </c>
      <c r="E115" s="18" t="n">
        <v>236</v>
      </c>
      <c r="F115" s="18" t="n">
        <v>180</v>
      </c>
      <c r="G115" s="18" t="n">
        <v>16</v>
      </c>
      <c r="H115" s="18" t="n">
        <v>2</v>
      </c>
      <c r="I115" s="25" t="n">
        <f aca="false">(E115/1000)*(F115/1000)*(G115/1000)*7850*H115</f>
        <v>10.670976</v>
      </c>
      <c r="J115" s="18" t="n">
        <v>16</v>
      </c>
      <c r="K115" s="25" t="n">
        <f aca="false">I115*J115</f>
        <v>170.735616</v>
      </c>
      <c r="L115" s="18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s="23" customFormat="true" ht="19.5" hidden="true" customHeight="true" outlineLevel="0" collapsed="false">
      <c r="A116" s="18"/>
      <c r="B116" s="18" t="s">
        <v>78</v>
      </c>
      <c r="C116" s="18"/>
      <c r="D116" s="18"/>
      <c r="E116" s="18"/>
      <c r="F116" s="18"/>
      <c r="G116" s="18"/>
      <c r="H116" s="18"/>
      <c r="I116" s="30"/>
      <c r="J116" s="18"/>
      <c r="K116" s="25" t="n">
        <f aca="false">SUM(K108:K115)</f>
        <v>20173.02992</v>
      </c>
      <c r="L116" s="18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s="23" customFormat="true" ht="19.5" hidden="true" customHeight="true" outlineLevel="0" collapsed="false">
      <c r="A117" s="18" t="s">
        <v>328</v>
      </c>
      <c r="B117" s="24" t="s">
        <v>332</v>
      </c>
      <c r="C117" s="18" t="s">
        <v>280</v>
      </c>
      <c r="D117" s="18" t="s">
        <v>281</v>
      </c>
      <c r="E117" s="29" t="n">
        <v>2000</v>
      </c>
      <c r="F117" s="18" t="n">
        <v>600</v>
      </c>
      <c r="G117" s="18" t="n">
        <v>16</v>
      </c>
      <c r="H117" s="18" t="n">
        <v>1</v>
      </c>
      <c r="I117" s="25" t="n">
        <f aca="false">(E117/1000)*(F117/1000)*(G117/1000)*7850*H117</f>
        <v>150.72</v>
      </c>
      <c r="J117" s="18" t="n">
        <v>24</v>
      </c>
      <c r="K117" s="25" t="n">
        <f aca="false">I117*J117</f>
        <v>3617.28</v>
      </c>
      <c r="L117" s="18" t="s">
        <v>333</v>
      </c>
      <c r="M117" s="32" t="str">
        <f aca="false">B117</f>
        <v>XJZ4</v>
      </c>
      <c r="N117" s="32"/>
      <c r="O117" s="31" t="n">
        <f aca="false">K123</f>
        <v>2500.4448</v>
      </c>
      <c r="P117" s="31"/>
      <c r="Q117" s="31" t="n">
        <f aca="false">K117</f>
        <v>3617.28</v>
      </c>
      <c r="R117" s="31" t="n">
        <f aca="false">K118+K119+K120+K121+K122</f>
        <v>23815.32288</v>
      </c>
      <c r="S117" s="31"/>
      <c r="T117" s="31"/>
      <c r="U117" s="31"/>
      <c r="V117" s="31"/>
      <c r="W117" s="31"/>
      <c r="X117" s="31" t="n">
        <f aca="false">SUM(N117:W124)</f>
        <v>29933.04768</v>
      </c>
      <c r="Y117" s="32" t="n">
        <f aca="false">3617.3+14139.4+2058.4+2793.5+3768+1055+2500.4</f>
        <v>29932</v>
      </c>
      <c r="Z117" s="31" t="n">
        <f aca="false">X117-Y117</f>
        <v>1.04767999999967</v>
      </c>
      <c r="AA117" s="32"/>
    </row>
    <row r="118" s="23" customFormat="true" ht="19.5" hidden="false" customHeight="true" outlineLevel="0" collapsed="false">
      <c r="A118" s="18"/>
      <c r="B118" s="18"/>
      <c r="C118" s="18" t="s">
        <v>282</v>
      </c>
      <c r="D118" s="18" t="s">
        <v>281</v>
      </c>
      <c r="E118" s="18" t="n">
        <v>1975</v>
      </c>
      <c r="F118" s="18" t="n">
        <v>1900</v>
      </c>
      <c r="G118" s="18" t="n">
        <v>20</v>
      </c>
      <c r="H118" s="18" t="n">
        <v>1</v>
      </c>
      <c r="I118" s="25" t="n">
        <f aca="false">(E118/1000)*(F118/1000)*(G118/1000)*7850*H118</f>
        <v>589.1425</v>
      </c>
      <c r="J118" s="18" t="n">
        <v>24</v>
      </c>
      <c r="K118" s="25" t="n">
        <f aca="false">I118*J118</f>
        <v>14139.42</v>
      </c>
      <c r="L118" s="18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s="23" customFormat="true" ht="19.5" hidden="false" customHeight="true" outlineLevel="0" collapsed="false">
      <c r="A119" s="18"/>
      <c r="B119" s="18"/>
      <c r="C119" s="18" t="s">
        <v>283</v>
      </c>
      <c r="D119" s="18" t="s">
        <v>281</v>
      </c>
      <c r="E119" s="18" t="n">
        <v>1951</v>
      </c>
      <c r="F119" s="18" t="n">
        <v>280</v>
      </c>
      <c r="G119" s="18" t="n">
        <v>20</v>
      </c>
      <c r="H119" s="18" t="n">
        <v>1</v>
      </c>
      <c r="I119" s="25" t="n">
        <f aca="false">(E119/1000)*(F119/1000)*(G119/1000)*7850*H119</f>
        <v>85.76596</v>
      </c>
      <c r="J119" s="18" t="n">
        <v>24</v>
      </c>
      <c r="K119" s="25" t="n">
        <f aca="false">I119*J119</f>
        <v>2058.38304</v>
      </c>
      <c r="L119" s="18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s="23" customFormat="true" ht="19.5" hidden="false" customHeight="true" outlineLevel="0" collapsed="false">
      <c r="A120" s="18"/>
      <c r="B120" s="18"/>
      <c r="C120" s="18" t="s">
        <v>285</v>
      </c>
      <c r="D120" s="18" t="s">
        <v>281</v>
      </c>
      <c r="E120" s="18" t="n">
        <v>1951</v>
      </c>
      <c r="F120" s="18" t="n">
        <v>380</v>
      </c>
      <c r="G120" s="18" t="n">
        <v>20</v>
      </c>
      <c r="H120" s="18" t="n">
        <v>1</v>
      </c>
      <c r="I120" s="25" t="n">
        <f aca="false">(E120/1000)*(F120/1000)*(G120/1000)*7850*H120</f>
        <v>116.39666</v>
      </c>
      <c r="J120" s="18" t="n">
        <v>24</v>
      </c>
      <c r="K120" s="25" t="n">
        <f aca="false">I120*J120</f>
        <v>2793.51984</v>
      </c>
      <c r="L120" s="18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s="23" customFormat="true" ht="19.5" hidden="false" customHeight="true" outlineLevel="0" collapsed="false">
      <c r="A121" s="18"/>
      <c r="B121" s="18"/>
      <c r="C121" s="18" t="s">
        <v>293</v>
      </c>
      <c r="D121" s="18" t="s">
        <v>281</v>
      </c>
      <c r="E121" s="29" t="n">
        <v>2000</v>
      </c>
      <c r="F121" s="18" t="n">
        <v>500</v>
      </c>
      <c r="G121" s="18" t="n">
        <v>20</v>
      </c>
      <c r="H121" s="18" t="n">
        <v>1</v>
      </c>
      <c r="I121" s="25" t="n">
        <f aca="false">(E121/1000)*(F121/1000)*(G121/1000)*7850*H121</f>
        <v>157</v>
      </c>
      <c r="J121" s="18" t="n">
        <v>24</v>
      </c>
      <c r="K121" s="25" t="n">
        <f aca="false">I121*J121</f>
        <v>3768</v>
      </c>
      <c r="L121" s="18" t="s">
        <v>333</v>
      </c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s="23" customFormat="true" ht="19.5" hidden="false" customHeight="true" outlineLevel="0" collapsed="false">
      <c r="A122" s="18"/>
      <c r="B122" s="18"/>
      <c r="C122" s="18" t="s">
        <v>294</v>
      </c>
      <c r="D122" s="18" t="s">
        <v>281</v>
      </c>
      <c r="E122" s="29" t="n">
        <v>280</v>
      </c>
      <c r="F122" s="18" t="n">
        <v>500</v>
      </c>
      <c r="G122" s="18" t="n">
        <v>20</v>
      </c>
      <c r="H122" s="18" t="n">
        <v>2</v>
      </c>
      <c r="I122" s="25" t="n">
        <v>44</v>
      </c>
      <c r="J122" s="18" t="n">
        <v>24</v>
      </c>
      <c r="K122" s="25" t="n">
        <f aca="false">I122*J122</f>
        <v>1056</v>
      </c>
      <c r="L122" s="18" t="s">
        <v>333</v>
      </c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</row>
    <row r="123" s="23" customFormat="true" ht="19.5" hidden="true" customHeight="true" outlineLevel="0" collapsed="false">
      <c r="A123" s="18"/>
      <c r="B123" s="18"/>
      <c r="C123" s="18" t="s">
        <v>295</v>
      </c>
      <c r="D123" s="18" t="s">
        <v>281</v>
      </c>
      <c r="E123" s="18" t="n">
        <v>1975</v>
      </c>
      <c r="F123" s="18" t="n">
        <v>140</v>
      </c>
      <c r="G123" s="18" t="n">
        <v>12</v>
      </c>
      <c r="H123" s="18" t="n">
        <v>4</v>
      </c>
      <c r="I123" s="25" t="n">
        <f aca="false">(E123/1000)*(F123/1000)*(G123/1000)*7850*H123</f>
        <v>104.1852</v>
      </c>
      <c r="J123" s="18" t="n">
        <v>24</v>
      </c>
      <c r="K123" s="25" t="n">
        <f aca="false">I123*J123</f>
        <v>2500.4448</v>
      </c>
      <c r="L123" s="18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="23" customFormat="true" ht="19.5" hidden="true" customHeight="true" outlineLevel="0" collapsed="false">
      <c r="A124" s="18"/>
      <c r="B124" s="18" t="s">
        <v>78</v>
      </c>
      <c r="C124" s="18"/>
      <c r="D124" s="18"/>
      <c r="E124" s="18"/>
      <c r="F124" s="18"/>
      <c r="G124" s="18"/>
      <c r="H124" s="18"/>
      <c r="I124" s="30"/>
      <c r="J124" s="18"/>
      <c r="K124" s="25" t="n">
        <f aca="false">SUM(K117:K123)</f>
        <v>29933.04768</v>
      </c>
      <c r="L124" s="18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="23" customFormat="true" ht="19.5" hidden="true" customHeight="true" outlineLevel="0" collapsed="false">
      <c r="A125" s="18" t="s">
        <v>328</v>
      </c>
      <c r="B125" s="24" t="s">
        <v>334</v>
      </c>
      <c r="C125" s="18" t="s">
        <v>335</v>
      </c>
      <c r="D125" s="18" t="s">
        <v>281</v>
      </c>
      <c r="E125" s="18" t="n">
        <v>2000</v>
      </c>
      <c r="F125" s="18" t="n">
        <v>300</v>
      </c>
      <c r="G125" s="18" t="n">
        <v>12</v>
      </c>
      <c r="H125" s="18" t="n">
        <v>1</v>
      </c>
      <c r="I125" s="25" t="n">
        <f aca="false">(E125/1000)*(F125/1000)*(G125/1000)*7850*H125</f>
        <v>56.52</v>
      </c>
      <c r="J125" s="18" t="n">
        <v>24</v>
      </c>
      <c r="K125" s="25" t="n">
        <f aca="false">I125*J125</f>
        <v>1356.48</v>
      </c>
      <c r="L125" s="18"/>
      <c r="M125" s="32" t="str">
        <f aca="false">B125</f>
        <v>XJHL1</v>
      </c>
      <c r="N125" s="31" t="n">
        <f aca="false">K130</f>
        <v>616.74624</v>
      </c>
      <c r="O125" s="31" t="n">
        <f aca="false">K125+K126+K127+K128+K129</f>
        <v>11541.7999872</v>
      </c>
      <c r="P125" s="31"/>
      <c r="Q125" s="31"/>
      <c r="R125" s="31"/>
      <c r="S125" s="31"/>
      <c r="T125" s="31"/>
      <c r="U125" s="31"/>
      <c r="V125" s="31"/>
      <c r="W125" s="31"/>
      <c r="X125" s="31" t="n">
        <f aca="false">SUM(N125:W131)</f>
        <v>12158.5462272</v>
      </c>
      <c r="Y125" s="32" t="n">
        <f aca="false">1356.5+6276+1782.4+1356.5+770.5+616.7</f>
        <v>12158.6</v>
      </c>
      <c r="Z125" s="31" t="n">
        <f aca="false">X125-Y125</f>
        <v>-0.0537727999999333</v>
      </c>
      <c r="AA125" s="32"/>
    </row>
    <row r="126" s="23" customFormat="true" ht="19.5" hidden="true" customHeight="true" outlineLevel="0" collapsed="false">
      <c r="A126" s="18"/>
      <c r="B126" s="18"/>
      <c r="C126" s="18" t="s">
        <v>336</v>
      </c>
      <c r="D126" s="18" t="s">
        <v>281</v>
      </c>
      <c r="E126" s="18" t="n">
        <v>1388</v>
      </c>
      <c r="F126" s="18" t="n">
        <v>2000</v>
      </c>
      <c r="G126" s="18" t="n">
        <v>12</v>
      </c>
      <c r="H126" s="18" t="n">
        <v>1</v>
      </c>
      <c r="I126" s="25" t="n">
        <f aca="false">(E126/1000)*(F126/1000)*(G126/1000)*7850*H126</f>
        <v>261.4992</v>
      </c>
      <c r="J126" s="18" t="n">
        <v>24</v>
      </c>
      <c r="K126" s="25" t="n">
        <f aca="false">I126*J126</f>
        <v>6275.9808</v>
      </c>
      <c r="L126" s="18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="23" customFormat="true" ht="19.5" hidden="true" customHeight="true" outlineLevel="0" collapsed="false">
      <c r="A127" s="18"/>
      <c r="B127" s="18"/>
      <c r="C127" s="18" t="s">
        <v>337</v>
      </c>
      <c r="D127" s="18" t="s">
        <v>281</v>
      </c>
      <c r="E127" s="18" t="n">
        <v>1388</v>
      </c>
      <c r="F127" s="18" t="n">
        <v>284</v>
      </c>
      <c r="G127" s="18" t="n">
        <v>12</v>
      </c>
      <c r="H127" s="18" t="n">
        <v>2</v>
      </c>
      <c r="I127" s="25" t="n">
        <f aca="false">(E127/1000)*(F127/1000)*(G127/1000)*7850*H127</f>
        <v>74.2657728</v>
      </c>
      <c r="J127" s="18" t="n">
        <v>24</v>
      </c>
      <c r="K127" s="25" t="n">
        <f aca="false">I127*J127</f>
        <v>1782.3785472</v>
      </c>
      <c r="L127" s="18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="23" customFormat="true" ht="19.5" hidden="true" customHeight="true" outlineLevel="0" collapsed="false">
      <c r="A128" s="18"/>
      <c r="B128" s="18"/>
      <c r="C128" s="18" t="s">
        <v>338</v>
      </c>
      <c r="D128" s="18" t="s">
        <v>281</v>
      </c>
      <c r="E128" s="18" t="n">
        <v>2000</v>
      </c>
      <c r="F128" s="18" t="n">
        <v>300</v>
      </c>
      <c r="G128" s="18" t="n">
        <v>12</v>
      </c>
      <c r="H128" s="18" t="n">
        <v>1</v>
      </c>
      <c r="I128" s="25" t="n">
        <f aca="false">(E128/1000)*(F128/1000)*(G128/1000)*7850*H128</f>
        <v>56.52</v>
      </c>
      <c r="J128" s="18" t="n">
        <v>24</v>
      </c>
      <c r="K128" s="25" t="n">
        <f aca="false">I128*J128</f>
        <v>1356.48</v>
      </c>
      <c r="L128" s="18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="23" customFormat="true" ht="19.5" hidden="true" customHeight="true" outlineLevel="0" collapsed="false">
      <c r="A129" s="18"/>
      <c r="B129" s="18"/>
      <c r="C129" s="18" t="s">
        <v>339</v>
      </c>
      <c r="D129" s="18" t="s">
        <v>281</v>
      </c>
      <c r="E129" s="18" t="n">
        <v>300</v>
      </c>
      <c r="F129" s="18" t="n">
        <v>284</v>
      </c>
      <c r="G129" s="18" t="n">
        <v>12</v>
      </c>
      <c r="H129" s="18" t="n">
        <v>4</v>
      </c>
      <c r="I129" s="25" t="n">
        <f aca="false">(E129/1000)*(F129/1000)*(G129/1000)*7850*H129</f>
        <v>32.10336</v>
      </c>
      <c r="J129" s="18" t="n">
        <v>24</v>
      </c>
      <c r="K129" s="25" t="n">
        <f aca="false">I129*J129</f>
        <v>770.48064</v>
      </c>
      <c r="L129" s="18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="23" customFormat="true" ht="19.5" hidden="true" customHeight="true" outlineLevel="0" collapsed="false">
      <c r="A130" s="18"/>
      <c r="B130" s="18"/>
      <c r="C130" s="18" t="s">
        <v>340</v>
      </c>
      <c r="D130" s="18" t="s">
        <v>281</v>
      </c>
      <c r="E130" s="18" t="n">
        <v>1364</v>
      </c>
      <c r="F130" s="18" t="n">
        <v>120</v>
      </c>
      <c r="G130" s="18" t="n">
        <v>10</v>
      </c>
      <c r="H130" s="18" t="n">
        <v>2</v>
      </c>
      <c r="I130" s="25" t="n">
        <f aca="false">(E130/1000)*(F130/1000)*(G130/1000)*7850*H130</f>
        <v>25.69776</v>
      </c>
      <c r="J130" s="18" t="n">
        <v>24</v>
      </c>
      <c r="K130" s="25" t="n">
        <f aca="false">I130*J130</f>
        <v>616.74624</v>
      </c>
      <c r="L130" s="18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="23" customFormat="true" ht="19.5" hidden="true" customHeight="true" outlineLevel="0" collapsed="false">
      <c r="A131" s="18"/>
      <c r="B131" s="18" t="s">
        <v>78</v>
      </c>
      <c r="C131" s="18"/>
      <c r="D131" s="18"/>
      <c r="E131" s="18"/>
      <c r="F131" s="18"/>
      <c r="G131" s="18"/>
      <c r="H131" s="18"/>
      <c r="I131" s="30"/>
      <c r="J131" s="18"/>
      <c r="K131" s="25" t="n">
        <f aca="false">SUM(K125:K130)</f>
        <v>12158.5462272</v>
      </c>
      <c r="L131" s="18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="23" customFormat="true" ht="19.5" hidden="true" customHeight="true" outlineLevel="0" collapsed="false">
      <c r="A132" s="18" t="s">
        <v>328</v>
      </c>
      <c r="B132" s="24" t="s">
        <v>341</v>
      </c>
      <c r="C132" s="18" t="s">
        <v>335</v>
      </c>
      <c r="D132" s="18" t="s">
        <v>281</v>
      </c>
      <c r="E132" s="18" t="n">
        <v>2000</v>
      </c>
      <c r="F132" s="18" t="n">
        <v>300</v>
      </c>
      <c r="G132" s="18" t="n">
        <v>12</v>
      </c>
      <c r="H132" s="18" t="n">
        <v>1</v>
      </c>
      <c r="I132" s="25" t="n">
        <f aca="false">(E132/1000)*(F132/1000)*(G132/1000)*7850*H132</f>
        <v>56.52</v>
      </c>
      <c r="J132" s="18" t="n">
        <v>96</v>
      </c>
      <c r="K132" s="25" t="n">
        <f aca="false">I132*J132</f>
        <v>5425.92</v>
      </c>
      <c r="L132" s="18"/>
      <c r="M132" s="32" t="str">
        <f aca="false">B132</f>
        <v>XJHL2</v>
      </c>
      <c r="N132" s="31" t="n">
        <f aca="false">K137</f>
        <v>2466.98496</v>
      </c>
      <c r="O132" s="31" t="n">
        <f aca="false">K132+K133+K134+K135+K136</f>
        <v>46239.1114752</v>
      </c>
      <c r="P132" s="31"/>
      <c r="Q132" s="31"/>
      <c r="R132" s="31"/>
      <c r="S132" s="31"/>
      <c r="T132" s="31"/>
      <c r="U132" s="31"/>
      <c r="V132" s="31"/>
      <c r="W132" s="31"/>
      <c r="X132" s="31" t="n">
        <f aca="false">SUM(N132:W138)</f>
        <v>48706.0964352</v>
      </c>
      <c r="Y132" s="32" t="n">
        <f aca="false">5425.9+25103.9+7179.7+5425.9+3103.6+2467</f>
        <v>48706</v>
      </c>
      <c r="Z132" s="31" t="n">
        <f aca="false">X132-Y132</f>
        <v>0.0964352000009967</v>
      </c>
      <c r="AA132" s="32"/>
    </row>
    <row r="133" s="23" customFormat="true" ht="19.5" hidden="true" customHeight="true" outlineLevel="0" collapsed="false">
      <c r="A133" s="18"/>
      <c r="B133" s="18"/>
      <c r="C133" s="18" t="s">
        <v>336</v>
      </c>
      <c r="D133" s="18" t="s">
        <v>281</v>
      </c>
      <c r="E133" s="18" t="n">
        <v>1388</v>
      </c>
      <c r="F133" s="18" t="n">
        <v>2000</v>
      </c>
      <c r="G133" s="18" t="n">
        <v>12</v>
      </c>
      <c r="H133" s="18" t="n">
        <v>1</v>
      </c>
      <c r="I133" s="25" t="n">
        <f aca="false">(E133/1000)*(F133/1000)*(G133/1000)*7850*H133</f>
        <v>261.4992</v>
      </c>
      <c r="J133" s="18" t="n">
        <v>96</v>
      </c>
      <c r="K133" s="25" t="n">
        <f aca="false">I133*J133</f>
        <v>25103.9232</v>
      </c>
      <c r="L133" s="18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="23" customFormat="true" ht="19.5" hidden="true" customHeight="true" outlineLevel="0" collapsed="false">
      <c r="A134" s="18"/>
      <c r="B134" s="18"/>
      <c r="C134" s="18" t="s">
        <v>337</v>
      </c>
      <c r="D134" s="18" t="s">
        <v>281</v>
      </c>
      <c r="E134" s="18" t="n">
        <v>1388</v>
      </c>
      <c r="F134" s="18" t="n">
        <v>286</v>
      </c>
      <c r="G134" s="18" t="n">
        <v>12</v>
      </c>
      <c r="H134" s="18" t="n">
        <v>2</v>
      </c>
      <c r="I134" s="25" t="n">
        <f aca="false">(E134/1000)*(F134/1000)*(G134/1000)*7850*H134</f>
        <v>74.7887712</v>
      </c>
      <c r="J134" s="18" t="n">
        <v>96</v>
      </c>
      <c r="K134" s="25" t="n">
        <f aca="false">I134*J134</f>
        <v>7179.7220352</v>
      </c>
      <c r="L134" s="18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="23" customFormat="true" ht="19.5" hidden="true" customHeight="true" outlineLevel="0" collapsed="false">
      <c r="A135" s="18"/>
      <c r="B135" s="18"/>
      <c r="C135" s="18" t="s">
        <v>338</v>
      </c>
      <c r="D135" s="18" t="s">
        <v>281</v>
      </c>
      <c r="E135" s="18" t="n">
        <v>2000</v>
      </c>
      <c r="F135" s="18" t="n">
        <v>300</v>
      </c>
      <c r="G135" s="18" t="n">
        <v>12</v>
      </c>
      <c r="H135" s="18" t="n">
        <v>1</v>
      </c>
      <c r="I135" s="25" t="n">
        <f aca="false">(E135/1000)*(F135/1000)*(G135/1000)*7850*H135</f>
        <v>56.52</v>
      </c>
      <c r="J135" s="18" t="n">
        <v>96</v>
      </c>
      <c r="K135" s="25" t="n">
        <f aca="false">I135*J135</f>
        <v>5425.92</v>
      </c>
      <c r="L135" s="18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="23" customFormat="true" ht="19.5" hidden="true" customHeight="true" outlineLevel="0" collapsed="false">
      <c r="A136" s="18"/>
      <c r="B136" s="18"/>
      <c r="C136" s="18" t="s">
        <v>339</v>
      </c>
      <c r="D136" s="18" t="s">
        <v>281</v>
      </c>
      <c r="E136" s="18" t="n">
        <v>300</v>
      </c>
      <c r="F136" s="18" t="n">
        <v>286</v>
      </c>
      <c r="G136" s="18" t="n">
        <v>12</v>
      </c>
      <c r="H136" s="18" t="n">
        <v>4</v>
      </c>
      <c r="I136" s="25" t="n">
        <f aca="false">(E136/1000)*(F136/1000)*(G136/1000)*7850*H136</f>
        <v>32.32944</v>
      </c>
      <c r="J136" s="18" t="n">
        <v>96</v>
      </c>
      <c r="K136" s="25" t="n">
        <f aca="false">I136*J136</f>
        <v>3103.62624</v>
      </c>
      <c r="L136" s="18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</row>
    <row r="137" s="23" customFormat="true" ht="19.5" hidden="true" customHeight="true" outlineLevel="0" collapsed="false">
      <c r="A137" s="18"/>
      <c r="B137" s="18"/>
      <c r="C137" s="18" t="s">
        <v>340</v>
      </c>
      <c r="D137" s="18" t="s">
        <v>281</v>
      </c>
      <c r="E137" s="18" t="n">
        <v>1364</v>
      </c>
      <c r="F137" s="18" t="n">
        <v>120</v>
      </c>
      <c r="G137" s="18" t="n">
        <v>10</v>
      </c>
      <c r="H137" s="18" t="n">
        <v>2</v>
      </c>
      <c r="I137" s="25" t="n">
        <f aca="false">(E137/1000)*(F137/1000)*(G137/1000)*7850*H137</f>
        <v>25.69776</v>
      </c>
      <c r="J137" s="18" t="n">
        <v>96</v>
      </c>
      <c r="K137" s="25" t="n">
        <f aca="false">I137*J137</f>
        <v>2466.98496</v>
      </c>
      <c r="L137" s="18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</row>
    <row r="138" s="23" customFormat="true" ht="19.5" hidden="true" customHeight="true" outlineLevel="0" collapsed="false">
      <c r="A138" s="18"/>
      <c r="B138" s="18" t="s">
        <v>78</v>
      </c>
      <c r="C138" s="18"/>
      <c r="D138" s="18"/>
      <c r="E138" s="18"/>
      <c r="F138" s="18"/>
      <c r="G138" s="18"/>
      <c r="H138" s="18"/>
      <c r="I138" s="30"/>
      <c r="J138" s="18"/>
      <c r="K138" s="25" t="n">
        <f aca="false">SUM(K132:K137)</f>
        <v>48706.0964352</v>
      </c>
      <c r="L138" s="18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</row>
    <row r="139" s="23" customFormat="true" ht="25.5" hidden="true" customHeight="true" outlineLevel="0" collapsed="false">
      <c r="A139" s="36" t="s">
        <v>272</v>
      </c>
      <c r="B139" s="36"/>
      <c r="C139" s="36"/>
      <c r="D139" s="36" t="s">
        <v>34</v>
      </c>
      <c r="E139" s="36" t="s">
        <v>2</v>
      </c>
      <c r="F139" s="36" t="s">
        <v>4</v>
      </c>
      <c r="G139" s="36" t="s">
        <v>3</v>
      </c>
      <c r="H139" s="36"/>
      <c r="I139" s="36" t="s">
        <v>5</v>
      </c>
      <c r="J139" s="18"/>
      <c r="K139" s="25"/>
      <c r="L139" s="18" t="s">
        <v>342</v>
      </c>
      <c r="M139" s="18" t="s">
        <v>274</v>
      </c>
      <c r="N139" s="26" t="n">
        <f aca="false">SUM(N4:N138)</f>
        <v>3432.9312</v>
      </c>
      <c r="O139" s="26" t="n">
        <f aca="false">SUM(O4:O138)</f>
        <v>304010.9201664</v>
      </c>
      <c r="P139" s="26" t="n">
        <f aca="false">SUM(P4:P138)</f>
        <v>0</v>
      </c>
      <c r="Q139" s="26" t="n">
        <f aca="false">SUM(Q4:Q138)</f>
        <v>72966.579008</v>
      </c>
      <c r="R139" s="26" t="n">
        <f aca="false">SUM(R4:R138)</f>
        <v>251914.094432</v>
      </c>
      <c r="S139" s="26" t="n">
        <f aca="false">SUM(S4:S138)</f>
        <v>20329.6</v>
      </c>
      <c r="T139" s="26" t="n">
        <f aca="false">SUM(T4:T138)</f>
        <v>23113.6</v>
      </c>
      <c r="U139" s="26" t="n">
        <f aca="false">SUM(U4:U138)</f>
        <v>2411.52</v>
      </c>
      <c r="V139" s="26" t="n">
        <f aca="false">SUM(V4:V138)</f>
        <v>8038.72</v>
      </c>
      <c r="W139" s="26" t="n">
        <f aca="false">SUM(W4:W138)</f>
        <v>6280</v>
      </c>
      <c r="X139" s="26" t="n">
        <f aca="false">SUM(X4:X138)</f>
        <v>692497.9648064</v>
      </c>
      <c r="Y139" s="26" t="n">
        <f aca="false">SUM(Y4:Y138)</f>
        <v>692490.8</v>
      </c>
      <c r="Z139" s="26" t="n">
        <f aca="false">X139-Y139</f>
        <v>7.16480639996007</v>
      </c>
      <c r="AA139" s="18"/>
    </row>
    <row r="140" s="23" customFormat="true" ht="25.5" hidden="true" customHeight="true" outlineLevel="0" collapsed="false">
      <c r="A140" s="36" t="s">
        <v>275</v>
      </c>
      <c r="B140" s="36"/>
      <c r="C140" s="36"/>
      <c r="D140" s="36" t="e">
        <f aca="false">#ref!</f>
        <v>#NAME?</v>
      </c>
      <c r="E140" s="36" t="s">
        <v>11</v>
      </c>
      <c r="F140" s="37" t="n">
        <f aca="false">X139</f>
        <v>692497.9648064</v>
      </c>
      <c r="G140" s="37" t="n">
        <f aca="false">Y139</f>
        <v>692490.8</v>
      </c>
      <c r="H140" s="37"/>
      <c r="I140" s="37" t="n">
        <f aca="false">F140-G140</f>
        <v>7.16480639996007</v>
      </c>
      <c r="J140" s="18"/>
      <c r="K140" s="25"/>
      <c r="L140" s="18"/>
      <c r="M140" s="18" t="s">
        <v>276</v>
      </c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 t="n">
        <f aca="false">SUM(O140:V140)</f>
        <v>0</v>
      </c>
      <c r="Y140" s="18" t="n">
        <f aca="false">X140</f>
        <v>0</v>
      </c>
      <c r="Z140" s="26" t="n">
        <f aca="false">X140-Y140</f>
        <v>0</v>
      </c>
      <c r="AA140" s="18"/>
    </row>
    <row r="141" s="23" customFormat="true" ht="19.5" hidden="true" customHeight="true" outlineLevel="0" collapsed="false">
      <c r="A141" s="18"/>
      <c r="B141" s="18"/>
      <c r="C141" s="18"/>
      <c r="D141" s="18"/>
      <c r="E141" s="18"/>
      <c r="F141" s="18"/>
      <c r="G141" s="18"/>
      <c r="H141" s="18"/>
      <c r="I141" s="30"/>
      <c r="J141" s="18"/>
      <c r="K141" s="25"/>
      <c r="L141" s="18"/>
      <c r="M141" s="18" t="s">
        <v>5</v>
      </c>
      <c r="N141" s="26" t="n">
        <f aca="false">N139-N140</f>
        <v>3432.9312</v>
      </c>
      <c r="O141" s="26" t="n">
        <f aca="false">O139-O140</f>
        <v>304010.9201664</v>
      </c>
      <c r="P141" s="26" t="n">
        <f aca="false">P139-P140</f>
        <v>0</v>
      </c>
      <c r="Q141" s="26" t="n">
        <f aca="false">Q139-Q140</f>
        <v>72966.579008</v>
      </c>
      <c r="R141" s="26" t="n">
        <f aca="false">R139-R140</f>
        <v>251914.094432</v>
      </c>
      <c r="S141" s="26" t="n">
        <f aca="false">S139-S140</f>
        <v>20329.6</v>
      </c>
      <c r="T141" s="26" t="n">
        <f aca="false">T139-T140</f>
        <v>23113.6</v>
      </c>
      <c r="U141" s="26" t="n">
        <f aca="false">U139-U140</f>
        <v>2411.52</v>
      </c>
      <c r="V141" s="26" t="n">
        <f aca="false">V139-V140</f>
        <v>8038.72</v>
      </c>
      <c r="W141" s="26" t="n">
        <f aca="false">W139-W140</f>
        <v>6280</v>
      </c>
      <c r="X141" s="26" t="n">
        <f aca="false">X139-X140</f>
        <v>692497.9648064</v>
      </c>
      <c r="Y141" s="18"/>
      <c r="Z141" s="18"/>
      <c r="AA141" s="18"/>
    </row>
    <row r="142" s="23" customFormat="true" ht="19.5" hidden="false" customHeight="true" outlineLevel="0" collapsed="false">
      <c r="A142" s="18"/>
      <c r="B142" s="18"/>
      <c r="C142" s="18"/>
      <c r="D142" s="18"/>
      <c r="E142" s="18"/>
      <c r="F142" s="18"/>
      <c r="G142" s="18"/>
      <c r="H142" s="18"/>
      <c r="I142" s="30"/>
      <c r="J142" s="18"/>
      <c r="K142" s="25"/>
      <c r="L142" s="18"/>
    </row>
  </sheetData>
  <autoFilter ref="A3:AA141">
    <filterColumn colId="6">
      <filters>
        <filter val="20"/>
      </filters>
    </filterColumn>
  </autoFilter>
  <mergeCells count="362">
    <mergeCell ref="A1:L1"/>
    <mergeCell ref="A2:A3"/>
    <mergeCell ref="B2:B3"/>
    <mergeCell ref="C2:C3"/>
    <mergeCell ref="D2:D3"/>
    <mergeCell ref="J2:J3"/>
    <mergeCell ref="L2:L3"/>
    <mergeCell ref="M2:M3"/>
    <mergeCell ref="O2:X2"/>
    <mergeCell ref="Y2:Y3"/>
    <mergeCell ref="A4:A23"/>
    <mergeCell ref="B4:B22"/>
    <mergeCell ref="M4:M23"/>
    <mergeCell ref="N4:N23"/>
    <mergeCell ref="O4:O23"/>
    <mergeCell ref="P4:P23"/>
    <mergeCell ref="Q4:Q23"/>
    <mergeCell ref="R4:R23"/>
    <mergeCell ref="S4:S23"/>
    <mergeCell ref="U4:U23"/>
    <mergeCell ref="V4:V23"/>
    <mergeCell ref="X4:X23"/>
    <mergeCell ref="Y4:Y23"/>
    <mergeCell ref="Z4:Z23"/>
    <mergeCell ref="AA4:AA23"/>
    <mergeCell ref="B23:C23"/>
    <mergeCell ref="A24:A29"/>
    <mergeCell ref="B24:B28"/>
    <mergeCell ref="M24:M29"/>
    <mergeCell ref="N24:N29"/>
    <mergeCell ref="O24:O29"/>
    <mergeCell ref="P24:P29"/>
    <mergeCell ref="Q24:Q29"/>
    <mergeCell ref="R24:R29"/>
    <mergeCell ref="S24:S29"/>
    <mergeCell ref="U24:U29"/>
    <mergeCell ref="V24:V29"/>
    <mergeCell ref="X24:X29"/>
    <mergeCell ref="Y24:Y29"/>
    <mergeCell ref="Z24:Z29"/>
    <mergeCell ref="AA24:AA29"/>
    <mergeCell ref="B29:C29"/>
    <mergeCell ref="A30:A35"/>
    <mergeCell ref="B30:B34"/>
    <mergeCell ref="M30:M35"/>
    <mergeCell ref="N30:N35"/>
    <mergeCell ref="O30:O35"/>
    <mergeCell ref="P30:P35"/>
    <mergeCell ref="Q30:Q35"/>
    <mergeCell ref="R30:R35"/>
    <mergeCell ref="S30:S35"/>
    <mergeCell ref="U30:U35"/>
    <mergeCell ref="V30:V35"/>
    <mergeCell ref="X30:X35"/>
    <mergeCell ref="Y30:Y35"/>
    <mergeCell ref="Z30:Z35"/>
    <mergeCell ref="AA30:AA35"/>
    <mergeCell ref="B35:C35"/>
    <mergeCell ref="A36:A41"/>
    <mergeCell ref="B36:B40"/>
    <mergeCell ref="M36:M41"/>
    <mergeCell ref="N36:N41"/>
    <mergeCell ref="O36:O41"/>
    <mergeCell ref="P36:P41"/>
    <mergeCell ref="Q36:Q41"/>
    <mergeCell ref="R36:R41"/>
    <mergeCell ref="S36:S41"/>
    <mergeCell ref="U36:U41"/>
    <mergeCell ref="V36:V41"/>
    <mergeCell ref="X36:X41"/>
    <mergeCell ref="Y36:Y41"/>
    <mergeCell ref="Z36:Z41"/>
    <mergeCell ref="AA36:AA41"/>
    <mergeCell ref="B41:C41"/>
    <mergeCell ref="A42:A53"/>
    <mergeCell ref="B42:B52"/>
    <mergeCell ref="M42:M53"/>
    <mergeCell ref="N42:N53"/>
    <mergeCell ref="O42:O53"/>
    <mergeCell ref="P42:P53"/>
    <mergeCell ref="Q42:Q53"/>
    <mergeCell ref="R42:R53"/>
    <mergeCell ref="S42:S53"/>
    <mergeCell ref="T42:T53"/>
    <mergeCell ref="U42:U53"/>
    <mergeCell ref="V42:V53"/>
    <mergeCell ref="W42:W53"/>
    <mergeCell ref="X42:X53"/>
    <mergeCell ref="Y42:Y53"/>
    <mergeCell ref="Z42:Z53"/>
    <mergeCell ref="AA42:AA53"/>
    <mergeCell ref="B53:C53"/>
    <mergeCell ref="A54:A57"/>
    <mergeCell ref="B54:B56"/>
    <mergeCell ref="M54:M57"/>
    <mergeCell ref="N54:N57"/>
    <mergeCell ref="O54:O57"/>
    <mergeCell ref="P54:P57"/>
    <mergeCell ref="Q54:Q57"/>
    <mergeCell ref="R54:R57"/>
    <mergeCell ref="S54:S57"/>
    <mergeCell ref="U54:U57"/>
    <mergeCell ref="V54:V57"/>
    <mergeCell ref="X54:X57"/>
    <mergeCell ref="Y54:Y57"/>
    <mergeCell ref="Z54:Z57"/>
    <mergeCell ref="AA54:AA57"/>
    <mergeCell ref="B57:C57"/>
    <mergeCell ref="A58:A61"/>
    <mergeCell ref="B58:B60"/>
    <mergeCell ref="M58:M61"/>
    <mergeCell ref="N58:N61"/>
    <mergeCell ref="O58:O61"/>
    <mergeCell ref="P58:P61"/>
    <mergeCell ref="Q58:Q61"/>
    <mergeCell ref="R58:R61"/>
    <mergeCell ref="S58:S61"/>
    <mergeCell ref="U58:U61"/>
    <mergeCell ref="V58:V61"/>
    <mergeCell ref="X58:X61"/>
    <mergeCell ref="Y58:Y61"/>
    <mergeCell ref="Z58:Z61"/>
    <mergeCell ref="AA58:AA61"/>
    <mergeCell ref="B61:C61"/>
    <mergeCell ref="A62:A65"/>
    <mergeCell ref="B62:B64"/>
    <mergeCell ref="M62:M65"/>
    <mergeCell ref="N62:N65"/>
    <mergeCell ref="O62:O65"/>
    <mergeCell ref="P62:P65"/>
    <mergeCell ref="Q62:Q65"/>
    <mergeCell ref="R62:R65"/>
    <mergeCell ref="S62:S65"/>
    <mergeCell ref="U62:U65"/>
    <mergeCell ref="V62:V65"/>
    <mergeCell ref="X62:X65"/>
    <mergeCell ref="Y62:Y65"/>
    <mergeCell ref="Z62:Z65"/>
    <mergeCell ref="AA62:AA65"/>
    <mergeCell ref="B65:C65"/>
    <mergeCell ref="A66:A69"/>
    <mergeCell ref="B66:B68"/>
    <mergeCell ref="M66:M69"/>
    <mergeCell ref="N66:N69"/>
    <mergeCell ref="O66:O69"/>
    <mergeCell ref="P66:P69"/>
    <mergeCell ref="Q66:Q69"/>
    <mergeCell ref="R66:R69"/>
    <mergeCell ref="S66:S69"/>
    <mergeCell ref="U66:U69"/>
    <mergeCell ref="V66:V69"/>
    <mergeCell ref="X66:X69"/>
    <mergeCell ref="Y66:Y69"/>
    <mergeCell ref="Z66:Z69"/>
    <mergeCell ref="AA66:AA69"/>
    <mergeCell ref="B69:C69"/>
    <mergeCell ref="A70:A73"/>
    <mergeCell ref="B70:B72"/>
    <mergeCell ref="M70:M73"/>
    <mergeCell ref="N70:N73"/>
    <mergeCell ref="O70:O73"/>
    <mergeCell ref="P70:P73"/>
    <mergeCell ref="Q70:Q73"/>
    <mergeCell ref="R70:R73"/>
    <mergeCell ref="S70:S73"/>
    <mergeCell ref="U70:U73"/>
    <mergeCell ref="V70:V73"/>
    <mergeCell ref="X70:X73"/>
    <mergeCell ref="Y70:Y73"/>
    <mergeCell ref="Z70:Z73"/>
    <mergeCell ref="AA70:AA73"/>
    <mergeCell ref="B73:C73"/>
    <mergeCell ref="A74:A77"/>
    <mergeCell ref="B74:B76"/>
    <mergeCell ref="M74:M77"/>
    <mergeCell ref="N74:N77"/>
    <mergeCell ref="O74:O77"/>
    <mergeCell ref="P74:P77"/>
    <mergeCell ref="Q74:Q77"/>
    <mergeCell ref="R74:R77"/>
    <mergeCell ref="S74:S77"/>
    <mergeCell ref="U74:U77"/>
    <mergeCell ref="V74:V77"/>
    <mergeCell ref="X74:X77"/>
    <mergeCell ref="Y74:Y77"/>
    <mergeCell ref="Z74:Z77"/>
    <mergeCell ref="AA74:AA77"/>
    <mergeCell ref="B77:C77"/>
    <mergeCell ref="A78:A80"/>
    <mergeCell ref="B78:B79"/>
    <mergeCell ref="M78:M80"/>
    <mergeCell ref="N78:N80"/>
    <mergeCell ref="O78:O80"/>
    <mergeCell ref="P78:P80"/>
    <mergeCell ref="Q78:Q80"/>
    <mergeCell ref="R78:R80"/>
    <mergeCell ref="S78:S80"/>
    <mergeCell ref="U78:U80"/>
    <mergeCell ref="V78:V80"/>
    <mergeCell ref="X78:X80"/>
    <mergeCell ref="Y78:Y80"/>
    <mergeCell ref="Z78:Z80"/>
    <mergeCell ref="AA78:AA80"/>
    <mergeCell ref="B80:C80"/>
    <mergeCell ref="A81:A83"/>
    <mergeCell ref="B81:B82"/>
    <mergeCell ref="M81:M83"/>
    <mergeCell ref="N81:N83"/>
    <mergeCell ref="O81:O83"/>
    <mergeCell ref="P81:P83"/>
    <mergeCell ref="Q81:Q83"/>
    <mergeCell ref="R81:R83"/>
    <mergeCell ref="S81:S83"/>
    <mergeCell ref="U81:U83"/>
    <mergeCell ref="V81:V83"/>
    <mergeCell ref="X81:X83"/>
    <mergeCell ref="Y81:Y83"/>
    <mergeCell ref="Z81:Z83"/>
    <mergeCell ref="AA81:AA83"/>
    <mergeCell ref="B83:C83"/>
    <mergeCell ref="A84:A86"/>
    <mergeCell ref="B84:B85"/>
    <mergeCell ref="M84:M86"/>
    <mergeCell ref="N84:N86"/>
    <mergeCell ref="O84:O86"/>
    <mergeCell ref="P84:P86"/>
    <mergeCell ref="Q84:Q86"/>
    <mergeCell ref="R84:R86"/>
    <mergeCell ref="S84:S86"/>
    <mergeCell ref="U84:U86"/>
    <mergeCell ref="V84:V86"/>
    <mergeCell ref="X84:X86"/>
    <mergeCell ref="Y84:Y86"/>
    <mergeCell ref="Z84:Z86"/>
    <mergeCell ref="AA84:AA86"/>
    <mergeCell ref="B86:C86"/>
    <mergeCell ref="A87:A89"/>
    <mergeCell ref="B87:B88"/>
    <mergeCell ref="M87:M89"/>
    <mergeCell ref="N87:N89"/>
    <mergeCell ref="O87:O89"/>
    <mergeCell ref="P87:P89"/>
    <mergeCell ref="Q87:Q89"/>
    <mergeCell ref="R87:R89"/>
    <mergeCell ref="S87:S89"/>
    <mergeCell ref="U87:U89"/>
    <mergeCell ref="V87:V89"/>
    <mergeCell ref="X87:X89"/>
    <mergeCell ref="Y87:Y89"/>
    <mergeCell ref="Z87:Z89"/>
    <mergeCell ref="AA87:AA89"/>
    <mergeCell ref="B89:C89"/>
    <mergeCell ref="A90:A99"/>
    <mergeCell ref="B90:B98"/>
    <mergeCell ref="M90:M99"/>
    <mergeCell ref="N90:N99"/>
    <mergeCell ref="O90:O99"/>
    <mergeCell ref="P90:P99"/>
    <mergeCell ref="Q90:Q99"/>
    <mergeCell ref="R90:R99"/>
    <mergeCell ref="S90:S99"/>
    <mergeCell ref="T90:T99"/>
    <mergeCell ref="U90:U99"/>
    <mergeCell ref="V90:V99"/>
    <mergeCell ref="W90:W99"/>
    <mergeCell ref="X90:X99"/>
    <mergeCell ref="Y90:Y99"/>
    <mergeCell ref="Z90:Z99"/>
    <mergeCell ref="AA90:AA99"/>
    <mergeCell ref="B99:C99"/>
    <mergeCell ref="A100:A107"/>
    <mergeCell ref="B100:B106"/>
    <mergeCell ref="M100:M107"/>
    <mergeCell ref="N100:N107"/>
    <mergeCell ref="O100:O107"/>
    <mergeCell ref="P100:P107"/>
    <mergeCell ref="Q100:Q107"/>
    <mergeCell ref="R100:R107"/>
    <mergeCell ref="S100:S107"/>
    <mergeCell ref="T100:T107"/>
    <mergeCell ref="U100:U107"/>
    <mergeCell ref="V100:V107"/>
    <mergeCell ref="W100:W107"/>
    <mergeCell ref="X100:X107"/>
    <mergeCell ref="Y100:Y107"/>
    <mergeCell ref="Z100:Z107"/>
    <mergeCell ref="AA100:AA107"/>
    <mergeCell ref="B107:C107"/>
    <mergeCell ref="A108:A116"/>
    <mergeCell ref="B108:B115"/>
    <mergeCell ref="M108:M116"/>
    <mergeCell ref="N108:N116"/>
    <mergeCell ref="O108:O116"/>
    <mergeCell ref="P108:P116"/>
    <mergeCell ref="Q108:Q116"/>
    <mergeCell ref="R108:R116"/>
    <mergeCell ref="S108:S116"/>
    <mergeCell ref="T108:T116"/>
    <mergeCell ref="U108:U116"/>
    <mergeCell ref="V108:V116"/>
    <mergeCell ref="W108:W116"/>
    <mergeCell ref="X108:X116"/>
    <mergeCell ref="Y108:Y116"/>
    <mergeCell ref="Z108:Z116"/>
    <mergeCell ref="AA108:AA116"/>
    <mergeCell ref="B116:C116"/>
    <mergeCell ref="A117:A124"/>
    <mergeCell ref="B117:B123"/>
    <mergeCell ref="M117:M124"/>
    <mergeCell ref="N117:N124"/>
    <mergeCell ref="O117:O124"/>
    <mergeCell ref="P117:P124"/>
    <mergeCell ref="Q117:Q124"/>
    <mergeCell ref="R117:R124"/>
    <mergeCell ref="S117:S124"/>
    <mergeCell ref="T117:T124"/>
    <mergeCell ref="U117:U124"/>
    <mergeCell ref="V117:V124"/>
    <mergeCell ref="W117:W124"/>
    <mergeCell ref="X117:X124"/>
    <mergeCell ref="Y117:Y124"/>
    <mergeCell ref="Z117:Z124"/>
    <mergeCell ref="AA117:AA124"/>
    <mergeCell ref="B124:C124"/>
    <mergeCell ref="A125:A131"/>
    <mergeCell ref="B125:B130"/>
    <mergeCell ref="M125:M131"/>
    <mergeCell ref="N125:N131"/>
    <mergeCell ref="O125:O131"/>
    <mergeCell ref="P125:P131"/>
    <mergeCell ref="Q125:Q131"/>
    <mergeCell ref="R125:R131"/>
    <mergeCell ref="S125:S131"/>
    <mergeCell ref="T125:T131"/>
    <mergeCell ref="U125:U131"/>
    <mergeCell ref="V125:V131"/>
    <mergeCell ref="W125:W131"/>
    <mergeCell ref="X125:X131"/>
    <mergeCell ref="Y125:Y131"/>
    <mergeCell ref="Z125:Z131"/>
    <mergeCell ref="AA125:AA131"/>
    <mergeCell ref="B131:C131"/>
    <mergeCell ref="A132:A138"/>
    <mergeCell ref="B132:B137"/>
    <mergeCell ref="M132:M138"/>
    <mergeCell ref="N132:N138"/>
    <mergeCell ref="O132:O138"/>
    <mergeCell ref="P132:P138"/>
    <mergeCell ref="Q132:Q138"/>
    <mergeCell ref="R132:R138"/>
    <mergeCell ref="S132:S138"/>
    <mergeCell ref="T132:T138"/>
    <mergeCell ref="U132:U138"/>
    <mergeCell ref="V132:V138"/>
    <mergeCell ref="W132:W138"/>
    <mergeCell ref="X132:X138"/>
    <mergeCell ref="Y132:Y138"/>
    <mergeCell ref="Z132:Z138"/>
    <mergeCell ref="AA132:AA138"/>
    <mergeCell ref="B138:C138"/>
    <mergeCell ref="A139:C139"/>
    <mergeCell ref="A140:C1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J30" activeCellId="0" sqref="J3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9" width="7.09166666666667"/>
    <col collapsed="false" customWidth="true" hidden="false" outlineLevel="0" max="2" min="2" style="9" width="7.18333333333333"/>
    <col collapsed="false" customWidth="true" hidden="false" outlineLevel="0" max="18" min="14" style="9" width="7.36666666666667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8" t="s">
        <v>31</v>
      </c>
      <c r="B2" s="18" t="s">
        <v>32</v>
      </c>
      <c r="C2" s="18" t="s">
        <v>33</v>
      </c>
      <c r="D2" s="18" t="s">
        <v>34</v>
      </c>
      <c r="E2" s="18" t="s">
        <v>35</v>
      </c>
      <c r="F2" s="18" t="s">
        <v>36</v>
      </c>
      <c r="G2" s="18" t="s">
        <v>37</v>
      </c>
      <c r="H2" s="18" t="s">
        <v>39</v>
      </c>
      <c r="I2" s="18" t="s">
        <v>38</v>
      </c>
      <c r="J2" s="18" t="s">
        <v>277</v>
      </c>
      <c r="K2" s="18" t="s">
        <v>40</v>
      </c>
      <c r="L2" s="18" t="s">
        <v>6</v>
      </c>
      <c r="M2" s="18" t="s">
        <v>31</v>
      </c>
      <c r="N2" s="18"/>
      <c r="O2" s="18"/>
      <c r="P2" s="18"/>
      <c r="Q2" s="18"/>
      <c r="R2" s="18"/>
      <c r="S2" s="18" t="s">
        <v>3</v>
      </c>
      <c r="T2" s="18" t="s">
        <v>5</v>
      </c>
      <c r="U2" s="18" t="s">
        <v>6</v>
      </c>
    </row>
    <row r="3" customFormat="false" ht="24" hidden="false" customHeight="true" outlineLevel="0" collapsed="false">
      <c r="A3" s="18"/>
      <c r="B3" s="18"/>
      <c r="C3" s="18"/>
      <c r="D3" s="18"/>
      <c r="E3" s="18" t="s">
        <v>41</v>
      </c>
      <c r="F3" s="18" t="s">
        <v>41</v>
      </c>
      <c r="G3" s="18" t="s">
        <v>41</v>
      </c>
      <c r="H3" s="18"/>
      <c r="I3" s="18" t="s">
        <v>11</v>
      </c>
      <c r="J3" s="18"/>
      <c r="K3" s="18" t="s">
        <v>11</v>
      </c>
      <c r="L3" s="18"/>
      <c r="M3" s="18"/>
      <c r="N3" s="18" t="n">
        <v>16</v>
      </c>
      <c r="O3" s="18" t="n">
        <v>20</v>
      </c>
      <c r="P3" s="18" t="n">
        <v>24</v>
      </c>
      <c r="Q3" s="18" t="n">
        <v>28</v>
      </c>
      <c r="R3" s="18" t="s">
        <v>9</v>
      </c>
      <c r="S3" s="18"/>
      <c r="T3" s="18"/>
      <c r="U3" s="18"/>
    </row>
    <row r="4" customFormat="false" ht="22.5" hidden="false" customHeight="true" outlineLevel="0" collapsed="false">
      <c r="A4" s="18" t="s">
        <v>328</v>
      </c>
      <c r="B4" s="24" t="s">
        <v>334</v>
      </c>
      <c r="C4" s="18" t="s">
        <v>280</v>
      </c>
      <c r="D4" s="18" t="s">
        <v>281</v>
      </c>
      <c r="E4" s="18" t="n">
        <v>600</v>
      </c>
      <c r="F4" s="18" t="n">
        <v>700</v>
      </c>
      <c r="G4" s="18" t="n">
        <v>20</v>
      </c>
      <c r="H4" s="18" t="n">
        <v>1</v>
      </c>
      <c r="I4" s="25" t="n">
        <f aca="false">(E4/1000)*(F4/1000)*(G4/1000)*7850*H4</f>
        <v>65.94</v>
      </c>
      <c r="J4" s="18" t="n">
        <v>32</v>
      </c>
      <c r="K4" s="25" t="n">
        <f aca="false">I4*J4</f>
        <v>2110.08</v>
      </c>
      <c r="L4" s="18"/>
      <c r="M4" s="32" t="str">
        <f aca="false">B4</f>
        <v>XJHL1</v>
      </c>
      <c r="N4" s="31"/>
      <c r="O4" s="31" t="n">
        <f aca="false">K6</f>
        <v>7639.68</v>
      </c>
      <c r="P4" s="31"/>
      <c r="Q4" s="31"/>
      <c r="R4" s="31" t="n">
        <f aca="false">SUM(N4:Q6)</f>
        <v>7639.68</v>
      </c>
      <c r="S4" s="32" t="n">
        <v>7638.4</v>
      </c>
      <c r="T4" s="31" t="n">
        <f aca="false">R4-S4</f>
        <v>1.28000000000065</v>
      </c>
      <c r="U4" s="32"/>
    </row>
    <row r="5" customFormat="false" ht="22.5" hidden="false" customHeight="true" outlineLevel="0" collapsed="false">
      <c r="A5" s="18"/>
      <c r="B5" s="18"/>
      <c r="C5" s="18" t="s">
        <v>282</v>
      </c>
      <c r="D5" s="18" t="s">
        <v>281</v>
      </c>
      <c r="E5" s="18"/>
      <c r="F5" s="18"/>
      <c r="G5" s="18" t="n">
        <v>20</v>
      </c>
      <c r="H5" s="18" t="n">
        <v>4</v>
      </c>
      <c r="I5" s="25" t="n">
        <v>172.8</v>
      </c>
      <c r="J5" s="18" t="n">
        <v>32</v>
      </c>
      <c r="K5" s="25" t="n">
        <f aca="false">I5*J5</f>
        <v>5529.6</v>
      </c>
      <c r="L5" s="18"/>
      <c r="M5" s="32"/>
      <c r="N5" s="32"/>
      <c r="O5" s="32"/>
      <c r="P5" s="32"/>
      <c r="Q5" s="32"/>
      <c r="R5" s="32"/>
      <c r="S5" s="32"/>
      <c r="T5" s="32"/>
      <c r="U5" s="32"/>
    </row>
    <row r="6" customFormat="false" ht="22.5" hidden="false" customHeight="true" outlineLevel="0" collapsed="false">
      <c r="A6" s="18"/>
      <c r="B6" s="18" t="s">
        <v>78</v>
      </c>
      <c r="C6" s="18"/>
      <c r="D6" s="18"/>
      <c r="E6" s="18"/>
      <c r="F6" s="18"/>
      <c r="G6" s="18"/>
      <c r="H6" s="18"/>
      <c r="I6" s="30"/>
      <c r="J6" s="18"/>
      <c r="K6" s="25" t="n">
        <f aca="false">SUM(K4:K5)</f>
        <v>7639.68</v>
      </c>
      <c r="L6" s="18"/>
      <c r="M6" s="32"/>
      <c r="N6" s="32"/>
      <c r="O6" s="32"/>
      <c r="P6" s="32"/>
      <c r="Q6" s="32"/>
      <c r="R6" s="32"/>
      <c r="S6" s="32"/>
      <c r="T6" s="32"/>
      <c r="U6" s="32"/>
    </row>
    <row r="7" customFormat="false" ht="25.5" hidden="false" customHeight="true" outlineLevel="0" collapsed="false">
      <c r="A7" s="36" t="s">
        <v>272</v>
      </c>
      <c r="B7" s="36"/>
      <c r="C7" s="36"/>
      <c r="D7" s="36" t="s">
        <v>34</v>
      </c>
      <c r="E7" s="36" t="s">
        <v>2</v>
      </c>
      <c r="F7" s="36" t="s">
        <v>4</v>
      </c>
      <c r="G7" s="36" t="s">
        <v>3</v>
      </c>
      <c r="H7" s="36"/>
      <c r="I7" s="36" t="s">
        <v>5</v>
      </c>
      <c r="J7" s="38"/>
      <c r="K7" s="38"/>
      <c r="L7" s="38"/>
    </row>
    <row r="8" customFormat="false" ht="25.5" hidden="false" customHeight="true" outlineLevel="0" collapsed="false">
      <c r="A8" s="36" t="s">
        <v>9</v>
      </c>
      <c r="B8" s="36"/>
      <c r="C8" s="36"/>
      <c r="D8" s="36" t="str">
        <f aca="false">D5</f>
        <v>Q355MD</v>
      </c>
      <c r="E8" s="36" t="s">
        <v>11</v>
      </c>
      <c r="F8" s="37" t="n">
        <f aca="false">R4</f>
        <v>7639.68</v>
      </c>
      <c r="G8" s="37" t="n">
        <f aca="false">S4</f>
        <v>7638.4</v>
      </c>
      <c r="H8" s="37"/>
      <c r="I8" s="37" t="s">
        <v>343</v>
      </c>
      <c r="J8" s="38"/>
      <c r="K8" s="38"/>
      <c r="L8" s="38"/>
    </row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6"/>
    <mergeCell ref="B4:B5"/>
    <mergeCell ref="M4:M6"/>
    <mergeCell ref="N4:N6"/>
    <mergeCell ref="O4:O6"/>
    <mergeCell ref="P4:P6"/>
    <mergeCell ref="Q4:Q6"/>
    <mergeCell ref="R4:R6"/>
    <mergeCell ref="S4:S6"/>
    <mergeCell ref="T4:T6"/>
    <mergeCell ref="U4:U6"/>
    <mergeCell ref="B6:C6"/>
    <mergeCell ref="A7:C7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0" activeCellId="0" sqref="I20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9" width="7.09166666666667"/>
    <col collapsed="false" customWidth="true" hidden="false" outlineLevel="0" max="2" min="2" style="9" width="7.18333333333333"/>
    <col collapsed="false" customWidth="true" hidden="false" outlineLevel="0" max="18" min="14" style="9" width="7.36666666666667"/>
  </cols>
  <sheetData>
    <row r="1" customFormat="false" ht="25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4" hidden="false" customHeight="true" outlineLevel="0" collapsed="false">
      <c r="A2" s="18" t="s">
        <v>31</v>
      </c>
      <c r="B2" s="18" t="s">
        <v>32</v>
      </c>
      <c r="C2" s="18" t="s">
        <v>33</v>
      </c>
      <c r="D2" s="18" t="s">
        <v>34</v>
      </c>
      <c r="E2" s="18" t="s">
        <v>35</v>
      </c>
      <c r="F2" s="18" t="s">
        <v>36</v>
      </c>
      <c r="G2" s="18" t="s">
        <v>37</v>
      </c>
      <c r="H2" s="18" t="s">
        <v>39</v>
      </c>
      <c r="I2" s="18" t="s">
        <v>38</v>
      </c>
      <c r="J2" s="18" t="s">
        <v>277</v>
      </c>
      <c r="K2" s="18" t="s">
        <v>40</v>
      </c>
      <c r="L2" s="18" t="s">
        <v>6</v>
      </c>
      <c r="M2" s="18" t="s">
        <v>31</v>
      </c>
      <c r="N2" s="18"/>
      <c r="O2" s="18"/>
      <c r="P2" s="18"/>
      <c r="Q2" s="18"/>
      <c r="R2" s="18"/>
      <c r="S2" s="18" t="s">
        <v>3</v>
      </c>
      <c r="T2" s="18" t="s">
        <v>5</v>
      </c>
      <c r="U2" s="18" t="s">
        <v>6</v>
      </c>
    </row>
    <row r="3" customFormat="false" ht="24" hidden="false" customHeight="true" outlineLevel="0" collapsed="false">
      <c r="A3" s="18"/>
      <c r="B3" s="18"/>
      <c r="C3" s="18"/>
      <c r="D3" s="18"/>
      <c r="E3" s="18" t="s">
        <v>41</v>
      </c>
      <c r="F3" s="18" t="s">
        <v>41</v>
      </c>
      <c r="G3" s="18" t="s">
        <v>41</v>
      </c>
      <c r="H3" s="18"/>
      <c r="I3" s="18" t="s">
        <v>11</v>
      </c>
      <c r="J3" s="18"/>
      <c r="K3" s="18" t="s">
        <v>11</v>
      </c>
      <c r="L3" s="18"/>
      <c r="M3" s="18"/>
      <c r="N3" s="18" t="n">
        <v>4</v>
      </c>
      <c r="O3" s="18" t="n">
        <v>12</v>
      </c>
      <c r="P3" s="18" t="n">
        <v>24</v>
      </c>
      <c r="Q3" s="18" t="n">
        <v>28</v>
      </c>
      <c r="R3" s="18" t="s">
        <v>9</v>
      </c>
      <c r="S3" s="18"/>
      <c r="T3" s="18"/>
      <c r="U3" s="18"/>
    </row>
    <row r="4" customFormat="false" ht="22.5" hidden="false" customHeight="true" outlineLevel="0" collapsed="false">
      <c r="A4" s="18" t="s">
        <v>29</v>
      </c>
      <c r="B4" s="24" t="s">
        <v>334</v>
      </c>
      <c r="C4" s="18" t="s">
        <v>344</v>
      </c>
      <c r="D4" s="18" t="s">
        <v>345</v>
      </c>
      <c r="E4" s="18" t="n">
        <v>647</v>
      </c>
      <c r="F4" s="18" t="n">
        <v>280</v>
      </c>
      <c r="G4" s="18" t="n">
        <v>12</v>
      </c>
      <c r="H4" s="18" t="n">
        <v>1</v>
      </c>
      <c r="I4" s="25" t="n">
        <v>15.83</v>
      </c>
      <c r="J4" s="18" t="n">
        <v>200</v>
      </c>
      <c r="K4" s="25" t="n">
        <f aca="false">I4*J4</f>
        <v>3166</v>
      </c>
      <c r="L4" s="18"/>
      <c r="M4" s="32" t="str">
        <f aca="false">B4</f>
        <v>XJHL1</v>
      </c>
      <c r="N4" s="31" t="n">
        <f aca="false">K8</f>
        <v>668</v>
      </c>
      <c r="O4" s="31" t="n">
        <f aca="false">K4+K5+K6+K7</f>
        <v>7168</v>
      </c>
      <c r="P4" s="31"/>
      <c r="Q4" s="31"/>
      <c r="R4" s="31" t="n">
        <f aca="false">SUM(N4:Q9)</f>
        <v>7836</v>
      </c>
      <c r="S4" s="32" t="n">
        <v>7835.18</v>
      </c>
      <c r="T4" s="31" t="n">
        <f aca="false">R4-S4</f>
        <v>0.819999999999709</v>
      </c>
      <c r="U4" s="32"/>
    </row>
    <row r="5" customFormat="false" ht="22.5" hidden="false" customHeight="true" outlineLevel="0" collapsed="false">
      <c r="A5" s="18"/>
      <c r="B5" s="18"/>
      <c r="C5" s="18" t="s">
        <v>346</v>
      </c>
      <c r="D5" s="18" t="s">
        <v>345</v>
      </c>
      <c r="E5" s="18" t="n">
        <v>277</v>
      </c>
      <c r="F5" s="18" t="n">
        <v>280</v>
      </c>
      <c r="G5" s="18" t="n">
        <v>12</v>
      </c>
      <c r="H5" s="18" t="n">
        <v>1</v>
      </c>
      <c r="I5" s="25" t="n">
        <v>6.07</v>
      </c>
      <c r="J5" s="18" t="n">
        <v>200</v>
      </c>
      <c r="K5" s="25" t="n">
        <f aca="false">I5*J5</f>
        <v>1214</v>
      </c>
      <c r="L5" s="18"/>
      <c r="M5" s="32"/>
      <c r="N5" s="32"/>
      <c r="O5" s="32"/>
      <c r="P5" s="32"/>
      <c r="Q5" s="32"/>
      <c r="R5" s="32"/>
      <c r="S5" s="32"/>
      <c r="T5" s="32"/>
      <c r="U5" s="32"/>
    </row>
    <row r="6" customFormat="false" ht="22.5" hidden="false" customHeight="true" outlineLevel="0" collapsed="false">
      <c r="A6" s="18"/>
      <c r="B6" s="18"/>
      <c r="C6" s="18" t="s">
        <v>347</v>
      </c>
      <c r="D6" s="18" t="s">
        <v>345</v>
      </c>
      <c r="E6" s="18" t="n">
        <v>530</v>
      </c>
      <c r="F6" s="18" t="n">
        <v>150</v>
      </c>
      <c r="G6" s="18" t="n">
        <v>12</v>
      </c>
      <c r="H6" s="18" t="n">
        <v>1</v>
      </c>
      <c r="I6" s="25" t="n">
        <v>5.23</v>
      </c>
      <c r="J6" s="18" t="n">
        <v>400</v>
      </c>
      <c r="K6" s="25" t="n">
        <f aca="false">I6*J6</f>
        <v>2092</v>
      </c>
      <c r="L6" s="18"/>
      <c r="M6" s="32"/>
      <c r="N6" s="32"/>
      <c r="O6" s="32"/>
      <c r="P6" s="32"/>
      <c r="Q6" s="32"/>
      <c r="R6" s="32"/>
      <c r="S6" s="32"/>
      <c r="T6" s="32"/>
      <c r="U6" s="32"/>
    </row>
    <row r="7" customFormat="false" ht="22.5" hidden="false" customHeight="true" outlineLevel="0" collapsed="false">
      <c r="A7" s="18"/>
      <c r="B7" s="18"/>
      <c r="C7" s="18" t="s">
        <v>348</v>
      </c>
      <c r="D7" s="18" t="s">
        <v>345</v>
      </c>
      <c r="E7" s="18" t="n">
        <v>160</v>
      </c>
      <c r="F7" s="18" t="n">
        <v>150</v>
      </c>
      <c r="G7" s="18" t="n">
        <v>12</v>
      </c>
      <c r="H7" s="18" t="n">
        <v>1</v>
      </c>
      <c r="I7" s="25" t="n">
        <v>1.74</v>
      </c>
      <c r="J7" s="18" t="n">
        <v>400</v>
      </c>
      <c r="K7" s="25" t="n">
        <f aca="false">I7*J7</f>
        <v>696</v>
      </c>
      <c r="L7" s="18"/>
      <c r="M7" s="32"/>
      <c r="N7" s="32"/>
      <c r="O7" s="32"/>
      <c r="P7" s="32"/>
      <c r="Q7" s="32"/>
      <c r="R7" s="32"/>
      <c r="S7" s="32"/>
      <c r="T7" s="32"/>
      <c r="U7" s="32"/>
    </row>
    <row r="8" customFormat="false" ht="22.5" hidden="false" customHeight="true" outlineLevel="0" collapsed="false">
      <c r="A8" s="18"/>
      <c r="B8" s="18"/>
      <c r="C8" s="18" t="s">
        <v>283</v>
      </c>
      <c r="D8" s="18" t="s">
        <v>345</v>
      </c>
      <c r="E8" s="18" t="n">
        <v>663</v>
      </c>
      <c r="F8" s="18" t="n">
        <v>80</v>
      </c>
      <c r="G8" s="18" t="n">
        <v>4</v>
      </c>
      <c r="H8" s="18" t="n">
        <v>1</v>
      </c>
      <c r="I8" s="25" t="n">
        <v>1.67</v>
      </c>
      <c r="J8" s="18" t="n">
        <v>400</v>
      </c>
      <c r="K8" s="25" t="n">
        <f aca="false">I8*J8</f>
        <v>668</v>
      </c>
      <c r="L8" s="18"/>
      <c r="M8" s="32"/>
      <c r="N8" s="32"/>
      <c r="O8" s="32"/>
      <c r="P8" s="32"/>
      <c r="Q8" s="32"/>
      <c r="R8" s="32"/>
      <c r="S8" s="32"/>
      <c r="T8" s="32"/>
      <c r="U8" s="32"/>
    </row>
    <row r="9" customFormat="false" ht="22.5" hidden="false" customHeight="true" outlineLevel="0" collapsed="false">
      <c r="A9" s="18"/>
      <c r="B9" s="18" t="s">
        <v>78</v>
      </c>
      <c r="C9" s="18"/>
      <c r="D9" s="18"/>
      <c r="E9" s="18"/>
      <c r="F9" s="18"/>
      <c r="G9" s="18"/>
      <c r="H9" s="18"/>
      <c r="I9" s="30"/>
      <c r="J9" s="18"/>
      <c r="K9" s="25" t="n">
        <f aca="false">SUM(K4:K8)</f>
        <v>7836</v>
      </c>
      <c r="L9" s="18"/>
      <c r="M9" s="32"/>
      <c r="N9" s="32"/>
      <c r="O9" s="32"/>
      <c r="P9" s="32"/>
      <c r="Q9" s="32"/>
      <c r="R9" s="32"/>
      <c r="S9" s="32"/>
      <c r="T9" s="32"/>
      <c r="U9" s="32"/>
    </row>
    <row r="10" customFormat="false" ht="25.5" hidden="false" customHeight="true" outlineLevel="0" collapsed="false">
      <c r="A10" s="36" t="s">
        <v>272</v>
      </c>
      <c r="B10" s="36"/>
      <c r="C10" s="36"/>
      <c r="D10" s="36" t="s">
        <v>34</v>
      </c>
      <c r="E10" s="36" t="s">
        <v>2</v>
      </c>
      <c r="F10" s="36" t="s">
        <v>4</v>
      </c>
      <c r="G10" s="36" t="s">
        <v>3</v>
      </c>
      <c r="H10" s="36"/>
      <c r="I10" s="36" t="s">
        <v>5</v>
      </c>
      <c r="J10" s="38"/>
      <c r="K10" s="38"/>
      <c r="L10" s="38"/>
    </row>
    <row r="11" customFormat="false" ht="25.5" hidden="false" customHeight="true" outlineLevel="0" collapsed="false">
      <c r="A11" s="36" t="s">
        <v>9</v>
      </c>
      <c r="B11" s="36"/>
      <c r="C11" s="36"/>
      <c r="D11" s="36" t="str">
        <f aca="false">D8</f>
        <v>Q355C</v>
      </c>
      <c r="E11" s="36" t="s">
        <v>11</v>
      </c>
      <c r="F11" s="37" t="n">
        <f aca="false">R4</f>
        <v>7836</v>
      </c>
      <c r="G11" s="37" t="n">
        <f aca="false">S4</f>
        <v>7835.18</v>
      </c>
      <c r="H11" s="37"/>
      <c r="I11" s="37" t="s">
        <v>349</v>
      </c>
      <c r="J11" s="38"/>
      <c r="K11" s="38"/>
      <c r="L11" s="38"/>
    </row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</sheetData>
  <mergeCells count="24">
    <mergeCell ref="A1:L1"/>
    <mergeCell ref="A2:A3"/>
    <mergeCell ref="B2:B3"/>
    <mergeCell ref="C2:C3"/>
    <mergeCell ref="D2:D3"/>
    <mergeCell ref="J2:J3"/>
    <mergeCell ref="L2:L3"/>
    <mergeCell ref="M2:M3"/>
    <mergeCell ref="N2:R2"/>
    <mergeCell ref="S2:S3"/>
    <mergeCell ref="A4:A9"/>
    <mergeCell ref="B4:B8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B9:C9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8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:creator>曹毅</dc:creator>
  <dc:description/>
  <dc:language>zh-CN</dc:language>
  <cp:lastModifiedBy>张伟</cp:lastModifiedBy>
  <dcterms:modified xsi:type="dcterms:W3CDTF">2026-10-18T08:55:43Z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465ABB43A53C453B8E57A7E9BA2456AD_13</vt:lpwstr>
  </property>
  <property fmtid="{D5CDD505-2E9C-101B-9397-08002B2CF9AE}" pid="4" name="KSOProductBuildVer">
    <vt:lpwstr>2052-12.1.0.28505</vt:lpwstr>
  </property>
  <property fmtid="{D5CDD505-2E9C-101B-9397-08002B2CF9AE}" pid="5" name="KSOReadingLayout">
    <vt:bool>1</vt:bool>
  </property>
</Properties>
</file>