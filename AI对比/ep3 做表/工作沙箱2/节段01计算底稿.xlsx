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合计数量" sheetId="1" state="visible" r:id="rId3"/>
    <sheet name="主梁数量" sheetId="2" state="visible" r:id="rId4"/>
    <sheet name="横隔板" sheetId="3" state="visible" r:id="rId5"/>
    <sheet name="梁底挡块" sheetId="4" state="visible" r:id="rId6"/>
    <sheet name="附属预埋件" sheetId="5" state="visible" r:id="rId7"/>
  </sheets>
  <definedNames>
    <definedName function="false" hidden="false" localSheetId="4" name="_xlnm.Print_Area" vbProcedure="false">附属预埋件!$A$1:$L$11</definedName>
    <definedName function="false" hidden="false" localSheetId="2" name="_xlnm.Print_Area" vbProcedure="false">横隔板!$A$1:$L$142</definedName>
    <definedName function="false" hidden="true" localSheetId="2" name="_xlnm._FilterDatabase" vbProcedure="false">横隔板!$A$3:$AA$141</definedName>
    <definedName function="false" hidden="false" localSheetId="3" name="_xlnm.Print_Area" vbProcedure="false">梁底挡块!$A$1:$L$8</definedName>
    <definedName function="false" hidden="false" localSheetId="1" name="_xlnm.Print_Area" vbProcedure="false">主梁数量!$A$1:$K$433</definedName>
    <definedName function="false" hidden="true" localSheetId="1" name="_xlnm._FilterDatabase" vbProcedure="false">主梁数量!$A$3:$W$434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<sst xmlns="http://schemas.openxmlformats.org/spreadsheetml/2006/main" count="675" uniqueCount="209">
  <si>
    <t xml:space="preserve">部位</t>
  </si>
  <si>
    <t xml:space="preserve">板厚</t>
  </si>
  <si>
    <t xml:space="preserve">单位</t>
  </si>
  <si>
    <t xml:space="preserve">图纸数量</t>
  </si>
  <si>
    <t xml:space="preserve">复核数量</t>
  </si>
  <si>
    <t xml:space="preserve">差异</t>
  </si>
  <si>
    <t xml:space="preserve">备注</t>
  </si>
  <si>
    <t xml:space="preserve">Q355</t>
  </si>
  <si>
    <t xml:space="preserve">Q420</t>
  </si>
  <si>
    <t xml:space="preserve">合计</t>
  </si>
  <si>
    <t xml:space="preserve">钢梁</t>
  </si>
  <si>
    <t xml:space="preserve">kg</t>
  </si>
  <si>
    <t xml:space="preserve">图纸重量：P49《节段01材料数量表》汇总表 δ100；计算重量：主梁数量 明细按厚度 SUMIF(AB 列)</t>
  </si>
  <si>
    <t xml:space="preserve">图纸重量：P49《节段01材料数量表》汇总表 δ40；计算重量：主梁数量 明细按厚度 SUMIF(S 列)</t>
  </si>
  <si>
    <t xml:space="preserve">图纸重量：P49《节段01材料数量表》汇总表 δ36；计算重量：主梁数量 明细按厚度 SUMIF(AA 列)</t>
  </si>
  <si>
    <t xml:space="preserve">图纸重量：P49《节段01材料数量表》汇总表 δ32；计算重量：主梁数量 明细按厚度 SUMIF(Z 列)</t>
  </si>
  <si>
    <t xml:space="preserve">图纸重量：P49《节段01材料数量表》汇总表 δ28；计算重量：主梁数量 明细按厚度 SUMIF(Y 列)</t>
  </si>
  <si>
    <t xml:space="preserve">图纸重量：P49《节段01材料数量表》汇总表 δ24；计算重量：主梁数量 明细按厚度 SUMIF(Q 列)</t>
  </si>
  <si>
    <t xml:space="preserve">图纸重量：P49《节段01材料数量表》汇总表 δ20；计算重量：主梁数量 明细按厚度 SUMIF(P 列)</t>
  </si>
  <si>
    <t xml:space="preserve">图纸重量：P49《节段01材料数量表》汇总表 δ16；计算重量：主梁数量 明细按厚度 SUMIF(O 列)</t>
  </si>
  <si>
    <t xml:space="preserve">图纸重量：P49《节段01材料数量表》汇总表 δ14；计算重量：主梁数量 明细按厚度 SUMIF(N 列)</t>
  </si>
  <si>
    <t xml:space="preserve">图纸重量：P49《节段01材料数量表》汇总表 δ4；计算重量：主梁数量 明细按厚度 SUMIF(X 列)</t>
  </si>
  <si>
    <t xml:space="preserve">焊缝重(1.5%)</t>
  </si>
  <si>
    <t xml:space="preserve">图纸 1829.6kg（P49 汇总表，按板件净重1.5%）；计算=计算板件小计×1.5%</t>
  </si>
  <si>
    <t xml:space="preserve">图纸合计 123805.2kg（含焊缝重）；计算合计=计算板件+计算焊缝重</t>
  </si>
  <si>
    <t xml:space="preserve">附属预埋</t>
  </si>
  <si>
    <t xml:space="preserve">内表面涂装</t>
  </si>
  <si>
    <t xml:space="preserve">m²</t>
  </si>
  <si>
    <t xml:space="preserve">图纸 677.5m²（P49 汇总表）；计算未做（需按构件表面展开面积统计）→ 未完成，故不列差异</t>
  </si>
  <si>
    <t xml:space="preserve">外表面涂装</t>
  </si>
  <si>
    <t xml:space="preserve">图纸 460.1m²（P49 汇总表）；计算未做 → 未完成，故不列差异</t>
  </si>
  <si>
    <t xml:space="preserve">梁板编号</t>
  </si>
  <si>
    <t xml:space="preserve">板件名称</t>
  </si>
  <si>
    <t xml:space="preserve">位置</t>
  </si>
  <si>
    <t xml:space="preserve">材质</t>
  </si>
  <si>
    <t xml:space="preserve">长</t>
  </si>
  <si>
    <t xml:space="preserve">宽</t>
  </si>
  <si>
    <t xml:space="preserve">厚</t>
  </si>
  <si>
    <t xml:space="preserve">单件重</t>
  </si>
  <si>
    <t xml:space="preserve">数量</t>
  </si>
  <si>
    <t xml:space="preserve">合计重量</t>
  </si>
  <si>
    <t xml:space="preserve">净面积</t>
  </si>
  <si>
    <t xml:space="preserve">图纸单件重</t>
  </si>
  <si>
    <t xml:space="preserve">图纸共重</t>
  </si>
  <si>
    <t xml:space="preserve">单件重差异</t>
  </si>
  <si>
    <t xml:space="preserve">mm</t>
  </si>
  <si>
    <t xml:space="preserve">mm²</t>
  </si>
  <si>
    <t xml:space="preserve">节段01</t>
  </si>
  <si>
    <t xml:space="preserve">上弦顶板</t>
  </si>
  <si>
    <t xml:space="preserve">N11</t>
  </si>
  <si>
    <t xml:space="preserve">Q355D</t>
  </si>
  <si>
    <t xml:space="preserve">上弦底板</t>
  </si>
  <si>
    <t xml:space="preserve">N12</t>
  </si>
  <si>
    <t xml:space="preserve">上弦节点板</t>
  </si>
  <si>
    <t xml:space="preserve">N14</t>
  </si>
  <si>
    <t xml:space="preserve">N14a</t>
  </si>
  <si>
    <t xml:space="preserve">上弦横隔板</t>
  </si>
  <si>
    <t xml:space="preserve">N15</t>
  </si>
  <si>
    <t xml:space="preserve">N15'</t>
  </si>
  <si>
    <t xml:space="preserve">N15b</t>
  </si>
  <si>
    <t xml:space="preserve">Q355B</t>
  </si>
  <si>
    <t xml:space="preserve">N15c</t>
  </si>
  <si>
    <t xml:space="preserve">上弦加劲肋</t>
  </si>
  <si>
    <t xml:space="preserve">N16a</t>
  </si>
  <si>
    <t xml:space="preserve">N16b</t>
  </si>
  <si>
    <t xml:space="preserve">N16c</t>
  </si>
  <si>
    <t xml:space="preserve">N16d</t>
  </si>
  <si>
    <t xml:space="preserve">N16e</t>
  </si>
  <si>
    <t xml:space="preserve">下弦顶板</t>
  </si>
  <si>
    <t xml:space="preserve">N21</t>
  </si>
  <si>
    <t xml:space="preserve">N21a</t>
  </si>
  <si>
    <t xml:space="preserve">下弦底板</t>
  </si>
  <si>
    <t xml:space="preserve">N22</t>
  </si>
  <si>
    <t xml:space="preserve">N22a</t>
  </si>
  <si>
    <t xml:space="preserve">下弦腹板</t>
  </si>
  <si>
    <t xml:space="preserve">N23</t>
  </si>
  <si>
    <t xml:space="preserve">下弦节点板</t>
  </si>
  <si>
    <t xml:space="preserve">N24</t>
  </si>
  <si>
    <t xml:space="preserve">下弦横隔板</t>
  </si>
  <si>
    <t xml:space="preserve">N25</t>
  </si>
  <si>
    <t xml:space="preserve">N25'</t>
  </si>
  <si>
    <t xml:space="preserve">N25a</t>
  </si>
  <si>
    <t xml:space="preserve">下弦加劲肋</t>
  </si>
  <si>
    <t xml:space="preserve">N26a</t>
  </si>
  <si>
    <t xml:space="preserve">N26b</t>
  </si>
  <si>
    <t xml:space="preserve">N26c</t>
  </si>
  <si>
    <t xml:space="preserve">N26d</t>
  </si>
  <si>
    <t xml:space="preserve">N26d'</t>
  </si>
  <si>
    <t xml:space="preserve">N26e</t>
  </si>
  <si>
    <t xml:space="preserve">斜腹杆</t>
  </si>
  <si>
    <t xml:space="preserve">N31</t>
  </si>
  <si>
    <t xml:space="preserve">N31a</t>
  </si>
  <si>
    <t xml:space="preserve">N32</t>
  </si>
  <si>
    <t xml:space="preserve">N33</t>
  </si>
  <si>
    <t xml:space="preserve">N33a</t>
  </si>
  <si>
    <t xml:space="preserve">N33b</t>
  </si>
  <si>
    <t xml:space="preserve">N34</t>
  </si>
  <si>
    <t xml:space="preserve">N41</t>
  </si>
  <si>
    <t xml:space="preserve">N41a</t>
  </si>
  <si>
    <t xml:space="preserve">N42</t>
  </si>
  <si>
    <t xml:space="preserve">N43</t>
  </si>
  <si>
    <t xml:space="preserve">N43a</t>
  </si>
  <si>
    <t xml:space="preserve">N43b</t>
  </si>
  <si>
    <t xml:space="preserve">N44</t>
  </si>
  <si>
    <t xml:space="preserve">竖腹杆顶底板</t>
  </si>
  <si>
    <t xml:space="preserve">N51</t>
  </si>
  <si>
    <t xml:space="preserve">N51a</t>
  </si>
  <si>
    <t xml:space="preserve">竖腹杆腹板</t>
  </si>
  <si>
    <t xml:space="preserve">N52</t>
  </si>
  <si>
    <t xml:space="preserve">竖腹杆横隔板</t>
  </si>
  <si>
    <t xml:space="preserve">N54</t>
  </si>
  <si>
    <t xml:space="preserve">竖腹杆加劲肋</t>
  </si>
  <si>
    <t xml:space="preserve">N53</t>
  </si>
  <si>
    <t xml:space="preserve">N53a</t>
  </si>
  <si>
    <t xml:space="preserve">N53b</t>
  </si>
  <si>
    <t xml:space="preserve">节点板加劲</t>
  </si>
  <si>
    <t xml:space="preserve">N61</t>
  </si>
  <si>
    <t xml:space="preserve">N62</t>
  </si>
  <si>
    <t xml:space="preserve">N63</t>
  </si>
  <si>
    <t xml:space="preserve">N64</t>
  </si>
  <si>
    <t xml:space="preserve">N65</t>
  </si>
  <si>
    <t xml:space="preserve">横梁接头</t>
  </si>
  <si>
    <t xml:space="preserve">N71</t>
  </si>
  <si>
    <t xml:space="preserve">N71'</t>
  </si>
  <si>
    <t xml:space="preserve">N71a</t>
  </si>
  <si>
    <t xml:space="preserve">N72</t>
  </si>
  <si>
    <t xml:space="preserve">N72'</t>
  </si>
  <si>
    <t xml:space="preserve">N72a</t>
  </si>
  <si>
    <t xml:space="preserve">N72b</t>
  </si>
  <si>
    <t xml:space="preserve">N73</t>
  </si>
  <si>
    <t xml:space="preserve">N73a</t>
  </si>
  <si>
    <t xml:space="preserve">支承加劲肋</t>
  </si>
  <si>
    <t xml:space="preserve">N81</t>
  </si>
  <si>
    <t xml:space="preserve">N82</t>
  </si>
  <si>
    <t xml:space="preserve">N83</t>
  </si>
  <si>
    <t xml:space="preserve">N84</t>
  </si>
  <si>
    <t xml:space="preserve">N85</t>
  </si>
  <si>
    <t xml:space="preserve">小计</t>
  </si>
  <si>
    <t xml:space="preserve">全桥数量</t>
  </si>
  <si>
    <t xml:space="preserve">横隔板</t>
  </si>
  <si>
    <t xml:space="preserve">Z1边支点横隔板</t>
  </si>
  <si>
    <t xml:space="preserve">N1</t>
  </si>
  <si>
    <t xml:space="preserve">Q355MD</t>
  </si>
  <si>
    <t xml:space="preserve">N2</t>
  </si>
  <si>
    <t xml:space="preserve">N3</t>
  </si>
  <si>
    <t xml:space="preserve">N3'</t>
  </si>
  <si>
    <t xml:space="preserve">N3a</t>
  </si>
  <si>
    <t xml:space="preserve">N3a'</t>
  </si>
  <si>
    <t xml:space="preserve">N3b</t>
  </si>
  <si>
    <t xml:space="preserve">N3b'</t>
  </si>
  <si>
    <t xml:space="preserve">N3c</t>
  </si>
  <si>
    <t xml:space="preserve">N3c'</t>
  </si>
  <si>
    <t xml:space="preserve">N3d</t>
  </si>
  <si>
    <t xml:space="preserve">N3d'</t>
  </si>
  <si>
    <t xml:space="preserve">N4</t>
  </si>
  <si>
    <t xml:space="preserve">N5</t>
  </si>
  <si>
    <t xml:space="preserve">N6</t>
  </si>
  <si>
    <t xml:space="preserve">N7</t>
  </si>
  <si>
    <t xml:space="preserve">N8</t>
  </si>
  <si>
    <t xml:space="preserve">N9</t>
  </si>
  <si>
    <t xml:space="preserve">N10</t>
  </si>
  <si>
    <t xml:space="preserve">T1上层挑梁</t>
  </si>
  <si>
    <t xml:space="preserve">N1T</t>
  </si>
  <si>
    <t xml:space="preserve">N2T</t>
  </si>
  <si>
    <t xml:space="preserve">N3T</t>
  </si>
  <si>
    <t xml:space="preserve">N4T</t>
  </si>
  <si>
    <t xml:space="preserve">N4Ta</t>
  </si>
  <si>
    <t xml:space="preserve">T2上层挑梁</t>
  </si>
  <si>
    <t xml:space="preserve">N4a</t>
  </si>
  <si>
    <t xml:space="preserve">T3下层挑梁</t>
  </si>
  <si>
    <t xml:space="preserve">N1'</t>
  </si>
  <si>
    <t xml:space="preserve">N2'</t>
  </si>
  <si>
    <t xml:space="preserve">N4'</t>
  </si>
  <si>
    <t xml:space="preserve">N4a'</t>
  </si>
  <si>
    <t xml:space="preserve">Z2支点横梁</t>
  </si>
  <si>
    <t xml:space="preserve">HG1</t>
  </si>
  <si>
    <t xml:space="preserve">HG2</t>
  </si>
  <si>
    <t xml:space="preserve">HG3</t>
  </si>
  <si>
    <t xml:space="preserve">HG5</t>
  </si>
  <si>
    <t xml:space="preserve">HG4</t>
  </si>
  <si>
    <t xml:space="preserve">HG6</t>
  </si>
  <si>
    <t xml:space="preserve">横肋</t>
  </si>
  <si>
    <t xml:space="preserve">L1横肋</t>
  </si>
  <si>
    <t xml:space="preserve">L2横肋</t>
  </si>
  <si>
    <t xml:space="preserve">L3横肋</t>
  </si>
  <si>
    <t xml:space="preserve">U肋</t>
  </si>
  <si>
    <t xml:space="preserve">梁间横梁</t>
  </si>
  <si>
    <t xml:space="preserve">XJZ1</t>
  </si>
  <si>
    <t xml:space="preserve">XJZ2</t>
  </si>
  <si>
    <t xml:space="preserve">XJZ3</t>
  </si>
  <si>
    <t xml:space="preserve">XJZ4</t>
  </si>
  <si>
    <t xml:space="preserve">XJHL1</t>
  </si>
  <si>
    <t xml:space="preserve">HL1-T1</t>
  </si>
  <si>
    <t xml:space="preserve">HL1-F1</t>
  </si>
  <si>
    <t xml:space="preserve">HL1-F2</t>
  </si>
  <si>
    <t xml:space="preserve">HL1-B1</t>
  </si>
  <si>
    <t xml:space="preserve">HL1-B2</t>
  </si>
  <si>
    <t xml:space="preserve">HL1-V1</t>
  </si>
  <si>
    <t xml:space="preserve">XJHL2</t>
  </si>
  <si>
    <t xml:space="preserve">名称</t>
  </si>
  <si>
    <t xml:space="preserve">复核合计</t>
  </si>
  <si>
    <t xml:space="preserve">主梁合计</t>
  </si>
  <si>
    <t xml:space="preserve">图纸合计</t>
  </si>
  <si>
    <t xml:space="preserve">排水</t>
  </si>
  <si>
    <t xml:space="preserve">上层N1</t>
  </si>
  <si>
    <t xml:space="preserve">Q355C</t>
  </si>
  <si>
    <t xml:space="preserve">下层N1</t>
  </si>
  <si>
    <t xml:space="preserve">上层N2</t>
  </si>
  <si>
    <t xml:space="preserve">下层N2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</si>
</sst>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_ "/>
    <numFmt numFmtId="166" formatCode="0.00_ "/>
    <numFmt numFmtId="167" formatCode="0.0_ 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宋体"/>
      <family val="0"/>
      <charset val="134"/>
    </font>
    <font>
      <b val="true"/>
      <sz val="9"/>
      <color theme="1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228600</xdr:colOff>
      <xdr:row>9</xdr:row>
      <xdr:rowOff>241200</xdr:rowOff>
    </xdr:from>
    <xdr:to>
      <xdr:col>19</xdr:col>
      <xdr:colOff>497520</xdr:colOff>
      <xdr:row>26</xdr:row>
      <xdr:rowOff>18360</xdr:rowOff>
    </xdr:to>
    <xdr:pic>
      <xdr:nvPicPr>
        <xdr:cNvPr id="1" name="图片 1"/>
        <xdr:cNvPicPr/>
      </xdr:nvPicPr>
      <xdr:blipFill>
        <a:blip r:embed="rId1"/>
        <a:stretch/>
      </xdr:blipFill>
      <xdr:spPr>
        <a:xfrm>
          <a:off x="7321680" y="2889000"/>
          <a:ext cx="4059720" cy="3053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pageBreakPreview" topLeftCell="A1" colorId="64" zoomScale="114" zoomScaleNormal="100" zoomScalePageLayoutView="114" workbookViewId="0">
      <selection pane="topLeft" activeCell="I9" activeCellId="0" sqref="I9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16.275"/>
    <col collapsed="false" customWidth="true" hidden="false" outlineLevel="0" max="4" min="2" style="1" width="9.0"/>
    <col collapsed="false" customWidth="true" hidden="false" outlineLevel="0" max="5" min="5" style="1" width="9.54166666666667"/>
    <col collapsed="false" customWidth="true" hidden="false" outlineLevel="0" max="6" min="6" style="1" width="10.5416666666667"/>
    <col collapsed="false" customWidth="true" hidden="false" outlineLevel="0" max="7" min="7" style="1" width="12.9083333333333"/>
    <col collapsed="false" customWidth="true" hidden="false" outlineLevel="0" max="8" min="8" style="1" width="9.54166666666667"/>
    <col collapsed="false" customWidth="true" hidden="false" outlineLevel="0" max="9" min="9" style="1" width="53.125"/>
    <col collapsed="false" customWidth="true" hidden="false" outlineLevel="0" max="16384" min="10" style="1" width="9.0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/>
      <c r="F2" s="3"/>
      <c r="G2" s="3" t="s">
        <v>4</v>
      </c>
      <c r="H2" s="3" t="s">
        <v>5</v>
      </c>
      <c r="I2" s="3" t="s">
        <v>6</v>
      </c>
    </row>
    <row r="3" customFormat="false" ht="19.5" hidden="false" customHeight="true" outlineLevel="0" collapsed="false">
      <c r="A3" s="3"/>
      <c r="B3" s="3"/>
      <c r="C3" s="3"/>
      <c r="D3" s="3" t="s">
        <v>7</v>
      </c>
      <c r="E3" s="3" t="s">
        <v>8</v>
      </c>
      <c r="F3" s="3" t="s">
        <v>9</v>
      </c>
      <c r="G3" s="3"/>
      <c r="H3" s="3"/>
      <c r="I3" s="3"/>
    </row>
    <row r="4" customFormat="false" ht="19.5" hidden="false" customHeight="true" outlineLevel="0" collapsed="false">
      <c r="A4" s="3" t="s">
        <v>10</v>
      </c>
      <c r="B4" s="3" t="n">
        <v>100</v>
      </c>
      <c r="C4" s="3" t="s">
        <v>11</v>
      </c>
      <c r="D4" s="3" t="n">
        <v>2543.4</v>
      </c>
      <c r="E4" s="3"/>
      <c r="F4" s="3" t="n">
        <f aca="false">D4+E4</f>
        <v>2543.4</v>
      </c>
      <c r="G4" s="4" t="n">
        <f aca="false">主梁数量!AB4</f>
        <v>2543.4</v>
      </c>
      <c r="H4" s="4" t="n">
        <f aca="false">G4-F4</f>
        <v>0</v>
      </c>
      <c r="I4" s="3" t="s">
        <v>12</v>
      </c>
    </row>
    <row r="5" customFormat="false" ht="19.5" hidden="false" customHeight="true" outlineLevel="0" collapsed="false">
      <c r="A5" s="3"/>
      <c r="B5" s="3" t="n">
        <v>40</v>
      </c>
      <c r="C5" s="3" t="s">
        <v>11</v>
      </c>
      <c r="D5" s="5" t="n">
        <v>26583.2</v>
      </c>
      <c r="E5" s="3"/>
      <c r="F5" s="3" t="n">
        <f aca="false">D5+E5</f>
        <v>26583.2</v>
      </c>
      <c r="G5" s="4" t="n">
        <f aca="false">主梁数量!S4</f>
        <v>26583.24</v>
      </c>
      <c r="H5" s="6" t="n">
        <f aca="false">G5-F5</f>
        <v>0.0399999999972351</v>
      </c>
      <c r="I5" s="3" t="s">
        <v>13</v>
      </c>
    </row>
    <row r="6" customFormat="false" ht="19.5" hidden="false" customHeight="true" outlineLevel="0" collapsed="false">
      <c r="A6" s="3"/>
      <c r="B6" s="3" t="n">
        <v>36</v>
      </c>
      <c r="C6" s="3" t="s">
        <v>11</v>
      </c>
      <c r="D6" s="3" t="n">
        <v>28146.9</v>
      </c>
      <c r="E6" s="3"/>
      <c r="F6" s="3" t="n">
        <f aca="false">D6+E6</f>
        <v>28146.9</v>
      </c>
      <c r="G6" s="4" t="n">
        <f aca="false">主梁数量!AA4</f>
        <v>28143.161856</v>
      </c>
      <c r="H6" s="4" t="n">
        <f aca="false">G6-F6</f>
        <v>-3.73814400000265</v>
      </c>
      <c r="I6" s="3" t="s">
        <v>14</v>
      </c>
    </row>
    <row r="7" customFormat="false" ht="19.5" hidden="false" customHeight="true" outlineLevel="0" collapsed="false">
      <c r="A7" s="3"/>
      <c r="B7" s="3" t="n">
        <v>32</v>
      </c>
      <c r="C7" s="3" t="s">
        <v>11</v>
      </c>
      <c r="D7" s="5" t="n">
        <v>10530.3</v>
      </c>
      <c r="E7" s="3"/>
      <c r="F7" s="3" t="n">
        <f aca="false">D7+E7</f>
        <v>10530.3</v>
      </c>
      <c r="G7" s="4" t="n">
        <f aca="false">主梁数量!Z4</f>
        <v>10529.319296</v>
      </c>
      <c r="H7" s="6" t="n">
        <f aca="false">G7-F7</f>
        <v>-0.980703999999605</v>
      </c>
      <c r="I7" s="3" t="s">
        <v>15</v>
      </c>
    </row>
    <row r="8" customFormat="false" ht="19.5" hidden="false" customHeight="true" outlineLevel="0" collapsed="false">
      <c r="A8" s="3"/>
      <c r="B8" s="3" t="n">
        <v>28</v>
      </c>
      <c r="C8" s="3" t="s">
        <v>11</v>
      </c>
      <c r="D8" s="5" t="n">
        <v>6809.6</v>
      </c>
      <c r="E8" s="3"/>
      <c r="F8" s="3" t="n">
        <f aca="false">D8+E8</f>
        <v>6809.6</v>
      </c>
      <c r="G8" s="4" t="n">
        <f aca="false">主梁数量!Y4</f>
        <v>6807.6456</v>
      </c>
      <c r="H8" s="6" t="n">
        <f aca="false">G8-F8</f>
        <v>-1.95440000000053</v>
      </c>
      <c r="I8" s="3" t="s">
        <v>16</v>
      </c>
    </row>
    <row r="9" customFormat="false" ht="19.5" hidden="false" customHeight="true" outlineLevel="0" collapsed="false">
      <c r="A9" s="3"/>
      <c r="B9" s="3" t="n">
        <v>24</v>
      </c>
      <c r="C9" s="3" t="s">
        <v>11</v>
      </c>
      <c r="D9" s="3" t="n">
        <v>8776</v>
      </c>
      <c r="E9" s="3"/>
      <c r="F9" s="3" t="n">
        <f aca="false">D9+E9</f>
        <v>8776</v>
      </c>
      <c r="G9" s="4" t="n">
        <f aca="false">主梁数量!Q4</f>
        <v>8778.46032</v>
      </c>
      <c r="H9" s="4" t="n">
        <f aca="false">G9-F9</f>
        <v>2.46032000000014</v>
      </c>
      <c r="I9" s="3" t="s">
        <v>17</v>
      </c>
    </row>
    <row r="10" customFormat="false" ht="19.5" hidden="false" customHeight="true" outlineLevel="0" collapsed="false">
      <c r="A10" s="3"/>
      <c r="B10" s="3" t="n">
        <v>20</v>
      </c>
      <c r="C10" s="3" t="s">
        <v>11</v>
      </c>
      <c r="D10" s="3" t="n">
        <v>29015.2</v>
      </c>
      <c r="E10" s="3"/>
      <c r="F10" s="3" t="n">
        <f aca="false">D10+E10</f>
        <v>29015.2</v>
      </c>
      <c r="G10" s="4" t="n">
        <f aca="false">主梁数量!P4</f>
        <v>29046.98762</v>
      </c>
      <c r="H10" s="4" t="n">
        <f aca="false">G10-F10</f>
        <v>31.7876199999992</v>
      </c>
      <c r="I10" s="3" t="s">
        <v>18</v>
      </c>
    </row>
    <row r="11" customFormat="false" ht="19.5" hidden="false" customHeight="true" outlineLevel="0" collapsed="false">
      <c r="A11" s="3"/>
      <c r="B11" s="3" t="n">
        <v>16</v>
      </c>
      <c r="C11" s="3" t="s">
        <v>11</v>
      </c>
      <c r="D11" s="3" t="n">
        <v>9079.6</v>
      </c>
      <c r="E11" s="3"/>
      <c r="F11" s="3" t="n">
        <f aca="false">D11+E11</f>
        <v>9079.6</v>
      </c>
      <c r="G11" s="4" t="n">
        <f aca="false">主梁数量!O4</f>
        <v>9072.165872</v>
      </c>
      <c r="H11" s="4" t="n">
        <f aca="false">G11-F11</f>
        <v>-7.43412800000078</v>
      </c>
      <c r="I11" s="3" t="s">
        <v>19</v>
      </c>
    </row>
    <row r="12" customFormat="false" ht="19.5" hidden="false" customHeight="true" outlineLevel="0" collapsed="false">
      <c r="A12" s="3"/>
      <c r="B12" s="3" t="n">
        <v>14</v>
      </c>
      <c r="C12" s="3" t="s">
        <v>11</v>
      </c>
      <c r="D12" s="3" t="n">
        <v>481.4</v>
      </c>
      <c r="E12" s="3"/>
      <c r="F12" s="3" t="n">
        <f aca="false">D12+E12</f>
        <v>481.4</v>
      </c>
      <c r="G12" s="4" t="n">
        <f aca="false">主梁数量!N4</f>
        <v>481.909302</v>
      </c>
      <c r="H12" s="4" t="n">
        <f aca="false">G12-F12</f>
        <v>0.509302000000105</v>
      </c>
      <c r="I12" s="3" t="s">
        <v>20</v>
      </c>
    </row>
    <row r="13" customFormat="false" ht="19.5" hidden="false" customHeight="true" outlineLevel="0" collapsed="false">
      <c r="A13" s="3"/>
      <c r="B13" s="3" t="n">
        <v>4</v>
      </c>
      <c r="C13" s="3" t="s">
        <v>11</v>
      </c>
      <c r="D13" s="3" t="n">
        <v>10</v>
      </c>
      <c r="E13" s="3"/>
      <c r="F13" s="3" t="n">
        <f aca="false">D13+E13</f>
        <v>10</v>
      </c>
      <c r="G13" s="4" t="n">
        <f aca="false">主梁数量!X4</f>
        <v>10.334368</v>
      </c>
      <c r="H13" s="4" t="n">
        <f aca="false">G13-F13</f>
        <v>0.334368000000001</v>
      </c>
      <c r="I13" s="3" t="s">
        <v>21</v>
      </c>
    </row>
    <row r="14" customFormat="false" ht="19.5" hidden="false" customHeight="true" outlineLevel="0" collapsed="false">
      <c r="A14" s="3" t="s">
        <v>22</v>
      </c>
      <c r="B14" s="3"/>
      <c r="C14" s="3" t="s">
        <v>11</v>
      </c>
      <c r="D14" s="3" t="n">
        <v>1829.6</v>
      </c>
      <c r="E14" s="3"/>
      <c r="F14" s="3" t="n">
        <f aca="false">D14+E14</f>
        <v>1829.6</v>
      </c>
      <c r="G14" s="4" t="n">
        <f aca="false">SUM(G4:G13)*0.015</f>
        <v>1829.94936351</v>
      </c>
      <c r="H14" s="4" t="n">
        <f aca="false">G14-F14</f>
        <v>0.349363509999876</v>
      </c>
      <c r="I14" s="3" t="s">
        <v>23</v>
      </c>
    </row>
    <row r="15" customFormat="false" ht="19.5" hidden="false" customHeight="true" outlineLevel="0" collapsed="false">
      <c r="A15" s="7" t="s">
        <v>9</v>
      </c>
      <c r="B15" s="3"/>
      <c r="C15" s="3" t="s">
        <v>11</v>
      </c>
      <c r="D15" s="3"/>
      <c r="E15" s="3"/>
      <c r="F15" s="4" t="n">
        <f aca="false">SUM(F4:F14)</f>
        <v>123805.2</v>
      </c>
      <c r="G15" s="4" t="n">
        <f aca="false">SUM(G4:G14)</f>
        <v>123826.57359751</v>
      </c>
      <c r="H15" s="6" t="n">
        <f aca="false">G15-F15</f>
        <v>21.3735975099844</v>
      </c>
      <c r="I15" s="3" t="s">
        <v>24</v>
      </c>
    </row>
    <row r="16" customFormat="false" ht="19.5" hidden="false" customHeight="true" outlineLevel="0" collapsed="false">
      <c r="A16" s="7" t="s">
        <v>25</v>
      </c>
      <c r="B16" s="3" t="s">
        <v>26</v>
      </c>
      <c r="C16" s="3" t="s">
        <v>27</v>
      </c>
      <c r="D16" s="3" t="n">
        <v>677.5</v>
      </c>
      <c r="E16" s="3"/>
      <c r="F16" s="3" t="n">
        <f aca="false">D16+E16</f>
        <v>677.5</v>
      </c>
      <c r="G16" s="3"/>
      <c r="H16" s="6"/>
      <c r="I16" s="8" t="s">
        <v>28</v>
      </c>
    </row>
    <row r="17" customFormat="false" ht="19.5" hidden="false" customHeight="true" outlineLevel="0" collapsed="false">
      <c r="A17" s="7"/>
      <c r="B17" s="3" t="s">
        <v>29</v>
      </c>
      <c r="C17" s="3" t="s">
        <v>27</v>
      </c>
      <c r="D17" s="3" t="n">
        <v>460.1</v>
      </c>
      <c r="E17" s="3"/>
      <c r="F17" s="3" t="n">
        <f aca="false">D17+E17</f>
        <v>460.1</v>
      </c>
      <c r="G17" s="3"/>
      <c r="H17" s="4"/>
      <c r="I17" s="3" t="s">
        <v>30</v>
      </c>
    </row>
    <row r="18" customFormat="false" ht="19.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</row>
  </sheetData>
  <mergeCells count="10">
    <mergeCell ref="A1:I1"/>
    <mergeCell ref="A2:A3"/>
    <mergeCell ref="B2:B3"/>
    <mergeCell ref="C2:C3"/>
    <mergeCell ref="D2:F2"/>
    <mergeCell ref="G2:G3"/>
    <mergeCell ref="H2:H3"/>
    <mergeCell ref="I2:I3"/>
    <mergeCell ref="A4:A13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F435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N4" activeCellId="0" sqref="N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7.09166666666667"/>
    <col collapsed="false" customWidth="true" hidden="false" outlineLevel="0" max="2" min="2" style="9" width="8.63333333333333"/>
    <col collapsed="false" customWidth="true" hidden="false" outlineLevel="0" max="7" min="5" style="9" width="9.725"/>
    <col collapsed="false" customWidth="true" hidden="false" outlineLevel="0" max="9" min="9" style="9" width="7.275"/>
    <col collapsed="false" customWidth="true" hidden="false" outlineLevel="0" max="23" min="13" style="9" width="8.54166666666667"/>
  </cols>
  <sheetData>
    <row r="1" customFormat="false" ht="27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="12" customFormat="true" ht="19.5" hidden="false" customHeight="true" outlineLevel="0" collapsed="false">
      <c r="A2" s="10" t="s">
        <v>31</v>
      </c>
      <c r="B2" s="10" t="s">
        <v>32</v>
      </c>
      <c r="C2" s="10" t="s">
        <v>33</v>
      </c>
      <c r="D2" s="10" t="s">
        <v>34</v>
      </c>
      <c r="E2" s="10" t="s">
        <v>35</v>
      </c>
      <c r="F2" s="10" t="s">
        <v>36</v>
      </c>
      <c r="G2" s="10" t="s">
        <v>37</v>
      </c>
      <c r="H2" s="10" t="s">
        <v>38</v>
      </c>
      <c r="I2" s="10" t="s">
        <v>39</v>
      </c>
      <c r="J2" s="10" t="s">
        <v>40</v>
      </c>
      <c r="K2" s="10" t="s">
        <v>6</v>
      </c>
      <c r="L2" s="10" t="s">
        <v>31</v>
      </c>
      <c r="M2" s="11" t="s">
        <v>4</v>
      </c>
      <c r="N2" s="11"/>
      <c r="O2" s="11"/>
      <c r="P2" s="11"/>
      <c r="Q2" s="11"/>
      <c r="R2" s="11"/>
      <c r="S2" s="11"/>
      <c r="T2" s="11"/>
      <c r="U2" s="11" t="s">
        <v>3</v>
      </c>
      <c r="V2" s="11" t="s">
        <v>5</v>
      </c>
      <c r="W2" s="11" t="s">
        <v>6</v>
      </c>
      <c r="X2" s="11"/>
      <c r="Y2" s="11"/>
      <c r="Z2" s="11"/>
      <c r="AA2" s="11"/>
      <c r="AB2" s="11"/>
      <c r="AC2" s="10" t="s">
        <v>41</v>
      </c>
      <c r="AD2" s="10" t="s">
        <v>42</v>
      </c>
      <c r="AE2" s="10" t="s">
        <v>43</v>
      </c>
      <c r="AF2" s="10" t="s">
        <v>44</v>
      </c>
    </row>
    <row r="3" s="12" customFormat="true" ht="19.5" hidden="false" customHeight="true" outlineLevel="0" collapsed="false">
      <c r="A3" s="10"/>
      <c r="B3" s="10"/>
      <c r="C3" s="10"/>
      <c r="D3" s="10"/>
      <c r="E3" s="10" t="s">
        <v>45</v>
      </c>
      <c r="F3" s="10" t="s">
        <v>45</v>
      </c>
      <c r="G3" s="10" t="s">
        <v>45</v>
      </c>
      <c r="H3" s="10" t="s">
        <v>11</v>
      </c>
      <c r="I3" s="10"/>
      <c r="J3" s="10" t="s">
        <v>11</v>
      </c>
      <c r="K3" s="10"/>
      <c r="L3" s="10"/>
      <c r="M3" s="13" t="n">
        <v>12</v>
      </c>
      <c r="N3" s="13" t="n">
        <v>14</v>
      </c>
      <c r="O3" s="13" t="n">
        <v>16</v>
      </c>
      <c r="P3" s="13" t="n">
        <v>20</v>
      </c>
      <c r="Q3" s="13" t="n">
        <v>24</v>
      </c>
      <c r="R3" s="13" t="n">
        <v>30</v>
      </c>
      <c r="S3" s="13" t="n">
        <v>40</v>
      </c>
      <c r="T3" s="13" t="s">
        <v>9</v>
      </c>
      <c r="U3" s="11"/>
      <c r="V3" s="10"/>
      <c r="W3" s="10"/>
      <c r="X3" s="13" t="n">
        <v>4</v>
      </c>
      <c r="Y3" s="13" t="n">
        <v>28</v>
      </c>
      <c r="Z3" s="13" t="n">
        <v>32</v>
      </c>
      <c r="AA3" s="13" t="n">
        <v>36</v>
      </c>
      <c r="AB3" s="13" t="n">
        <v>100</v>
      </c>
      <c r="AC3" s="10" t="s">
        <v>46</v>
      </c>
      <c r="AD3" s="10" t="s">
        <v>11</v>
      </c>
      <c r="AE3" s="10" t="s">
        <v>11</v>
      </c>
      <c r="AF3" s="10" t="s">
        <v>11</v>
      </c>
    </row>
    <row r="4" s="12" customFormat="true" ht="19.5" hidden="false" customHeight="true" outlineLevel="0" collapsed="false">
      <c r="A4" s="10" t="s">
        <v>47</v>
      </c>
      <c r="B4" s="10" t="s">
        <v>48</v>
      </c>
      <c r="C4" s="10" t="s">
        <v>49</v>
      </c>
      <c r="D4" s="10" t="s">
        <v>50</v>
      </c>
      <c r="E4" s="10"/>
      <c r="F4" s="10"/>
      <c r="G4" s="10" t="n">
        <v>20</v>
      </c>
      <c r="H4" s="14" t="n">
        <f aca="false">IF(AC4&gt;0,AC4/1000000*(G4/1000)*7850,(E4/1000)*(F4/1000)*(G4/1000)*7850)</f>
        <v>4239</v>
      </c>
      <c r="I4" s="10" t="n">
        <v>1</v>
      </c>
      <c r="J4" s="15" t="n">
        <f aca="false">H4*I4</f>
        <v>4239</v>
      </c>
      <c r="K4" s="10"/>
      <c r="L4" s="10" t="str">
        <f aca="false">A4</f>
        <v>节段01</v>
      </c>
      <c r="M4" s="16"/>
      <c r="N4" s="16" t="n">
        <f aca="false">SUMIF($G$4:$G$71,N$3,$J$4:$J$71)</f>
        <v>481.909302</v>
      </c>
      <c r="O4" s="16" t="n">
        <f aca="false">SUMIF($G$4:$G$71,O$3,$J$4:$J$71)</f>
        <v>9072.165872</v>
      </c>
      <c r="P4" s="16" t="n">
        <f aca="false">SUMIF($G$4:$G$71,P$3,$J$4:$J$71)</f>
        <v>29046.98762</v>
      </c>
      <c r="Q4" s="16" t="n">
        <f aca="false">SUMIF($G$4:$G$71,Q$3,$J$4:$J$71)</f>
        <v>8778.46032</v>
      </c>
      <c r="R4" s="16"/>
      <c r="S4" s="16" t="n">
        <f aca="false">SUMIF($G$4:$G$71,S$3,$J$4:$J$71)</f>
        <v>26583.24</v>
      </c>
      <c r="T4" s="16" t="n">
        <f aca="false">SUM(M4:S72)+SUM(X4:AB72)</f>
        <v>121996.624234</v>
      </c>
      <c r="U4" s="16" t="n">
        <f aca="false">SUM(AE4:AE71)</f>
        <v>121975.6</v>
      </c>
      <c r="V4" s="16" t="n">
        <f aca="false">T4-U4</f>
        <v>21.0242339999968</v>
      </c>
      <c r="W4" s="10"/>
      <c r="X4" s="10" t="n">
        <f aca="false">SUMIF($G$4:$G$71,X$3,$J$4:$J$71)</f>
        <v>10.334368</v>
      </c>
      <c r="Y4" s="10" t="n">
        <f aca="false">SUMIF($G$4:$G$71,Y$3,$J$4:$J$71)</f>
        <v>6807.6456</v>
      </c>
      <c r="Z4" s="10" t="n">
        <f aca="false">SUMIF($G$4:$G$71,Z$3,$J$4:$J$71)</f>
        <v>10529.319296</v>
      </c>
      <c r="AA4" s="10" t="n">
        <f aca="false">SUMIF($G$4:$G$71,AA$3,$J$4:$J$71)</f>
        <v>28143.161856</v>
      </c>
      <c r="AB4" s="10" t="n">
        <f aca="false">SUMIF($G$4:$G$71,AB$3,$J$4:$J$71)</f>
        <v>2543.4</v>
      </c>
      <c r="AC4" s="10" t="n">
        <v>27000000</v>
      </c>
      <c r="AD4" s="10" t="n">
        <v>4239</v>
      </c>
      <c r="AE4" s="10" t="n">
        <v>4239</v>
      </c>
      <c r="AF4" s="10" t="n">
        <f aca="false">H4-AD4</f>
        <v>0</v>
      </c>
    </row>
    <row r="5" s="12" customFormat="true" ht="19.5" hidden="false" customHeight="true" outlineLevel="0" collapsed="false">
      <c r="A5" s="10"/>
      <c r="B5" s="10" t="s">
        <v>51</v>
      </c>
      <c r="C5" s="10" t="s">
        <v>52</v>
      </c>
      <c r="D5" s="10" t="s">
        <v>50</v>
      </c>
      <c r="E5" s="10" t="n">
        <v>13550</v>
      </c>
      <c r="F5" s="10" t="n">
        <v>1200</v>
      </c>
      <c r="G5" s="10" t="n">
        <v>20</v>
      </c>
      <c r="H5" s="14" t="n">
        <f aca="false">IF(AC5&gt;0,AC5/1000000*(G5/1000)*7850,(E5/1000)*(F5/1000)*(G5/1000)*7850)</f>
        <v>2552.82</v>
      </c>
      <c r="I5" s="10" t="n">
        <v>1</v>
      </c>
      <c r="J5" s="15" t="n">
        <f aca="false">H5*I5</f>
        <v>2552.82</v>
      </c>
      <c r="K5" s="10"/>
      <c r="L5" s="10" t="n">
        <f aca="false">A5</f>
        <v>0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0"/>
      <c r="AD5" s="10" t="n">
        <v>2515.1</v>
      </c>
      <c r="AE5" s="10" t="n">
        <v>2515.1</v>
      </c>
      <c r="AF5" s="10" t="n">
        <f aca="false">H5-AD5</f>
        <v>37.7200000000003</v>
      </c>
    </row>
    <row r="6" s="12" customFormat="true" ht="19.5" hidden="true" customHeight="true" outlineLevel="0" collapsed="false">
      <c r="A6" s="10"/>
      <c r="B6" s="10" t="s">
        <v>53</v>
      </c>
      <c r="C6" s="10" t="s">
        <v>54</v>
      </c>
      <c r="D6" s="10" t="s">
        <v>50</v>
      </c>
      <c r="E6" s="10"/>
      <c r="F6" s="10"/>
      <c r="G6" s="10" t="n">
        <v>28</v>
      </c>
      <c r="H6" s="14" t="n">
        <f aca="false">IF(AC6&gt;0,AC6/1000000*(G6/1000)*7850,(E6/1000)*(F6/1000)*(G6/1000)*7850)</f>
        <v>2868.39</v>
      </c>
      <c r="I6" s="10" t="n">
        <v>2</v>
      </c>
      <c r="J6" s="15" t="n">
        <f aca="false">H6*I6</f>
        <v>5736.78</v>
      </c>
      <c r="K6" s="10"/>
      <c r="L6" s="10" t="n">
        <f aca="false">A6</f>
        <v>0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0" t="n">
        <v>13050000</v>
      </c>
      <c r="AD6" s="10" t="n">
        <v>2868.4</v>
      </c>
      <c r="AE6" s="10" t="n">
        <v>5736.8</v>
      </c>
      <c r="AF6" s="10" t="n">
        <f aca="false">H6-AD6</f>
        <v>-0.0100000000002183</v>
      </c>
    </row>
    <row r="7" s="12" customFormat="true" ht="19.5" hidden="true" customHeight="true" outlineLevel="0" collapsed="false">
      <c r="A7" s="10"/>
      <c r="B7" s="10" t="s">
        <v>53</v>
      </c>
      <c r="C7" s="10" t="s">
        <v>55</v>
      </c>
      <c r="D7" s="10" t="s">
        <v>50</v>
      </c>
      <c r="E7" s="10"/>
      <c r="F7" s="10"/>
      <c r="G7" s="10" t="n">
        <v>40</v>
      </c>
      <c r="H7" s="14" t="n">
        <f aca="false">IF(AC7&gt;0,AC7/1000000*(G7/1000)*7850,(E7/1000)*(F7/1000)*(G7/1000)*7850)</f>
        <v>7850</v>
      </c>
      <c r="I7" s="10" t="n">
        <v>2</v>
      </c>
      <c r="J7" s="15" t="n">
        <f aca="false">H7*I7</f>
        <v>15700</v>
      </c>
      <c r="K7" s="10"/>
      <c r="L7" s="10" t="n">
        <f aca="false">A7</f>
        <v>0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0" t="n">
        <v>25000000</v>
      </c>
      <c r="AD7" s="10" t="n">
        <v>7850</v>
      </c>
      <c r="AE7" s="10" t="n">
        <v>15700</v>
      </c>
      <c r="AF7" s="10" t="n">
        <f aca="false">H7-AD7</f>
        <v>0</v>
      </c>
    </row>
    <row r="8" s="12" customFormat="true" ht="19.5" hidden="true" customHeight="true" outlineLevel="0" collapsed="false">
      <c r="A8" s="10"/>
      <c r="B8" s="10" t="s">
        <v>56</v>
      </c>
      <c r="C8" s="10" t="s">
        <v>57</v>
      </c>
      <c r="D8" s="10" t="s">
        <v>50</v>
      </c>
      <c r="E8" s="10" t="n">
        <v>1980</v>
      </c>
      <c r="F8" s="10" t="n">
        <v>1200</v>
      </c>
      <c r="G8" s="10" t="n">
        <v>16</v>
      </c>
      <c r="H8" s="14" t="n">
        <f aca="false">IF(AC8&gt;0,AC8/1000000*(G8/1000)*7850,(E8/1000)*(F8/1000)*(G8/1000)*7850)</f>
        <v>298.4256</v>
      </c>
      <c r="I8" s="10" t="n">
        <v>6</v>
      </c>
      <c r="J8" s="15" t="n">
        <f aca="false">H8*I8</f>
        <v>1790.5536</v>
      </c>
      <c r="K8" s="10"/>
      <c r="L8" s="10" t="n">
        <f aca="false">A8</f>
        <v>0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0"/>
      <c r="AD8" s="10" t="n">
        <v>298.9</v>
      </c>
      <c r="AE8" s="10" t="n">
        <v>1793.4</v>
      </c>
      <c r="AF8" s="10" t="n">
        <f aca="false">H8-AD8</f>
        <v>-0.474399999999946</v>
      </c>
    </row>
    <row r="9" s="12" customFormat="true" ht="19.5" hidden="true" customHeight="true" outlineLevel="0" collapsed="false">
      <c r="A9" s="10"/>
      <c r="B9" s="10" t="s">
        <v>56</v>
      </c>
      <c r="C9" s="10" t="s">
        <v>58</v>
      </c>
      <c r="D9" s="10" t="s">
        <v>50</v>
      </c>
      <c r="E9" s="10" t="n">
        <v>2057</v>
      </c>
      <c r="F9" s="10" t="n">
        <v>200</v>
      </c>
      <c r="G9" s="10" t="n">
        <v>16</v>
      </c>
      <c r="H9" s="14" t="n">
        <f aca="false">IF(AC9&gt;0,AC9/1000000*(G9/1000)*7850,(E9/1000)*(F9/1000)*(G9/1000)*7850)</f>
        <v>51.67184</v>
      </c>
      <c r="I9" s="10" t="n">
        <v>4</v>
      </c>
      <c r="J9" s="15" t="n">
        <f aca="false">H9*I9</f>
        <v>206.68736</v>
      </c>
      <c r="K9" s="10"/>
      <c r="L9" s="10" t="n">
        <f aca="false">A9</f>
        <v>0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0"/>
      <c r="AD9" s="10" t="n">
        <v>51.5</v>
      </c>
      <c r="AE9" s="10" t="n">
        <v>206</v>
      </c>
      <c r="AF9" s="10" t="n">
        <f aca="false">H9-AD9</f>
        <v>0.171839999999996</v>
      </c>
    </row>
    <row r="10" s="12" customFormat="true" ht="19.5" hidden="true" customHeight="true" outlineLevel="0" collapsed="false">
      <c r="A10" s="10"/>
      <c r="B10" s="10" t="s">
        <v>56</v>
      </c>
      <c r="C10" s="10" t="s">
        <v>59</v>
      </c>
      <c r="D10" s="10" t="s">
        <v>60</v>
      </c>
      <c r="E10" s="10" t="n">
        <v>2057</v>
      </c>
      <c r="F10" s="10" t="n">
        <v>40</v>
      </c>
      <c r="G10" s="10" t="n">
        <v>4</v>
      </c>
      <c r="H10" s="14" t="n">
        <f aca="false">IF(AC10&gt;0,AC10/1000000*(G10/1000)*7850,(E10/1000)*(F10/1000)*(G10/1000)*7850)</f>
        <v>2.583592</v>
      </c>
      <c r="I10" s="10" t="n">
        <v>4</v>
      </c>
      <c r="J10" s="15" t="n">
        <f aca="false">H10*I10</f>
        <v>10.334368</v>
      </c>
      <c r="K10" s="10"/>
      <c r="L10" s="10" t="n">
        <f aca="false">A10</f>
        <v>0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0"/>
      <c r="AD10" s="10" t="n">
        <v>2.5</v>
      </c>
      <c r="AE10" s="10" t="n">
        <v>10</v>
      </c>
      <c r="AF10" s="10" t="n">
        <f aca="false">H10-AD10</f>
        <v>0.0835920000000003</v>
      </c>
    </row>
    <row r="11" s="12" customFormat="true" ht="19.5" hidden="true" customHeight="true" outlineLevel="0" collapsed="false">
      <c r="A11" s="10"/>
      <c r="B11" s="10" t="s">
        <v>56</v>
      </c>
      <c r="C11" s="10" t="s">
        <v>61</v>
      </c>
      <c r="D11" s="10" t="s">
        <v>50</v>
      </c>
      <c r="E11" s="10" t="n">
        <v>800</v>
      </c>
      <c r="F11" s="10" t="n">
        <v>400</v>
      </c>
      <c r="G11" s="10" t="n">
        <v>16</v>
      </c>
      <c r="H11" s="14" t="n">
        <f aca="false">IF(AC11&gt;0,AC11/1000000*(G11/1000)*7850,(E11/1000)*(F11/1000)*(G11/1000)*7850)</f>
        <v>40.192</v>
      </c>
      <c r="I11" s="10" t="n">
        <v>4</v>
      </c>
      <c r="J11" s="15" t="n">
        <f aca="false">H11*I11</f>
        <v>160.768</v>
      </c>
      <c r="K11" s="10"/>
      <c r="L11" s="10" t="n">
        <f aca="false">A11</f>
        <v>0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0"/>
      <c r="AD11" s="10" t="n">
        <v>40.2</v>
      </c>
      <c r="AE11" s="10" t="n">
        <v>160.8</v>
      </c>
      <c r="AF11" s="10" t="n">
        <f aca="false">H11-AD11</f>
        <v>-0.00799999999999557</v>
      </c>
    </row>
    <row r="12" s="12" customFormat="true" ht="19.5" hidden="true" customHeight="true" outlineLevel="0" collapsed="false">
      <c r="A12" s="10"/>
      <c r="B12" s="10" t="s">
        <v>62</v>
      </c>
      <c r="C12" s="10" t="s">
        <v>63</v>
      </c>
      <c r="D12" s="10" t="s">
        <v>50</v>
      </c>
      <c r="E12" s="10" t="n">
        <v>5651</v>
      </c>
      <c r="F12" s="10" t="n">
        <v>240</v>
      </c>
      <c r="G12" s="10" t="n">
        <v>20</v>
      </c>
      <c r="H12" s="14" t="n">
        <f aca="false">IF(AC12&gt;0,AC12/1000000*(G12/1000)*7850,(E12/1000)*(F12/1000)*(G12/1000)*7850)</f>
        <v>212.92968</v>
      </c>
      <c r="I12" s="10" t="n">
        <v>4</v>
      </c>
      <c r="J12" s="15" t="n">
        <f aca="false">H12*I12</f>
        <v>851.71872</v>
      </c>
      <c r="K12" s="10"/>
      <c r="L12" s="10" t="n">
        <f aca="false">A12</f>
        <v>0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0"/>
      <c r="AD12" s="10" t="n">
        <v>213.5</v>
      </c>
      <c r="AE12" s="10" t="n">
        <v>854</v>
      </c>
      <c r="AF12" s="10" t="n">
        <f aca="false">H12-AD12</f>
        <v>-0.57032000000001</v>
      </c>
    </row>
    <row r="13" s="12" customFormat="true" ht="19.5" hidden="true" customHeight="true" outlineLevel="0" collapsed="false">
      <c r="A13" s="10"/>
      <c r="B13" s="10" t="s">
        <v>62</v>
      </c>
      <c r="C13" s="10" t="s">
        <v>64</v>
      </c>
      <c r="D13" s="10" t="s">
        <v>50</v>
      </c>
      <c r="E13" s="10" t="n">
        <v>7700</v>
      </c>
      <c r="F13" s="10" t="n">
        <v>240</v>
      </c>
      <c r="G13" s="10" t="n">
        <v>20</v>
      </c>
      <c r="H13" s="14" t="n">
        <f aca="false">IF(AC13&gt;0,AC13/1000000*(G13/1000)*7850,(E13/1000)*(F13/1000)*(G13/1000)*7850)</f>
        <v>290.136</v>
      </c>
      <c r="I13" s="10" t="n">
        <v>4</v>
      </c>
      <c r="J13" s="15" t="n">
        <f aca="false">H13*I13</f>
        <v>1160.544</v>
      </c>
      <c r="K13" s="10"/>
      <c r="L13" s="10" t="n">
        <f aca="false">A13</f>
        <v>0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0"/>
      <c r="AD13" s="10" t="n">
        <v>290.5</v>
      </c>
      <c r="AE13" s="10" t="n">
        <v>1162</v>
      </c>
      <c r="AF13" s="10" t="n">
        <f aca="false">H13-AD13</f>
        <v>-0.363999999999976</v>
      </c>
    </row>
    <row r="14" s="12" customFormat="true" ht="19.5" hidden="true" customHeight="true" outlineLevel="0" collapsed="false">
      <c r="A14" s="10"/>
      <c r="B14" s="10" t="s">
        <v>62</v>
      </c>
      <c r="C14" s="10" t="s">
        <v>65</v>
      </c>
      <c r="D14" s="10" t="s">
        <v>50</v>
      </c>
      <c r="E14" s="10" t="n">
        <v>7700</v>
      </c>
      <c r="F14" s="10" t="n">
        <v>240</v>
      </c>
      <c r="G14" s="10" t="n">
        <v>20</v>
      </c>
      <c r="H14" s="14" t="n">
        <f aca="false">IF(AC14&gt;0,AC14/1000000*(G14/1000)*7850,(E14/1000)*(F14/1000)*(G14/1000)*7850)</f>
        <v>290.136</v>
      </c>
      <c r="I14" s="10" t="n">
        <v>0</v>
      </c>
      <c r="J14" s="15" t="n">
        <f aca="false">H14*I14</f>
        <v>0</v>
      </c>
      <c r="K14" s="10"/>
      <c r="L14" s="10" t="n">
        <f aca="false">A14</f>
        <v>0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0"/>
      <c r="AD14" s="10" t="n">
        <v>290.5</v>
      </c>
      <c r="AE14" s="10" t="n">
        <v>0</v>
      </c>
      <c r="AF14" s="10" t="n">
        <f aca="false">H14-AD14</f>
        <v>-0.363999999999976</v>
      </c>
    </row>
    <row r="15" s="12" customFormat="true" ht="19.5" hidden="true" customHeight="true" outlineLevel="0" collapsed="false">
      <c r="A15" s="10"/>
      <c r="B15" s="10" t="s">
        <v>62</v>
      </c>
      <c r="C15" s="10" t="s">
        <v>66</v>
      </c>
      <c r="D15" s="10" t="s">
        <v>50</v>
      </c>
      <c r="E15" s="10" t="n">
        <v>13300</v>
      </c>
      <c r="F15" s="10" t="n">
        <v>240</v>
      </c>
      <c r="G15" s="10" t="n">
        <v>20</v>
      </c>
      <c r="H15" s="14" t="n">
        <f aca="false">IF(AC15&gt;0,AC15/1000000*(G15/1000)*7850,(E15/1000)*(F15/1000)*(G15/1000)*7850)</f>
        <v>501.144</v>
      </c>
      <c r="I15" s="10" t="n">
        <v>1</v>
      </c>
      <c r="J15" s="15" t="n">
        <f aca="false">H15*I15</f>
        <v>501.144</v>
      </c>
      <c r="K15" s="10"/>
      <c r="L15" s="10" t="n">
        <f aca="false">A15</f>
        <v>0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0"/>
      <c r="AD15" s="10" t="n">
        <v>500.8</v>
      </c>
      <c r="AE15" s="10" t="n">
        <v>500.8</v>
      </c>
      <c r="AF15" s="10" t="n">
        <f aca="false">H15-AD15</f>
        <v>0.344000000000051</v>
      </c>
    </row>
    <row r="16" s="12" customFormat="true" ht="19.5" hidden="true" customHeight="true" outlineLevel="0" collapsed="false">
      <c r="A16" s="10"/>
      <c r="B16" s="10" t="s">
        <v>62</v>
      </c>
      <c r="C16" s="10" t="s">
        <v>67</v>
      </c>
      <c r="D16" s="10" t="s">
        <v>50</v>
      </c>
      <c r="E16" s="10" t="n">
        <v>13300</v>
      </c>
      <c r="F16" s="10" t="n">
        <v>240</v>
      </c>
      <c r="G16" s="10" t="n">
        <v>20</v>
      </c>
      <c r="H16" s="14" t="n">
        <f aca="false">IF(AC16&gt;0,AC16/1000000*(G16/1000)*7850,(E16/1000)*(F16/1000)*(G16/1000)*7850)</f>
        <v>501.144</v>
      </c>
      <c r="I16" s="10" t="n">
        <v>1</v>
      </c>
      <c r="J16" s="15" t="n">
        <f aca="false">H16*I16</f>
        <v>501.144</v>
      </c>
      <c r="K16" s="10"/>
      <c r="L16" s="10" t="n">
        <f aca="false">A16</f>
        <v>0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0"/>
      <c r="AD16" s="10" t="n">
        <v>500.8</v>
      </c>
      <c r="AE16" s="10" t="n">
        <v>500.8</v>
      </c>
      <c r="AF16" s="10" t="n">
        <f aca="false">H16-AD16</f>
        <v>0.344000000000051</v>
      </c>
    </row>
    <row r="17" s="12" customFormat="true" ht="19.5" hidden="true" customHeight="true" outlineLevel="0" collapsed="false">
      <c r="A17" s="10"/>
      <c r="B17" s="10" t="s">
        <v>68</v>
      </c>
      <c r="C17" s="10" t="s">
        <v>69</v>
      </c>
      <c r="D17" s="10" t="s">
        <v>50</v>
      </c>
      <c r="E17" s="10" t="n">
        <v>4790</v>
      </c>
      <c r="F17" s="10" t="n">
        <v>2500</v>
      </c>
      <c r="G17" s="10" t="n">
        <v>20</v>
      </c>
      <c r="H17" s="14" t="n">
        <f aca="false">IF(AC17&gt;0,AC17/1000000*(G17/1000)*7850,(E17/1000)*(F17/1000)*(G17/1000)*7850)</f>
        <v>1880.075</v>
      </c>
      <c r="I17" s="10" t="n">
        <v>1</v>
      </c>
      <c r="J17" s="15" t="n">
        <f aca="false">H17*I17</f>
        <v>1880.075</v>
      </c>
      <c r="K17" s="10"/>
      <c r="L17" s="10" t="n">
        <f aca="false">A17</f>
        <v>0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0"/>
      <c r="AD17" s="10" t="n">
        <v>1880.9</v>
      </c>
      <c r="AE17" s="10" t="n">
        <v>1880.9</v>
      </c>
      <c r="AF17" s="10" t="n">
        <f aca="false">H17-AD17</f>
        <v>-0.825000000000273</v>
      </c>
    </row>
    <row r="18" s="12" customFormat="true" ht="19.5" hidden="true" customHeight="true" outlineLevel="0" collapsed="false">
      <c r="A18" s="10"/>
      <c r="B18" s="10" t="s">
        <v>68</v>
      </c>
      <c r="C18" s="10" t="s">
        <v>70</v>
      </c>
      <c r="D18" s="10" t="s">
        <v>50</v>
      </c>
      <c r="E18" s="10" t="n">
        <v>10105</v>
      </c>
      <c r="F18" s="10" t="n">
        <v>2500</v>
      </c>
      <c r="G18" s="10" t="n">
        <v>20</v>
      </c>
      <c r="H18" s="14" t="n">
        <f aca="false">IF(AC18&gt;0,AC18/1000000*(G18/1000)*7850,(E18/1000)*(F18/1000)*(G18/1000)*7850)</f>
        <v>3966.2125</v>
      </c>
      <c r="I18" s="10" t="n">
        <v>1</v>
      </c>
      <c r="J18" s="15" t="n">
        <f aca="false">H18*I18</f>
        <v>3966.2125</v>
      </c>
      <c r="K18" s="10"/>
      <c r="L18" s="10" t="n">
        <f aca="false">A18</f>
        <v>0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0"/>
      <c r="AD18" s="10" t="n">
        <v>3965.8</v>
      </c>
      <c r="AE18" s="10" t="n">
        <v>3965.8</v>
      </c>
      <c r="AF18" s="10" t="n">
        <f aca="false">H18-AD18</f>
        <v>0.412500000000364</v>
      </c>
    </row>
    <row r="19" s="12" customFormat="true" ht="19.5" hidden="false" customHeight="true" outlineLevel="0" collapsed="false">
      <c r="A19" s="10"/>
      <c r="B19" s="10" t="s">
        <v>71</v>
      </c>
      <c r="C19" s="10" t="s">
        <v>72</v>
      </c>
      <c r="D19" s="10" t="s">
        <v>50</v>
      </c>
      <c r="E19" s="10"/>
      <c r="F19" s="10"/>
      <c r="G19" s="10" t="n">
        <v>36</v>
      </c>
      <c r="H19" s="14" t="n">
        <f aca="false">IF(AC19&gt;0,AC19/1000000*(G19/1000)*7850,(E19/1000)*(F19/1000)*(G19/1000)*7850)</f>
        <v>2645.136</v>
      </c>
      <c r="I19" s="10" t="n">
        <v>1</v>
      </c>
      <c r="J19" s="15" t="n">
        <f aca="false">H19*I19</f>
        <v>2645.136</v>
      </c>
      <c r="K19" s="10"/>
      <c r="L19" s="10" t="n">
        <f aca="false">A19</f>
        <v>0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0" t="n">
        <v>9360000</v>
      </c>
      <c r="AD19" s="10" t="n">
        <v>2645.1</v>
      </c>
      <c r="AE19" s="10" t="n">
        <v>2645.1</v>
      </c>
      <c r="AF19" s="10" t="n">
        <f aca="false">H19-AD19</f>
        <v>0.0360000000000582</v>
      </c>
    </row>
    <row r="20" s="12" customFormat="true" ht="19.5" hidden="false" customHeight="true" outlineLevel="0" collapsed="false">
      <c r="A20" s="10"/>
      <c r="B20" s="10" t="s">
        <v>71</v>
      </c>
      <c r="C20" s="10" t="s">
        <v>73</v>
      </c>
      <c r="D20" s="10" t="s">
        <v>50</v>
      </c>
      <c r="E20" s="10"/>
      <c r="F20" s="10"/>
      <c r="G20" s="10" t="n">
        <v>20</v>
      </c>
      <c r="H20" s="14" t="n">
        <f aca="false">IF(AC20&gt;0,AC20/1000000*(G20/1000)*7850,(E20/1000)*(F20/1000)*(G20/1000)*7850)</f>
        <v>2461.76</v>
      </c>
      <c r="I20" s="10" t="n">
        <v>1</v>
      </c>
      <c r="J20" s="15" t="n">
        <f aca="false">H20*I20</f>
        <v>2461.76</v>
      </c>
      <c r="K20" s="10"/>
      <c r="L20" s="10" t="n">
        <f aca="false">A20</f>
        <v>0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0" t="n">
        <v>15680000</v>
      </c>
      <c r="AD20" s="10" t="n">
        <v>2461.8</v>
      </c>
      <c r="AE20" s="10" t="n">
        <v>2461.8</v>
      </c>
      <c r="AF20" s="10" t="n">
        <f aca="false">H20-AD20</f>
        <v>-0.0400000000004184</v>
      </c>
    </row>
    <row r="21" s="12" customFormat="true" ht="19.5" hidden="true" customHeight="true" outlineLevel="0" collapsed="false">
      <c r="A21" s="10"/>
      <c r="B21" s="10" t="s">
        <v>74</v>
      </c>
      <c r="C21" s="10" t="s">
        <v>75</v>
      </c>
      <c r="D21" s="10" t="s">
        <v>50</v>
      </c>
      <c r="E21" s="10" t="n">
        <v>10105</v>
      </c>
      <c r="F21" s="10" t="n">
        <v>1880</v>
      </c>
      <c r="G21" s="10" t="n">
        <v>24</v>
      </c>
      <c r="H21" s="14" t="n">
        <f aca="false">IF(AC21&gt;0,AC21/1000000*(G21/1000)*7850,(E21/1000)*(F21/1000)*(G21/1000)*7850)</f>
        <v>3579.11016</v>
      </c>
      <c r="I21" s="10" t="n">
        <v>2</v>
      </c>
      <c r="J21" s="15" t="n">
        <f aca="false">H21*I21</f>
        <v>7158.22032</v>
      </c>
      <c r="K21" s="10"/>
      <c r="L21" s="10" t="n">
        <f aca="false">A21</f>
        <v>0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0"/>
      <c r="AD21" s="10" t="n">
        <v>3579.6</v>
      </c>
      <c r="AE21" s="10" t="n">
        <v>7159.2</v>
      </c>
      <c r="AF21" s="10" t="n">
        <f aca="false">H21-AD21</f>
        <v>-0.489839999999731</v>
      </c>
    </row>
    <row r="22" s="12" customFormat="true" ht="19.5" hidden="true" customHeight="true" outlineLevel="0" collapsed="false">
      <c r="A22" s="10"/>
      <c r="B22" s="10" t="s">
        <v>76</v>
      </c>
      <c r="C22" s="10" t="s">
        <v>77</v>
      </c>
      <c r="D22" s="10" t="s">
        <v>50</v>
      </c>
      <c r="E22" s="10"/>
      <c r="F22" s="10"/>
      <c r="G22" s="10" t="n">
        <v>40</v>
      </c>
      <c r="H22" s="14" t="n">
        <f aca="false">IF(AC22&gt;0,AC22/1000000*(G22/1000)*7850,(E22/1000)*(F22/1000)*(G22/1000)*7850)</f>
        <v>5441.62</v>
      </c>
      <c r="I22" s="10" t="n">
        <v>2</v>
      </c>
      <c r="J22" s="15" t="n">
        <f aca="false">H22*I22</f>
        <v>10883.24</v>
      </c>
      <c r="K22" s="10"/>
      <c r="L22" s="10" t="n">
        <f aca="false">A22</f>
        <v>0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0" t="n">
        <v>17330000</v>
      </c>
      <c r="AD22" s="10" t="n">
        <v>5441.6</v>
      </c>
      <c r="AE22" s="10" t="n">
        <v>10883.2</v>
      </c>
      <c r="AF22" s="10" t="n">
        <f aca="false">H22-AD22</f>
        <v>0.0199999999986176</v>
      </c>
    </row>
    <row r="23" s="12" customFormat="true" ht="19.5" hidden="false" customHeight="true" outlineLevel="0" collapsed="false">
      <c r="A23" s="10"/>
      <c r="B23" s="10" t="s">
        <v>78</v>
      </c>
      <c r="C23" s="10" t="s">
        <v>79</v>
      </c>
      <c r="D23" s="10" t="s">
        <v>50</v>
      </c>
      <c r="E23" s="10" t="n">
        <v>1800</v>
      </c>
      <c r="F23" s="10" t="n">
        <v>1200</v>
      </c>
      <c r="G23" s="10" t="n">
        <v>16</v>
      </c>
      <c r="H23" s="14" t="n">
        <f aca="false">IF(AC23&gt;0,AC23/1000000*(G23/1000)*7850,(E23/1000)*(F23/1000)*(G23/1000)*7850)</f>
        <v>271.296</v>
      </c>
      <c r="I23" s="10" t="n">
        <v>1</v>
      </c>
      <c r="J23" s="15" t="n">
        <f aca="false">H23*I23</f>
        <v>271.296</v>
      </c>
      <c r="K23" s="10"/>
      <c r="L23" s="10" t="n">
        <f aca="false">A23</f>
        <v>0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0"/>
      <c r="AD23" s="10" t="n">
        <v>271.3</v>
      </c>
      <c r="AE23" s="10" t="n">
        <v>271.3</v>
      </c>
      <c r="AF23" s="10" t="n">
        <f aca="false">H23-AD23</f>
        <v>-0.0040000000000191</v>
      </c>
    </row>
    <row r="24" s="12" customFormat="true" ht="19.5" hidden="true" customHeight="true" outlineLevel="0" collapsed="false">
      <c r="A24" s="10"/>
      <c r="B24" s="10" t="s">
        <v>78</v>
      </c>
      <c r="C24" s="10" t="s">
        <v>80</v>
      </c>
      <c r="D24" s="10" t="s">
        <v>50</v>
      </c>
      <c r="E24" s="10" t="n">
        <v>2057</v>
      </c>
      <c r="F24" s="10" t="n">
        <v>200</v>
      </c>
      <c r="G24" s="10" t="n">
        <v>16</v>
      </c>
      <c r="H24" s="14" t="n">
        <f aca="false">IF(AC24&gt;0,AC24/1000000*(G24/1000)*7850,(E24/1000)*(F24/1000)*(G24/1000)*7850)</f>
        <v>51.67184</v>
      </c>
      <c r="I24" s="10" t="n">
        <v>3</v>
      </c>
      <c r="J24" s="15" t="n">
        <f aca="false">H24*I24</f>
        <v>155.01552</v>
      </c>
      <c r="K24" s="10"/>
      <c r="L24" s="10" t="n">
        <f aca="false">A24</f>
        <v>0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0"/>
      <c r="AD24" s="10" t="n">
        <v>51.5</v>
      </c>
      <c r="AE24" s="10" t="n">
        <v>154.5</v>
      </c>
      <c r="AF24" s="10" t="n">
        <f aca="false">H24-AD24</f>
        <v>0.171839999999996</v>
      </c>
    </row>
    <row r="25" s="12" customFormat="true" ht="19.5" hidden="true" customHeight="true" outlineLevel="0" collapsed="false">
      <c r="A25" s="10"/>
      <c r="B25" s="10" t="s">
        <v>78</v>
      </c>
      <c r="C25" s="10" t="s">
        <v>81</v>
      </c>
      <c r="D25" s="10" t="s">
        <v>50</v>
      </c>
      <c r="E25" s="10" t="n">
        <v>1800</v>
      </c>
      <c r="F25" s="10" t="n">
        <v>1200</v>
      </c>
      <c r="G25" s="10" t="n">
        <v>16</v>
      </c>
      <c r="H25" s="14" t="n">
        <f aca="false">IF(AC25&gt;0,AC25/1000000*(G25/1000)*7850,(E25/1000)*(F25/1000)*(G25/1000)*7850)</f>
        <v>271.296</v>
      </c>
      <c r="I25" s="10" t="n">
        <v>3</v>
      </c>
      <c r="J25" s="15" t="n">
        <f aca="false">H25*I25</f>
        <v>813.888</v>
      </c>
      <c r="K25" s="10"/>
      <c r="L25" s="10" t="n">
        <f aca="false">A25</f>
        <v>0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0"/>
      <c r="AD25" s="10" t="n">
        <v>271.3</v>
      </c>
      <c r="AE25" s="10" t="n">
        <v>813.9</v>
      </c>
      <c r="AF25" s="10" t="n">
        <f aca="false">H25-AD25</f>
        <v>-0.0040000000000191</v>
      </c>
    </row>
    <row r="26" s="12" customFormat="true" ht="19.5" hidden="true" customHeight="true" outlineLevel="0" collapsed="false">
      <c r="A26" s="10"/>
      <c r="B26" s="10" t="s">
        <v>82</v>
      </c>
      <c r="C26" s="10" t="s">
        <v>83</v>
      </c>
      <c r="D26" s="10" t="s">
        <v>50</v>
      </c>
      <c r="E26" s="10" t="n">
        <v>2792</v>
      </c>
      <c r="F26" s="10" t="n">
        <v>240</v>
      </c>
      <c r="G26" s="10" t="n">
        <v>20</v>
      </c>
      <c r="H26" s="14" t="n">
        <f aca="false">IF(AC26&gt;0,AC26/1000000*(G26/1000)*7850,(E26/1000)*(F26/1000)*(G26/1000)*7850)</f>
        <v>105.20256</v>
      </c>
      <c r="I26" s="10" t="n">
        <v>2</v>
      </c>
      <c r="J26" s="15" t="n">
        <f aca="false">H26*I26</f>
        <v>210.40512</v>
      </c>
      <c r="K26" s="10"/>
      <c r="L26" s="10" t="n">
        <f aca="false">A26</f>
        <v>0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0"/>
      <c r="AD26" s="10" t="n">
        <v>105.2</v>
      </c>
      <c r="AE26" s="10" t="n">
        <v>210.4</v>
      </c>
      <c r="AF26" s="10" t="n">
        <f aca="false">H26-AD26</f>
        <v>0.00255999999997414</v>
      </c>
    </row>
    <row r="27" s="12" customFormat="true" ht="19.5" hidden="true" customHeight="true" outlineLevel="0" collapsed="false">
      <c r="A27" s="10"/>
      <c r="B27" s="10" t="s">
        <v>82</v>
      </c>
      <c r="C27" s="10" t="s">
        <v>84</v>
      </c>
      <c r="D27" s="10" t="s">
        <v>50</v>
      </c>
      <c r="E27" s="10" t="n">
        <v>10105</v>
      </c>
      <c r="F27" s="10" t="n">
        <v>240</v>
      </c>
      <c r="G27" s="10" t="n">
        <v>20</v>
      </c>
      <c r="H27" s="14" t="n">
        <f aca="false">IF(AC27&gt;0,AC27/1000000*(G27/1000)*7850,(E27/1000)*(F27/1000)*(G27/1000)*7850)</f>
        <v>380.7564</v>
      </c>
      <c r="I27" s="10" t="n">
        <v>2</v>
      </c>
      <c r="J27" s="15" t="n">
        <f aca="false">H27*I27</f>
        <v>761.5128</v>
      </c>
      <c r="K27" s="10"/>
      <c r="L27" s="10" t="n">
        <f aca="false">A27</f>
        <v>0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0"/>
      <c r="AD27" s="10" t="n">
        <v>381.5</v>
      </c>
      <c r="AE27" s="10" t="n">
        <v>763</v>
      </c>
      <c r="AF27" s="10" t="n">
        <f aca="false">H27-AD27</f>
        <v>-0.743600000000015</v>
      </c>
    </row>
    <row r="28" s="12" customFormat="true" ht="19.5" hidden="true" customHeight="true" outlineLevel="0" collapsed="false">
      <c r="A28" s="10"/>
      <c r="B28" s="10" t="s">
        <v>82</v>
      </c>
      <c r="C28" s="10" t="s">
        <v>85</v>
      </c>
      <c r="D28" s="10" t="s">
        <v>50</v>
      </c>
      <c r="E28" s="10" t="n">
        <v>12897</v>
      </c>
      <c r="F28" s="10" t="n">
        <v>240</v>
      </c>
      <c r="G28" s="10" t="n">
        <v>20</v>
      </c>
      <c r="H28" s="14" t="n">
        <f aca="false">IF(AC28&gt;0,AC28/1000000*(G28/1000)*7850,(E28/1000)*(F28/1000)*(G28/1000)*7850)</f>
        <v>485.95896</v>
      </c>
      <c r="I28" s="10" t="n">
        <v>1</v>
      </c>
      <c r="J28" s="15" t="n">
        <f aca="false">H28*I28</f>
        <v>485.95896</v>
      </c>
      <c r="K28" s="10"/>
      <c r="L28" s="10" t="n">
        <f aca="false">A28</f>
        <v>0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0"/>
      <c r="AD28" s="10" t="n">
        <v>486.7</v>
      </c>
      <c r="AE28" s="10" t="n">
        <v>486.7</v>
      </c>
      <c r="AF28" s="10" t="n">
        <f aca="false">H28-AD28</f>
        <v>-0.741039999999998</v>
      </c>
    </row>
    <row r="29" s="12" customFormat="true" ht="19.5" hidden="true" customHeight="true" outlineLevel="0" collapsed="false">
      <c r="A29" s="10"/>
      <c r="B29" s="10" t="s">
        <v>82</v>
      </c>
      <c r="C29" s="10" t="s">
        <v>86</v>
      </c>
      <c r="D29" s="10" t="s">
        <v>50</v>
      </c>
      <c r="E29" s="10" t="n">
        <v>10105</v>
      </c>
      <c r="F29" s="10" t="n">
        <v>240</v>
      </c>
      <c r="G29" s="10" t="n">
        <v>20</v>
      </c>
      <c r="H29" s="14" t="n">
        <f aca="false">IF(AC29&gt;0,AC29/1000000*(G29/1000)*7850,(E29/1000)*(F29/1000)*(G29/1000)*7850)</f>
        <v>380.7564</v>
      </c>
      <c r="I29" s="10" t="n">
        <v>1</v>
      </c>
      <c r="J29" s="15" t="n">
        <f aca="false">H29*I29</f>
        <v>380.7564</v>
      </c>
      <c r="K29" s="10"/>
      <c r="L29" s="10" t="n">
        <f aca="false">A29</f>
        <v>0</v>
      </c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0"/>
      <c r="AD29" s="10" t="n">
        <v>381.5</v>
      </c>
      <c r="AE29" s="10" t="n">
        <v>381.5</v>
      </c>
      <c r="AF29" s="10" t="n">
        <f aca="false">H29-AD29</f>
        <v>-0.743600000000015</v>
      </c>
    </row>
    <row r="30" s="12" customFormat="true" ht="19.5" hidden="true" customHeight="true" outlineLevel="0" collapsed="false">
      <c r="A30" s="10"/>
      <c r="B30" s="10" t="s">
        <v>82</v>
      </c>
      <c r="C30" s="10" t="s">
        <v>87</v>
      </c>
      <c r="D30" s="10" t="s">
        <v>50</v>
      </c>
      <c r="E30" s="10" t="n">
        <v>2792</v>
      </c>
      <c r="F30" s="10" t="n">
        <v>320</v>
      </c>
      <c r="G30" s="10" t="n">
        <v>32</v>
      </c>
      <c r="H30" s="14" t="n">
        <f aca="false">IF(AC30&gt;0,AC30/1000000*(G30/1000)*7850,(E30/1000)*(F30/1000)*(G30/1000)*7850)</f>
        <v>224.432128</v>
      </c>
      <c r="I30" s="10" t="n">
        <v>1</v>
      </c>
      <c r="J30" s="15" t="n">
        <f aca="false">H30*I30</f>
        <v>224.432128</v>
      </c>
      <c r="K30" s="10"/>
      <c r="L30" s="10" t="n">
        <f aca="false">A30</f>
        <v>0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0"/>
      <c r="AD30" s="10" t="n">
        <v>223.6</v>
      </c>
      <c r="AE30" s="10" t="n">
        <v>223.6</v>
      </c>
      <c r="AF30" s="10" t="n">
        <f aca="false">H30-AD30</f>
        <v>0.832128000000012</v>
      </c>
    </row>
    <row r="31" s="12" customFormat="true" ht="19.5" hidden="false" customHeight="true" outlineLevel="0" collapsed="false">
      <c r="A31" s="10"/>
      <c r="B31" s="10" t="s">
        <v>82</v>
      </c>
      <c r="C31" s="10" t="s">
        <v>88</v>
      </c>
      <c r="D31" s="10" t="s">
        <v>50</v>
      </c>
      <c r="E31" s="10" t="n">
        <v>12897</v>
      </c>
      <c r="F31" s="10" t="n">
        <v>170</v>
      </c>
      <c r="G31" s="10" t="n">
        <v>14</v>
      </c>
      <c r="H31" s="14" t="n">
        <f aca="false">IF(AC31&gt;0,AC31/1000000*(G31/1000)*7850,(E31/1000)*(F31/1000)*(G31/1000)*7850)</f>
        <v>240.954651</v>
      </c>
      <c r="I31" s="10" t="n">
        <v>2</v>
      </c>
      <c r="J31" s="15" t="n">
        <f aca="false">H31*I31</f>
        <v>481.909302</v>
      </c>
      <c r="K31" s="10"/>
      <c r="L31" s="10" t="n">
        <f aca="false">A31</f>
        <v>0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0"/>
      <c r="AD31" s="10" t="n">
        <v>240.7</v>
      </c>
      <c r="AE31" s="10" t="n">
        <v>481.4</v>
      </c>
      <c r="AF31" s="10" t="n">
        <f aca="false">H31-AD31</f>
        <v>0.254651000000052</v>
      </c>
    </row>
    <row r="32" s="12" customFormat="true" ht="19.5" hidden="true" customHeight="true" outlineLevel="0" collapsed="false">
      <c r="A32" s="10"/>
      <c r="B32" s="10" t="s">
        <v>89</v>
      </c>
      <c r="C32" s="10" t="s">
        <v>90</v>
      </c>
      <c r="D32" s="10" t="s">
        <v>50</v>
      </c>
      <c r="E32" s="10" t="n">
        <v>14038</v>
      </c>
      <c r="F32" s="10" t="n">
        <v>1200</v>
      </c>
      <c r="G32" s="10" t="n">
        <v>36</v>
      </c>
      <c r="H32" s="14" t="n">
        <f aca="false">IF(AC32&gt;0,AC32/1000000*(G32/1000)*7850,(E32/1000)*(F32/1000)*(G32/1000)*7850)</f>
        <v>4760.56656</v>
      </c>
      <c r="I32" s="10" t="n">
        <v>1</v>
      </c>
      <c r="J32" s="15" t="n">
        <f aca="false">H32*I32</f>
        <v>4760.56656</v>
      </c>
      <c r="K32" s="10"/>
      <c r="L32" s="10" t="n">
        <f aca="false">A32</f>
        <v>0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0"/>
      <c r="AD32" s="10" t="n">
        <v>4761.8</v>
      </c>
      <c r="AE32" s="10" t="n">
        <v>4761.8</v>
      </c>
      <c r="AF32" s="10" t="n">
        <f aca="false">H32-AD32</f>
        <v>-1.23343999999997</v>
      </c>
    </row>
    <row r="33" s="12" customFormat="true" ht="19.5" hidden="false" customHeight="true" outlineLevel="0" collapsed="false">
      <c r="A33" s="10"/>
      <c r="B33" s="10" t="s">
        <v>89</v>
      </c>
      <c r="C33" s="10" t="s">
        <v>91</v>
      </c>
      <c r="D33" s="10" t="s">
        <v>50</v>
      </c>
      <c r="E33" s="10" t="n">
        <v>14038</v>
      </c>
      <c r="F33" s="10" t="n">
        <v>1200</v>
      </c>
      <c r="G33" s="10" t="n">
        <v>36</v>
      </c>
      <c r="H33" s="14" t="n">
        <f aca="false">IF(AC33&gt;0,AC33/1000000*(G33/1000)*7850,(E33/1000)*(F33/1000)*(G33/1000)*7850)</f>
        <v>4760.56656</v>
      </c>
      <c r="I33" s="10" t="n">
        <v>1</v>
      </c>
      <c r="J33" s="15" t="n">
        <f aca="false">H33*I33</f>
        <v>4760.56656</v>
      </c>
      <c r="K33" s="10"/>
      <c r="L33" s="10" t="n">
        <f aca="false">A33</f>
        <v>0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0"/>
      <c r="AD33" s="10" t="n">
        <v>4761.8</v>
      </c>
      <c r="AE33" s="10" t="n">
        <v>4761.8</v>
      </c>
      <c r="AF33" s="10" t="n">
        <f aca="false">H33-AD33</f>
        <v>-1.23343999999997</v>
      </c>
    </row>
    <row r="34" s="12" customFormat="true" ht="19.5" hidden="false" customHeight="true" outlineLevel="0" collapsed="false">
      <c r="A34" s="10"/>
      <c r="B34" s="10" t="s">
        <v>89</v>
      </c>
      <c r="C34" s="10" t="s">
        <v>92</v>
      </c>
      <c r="D34" s="10" t="s">
        <v>50</v>
      </c>
      <c r="E34" s="10" t="n">
        <v>9838</v>
      </c>
      <c r="F34" s="10" t="n">
        <v>1360</v>
      </c>
      <c r="G34" s="10" t="n">
        <v>36</v>
      </c>
      <c r="H34" s="14" t="n">
        <f aca="false">IF(AC34&gt;0,AC34/1000000*(G34/1000)*7850,(E34/1000)*(F34/1000)*(G34/1000)*7850)</f>
        <v>3781.097568</v>
      </c>
      <c r="I34" s="10" t="n">
        <v>2</v>
      </c>
      <c r="J34" s="15" t="n">
        <f aca="false">H34*I34</f>
        <v>7562.195136</v>
      </c>
      <c r="K34" s="10"/>
      <c r="L34" s="10" t="n">
        <f aca="false">A34</f>
        <v>0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0"/>
      <c r="AD34" s="10" t="n">
        <v>3781.2</v>
      </c>
      <c r="AE34" s="10" t="n">
        <v>7562.4</v>
      </c>
      <c r="AF34" s="10" t="n">
        <f aca="false">H34-AD34</f>
        <v>-0.102432000000135</v>
      </c>
    </row>
    <row r="35" s="12" customFormat="true" ht="19.5" hidden="true" customHeight="true" outlineLevel="0" collapsed="false">
      <c r="A35" s="10"/>
      <c r="B35" s="10" t="s">
        <v>89</v>
      </c>
      <c r="C35" s="10" t="s">
        <v>93</v>
      </c>
      <c r="D35" s="10" t="s">
        <v>50</v>
      </c>
      <c r="E35" s="10" t="n">
        <v>9838</v>
      </c>
      <c r="F35" s="10" t="n">
        <v>320</v>
      </c>
      <c r="G35" s="10" t="n">
        <v>32</v>
      </c>
      <c r="H35" s="14" t="n">
        <f aca="false">IF(AC35&gt;0,AC35/1000000*(G35/1000)*7850,(E35/1000)*(F35/1000)*(G35/1000)*7850)</f>
        <v>790.817792</v>
      </c>
      <c r="I35" s="10" t="n">
        <v>2</v>
      </c>
      <c r="J35" s="15" t="n">
        <f aca="false">H35*I35</f>
        <v>1581.635584</v>
      </c>
      <c r="K35" s="10"/>
      <c r="L35" s="10" t="n">
        <f aca="false">A35</f>
        <v>0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0"/>
      <c r="AD35" s="10" t="n">
        <v>791.3</v>
      </c>
      <c r="AE35" s="10" t="n">
        <v>1582.6</v>
      </c>
      <c r="AF35" s="10" t="n">
        <f aca="false">H35-AD35</f>
        <v>-0.482207999999901</v>
      </c>
    </row>
    <row r="36" s="12" customFormat="true" ht="19.5" hidden="true" customHeight="true" outlineLevel="0" collapsed="false">
      <c r="A36" s="10"/>
      <c r="B36" s="10" t="s">
        <v>89</v>
      </c>
      <c r="C36" s="10" t="s">
        <v>94</v>
      </c>
      <c r="D36" s="10" t="s">
        <v>50</v>
      </c>
      <c r="E36" s="10" t="n">
        <v>12638</v>
      </c>
      <c r="F36" s="10" t="n">
        <v>320</v>
      </c>
      <c r="G36" s="10" t="n">
        <v>32</v>
      </c>
      <c r="H36" s="14" t="n">
        <f aca="false">IF(AC36&gt;0,AC36/1000000*(G36/1000)*7850,(E36/1000)*(F36/1000)*(G36/1000)*7850)</f>
        <v>1015.892992</v>
      </c>
      <c r="I36" s="10" t="n">
        <v>1</v>
      </c>
      <c r="J36" s="15" t="n">
        <f aca="false">H36*I36</f>
        <v>1015.892992</v>
      </c>
      <c r="K36" s="10"/>
      <c r="L36" s="10" t="n">
        <f aca="false">A36</f>
        <v>0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0"/>
      <c r="AD36" s="10" t="n">
        <v>1014.8</v>
      </c>
      <c r="AE36" s="10" t="n">
        <v>1014.8</v>
      </c>
      <c r="AF36" s="10" t="n">
        <f aca="false">H36-AD36</f>
        <v>1.09299199999998</v>
      </c>
    </row>
    <row r="37" s="12" customFormat="true" ht="19.5" hidden="true" customHeight="true" outlineLevel="0" collapsed="false">
      <c r="A37" s="10"/>
      <c r="B37" s="10" t="s">
        <v>89</v>
      </c>
      <c r="C37" s="10" t="s">
        <v>95</v>
      </c>
      <c r="D37" s="10" t="s">
        <v>50</v>
      </c>
      <c r="E37" s="10" t="n">
        <v>12638</v>
      </c>
      <c r="F37" s="10" t="n">
        <v>320</v>
      </c>
      <c r="G37" s="10" t="n">
        <v>32</v>
      </c>
      <c r="H37" s="14" t="n">
        <f aca="false">IF(AC37&gt;0,AC37/1000000*(G37/1000)*7850,(E37/1000)*(F37/1000)*(G37/1000)*7850)</f>
        <v>1015.892992</v>
      </c>
      <c r="I37" s="10" t="n">
        <v>1</v>
      </c>
      <c r="J37" s="15" t="n">
        <f aca="false">H37*I37</f>
        <v>1015.892992</v>
      </c>
      <c r="K37" s="10"/>
      <c r="L37" s="10" t="n">
        <f aca="false">A37</f>
        <v>0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0"/>
      <c r="AD37" s="10" t="n">
        <v>1014.8</v>
      </c>
      <c r="AE37" s="10" t="n">
        <v>1014.8</v>
      </c>
      <c r="AF37" s="10" t="n">
        <f aca="false">H37-AD37</f>
        <v>1.09299199999998</v>
      </c>
    </row>
    <row r="38" s="12" customFormat="true" ht="19.5" hidden="true" customHeight="true" outlineLevel="0" collapsed="false">
      <c r="A38" s="10"/>
      <c r="B38" s="10" t="s">
        <v>89</v>
      </c>
      <c r="C38" s="10" t="s">
        <v>96</v>
      </c>
      <c r="D38" s="10" t="s">
        <v>50</v>
      </c>
      <c r="E38" s="10" t="n">
        <v>1200</v>
      </c>
      <c r="F38" s="10" t="n">
        <v>1200</v>
      </c>
      <c r="G38" s="10" t="n">
        <v>16</v>
      </c>
      <c r="H38" s="14" t="n">
        <f aca="false">IF(AC38&gt;0,AC38/1000000*(G38/1000)*7850,(E38/1000)*(F38/1000)*(G38/1000)*7850)</f>
        <v>180.864</v>
      </c>
      <c r="I38" s="10" t="n">
        <v>4</v>
      </c>
      <c r="J38" s="15" t="n">
        <f aca="false">H38*I38</f>
        <v>723.456</v>
      </c>
      <c r="K38" s="10"/>
      <c r="L38" s="10" t="n">
        <f aca="false">A38</f>
        <v>0</v>
      </c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0"/>
      <c r="AD38" s="10" t="n">
        <v>180.9</v>
      </c>
      <c r="AE38" s="10" t="n">
        <v>723.6</v>
      </c>
      <c r="AF38" s="10" t="n">
        <f aca="false">H38-AD38</f>
        <v>-0.0360000000000298</v>
      </c>
    </row>
    <row r="39" s="12" customFormat="true" ht="19.5" hidden="true" customHeight="true" outlineLevel="0" collapsed="false">
      <c r="A39" s="10"/>
      <c r="B39" s="10" t="s">
        <v>89</v>
      </c>
      <c r="C39" s="10" t="s">
        <v>97</v>
      </c>
      <c r="D39" s="10" t="s">
        <v>50</v>
      </c>
      <c r="E39" s="10" t="n">
        <v>6725</v>
      </c>
      <c r="F39" s="10" t="n">
        <v>1200</v>
      </c>
      <c r="G39" s="10" t="n">
        <v>36</v>
      </c>
      <c r="H39" s="14" t="n">
        <f aca="false">IF(AC39&gt;0,AC39/1000000*(G39/1000)*7850,(E39/1000)*(F39/1000)*(G39/1000)*7850)</f>
        <v>2280.582</v>
      </c>
      <c r="I39" s="10" t="n">
        <v>1</v>
      </c>
      <c r="J39" s="15" t="n">
        <f aca="false">H39*I39</f>
        <v>2280.582</v>
      </c>
      <c r="K39" s="10"/>
      <c r="L39" s="10" t="n">
        <f aca="false">A39</f>
        <v>0</v>
      </c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0"/>
      <c r="AD39" s="10" t="n">
        <v>2280.6</v>
      </c>
      <c r="AE39" s="10" t="n">
        <v>2280.6</v>
      </c>
      <c r="AF39" s="10" t="n">
        <f aca="false">H39-AD39</f>
        <v>-0.0180000000004839</v>
      </c>
    </row>
    <row r="40" s="12" customFormat="true" ht="19.5" hidden="true" customHeight="true" outlineLevel="0" collapsed="false">
      <c r="A40" s="10"/>
      <c r="B40" s="10" t="s">
        <v>89</v>
      </c>
      <c r="C40" s="10" t="s">
        <v>98</v>
      </c>
      <c r="D40" s="10" t="s">
        <v>50</v>
      </c>
      <c r="E40" s="10" t="n">
        <v>6925</v>
      </c>
      <c r="F40" s="10" t="n">
        <v>1200</v>
      </c>
      <c r="G40" s="10" t="n">
        <v>36</v>
      </c>
      <c r="H40" s="14" t="n">
        <f aca="false">IF(AC40&gt;0,AC40/1000000*(G40/1000)*7850,(E40/1000)*(F40/1000)*(G40/1000)*7850)</f>
        <v>2348.406</v>
      </c>
      <c r="I40" s="10" t="n">
        <v>1</v>
      </c>
      <c r="J40" s="15" t="n">
        <f aca="false">H40*I40</f>
        <v>2348.406</v>
      </c>
      <c r="K40" s="10"/>
      <c r="L40" s="10" t="n">
        <f aca="false">A40</f>
        <v>0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0"/>
      <c r="AD40" s="10" t="n">
        <v>2348.4</v>
      </c>
      <c r="AE40" s="10" t="n">
        <v>2348.4</v>
      </c>
      <c r="AF40" s="10" t="n">
        <f aca="false">H40-AD40</f>
        <v>0.00599999999940337</v>
      </c>
    </row>
    <row r="41" s="12" customFormat="true" ht="19.5" hidden="true" customHeight="true" outlineLevel="0" collapsed="false">
      <c r="A41" s="10"/>
      <c r="B41" s="10" t="s">
        <v>89</v>
      </c>
      <c r="C41" s="10" t="s">
        <v>99</v>
      </c>
      <c r="D41" s="10" t="s">
        <v>50</v>
      </c>
      <c r="E41" s="10" t="n">
        <v>4925</v>
      </c>
      <c r="F41" s="10" t="n">
        <v>1360</v>
      </c>
      <c r="G41" s="10" t="n">
        <v>36</v>
      </c>
      <c r="H41" s="14" t="n">
        <f aca="false">IF(AC41&gt;0,AC41/1000000*(G41/1000)*7850,(E41/1000)*(F41/1000)*(G41/1000)*7850)</f>
        <v>1892.8548</v>
      </c>
      <c r="I41" s="10" t="n">
        <v>2</v>
      </c>
      <c r="J41" s="15" t="n">
        <f aca="false">H41*I41</f>
        <v>3785.7096</v>
      </c>
      <c r="K41" s="10"/>
      <c r="L41" s="10" t="n">
        <f aca="false">A41</f>
        <v>0</v>
      </c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0"/>
      <c r="AD41" s="10" t="n">
        <v>1893.4</v>
      </c>
      <c r="AE41" s="10" t="n">
        <v>3786.8</v>
      </c>
      <c r="AF41" s="10" t="n">
        <f aca="false">H41-AD41</f>
        <v>-0.545200000000023</v>
      </c>
    </row>
    <row r="42" s="12" customFormat="true" ht="19.5" hidden="true" customHeight="true" outlineLevel="0" collapsed="false">
      <c r="A42" s="10"/>
      <c r="B42" s="10" t="s">
        <v>89</v>
      </c>
      <c r="C42" s="10" t="s">
        <v>100</v>
      </c>
      <c r="D42" s="10" t="s">
        <v>50</v>
      </c>
      <c r="E42" s="10" t="n">
        <v>4925</v>
      </c>
      <c r="F42" s="10" t="n">
        <v>320</v>
      </c>
      <c r="G42" s="10" t="n">
        <v>32</v>
      </c>
      <c r="H42" s="14" t="n">
        <f aca="false">IF(AC42&gt;0,AC42/1000000*(G42/1000)*7850,(E42/1000)*(F42/1000)*(G42/1000)*7850)</f>
        <v>395.8912</v>
      </c>
      <c r="I42" s="10" t="n">
        <v>2</v>
      </c>
      <c r="J42" s="15" t="n">
        <f aca="false">H42*I42</f>
        <v>791.7824</v>
      </c>
      <c r="K42" s="10"/>
      <c r="L42" s="10" t="n">
        <f aca="false">A42</f>
        <v>0</v>
      </c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0"/>
      <c r="AD42" s="10" t="n">
        <v>396.9</v>
      </c>
      <c r="AE42" s="10" t="n">
        <v>793.8</v>
      </c>
      <c r="AF42" s="10" t="n">
        <f aca="false">H42-AD42</f>
        <v>-1.00879999999995</v>
      </c>
    </row>
    <row r="43" s="12" customFormat="true" ht="19.5" hidden="true" customHeight="true" outlineLevel="0" collapsed="false">
      <c r="A43" s="10"/>
      <c r="B43" s="10" t="s">
        <v>89</v>
      </c>
      <c r="C43" s="10" t="s">
        <v>101</v>
      </c>
      <c r="D43" s="10" t="s">
        <v>50</v>
      </c>
      <c r="E43" s="10" t="n">
        <v>6025</v>
      </c>
      <c r="F43" s="10" t="n">
        <v>320</v>
      </c>
      <c r="G43" s="10" t="n">
        <v>32</v>
      </c>
      <c r="H43" s="14" t="n">
        <f aca="false">IF(AC43&gt;0,AC43/1000000*(G43/1000)*7850,(E43/1000)*(F43/1000)*(G43/1000)*7850)</f>
        <v>484.3136</v>
      </c>
      <c r="I43" s="10" t="n">
        <v>1</v>
      </c>
      <c r="J43" s="15" t="n">
        <f aca="false">H43*I43</f>
        <v>484.3136</v>
      </c>
      <c r="K43" s="10"/>
      <c r="L43" s="10" t="n">
        <f aca="false">A43</f>
        <v>0</v>
      </c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0"/>
      <c r="AD43" s="10" t="n">
        <v>484.8</v>
      </c>
      <c r="AE43" s="10" t="n">
        <v>484.8</v>
      </c>
      <c r="AF43" s="10" t="n">
        <f aca="false">H43-AD43</f>
        <v>-0.486399999999946</v>
      </c>
    </row>
    <row r="44" s="12" customFormat="true" ht="19.5" hidden="true" customHeight="true" outlineLevel="0" collapsed="false">
      <c r="A44" s="10"/>
      <c r="B44" s="10" t="s">
        <v>89</v>
      </c>
      <c r="C44" s="10" t="s">
        <v>102</v>
      </c>
      <c r="D44" s="10" t="s">
        <v>50</v>
      </c>
      <c r="E44" s="10" t="n">
        <v>6225</v>
      </c>
      <c r="F44" s="10" t="n">
        <v>320</v>
      </c>
      <c r="G44" s="10" t="n">
        <v>32</v>
      </c>
      <c r="H44" s="14" t="n">
        <f aca="false">IF(AC44&gt;0,AC44/1000000*(G44/1000)*7850,(E44/1000)*(F44/1000)*(G44/1000)*7850)</f>
        <v>500.3904</v>
      </c>
      <c r="I44" s="10" t="n">
        <v>1</v>
      </c>
      <c r="J44" s="15" t="n">
        <f aca="false">H44*I44</f>
        <v>500.3904</v>
      </c>
      <c r="K44" s="10"/>
      <c r="L44" s="10" t="n">
        <f aca="false">A44</f>
        <v>0</v>
      </c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0"/>
      <c r="AD44" s="10" t="n">
        <v>499.9</v>
      </c>
      <c r="AE44" s="10" t="n">
        <v>499.9</v>
      </c>
      <c r="AF44" s="10" t="n">
        <f aca="false">H44-AD44</f>
        <v>0.490399999999966</v>
      </c>
    </row>
    <row r="45" s="12" customFormat="true" ht="19.5" hidden="false" customHeight="true" outlineLevel="0" collapsed="false">
      <c r="A45" s="10"/>
      <c r="B45" s="10" t="s">
        <v>89</v>
      </c>
      <c r="C45" s="10" t="s">
        <v>103</v>
      </c>
      <c r="D45" s="10" t="s">
        <v>50</v>
      </c>
      <c r="E45" s="10" t="n">
        <v>1200</v>
      </c>
      <c r="F45" s="10" t="n">
        <v>1200</v>
      </c>
      <c r="G45" s="10" t="n">
        <v>16</v>
      </c>
      <c r="H45" s="14" t="n">
        <f aca="false">IF(AC45&gt;0,AC45/1000000*(G45/1000)*7850,(E45/1000)*(F45/1000)*(G45/1000)*7850)</f>
        <v>180.864</v>
      </c>
      <c r="I45" s="10" t="n">
        <v>2</v>
      </c>
      <c r="J45" s="15" t="n">
        <f aca="false">H45*I45</f>
        <v>361.728</v>
      </c>
      <c r="K45" s="10"/>
      <c r="L45" s="10" t="n">
        <f aca="false">A45</f>
        <v>0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0"/>
      <c r="AD45" s="10" t="n">
        <v>180.9</v>
      </c>
      <c r="AE45" s="10" t="n">
        <v>361.8</v>
      </c>
      <c r="AF45" s="10" t="n">
        <f aca="false">H45-AD45</f>
        <v>-0.0360000000000298</v>
      </c>
    </row>
    <row r="46" s="12" customFormat="true" ht="19.5" hidden="false" customHeight="true" outlineLevel="0" collapsed="false">
      <c r="A46" s="10"/>
      <c r="B46" s="10" t="s">
        <v>104</v>
      </c>
      <c r="C46" s="10" t="s">
        <v>105</v>
      </c>
      <c r="D46" s="10" t="s">
        <v>50</v>
      </c>
      <c r="E46" s="10" t="n">
        <v>13418</v>
      </c>
      <c r="F46" s="10" t="n">
        <v>1200</v>
      </c>
      <c r="G46" s="10" t="n">
        <v>20</v>
      </c>
      <c r="H46" s="14" t="n">
        <f aca="false">IF(AC46&gt;0,AC46/1000000*(G46/1000)*7850,(E46/1000)*(F46/1000)*(G46/1000)*7850)</f>
        <v>2527.9512</v>
      </c>
      <c r="I46" s="10" t="n">
        <v>1</v>
      </c>
      <c r="J46" s="15" t="n">
        <f aca="false">H46*I46</f>
        <v>2527.9512</v>
      </c>
      <c r="K46" s="10"/>
      <c r="L46" s="10" t="n">
        <f aca="false">A46</f>
        <v>0</v>
      </c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0"/>
      <c r="AD46" s="10" t="n">
        <v>2527.7</v>
      </c>
      <c r="AE46" s="10" t="n">
        <v>2527.7</v>
      </c>
      <c r="AF46" s="10" t="n">
        <f aca="false">H46-AD46</f>
        <v>0.251200000000154</v>
      </c>
    </row>
    <row r="47" s="12" customFormat="true" ht="19.5" hidden="true" customHeight="true" outlineLevel="0" collapsed="false">
      <c r="A47" s="10"/>
      <c r="B47" s="10" t="s">
        <v>104</v>
      </c>
      <c r="C47" s="10" t="s">
        <v>106</v>
      </c>
      <c r="D47" s="10" t="s">
        <v>50</v>
      </c>
      <c r="E47" s="10" t="n">
        <v>11818</v>
      </c>
      <c r="F47" s="10" t="n">
        <v>1200</v>
      </c>
      <c r="G47" s="10" t="n">
        <v>20</v>
      </c>
      <c r="H47" s="14" t="n">
        <f aca="false">IF(AC47&gt;0,AC47/1000000*(G47/1000)*7850,(E47/1000)*(F47/1000)*(G47/1000)*7850)</f>
        <v>2226.5112</v>
      </c>
      <c r="I47" s="10" t="n">
        <v>1</v>
      </c>
      <c r="J47" s="15" t="n">
        <f aca="false">H47*I47</f>
        <v>2226.5112</v>
      </c>
      <c r="K47" s="10"/>
      <c r="L47" s="10" t="n">
        <f aca="false">A47</f>
        <v>0</v>
      </c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0"/>
      <c r="AD47" s="10" t="n">
        <v>2226.3</v>
      </c>
      <c r="AE47" s="10" t="n">
        <v>2226.3</v>
      </c>
      <c r="AF47" s="10" t="n">
        <f aca="false">H47-AD47</f>
        <v>0.211199999999735</v>
      </c>
    </row>
    <row r="48" s="12" customFormat="true" ht="19.5" hidden="true" customHeight="true" outlineLevel="0" collapsed="false">
      <c r="A48" s="10"/>
      <c r="B48" s="10" t="s">
        <v>107</v>
      </c>
      <c r="C48" s="10" t="s">
        <v>108</v>
      </c>
      <c r="D48" s="10" t="s">
        <v>50</v>
      </c>
      <c r="E48" s="10" t="n">
        <v>9133</v>
      </c>
      <c r="F48" s="10" t="n">
        <v>1500</v>
      </c>
      <c r="G48" s="10" t="n">
        <v>20</v>
      </c>
      <c r="H48" s="14" t="n">
        <f aca="false">IF(AC48&gt;0,AC48/1000000*(G48/1000)*7850,(E48/1000)*(F48/1000)*(G48/1000)*7850)</f>
        <v>2150.8215</v>
      </c>
      <c r="I48" s="10" t="n">
        <v>2</v>
      </c>
      <c r="J48" s="15" t="n">
        <f aca="false">H48*I48</f>
        <v>4301.643</v>
      </c>
      <c r="K48" s="10"/>
      <c r="L48" s="10" t="n">
        <f aca="false">A48</f>
        <v>0</v>
      </c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0"/>
      <c r="AD48" s="10" t="n">
        <v>2150.9</v>
      </c>
      <c r="AE48" s="10" t="n">
        <v>4301.8</v>
      </c>
      <c r="AF48" s="10" t="n">
        <f aca="false">H48-AD48</f>
        <v>-0.0785000000005311</v>
      </c>
    </row>
    <row r="49" s="12" customFormat="true" ht="19.5" hidden="false" customHeight="true" outlineLevel="0" collapsed="false">
      <c r="A49" s="10"/>
      <c r="B49" s="10" t="s">
        <v>109</v>
      </c>
      <c r="C49" s="10" t="s">
        <v>110</v>
      </c>
      <c r="D49" s="10" t="s">
        <v>50</v>
      </c>
      <c r="E49" s="10" t="n">
        <v>1400</v>
      </c>
      <c r="F49" s="10" t="n">
        <v>1200</v>
      </c>
      <c r="G49" s="10" t="n">
        <v>16</v>
      </c>
      <c r="H49" s="14" t="n">
        <f aca="false">IF(AC49&gt;0,AC49/1000000*(G49/1000)*7850,(E49/1000)*(F49/1000)*(G49/1000)*7850)</f>
        <v>211.008</v>
      </c>
      <c r="I49" s="10" t="n">
        <v>3</v>
      </c>
      <c r="J49" s="15" t="n">
        <f aca="false">H49*I49</f>
        <v>633.024</v>
      </c>
      <c r="K49" s="10"/>
      <c r="L49" s="10" t="n">
        <f aca="false">A49</f>
        <v>0</v>
      </c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0"/>
      <c r="AD49" s="10" t="n">
        <v>211</v>
      </c>
      <c r="AE49" s="10" t="n">
        <v>633</v>
      </c>
      <c r="AF49" s="10" t="n">
        <f aca="false">H49-AD49</f>
        <v>0.00800000000000978</v>
      </c>
    </row>
    <row r="50" s="12" customFormat="true" ht="19.5" hidden="true" customHeight="true" outlineLevel="0" collapsed="false">
      <c r="A50" s="10"/>
      <c r="B50" s="10" t="s">
        <v>111</v>
      </c>
      <c r="C50" s="10" t="s">
        <v>112</v>
      </c>
      <c r="D50" s="10" t="s">
        <v>50</v>
      </c>
      <c r="E50" s="10" t="n">
        <v>9133</v>
      </c>
      <c r="F50" s="10" t="n">
        <v>190</v>
      </c>
      <c r="G50" s="10" t="n">
        <v>16</v>
      </c>
      <c r="H50" s="14" t="n">
        <f aca="false">IF(AC50&gt;0,AC50/1000000*(G50/1000)*7850,(E50/1000)*(F50/1000)*(G50/1000)*7850)</f>
        <v>217.949912</v>
      </c>
      <c r="I50" s="10" t="n">
        <v>2</v>
      </c>
      <c r="J50" s="15" t="n">
        <f aca="false">H50*I50</f>
        <v>435.899824</v>
      </c>
      <c r="K50" s="10"/>
      <c r="L50" s="10" t="n">
        <f aca="false">A50</f>
        <v>0</v>
      </c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0"/>
      <c r="AD50" s="10" t="n">
        <v>218.5</v>
      </c>
      <c r="AE50" s="10" t="n">
        <v>437</v>
      </c>
      <c r="AF50" s="10" t="n">
        <f aca="false">H50-AD50</f>
        <v>-0.550088000000017</v>
      </c>
    </row>
    <row r="51" s="12" customFormat="true" ht="19.5" hidden="true" customHeight="true" outlineLevel="0" collapsed="false">
      <c r="A51" s="10"/>
      <c r="B51" s="10" t="s">
        <v>111</v>
      </c>
      <c r="C51" s="10" t="s">
        <v>113</v>
      </c>
      <c r="D51" s="10" t="s">
        <v>50</v>
      </c>
      <c r="E51" s="10" t="n">
        <v>12018</v>
      </c>
      <c r="F51" s="10" t="n">
        <v>190</v>
      </c>
      <c r="G51" s="10" t="n">
        <v>16</v>
      </c>
      <c r="H51" s="14" t="n">
        <f aca="false">IF(AC51&gt;0,AC51/1000000*(G51/1000)*7850,(E51/1000)*(F51/1000)*(G51/1000)*7850)</f>
        <v>286.797552</v>
      </c>
      <c r="I51" s="10" t="n">
        <v>1</v>
      </c>
      <c r="J51" s="15" t="n">
        <f aca="false">H51*I51</f>
        <v>286.797552</v>
      </c>
      <c r="K51" s="10"/>
      <c r="L51" s="10" t="n">
        <f aca="false">A51</f>
        <v>0</v>
      </c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0"/>
      <c r="AD51" s="10" t="n">
        <v>286.4</v>
      </c>
      <c r="AE51" s="10" t="n">
        <v>286.4</v>
      </c>
      <c r="AF51" s="10" t="n">
        <f aca="false">H51-AD51</f>
        <v>0.397552000000019</v>
      </c>
    </row>
    <row r="52" s="12" customFormat="true" ht="19.5" hidden="true" customHeight="true" outlineLevel="0" collapsed="false">
      <c r="A52" s="10"/>
      <c r="B52" s="10" t="s">
        <v>111</v>
      </c>
      <c r="C52" s="10" t="s">
        <v>114</v>
      </c>
      <c r="D52" s="10" t="s">
        <v>50</v>
      </c>
      <c r="E52" s="10" t="n">
        <v>10418</v>
      </c>
      <c r="F52" s="10" t="n">
        <v>190</v>
      </c>
      <c r="G52" s="10" t="n">
        <v>16</v>
      </c>
      <c r="H52" s="14" t="n">
        <f aca="false">IF(AC52&gt;0,AC52/1000000*(G52/1000)*7850,(E52/1000)*(F52/1000)*(G52/1000)*7850)</f>
        <v>248.615152</v>
      </c>
      <c r="I52" s="10" t="n">
        <v>1</v>
      </c>
      <c r="J52" s="15" t="n">
        <f aca="false">H52*I52</f>
        <v>248.615152</v>
      </c>
      <c r="K52" s="10"/>
      <c r="L52" s="10" t="n">
        <f aca="false">A52</f>
        <v>0</v>
      </c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0"/>
      <c r="AD52" s="10" t="n">
        <v>248.7</v>
      </c>
      <c r="AE52" s="10" t="n">
        <v>248.7</v>
      </c>
      <c r="AF52" s="10" t="n">
        <f aca="false">H52-AD52</f>
        <v>-0.0848479999999938</v>
      </c>
    </row>
    <row r="53" s="12" customFormat="true" ht="19.5" hidden="true" customHeight="true" outlineLevel="0" collapsed="false">
      <c r="A53" s="10"/>
      <c r="B53" s="10" t="s">
        <v>115</v>
      </c>
      <c r="C53" s="10" t="s">
        <v>116</v>
      </c>
      <c r="D53" s="10" t="s">
        <v>50</v>
      </c>
      <c r="E53" s="10" t="n">
        <v>2800</v>
      </c>
      <c r="F53" s="10" t="n">
        <v>320</v>
      </c>
      <c r="G53" s="10" t="n">
        <v>32</v>
      </c>
      <c r="H53" s="14" t="n">
        <f aca="false">IF(AC53&gt;0,AC53/1000000*(G53/1000)*7850,(E53/1000)*(F53/1000)*(G53/1000)*7850)</f>
        <v>225.0752</v>
      </c>
      <c r="I53" s="10" t="n">
        <v>2</v>
      </c>
      <c r="J53" s="15" t="n">
        <f aca="false">H53*I53</f>
        <v>450.1504</v>
      </c>
      <c r="K53" s="10"/>
      <c r="L53" s="10" t="n">
        <f aca="false">A53</f>
        <v>0</v>
      </c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0"/>
      <c r="AD53" s="10" t="n">
        <v>226.1</v>
      </c>
      <c r="AE53" s="10" t="n">
        <v>452.2</v>
      </c>
      <c r="AF53" s="10" t="n">
        <f aca="false">H53-AD53</f>
        <v>-1.02480000000003</v>
      </c>
    </row>
    <row r="54" s="12" customFormat="true" ht="19.5" hidden="true" customHeight="true" outlineLevel="0" collapsed="false">
      <c r="A54" s="10"/>
      <c r="B54" s="10" t="s">
        <v>115</v>
      </c>
      <c r="C54" s="10" t="s">
        <v>117</v>
      </c>
      <c r="D54" s="10" t="s">
        <v>50</v>
      </c>
      <c r="E54" s="10" t="n">
        <v>2600</v>
      </c>
      <c r="F54" s="10" t="n">
        <v>320</v>
      </c>
      <c r="G54" s="10" t="n">
        <v>32</v>
      </c>
      <c r="H54" s="14" t="n">
        <f aca="false">IF(AC54&gt;0,AC54/1000000*(G54/1000)*7850,(E54/1000)*(F54/1000)*(G54/1000)*7850)</f>
        <v>208.9984</v>
      </c>
      <c r="I54" s="10" t="n">
        <v>2</v>
      </c>
      <c r="J54" s="15" t="n">
        <f aca="false">H54*I54</f>
        <v>417.9968</v>
      </c>
      <c r="K54" s="10"/>
      <c r="L54" s="10" t="n">
        <f aca="false">A54</f>
        <v>0</v>
      </c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0"/>
      <c r="AD54" s="10" t="n">
        <v>208.5</v>
      </c>
      <c r="AE54" s="10" t="n">
        <v>417</v>
      </c>
      <c r="AF54" s="10" t="n">
        <f aca="false">H54-AD54</f>
        <v>0.498400000000004</v>
      </c>
    </row>
    <row r="55" s="12" customFormat="true" ht="19.5" hidden="true" customHeight="true" outlineLevel="0" collapsed="false">
      <c r="A55" s="10"/>
      <c r="B55" s="10" t="s">
        <v>115</v>
      </c>
      <c r="C55" s="10" t="s">
        <v>118</v>
      </c>
      <c r="D55" s="10" t="s">
        <v>50</v>
      </c>
      <c r="E55" s="10" t="n">
        <v>750</v>
      </c>
      <c r="F55" s="10" t="n">
        <v>320</v>
      </c>
      <c r="G55" s="10" t="n">
        <v>28</v>
      </c>
      <c r="H55" s="14" t="n">
        <f aca="false">IF(AC55&gt;0,AC55/1000000*(G55/1000)*7850,(E55/1000)*(F55/1000)*(G55/1000)*7850)</f>
        <v>52.752</v>
      </c>
      <c r="I55" s="10" t="n">
        <v>2</v>
      </c>
      <c r="J55" s="15" t="n">
        <f aca="false">H55*I55</f>
        <v>105.504</v>
      </c>
      <c r="K55" s="10"/>
      <c r="L55" s="10" t="n">
        <f aca="false">A55</f>
        <v>0</v>
      </c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0"/>
      <c r="AD55" s="10" t="n">
        <v>52.8</v>
      </c>
      <c r="AE55" s="10" t="n">
        <v>105.6</v>
      </c>
      <c r="AF55" s="10" t="n">
        <f aca="false">H55-AD55</f>
        <v>-0.0479999999999947</v>
      </c>
    </row>
    <row r="56" s="12" customFormat="true" ht="19.5" hidden="true" customHeight="true" outlineLevel="0" collapsed="false">
      <c r="A56" s="10"/>
      <c r="B56" s="10" t="s">
        <v>115</v>
      </c>
      <c r="C56" s="10" t="s">
        <v>119</v>
      </c>
      <c r="D56" s="10" t="s">
        <v>50</v>
      </c>
      <c r="E56" s="10" t="n">
        <v>2100</v>
      </c>
      <c r="F56" s="10" t="n">
        <v>320</v>
      </c>
      <c r="G56" s="10" t="n">
        <v>32</v>
      </c>
      <c r="H56" s="14" t="n">
        <f aca="false">IF(AC56&gt;0,AC56/1000000*(G56/1000)*7850,(E56/1000)*(F56/1000)*(G56/1000)*7850)</f>
        <v>168.8064</v>
      </c>
      <c r="I56" s="10" t="n">
        <v>2</v>
      </c>
      <c r="J56" s="15" t="n">
        <f aca="false">H56*I56</f>
        <v>337.6128</v>
      </c>
      <c r="K56" s="10"/>
      <c r="L56" s="10" t="n">
        <f aca="false">A56</f>
        <v>0</v>
      </c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0"/>
      <c r="AD56" s="10" t="n">
        <v>168.3</v>
      </c>
      <c r="AE56" s="10" t="n">
        <v>336.6</v>
      </c>
      <c r="AF56" s="10" t="n">
        <f aca="false">H56-AD56</f>
        <v>0.506400000000014</v>
      </c>
    </row>
    <row r="57" s="12" customFormat="true" ht="19.5" hidden="false" customHeight="true" outlineLevel="0" collapsed="false">
      <c r="A57" s="10"/>
      <c r="B57" s="10" t="s">
        <v>115</v>
      </c>
      <c r="C57" s="10" t="s">
        <v>120</v>
      </c>
      <c r="D57" s="10" t="s">
        <v>50</v>
      </c>
      <c r="E57" s="10" t="n">
        <v>2100</v>
      </c>
      <c r="F57" s="10" t="n">
        <v>320</v>
      </c>
      <c r="G57" s="10" t="n">
        <v>32</v>
      </c>
      <c r="H57" s="14" t="n">
        <f aca="false">IF(AC57&gt;0,AC57/1000000*(G57/1000)*7850,(E57/1000)*(F57/1000)*(G57/1000)*7850)</f>
        <v>168.8064</v>
      </c>
      <c r="I57" s="10" t="n">
        <v>2</v>
      </c>
      <c r="J57" s="15" t="n">
        <f aca="false">H57*I57</f>
        <v>337.6128</v>
      </c>
      <c r="K57" s="10"/>
      <c r="L57" s="10" t="n">
        <f aca="false">A57</f>
        <v>0</v>
      </c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0"/>
      <c r="AD57" s="10" t="n">
        <v>168.3</v>
      </c>
      <c r="AE57" s="10" t="n">
        <v>336.6</v>
      </c>
      <c r="AF57" s="10" t="n">
        <f aca="false">H57-AD57</f>
        <v>0.506400000000014</v>
      </c>
    </row>
    <row r="58" s="12" customFormat="true" ht="19.5" hidden="true" customHeight="true" outlineLevel="0" collapsed="false">
      <c r="A58" s="10"/>
      <c r="B58" s="10" t="s">
        <v>121</v>
      </c>
      <c r="C58" s="10" t="s">
        <v>122</v>
      </c>
      <c r="D58" s="10" t="s">
        <v>50</v>
      </c>
      <c r="E58" s="10" t="n">
        <v>1980</v>
      </c>
      <c r="F58" s="10" t="n">
        <v>610</v>
      </c>
      <c r="G58" s="10" t="n">
        <v>16</v>
      </c>
      <c r="H58" s="14" t="n">
        <f aca="false">IF(AC58&gt;0,AC58/1000000*(G58/1000)*7850,(E58/1000)*(F58/1000)*(G58/1000)*7850)</f>
        <v>151.69968</v>
      </c>
      <c r="I58" s="10" t="n">
        <v>6</v>
      </c>
      <c r="J58" s="15" t="n">
        <f aca="false">H58*I58</f>
        <v>910.19808</v>
      </c>
      <c r="K58" s="10"/>
      <c r="L58" s="10" t="n">
        <f aca="false">A58</f>
        <v>0</v>
      </c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0"/>
      <c r="AD58" s="10" t="n">
        <v>152</v>
      </c>
      <c r="AE58" s="10" t="n">
        <v>912</v>
      </c>
      <c r="AF58" s="10" t="n">
        <f aca="false">H58-AD58</f>
        <v>-0.300319999999999</v>
      </c>
    </row>
    <row r="59" s="12" customFormat="true" ht="19.5" hidden="false" customHeight="true" outlineLevel="0" collapsed="false">
      <c r="A59" s="10"/>
      <c r="B59" s="10" t="s">
        <v>121</v>
      </c>
      <c r="C59" s="10" t="s">
        <v>123</v>
      </c>
      <c r="D59" s="10" t="s">
        <v>50</v>
      </c>
      <c r="E59" s="10" t="n">
        <v>1980</v>
      </c>
      <c r="F59" s="10" t="n">
        <v>650</v>
      </c>
      <c r="G59" s="10" t="n">
        <v>16</v>
      </c>
      <c r="H59" s="14" t="n">
        <f aca="false">IF(AC59&gt;0,AC59/1000000*(G59/1000)*7850,(E59/1000)*(F59/1000)*(G59/1000)*7850)</f>
        <v>161.6472</v>
      </c>
      <c r="I59" s="10" t="n">
        <v>2</v>
      </c>
      <c r="J59" s="15" t="n">
        <f aca="false">H59*I59</f>
        <v>323.2944</v>
      </c>
      <c r="K59" s="10"/>
      <c r="L59" s="10" t="n">
        <f aca="false">A59</f>
        <v>0</v>
      </c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0"/>
      <c r="AD59" s="10" t="n">
        <v>162</v>
      </c>
      <c r="AE59" s="10" t="n">
        <v>324</v>
      </c>
      <c r="AF59" s="10" t="n">
        <f aca="false">H59-AD59</f>
        <v>-0.352800000000002</v>
      </c>
    </row>
    <row r="60" s="12" customFormat="true" ht="19.5" hidden="false" customHeight="true" outlineLevel="0" collapsed="false">
      <c r="A60" s="10"/>
      <c r="B60" s="10" t="s">
        <v>121</v>
      </c>
      <c r="C60" s="10" t="s">
        <v>124</v>
      </c>
      <c r="D60" s="10" t="s">
        <v>50</v>
      </c>
      <c r="E60" s="10" t="n">
        <v>1980</v>
      </c>
      <c r="F60" s="10" t="n">
        <v>622</v>
      </c>
      <c r="G60" s="10" t="n">
        <v>16</v>
      </c>
      <c r="H60" s="14" t="n">
        <f aca="false">IF(AC60&gt;0,AC60/1000000*(G60/1000)*7850,(E60/1000)*(F60/1000)*(G60/1000)*7850)</f>
        <v>154.683936</v>
      </c>
      <c r="I60" s="10" t="n">
        <v>4</v>
      </c>
      <c r="J60" s="15" t="n">
        <f aca="false">H60*I60</f>
        <v>618.735744</v>
      </c>
      <c r="K60" s="10"/>
      <c r="L60" s="10" t="n">
        <f aca="false">A60</f>
        <v>0</v>
      </c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0"/>
      <c r="AD60" s="10" t="n">
        <v>154.5</v>
      </c>
      <c r="AE60" s="10" t="n">
        <v>618</v>
      </c>
      <c r="AF60" s="10" t="n">
        <f aca="false">H60-AD60</f>
        <v>0.183936000000017</v>
      </c>
    </row>
    <row r="61" s="12" customFormat="true" ht="19.5" hidden="true" customHeight="true" outlineLevel="0" collapsed="false">
      <c r="A61" s="10"/>
      <c r="B61" s="10" t="s">
        <v>121</v>
      </c>
      <c r="C61" s="10" t="s">
        <v>125</v>
      </c>
      <c r="D61" s="10" t="s">
        <v>50</v>
      </c>
      <c r="E61" s="10"/>
      <c r="F61" s="10"/>
      <c r="G61" s="10" t="n">
        <v>24</v>
      </c>
      <c r="H61" s="14" t="n">
        <f aca="false">IF(AC61&gt;0,AC61/1000000*(G61/1000)*7850,(E61/1000)*(F61/1000)*(G61/1000)*7850)</f>
        <v>88.548</v>
      </c>
      <c r="I61" s="10" t="n">
        <v>6</v>
      </c>
      <c r="J61" s="15" t="n">
        <f aca="false">H61*I61</f>
        <v>531.288</v>
      </c>
      <c r="K61" s="10"/>
      <c r="L61" s="10" t="n">
        <f aca="false">A61</f>
        <v>0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0" t="n">
        <v>470000</v>
      </c>
      <c r="AD61" s="10" t="n">
        <v>88.4</v>
      </c>
      <c r="AE61" s="10" t="n">
        <v>530.4</v>
      </c>
      <c r="AF61" s="10" t="n">
        <f aca="false">H61-AD61</f>
        <v>0.147999999999996</v>
      </c>
    </row>
    <row r="62" s="12" customFormat="true" ht="19.5" hidden="true" customHeight="true" outlineLevel="0" collapsed="false">
      <c r="A62" s="10"/>
      <c r="B62" s="10" t="s">
        <v>121</v>
      </c>
      <c r="C62" s="10" t="s">
        <v>126</v>
      </c>
      <c r="D62" s="10" t="s">
        <v>50</v>
      </c>
      <c r="E62" s="10"/>
      <c r="F62" s="10"/>
      <c r="G62" s="10" t="n">
        <v>24</v>
      </c>
      <c r="H62" s="14" t="n">
        <f aca="false">IF(AC62&gt;0,AC62/1000000*(G62/1000)*7850,(E62/1000)*(F62/1000)*(G62/1000)*7850)</f>
        <v>90.432</v>
      </c>
      <c r="I62" s="10" t="n">
        <v>6</v>
      </c>
      <c r="J62" s="15" t="n">
        <f aca="false">H62*I62</f>
        <v>542.592</v>
      </c>
      <c r="K62" s="10"/>
      <c r="L62" s="10" t="n">
        <f aca="false">A62</f>
        <v>0</v>
      </c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0" t="n">
        <v>480000</v>
      </c>
      <c r="AD62" s="10" t="n">
        <v>90.4</v>
      </c>
      <c r="AE62" s="10" t="n">
        <v>542.4</v>
      </c>
      <c r="AF62" s="10" t="n">
        <f aca="false">H62-AD62</f>
        <v>0.0319999999999823</v>
      </c>
    </row>
    <row r="63" s="12" customFormat="true" ht="19.5" hidden="true" customHeight="true" outlineLevel="0" collapsed="false">
      <c r="A63" s="10"/>
      <c r="B63" s="10" t="s">
        <v>121</v>
      </c>
      <c r="C63" s="10" t="s">
        <v>127</v>
      </c>
      <c r="D63" s="10" t="s">
        <v>50</v>
      </c>
      <c r="E63" s="10"/>
      <c r="F63" s="10"/>
      <c r="G63" s="10" t="n">
        <v>24</v>
      </c>
      <c r="H63" s="14" t="n">
        <f aca="false">IF(AC63&gt;0,AC63/1000000*(G63/1000)*7850,(E63/1000)*(F63/1000)*(G63/1000)*7850)</f>
        <v>182.748</v>
      </c>
      <c r="I63" s="10" t="n">
        <v>2</v>
      </c>
      <c r="J63" s="15" t="n">
        <f aca="false">H63*I63</f>
        <v>365.496</v>
      </c>
      <c r="K63" s="10"/>
      <c r="L63" s="10" t="n">
        <f aca="false">A63</f>
        <v>0</v>
      </c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0" t="n">
        <v>970000</v>
      </c>
      <c r="AD63" s="10" t="n">
        <v>182</v>
      </c>
      <c r="AE63" s="10" t="n">
        <v>364</v>
      </c>
      <c r="AF63" s="10" t="n">
        <f aca="false">H63-AD63</f>
        <v>0.747999999999991</v>
      </c>
    </row>
    <row r="64" s="12" customFormat="true" ht="19.5" hidden="true" customHeight="true" outlineLevel="0" collapsed="false">
      <c r="A64" s="10"/>
      <c r="B64" s="10" t="s">
        <v>121</v>
      </c>
      <c r="C64" s="10" t="s">
        <v>128</v>
      </c>
      <c r="D64" s="10" t="s">
        <v>50</v>
      </c>
      <c r="E64" s="10"/>
      <c r="F64" s="10"/>
      <c r="G64" s="10" t="n">
        <v>24</v>
      </c>
      <c r="H64" s="14" t="n">
        <f aca="false">IF(AC64&gt;0,AC64/1000000*(G64/1000)*7850,(E64/1000)*(F64/1000)*(G64/1000)*7850)</f>
        <v>90.432</v>
      </c>
      <c r="I64" s="10" t="n">
        <v>2</v>
      </c>
      <c r="J64" s="15" t="n">
        <f aca="false">H64*I64</f>
        <v>180.864</v>
      </c>
      <c r="K64" s="10"/>
      <c r="L64" s="10" t="n">
        <f aca="false">A64</f>
        <v>0</v>
      </c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0" t="n">
        <v>480000</v>
      </c>
      <c r="AD64" s="10" t="n">
        <v>90</v>
      </c>
      <c r="AE64" s="10" t="n">
        <v>180</v>
      </c>
      <c r="AF64" s="10" t="n">
        <f aca="false">H64-AD64</f>
        <v>0.431999999999988</v>
      </c>
    </row>
    <row r="65" s="12" customFormat="true" ht="19.5" hidden="true" customHeight="true" outlineLevel="0" collapsed="false">
      <c r="A65" s="10"/>
      <c r="B65" s="10" t="s">
        <v>121</v>
      </c>
      <c r="C65" s="10" t="s">
        <v>129</v>
      </c>
      <c r="D65" s="10" t="s">
        <v>50</v>
      </c>
      <c r="E65" s="10" t="n">
        <v>1800</v>
      </c>
      <c r="F65" s="10" t="n">
        <v>626</v>
      </c>
      <c r="G65" s="10" t="n">
        <v>16</v>
      </c>
      <c r="H65" s="14" t="n">
        <f aca="false">IF(AC65&gt;0,AC65/1000000*(G65/1000)*7850,(E65/1000)*(F65/1000)*(G65/1000)*7850)</f>
        <v>141.52608</v>
      </c>
      <c r="I65" s="10" t="n">
        <v>8</v>
      </c>
      <c r="J65" s="15" t="n">
        <f aca="false">H65*I65</f>
        <v>1132.20864</v>
      </c>
      <c r="K65" s="10"/>
      <c r="L65" s="10" t="n">
        <f aca="false">A65</f>
        <v>0</v>
      </c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0"/>
      <c r="AD65" s="10" t="n">
        <v>141.9</v>
      </c>
      <c r="AE65" s="10" t="n">
        <v>1135.2</v>
      </c>
      <c r="AF65" s="10" t="n">
        <f aca="false">H65-AD65</f>
        <v>-0.373919999999998</v>
      </c>
    </row>
    <row r="66" s="12" customFormat="true" ht="19.5" hidden="true" customHeight="true" outlineLevel="0" collapsed="false">
      <c r="A66" s="10"/>
      <c r="B66" s="10" t="s">
        <v>121</v>
      </c>
      <c r="C66" s="10" t="s">
        <v>130</v>
      </c>
      <c r="D66" s="10" t="s">
        <v>50</v>
      </c>
      <c r="E66" s="10" t="n">
        <v>1800</v>
      </c>
      <c r="F66" s="10" t="n">
        <v>610</v>
      </c>
      <c r="G66" s="10" t="n">
        <v>28</v>
      </c>
      <c r="H66" s="14" t="n">
        <f aca="false">IF(AC66&gt;0,AC66/1000000*(G66/1000)*7850,(E66/1000)*(F66/1000)*(G66/1000)*7850)</f>
        <v>241.3404</v>
      </c>
      <c r="I66" s="10" t="n">
        <v>4</v>
      </c>
      <c r="J66" s="15" t="n">
        <f aca="false">H66*I66</f>
        <v>965.3616</v>
      </c>
      <c r="K66" s="10"/>
      <c r="L66" s="10" t="n">
        <f aca="false">A66</f>
        <v>0</v>
      </c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0"/>
      <c r="AD66" s="10" t="n">
        <v>241.8</v>
      </c>
      <c r="AE66" s="10" t="n">
        <v>967.2</v>
      </c>
      <c r="AF66" s="10" t="n">
        <f aca="false">H66-AD66</f>
        <v>-0.459599999999966</v>
      </c>
    </row>
    <row r="67" s="12" customFormat="true" ht="19.5" hidden="true" customHeight="true" outlineLevel="0" collapsed="false">
      <c r="A67" s="10"/>
      <c r="B67" s="10" t="s">
        <v>131</v>
      </c>
      <c r="C67" s="10" t="s">
        <v>132</v>
      </c>
      <c r="D67" s="10" t="s">
        <v>50</v>
      </c>
      <c r="E67" s="10" t="n">
        <v>1800</v>
      </c>
      <c r="F67" s="10" t="n">
        <v>1200</v>
      </c>
      <c r="G67" s="10" t="n">
        <v>32</v>
      </c>
      <c r="H67" s="14" t="n">
        <f aca="false">IF(AC67&gt;0,AC67/1000000*(G67/1000)*7850,(E67/1000)*(F67/1000)*(G67/1000)*7850)</f>
        <v>542.592</v>
      </c>
      <c r="I67" s="10" t="n">
        <v>4</v>
      </c>
      <c r="J67" s="15" t="n">
        <f aca="false">H67*I67</f>
        <v>2170.368</v>
      </c>
      <c r="K67" s="10"/>
      <c r="L67" s="10" t="n">
        <f aca="false">A67</f>
        <v>0</v>
      </c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0"/>
      <c r="AD67" s="10" t="n">
        <v>542.6</v>
      </c>
      <c r="AE67" s="10" t="n">
        <v>2170.4</v>
      </c>
      <c r="AF67" s="10" t="n">
        <f aca="false">H67-AD67</f>
        <v>-0.0080000000000382</v>
      </c>
    </row>
    <row r="68" s="12" customFormat="true" ht="19.5" hidden="true" customHeight="true" outlineLevel="0" collapsed="false">
      <c r="A68" s="10"/>
      <c r="B68" s="10" t="s">
        <v>131</v>
      </c>
      <c r="C68" s="10" t="s">
        <v>133</v>
      </c>
      <c r="D68" s="10" t="s">
        <v>50</v>
      </c>
      <c r="E68" s="10" t="n">
        <v>502</v>
      </c>
      <c r="F68" s="10" t="n">
        <v>240</v>
      </c>
      <c r="G68" s="10" t="n">
        <v>20</v>
      </c>
      <c r="H68" s="14" t="n">
        <f aca="false">IF(AC68&gt;0,AC68/1000000*(G68/1000)*7850,(E68/1000)*(F68/1000)*(G68/1000)*7850)</f>
        <v>18.91536</v>
      </c>
      <c r="I68" s="10" t="n">
        <v>2</v>
      </c>
      <c r="J68" s="15" t="n">
        <f aca="false">H68*I68</f>
        <v>37.83072</v>
      </c>
      <c r="K68" s="10"/>
      <c r="L68" s="10" t="n">
        <f aca="false">A68</f>
        <v>0</v>
      </c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0"/>
      <c r="AD68" s="10" t="n">
        <v>18.8</v>
      </c>
      <c r="AE68" s="10" t="n">
        <v>37.6</v>
      </c>
      <c r="AF68" s="10" t="n">
        <f aca="false">H68-AD68</f>
        <v>0.115359999999999</v>
      </c>
    </row>
    <row r="69" s="12" customFormat="true" ht="19.5" hidden="true" customHeight="true" outlineLevel="0" collapsed="false">
      <c r="A69" s="10"/>
      <c r="B69" s="10" t="s">
        <v>131</v>
      </c>
      <c r="C69" s="10" t="s">
        <v>134</v>
      </c>
      <c r="D69" s="10" t="s">
        <v>50</v>
      </c>
      <c r="E69" s="10" t="n">
        <v>1800</v>
      </c>
      <c r="F69" s="10" t="n">
        <v>1800</v>
      </c>
      <c r="G69" s="10" t="n">
        <v>100</v>
      </c>
      <c r="H69" s="14" t="n">
        <f aca="false">IF(AC69&gt;0,AC69/1000000*(G69/1000)*7850,(E69/1000)*(F69/1000)*(G69/1000)*7850)</f>
        <v>2543.4</v>
      </c>
      <c r="I69" s="10" t="n">
        <v>1</v>
      </c>
      <c r="J69" s="15" t="n">
        <f aca="false">H69*I69</f>
        <v>2543.4</v>
      </c>
      <c r="K69" s="10"/>
      <c r="L69" s="10" t="n">
        <f aca="false">A69</f>
        <v>0</v>
      </c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0"/>
      <c r="AD69" s="10" t="n">
        <v>2543.4</v>
      </c>
      <c r="AE69" s="10" t="n">
        <v>2543.4</v>
      </c>
      <c r="AF69" s="10" t="n">
        <f aca="false">H69-AD69</f>
        <v>0</v>
      </c>
    </row>
    <row r="70" s="12" customFormat="true" ht="19.5" hidden="true" customHeight="true" outlineLevel="0" collapsed="false">
      <c r="A70" s="10"/>
      <c r="B70" s="10" t="s">
        <v>131</v>
      </c>
      <c r="C70" s="10" t="s">
        <v>135</v>
      </c>
      <c r="D70" s="10" t="s">
        <v>50</v>
      </c>
      <c r="E70" s="10" t="n">
        <v>1000</v>
      </c>
      <c r="F70" s="10" t="n">
        <v>568</v>
      </c>
      <c r="G70" s="10" t="n">
        <v>32</v>
      </c>
      <c r="H70" s="14" t="n">
        <f aca="false">IF(AC70&gt;0,AC70/1000000*(G70/1000)*7850,(E70/1000)*(F70/1000)*(G70/1000)*7850)</f>
        <v>142.6816</v>
      </c>
      <c r="I70" s="10" t="n">
        <v>3</v>
      </c>
      <c r="J70" s="15" t="n">
        <f aca="false">H70*I70</f>
        <v>428.0448</v>
      </c>
      <c r="K70" s="10"/>
      <c r="L70" s="10" t="n">
        <f aca="false">A70</f>
        <v>0</v>
      </c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0"/>
      <c r="AD70" s="10" t="n">
        <v>143.2</v>
      </c>
      <c r="AE70" s="10" t="n">
        <v>429.6</v>
      </c>
      <c r="AF70" s="10" t="n">
        <f aca="false">H70-AD70</f>
        <v>-0.518400000000014</v>
      </c>
    </row>
    <row r="71" s="12" customFormat="true" ht="19.5" hidden="false" customHeight="true" outlineLevel="0" collapsed="false">
      <c r="A71" s="10"/>
      <c r="B71" s="10" t="s">
        <v>131</v>
      </c>
      <c r="C71" s="10" t="s">
        <v>136</v>
      </c>
      <c r="D71" s="10" t="s">
        <v>50</v>
      </c>
      <c r="E71" s="10" t="n">
        <v>1350</v>
      </c>
      <c r="F71" s="10" t="n">
        <v>570</v>
      </c>
      <c r="G71" s="10" t="n">
        <v>32</v>
      </c>
      <c r="H71" s="14" t="n">
        <f aca="false">IF(AC71&gt;0,AC71/1000000*(G71/1000)*7850,(E71/1000)*(F71/1000)*(G71/1000)*7850)</f>
        <v>193.2984</v>
      </c>
      <c r="I71" s="10" t="n">
        <v>4</v>
      </c>
      <c r="J71" s="15" t="n">
        <f aca="false">H71*I71</f>
        <v>773.1936</v>
      </c>
      <c r="K71" s="10"/>
      <c r="L71" s="10" t="n">
        <f aca="false">A71</f>
        <v>0</v>
      </c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0"/>
      <c r="AD71" s="10" t="n">
        <v>193.4</v>
      </c>
      <c r="AE71" s="10" t="n">
        <v>773.6</v>
      </c>
      <c r="AF71" s="10" t="n">
        <f aca="false">H71-AD71</f>
        <v>-0.101600000000019</v>
      </c>
    </row>
    <row r="72" s="12" customFormat="true" ht="19.5" hidden="false" customHeight="true" outlineLevel="0" collapsed="false">
      <c r="A72" s="17"/>
      <c r="B72" s="10" t="s">
        <v>137</v>
      </c>
      <c r="C72" s="18"/>
      <c r="D72" s="10"/>
      <c r="E72" s="10"/>
      <c r="F72" s="10"/>
      <c r="G72" s="10"/>
      <c r="H72" s="14"/>
      <c r="I72" s="10"/>
      <c r="J72" s="15" t="n">
        <f aca="false">SUM(J4:J71)</f>
        <v>121996.624234</v>
      </c>
      <c r="K72" s="10"/>
      <c r="L72" s="17"/>
      <c r="M72" s="17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7"/>
      <c r="AD72" s="17"/>
      <c r="AE72" s="17" t="n">
        <f aca="false">SUM(AE4:AE71)</f>
        <v>121975.6</v>
      </c>
      <c r="AF72" s="17"/>
    </row>
    <row r="73" s="12" customFormat="true" ht="19.5" hidden="true" customHeight="true" outlineLevel="0" collapsed="false"/>
    <row r="74" s="12" customFormat="true" ht="19.5" hidden="true" customHeight="true" outlineLevel="0" collapsed="false"/>
    <row r="75" s="12" customFormat="true" ht="19.5" hidden="false" customHeight="true" outlineLevel="0" collapsed="false"/>
    <row r="76" s="12" customFormat="true" ht="19.5" hidden="true" customHeight="true" outlineLevel="0" collapsed="false"/>
    <row r="77" s="12" customFormat="true" ht="19.5" hidden="true" customHeight="true" outlineLevel="0" collapsed="false"/>
    <row r="78" s="12" customFormat="true" ht="19.5" hidden="true" customHeight="true" outlineLevel="0" collapsed="false"/>
    <row r="79" s="12" customFormat="true" ht="19.5" hidden="true" customHeight="true" outlineLevel="0" collapsed="false"/>
    <row r="80" s="12" customFormat="true" ht="19.5" hidden="true" customHeight="true" outlineLevel="0" collapsed="false"/>
    <row r="81" s="12" customFormat="true" ht="19.5" hidden="true" customHeight="true" outlineLevel="0" collapsed="false"/>
    <row r="82" s="12" customFormat="true" ht="19.5" hidden="true" customHeight="true" outlineLevel="0" collapsed="false"/>
    <row r="83" s="12" customFormat="true" ht="19.5" hidden="false" customHeight="true" outlineLevel="0" collapsed="false"/>
    <row r="84" s="12" customFormat="true" ht="19.5" hidden="true" customHeight="true" outlineLevel="0" collapsed="false"/>
    <row r="85" s="12" customFormat="true" ht="19.5" hidden="false" customHeight="true" outlineLevel="0" collapsed="false"/>
    <row r="86" s="12" customFormat="true" ht="19.5" hidden="false" customHeight="true" outlineLevel="0" collapsed="false"/>
    <row r="87" s="12" customFormat="true" ht="19.5" hidden="true" customHeight="true" outlineLevel="0" collapsed="false"/>
    <row r="88" s="12" customFormat="true" ht="19.5" hidden="true" customHeight="true" outlineLevel="0" collapsed="false"/>
    <row r="89" s="12" customFormat="true" ht="19.5" hidden="true" customHeight="true" outlineLevel="0" collapsed="false"/>
    <row r="90" s="12" customFormat="true" ht="19.5" hidden="true" customHeight="true" outlineLevel="0" collapsed="false"/>
    <row r="91" s="12" customFormat="true" ht="19.5" hidden="true" customHeight="true" outlineLevel="0" collapsed="false"/>
    <row r="92" s="12" customFormat="true" ht="19.5" hidden="true" customHeight="true" outlineLevel="0" collapsed="false"/>
    <row r="93" s="12" customFormat="true" ht="19.5" hidden="true" customHeight="true" outlineLevel="0" collapsed="false"/>
    <row r="94" s="12" customFormat="true" ht="19.5" hidden="true" customHeight="true" outlineLevel="0" collapsed="false"/>
    <row r="95" s="12" customFormat="true" ht="19.5" hidden="true" customHeight="true" outlineLevel="0" collapsed="false"/>
    <row r="96" s="12" customFormat="true" ht="19.5" hidden="true" customHeight="true" outlineLevel="0" collapsed="false"/>
    <row r="97" s="12" customFormat="true" ht="19.5" hidden="false" customHeight="true" outlineLevel="0" collapsed="false"/>
    <row r="98" s="12" customFormat="true" ht="19.5" hidden="false" customHeight="true" outlineLevel="0" collapsed="false"/>
    <row r="99" s="12" customFormat="true" ht="19.5" hidden="true" customHeight="true" outlineLevel="0" collapsed="false"/>
    <row r="100" s="12" customFormat="true" ht="19.5" hidden="true" customHeight="true" outlineLevel="0" collapsed="false"/>
    <row r="101" s="12" customFormat="true" ht="19.5" hidden="false" customHeight="true" outlineLevel="0" collapsed="false"/>
    <row r="102" s="12" customFormat="true" ht="19.5" hidden="true" customHeight="true" outlineLevel="0" collapsed="false"/>
    <row r="103" s="12" customFormat="true" ht="19.5" hidden="true" customHeight="true" outlineLevel="0" collapsed="false"/>
    <row r="104" s="12" customFormat="true" ht="19.5" hidden="true" customHeight="true" outlineLevel="0" collapsed="false"/>
    <row r="105" s="12" customFormat="true" ht="19.5" hidden="true" customHeight="true" outlineLevel="0" collapsed="false"/>
    <row r="106" s="12" customFormat="true" ht="19.5" hidden="true" customHeight="true" outlineLevel="0" collapsed="false"/>
    <row r="107" s="12" customFormat="true" ht="19.5" hidden="true" customHeight="true" outlineLevel="0" collapsed="false"/>
    <row r="108" s="12" customFormat="true" ht="19.5" hidden="true" customHeight="true" outlineLevel="0" collapsed="false"/>
    <row r="109" s="12" customFormat="true" ht="19.5" hidden="false" customHeight="true" outlineLevel="0" collapsed="false"/>
    <row r="110" s="12" customFormat="true" ht="19.5" hidden="true" customHeight="true" outlineLevel="0" collapsed="false"/>
    <row r="111" s="12" customFormat="true" ht="19.5" hidden="false" customHeight="true" outlineLevel="0" collapsed="false"/>
    <row r="112" s="12" customFormat="true" ht="19.5" hidden="false" customHeight="true" outlineLevel="0" collapsed="false"/>
    <row r="113" s="12" customFormat="true" ht="19.5" hidden="true" customHeight="true" outlineLevel="0" collapsed="false"/>
    <row r="114" s="12" customFormat="true" ht="19.5" hidden="true" customHeight="true" outlineLevel="0" collapsed="false"/>
    <row r="115" s="12" customFormat="true" ht="19.5" hidden="true" customHeight="true" outlineLevel="0" collapsed="false"/>
    <row r="116" s="12" customFormat="true" ht="19.5" hidden="true" customHeight="true" outlineLevel="0" collapsed="false"/>
    <row r="117" s="12" customFormat="true" ht="19.5" hidden="true" customHeight="true" outlineLevel="0" collapsed="false"/>
    <row r="118" s="12" customFormat="true" ht="19.5" hidden="true" customHeight="true" outlineLevel="0" collapsed="false"/>
    <row r="119" s="12" customFormat="true" ht="19.5" hidden="true" customHeight="true" outlineLevel="0" collapsed="false"/>
    <row r="120" s="12" customFormat="true" ht="19.5" hidden="true" customHeight="true" outlineLevel="0" collapsed="false"/>
    <row r="121" s="12" customFormat="true" ht="19.5" hidden="true" customHeight="true" outlineLevel="0" collapsed="false"/>
    <row r="122" s="12" customFormat="true" ht="19.5" hidden="true" customHeight="true" outlineLevel="0" collapsed="false"/>
    <row r="123" s="12" customFormat="true" ht="19.5" hidden="false" customHeight="true" outlineLevel="0" collapsed="false"/>
    <row r="124" s="12" customFormat="true" ht="19.5" hidden="false" customHeight="true" outlineLevel="0" collapsed="false"/>
    <row r="125" s="12" customFormat="true" ht="19.5" hidden="true" customHeight="true" outlineLevel="0" collapsed="false"/>
    <row r="126" s="12" customFormat="true" ht="19.5" hidden="true" customHeight="true" outlineLevel="0" collapsed="false"/>
    <row r="127" s="12" customFormat="true" ht="19.5" hidden="false" customHeight="true" outlineLevel="0" collapsed="false"/>
    <row r="128" s="12" customFormat="true" ht="19.5" hidden="true" customHeight="true" outlineLevel="0" collapsed="false"/>
    <row r="129" s="12" customFormat="true" ht="19.5" hidden="true" customHeight="true" outlineLevel="0" collapsed="false"/>
    <row r="130" s="12" customFormat="true" ht="19.5" hidden="true" customHeight="true" outlineLevel="0" collapsed="false"/>
    <row r="131" s="12" customFormat="true" ht="19.5" hidden="true" customHeight="true" outlineLevel="0" collapsed="false"/>
    <row r="132" s="12" customFormat="true" ht="19.5" hidden="true" customHeight="true" outlineLevel="0" collapsed="false"/>
    <row r="133" s="12" customFormat="true" ht="19.5" hidden="true" customHeight="true" outlineLevel="0" collapsed="false"/>
    <row r="134" s="12" customFormat="true" ht="19.5" hidden="true" customHeight="true" outlineLevel="0" collapsed="false"/>
    <row r="135" s="12" customFormat="true" ht="19.5" hidden="false" customHeight="true" outlineLevel="0" collapsed="false"/>
    <row r="136" s="12" customFormat="true" ht="19.5" hidden="true" customHeight="true" outlineLevel="0" collapsed="false"/>
    <row r="137" s="12" customFormat="true" ht="19.5" hidden="false" customHeight="true" outlineLevel="0" collapsed="false"/>
    <row r="138" s="12" customFormat="true" ht="19.5" hidden="false" customHeight="true" outlineLevel="0" collapsed="false"/>
    <row r="139" s="12" customFormat="true" ht="19.5" hidden="true" customHeight="true" outlineLevel="0" collapsed="false"/>
    <row r="140" s="12" customFormat="true" ht="19.5" hidden="true" customHeight="true" outlineLevel="0" collapsed="false"/>
    <row r="141" s="12" customFormat="true" ht="19.5" hidden="true" customHeight="true" outlineLevel="0" collapsed="false"/>
    <row r="142" s="12" customFormat="true" ht="19.5" hidden="true" customHeight="true" outlineLevel="0" collapsed="false"/>
    <row r="143" s="12" customFormat="true" ht="19.5" hidden="true" customHeight="true" outlineLevel="0" collapsed="false"/>
    <row r="144" s="12" customFormat="true" ht="19.5" hidden="true" customHeight="true" outlineLevel="0" collapsed="false"/>
    <row r="145" s="12" customFormat="true" ht="19.5" hidden="true" customHeight="true" outlineLevel="0" collapsed="false"/>
    <row r="146" s="12" customFormat="true" ht="19.5" hidden="true" customHeight="true" outlineLevel="0" collapsed="false"/>
    <row r="147" s="12" customFormat="true" ht="19.5" hidden="true" customHeight="true" outlineLevel="0" collapsed="false"/>
    <row r="148" s="12" customFormat="true" ht="19.5" hidden="true" customHeight="true" outlineLevel="0" collapsed="false"/>
    <row r="149" s="12" customFormat="true" ht="19.5" hidden="false" customHeight="true" outlineLevel="0" collapsed="false"/>
    <row r="150" s="12" customFormat="true" ht="19.5" hidden="false" customHeight="true" outlineLevel="0" collapsed="false"/>
    <row r="151" s="12" customFormat="true" ht="19.5" hidden="true" customHeight="true" outlineLevel="0" collapsed="false"/>
    <row r="152" s="12" customFormat="true" ht="19.5" hidden="true" customHeight="true" outlineLevel="0" collapsed="false"/>
    <row r="153" s="12" customFormat="true" ht="19.5" hidden="false" customHeight="true" outlineLevel="0" collapsed="false"/>
    <row r="154" s="12" customFormat="true" ht="19.5" hidden="true" customHeight="true" outlineLevel="0" collapsed="false"/>
    <row r="155" s="12" customFormat="true" ht="19.5" hidden="true" customHeight="true" outlineLevel="0" collapsed="false"/>
    <row r="156" s="12" customFormat="true" ht="19.5" hidden="true" customHeight="true" outlineLevel="0" collapsed="false"/>
    <row r="157" s="12" customFormat="true" ht="19.5" hidden="true" customHeight="true" outlineLevel="0" collapsed="false"/>
    <row r="158" s="12" customFormat="true" ht="19.5" hidden="true" customHeight="true" outlineLevel="0" collapsed="false"/>
    <row r="159" s="12" customFormat="true" ht="19.5" hidden="true" customHeight="true" outlineLevel="0" collapsed="false"/>
    <row r="160" s="12" customFormat="true" ht="19.5" hidden="true" customHeight="true" outlineLevel="0" collapsed="false"/>
    <row r="161" s="12" customFormat="true" ht="19.5" hidden="false" customHeight="true" outlineLevel="0" collapsed="false"/>
    <row r="162" s="12" customFormat="true" ht="19.5" hidden="true" customHeight="true" outlineLevel="0" collapsed="false"/>
    <row r="163" s="12" customFormat="true" ht="19.5" hidden="false" customHeight="true" outlineLevel="0" collapsed="false"/>
    <row r="164" s="12" customFormat="true" ht="19.5" hidden="false" customHeight="true" outlineLevel="0" collapsed="false"/>
    <row r="165" s="12" customFormat="true" ht="19.5" hidden="true" customHeight="true" outlineLevel="0" collapsed="false"/>
    <row r="166" s="12" customFormat="true" ht="19.5" hidden="true" customHeight="true" outlineLevel="0" collapsed="false"/>
    <row r="167" s="12" customFormat="true" ht="19.5" hidden="true" customHeight="true" outlineLevel="0" collapsed="false"/>
    <row r="168" s="12" customFormat="true" ht="19.5" hidden="true" customHeight="true" outlineLevel="0" collapsed="false"/>
    <row r="169" s="12" customFormat="true" ht="19.5" hidden="true" customHeight="true" outlineLevel="0" collapsed="false"/>
    <row r="170" s="12" customFormat="true" ht="19.5" hidden="true" customHeight="true" outlineLevel="0" collapsed="false"/>
    <row r="171" s="12" customFormat="true" ht="19.5" hidden="true" customHeight="true" outlineLevel="0" collapsed="false"/>
    <row r="172" s="12" customFormat="true" ht="19.5" hidden="true" customHeight="true" outlineLevel="0" collapsed="false"/>
    <row r="173" s="12" customFormat="true" ht="19.5" hidden="true" customHeight="true" outlineLevel="0" collapsed="false"/>
    <row r="174" s="12" customFormat="true" ht="19.5" hidden="true" customHeight="true" outlineLevel="0" collapsed="false"/>
    <row r="175" s="12" customFormat="true" ht="19.5" hidden="false" customHeight="true" outlineLevel="0" collapsed="false"/>
    <row r="176" s="12" customFormat="true" ht="19.5" hidden="false" customHeight="true" outlineLevel="0" collapsed="false"/>
    <row r="177" s="12" customFormat="true" ht="19.5" hidden="true" customHeight="true" outlineLevel="0" collapsed="false"/>
    <row r="178" s="12" customFormat="true" ht="19.5" hidden="true" customHeight="true" outlineLevel="0" collapsed="false"/>
    <row r="179" s="12" customFormat="true" ht="19.5" hidden="false" customHeight="true" outlineLevel="0" collapsed="false"/>
    <row r="180" s="12" customFormat="true" ht="19.5" hidden="true" customHeight="true" outlineLevel="0" collapsed="false"/>
    <row r="181" s="12" customFormat="true" ht="19.5" hidden="true" customHeight="true" outlineLevel="0" collapsed="false"/>
    <row r="182" s="12" customFormat="true" ht="19.5" hidden="true" customHeight="true" outlineLevel="0" collapsed="false"/>
    <row r="183" s="12" customFormat="true" ht="19.5" hidden="true" customHeight="true" outlineLevel="0" collapsed="false"/>
    <row r="184" s="12" customFormat="true" ht="19.5" hidden="true" customHeight="true" outlineLevel="0" collapsed="false"/>
    <row r="185" s="12" customFormat="true" ht="19.5" hidden="true" customHeight="true" outlineLevel="0" collapsed="false"/>
    <row r="186" s="12" customFormat="true" ht="19.5" hidden="true" customHeight="true" outlineLevel="0" collapsed="false"/>
    <row r="187" s="12" customFormat="true" ht="19.5" hidden="false" customHeight="true" outlineLevel="0" collapsed="false"/>
    <row r="188" s="12" customFormat="true" ht="19.5" hidden="true" customHeight="true" outlineLevel="0" collapsed="false"/>
    <row r="189" s="12" customFormat="true" ht="19.5" hidden="false" customHeight="true" outlineLevel="0" collapsed="false"/>
    <row r="190" s="12" customFormat="true" ht="19.5" hidden="false" customHeight="true" outlineLevel="0" collapsed="false"/>
    <row r="191" s="12" customFormat="true" ht="19.5" hidden="true" customHeight="true" outlineLevel="0" collapsed="false"/>
    <row r="192" s="12" customFormat="true" ht="19.5" hidden="true" customHeight="true" outlineLevel="0" collapsed="false"/>
    <row r="193" s="12" customFormat="true" ht="19.5" hidden="true" customHeight="true" outlineLevel="0" collapsed="false"/>
    <row r="194" s="12" customFormat="true" ht="19.5" hidden="true" customHeight="true" outlineLevel="0" collapsed="false"/>
    <row r="195" s="12" customFormat="true" ht="19.5" hidden="true" customHeight="true" outlineLevel="0" collapsed="false"/>
    <row r="196" s="12" customFormat="true" ht="19.5" hidden="true" customHeight="true" outlineLevel="0" collapsed="false"/>
    <row r="197" s="12" customFormat="true" ht="19.5" hidden="true" customHeight="true" outlineLevel="0" collapsed="false"/>
    <row r="198" s="12" customFormat="true" ht="19.5" hidden="true" customHeight="true" outlineLevel="0" collapsed="false"/>
    <row r="199" s="12" customFormat="true" ht="19.5" hidden="true" customHeight="true" outlineLevel="0" collapsed="false"/>
    <row r="200" s="12" customFormat="true" ht="19.5" hidden="true" customHeight="true" outlineLevel="0" collapsed="false"/>
    <row r="201" s="12" customFormat="true" ht="19.5" hidden="true" customHeight="true" outlineLevel="0" collapsed="false"/>
    <row r="202" s="12" customFormat="true" ht="19.5" hidden="true" customHeight="true" outlineLevel="0" collapsed="false"/>
    <row r="203" s="12" customFormat="true" ht="19.5" hidden="true" customHeight="true" outlineLevel="0" collapsed="false"/>
    <row r="204" s="12" customFormat="true" ht="19.5" hidden="false" customHeight="true" outlineLevel="0" collapsed="false"/>
    <row r="205" s="12" customFormat="true" ht="19.5" hidden="false" customHeight="true" outlineLevel="0" collapsed="false"/>
    <row r="206" s="12" customFormat="true" ht="19.5" hidden="true" customHeight="true" outlineLevel="0" collapsed="false"/>
    <row r="207" s="12" customFormat="true" ht="19.5" hidden="true" customHeight="true" outlineLevel="0" collapsed="false"/>
    <row r="208" s="12" customFormat="true" ht="19.5" hidden="false" customHeight="true" outlineLevel="0" collapsed="false"/>
    <row r="209" s="12" customFormat="true" ht="19.5" hidden="true" customHeight="true" outlineLevel="0" collapsed="false"/>
    <row r="210" s="12" customFormat="true" ht="19.5" hidden="true" customHeight="true" outlineLevel="0" collapsed="false"/>
    <row r="211" s="12" customFormat="true" ht="19.5" hidden="true" customHeight="true" outlineLevel="0" collapsed="false"/>
    <row r="212" s="12" customFormat="true" ht="19.5" hidden="true" customHeight="true" outlineLevel="0" collapsed="false"/>
    <row r="213" s="12" customFormat="true" ht="19.5" hidden="true" customHeight="true" outlineLevel="0" collapsed="false"/>
    <row r="214" s="12" customFormat="true" ht="19.5" hidden="true" customHeight="true" outlineLevel="0" collapsed="false"/>
    <row r="215" s="12" customFormat="true" ht="19.5" hidden="true" customHeight="true" outlineLevel="0" collapsed="false"/>
    <row r="216" s="12" customFormat="true" ht="19.5" hidden="false" customHeight="true" outlineLevel="0" collapsed="false"/>
    <row r="217" s="12" customFormat="true" ht="19.5" hidden="true" customHeight="true" outlineLevel="0" collapsed="false"/>
    <row r="218" s="12" customFormat="true" ht="19.5" hidden="false" customHeight="true" outlineLevel="0" collapsed="false"/>
    <row r="219" s="12" customFormat="true" ht="19.5" hidden="false" customHeight="true" outlineLevel="0" collapsed="false"/>
    <row r="220" s="12" customFormat="true" ht="19.5" hidden="true" customHeight="true" outlineLevel="0" collapsed="false"/>
    <row r="221" s="12" customFormat="true" ht="19.5" hidden="true" customHeight="true" outlineLevel="0" collapsed="false"/>
    <row r="222" s="12" customFormat="true" ht="19.5" hidden="true" customHeight="true" outlineLevel="0" collapsed="false"/>
    <row r="223" s="12" customFormat="true" ht="19.5" hidden="true" customHeight="true" outlineLevel="0" collapsed="false"/>
    <row r="224" s="12" customFormat="true" ht="19.5" hidden="true" customHeight="true" outlineLevel="0" collapsed="false"/>
    <row r="225" s="12" customFormat="true" ht="19.5" hidden="true" customHeight="true" outlineLevel="0" collapsed="false"/>
    <row r="226" s="12" customFormat="true" ht="19.5" hidden="true" customHeight="true" outlineLevel="0" collapsed="false"/>
    <row r="227" s="12" customFormat="true" ht="19.5" hidden="true" customHeight="true" outlineLevel="0" collapsed="false"/>
    <row r="228" s="12" customFormat="true" ht="19.5" hidden="true" customHeight="true" outlineLevel="0" collapsed="false"/>
    <row r="229" s="12" customFormat="true" ht="19.5" hidden="true" customHeight="true" outlineLevel="0" collapsed="false"/>
    <row r="230" s="12" customFormat="true" ht="19.5" hidden="true" customHeight="true" outlineLevel="0" collapsed="false"/>
    <row r="231" s="12" customFormat="true" ht="19.5" hidden="true" customHeight="true" outlineLevel="0" collapsed="false"/>
    <row r="232" s="12" customFormat="true" ht="19.5" hidden="true" customHeight="true" outlineLevel="0" collapsed="false"/>
    <row r="233" s="12" customFormat="true" ht="19.5" hidden="false" customHeight="true" outlineLevel="0" collapsed="false"/>
    <row r="234" s="12" customFormat="true" ht="19.5" hidden="false" customHeight="true" outlineLevel="0" collapsed="false"/>
    <row r="235" s="12" customFormat="true" ht="19.5" hidden="true" customHeight="true" outlineLevel="0" collapsed="false"/>
    <row r="236" s="12" customFormat="true" ht="19.5" hidden="true" customHeight="true" outlineLevel="0" collapsed="false"/>
    <row r="237" s="12" customFormat="true" ht="19.5" hidden="false" customHeight="true" outlineLevel="0" collapsed="false"/>
    <row r="238" s="12" customFormat="true" ht="19.5" hidden="true" customHeight="true" outlineLevel="0" collapsed="false"/>
    <row r="239" s="12" customFormat="true" ht="19.5" hidden="true" customHeight="true" outlineLevel="0" collapsed="false"/>
    <row r="240" s="12" customFormat="true" ht="19.5" hidden="true" customHeight="true" outlineLevel="0" collapsed="false"/>
    <row r="241" s="12" customFormat="true" ht="19.5" hidden="true" customHeight="true" outlineLevel="0" collapsed="false"/>
    <row r="242" s="12" customFormat="true" ht="19.5" hidden="true" customHeight="true" outlineLevel="0" collapsed="false"/>
    <row r="243" s="12" customFormat="true" ht="19.5" hidden="true" customHeight="true" outlineLevel="0" collapsed="false"/>
    <row r="244" s="12" customFormat="true" ht="19.5" hidden="true" customHeight="true" outlineLevel="0" collapsed="false"/>
    <row r="245" s="12" customFormat="true" ht="19.5" hidden="false" customHeight="true" outlineLevel="0" collapsed="false"/>
    <row r="246" s="12" customFormat="true" ht="19.5" hidden="true" customHeight="true" outlineLevel="0" collapsed="false"/>
    <row r="247" s="12" customFormat="true" ht="19.5" hidden="false" customHeight="true" outlineLevel="0" collapsed="false"/>
    <row r="248" s="12" customFormat="true" ht="19.5" hidden="false" customHeight="true" outlineLevel="0" collapsed="false"/>
    <row r="249" s="12" customFormat="true" ht="19.5" hidden="true" customHeight="true" outlineLevel="0" collapsed="false"/>
    <row r="250" s="12" customFormat="true" ht="19.5" hidden="true" customHeight="true" outlineLevel="0" collapsed="false"/>
    <row r="251" s="12" customFormat="true" ht="19.5" hidden="true" customHeight="true" outlineLevel="0" collapsed="false"/>
    <row r="252" s="12" customFormat="true" ht="19.5" hidden="true" customHeight="true" outlineLevel="0" collapsed="false"/>
    <row r="253" s="12" customFormat="true" ht="19.5" hidden="true" customHeight="true" outlineLevel="0" collapsed="false"/>
    <row r="254" s="12" customFormat="true" ht="19.5" hidden="true" customHeight="true" outlineLevel="0" collapsed="false"/>
    <row r="255" s="12" customFormat="true" ht="19.5" hidden="true" customHeight="true" outlineLevel="0" collapsed="false"/>
    <row r="256" s="12" customFormat="true" ht="19.5" hidden="true" customHeight="true" outlineLevel="0" collapsed="false"/>
    <row r="257" s="12" customFormat="true" ht="19.5" hidden="true" customHeight="true" outlineLevel="0" collapsed="false"/>
    <row r="258" s="12" customFormat="true" ht="19.5" hidden="true" customHeight="true" outlineLevel="0" collapsed="false"/>
    <row r="259" s="12" customFormat="true" ht="19.5" hidden="false" customHeight="true" outlineLevel="0" collapsed="false"/>
    <row r="260" s="12" customFormat="true" ht="19.5" hidden="false" customHeight="true" outlineLevel="0" collapsed="false"/>
    <row r="261" s="12" customFormat="true" ht="19.5" hidden="true" customHeight="true" outlineLevel="0" collapsed="false"/>
    <row r="262" s="12" customFormat="true" ht="19.5" hidden="true" customHeight="true" outlineLevel="0" collapsed="false"/>
    <row r="263" s="12" customFormat="true" ht="19.5" hidden="false" customHeight="true" outlineLevel="0" collapsed="false"/>
    <row r="264" s="12" customFormat="true" ht="19.5" hidden="true" customHeight="true" outlineLevel="0" collapsed="false"/>
    <row r="265" s="12" customFormat="true" ht="19.5" hidden="true" customHeight="true" outlineLevel="0" collapsed="false"/>
    <row r="266" s="12" customFormat="true" ht="19.5" hidden="true" customHeight="true" outlineLevel="0" collapsed="false"/>
    <row r="267" s="12" customFormat="true" ht="19.5" hidden="true" customHeight="true" outlineLevel="0" collapsed="false"/>
    <row r="268" s="12" customFormat="true" ht="19.5" hidden="true" customHeight="true" outlineLevel="0" collapsed="false"/>
    <row r="269" s="12" customFormat="true" ht="19.5" hidden="true" customHeight="true" outlineLevel="0" collapsed="false"/>
    <row r="270" s="12" customFormat="true" ht="19.5" hidden="true" customHeight="true" outlineLevel="0" collapsed="false"/>
    <row r="271" s="12" customFormat="true" ht="19.5" hidden="false" customHeight="true" outlineLevel="0" collapsed="false"/>
    <row r="272" s="12" customFormat="true" ht="19.5" hidden="true" customHeight="true" outlineLevel="0" collapsed="false"/>
    <row r="273" s="12" customFormat="true" ht="19.5" hidden="false" customHeight="true" outlineLevel="0" collapsed="false"/>
    <row r="274" s="12" customFormat="true" ht="19.5" hidden="false" customHeight="true" outlineLevel="0" collapsed="false"/>
    <row r="275" s="12" customFormat="true" ht="19.5" hidden="true" customHeight="true" outlineLevel="0" collapsed="false"/>
    <row r="276" s="12" customFormat="true" ht="19.5" hidden="true" customHeight="true" outlineLevel="0" collapsed="false"/>
    <row r="277" s="12" customFormat="true" ht="19.5" hidden="true" customHeight="true" outlineLevel="0" collapsed="false"/>
    <row r="278" s="12" customFormat="true" ht="19.5" hidden="true" customHeight="true" outlineLevel="0" collapsed="false"/>
    <row r="279" s="12" customFormat="true" ht="19.5" hidden="true" customHeight="true" outlineLevel="0" collapsed="false"/>
    <row r="280" s="12" customFormat="true" ht="19.5" hidden="true" customHeight="true" outlineLevel="0" collapsed="false"/>
    <row r="281" s="12" customFormat="true" ht="19.5" hidden="true" customHeight="true" outlineLevel="0" collapsed="false"/>
    <row r="282" s="12" customFormat="true" ht="19.5" hidden="true" customHeight="true" outlineLevel="0" collapsed="false"/>
    <row r="283" s="12" customFormat="true" ht="19.5" hidden="true" customHeight="true" outlineLevel="0" collapsed="false"/>
    <row r="284" s="12" customFormat="true" ht="19.5" hidden="true" customHeight="true" outlineLevel="0" collapsed="false"/>
    <row r="285" s="12" customFormat="true" ht="19.5" hidden="false" customHeight="true" outlineLevel="0" collapsed="false"/>
    <row r="286" s="12" customFormat="true" ht="19.5" hidden="false" customHeight="true" outlineLevel="0" collapsed="false"/>
    <row r="287" s="12" customFormat="true" ht="19.5" hidden="true" customHeight="true" outlineLevel="0" collapsed="false"/>
    <row r="288" s="12" customFormat="true" ht="19.5" hidden="true" customHeight="true" outlineLevel="0" collapsed="false"/>
    <row r="289" s="12" customFormat="true" ht="19.5" hidden="false" customHeight="true" outlineLevel="0" collapsed="false"/>
    <row r="290" s="12" customFormat="true" ht="19.5" hidden="true" customHeight="true" outlineLevel="0" collapsed="false"/>
    <row r="291" s="12" customFormat="true" ht="19.5" hidden="true" customHeight="true" outlineLevel="0" collapsed="false"/>
    <row r="292" s="12" customFormat="true" ht="19.5" hidden="true" customHeight="true" outlineLevel="0" collapsed="false"/>
    <row r="293" s="12" customFormat="true" ht="19.5" hidden="true" customHeight="true" outlineLevel="0" collapsed="false"/>
    <row r="294" s="12" customFormat="true" ht="19.5" hidden="true" customHeight="true" outlineLevel="0" collapsed="false"/>
    <row r="295" s="12" customFormat="true" ht="19.5" hidden="true" customHeight="true" outlineLevel="0" collapsed="false"/>
    <row r="296" s="12" customFormat="true" ht="19.5" hidden="true" customHeight="true" outlineLevel="0" collapsed="false"/>
    <row r="297" s="12" customFormat="true" ht="19.5" hidden="false" customHeight="true" outlineLevel="0" collapsed="false"/>
    <row r="298" s="12" customFormat="true" ht="19.5" hidden="true" customHeight="true" outlineLevel="0" collapsed="false"/>
    <row r="299" s="12" customFormat="true" ht="19.5" hidden="false" customHeight="true" outlineLevel="0" collapsed="false"/>
    <row r="300" s="12" customFormat="true" ht="19.5" hidden="false" customHeight="true" outlineLevel="0" collapsed="false"/>
    <row r="301" s="12" customFormat="true" ht="19.5" hidden="true" customHeight="true" outlineLevel="0" collapsed="false"/>
    <row r="302" s="12" customFormat="true" ht="19.5" hidden="true" customHeight="true" outlineLevel="0" collapsed="false"/>
    <row r="303" s="12" customFormat="true" ht="19.5" hidden="true" customHeight="true" outlineLevel="0" collapsed="false"/>
    <row r="304" s="12" customFormat="true" ht="19.5" hidden="true" customHeight="true" outlineLevel="0" collapsed="false"/>
    <row r="305" s="12" customFormat="true" ht="19.5" hidden="true" customHeight="true" outlineLevel="0" collapsed="false"/>
    <row r="306" s="12" customFormat="true" ht="19.5" hidden="true" customHeight="true" outlineLevel="0" collapsed="false"/>
    <row r="307" s="12" customFormat="true" ht="19.5" hidden="true" customHeight="true" outlineLevel="0" collapsed="false"/>
    <row r="308" s="12" customFormat="true" ht="19.5" hidden="true" customHeight="true" outlineLevel="0" collapsed="false"/>
    <row r="309" s="12" customFormat="true" ht="19.5" hidden="true" customHeight="true" outlineLevel="0" collapsed="false"/>
    <row r="310" s="12" customFormat="true" ht="19.5" hidden="true" customHeight="true" outlineLevel="0" collapsed="false"/>
    <row r="311" s="12" customFormat="true" ht="19.5" hidden="false" customHeight="true" outlineLevel="0" collapsed="false"/>
    <row r="312" s="12" customFormat="true" ht="19.5" hidden="false" customHeight="true" outlineLevel="0" collapsed="false"/>
    <row r="313" s="12" customFormat="true" ht="19.5" hidden="true" customHeight="true" outlineLevel="0" collapsed="false"/>
    <row r="314" s="12" customFormat="true" ht="19.5" hidden="true" customHeight="true" outlineLevel="0" collapsed="false"/>
    <row r="315" s="12" customFormat="true" ht="19.5" hidden="false" customHeight="true" outlineLevel="0" collapsed="false"/>
    <row r="316" s="12" customFormat="true" ht="19.5" hidden="true" customHeight="true" outlineLevel="0" collapsed="false"/>
    <row r="317" s="12" customFormat="true" ht="19.5" hidden="true" customHeight="true" outlineLevel="0" collapsed="false"/>
    <row r="318" s="12" customFormat="true" ht="19.5" hidden="true" customHeight="true" outlineLevel="0" collapsed="false"/>
    <row r="319" s="12" customFormat="true" ht="19.5" hidden="true" customHeight="true" outlineLevel="0" collapsed="false"/>
    <row r="320" s="12" customFormat="true" ht="19.5" hidden="true" customHeight="true" outlineLevel="0" collapsed="false"/>
    <row r="321" s="12" customFormat="true" ht="19.5" hidden="true" customHeight="true" outlineLevel="0" collapsed="false"/>
    <row r="322" s="12" customFormat="true" ht="19.5" hidden="true" customHeight="true" outlineLevel="0" collapsed="false"/>
    <row r="323" s="12" customFormat="true" ht="19.5" hidden="false" customHeight="true" outlineLevel="0" collapsed="false"/>
    <row r="324" s="12" customFormat="true" ht="19.5" hidden="true" customHeight="true" outlineLevel="0" collapsed="false"/>
    <row r="325" s="12" customFormat="true" ht="19.5" hidden="false" customHeight="true" outlineLevel="0" collapsed="false"/>
    <row r="326" s="12" customFormat="true" ht="19.5" hidden="false" customHeight="true" outlineLevel="0" collapsed="false"/>
    <row r="327" s="12" customFormat="true" ht="19.5" hidden="true" customHeight="true" outlineLevel="0" collapsed="false"/>
    <row r="328" s="12" customFormat="true" ht="19.5" hidden="true" customHeight="true" outlineLevel="0" collapsed="false"/>
    <row r="329" s="12" customFormat="true" ht="19.5" hidden="true" customHeight="true" outlineLevel="0" collapsed="false"/>
    <row r="330" s="12" customFormat="true" ht="19.5" hidden="true" customHeight="true" outlineLevel="0" collapsed="false"/>
    <row r="331" s="12" customFormat="true" ht="19.5" hidden="true" customHeight="true" outlineLevel="0" collapsed="false"/>
    <row r="332" s="12" customFormat="true" ht="19.5" hidden="true" customHeight="true" outlineLevel="0" collapsed="false"/>
    <row r="333" s="12" customFormat="true" ht="19.5" hidden="true" customHeight="true" outlineLevel="0" collapsed="false"/>
    <row r="334" s="12" customFormat="true" ht="19.5" hidden="true" customHeight="true" outlineLevel="0" collapsed="false"/>
    <row r="335" s="12" customFormat="true" ht="19.5" hidden="true" customHeight="true" outlineLevel="0" collapsed="false"/>
    <row r="336" s="12" customFormat="true" ht="19.5" hidden="true" customHeight="true" outlineLevel="0" collapsed="false"/>
    <row r="337" s="12" customFormat="true" ht="19.5" hidden="false" customHeight="true" outlineLevel="0" collapsed="false"/>
    <row r="338" s="12" customFormat="true" ht="19.5" hidden="false" customHeight="true" outlineLevel="0" collapsed="false"/>
    <row r="339" s="12" customFormat="true" ht="19.5" hidden="true" customHeight="true" outlineLevel="0" collapsed="false"/>
    <row r="340" s="12" customFormat="true" ht="19.5" hidden="true" customHeight="true" outlineLevel="0" collapsed="false"/>
    <row r="341" s="12" customFormat="true" ht="19.5" hidden="false" customHeight="true" outlineLevel="0" collapsed="false"/>
    <row r="342" s="12" customFormat="true" ht="19.5" hidden="true" customHeight="true" outlineLevel="0" collapsed="false"/>
    <row r="343" s="12" customFormat="true" ht="19.5" hidden="true" customHeight="true" outlineLevel="0" collapsed="false"/>
    <row r="344" s="12" customFormat="true" ht="19.5" hidden="true" customHeight="true" outlineLevel="0" collapsed="false"/>
    <row r="345" s="12" customFormat="true" ht="19.5" hidden="true" customHeight="true" outlineLevel="0" collapsed="false"/>
    <row r="346" s="12" customFormat="true" ht="19.5" hidden="true" customHeight="true" outlineLevel="0" collapsed="false"/>
    <row r="347" s="12" customFormat="true" ht="19.5" hidden="true" customHeight="true" outlineLevel="0" collapsed="false"/>
    <row r="348" s="12" customFormat="true" ht="19.5" hidden="true" customHeight="true" outlineLevel="0" collapsed="false"/>
    <row r="349" s="12" customFormat="true" ht="19.5" hidden="false" customHeight="true" outlineLevel="0" collapsed="false"/>
    <row r="350" s="12" customFormat="true" ht="19.5" hidden="true" customHeight="true" outlineLevel="0" collapsed="false"/>
    <row r="351" s="12" customFormat="true" ht="19.5" hidden="false" customHeight="true" outlineLevel="0" collapsed="false"/>
    <row r="352" s="12" customFormat="true" ht="19.5" hidden="false" customHeight="true" outlineLevel="0" collapsed="false"/>
    <row r="353" s="12" customFormat="true" ht="19.5" hidden="true" customHeight="true" outlineLevel="0" collapsed="false"/>
    <row r="354" s="12" customFormat="true" ht="19.5" hidden="true" customHeight="true" outlineLevel="0" collapsed="false"/>
    <row r="355" s="12" customFormat="true" ht="19.5" hidden="true" customHeight="true" outlineLevel="0" collapsed="false"/>
    <row r="356" s="12" customFormat="true" ht="19.5" hidden="true" customHeight="true" outlineLevel="0" collapsed="false"/>
    <row r="357" s="12" customFormat="true" ht="19.5" hidden="true" customHeight="true" outlineLevel="0" collapsed="false"/>
    <row r="358" s="12" customFormat="true" ht="19.5" hidden="true" customHeight="true" outlineLevel="0" collapsed="false"/>
    <row r="359" s="12" customFormat="true" ht="19.5" hidden="true" customHeight="true" outlineLevel="0" collapsed="false"/>
    <row r="360" s="12" customFormat="true" ht="19.5" hidden="true" customHeight="true" outlineLevel="0" collapsed="false"/>
    <row r="361" s="12" customFormat="true" ht="19.5" hidden="true" customHeight="true" outlineLevel="0" collapsed="false"/>
    <row r="362" s="12" customFormat="true" ht="19.5" hidden="true" customHeight="true" outlineLevel="0" collapsed="false"/>
    <row r="363" s="12" customFormat="true" ht="19.5" hidden="false" customHeight="true" outlineLevel="0" collapsed="false"/>
    <row r="364" s="12" customFormat="true" ht="19.5" hidden="false" customHeight="true" outlineLevel="0" collapsed="false"/>
    <row r="365" s="12" customFormat="true" ht="19.5" hidden="true" customHeight="true" outlineLevel="0" collapsed="false"/>
    <row r="366" s="12" customFormat="true" ht="19.5" hidden="true" customHeight="true" outlineLevel="0" collapsed="false"/>
    <row r="367" s="12" customFormat="true" ht="19.5" hidden="false" customHeight="true" outlineLevel="0" collapsed="false"/>
    <row r="368" s="12" customFormat="true" ht="19.5" hidden="true" customHeight="true" outlineLevel="0" collapsed="false"/>
    <row r="369" s="12" customFormat="true" ht="19.5" hidden="true" customHeight="true" outlineLevel="0" collapsed="false"/>
    <row r="370" s="12" customFormat="true" ht="19.5" hidden="true" customHeight="true" outlineLevel="0" collapsed="false"/>
    <row r="371" s="12" customFormat="true" ht="19.5" hidden="true" customHeight="true" outlineLevel="0" collapsed="false"/>
    <row r="372" s="12" customFormat="true" ht="19.5" hidden="true" customHeight="true" outlineLevel="0" collapsed="false"/>
    <row r="373" s="12" customFormat="true" ht="19.5" hidden="true" customHeight="true" outlineLevel="0" collapsed="false"/>
    <row r="374" s="12" customFormat="true" ht="19.5" hidden="true" customHeight="true" outlineLevel="0" collapsed="false"/>
    <row r="375" s="12" customFormat="true" ht="19.5" hidden="false" customHeight="true" outlineLevel="0" collapsed="false"/>
    <row r="376" s="12" customFormat="true" ht="19.5" hidden="true" customHeight="true" outlineLevel="0" collapsed="false"/>
    <row r="377" s="12" customFormat="true" ht="19.5" hidden="false" customHeight="true" outlineLevel="0" collapsed="false"/>
    <row r="378" s="12" customFormat="true" ht="19.5" hidden="false" customHeight="true" outlineLevel="0" collapsed="false"/>
    <row r="379" s="12" customFormat="true" ht="19.5" hidden="true" customHeight="true" outlineLevel="0" collapsed="false"/>
    <row r="380" s="12" customFormat="true" ht="19.5" hidden="true" customHeight="true" outlineLevel="0" collapsed="false"/>
    <row r="381" s="12" customFormat="true" ht="19.5" hidden="true" customHeight="true" outlineLevel="0" collapsed="false"/>
    <row r="382" s="12" customFormat="true" ht="19.5" hidden="true" customHeight="true" outlineLevel="0" collapsed="false"/>
    <row r="383" s="12" customFormat="true" ht="19.5" hidden="true" customHeight="true" outlineLevel="0" collapsed="false"/>
    <row r="384" s="12" customFormat="true" ht="19.5" hidden="true" customHeight="true" outlineLevel="0" collapsed="false"/>
    <row r="385" s="12" customFormat="true" ht="19.5" hidden="true" customHeight="true" outlineLevel="0" collapsed="false"/>
    <row r="386" s="12" customFormat="true" ht="19.5" hidden="true" customHeight="true" outlineLevel="0" collapsed="false"/>
    <row r="387" s="12" customFormat="true" ht="19.5" hidden="true" customHeight="true" outlineLevel="0" collapsed="false"/>
    <row r="388" s="12" customFormat="true" ht="19.5" hidden="true" customHeight="true" outlineLevel="0" collapsed="false"/>
    <row r="389" s="12" customFormat="true" ht="19.5" hidden="false" customHeight="true" outlineLevel="0" collapsed="false"/>
    <row r="390" s="12" customFormat="true" ht="19.5" hidden="false" customHeight="true" outlineLevel="0" collapsed="false"/>
    <row r="391" s="12" customFormat="true" ht="19.5" hidden="true" customHeight="true" outlineLevel="0" collapsed="false"/>
    <row r="392" s="12" customFormat="true" ht="19.5" hidden="true" customHeight="true" outlineLevel="0" collapsed="false"/>
    <row r="393" s="12" customFormat="true" ht="19.5" hidden="false" customHeight="true" outlineLevel="0" collapsed="false"/>
    <row r="394" s="12" customFormat="true" ht="19.5" hidden="true" customHeight="true" outlineLevel="0" collapsed="false"/>
    <row r="395" s="12" customFormat="true" ht="19.5" hidden="true" customHeight="true" outlineLevel="0" collapsed="false"/>
    <row r="396" s="12" customFormat="true" ht="19.5" hidden="true" customHeight="true" outlineLevel="0" collapsed="false"/>
    <row r="397" s="12" customFormat="true" ht="19.5" hidden="true" customHeight="true" outlineLevel="0" collapsed="false"/>
    <row r="398" s="12" customFormat="true" ht="19.5" hidden="true" customHeight="true" outlineLevel="0" collapsed="false"/>
    <row r="399" s="12" customFormat="true" ht="19.5" hidden="true" customHeight="true" outlineLevel="0" collapsed="false"/>
    <row r="400" s="12" customFormat="true" ht="19.5" hidden="true" customHeight="true" outlineLevel="0" collapsed="false"/>
    <row r="401" s="12" customFormat="true" ht="19.5" hidden="false" customHeight="true" outlineLevel="0" collapsed="false"/>
    <row r="402" s="12" customFormat="true" ht="19.5" hidden="true" customHeight="true" outlineLevel="0" collapsed="false"/>
    <row r="403" s="12" customFormat="true" ht="19.5" hidden="false" customHeight="true" outlineLevel="0" collapsed="false"/>
    <row r="404" s="12" customFormat="true" ht="19.5" hidden="false" customHeight="true" outlineLevel="0" collapsed="false"/>
    <row r="405" s="12" customFormat="true" ht="19.5" hidden="true" customHeight="true" outlineLevel="0" collapsed="false"/>
    <row r="406" s="12" customFormat="true" ht="19.5" hidden="true" customHeight="true" outlineLevel="0" collapsed="false"/>
    <row r="407" s="12" customFormat="true" ht="19.5" hidden="true" customHeight="true" outlineLevel="0" collapsed="false"/>
    <row r="408" s="12" customFormat="true" ht="19.5" hidden="true" customHeight="true" outlineLevel="0" collapsed="false"/>
    <row r="409" s="12" customFormat="true" ht="19.5" hidden="true" customHeight="true" outlineLevel="0" collapsed="false"/>
    <row r="410" s="12" customFormat="true" ht="19.5" hidden="true" customHeight="true" outlineLevel="0" collapsed="false"/>
    <row r="411" s="12" customFormat="true" ht="19.5" hidden="true" customHeight="true" outlineLevel="0" collapsed="false"/>
    <row r="412" s="12" customFormat="true" ht="19.5" hidden="true" customHeight="true" outlineLevel="0" collapsed="false"/>
    <row r="413" s="12" customFormat="true" ht="19.5" hidden="true" customHeight="true" outlineLevel="0" collapsed="false"/>
    <row r="414" s="12" customFormat="true" ht="19.5" hidden="true" customHeight="true" outlineLevel="0" collapsed="false"/>
    <row r="415" s="12" customFormat="true" ht="19.5" hidden="true" customHeight="true" outlineLevel="0" collapsed="false"/>
    <row r="416" s="12" customFormat="true" ht="19.5" hidden="true" customHeight="true" outlineLevel="0" collapsed="false"/>
    <row r="417" s="12" customFormat="true" ht="19.5" hidden="true" customHeight="true" outlineLevel="0" collapsed="false"/>
    <row r="418" s="12" customFormat="true" ht="19.5" hidden="false" customHeight="true" outlineLevel="0" collapsed="false"/>
    <row r="419" s="12" customFormat="true" ht="19.5" hidden="false" customHeight="true" outlineLevel="0" collapsed="false"/>
    <row r="420" s="12" customFormat="true" ht="19.5" hidden="true" customHeight="true" outlineLevel="0" collapsed="false"/>
    <row r="421" s="12" customFormat="true" ht="19.5" hidden="true" customHeight="true" outlineLevel="0" collapsed="false"/>
    <row r="422" s="12" customFormat="true" ht="19.5" hidden="false" customHeight="true" outlineLevel="0" collapsed="false"/>
    <row r="423" s="12" customFormat="true" ht="19.5" hidden="true" customHeight="true" outlineLevel="0" collapsed="false"/>
    <row r="424" s="12" customFormat="true" ht="19.5" hidden="true" customHeight="true" outlineLevel="0" collapsed="false"/>
    <row r="425" s="12" customFormat="true" ht="19.5" hidden="true" customHeight="true" outlineLevel="0" collapsed="false"/>
    <row r="426" s="12" customFormat="true" ht="19.5" hidden="true" customHeight="true" outlineLevel="0" collapsed="false"/>
    <row r="427" s="12" customFormat="true" ht="19.5" hidden="true" customHeight="true" outlineLevel="0" collapsed="false"/>
    <row r="428" s="12" customFormat="true" ht="19.5" hidden="true" customHeight="true" outlineLevel="0" collapsed="false"/>
    <row r="429" s="12" customFormat="true" ht="19.5" hidden="true" customHeight="true" outlineLevel="0" collapsed="false"/>
    <row r="430" s="12" customFormat="true" ht="19.5" hidden="false" customHeight="true" outlineLevel="0" collapsed="false"/>
    <row r="431" s="12" customFormat="true" ht="19.5" hidden="true" customHeight="true" outlineLevel="0" collapsed="false"/>
    <row r="432" s="12" customFormat="true" ht="25.5" hidden="true" customHeight="true" outlineLevel="0" collapsed="false"/>
    <row r="433" s="12" customFormat="true" ht="25.5" hidden="true" customHeight="true" outlineLevel="0" collapsed="false"/>
    <row r="434" s="12" customFormat="true" ht="19.5" hidden="true" customHeight="true" outlineLevel="0" collapsed="false"/>
    <row r="435" s="12" customFormat="true" ht="19.5" hidden="false" customHeight="true" outlineLevel="0" collapsed="false"/>
  </sheetData>
  <autoFilter ref="A3:W434">
    <filterColumn colId="6">
      <filters>
        <filter val="20"/>
      </filters>
    </filterColumn>
  </autoFilter>
  <mergeCells count="25">
    <mergeCell ref="A1:K1"/>
    <mergeCell ref="A2:A3"/>
    <mergeCell ref="B2:B3"/>
    <mergeCell ref="C2:C3"/>
    <mergeCell ref="D2:D3"/>
    <mergeCell ref="K2:K3"/>
    <mergeCell ref="L2:L3"/>
    <mergeCell ref="M2:AB2"/>
    <mergeCell ref="U2:U3"/>
    <mergeCell ref="A4:A71"/>
    <mergeCell ref="N4:N72"/>
    <mergeCell ref="O4:O72"/>
    <mergeCell ref="P4:P72"/>
    <mergeCell ref="Q4:Q72"/>
    <mergeCell ref="R4:R72"/>
    <mergeCell ref="S4:S72"/>
    <mergeCell ref="T4:T72"/>
    <mergeCell ref="U4:U72"/>
    <mergeCell ref="V4:V72"/>
    <mergeCell ref="W4:W72"/>
    <mergeCell ref="X4:X72"/>
    <mergeCell ref="Y4:Y72"/>
    <mergeCell ref="Z4:Z72"/>
    <mergeCell ref="AA4:AA72"/>
    <mergeCell ref="AB4:AB7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A14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K2" activeCellId="0" sqref="K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9" width="5.725"/>
    <col collapsed="false" customWidth="true" hidden="false" outlineLevel="0" max="2" min="2" style="19" width="6.63333333333333"/>
    <col collapsed="false" customWidth="true" hidden="false" outlineLevel="0" max="3" min="3" style="19" width="6.81666666666667"/>
    <col collapsed="false" customWidth="true" hidden="false" outlineLevel="0" max="7" min="4" style="19" width="7.81666666666667"/>
    <col collapsed="false" customWidth="true" hidden="false" outlineLevel="0" max="8" min="8" style="19" width="6.0"/>
    <col collapsed="false" customWidth="true" hidden="false" outlineLevel="0" max="9" min="9" style="19" width="7.81666666666667"/>
    <col collapsed="false" customWidth="true" hidden="false" outlineLevel="0" max="10" min="10" style="19" width="7.275"/>
    <col collapsed="false" customWidth="true" hidden="false" outlineLevel="0" max="12" min="11" style="19" width="9.0"/>
    <col collapsed="false" customWidth="true" hidden="false" outlineLevel="0" max="27" min="13" style="19" width="7.81666666666667"/>
    <col collapsed="false" customWidth="true" hidden="false" outlineLevel="0" max="16384" min="28" style="19" width="9.0"/>
  </cols>
  <sheetData>
    <row r="1" customFormat="false" ht="27" hidden="false" customHeight="true" outlineLevel="0" collapsed="false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="22" customFormat="true" ht="19.5" hidden="false" customHeight="true" outlineLevel="0" collapsed="false">
      <c r="A2" s="21" t="s">
        <v>31</v>
      </c>
      <c r="B2" s="21" t="s">
        <v>32</v>
      </c>
      <c r="C2" s="21" t="s">
        <v>33</v>
      </c>
      <c r="D2" s="21" t="s">
        <v>34</v>
      </c>
      <c r="E2" s="21" t="s">
        <v>35</v>
      </c>
      <c r="F2" s="21" t="s">
        <v>36</v>
      </c>
      <c r="G2" s="21" t="s">
        <v>37</v>
      </c>
      <c r="H2" s="21" t="s">
        <v>39</v>
      </c>
      <c r="I2" s="21" t="s">
        <v>38</v>
      </c>
      <c r="J2" s="21" t="s">
        <v>138</v>
      </c>
      <c r="K2" s="21" t="s">
        <v>40</v>
      </c>
      <c r="L2" s="21" t="s">
        <v>6</v>
      </c>
      <c r="M2" s="21" t="s">
        <v>31</v>
      </c>
      <c r="N2" s="21"/>
      <c r="O2" s="21" t="s">
        <v>4</v>
      </c>
      <c r="P2" s="21"/>
      <c r="Q2" s="21"/>
      <c r="R2" s="21"/>
      <c r="S2" s="21"/>
      <c r="T2" s="21"/>
      <c r="U2" s="21"/>
      <c r="V2" s="21"/>
      <c r="W2" s="21"/>
      <c r="X2" s="21"/>
      <c r="Y2" s="21" t="s">
        <v>3</v>
      </c>
      <c r="Z2" s="21" t="s">
        <v>5</v>
      </c>
      <c r="AA2" s="21" t="s">
        <v>6</v>
      </c>
    </row>
    <row r="3" s="22" customFormat="true" ht="19.5" hidden="false" customHeight="true" outlineLevel="0" collapsed="false">
      <c r="A3" s="21"/>
      <c r="B3" s="21"/>
      <c r="C3" s="21"/>
      <c r="D3" s="21"/>
      <c r="E3" s="21" t="s">
        <v>45</v>
      </c>
      <c r="F3" s="21" t="s">
        <v>45</v>
      </c>
      <c r="G3" s="21" t="s">
        <v>45</v>
      </c>
      <c r="H3" s="21"/>
      <c r="I3" s="21" t="s">
        <v>11</v>
      </c>
      <c r="J3" s="21"/>
      <c r="K3" s="21" t="s">
        <v>11</v>
      </c>
      <c r="L3" s="21"/>
      <c r="M3" s="21"/>
      <c r="N3" s="21" t="n">
        <v>10</v>
      </c>
      <c r="O3" s="21" t="n">
        <v>12</v>
      </c>
      <c r="P3" s="21" t="n">
        <v>14</v>
      </c>
      <c r="Q3" s="21" t="n">
        <v>16</v>
      </c>
      <c r="R3" s="21" t="n">
        <v>20</v>
      </c>
      <c r="S3" s="21" t="n">
        <v>24</v>
      </c>
      <c r="T3" s="21" t="n">
        <v>28</v>
      </c>
      <c r="U3" s="21" t="n">
        <v>30</v>
      </c>
      <c r="V3" s="21" t="n">
        <v>40</v>
      </c>
      <c r="W3" s="21" t="n">
        <v>50</v>
      </c>
      <c r="X3" s="21" t="s">
        <v>9</v>
      </c>
      <c r="Y3" s="21"/>
      <c r="Z3" s="21"/>
      <c r="AA3" s="21"/>
    </row>
    <row r="4" s="22" customFormat="true" ht="19.5" hidden="false" customHeight="true" outlineLevel="0" collapsed="false">
      <c r="A4" s="21" t="s">
        <v>139</v>
      </c>
      <c r="B4" s="23" t="s">
        <v>140</v>
      </c>
      <c r="C4" s="21" t="s">
        <v>141</v>
      </c>
      <c r="D4" s="21" t="s">
        <v>142</v>
      </c>
      <c r="E4" s="21"/>
      <c r="F4" s="21"/>
      <c r="G4" s="21"/>
      <c r="H4" s="21"/>
      <c r="I4" s="24"/>
      <c r="J4" s="21"/>
      <c r="K4" s="24"/>
      <c r="L4" s="21"/>
      <c r="M4" s="21"/>
      <c r="N4" s="21"/>
      <c r="O4" s="25" t="n">
        <f aca="false">SUMIF(G4:G22,$O$3,K4:K22)</f>
        <v>0</v>
      </c>
      <c r="P4" s="25" t="n">
        <f aca="false">SUMIF(G4:G22,$P$3,K4:K22)</f>
        <v>0</v>
      </c>
      <c r="Q4" s="25" t="n">
        <f aca="false">SUMIF(G4:G22,$Q$3,K4:K22)</f>
        <v>0</v>
      </c>
      <c r="R4" s="25" t="n">
        <f aca="false">SUMIF(G4:G22,$R$3,K4:K22)</f>
        <v>0</v>
      </c>
      <c r="S4" s="25" t="n">
        <f aca="false">SUMIF(G4:G22,$S$3,K4:K22)</f>
        <v>0</v>
      </c>
      <c r="T4" s="26"/>
      <c r="U4" s="25" t="n">
        <f aca="false">SUMIF(G4:G22,$U$3,K4:K22)</f>
        <v>0</v>
      </c>
      <c r="V4" s="25" t="n">
        <f aca="false">SUMIF(G4:G22,$V$3,K4:K22)</f>
        <v>0</v>
      </c>
      <c r="W4" s="26"/>
      <c r="X4" s="25" t="n">
        <f aca="false">SUM(O4:V23)</f>
        <v>0</v>
      </c>
      <c r="Y4" s="25" t="n">
        <v>141101.8</v>
      </c>
      <c r="Z4" s="25" t="n">
        <f aca="false">X4-Y4</f>
        <v>-141101.8</v>
      </c>
      <c r="AA4" s="21"/>
    </row>
    <row r="5" s="22" customFormat="true" ht="19.5" hidden="false" customHeight="true" outlineLevel="0" collapsed="false">
      <c r="A5" s="21"/>
      <c r="B5" s="21"/>
      <c r="C5" s="21" t="s">
        <v>143</v>
      </c>
      <c r="D5" s="21" t="s">
        <v>142</v>
      </c>
      <c r="E5" s="21"/>
      <c r="F5" s="21"/>
      <c r="G5" s="21"/>
      <c r="H5" s="21"/>
      <c r="I5" s="24"/>
      <c r="J5" s="21"/>
      <c r="K5" s="24"/>
      <c r="L5" s="21"/>
      <c r="M5" s="21"/>
      <c r="N5" s="21"/>
      <c r="O5" s="21"/>
      <c r="P5" s="21"/>
      <c r="Q5" s="21"/>
      <c r="R5" s="21"/>
      <c r="S5" s="21"/>
      <c r="T5" s="27"/>
      <c r="U5" s="25"/>
      <c r="V5" s="25"/>
      <c r="W5" s="27"/>
      <c r="X5" s="25"/>
      <c r="Y5" s="25"/>
      <c r="Z5" s="25"/>
      <c r="AA5" s="25"/>
    </row>
    <row r="6" s="22" customFormat="true" ht="19.5" hidden="false" customHeight="true" outlineLevel="0" collapsed="false">
      <c r="A6" s="21"/>
      <c r="B6" s="21"/>
      <c r="C6" s="21" t="s">
        <v>144</v>
      </c>
      <c r="D6" s="21" t="s">
        <v>142</v>
      </c>
      <c r="E6" s="21"/>
      <c r="F6" s="21"/>
      <c r="G6" s="21"/>
      <c r="H6" s="21"/>
      <c r="I6" s="24"/>
      <c r="J6" s="21"/>
      <c r="K6" s="24"/>
      <c r="L6" s="21"/>
      <c r="M6" s="21"/>
      <c r="N6" s="21"/>
      <c r="O6" s="21"/>
      <c r="P6" s="21"/>
      <c r="Q6" s="21"/>
      <c r="R6" s="21"/>
      <c r="S6" s="21"/>
      <c r="T6" s="27"/>
      <c r="U6" s="25"/>
      <c r="V6" s="25"/>
      <c r="W6" s="27"/>
      <c r="X6" s="25"/>
      <c r="Y6" s="25"/>
      <c r="Z6" s="25"/>
      <c r="AA6" s="25"/>
    </row>
    <row r="7" s="22" customFormat="true" ht="19.5" hidden="false" customHeight="true" outlineLevel="0" collapsed="false">
      <c r="A7" s="21"/>
      <c r="B7" s="21"/>
      <c r="C7" s="21" t="s">
        <v>145</v>
      </c>
      <c r="D7" s="21" t="s">
        <v>142</v>
      </c>
      <c r="E7" s="21"/>
      <c r="F7" s="21"/>
      <c r="G7" s="21"/>
      <c r="H7" s="21"/>
      <c r="I7" s="24"/>
      <c r="J7" s="21"/>
      <c r="K7" s="24"/>
      <c r="L7" s="21"/>
      <c r="M7" s="21"/>
      <c r="N7" s="21"/>
      <c r="O7" s="21"/>
      <c r="P7" s="21"/>
      <c r="Q7" s="21"/>
      <c r="R7" s="21"/>
      <c r="S7" s="21"/>
      <c r="T7" s="27"/>
      <c r="U7" s="25"/>
      <c r="V7" s="25"/>
      <c r="W7" s="27"/>
      <c r="X7" s="25"/>
      <c r="Y7" s="25"/>
      <c r="Z7" s="25"/>
      <c r="AA7" s="25"/>
    </row>
    <row r="8" s="22" customFormat="true" ht="19.5" hidden="false" customHeight="true" outlineLevel="0" collapsed="false">
      <c r="A8" s="21"/>
      <c r="B8" s="21"/>
      <c r="C8" s="21" t="s">
        <v>146</v>
      </c>
      <c r="D8" s="21" t="s">
        <v>142</v>
      </c>
      <c r="E8" s="21"/>
      <c r="F8" s="21"/>
      <c r="G8" s="21"/>
      <c r="H8" s="21"/>
      <c r="I8" s="24"/>
      <c r="J8" s="21"/>
      <c r="K8" s="24"/>
      <c r="L8" s="21"/>
      <c r="M8" s="21"/>
      <c r="N8" s="21"/>
      <c r="O8" s="21"/>
      <c r="P8" s="21"/>
      <c r="Q8" s="21"/>
      <c r="R8" s="21"/>
      <c r="S8" s="21"/>
      <c r="T8" s="27"/>
      <c r="U8" s="25"/>
      <c r="V8" s="25"/>
      <c r="W8" s="27"/>
      <c r="X8" s="25"/>
      <c r="Y8" s="25"/>
      <c r="Z8" s="25"/>
      <c r="AA8" s="25"/>
    </row>
    <row r="9" s="22" customFormat="true" ht="19.5" hidden="false" customHeight="true" outlineLevel="0" collapsed="false">
      <c r="A9" s="21"/>
      <c r="B9" s="21"/>
      <c r="C9" s="21" t="s">
        <v>147</v>
      </c>
      <c r="D9" s="21" t="s">
        <v>142</v>
      </c>
      <c r="E9" s="21"/>
      <c r="F9" s="21"/>
      <c r="G9" s="21"/>
      <c r="H9" s="21"/>
      <c r="I9" s="24"/>
      <c r="J9" s="21"/>
      <c r="K9" s="24"/>
      <c r="L9" s="21"/>
      <c r="M9" s="21"/>
      <c r="N9" s="21"/>
      <c r="O9" s="21"/>
      <c r="P9" s="21"/>
      <c r="Q9" s="21"/>
      <c r="R9" s="21"/>
      <c r="S9" s="21"/>
      <c r="T9" s="27"/>
      <c r="U9" s="25"/>
      <c r="V9" s="25"/>
      <c r="W9" s="27"/>
      <c r="X9" s="25"/>
      <c r="Y9" s="25"/>
      <c r="Z9" s="25"/>
      <c r="AA9" s="25"/>
    </row>
    <row r="10" s="22" customFormat="true" ht="19.5" hidden="false" customHeight="true" outlineLevel="0" collapsed="false">
      <c r="A10" s="21"/>
      <c r="B10" s="21"/>
      <c r="C10" s="21" t="s">
        <v>148</v>
      </c>
      <c r="D10" s="21" t="s">
        <v>142</v>
      </c>
      <c r="E10" s="21"/>
      <c r="F10" s="21"/>
      <c r="G10" s="21"/>
      <c r="H10" s="21"/>
      <c r="I10" s="24"/>
      <c r="J10" s="21"/>
      <c r="K10" s="24"/>
      <c r="L10" s="21"/>
      <c r="M10" s="21"/>
      <c r="N10" s="21"/>
      <c r="O10" s="21"/>
      <c r="P10" s="21"/>
      <c r="Q10" s="21"/>
      <c r="R10" s="21"/>
      <c r="S10" s="21"/>
      <c r="T10" s="27"/>
      <c r="U10" s="25"/>
      <c r="V10" s="25"/>
      <c r="W10" s="27"/>
      <c r="X10" s="25"/>
      <c r="Y10" s="25"/>
      <c r="Z10" s="25"/>
      <c r="AA10" s="25"/>
    </row>
    <row r="11" s="22" customFormat="true" ht="19.5" hidden="false" customHeight="true" outlineLevel="0" collapsed="false">
      <c r="A11" s="21"/>
      <c r="B11" s="21"/>
      <c r="C11" s="21" t="s">
        <v>149</v>
      </c>
      <c r="D11" s="21" t="s">
        <v>142</v>
      </c>
      <c r="E11" s="21"/>
      <c r="F11" s="21"/>
      <c r="G11" s="21"/>
      <c r="H11" s="21"/>
      <c r="I11" s="24"/>
      <c r="J11" s="21"/>
      <c r="K11" s="24"/>
      <c r="L11" s="21"/>
      <c r="M11" s="21"/>
      <c r="N11" s="21"/>
      <c r="O11" s="21"/>
      <c r="P11" s="21"/>
      <c r="Q11" s="21"/>
      <c r="R11" s="21"/>
      <c r="S11" s="21"/>
      <c r="T11" s="27"/>
      <c r="U11" s="25"/>
      <c r="V11" s="25"/>
      <c r="W11" s="27"/>
      <c r="X11" s="25"/>
      <c r="Y11" s="25"/>
      <c r="Z11" s="25"/>
      <c r="AA11" s="25"/>
    </row>
    <row r="12" s="22" customFormat="true" ht="19.5" hidden="false" customHeight="true" outlineLevel="0" collapsed="false">
      <c r="A12" s="21"/>
      <c r="B12" s="21"/>
      <c r="C12" s="21" t="s">
        <v>150</v>
      </c>
      <c r="D12" s="21" t="s">
        <v>142</v>
      </c>
      <c r="E12" s="21"/>
      <c r="F12" s="21"/>
      <c r="G12" s="21"/>
      <c r="H12" s="21"/>
      <c r="I12" s="24"/>
      <c r="J12" s="21"/>
      <c r="K12" s="24"/>
      <c r="L12" s="21"/>
      <c r="M12" s="21"/>
      <c r="N12" s="21"/>
      <c r="O12" s="21"/>
      <c r="P12" s="21"/>
      <c r="Q12" s="21"/>
      <c r="R12" s="21"/>
      <c r="S12" s="21"/>
      <c r="T12" s="27"/>
      <c r="U12" s="25"/>
      <c r="V12" s="25"/>
      <c r="W12" s="27"/>
      <c r="X12" s="25"/>
      <c r="Y12" s="25"/>
      <c r="Z12" s="25"/>
      <c r="AA12" s="25"/>
    </row>
    <row r="13" s="22" customFormat="true" ht="19.5" hidden="false" customHeight="true" outlineLevel="0" collapsed="false">
      <c r="A13" s="21"/>
      <c r="B13" s="21"/>
      <c r="C13" s="21" t="s">
        <v>151</v>
      </c>
      <c r="D13" s="21" t="s">
        <v>142</v>
      </c>
      <c r="E13" s="21"/>
      <c r="F13" s="21"/>
      <c r="G13" s="21"/>
      <c r="H13" s="21"/>
      <c r="I13" s="24"/>
      <c r="J13" s="21"/>
      <c r="K13" s="24"/>
      <c r="L13" s="21"/>
      <c r="M13" s="21"/>
      <c r="N13" s="21"/>
      <c r="O13" s="21"/>
      <c r="P13" s="21"/>
      <c r="Q13" s="21"/>
      <c r="R13" s="21"/>
      <c r="S13" s="21"/>
      <c r="T13" s="27"/>
      <c r="U13" s="25"/>
      <c r="V13" s="25"/>
      <c r="W13" s="27"/>
      <c r="X13" s="25"/>
      <c r="Y13" s="25"/>
      <c r="Z13" s="25"/>
      <c r="AA13" s="25"/>
    </row>
    <row r="14" s="22" customFormat="true" ht="19.5" hidden="false" customHeight="true" outlineLevel="0" collapsed="false">
      <c r="A14" s="21"/>
      <c r="B14" s="21"/>
      <c r="C14" s="21" t="s">
        <v>152</v>
      </c>
      <c r="D14" s="21" t="s">
        <v>142</v>
      </c>
      <c r="E14" s="21"/>
      <c r="F14" s="21"/>
      <c r="G14" s="21"/>
      <c r="H14" s="21"/>
      <c r="I14" s="24"/>
      <c r="J14" s="21"/>
      <c r="K14" s="24"/>
      <c r="L14" s="21"/>
      <c r="M14" s="21"/>
      <c r="N14" s="21"/>
      <c r="O14" s="21"/>
      <c r="P14" s="21"/>
      <c r="Q14" s="21"/>
      <c r="R14" s="21"/>
      <c r="S14" s="21"/>
      <c r="T14" s="27"/>
      <c r="U14" s="25"/>
      <c r="V14" s="25"/>
      <c r="W14" s="27"/>
      <c r="X14" s="25"/>
      <c r="Y14" s="25"/>
      <c r="Z14" s="25"/>
      <c r="AA14" s="25"/>
    </row>
    <row r="15" s="22" customFormat="true" ht="19.5" hidden="false" customHeight="true" outlineLevel="0" collapsed="false">
      <c r="A15" s="21"/>
      <c r="B15" s="21"/>
      <c r="C15" s="21" t="s">
        <v>153</v>
      </c>
      <c r="D15" s="21" t="s">
        <v>142</v>
      </c>
      <c r="E15" s="21"/>
      <c r="F15" s="21"/>
      <c r="G15" s="21"/>
      <c r="H15" s="21"/>
      <c r="I15" s="24"/>
      <c r="J15" s="21"/>
      <c r="K15" s="24"/>
      <c r="L15" s="21"/>
      <c r="M15" s="21"/>
      <c r="N15" s="21"/>
      <c r="O15" s="21"/>
      <c r="P15" s="21"/>
      <c r="Q15" s="21"/>
      <c r="R15" s="21"/>
      <c r="S15" s="21"/>
      <c r="T15" s="27"/>
      <c r="U15" s="25"/>
      <c r="V15" s="25"/>
      <c r="W15" s="27"/>
      <c r="X15" s="25"/>
      <c r="Y15" s="25"/>
      <c r="Z15" s="25"/>
      <c r="AA15" s="25"/>
    </row>
    <row r="16" s="22" customFormat="true" ht="19.5" hidden="false" customHeight="true" outlineLevel="0" collapsed="false">
      <c r="A16" s="21"/>
      <c r="B16" s="21"/>
      <c r="C16" s="21" t="s">
        <v>154</v>
      </c>
      <c r="D16" s="21" t="s">
        <v>142</v>
      </c>
      <c r="E16" s="21"/>
      <c r="F16" s="21"/>
      <c r="G16" s="21"/>
      <c r="H16" s="21"/>
      <c r="I16" s="24"/>
      <c r="J16" s="21"/>
      <c r="K16" s="24"/>
      <c r="L16" s="21"/>
      <c r="M16" s="21"/>
      <c r="N16" s="21"/>
      <c r="O16" s="21"/>
      <c r="P16" s="21"/>
      <c r="Q16" s="21"/>
      <c r="R16" s="21"/>
      <c r="S16" s="21"/>
      <c r="T16" s="27"/>
      <c r="U16" s="25"/>
      <c r="V16" s="25"/>
      <c r="W16" s="27"/>
      <c r="X16" s="25"/>
      <c r="Y16" s="25"/>
      <c r="Z16" s="25"/>
      <c r="AA16" s="25"/>
    </row>
    <row r="17" s="22" customFormat="true" ht="19.5" hidden="false" customHeight="true" outlineLevel="0" collapsed="false">
      <c r="A17" s="21"/>
      <c r="B17" s="21"/>
      <c r="C17" s="21" t="s">
        <v>155</v>
      </c>
      <c r="D17" s="21" t="s">
        <v>142</v>
      </c>
      <c r="E17" s="21"/>
      <c r="F17" s="21"/>
      <c r="G17" s="21"/>
      <c r="H17" s="21"/>
      <c r="I17" s="24"/>
      <c r="J17" s="21"/>
      <c r="K17" s="24"/>
      <c r="L17" s="21"/>
      <c r="M17" s="21"/>
      <c r="N17" s="21"/>
      <c r="O17" s="21"/>
      <c r="P17" s="21"/>
      <c r="Q17" s="21"/>
      <c r="R17" s="21"/>
      <c r="S17" s="21"/>
      <c r="T17" s="27"/>
      <c r="U17" s="25"/>
      <c r="V17" s="25"/>
      <c r="W17" s="27"/>
      <c r="X17" s="25"/>
      <c r="Y17" s="25"/>
      <c r="Z17" s="25"/>
      <c r="AA17" s="25"/>
    </row>
    <row r="18" s="22" customFormat="true" ht="19.5" hidden="true" customHeight="true" outlineLevel="0" collapsed="false">
      <c r="A18" s="21"/>
      <c r="B18" s="21"/>
      <c r="C18" s="21" t="s">
        <v>156</v>
      </c>
      <c r="D18" s="21" t="s">
        <v>142</v>
      </c>
      <c r="E18" s="21"/>
      <c r="F18" s="21"/>
      <c r="G18" s="21"/>
      <c r="H18" s="21"/>
      <c r="I18" s="24"/>
      <c r="J18" s="21"/>
      <c r="K18" s="24"/>
      <c r="L18" s="21"/>
      <c r="M18" s="21"/>
      <c r="N18" s="21"/>
      <c r="O18" s="21"/>
      <c r="P18" s="21"/>
      <c r="Q18" s="21"/>
      <c r="R18" s="21"/>
      <c r="S18" s="21"/>
      <c r="T18" s="27"/>
      <c r="U18" s="25"/>
      <c r="V18" s="25"/>
      <c r="W18" s="27"/>
      <c r="X18" s="25"/>
      <c r="Y18" s="25"/>
      <c r="Z18" s="25"/>
      <c r="AA18" s="25"/>
    </row>
    <row r="19" s="22" customFormat="true" ht="19.5" hidden="true" customHeight="true" outlineLevel="0" collapsed="false">
      <c r="A19" s="21"/>
      <c r="B19" s="21"/>
      <c r="C19" s="21" t="s">
        <v>157</v>
      </c>
      <c r="D19" s="21" t="s">
        <v>142</v>
      </c>
      <c r="E19" s="21"/>
      <c r="F19" s="21"/>
      <c r="G19" s="21"/>
      <c r="H19" s="21"/>
      <c r="I19" s="24"/>
      <c r="J19" s="21"/>
      <c r="K19" s="24"/>
      <c r="L19" s="21"/>
      <c r="M19" s="21"/>
      <c r="N19" s="21"/>
      <c r="O19" s="21"/>
      <c r="P19" s="21"/>
      <c r="Q19" s="21"/>
      <c r="R19" s="21"/>
      <c r="S19" s="21"/>
      <c r="T19" s="27"/>
      <c r="U19" s="25"/>
      <c r="V19" s="25"/>
      <c r="W19" s="27"/>
      <c r="X19" s="25"/>
      <c r="Y19" s="25"/>
      <c r="Z19" s="25"/>
      <c r="AA19" s="25"/>
    </row>
    <row r="20" s="22" customFormat="true" ht="19.5" hidden="true" customHeight="true" outlineLevel="0" collapsed="false">
      <c r="A20" s="21"/>
      <c r="B20" s="21"/>
      <c r="C20" s="21" t="s">
        <v>158</v>
      </c>
      <c r="D20" s="21" t="s">
        <v>142</v>
      </c>
      <c r="E20" s="21"/>
      <c r="F20" s="21"/>
      <c r="G20" s="21"/>
      <c r="H20" s="28"/>
      <c r="I20" s="24"/>
      <c r="J20" s="21"/>
      <c r="K20" s="24"/>
      <c r="L20" s="21"/>
      <c r="M20" s="21"/>
      <c r="N20" s="21"/>
      <c r="O20" s="21"/>
      <c r="P20" s="21"/>
      <c r="Q20" s="21"/>
      <c r="R20" s="21"/>
      <c r="S20" s="21"/>
      <c r="T20" s="27"/>
      <c r="U20" s="25"/>
      <c r="V20" s="25"/>
      <c r="W20" s="27"/>
      <c r="X20" s="25"/>
      <c r="Y20" s="25"/>
      <c r="Z20" s="25"/>
      <c r="AA20" s="25"/>
    </row>
    <row r="21" s="22" customFormat="true" ht="19.5" hidden="false" customHeight="true" outlineLevel="0" collapsed="false">
      <c r="A21" s="21"/>
      <c r="B21" s="21"/>
      <c r="C21" s="21" t="s">
        <v>159</v>
      </c>
      <c r="D21" s="21" t="s">
        <v>142</v>
      </c>
      <c r="E21" s="21"/>
      <c r="F21" s="21"/>
      <c r="G21" s="21"/>
      <c r="H21" s="21"/>
      <c r="I21" s="24"/>
      <c r="J21" s="21"/>
      <c r="K21" s="24"/>
      <c r="L21" s="21"/>
      <c r="M21" s="21"/>
      <c r="N21" s="21"/>
      <c r="O21" s="21"/>
      <c r="P21" s="21"/>
      <c r="Q21" s="21"/>
      <c r="R21" s="21"/>
      <c r="S21" s="21"/>
      <c r="T21" s="27"/>
      <c r="U21" s="25"/>
      <c r="V21" s="25"/>
      <c r="W21" s="27"/>
      <c r="X21" s="25"/>
      <c r="Y21" s="25"/>
      <c r="Z21" s="25"/>
      <c r="AA21" s="25"/>
    </row>
    <row r="22" s="22" customFormat="true" ht="19.5" hidden="false" customHeight="true" outlineLevel="0" collapsed="false">
      <c r="A22" s="21"/>
      <c r="B22" s="21"/>
      <c r="C22" s="21" t="s">
        <v>160</v>
      </c>
      <c r="D22" s="21" t="s">
        <v>142</v>
      </c>
      <c r="E22" s="21"/>
      <c r="F22" s="21"/>
      <c r="G22" s="21"/>
      <c r="H22" s="21"/>
      <c r="I22" s="24"/>
      <c r="J22" s="21"/>
      <c r="K22" s="24"/>
      <c r="L22" s="21"/>
      <c r="M22" s="21"/>
      <c r="N22" s="21"/>
      <c r="O22" s="21"/>
      <c r="P22" s="21"/>
      <c r="Q22" s="21"/>
      <c r="R22" s="21"/>
      <c r="S22" s="21"/>
      <c r="T22" s="27"/>
      <c r="U22" s="25"/>
      <c r="V22" s="25"/>
      <c r="W22" s="27"/>
      <c r="X22" s="25"/>
      <c r="Y22" s="25"/>
      <c r="Z22" s="25"/>
      <c r="AA22" s="25"/>
    </row>
    <row r="23" s="22" customFormat="true" ht="19.5" hidden="true" customHeight="true" outlineLevel="0" collapsed="false">
      <c r="A23" s="21"/>
      <c r="B23" s="21" t="s">
        <v>137</v>
      </c>
      <c r="C23" s="21"/>
      <c r="D23" s="21"/>
      <c r="E23" s="21"/>
      <c r="F23" s="21"/>
      <c r="G23" s="21"/>
      <c r="H23" s="21"/>
      <c r="I23" s="29"/>
      <c r="J23" s="21"/>
      <c r="K23" s="24"/>
      <c r="L23" s="21"/>
      <c r="M23" s="21"/>
      <c r="N23" s="21"/>
      <c r="O23" s="21"/>
      <c r="P23" s="21"/>
      <c r="Q23" s="21"/>
      <c r="R23" s="21"/>
      <c r="S23" s="21"/>
      <c r="T23" s="30"/>
      <c r="U23" s="25"/>
      <c r="V23" s="25"/>
      <c r="W23" s="30"/>
      <c r="X23" s="25"/>
      <c r="Y23" s="25"/>
      <c r="Z23" s="25"/>
      <c r="AA23" s="25"/>
    </row>
    <row r="24" s="22" customFormat="true" ht="19.5" hidden="false" customHeight="true" outlineLevel="0" collapsed="false">
      <c r="A24" s="21" t="s">
        <v>139</v>
      </c>
      <c r="B24" s="23" t="s">
        <v>161</v>
      </c>
      <c r="C24" s="21" t="s">
        <v>162</v>
      </c>
      <c r="D24" s="21" t="s">
        <v>142</v>
      </c>
      <c r="E24" s="21"/>
      <c r="F24" s="21"/>
      <c r="G24" s="21"/>
      <c r="H24" s="21"/>
      <c r="I24" s="24"/>
      <c r="J24" s="21"/>
      <c r="K24" s="24"/>
      <c r="L24" s="21"/>
      <c r="M24" s="31"/>
      <c r="N24" s="31"/>
      <c r="O24" s="31"/>
      <c r="P24" s="31"/>
      <c r="Q24" s="31" t="n">
        <f aca="false">K27+K28</f>
        <v>0</v>
      </c>
      <c r="R24" s="31" t="n">
        <f aca="false">K24+K25</f>
        <v>0</v>
      </c>
      <c r="S24" s="31"/>
      <c r="T24" s="32"/>
      <c r="U24" s="31"/>
      <c r="V24" s="31"/>
      <c r="W24" s="32"/>
      <c r="X24" s="31" t="n">
        <f aca="false">SUM(N24:V24)</f>
        <v>0</v>
      </c>
      <c r="Y24" s="31" t="n">
        <v>1532.1</v>
      </c>
      <c r="Z24" s="30" t="n">
        <f aca="false">X24-Y24</f>
        <v>-1532.1</v>
      </c>
      <c r="AA24" s="31"/>
    </row>
    <row r="25" s="22" customFormat="true" ht="19.5" hidden="false" customHeight="true" outlineLevel="0" collapsed="false">
      <c r="A25" s="21"/>
      <c r="B25" s="21"/>
      <c r="C25" s="21" t="s">
        <v>163</v>
      </c>
      <c r="D25" s="21" t="s">
        <v>142</v>
      </c>
      <c r="E25" s="21"/>
      <c r="F25" s="21"/>
      <c r="G25" s="21"/>
      <c r="H25" s="21"/>
      <c r="I25" s="24"/>
      <c r="J25" s="21"/>
      <c r="K25" s="24"/>
      <c r="L25" s="21"/>
      <c r="M25" s="31"/>
      <c r="N25" s="31"/>
      <c r="O25" s="31"/>
      <c r="P25" s="31"/>
      <c r="Q25" s="31"/>
      <c r="R25" s="31"/>
      <c r="S25" s="31"/>
      <c r="T25" s="32"/>
      <c r="U25" s="31"/>
      <c r="V25" s="31"/>
      <c r="W25" s="32"/>
      <c r="X25" s="31"/>
      <c r="Y25" s="31"/>
      <c r="Z25" s="31"/>
      <c r="AA25" s="31"/>
    </row>
    <row r="26" s="22" customFormat="true" ht="19.5" hidden="true" customHeight="true" outlineLevel="0" collapsed="false">
      <c r="A26" s="21"/>
      <c r="B26" s="21"/>
      <c r="C26" s="21" t="s">
        <v>164</v>
      </c>
      <c r="D26" s="21" t="s">
        <v>142</v>
      </c>
      <c r="E26" s="21"/>
      <c r="F26" s="21"/>
      <c r="G26" s="21"/>
      <c r="H26" s="21"/>
      <c r="I26" s="24"/>
      <c r="J26" s="21"/>
      <c r="K26" s="24"/>
      <c r="L26" s="21"/>
      <c r="M26" s="31"/>
      <c r="N26" s="31"/>
      <c r="O26" s="31"/>
      <c r="P26" s="31"/>
      <c r="Q26" s="31"/>
      <c r="R26" s="31"/>
      <c r="S26" s="31"/>
      <c r="T26" s="32"/>
      <c r="U26" s="31"/>
      <c r="V26" s="31"/>
      <c r="W26" s="32"/>
      <c r="X26" s="31"/>
      <c r="Y26" s="31"/>
      <c r="Z26" s="31"/>
      <c r="AA26" s="31"/>
    </row>
    <row r="27" s="22" customFormat="true" ht="19.5" hidden="true" customHeight="true" outlineLevel="0" collapsed="false">
      <c r="A27" s="21"/>
      <c r="B27" s="21"/>
      <c r="C27" s="21" t="s">
        <v>165</v>
      </c>
      <c r="D27" s="21" t="s">
        <v>142</v>
      </c>
      <c r="E27" s="21"/>
      <c r="F27" s="21"/>
      <c r="G27" s="21"/>
      <c r="H27" s="21"/>
      <c r="I27" s="24"/>
      <c r="J27" s="21"/>
      <c r="K27" s="24"/>
      <c r="L27" s="21"/>
      <c r="M27" s="31"/>
      <c r="N27" s="31"/>
      <c r="O27" s="31"/>
      <c r="P27" s="31"/>
      <c r="Q27" s="31"/>
      <c r="R27" s="31"/>
      <c r="S27" s="31"/>
      <c r="T27" s="32"/>
      <c r="U27" s="31"/>
      <c r="V27" s="31"/>
      <c r="W27" s="32"/>
      <c r="X27" s="31"/>
      <c r="Y27" s="31"/>
      <c r="Z27" s="31"/>
      <c r="AA27" s="31"/>
    </row>
    <row r="28" s="22" customFormat="true" ht="19.5" hidden="true" customHeight="true" outlineLevel="0" collapsed="false">
      <c r="A28" s="21"/>
      <c r="B28" s="21"/>
      <c r="C28" s="21" t="s">
        <v>166</v>
      </c>
      <c r="D28" s="21" t="s">
        <v>142</v>
      </c>
      <c r="E28" s="21"/>
      <c r="F28" s="21"/>
      <c r="G28" s="21"/>
      <c r="H28" s="28"/>
      <c r="I28" s="24"/>
      <c r="J28" s="21"/>
      <c r="K28" s="24"/>
      <c r="L28" s="21"/>
      <c r="M28" s="31"/>
      <c r="N28" s="31"/>
      <c r="O28" s="31"/>
      <c r="P28" s="31"/>
      <c r="Q28" s="31"/>
      <c r="R28" s="31"/>
      <c r="S28" s="31"/>
      <c r="T28" s="32"/>
      <c r="U28" s="31"/>
      <c r="V28" s="31"/>
      <c r="W28" s="32"/>
      <c r="X28" s="31"/>
      <c r="Y28" s="31"/>
      <c r="Z28" s="31"/>
      <c r="AA28" s="31"/>
    </row>
    <row r="29" s="22" customFormat="true" ht="19.5" hidden="true" customHeight="true" outlineLevel="0" collapsed="false">
      <c r="A29" s="21"/>
      <c r="B29" s="21" t="s">
        <v>137</v>
      </c>
      <c r="C29" s="21"/>
      <c r="D29" s="21"/>
      <c r="E29" s="21"/>
      <c r="F29" s="21"/>
      <c r="G29" s="21"/>
      <c r="H29" s="21"/>
      <c r="I29" s="29"/>
      <c r="J29" s="21"/>
      <c r="K29" s="24"/>
      <c r="L29" s="2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="22" customFormat="true" ht="19.5" hidden="false" customHeight="true" outlineLevel="0" collapsed="false">
      <c r="A30" s="21" t="s">
        <v>139</v>
      </c>
      <c r="B30" s="23" t="s">
        <v>167</v>
      </c>
      <c r="C30" s="21" t="s">
        <v>141</v>
      </c>
      <c r="D30" s="21" t="s">
        <v>142</v>
      </c>
      <c r="E30" s="21"/>
      <c r="F30" s="21"/>
      <c r="G30" s="21"/>
      <c r="H30" s="21"/>
      <c r="I30" s="24"/>
      <c r="J30" s="21"/>
      <c r="K30" s="24"/>
      <c r="L30" s="21"/>
      <c r="M30" s="31"/>
      <c r="N30" s="31"/>
      <c r="O30" s="31"/>
      <c r="P30" s="31"/>
      <c r="Q30" s="31" t="n">
        <f aca="false">K33+K34</f>
        <v>0</v>
      </c>
      <c r="R30" s="31" t="n">
        <f aca="false">K30+K31</f>
        <v>0</v>
      </c>
      <c r="S30" s="31"/>
      <c r="T30" s="32"/>
      <c r="U30" s="31"/>
      <c r="V30" s="31"/>
      <c r="W30" s="32"/>
      <c r="X30" s="31" t="n">
        <f aca="false">SUM(N30:V30)</f>
        <v>0</v>
      </c>
      <c r="Y30" s="31" t="n">
        <v>1387.5</v>
      </c>
      <c r="Z30" s="30" t="n">
        <f aca="false">X30-Y30</f>
        <v>-1387.5</v>
      </c>
      <c r="AA30" s="31"/>
    </row>
    <row r="31" s="22" customFormat="true" ht="19.5" hidden="false" customHeight="true" outlineLevel="0" collapsed="false">
      <c r="A31" s="21"/>
      <c r="B31" s="21"/>
      <c r="C31" s="21" t="s">
        <v>143</v>
      </c>
      <c r="D31" s="21" t="s">
        <v>142</v>
      </c>
      <c r="E31" s="21"/>
      <c r="F31" s="21"/>
      <c r="G31" s="21"/>
      <c r="H31" s="21"/>
      <c r="I31" s="24"/>
      <c r="J31" s="21"/>
      <c r="K31" s="24"/>
      <c r="L31" s="21"/>
      <c r="M31" s="31"/>
      <c r="N31" s="31"/>
      <c r="O31" s="31"/>
      <c r="P31" s="31"/>
      <c r="Q31" s="31"/>
      <c r="R31" s="31"/>
      <c r="S31" s="31"/>
      <c r="T31" s="32"/>
      <c r="U31" s="31"/>
      <c r="V31" s="31"/>
      <c r="W31" s="32"/>
      <c r="X31" s="31"/>
      <c r="Y31" s="31"/>
      <c r="Z31" s="31"/>
      <c r="AA31" s="31"/>
    </row>
    <row r="32" s="22" customFormat="true" ht="19.5" hidden="true" customHeight="true" outlineLevel="0" collapsed="false">
      <c r="A32" s="21"/>
      <c r="B32" s="21"/>
      <c r="C32" s="21" t="s">
        <v>144</v>
      </c>
      <c r="D32" s="21" t="s">
        <v>142</v>
      </c>
      <c r="E32" s="21"/>
      <c r="F32" s="21"/>
      <c r="G32" s="21"/>
      <c r="H32" s="21"/>
      <c r="I32" s="24"/>
      <c r="J32" s="21"/>
      <c r="K32" s="24"/>
      <c r="L32" s="21"/>
      <c r="M32" s="31"/>
      <c r="N32" s="31"/>
      <c r="O32" s="31"/>
      <c r="P32" s="31"/>
      <c r="Q32" s="31"/>
      <c r="R32" s="31"/>
      <c r="S32" s="31"/>
      <c r="T32" s="32"/>
      <c r="U32" s="31"/>
      <c r="V32" s="31"/>
      <c r="W32" s="32"/>
      <c r="X32" s="31"/>
      <c r="Y32" s="31"/>
      <c r="Z32" s="31"/>
      <c r="AA32" s="31"/>
    </row>
    <row r="33" s="22" customFormat="true" ht="19.5" hidden="true" customHeight="true" outlineLevel="0" collapsed="false">
      <c r="A33" s="21"/>
      <c r="B33" s="21"/>
      <c r="C33" s="21" t="s">
        <v>154</v>
      </c>
      <c r="D33" s="21" t="s">
        <v>142</v>
      </c>
      <c r="E33" s="21"/>
      <c r="F33" s="21"/>
      <c r="G33" s="21"/>
      <c r="H33" s="21"/>
      <c r="I33" s="24"/>
      <c r="J33" s="21"/>
      <c r="K33" s="24"/>
      <c r="L33" s="21"/>
      <c r="M33" s="31"/>
      <c r="N33" s="31"/>
      <c r="O33" s="31"/>
      <c r="P33" s="31"/>
      <c r="Q33" s="31"/>
      <c r="R33" s="31"/>
      <c r="S33" s="31"/>
      <c r="T33" s="32"/>
      <c r="U33" s="31"/>
      <c r="V33" s="31"/>
      <c r="W33" s="32"/>
      <c r="X33" s="31"/>
      <c r="Y33" s="31"/>
      <c r="Z33" s="31"/>
      <c r="AA33" s="31"/>
    </row>
    <row r="34" s="22" customFormat="true" ht="19.5" hidden="true" customHeight="true" outlineLevel="0" collapsed="false">
      <c r="A34" s="21"/>
      <c r="B34" s="21"/>
      <c r="C34" s="21" t="s">
        <v>168</v>
      </c>
      <c r="D34" s="21" t="s">
        <v>142</v>
      </c>
      <c r="E34" s="21"/>
      <c r="F34" s="21"/>
      <c r="G34" s="21"/>
      <c r="H34" s="28"/>
      <c r="I34" s="24"/>
      <c r="J34" s="21"/>
      <c r="K34" s="24"/>
      <c r="L34" s="21"/>
      <c r="M34" s="31"/>
      <c r="N34" s="31"/>
      <c r="O34" s="31"/>
      <c r="P34" s="31"/>
      <c r="Q34" s="31"/>
      <c r="R34" s="31"/>
      <c r="S34" s="31"/>
      <c r="T34" s="32"/>
      <c r="U34" s="31"/>
      <c r="V34" s="31"/>
      <c r="W34" s="32"/>
      <c r="X34" s="31"/>
      <c r="Y34" s="31"/>
      <c r="Z34" s="31"/>
      <c r="AA34" s="31"/>
    </row>
    <row r="35" s="22" customFormat="true" ht="19.5" hidden="true" customHeight="true" outlineLevel="0" collapsed="false">
      <c r="A35" s="21"/>
      <c r="B35" s="21" t="s">
        <v>137</v>
      </c>
      <c r="C35" s="21"/>
      <c r="D35" s="21"/>
      <c r="E35" s="21"/>
      <c r="F35" s="21"/>
      <c r="G35" s="21"/>
      <c r="H35" s="21"/>
      <c r="I35" s="29"/>
      <c r="J35" s="21"/>
      <c r="K35" s="24"/>
      <c r="L35" s="2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="22" customFormat="true" ht="19.5" hidden="false" customHeight="true" outlineLevel="0" collapsed="false">
      <c r="A36" s="21" t="s">
        <v>139</v>
      </c>
      <c r="B36" s="23" t="s">
        <v>169</v>
      </c>
      <c r="C36" s="21" t="s">
        <v>170</v>
      </c>
      <c r="D36" s="21" t="s">
        <v>142</v>
      </c>
      <c r="E36" s="21"/>
      <c r="F36" s="21"/>
      <c r="G36" s="21"/>
      <c r="H36" s="21"/>
      <c r="I36" s="24"/>
      <c r="J36" s="21"/>
      <c r="K36" s="24"/>
      <c r="L36" s="21"/>
      <c r="M36" s="31"/>
      <c r="N36" s="31"/>
      <c r="O36" s="31"/>
      <c r="P36" s="31"/>
      <c r="Q36" s="31" t="n">
        <f aca="false">K39+K40</f>
        <v>0</v>
      </c>
      <c r="R36" s="31" t="n">
        <f aca="false">K36+K37</f>
        <v>0</v>
      </c>
      <c r="S36" s="31"/>
      <c r="T36" s="32"/>
      <c r="U36" s="31"/>
      <c r="V36" s="31"/>
      <c r="W36" s="32"/>
      <c r="X36" s="31" t="n">
        <f aca="false">SUM(N36:V36)</f>
        <v>0</v>
      </c>
      <c r="Y36" s="31" t="n">
        <v>1492.9</v>
      </c>
      <c r="Z36" s="30" t="n">
        <f aca="false">X36-Y36</f>
        <v>-1492.9</v>
      </c>
      <c r="AA36" s="31"/>
    </row>
    <row r="37" s="22" customFormat="true" ht="19.5" hidden="false" customHeight="true" outlineLevel="0" collapsed="false">
      <c r="A37" s="21"/>
      <c r="B37" s="21"/>
      <c r="C37" s="21" t="s">
        <v>171</v>
      </c>
      <c r="D37" s="21" t="s">
        <v>142</v>
      </c>
      <c r="E37" s="21"/>
      <c r="F37" s="21"/>
      <c r="G37" s="21"/>
      <c r="H37" s="21"/>
      <c r="I37" s="24"/>
      <c r="J37" s="21"/>
      <c r="K37" s="24"/>
      <c r="L37" s="21"/>
      <c r="M37" s="31"/>
      <c r="N37" s="31"/>
      <c r="O37" s="31"/>
      <c r="P37" s="31"/>
      <c r="Q37" s="31"/>
      <c r="R37" s="31"/>
      <c r="S37" s="31"/>
      <c r="T37" s="32"/>
      <c r="U37" s="31"/>
      <c r="V37" s="31"/>
      <c r="W37" s="32"/>
      <c r="X37" s="31"/>
      <c r="Y37" s="31"/>
      <c r="Z37" s="31"/>
      <c r="AA37" s="31"/>
    </row>
    <row r="38" s="22" customFormat="true" ht="19.5" hidden="true" customHeight="true" outlineLevel="0" collapsed="false">
      <c r="A38" s="21"/>
      <c r="B38" s="21"/>
      <c r="C38" s="21" t="s">
        <v>145</v>
      </c>
      <c r="D38" s="21" t="s">
        <v>142</v>
      </c>
      <c r="E38" s="21"/>
      <c r="F38" s="21"/>
      <c r="G38" s="21"/>
      <c r="H38" s="21"/>
      <c r="I38" s="24"/>
      <c r="J38" s="21"/>
      <c r="K38" s="24"/>
      <c r="L38" s="21"/>
      <c r="M38" s="31"/>
      <c r="N38" s="31"/>
      <c r="O38" s="31"/>
      <c r="P38" s="31"/>
      <c r="Q38" s="31"/>
      <c r="R38" s="31"/>
      <c r="S38" s="31"/>
      <c r="T38" s="32"/>
      <c r="U38" s="31"/>
      <c r="V38" s="31"/>
      <c r="W38" s="32"/>
      <c r="X38" s="31"/>
      <c r="Y38" s="31"/>
      <c r="Z38" s="31"/>
      <c r="AA38" s="31"/>
    </row>
    <row r="39" s="22" customFormat="true" ht="19.5" hidden="true" customHeight="true" outlineLevel="0" collapsed="false">
      <c r="A39" s="21"/>
      <c r="B39" s="21"/>
      <c r="C39" s="21" t="s">
        <v>172</v>
      </c>
      <c r="D39" s="21" t="s">
        <v>142</v>
      </c>
      <c r="E39" s="21"/>
      <c r="F39" s="21"/>
      <c r="G39" s="21"/>
      <c r="H39" s="21"/>
      <c r="I39" s="24"/>
      <c r="J39" s="21"/>
      <c r="K39" s="24"/>
      <c r="L39" s="21"/>
      <c r="M39" s="31"/>
      <c r="N39" s="31"/>
      <c r="O39" s="31"/>
      <c r="P39" s="31"/>
      <c r="Q39" s="31"/>
      <c r="R39" s="31"/>
      <c r="S39" s="31"/>
      <c r="T39" s="32"/>
      <c r="U39" s="31"/>
      <c r="V39" s="31"/>
      <c r="W39" s="32"/>
      <c r="X39" s="31"/>
      <c r="Y39" s="31"/>
      <c r="Z39" s="31"/>
      <c r="AA39" s="31"/>
    </row>
    <row r="40" s="22" customFormat="true" ht="19.5" hidden="true" customHeight="true" outlineLevel="0" collapsed="false">
      <c r="A40" s="21"/>
      <c r="B40" s="21"/>
      <c r="C40" s="21" t="s">
        <v>173</v>
      </c>
      <c r="D40" s="21" t="s">
        <v>142</v>
      </c>
      <c r="E40" s="21"/>
      <c r="F40" s="21"/>
      <c r="G40" s="21"/>
      <c r="H40" s="21"/>
      <c r="I40" s="24"/>
      <c r="J40" s="21"/>
      <c r="K40" s="24"/>
      <c r="L40" s="21"/>
      <c r="M40" s="31"/>
      <c r="N40" s="31"/>
      <c r="O40" s="31"/>
      <c r="P40" s="31"/>
      <c r="Q40" s="31"/>
      <c r="R40" s="31"/>
      <c r="S40" s="31"/>
      <c r="T40" s="32"/>
      <c r="U40" s="31"/>
      <c r="V40" s="31"/>
      <c r="W40" s="32"/>
      <c r="X40" s="31"/>
      <c r="Y40" s="31"/>
      <c r="Z40" s="31"/>
      <c r="AA40" s="31"/>
    </row>
    <row r="41" s="22" customFormat="true" ht="19.5" hidden="true" customHeight="true" outlineLevel="0" collapsed="false">
      <c r="A41" s="21"/>
      <c r="B41" s="21" t="s">
        <v>137</v>
      </c>
      <c r="C41" s="21"/>
      <c r="D41" s="21"/>
      <c r="E41" s="21"/>
      <c r="F41" s="21"/>
      <c r="G41" s="21"/>
      <c r="H41" s="21"/>
      <c r="I41" s="29"/>
      <c r="J41" s="21"/>
      <c r="K41" s="24"/>
      <c r="L41" s="2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="22" customFormat="true" ht="19.5" hidden="false" customHeight="true" outlineLevel="0" collapsed="false">
      <c r="A42" s="21" t="s">
        <v>139</v>
      </c>
      <c r="B42" s="23" t="s">
        <v>174</v>
      </c>
      <c r="C42" s="21" t="s">
        <v>141</v>
      </c>
      <c r="D42" s="21" t="s">
        <v>142</v>
      </c>
      <c r="E42" s="21"/>
      <c r="F42" s="21"/>
      <c r="G42" s="21"/>
      <c r="H42" s="21"/>
      <c r="I42" s="24"/>
      <c r="J42" s="21"/>
      <c r="K42" s="24"/>
      <c r="L42" s="21"/>
      <c r="M42" s="31"/>
      <c r="N42" s="31"/>
      <c r="O42" s="33" t="n">
        <f aca="false">K50</f>
        <v>0</v>
      </c>
      <c r="P42" s="31"/>
      <c r="Q42" s="31"/>
      <c r="R42" s="31" t="n">
        <f aca="false">K42+K48</f>
        <v>0</v>
      </c>
      <c r="S42" s="31" t="n">
        <f aca="false">K44+K45+K46+K47+K49</f>
        <v>0</v>
      </c>
      <c r="T42" s="33" t="n">
        <f aca="false">K43</f>
        <v>0</v>
      </c>
      <c r="U42" s="31"/>
      <c r="V42" s="33" t="n">
        <f aca="false">K51</f>
        <v>0</v>
      </c>
      <c r="W42" s="33" t="n">
        <f aca="false">K52</f>
        <v>0</v>
      </c>
      <c r="X42" s="31" t="n">
        <f aca="false">SUM(N42:W53)</f>
        <v>0</v>
      </c>
      <c r="Y42" s="31" t="n">
        <f aca="false">56228.4-831</f>
        <v>55397.4</v>
      </c>
      <c r="Z42" s="30" t="n">
        <f aca="false">X42-Y42</f>
        <v>-55397.4</v>
      </c>
      <c r="AA42" s="31"/>
    </row>
    <row r="43" s="22" customFormat="true" ht="19.5" hidden="true" customHeight="true" outlineLevel="0" collapsed="false">
      <c r="A43" s="21"/>
      <c r="B43" s="21"/>
      <c r="C43" s="21" t="s">
        <v>143</v>
      </c>
      <c r="D43" s="21" t="s">
        <v>142</v>
      </c>
      <c r="E43" s="21"/>
      <c r="F43" s="21"/>
      <c r="G43" s="21"/>
      <c r="H43" s="21"/>
      <c r="I43" s="24"/>
      <c r="J43" s="21"/>
      <c r="K43" s="24"/>
      <c r="L43" s="2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="22" customFormat="true" ht="19.5" hidden="true" customHeight="true" outlineLevel="0" collapsed="false">
      <c r="A44" s="21"/>
      <c r="B44" s="21"/>
      <c r="C44" s="21" t="s">
        <v>144</v>
      </c>
      <c r="D44" s="21" t="s">
        <v>142</v>
      </c>
      <c r="E44" s="21"/>
      <c r="F44" s="21"/>
      <c r="G44" s="21"/>
      <c r="H44" s="21"/>
      <c r="I44" s="24"/>
      <c r="J44" s="21"/>
      <c r="K44" s="24"/>
      <c r="L44" s="2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="22" customFormat="true" ht="19.5" hidden="true" customHeight="true" outlineLevel="0" collapsed="false">
      <c r="A45" s="21"/>
      <c r="B45" s="21"/>
      <c r="C45" s="21" t="s">
        <v>146</v>
      </c>
      <c r="D45" s="21" t="s">
        <v>142</v>
      </c>
      <c r="E45" s="21"/>
      <c r="F45" s="21"/>
      <c r="G45" s="21"/>
      <c r="H45" s="21"/>
      <c r="I45" s="24"/>
      <c r="J45" s="21"/>
      <c r="K45" s="24"/>
      <c r="L45" s="2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="22" customFormat="true" ht="19.5" hidden="true" customHeight="true" outlineLevel="0" collapsed="false">
      <c r="A46" s="21"/>
      <c r="B46" s="21"/>
      <c r="C46" s="21" t="s">
        <v>148</v>
      </c>
      <c r="D46" s="21" t="s">
        <v>142</v>
      </c>
      <c r="E46" s="21"/>
      <c r="F46" s="21"/>
      <c r="G46" s="21"/>
      <c r="H46" s="21"/>
      <c r="I46" s="24"/>
      <c r="J46" s="21"/>
      <c r="K46" s="24"/>
      <c r="L46" s="2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="22" customFormat="true" ht="19.5" hidden="true" customHeight="true" outlineLevel="0" collapsed="false">
      <c r="A47" s="21"/>
      <c r="B47" s="21"/>
      <c r="C47" s="21" t="s">
        <v>150</v>
      </c>
      <c r="D47" s="21" t="s">
        <v>142</v>
      </c>
      <c r="E47" s="21"/>
      <c r="F47" s="21"/>
      <c r="G47" s="21"/>
      <c r="H47" s="21"/>
      <c r="I47" s="24"/>
      <c r="J47" s="21"/>
      <c r="K47" s="24"/>
      <c r="L47" s="2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s="22" customFormat="true" ht="19.5" hidden="false" customHeight="true" outlineLevel="0" collapsed="false">
      <c r="A48" s="21"/>
      <c r="B48" s="21"/>
      <c r="C48" s="21" t="s">
        <v>154</v>
      </c>
      <c r="D48" s="21" t="s">
        <v>142</v>
      </c>
      <c r="E48" s="21"/>
      <c r="F48" s="21"/>
      <c r="G48" s="21"/>
      <c r="H48" s="21"/>
      <c r="I48" s="24"/>
      <c r="J48" s="21"/>
      <c r="K48" s="24"/>
      <c r="L48" s="2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s="22" customFormat="true" ht="19.5" hidden="true" customHeight="true" outlineLevel="0" collapsed="false">
      <c r="A49" s="21"/>
      <c r="B49" s="21"/>
      <c r="C49" s="21" t="s">
        <v>155</v>
      </c>
      <c r="D49" s="21" t="s">
        <v>142</v>
      </c>
      <c r="E49" s="21"/>
      <c r="F49" s="21"/>
      <c r="G49" s="21"/>
      <c r="H49" s="21"/>
      <c r="I49" s="24"/>
      <c r="J49" s="21"/>
      <c r="K49" s="24"/>
      <c r="L49" s="2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s="22" customFormat="true" ht="19.5" hidden="true" customHeight="true" outlineLevel="0" collapsed="false">
      <c r="A50" s="21"/>
      <c r="B50" s="21"/>
      <c r="C50" s="21" t="s">
        <v>156</v>
      </c>
      <c r="D50" s="21" t="s">
        <v>142</v>
      </c>
      <c r="E50" s="21"/>
      <c r="F50" s="21"/>
      <c r="G50" s="21"/>
      <c r="H50" s="21"/>
      <c r="I50" s="24"/>
      <c r="J50" s="21"/>
      <c r="K50" s="24"/>
      <c r="L50" s="2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s="22" customFormat="true" ht="19.5" hidden="true" customHeight="true" outlineLevel="0" collapsed="false">
      <c r="A51" s="21"/>
      <c r="B51" s="21"/>
      <c r="C51" s="21" t="s">
        <v>157</v>
      </c>
      <c r="D51" s="21" t="s">
        <v>142</v>
      </c>
      <c r="E51" s="21"/>
      <c r="F51" s="21"/>
      <c r="G51" s="21"/>
      <c r="H51" s="21"/>
      <c r="I51" s="24"/>
      <c r="J51" s="21"/>
      <c r="K51" s="24"/>
      <c r="L51" s="2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s="22" customFormat="true" ht="19.5" hidden="true" customHeight="true" outlineLevel="0" collapsed="false">
      <c r="A52" s="21"/>
      <c r="B52" s="21"/>
      <c r="C52" s="21" t="s">
        <v>158</v>
      </c>
      <c r="D52" s="21" t="s">
        <v>142</v>
      </c>
      <c r="E52" s="21"/>
      <c r="F52" s="21"/>
      <c r="G52" s="21"/>
      <c r="H52" s="21"/>
      <c r="I52" s="24"/>
      <c r="J52" s="21"/>
      <c r="K52" s="24"/>
      <c r="L52" s="2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s="22" customFormat="true" ht="19.5" hidden="true" customHeight="true" outlineLevel="0" collapsed="false">
      <c r="A53" s="21"/>
      <c r="B53" s="21" t="s">
        <v>137</v>
      </c>
      <c r="C53" s="21"/>
      <c r="D53" s="21"/>
      <c r="E53" s="21"/>
      <c r="F53" s="21"/>
      <c r="G53" s="21"/>
      <c r="H53" s="21"/>
      <c r="I53" s="29"/>
      <c r="J53" s="21"/>
      <c r="K53" s="24"/>
      <c r="L53" s="2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s="22" customFormat="true" ht="19.5" hidden="true" customHeight="true" outlineLevel="0" collapsed="false">
      <c r="A54" s="21" t="s">
        <v>139</v>
      </c>
      <c r="B54" s="23" t="s">
        <v>175</v>
      </c>
      <c r="C54" s="21" t="s">
        <v>141</v>
      </c>
      <c r="D54" s="21" t="s">
        <v>142</v>
      </c>
      <c r="E54" s="21"/>
      <c r="F54" s="21"/>
      <c r="G54" s="21"/>
      <c r="H54" s="21"/>
      <c r="I54" s="24"/>
      <c r="J54" s="21"/>
      <c r="K54" s="24"/>
      <c r="L54" s="21"/>
      <c r="M54" s="31"/>
      <c r="N54" s="31"/>
      <c r="O54" s="33" t="n">
        <f aca="false">K57</f>
        <v>0</v>
      </c>
      <c r="P54" s="31"/>
      <c r="Q54" s="31"/>
      <c r="R54" s="31"/>
      <c r="S54" s="31"/>
      <c r="T54" s="32"/>
      <c r="U54" s="31"/>
      <c r="V54" s="31"/>
      <c r="W54" s="32"/>
      <c r="X54" s="31" t="n">
        <f aca="false">SUM(N54:W57)</f>
        <v>0</v>
      </c>
      <c r="Y54" s="31" t="n">
        <f aca="false">2984.3+34160.9+1905.7</f>
        <v>39050.9</v>
      </c>
      <c r="Z54" s="30" t="n">
        <f aca="false">X54-Y54</f>
        <v>-39050.9</v>
      </c>
      <c r="AA54" s="31"/>
    </row>
    <row r="55" s="22" customFormat="true" ht="19.5" hidden="true" customHeight="true" outlineLevel="0" collapsed="false">
      <c r="A55" s="21"/>
      <c r="B55" s="21"/>
      <c r="C55" s="21" t="s">
        <v>143</v>
      </c>
      <c r="D55" s="21" t="s">
        <v>142</v>
      </c>
      <c r="E55" s="21"/>
      <c r="F55" s="21"/>
      <c r="G55" s="21"/>
      <c r="H55" s="21"/>
      <c r="I55" s="24"/>
      <c r="J55" s="21"/>
      <c r="K55" s="24"/>
      <c r="L55" s="21"/>
      <c r="M55" s="31"/>
      <c r="N55" s="31"/>
      <c r="O55" s="31"/>
      <c r="P55" s="31"/>
      <c r="Q55" s="31"/>
      <c r="R55" s="31"/>
      <c r="S55" s="31"/>
      <c r="T55" s="32"/>
      <c r="U55" s="31"/>
      <c r="V55" s="31"/>
      <c r="W55" s="32"/>
      <c r="X55" s="31"/>
      <c r="Y55" s="31"/>
      <c r="Z55" s="31"/>
      <c r="AA55" s="31"/>
    </row>
    <row r="56" s="22" customFormat="true" ht="19.5" hidden="true" customHeight="true" outlineLevel="0" collapsed="false">
      <c r="A56" s="21"/>
      <c r="B56" s="21"/>
      <c r="C56" s="21" t="s">
        <v>144</v>
      </c>
      <c r="D56" s="21" t="s">
        <v>142</v>
      </c>
      <c r="E56" s="21"/>
      <c r="F56" s="21"/>
      <c r="G56" s="21"/>
      <c r="H56" s="21"/>
      <c r="I56" s="24"/>
      <c r="J56" s="21"/>
      <c r="K56" s="24"/>
      <c r="L56" s="21"/>
      <c r="M56" s="31"/>
      <c r="N56" s="31"/>
      <c r="O56" s="31"/>
      <c r="P56" s="31"/>
      <c r="Q56" s="31"/>
      <c r="R56" s="31"/>
      <c r="S56" s="31"/>
      <c r="T56" s="32"/>
      <c r="U56" s="31"/>
      <c r="V56" s="31"/>
      <c r="W56" s="32"/>
      <c r="X56" s="31"/>
      <c r="Y56" s="31"/>
      <c r="Z56" s="31"/>
      <c r="AA56" s="31"/>
    </row>
    <row r="57" s="22" customFormat="true" ht="19.5" hidden="true" customHeight="true" outlineLevel="0" collapsed="false">
      <c r="A57" s="21"/>
      <c r="B57" s="21" t="s">
        <v>137</v>
      </c>
      <c r="C57" s="21"/>
      <c r="D57" s="21"/>
      <c r="E57" s="21"/>
      <c r="F57" s="21"/>
      <c r="G57" s="21"/>
      <c r="H57" s="21"/>
      <c r="I57" s="29"/>
      <c r="J57" s="21"/>
      <c r="K57" s="24"/>
      <c r="L57" s="2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s="22" customFormat="true" ht="19.5" hidden="true" customHeight="true" outlineLevel="0" collapsed="false">
      <c r="A58" s="21" t="s">
        <v>139</v>
      </c>
      <c r="B58" s="23" t="s">
        <v>176</v>
      </c>
      <c r="C58" s="21" t="s">
        <v>141</v>
      </c>
      <c r="D58" s="21" t="s">
        <v>142</v>
      </c>
      <c r="E58" s="21"/>
      <c r="F58" s="21"/>
      <c r="G58" s="21"/>
      <c r="H58" s="21"/>
      <c r="I58" s="24"/>
      <c r="J58" s="21"/>
      <c r="K58" s="24"/>
      <c r="L58" s="21"/>
      <c r="M58" s="31"/>
      <c r="N58" s="31"/>
      <c r="O58" s="33" t="n">
        <f aca="false">K61</f>
        <v>0</v>
      </c>
      <c r="P58" s="31"/>
      <c r="Q58" s="31"/>
      <c r="R58" s="31"/>
      <c r="S58" s="31"/>
      <c r="T58" s="32"/>
      <c r="U58" s="31"/>
      <c r="V58" s="31"/>
      <c r="W58" s="32"/>
      <c r="X58" s="31" t="n">
        <f aca="false">SUM(N58:W61)</f>
        <v>0</v>
      </c>
      <c r="Y58" s="31" t="n">
        <f aca="false">9325.8+106715+5955.3</f>
        <v>121996.1</v>
      </c>
      <c r="Z58" s="30" t="n">
        <f aca="false">X58-Y58</f>
        <v>-121996.1</v>
      </c>
      <c r="AA58" s="31"/>
    </row>
    <row r="59" s="22" customFormat="true" ht="19.5" hidden="true" customHeight="true" outlineLevel="0" collapsed="false">
      <c r="A59" s="21"/>
      <c r="B59" s="21"/>
      <c r="C59" s="21" t="s">
        <v>143</v>
      </c>
      <c r="D59" s="21" t="s">
        <v>142</v>
      </c>
      <c r="E59" s="21"/>
      <c r="F59" s="21"/>
      <c r="G59" s="21"/>
      <c r="H59" s="21"/>
      <c r="I59" s="24"/>
      <c r="J59" s="21"/>
      <c r="K59" s="24"/>
      <c r="L59" s="21"/>
      <c r="M59" s="31"/>
      <c r="N59" s="31"/>
      <c r="O59" s="31"/>
      <c r="P59" s="31"/>
      <c r="Q59" s="31"/>
      <c r="R59" s="31"/>
      <c r="S59" s="31"/>
      <c r="T59" s="32"/>
      <c r="U59" s="31"/>
      <c r="V59" s="31"/>
      <c r="W59" s="32"/>
      <c r="X59" s="31"/>
      <c r="Y59" s="31"/>
      <c r="Z59" s="31"/>
      <c r="AA59" s="31"/>
    </row>
    <row r="60" s="22" customFormat="true" ht="19.5" hidden="true" customHeight="true" outlineLevel="0" collapsed="false">
      <c r="A60" s="21"/>
      <c r="B60" s="21"/>
      <c r="C60" s="21" t="s">
        <v>144</v>
      </c>
      <c r="D60" s="21" t="s">
        <v>142</v>
      </c>
      <c r="E60" s="21"/>
      <c r="F60" s="21"/>
      <c r="G60" s="21"/>
      <c r="H60" s="21"/>
      <c r="I60" s="24"/>
      <c r="J60" s="21"/>
      <c r="K60" s="24"/>
      <c r="L60" s="21"/>
      <c r="M60" s="31"/>
      <c r="N60" s="31"/>
      <c r="O60" s="31"/>
      <c r="P60" s="31"/>
      <c r="Q60" s="31"/>
      <c r="R60" s="31"/>
      <c r="S60" s="31"/>
      <c r="T60" s="32"/>
      <c r="U60" s="31"/>
      <c r="V60" s="31"/>
      <c r="W60" s="32"/>
      <c r="X60" s="31"/>
      <c r="Y60" s="31"/>
      <c r="Z60" s="31"/>
      <c r="AA60" s="31"/>
    </row>
    <row r="61" s="22" customFormat="true" ht="19.5" hidden="true" customHeight="true" outlineLevel="0" collapsed="false">
      <c r="A61" s="21"/>
      <c r="B61" s="21" t="s">
        <v>137</v>
      </c>
      <c r="C61" s="21"/>
      <c r="D61" s="21"/>
      <c r="E61" s="21"/>
      <c r="F61" s="21"/>
      <c r="G61" s="21"/>
      <c r="H61" s="21"/>
      <c r="I61" s="29"/>
      <c r="J61" s="21"/>
      <c r="K61" s="24"/>
      <c r="L61" s="2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s="22" customFormat="true" ht="19.5" hidden="true" customHeight="true" outlineLevel="0" collapsed="false">
      <c r="A62" s="21" t="s">
        <v>139</v>
      </c>
      <c r="B62" s="23" t="s">
        <v>177</v>
      </c>
      <c r="C62" s="21" t="s">
        <v>141</v>
      </c>
      <c r="D62" s="21" t="s">
        <v>142</v>
      </c>
      <c r="E62" s="21"/>
      <c r="F62" s="21"/>
      <c r="G62" s="21"/>
      <c r="H62" s="21"/>
      <c r="I62" s="24"/>
      <c r="J62" s="21"/>
      <c r="K62" s="24"/>
      <c r="L62" s="21"/>
      <c r="M62" s="31"/>
      <c r="N62" s="31"/>
      <c r="O62" s="33" t="n">
        <f aca="false">K65</f>
        <v>0</v>
      </c>
      <c r="P62" s="31"/>
      <c r="Q62" s="31"/>
      <c r="R62" s="31"/>
      <c r="S62" s="31"/>
      <c r="T62" s="32"/>
      <c r="U62" s="31"/>
      <c r="V62" s="31"/>
      <c r="W62" s="32"/>
      <c r="X62" s="31" t="n">
        <f aca="false">SUM(N62:W65)</f>
        <v>0</v>
      </c>
      <c r="Y62" s="31" t="n">
        <f aca="false">1492.1+17050.3+952.9</f>
        <v>19495.3</v>
      </c>
      <c r="Z62" s="30" t="n">
        <f aca="false">X62-Y62</f>
        <v>-19495.3</v>
      </c>
      <c r="AA62" s="31"/>
    </row>
    <row r="63" s="22" customFormat="true" ht="19.5" hidden="true" customHeight="true" outlineLevel="0" collapsed="false">
      <c r="A63" s="21"/>
      <c r="B63" s="21"/>
      <c r="C63" s="21" t="s">
        <v>143</v>
      </c>
      <c r="D63" s="21" t="s">
        <v>142</v>
      </c>
      <c r="E63" s="21"/>
      <c r="F63" s="21"/>
      <c r="G63" s="21"/>
      <c r="H63" s="21"/>
      <c r="I63" s="24"/>
      <c r="J63" s="21"/>
      <c r="K63" s="24"/>
      <c r="L63" s="21"/>
      <c r="M63" s="31"/>
      <c r="N63" s="31"/>
      <c r="O63" s="31"/>
      <c r="P63" s="31"/>
      <c r="Q63" s="31"/>
      <c r="R63" s="31"/>
      <c r="S63" s="31"/>
      <c r="T63" s="32"/>
      <c r="U63" s="31"/>
      <c r="V63" s="31"/>
      <c r="W63" s="32"/>
      <c r="X63" s="31"/>
      <c r="Y63" s="31"/>
      <c r="Z63" s="31"/>
      <c r="AA63" s="31"/>
    </row>
    <row r="64" s="22" customFormat="true" ht="19.5" hidden="true" customHeight="true" outlineLevel="0" collapsed="false">
      <c r="A64" s="21"/>
      <c r="B64" s="21"/>
      <c r="C64" s="21" t="s">
        <v>144</v>
      </c>
      <c r="D64" s="21" t="s">
        <v>142</v>
      </c>
      <c r="E64" s="21"/>
      <c r="F64" s="21"/>
      <c r="G64" s="21"/>
      <c r="H64" s="21"/>
      <c r="I64" s="24"/>
      <c r="J64" s="21"/>
      <c r="K64" s="24"/>
      <c r="L64" s="21"/>
      <c r="M64" s="31"/>
      <c r="N64" s="31"/>
      <c r="O64" s="31"/>
      <c r="P64" s="31"/>
      <c r="Q64" s="31"/>
      <c r="R64" s="31"/>
      <c r="S64" s="31"/>
      <c r="T64" s="32"/>
      <c r="U64" s="31"/>
      <c r="V64" s="31"/>
      <c r="W64" s="32"/>
      <c r="X64" s="31"/>
      <c r="Y64" s="31"/>
      <c r="Z64" s="31"/>
      <c r="AA64" s="31"/>
    </row>
    <row r="65" s="22" customFormat="true" ht="19.5" hidden="true" customHeight="true" outlineLevel="0" collapsed="false">
      <c r="A65" s="21"/>
      <c r="B65" s="21" t="s">
        <v>137</v>
      </c>
      <c r="C65" s="21"/>
      <c r="D65" s="21"/>
      <c r="E65" s="21"/>
      <c r="F65" s="21"/>
      <c r="G65" s="21"/>
      <c r="H65" s="21"/>
      <c r="I65" s="29"/>
      <c r="J65" s="21"/>
      <c r="K65" s="24"/>
      <c r="L65" s="2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s="22" customFormat="true" ht="19.5" hidden="false" customHeight="true" outlineLevel="0" collapsed="false">
      <c r="A66" s="21" t="s">
        <v>139</v>
      </c>
      <c r="B66" s="23" t="s">
        <v>178</v>
      </c>
      <c r="C66" s="21" t="s">
        <v>141</v>
      </c>
      <c r="D66" s="21" t="s">
        <v>142</v>
      </c>
      <c r="E66" s="21"/>
      <c r="F66" s="21"/>
      <c r="G66" s="21"/>
      <c r="H66" s="21"/>
      <c r="I66" s="24"/>
      <c r="J66" s="21"/>
      <c r="K66" s="24"/>
      <c r="L66" s="21"/>
      <c r="M66" s="31"/>
      <c r="N66" s="31"/>
      <c r="O66" s="33" t="n">
        <f aca="false">K68</f>
        <v>0</v>
      </c>
      <c r="P66" s="31"/>
      <c r="Q66" s="33" t="n">
        <f aca="false">K67</f>
        <v>0</v>
      </c>
      <c r="R66" s="33" t="n">
        <f aca="false">K66</f>
        <v>0</v>
      </c>
      <c r="S66" s="31"/>
      <c r="T66" s="32"/>
      <c r="U66" s="31"/>
      <c r="V66" s="31"/>
      <c r="W66" s="32"/>
      <c r="X66" s="31" t="n">
        <f aca="false">SUM(N66:W69)</f>
        <v>0</v>
      </c>
      <c r="Y66" s="31" t="n">
        <f aca="false">1865.2+17017.7+714.6</f>
        <v>19597.5</v>
      </c>
      <c r="Z66" s="30" t="n">
        <f aca="false">X66-Y66</f>
        <v>-19597.5</v>
      </c>
      <c r="AA66" s="31"/>
    </row>
    <row r="67" s="22" customFormat="true" ht="19.5" hidden="true" customHeight="true" outlineLevel="0" collapsed="false">
      <c r="A67" s="21"/>
      <c r="B67" s="21"/>
      <c r="C67" s="21" t="s">
        <v>143</v>
      </c>
      <c r="D67" s="21" t="s">
        <v>142</v>
      </c>
      <c r="E67" s="21"/>
      <c r="F67" s="21"/>
      <c r="G67" s="21"/>
      <c r="H67" s="21"/>
      <c r="I67" s="24"/>
      <c r="J67" s="21"/>
      <c r="K67" s="24"/>
      <c r="L67" s="21"/>
      <c r="M67" s="31"/>
      <c r="N67" s="31"/>
      <c r="O67" s="31"/>
      <c r="P67" s="31"/>
      <c r="Q67" s="31"/>
      <c r="R67" s="31"/>
      <c r="S67" s="31"/>
      <c r="T67" s="32"/>
      <c r="U67" s="31"/>
      <c r="V67" s="31"/>
      <c r="W67" s="32"/>
      <c r="X67" s="31"/>
      <c r="Y67" s="31"/>
      <c r="Z67" s="31"/>
      <c r="AA67" s="31"/>
    </row>
    <row r="68" s="22" customFormat="true" ht="19.5" hidden="true" customHeight="true" outlineLevel="0" collapsed="false">
      <c r="A68" s="21"/>
      <c r="B68" s="21"/>
      <c r="C68" s="21" t="s">
        <v>144</v>
      </c>
      <c r="D68" s="21" t="s">
        <v>142</v>
      </c>
      <c r="E68" s="21"/>
      <c r="F68" s="21"/>
      <c r="G68" s="21"/>
      <c r="H68" s="21"/>
      <c r="I68" s="24"/>
      <c r="J68" s="21"/>
      <c r="K68" s="24"/>
      <c r="L68" s="21"/>
      <c r="M68" s="31"/>
      <c r="N68" s="31"/>
      <c r="O68" s="31"/>
      <c r="P68" s="31"/>
      <c r="Q68" s="31"/>
      <c r="R68" s="31"/>
      <c r="S68" s="31"/>
      <c r="T68" s="32"/>
      <c r="U68" s="31"/>
      <c r="V68" s="31"/>
      <c r="W68" s="32"/>
      <c r="X68" s="31"/>
      <c r="Y68" s="31"/>
      <c r="Z68" s="31"/>
      <c r="AA68" s="31"/>
    </row>
    <row r="69" s="22" customFormat="true" ht="19.5" hidden="true" customHeight="true" outlineLevel="0" collapsed="false">
      <c r="A69" s="21"/>
      <c r="B69" s="21" t="s">
        <v>137</v>
      </c>
      <c r="C69" s="21"/>
      <c r="D69" s="21"/>
      <c r="E69" s="21"/>
      <c r="F69" s="21"/>
      <c r="G69" s="21"/>
      <c r="H69" s="21"/>
      <c r="I69" s="29"/>
      <c r="J69" s="21"/>
      <c r="K69" s="24"/>
      <c r="L69" s="2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s="22" customFormat="true" ht="19.5" hidden="false" customHeight="true" outlineLevel="0" collapsed="false">
      <c r="A70" s="21" t="s">
        <v>139</v>
      </c>
      <c r="B70" s="23" t="s">
        <v>179</v>
      </c>
      <c r="C70" s="21" t="s">
        <v>141</v>
      </c>
      <c r="D70" s="21" t="s">
        <v>142</v>
      </c>
      <c r="E70" s="21"/>
      <c r="F70" s="21"/>
      <c r="G70" s="21"/>
      <c r="H70" s="21"/>
      <c r="I70" s="24"/>
      <c r="J70" s="21"/>
      <c r="K70" s="24"/>
      <c r="L70" s="21"/>
      <c r="M70" s="31"/>
      <c r="N70" s="31"/>
      <c r="O70" s="33" t="n">
        <f aca="false">K72</f>
        <v>0</v>
      </c>
      <c r="P70" s="31"/>
      <c r="Q70" s="33" t="n">
        <f aca="false">K71</f>
        <v>0</v>
      </c>
      <c r="R70" s="33" t="n">
        <f aca="false">K70</f>
        <v>0</v>
      </c>
      <c r="S70" s="31"/>
      <c r="T70" s="32"/>
      <c r="U70" s="31"/>
      <c r="V70" s="31"/>
      <c r="W70" s="32"/>
      <c r="X70" s="31" t="n">
        <f aca="false">SUM(N70:W73)</f>
        <v>0</v>
      </c>
      <c r="Y70" s="31" t="n">
        <f aca="false">2204.3+18466.5+714.6</f>
        <v>21385.4</v>
      </c>
      <c r="Z70" s="30" t="n">
        <f aca="false">X70-Y70</f>
        <v>-21385.4</v>
      </c>
      <c r="AA70" s="31"/>
    </row>
    <row r="71" s="22" customFormat="true" ht="19.5" hidden="true" customHeight="true" outlineLevel="0" collapsed="false">
      <c r="A71" s="21"/>
      <c r="B71" s="21"/>
      <c r="C71" s="21" t="s">
        <v>143</v>
      </c>
      <c r="D71" s="21" t="s">
        <v>142</v>
      </c>
      <c r="E71" s="21"/>
      <c r="F71" s="21"/>
      <c r="G71" s="21"/>
      <c r="H71" s="21"/>
      <c r="I71" s="24"/>
      <c r="J71" s="21"/>
      <c r="K71" s="24"/>
      <c r="L71" s="21"/>
      <c r="M71" s="31"/>
      <c r="N71" s="31"/>
      <c r="O71" s="31"/>
      <c r="P71" s="31"/>
      <c r="Q71" s="31"/>
      <c r="R71" s="31"/>
      <c r="S71" s="31"/>
      <c r="T71" s="32"/>
      <c r="U71" s="31"/>
      <c r="V71" s="31"/>
      <c r="W71" s="32"/>
      <c r="X71" s="31"/>
      <c r="Y71" s="31"/>
      <c r="Z71" s="31"/>
      <c r="AA71" s="31"/>
    </row>
    <row r="72" s="22" customFormat="true" ht="19.5" hidden="true" customHeight="true" outlineLevel="0" collapsed="false">
      <c r="A72" s="21"/>
      <c r="B72" s="21"/>
      <c r="C72" s="21" t="s">
        <v>144</v>
      </c>
      <c r="D72" s="21" t="s">
        <v>142</v>
      </c>
      <c r="E72" s="21"/>
      <c r="F72" s="21"/>
      <c r="G72" s="21"/>
      <c r="H72" s="21"/>
      <c r="I72" s="24"/>
      <c r="J72" s="21"/>
      <c r="K72" s="24"/>
      <c r="L72" s="21"/>
      <c r="M72" s="31"/>
      <c r="N72" s="31"/>
      <c r="O72" s="31"/>
      <c r="P72" s="31"/>
      <c r="Q72" s="31"/>
      <c r="R72" s="31"/>
      <c r="S72" s="31"/>
      <c r="T72" s="32"/>
      <c r="U72" s="31"/>
      <c r="V72" s="31"/>
      <c r="W72" s="32"/>
      <c r="X72" s="31"/>
      <c r="Y72" s="31"/>
      <c r="Z72" s="31"/>
      <c r="AA72" s="31"/>
    </row>
    <row r="73" s="22" customFormat="true" ht="19.5" hidden="true" customHeight="true" outlineLevel="0" collapsed="false">
      <c r="A73" s="21"/>
      <c r="B73" s="21" t="s">
        <v>137</v>
      </c>
      <c r="C73" s="21"/>
      <c r="D73" s="21"/>
      <c r="E73" s="21"/>
      <c r="F73" s="21"/>
      <c r="G73" s="21"/>
      <c r="H73" s="21"/>
      <c r="I73" s="29"/>
      <c r="J73" s="21"/>
      <c r="K73" s="24"/>
      <c r="L73" s="2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s="22" customFormat="true" ht="19.5" hidden="false" customHeight="true" outlineLevel="0" collapsed="false">
      <c r="A74" s="21" t="s">
        <v>139</v>
      </c>
      <c r="B74" s="23" t="s">
        <v>180</v>
      </c>
      <c r="C74" s="21" t="s">
        <v>141</v>
      </c>
      <c r="D74" s="21" t="s">
        <v>142</v>
      </c>
      <c r="E74" s="21"/>
      <c r="F74" s="21"/>
      <c r="G74" s="21"/>
      <c r="H74" s="21"/>
      <c r="I74" s="24"/>
      <c r="J74" s="21"/>
      <c r="K74" s="24"/>
      <c r="L74" s="21"/>
      <c r="M74" s="31"/>
      <c r="N74" s="31"/>
      <c r="O74" s="33" t="n">
        <f aca="false">K76</f>
        <v>0</v>
      </c>
      <c r="P74" s="31"/>
      <c r="Q74" s="33" t="n">
        <f aca="false">K75</f>
        <v>0</v>
      </c>
      <c r="R74" s="33" t="n">
        <f aca="false">K74</f>
        <v>0</v>
      </c>
      <c r="S74" s="31"/>
      <c r="T74" s="32"/>
      <c r="U74" s="31"/>
      <c r="V74" s="31"/>
      <c r="W74" s="32"/>
      <c r="X74" s="31" t="n">
        <f aca="false">SUM(N74:W77)</f>
        <v>0</v>
      </c>
      <c r="Y74" s="31" t="n">
        <f aca="false">2204.3+18372.3+714.6</f>
        <v>21291.2</v>
      </c>
      <c r="Z74" s="30" t="n">
        <f aca="false">X74-Y74</f>
        <v>-21291.2</v>
      </c>
      <c r="AA74" s="31"/>
    </row>
    <row r="75" s="22" customFormat="true" ht="19.5" hidden="true" customHeight="true" outlineLevel="0" collapsed="false">
      <c r="A75" s="21"/>
      <c r="B75" s="21"/>
      <c r="C75" s="21" t="s">
        <v>143</v>
      </c>
      <c r="D75" s="21" t="s">
        <v>142</v>
      </c>
      <c r="E75" s="21"/>
      <c r="F75" s="21"/>
      <c r="G75" s="21"/>
      <c r="H75" s="21"/>
      <c r="I75" s="24"/>
      <c r="J75" s="21"/>
      <c r="K75" s="24"/>
      <c r="L75" s="21"/>
      <c r="M75" s="31"/>
      <c r="N75" s="31"/>
      <c r="O75" s="31"/>
      <c r="P75" s="31"/>
      <c r="Q75" s="31"/>
      <c r="R75" s="31"/>
      <c r="S75" s="31"/>
      <c r="T75" s="32"/>
      <c r="U75" s="31"/>
      <c r="V75" s="31"/>
      <c r="W75" s="32"/>
      <c r="X75" s="31"/>
      <c r="Y75" s="31"/>
      <c r="Z75" s="31"/>
      <c r="AA75" s="31"/>
    </row>
    <row r="76" s="22" customFormat="true" ht="19.5" hidden="true" customHeight="true" outlineLevel="0" collapsed="false">
      <c r="A76" s="21"/>
      <c r="B76" s="21"/>
      <c r="C76" s="21" t="s">
        <v>144</v>
      </c>
      <c r="D76" s="21" t="s">
        <v>142</v>
      </c>
      <c r="E76" s="21"/>
      <c r="F76" s="21"/>
      <c r="G76" s="21"/>
      <c r="H76" s="21"/>
      <c r="I76" s="24"/>
      <c r="J76" s="21"/>
      <c r="K76" s="24"/>
      <c r="L76" s="21"/>
      <c r="M76" s="31"/>
      <c r="N76" s="31"/>
      <c r="O76" s="31"/>
      <c r="P76" s="31"/>
      <c r="Q76" s="31"/>
      <c r="R76" s="31"/>
      <c r="S76" s="31"/>
      <c r="T76" s="32"/>
      <c r="U76" s="31"/>
      <c r="V76" s="31"/>
      <c r="W76" s="32"/>
      <c r="X76" s="31"/>
      <c r="Y76" s="31"/>
      <c r="Z76" s="31"/>
      <c r="AA76" s="31"/>
    </row>
    <row r="77" s="22" customFormat="true" ht="19.5" hidden="true" customHeight="true" outlineLevel="0" collapsed="false">
      <c r="A77" s="21"/>
      <c r="B77" s="21" t="s">
        <v>137</v>
      </c>
      <c r="C77" s="21"/>
      <c r="D77" s="21"/>
      <c r="E77" s="21"/>
      <c r="F77" s="21"/>
      <c r="G77" s="21"/>
      <c r="H77" s="21"/>
      <c r="I77" s="29"/>
      <c r="J77" s="21"/>
      <c r="K77" s="24"/>
      <c r="L77" s="2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s="22" customFormat="true" ht="19.5" hidden="true" customHeight="true" outlineLevel="0" collapsed="false">
      <c r="A78" s="21" t="s">
        <v>181</v>
      </c>
      <c r="B78" s="23" t="s">
        <v>182</v>
      </c>
      <c r="C78" s="21" t="s">
        <v>141</v>
      </c>
      <c r="D78" s="21" t="s">
        <v>142</v>
      </c>
      <c r="E78" s="21"/>
      <c r="F78" s="21"/>
      <c r="G78" s="21"/>
      <c r="H78" s="21"/>
      <c r="I78" s="24"/>
      <c r="J78" s="28"/>
      <c r="K78" s="24"/>
      <c r="L78" s="21"/>
      <c r="M78" s="31"/>
      <c r="N78" s="31"/>
      <c r="O78" s="31" t="n">
        <f aca="false">K78+K79</f>
        <v>0</v>
      </c>
      <c r="P78" s="31"/>
      <c r="Q78" s="31"/>
      <c r="R78" s="31"/>
      <c r="S78" s="31"/>
      <c r="T78" s="32"/>
      <c r="U78" s="31"/>
      <c r="V78" s="31"/>
      <c r="W78" s="32"/>
      <c r="X78" s="31" t="n">
        <f aca="false">SUM(N78:W80)</f>
        <v>0</v>
      </c>
      <c r="Y78" s="31" t="n">
        <f aca="false">5734.1+5901.2</f>
        <v>11635.3</v>
      </c>
      <c r="Z78" s="30" t="n">
        <f aca="false">X78-Y78</f>
        <v>-11635.3</v>
      </c>
      <c r="AA78" s="31"/>
    </row>
    <row r="79" s="22" customFormat="true" ht="19.5" hidden="true" customHeight="true" outlineLevel="0" collapsed="false">
      <c r="A79" s="21"/>
      <c r="B79" s="21"/>
      <c r="C79" s="21" t="s">
        <v>143</v>
      </c>
      <c r="D79" s="21" t="s">
        <v>142</v>
      </c>
      <c r="E79" s="21"/>
      <c r="F79" s="21"/>
      <c r="G79" s="21"/>
      <c r="H79" s="21"/>
      <c r="I79" s="24"/>
      <c r="J79" s="28"/>
      <c r="K79" s="24"/>
      <c r="L79" s="21"/>
      <c r="M79" s="31"/>
      <c r="N79" s="31"/>
      <c r="O79" s="31"/>
      <c r="P79" s="31"/>
      <c r="Q79" s="31"/>
      <c r="R79" s="31"/>
      <c r="S79" s="31"/>
      <c r="T79" s="32"/>
      <c r="U79" s="31"/>
      <c r="V79" s="31"/>
      <c r="W79" s="32"/>
      <c r="X79" s="31"/>
      <c r="Y79" s="31"/>
      <c r="Z79" s="31"/>
      <c r="AA79" s="31"/>
    </row>
    <row r="80" s="22" customFormat="true" ht="19.5" hidden="true" customHeight="true" outlineLevel="0" collapsed="false">
      <c r="A80" s="21"/>
      <c r="B80" s="21" t="s">
        <v>137</v>
      </c>
      <c r="C80" s="21"/>
      <c r="D80" s="21"/>
      <c r="E80" s="21"/>
      <c r="F80" s="21"/>
      <c r="G80" s="21"/>
      <c r="H80" s="21"/>
      <c r="I80" s="29"/>
      <c r="J80" s="21"/>
      <c r="K80" s="24"/>
      <c r="L80" s="2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s="22" customFormat="true" ht="19.5" hidden="true" customHeight="true" outlineLevel="0" collapsed="false">
      <c r="A81" s="21" t="s">
        <v>181</v>
      </c>
      <c r="B81" s="23" t="s">
        <v>183</v>
      </c>
      <c r="C81" s="21" t="s">
        <v>141</v>
      </c>
      <c r="D81" s="21" t="s">
        <v>142</v>
      </c>
      <c r="E81" s="21"/>
      <c r="F81" s="21"/>
      <c r="G81" s="21"/>
      <c r="H81" s="21"/>
      <c r="I81" s="24"/>
      <c r="J81" s="21"/>
      <c r="K81" s="24"/>
      <c r="L81" s="21"/>
      <c r="M81" s="31"/>
      <c r="N81" s="31"/>
      <c r="O81" s="31" t="n">
        <f aca="false">K81+K82</f>
        <v>0</v>
      </c>
      <c r="P81" s="31"/>
      <c r="Q81" s="31"/>
      <c r="R81" s="31"/>
      <c r="S81" s="31"/>
      <c r="T81" s="32"/>
      <c r="U81" s="31"/>
      <c r="V81" s="31"/>
      <c r="W81" s="32"/>
      <c r="X81" s="31" t="n">
        <f aca="false">SUM(N81:W83)</f>
        <v>0</v>
      </c>
      <c r="Y81" s="31" t="n">
        <f aca="false">13359.3+13749.3</f>
        <v>27108.6</v>
      </c>
      <c r="Z81" s="30" t="n">
        <f aca="false">X81-Y81</f>
        <v>-27108.6</v>
      </c>
      <c r="AA81" s="31"/>
    </row>
    <row r="82" s="22" customFormat="true" ht="19.5" hidden="true" customHeight="true" outlineLevel="0" collapsed="false">
      <c r="A82" s="21"/>
      <c r="B82" s="21"/>
      <c r="C82" s="21" t="s">
        <v>143</v>
      </c>
      <c r="D82" s="21" t="s">
        <v>142</v>
      </c>
      <c r="E82" s="21"/>
      <c r="F82" s="21"/>
      <c r="G82" s="21"/>
      <c r="H82" s="21"/>
      <c r="I82" s="24"/>
      <c r="J82" s="21"/>
      <c r="K82" s="24"/>
      <c r="L82" s="21"/>
      <c r="M82" s="31"/>
      <c r="N82" s="31"/>
      <c r="O82" s="31"/>
      <c r="P82" s="31"/>
      <c r="Q82" s="31"/>
      <c r="R82" s="31"/>
      <c r="S82" s="31"/>
      <c r="T82" s="32"/>
      <c r="U82" s="31"/>
      <c r="V82" s="31"/>
      <c r="W82" s="32"/>
      <c r="X82" s="31"/>
      <c r="Y82" s="31"/>
      <c r="Z82" s="31"/>
      <c r="AA82" s="31"/>
    </row>
    <row r="83" s="22" customFormat="true" ht="19.5" hidden="true" customHeight="true" outlineLevel="0" collapsed="false">
      <c r="A83" s="21"/>
      <c r="B83" s="21" t="s">
        <v>137</v>
      </c>
      <c r="C83" s="21"/>
      <c r="D83" s="21"/>
      <c r="E83" s="21"/>
      <c r="F83" s="21"/>
      <c r="G83" s="21"/>
      <c r="H83" s="21"/>
      <c r="I83" s="24"/>
      <c r="J83" s="21"/>
      <c r="K83" s="24"/>
      <c r="L83" s="2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s="22" customFormat="true" ht="19.5" hidden="true" customHeight="true" outlineLevel="0" collapsed="false">
      <c r="A84" s="21" t="s">
        <v>181</v>
      </c>
      <c r="B84" s="23" t="s">
        <v>184</v>
      </c>
      <c r="C84" s="21" t="s">
        <v>141</v>
      </c>
      <c r="D84" s="21" t="s">
        <v>142</v>
      </c>
      <c r="E84" s="21"/>
      <c r="F84" s="21"/>
      <c r="G84" s="21"/>
      <c r="H84" s="21"/>
      <c r="I84" s="24"/>
      <c r="J84" s="21"/>
      <c r="K84" s="24"/>
      <c r="L84" s="21"/>
      <c r="M84" s="31"/>
      <c r="N84" s="31"/>
      <c r="O84" s="31" t="n">
        <f aca="false">K84+K85</f>
        <v>0</v>
      </c>
      <c r="P84" s="31"/>
      <c r="Q84" s="31"/>
      <c r="R84" s="31"/>
      <c r="S84" s="31"/>
      <c r="T84" s="32"/>
      <c r="U84" s="31"/>
      <c r="V84" s="31"/>
      <c r="W84" s="32"/>
      <c r="X84" s="31" t="n">
        <f aca="false">SUM(N84:W86)</f>
        <v>0</v>
      </c>
      <c r="Y84" s="31" t="n">
        <f aca="false">1904.1+1959.8</f>
        <v>3863.9</v>
      </c>
      <c r="Z84" s="30" t="n">
        <f aca="false">X84-Y84</f>
        <v>-3863.9</v>
      </c>
      <c r="AA84" s="31"/>
    </row>
    <row r="85" s="22" customFormat="true" ht="19.5" hidden="true" customHeight="true" outlineLevel="0" collapsed="false">
      <c r="A85" s="21"/>
      <c r="B85" s="21"/>
      <c r="C85" s="21" t="s">
        <v>143</v>
      </c>
      <c r="D85" s="21" t="s">
        <v>142</v>
      </c>
      <c r="E85" s="21"/>
      <c r="F85" s="21"/>
      <c r="G85" s="21"/>
      <c r="H85" s="21"/>
      <c r="I85" s="24"/>
      <c r="J85" s="21"/>
      <c r="K85" s="24"/>
      <c r="L85" s="21"/>
      <c r="M85" s="31"/>
      <c r="N85" s="31"/>
      <c r="O85" s="31"/>
      <c r="P85" s="31"/>
      <c r="Q85" s="31"/>
      <c r="R85" s="31"/>
      <c r="S85" s="31"/>
      <c r="T85" s="32"/>
      <c r="U85" s="31"/>
      <c r="V85" s="31"/>
      <c r="W85" s="32"/>
      <c r="X85" s="31"/>
      <c r="Y85" s="31"/>
      <c r="Z85" s="31"/>
      <c r="AA85" s="31"/>
    </row>
    <row r="86" s="22" customFormat="true" ht="19.5" hidden="true" customHeight="true" outlineLevel="0" collapsed="false">
      <c r="A86" s="21"/>
      <c r="B86" s="21" t="s">
        <v>137</v>
      </c>
      <c r="C86" s="21"/>
      <c r="D86" s="21"/>
      <c r="E86" s="21"/>
      <c r="F86" s="21"/>
      <c r="G86" s="21"/>
      <c r="H86" s="21"/>
      <c r="I86" s="24"/>
      <c r="J86" s="21"/>
      <c r="K86" s="24"/>
      <c r="L86" s="2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s="22" customFormat="true" ht="19.5" hidden="false" customHeight="true" outlineLevel="0" collapsed="false">
      <c r="A87" s="21" t="s">
        <v>181</v>
      </c>
      <c r="B87" s="23" t="s">
        <v>185</v>
      </c>
      <c r="C87" s="21" t="s">
        <v>141</v>
      </c>
      <c r="D87" s="21" t="s">
        <v>142</v>
      </c>
      <c r="E87" s="21"/>
      <c r="F87" s="21"/>
      <c r="G87" s="21"/>
      <c r="H87" s="21"/>
      <c r="I87" s="24"/>
      <c r="J87" s="21"/>
      <c r="K87" s="24"/>
      <c r="L87" s="21"/>
      <c r="M87" s="31"/>
      <c r="N87" s="31"/>
      <c r="O87" s="31"/>
      <c r="P87" s="31"/>
      <c r="Q87" s="31"/>
      <c r="R87" s="31" t="n">
        <f aca="false">K87+K88</f>
        <v>0</v>
      </c>
      <c r="S87" s="31"/>
      <c r="T87" s="32"/>
      <c r="U87" s="31"/>
      <c r="V87" s="31"/>
      <c r="W87" s="32"/>
      <c r="X87" s="31" t="n">
        <f aca="false">SUM(N87:W89)</f>
        <v>0</v>
      </c>
      <c r="Y87" s="31" t="n">
        <f aca="false">35163.5+2008</f>
        <v>37171.5</v>
      </c>
      <c r="Z87" s="30" t="n">
        <f aca="false">X87-Y87</f>
        <v>-37171.5</v>
      </c>
      <c r="AA87" s="31"/>
    </row>
    <row r="88" s="22" customFormat="true" ht="19.5" hidden="false" customHeight="true" outlineLevel="0" collapsed="false">
      <c r="A88" s="21"/>
      <c r="B88" s="21"/>
      <c r="C88" s="21" t="s">
        <v>143</v>
      </c>
      <c r="D88" s="21" t="s">
        <v>142</v>
      </c>
      <c r="E88" s="21"/>
      <c r="F88" s="21"/>
      <c r="G88" s="21"/>
      <c r="H88" s="21"/>
      <c r="I88" s="34"/>
      <c r="J88" s="28"/>
      <c r="K88" s="24"/>
      <c r="L88" s="21"/>
      <c r="M88" s="31"/>
      <c r="N88" s="31"/>
      <c r="O88" s="31"/>
      <c r="P88" s="31"/>
      <c r="Q88" s="31"/>
      <c r="R88" s="31"/>
      <c r="S88" s="31"/>
      <c r="T88" s="32"/>
      <c r="U88" s="31"/>
      <c r="V88" s="31"/>
      <c r="W88" s="32"/>
      <c r="X88" s="31"/>
      <c r="Y88" s="31"/>
      <c r="Z88" s="31"/>
      <c r="AA88" s="31"/>
    </row>
    <row r="89" s="22" customFormat="true" ht="19.5" hidden="true" customHeight="true" outlineLevel="0" collapsed="false">
      <c r="A89" s="21"/>
      <c r="B89" s="21" t="s">
        <v>137</v>
      </c>
      <c r="C89" s="21"/>
      <c r="D89" s="21"/>
      <c r="E89" s="21"/>
      <c r="F89" s="21"/>
      <c r="G89" s="21"/>
      <c r="H89" s="21"/>
      <c r="I89" s="24"/>
      <c r="J89" s="21"/>
      <c r="K89" s="24"/>
      <c r="L89" s="2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s="22" customFormat="true" ht="19.5" hidden="true" customHeight="true" outlineLevel="0" collapsed="false">
      <c r="A90" s="21" t="s">
        <v>186</v>
      </c>
      <c r="B90" s="23" t="s">
        <v>187</v>
      </c>
      <c r="C90" s="21" t="s">
        <v>141</v>
      </c>
      <c r="D90" s="21" t="s">
        <v>142</v>
      </c>
      <c r="E90" s="21"/>
      <c r="F90" s="21"/>
      <c r="G90" s="21"/>
      <c r="H90" s="21"/>
      <c r="I90" s="24"/>
      <c r="J90" s="21"/>
      <c r="K90" s="24"/>
      <c r="L90" s="21"/>
      <c r="M90" s="31"/>
      <c r="N90" s="31"/>
      <c r="O90" s="31" t="n">
        <f aca="false">K94+K95</f>
        <v>0</v>
      </c>
      <c r="P90" s="31"/>
      <c r="Q90" s="33" t="n">
        <f aca="false">K90</f>
        <v>0</v>
      </c>
      <c r="R90" s="31" t="n">
        <f aca="false">K91+K92+K93+K96+K97+K98</f>
        <v>0</v>
      </c>
      <c r="S90" s="31"/>
      <c r="T90" s="31"/>
      <c r="U90" s="31"/>
      <c r="V90" s="31"/>
      <c r="W90" s="31"/>
      <c r="X90" s="31" t="n">
        <f aca="false">SUM(N90:W99)</f>
        <v>0</v>
      </c>
      <c r="Y90" s="31" t="n">
        <v>47820.1</v>
      </c>
      <c r="Z90" s="30" t="n">
        <f aca="false">X90-Y90</f>
        <v>-47820.1</v>
      </c>
      <c r="AA90" s="31"/>
    </row>
    <row r="91" s="22" customFormat="true" ht="19.5" hidden="false" customHeight="true" outlineLevel="0" collapsed="false">
      <c r="A91" s="21"/>
      <c r="B91" s="21"/>
      <c r="C91" s="21" t="s">
        <v>143</v>
      </c>
      <c r="D91" s="21" t="s">
        <v>142</v>
      </c>
      <c r="E91" s="21"/>
      <c r="F91" s="21"/>
      <c r="G91" s="21"/>
      <c r="H91" s="21"/>
      <c r="I91" s="24"/>
      <c r="J91" s="21"/>
      <c r="K91" s="24"/>
      <c r="L91" s="2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s="22" customFormat="true" ht="19.5" hidden="false" customHeight="true" outlineLevel="0" collapsed="false">
      <c r="A92" s="21"/>
      <c r="B92" s="21"/>
      <c r="C92" s="21" t="s">
        <v>171</v>
      </c>
      <c r="D92" s="21" t="s">
        <v>142</v>
      </c>
      <c r="E92" s="21"/>
      <c r="F92" s="21"/>
      <c r="G92" s="21"/>
      <c r="H92" s="21"/>
      <c r="I92" s="24"/>
      <c r="J92" s="21"/>
      <c r="K92" s="24"/>
      <c r="L92" s="2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s="22" customFormat="true" ht="19.5" hidden="false" customHeight="true" outlineLevel="0" collapsed="false">
      <c r="A93" s="21"/>
      <c r="B93" s="21"/>
      <c r="C93" s="21" t="s">
        <v>144</v>
      </c>
      <c r="D93" s="21" t="s">
        <v>142</v>
      </c>
      <c r="E93" s="21"/>
      <c r="F93" s="21"/>
      <c r="G93" s="21"/>
      <c r="H93" s="21"/>
      <c r="I93" s="24"/>
      <c r="J93" s="21"/>
      <c r="K93" s="24"/>
      <c r="L93" s="2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s="22" customFormat="true" ht="19.5" hidden="true" customHeight="true" outlineLevel="0" collapsed="false">
      <c r="A94" s="21"/>
      <c r="B94" s="21"/>
      <c r="C94" s="21" t="s">
        <v>154</v>
      </c>
      <c r="D94" s="21" t="s">
        <v>142</v>
      </c>
      <c r="E94" s="21"/>
      <c r="F94" s="21"/>
      <c r="G94" s="21"/>
      <c r="H94" s="21"/>
      <c r="I94" s="34"/>
      <c r="J94" s="21"/>
      <c r="K94" s="24"/>
      <c r="L94" s="2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s="22" customFormat="true" ht="19.5" hidden="true" customHeight="true" outlineLevel="0" collapsed="false">
      <c r="A95" s="21"/>
      <c r="B95" s="21"/>
      <c r="C95" s="21" t="s">
        <v>172</v>
      </c>
      <c r="D95" s="21" t="s">
        <v>142</v>
      </c>
      <c r="E95" s="21"/>
      <c r="F95" s="21"/>
      <c r="G95" s="21"/>
      <c r="H95" s="21"/>
      <c r="I95" s="24"/>
      <c r="J95" s="21"/>
      <c r="K95" s="24"/>
      <c r="L95" s="2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s="22" customFormat="true" ht="19.5" hidden="false" customHeight="true" outlineLevel="0" collapsed="false">
      <c r="A96" s="21"/>
      <c r="B96" s="21"/>
      <c r="C96" s="21" t="s">
        <v>155</v>
      </c>
      <c r="D96" s="21" t="s">
        <v>142</v>
      </c>
      <c r="E96" s="21"/>
      <c r="F96" s="21"/>
      <c r="G96" s="21"/>
      <c r="H96" s="21"/>
      <c r="I96" s="24"/>
      <c r="J96" s="21"/>
      <c r="K96" s="24"/>
      <c r="L96" s="2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s="22" customFormat="true" ht="19.5" hidden="false" customHeight="true" outlineLevel="0" collapsed="false">
      <c r="A97" s="21"/>
      <c r="B97" s="21"/>
      <c r="C97" s="21" t="s">
        <v>156</v>
      </c>
      <c r="D97" s="21" t="s">
        <v>142</v>
      </c>
      <c r="E97" s="21"/>
      <c r="F97" s="21"/>
      <c r="G97" s="21"/>
      <c r="H97" s="21"/>
      <c r="I97" s="24"/>
      <c r="J97" s="21"/>
      <c r="K97" s="24"/>
      <c r="L97" s="2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s="22" customFormat="true" ht="19.5" hidden="false" customHeight="true" outlineLevel="0" collapsed="false">
      <c r="A98" s="21"/>
      <c r="B98" s="21"/>
      <c r="C98" s="21" t="s">
        <v>157</v>
      </c>
      <c r="D98" s="21" t="s">
        <v>142</v>
      </c>
      <c r="E98" s="21"/>
      <c r="F98" s="21"/>
      <c r="G98" s="21"/>
      <c r="H98" s="21"/>
      <c r="I98" s="24"/>
      <c r="J98" s="21"/>
      <c r="K98" s="24"/>
      <c r="L98" s="2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s="22" customFormat="true" ht="19.5" hidden="true" customHeight="true" outlineLevel="0" collapsed="false">
      <c r="A99" s="21"/>
      <c r="B99" s="21" t="s">
        <v>137</v>
      </c>
      <c r="C99" s="21"/>
      <c r="D99" s="21"/>
      <c r="E99" s="21"/>
      <c r="F99" s="21"/>
      <c r="G99" s="21"/>
      <c r="H99" s="21"/>
      <c r="I99" s="29"/>
      <c r="J99" s="21"/>
      <c r="K99" s="24"/>
      <c r="L99" s="2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s="22" customFormat="true" ht="19.5" hidden="true" customHeight="true" outlineLevel="0" collapsed="false">
      <c r="A100" s="21" t="s">
        <v>186</v>
      </c>
      <c r="B100" s="23" t="s">
        <v>188</v>
      </c>
      <c r="C100" s="21" t="s">
        <v>141</v>
      </c>
      <c r="D100" s="21" t="s">
        <v>142</v>
      </c>
      <c r="E100" s="21"/>
      <c r="F100" s="21"/>
      <c r="G100" s="21"/>
      <c r="H100" s="21"/>
      <c r="I100" s="24"/>
      <c r="J100" s="21"/>
      <c r="K100" s="24"/>
      <c r="L100" s="21"/>
      <c r="M100" s="31"/>
      <c r="N100" s="31"/>
      <c r="O100" s="31" t="n">
        <f aca="false">K104+K105</f>
        <v>0</v>
      </c>
      <c r="P100" s="31"/>
      <c r="Q100" s="31" t="n">
        <f aca="false">K100+K106</f>
        <v>0</v>
      </c>
      <c r="R100" s="31" t="n">
        <f aca="false">K101+K102+K103</f>
        <v>0</v>
      </c>
      <c r="S100" s="31"/>
      <c r="T100" s="31"/>
      <c r="U100" s="31"/>
      <c r="V100" s="31"/>
      <c r="W100" s="31"/>
      <c r="X100" s="31" t="n">
        <f aca="false">SUM(N100:W107)</f>
        <v>0</v>
      </c>
      <c r="Y100" s="31" t="n">
        <f aca="false">1205.8+4958.7+1418.2+1256+351.7+833.1+170.7</f>
        <v>10194.2</v>
      </c>
      <c r="Z100" s="30" t="n">
        <f aca="false">X100-Y100</f>
        <v>-10194.2</v>
      </c>
      <c r="AA100" s="31"/>
    </row>
    <row r="101" s="22" customFormat="true" ht="19.5" hidden="false" customHeight="true" outlineLevel="0" collapsed="false">
      <c r="A101" s="21"/>
      <c r="B101" s="21"/>
      <c r="C101" s="21" t="s">
        <v>143</v>
      </c>
      <c r="D101" s="21" t="s">
        <v>142</v>
      </c>
      <c r="E101" s="21"/>
      <c r="F101" s="21"/>
      <c r="G101" s="21"/>
      <c r="H101" s="21"/>
      <c r="I101" s="24"/>
      <c r="J101" s="21"/>
      <c r="K101" s="24"/>
      <c r="L101" s="2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s="22" customFormat="true" ht="19.5" hidden="false" customHeight="true" outlineLevel="0" collapsed="false">
      <c r="A102" s="21"/>
      <c r="B102" s="21"/>
      <c r="C102" s="21" t="s">
        <v>144</v>
      </c>
      <c r="D102" s="21" t="s">
        <v>142</v>
      </c>
      <c r="E102" s="21"/>
      <c r="F102" s="21"/>
      <c r="G102" s="21"/>
      <c r="H102" s="21"/>
      <c r="I102" s="24"/>
      <c r="J102" s="21"/>
      <c r="K102" s="24"/>
      <c r="L102" s="2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s="22" customFormat="true" ht="19.5" hidden="false" customHeight="true" outlineLevel="0" collapsed="false">
      <c r="A103" s="21"/>
      <c r="B103" s="21"/>
      <c r="C103" s="21" t="s">
        <v>154</v>
      </c>
      <c r="D103" s="21" t="s">
        <v>142</v>
      </c>
      <c r="E103" s="21"/>
      <c r="F103" s="21"/>
      <c r="G103" s="21"/>
      <c r="H103" s="21"/>
      <c r="I103" s="24"/>
      <c r="J103" s="21"/>
      <c r="K103" s="24"/>
      <c r="L103" s="2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s="22" customFormat="true" ht="19.5" hidden="true" customHeight="true" outlineLevel="0" collapsed="false">
      <c r="A104" s="21"/>
      <c r="B104" s="21"/>
      <c r="C104" s="21" t="s">
        <v>155</v>
      </c>
      <c r="D104" s="21" t="s">
        <v>142</v>
      </c>
      <c r="E104" s="21"/>
      <c r="F104" s="21"/>
      <c r="G104" s="21"/>
      <c r="H104" s="21"/>
      <c r="I104" s="24"/>
      <c r="J104" s="21"/>
      <c r="K104" s="24"/>
      <c r="L104" s="2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s="22" customFormat="true" ht="19.5" hidden="true" customHeight="true" outlineLevel="0" collapsed="false">
      <c r="A105" s="21"/>
      <c r="B105" s="21"/>
      <c r="C105" s="21" t="s">
        <v>156</v>
      </c>
      <c r="D105" s="21" t="s">
        <v>142</v>
      </c>
      <c r="E105" s="21"/>
      <c r="F105" s="21"/>
      <c r="G105" s="21"/>
      <c r="H105" s="21"/>
      <c r="I105" s="24"/>
      <c r="J105" s="21"/>
      <c r="K105" s="24"/>
      <c r="L105" s="2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s="22" customFormat="true" ht="19.5" hidden="true" customHeight="true" outlineLevel="0" collapsed="false">
      <c r="A106" s="21"/>
      <c r="B106" s="21"/>
      <c r="C106" s="21" t="s">
        <v>157</v>
      </c>
      <c r="D106" s="21" t="s">
        <v>142</v>
      </c>
      <c r="E106" s="21"/>
      <c r="F106" s="21"/>
      <c r="G106" s="21"/>
      <c r="H106" s="21"/>
      <c r="I106" s="24"/>
      <c r="J106" s="21"/>
      <c r="K106" s="24"/>
      <c r="L106" s="2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s="22" customFormat="true" ht="19.5" hidden="true" customHeight="true" outlineLevel="0" collapsed="false">
      <c r="A107" s="21"/>
      <c r="B107" s="21" t="s">
        <v>137</v>
      </c>
      <c r="C107" s="21"/>
      <c r="D107" s="21"/>
      <c r="E107" s="21"/>
      <c r="F107" s="21"/>
      <c r="G107" s="21"/>
      <c r="H107" s="21"/>
      <c r="I107" s="29"/>
      <c r="J107" s="21"/>
      <c r="K107" s="24"/>
      <c r="L107" s="2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s="22" customFormat="true" ht="19.5" hidden="true" customHeight="true" outlineLevel="0" collapsed="false">
      <c r="A108" s="21" t="s">
        <v>186</v>
      </c>
      <c r="B108" s="23" t="s">
        <v>189</v>
      </c>
      <c r="C108" s="21" t="s">
        <v>141</v>
      </c>
      <c r="D108" s="21" t="s">
        <v>142</v>
      </c>
      <c r="E108" s="21"/>
      <c r="F108" s="21"/>
      <c r="G108" s="21"/>
      <c r="H108" s="21"/>
      <c r="I108" s="24"/>
      <c r="J108" s="21"/>
      <c r="K108" s="24"/>
      <c r="L108" s="21"/>
      <c r="M108" s="31"/>
      <c r="N108" s="31"/>
      <c r="O108" s="30" t="n">
        <f aca="false">K114</f>
        <v>0</v>
      </c>
      <c r="P108" s="30"/>
      <c r="Q108" s="30" t="n">
        <f aca="false">K108+K115</f>
        <v>0</v>
      </c>
      <c r="R108" s="30" t="n">
        <f aca="false">K109+K110+K111+K112+K113</f>
        <v>0</v>
      </c>
      <c r="S108" s="30"/>
      <c r="T108" s="30"/>
      <c r="U108" s="30"/>
      <c r="V108" s="30"/>
      <c r="W108" s="30"/>
      <c r="X108" s="30" t="n">
        <f aca="false">SUM(N108:W116)</f>
        <v>0</v>
      </c>
      <c r="Y108" s="31" t="n">
        <f aca="false">2411.5+9922.4+1413.2+1372.3+2512+703.4+1667+170.7</f>
        <v>20172.5</v>
      </c>
      <c r="Z108" s="30" t="n">
        <f aca="false">X108-Y108</f>
        <v>-20172.5</v>
      </c>
      <c r="AA108" s="31"/>
    </row>
    <row r="109" s="22" customFormat="true" ht="19.5" hidden="false" customHeight="true" outlineLevel="0" collapsed="false">
      <c r="A109" s="21"/>
      <c r="B109" s="21"/>
      <c r="C109" s="21" t="s">
        <v>143</v>
      </c>
      <c r="D109" s="21" t="s">
        <v>142</v>
      </c>
      <c r="E109" s="21"/>
      <c r="F109" s="21"/>
      <c r="G109" s="21"/>
      <c r="H109" s="21"/>
      <c r="I109" s="24"/>
      <c r="J109" s="21"/>
      <c r="K109" s="24"/>
      <c r="L109" s="2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s="22" customFormat="true" ht="19.5" hidden="false" customHeight="true" outlineLevel="0" collapsed="false">
      <c r="A110" s="21"/>
      <c r="B110" s="21"/>
      <c r="C110" s="21" t="s">
        <v>144</v>
      </c>
      <c r="D110" s="21" t="s">
        <v>142</v>
      </c>
      <c r="E110" s="21"/>
      <c r="F110" s="21"/>
      <c r="G110" s="21"/>
      <c r="H110" s="21"/>
      <c r="I110" s="24"/>
      <c r="J110" s="21"/>
      <c r="K110" s="24"/>
      <c r="L110" s="2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s="22" customFormat="true" ht="19.5" hidden="false" customHeight="true" outlineLevel="0" collapsed="false">
      <c r="A111" s="21"/>
      <c r="B111" s="21"/>
      <c r="C111" s="21" t="s">
        <v>146</v>
      </c>
      <c r="D111" s="21" t="s">
        <v>142</v>
      </c>
      <c r="E111" s="21"/>
      <c r="F111" s="21"/>
      <c r="G111" s="21"/>
      <c r="H111" s="21"/>
      <c r="I111" s="24"/>
      <c r="J111" s="21"/>
      <c r="K111" s="24"/>
      <c r="L111" s="2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s="22" customFormat="true" ht="19.5" hidden="false" customHeight="true" outlineLevel="0" collapsed="false">
      <c r="A112" s="21"/>
      <c r="B112" s="21"/>
      <c r="C112" s="21" t="s">
        <v>154</v>
      </c>
      <c r="D112" s="21" t="s">
        <v>142</v>
      </c>
      <c r="E112" s="21"/>
      <c r="F112" s="21"/>
      <c r="G112" s="21"/>
      <c r="H112" s="21"/>
      <c r="I112" s="24"/>
      <c r="J112" s="21"/>
      <c r="K112" s="24"/>
      <c r="L112" s="2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s="22" customFormat="true" ht="19.5" hidden="false" customHeight="true" outlineLevel="0" collapsed="false">
      <c r="A113" s="21"/>
      <c r="B113" s="21"/>
      <c r="C113" s="21" t="s">
        <v>155</v>
      </c>
      <c r="D113" s="21" t="s">
        <v>142</v>
      </c>
      <c r="E113" s="21"/>
      <c r="F113" s="21"/>
      <c r="G113" s="21"/>
      <c r="H113" s="21"/>
      <c r="I113" s="24"/>
      <c r="J113" s="21"/>
      <c r="K113" s="24"/>
      <c r="L113" s="2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s="22" customFormat="true" ht="19.5" hidden="true" customHeight="true" outlineLevel="0" collapsed="false">
      <c r="A114" s="21"/>
      <c r="B114" s="21"/>
      <c r="C114" s="21" t="s">
        <v>156</v>
      </c>
      <c r="D114" s="21" t="s">
        <v>142</v>
      </c>
      <c r="E114" s="21"/>
      <c r="F114" s="21"/>
      <c r="G114" s="21"/>
      <c r="H114" s="21"/>
      <c r="I114" s="24"/>
      <c r="J114" s="21"/>
      <c r="K114" s="24"/>
      <c r="L114" s="2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s="22" customFormat="true" ht="19.5" hidden="true" customHeight="true" outlineLevel="0" collapsed="false">
      <c r="A115" s="21"/>
      <c r="B115" s="21"/>
      <c r="C115" s="21" t="s">
        <v>157</v>
      </c>
      <c r="D115" s="21" t="s">
        <v>142</v>
      </c>
      <c r="E115" s="21"/>
      <c r="F115" s="21"/>
      <c r="G115" s="21"/>
      <c r="H115" s="21"/>
      <c r="I115" s="24"/>
      <c r="J115" s="21"/>
      <c r="K115" s="24"/>
      <c r="L115" s="2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s="22" customFormat="true" ht="19.5" hidden="true" customHeight="true" outlineLevel="0" collapsed="false">
      <c r="A116" s="21"/>
      <c r="B116" s="21" t="s">
        <v>137</v>
      </c>
      <c r="C116" s="21"/>
      <c r="D116" s="21"/>
      <c r="E116" s="21"/>
      <c r="F116" s="21"/>
      <c r="G116" s="21"/>
      <c r="H116" s="21"/>
      <c r="I116" s="29"/>
      <c r="J116" s="21"/>
      <c r="K116" s="24"/>
      <c r="L116" s="2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s="22" customFormat="true" ht="19.5" hidden="true" customHeight="true" outlineLevel="0" collapsed="false">
      <c r="A117" s="21" t="s">
        <v>186</v>
      </c>
      <c r="B117" s="23" t="s">
        <v>190</v>
      </c>
      <c r="C117" s="21" t="s">
        <v>141</v>
      </c>
      <c r="D117" s="21" t="s">
        <v>142</v>
      </c>
      <c r="E117" s="28"/>
      <c r="F117" s="21"/>
      <c r="G117" s="21"/>
      <c r="H117" s="21"/>
      <c r="I117" s="24"/>
      <c r="J117" s="21"/>
      <c r="K117" s="24"/>
      <c r="L117" s="21"/>
      <c r="M117" s="31"/>
      <c r="N117" s="31"/>
      <c r="O117" s="30" t="n">
        <f aca="false">K123</f>
        <v>0</v>
      </c>
      <c r="P117" s="30"/>
      <c r="Q117" s="30" t="n">
        <f aca="false">K117</f>
        <v>0</v>
      </c>
      <c r="R117" s="30" t="n">
        <f aca="false">K118+K119+K120+K121+K122</f>
        <v>0</v>
      </c>
      <c r="S117" s="30"/>
      <c r="T117" s="30"/>
      <c r="U117" s="30"/>
      <c r="V117" s="30"/>
      <c r="W117" s="30"/>
      <c r="X117" s="30" t="n">
        <f aca="false">SUM(N117:W124)</f>
        <v>0</v>
      </c>
      <c r="Y117" s="31" t="n">
        <f aca="false">3617.3+14139.4+2058.4+2793.5+3768+1055+2500.4</f>
        <v>29932</v>
      </c>
      <c r="Z117" s="30" t="n">
        <f aca="false">X117-Y117</f>
        <v>-29932</v>
      </c>
      <c r="AA117" s="31"/>
    </row>
    <row r="118" s="22" customFormat="true" ht="19.5" hidden="false" customHeight="true" outlineLevel="0" collapsed="false">
      <c r="A118" s="21"/>
      <c r="B118" s="21"/>
      <c r="C118" s="21" t="s">
        <v>143</v>
      </c>
      <c r="D118" s="21" t="s">
        <v>142</v>
      </c>
      <c r="E118" s="21"/>
      <c r="F118" s="21"/>
      <c r="G118" s="21"/>
      <c r="H118" s="21"/>
      <c r="I118" s="24"/>
      <c r="J118" s="21"/>
      <c r="K118" s="24"/>
      <c r="L118" s="2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s="22" customFormat="true" ht="19.5" hidden="false" customHeight="true" outlineLevel="0" collapsed="false">
      <c r="A119" s="21"/>
      <c r="B119" s="21"/>
      <c r="C119" s="21" t="s">
        <v>144</v>
      </c>
      <c r="D119" s="21" t="s">
        <v>142</v>
      </c>
      <c r="E119" s="21"/>
      <c r="F119" s="21"/>
      <c r="G119" s="21"/>
      <c r="H119" s="21"/>
      <c r="I119" s="24"/>
      <c r="J119" s="21"/>
      <c r="K119" s="24"/>
      <c r="L119" s="2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s="22" customFormat="true" ht="19.5" hidden="false" customHeight="true" outlineLevel="0" collapsed="false">
      <c r="A120" s="21"/>
      <c r="B120" s="21"/>
      <c r="C120" s="21" t="s">
        <v>146</v>
      </c>
      <c r="D120" s="21" t="s">
        <v>142</v>
      </c>
      <c r="E120" s="21"/>
      <c r="F120" s="21"/>
      <c r="G120" s="21"/>
      <c r="H120" s="21"/>
      <c r="I120" s="24"/>
      <c r="J120" s="21"/>
      <c r="K120" s="24"/>
      <c r="L120" s="2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s="22" customFormat="true" ht="19.5" hidden="false" customHeight="true" outlineLevel="0" collapsed="false">
      <c r="A121" s="21"/>
      <c r="B121" s="21"/>
      <c r="C121" s="21" t="s">
        <v>154</v>
      </c>
      <c r="D121" s="21" t="s">
        <v>142</v>
      </c>
      <c r="E121" s="28"/>
      <c r="F121" s="21"/>
      <c r="G121" s="21"/>
      <c r="H121" s="21"/>
      <c r="I121" s="24"/>
      <c r="J121" s="21"/>
      <c r="K121" s="24"/>
      <c r="L121" s="2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s="22" customFormat="true" ht="19.5" hidden="false" customHeight="true" outlineLevel="0" collapsed="false">
      <c r="A122" s="21"/>
      <c r="B122" s="21"/>
      <c r="C122" s="21" t="s">
        <v>155</v>
      </c>
      <c r="D122" s="21" t="s">
        <v>142</v>
      </c>
      <c r="E122" s="28"/>
      <c r="F122" s="21"/>
      <c r="G122" s="21"/>
      <c r="H122" s="21"/>
      <c r="I122" s="24"/>
      <c r="J122" s="21"/>
      <c r="K122" s="24"/>
      <c r="L122" s="2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s="22" customFormat="true" ht="19.5" hidden="true" customHeight="true" outlineLevel="0" collapsed="false">
      <c r="A123" s="21"/>
      <c r="B123" s="21"/>
      <c r="C123" s="21" t="s">
        <v>156</v>
      </c>
      <c r="D123" s="21" t="s">
        <v>142</v>
      </c>
      <c r="E123" s="21"/>
      <c r="F123" s="21"/>
      <c r="G123" s="21"/>
      <c r="H123" s="21"/>
      <c r="I123" s="24"/>
      <c r="J123" s="21"/>
      <c r="K123" s="24"/>
      <c r="L123" s="2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s="22" customFormat="true" ht="19.5" hidden="true" customHeight="true" outlineLevel="0" collapsed="false">
      <c r="A124" s="21"/>
      <c r="B124" s="21" t="s">
        <v>137</v>
      </c>
      <c r="C124" s="21"/>
      <c r="D124" s="21"/>
      <c r="E124" s="21"/>
      <c r="F124" s="21"/>
      <c r="G124" s="21"/>
      <c r="H124" s="21"/>
      <c r="I124" s="29"/>
      <c r="J124" s="21"/>
      <c r="K124" s="24"/>
      <c r="L124" s="2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s="22" customFormat="true" ht="19.5" hidden="true" customHeight="true" outlineLevel="0" collapsed="false">
      <c r="A125" s="21" t="s">
        <v>186</v>
      </c>
      <c r="B125" s="23" t="s">
        <v>191</v>
      </c>
      <c r="C125" s="21" t="s">
        <v>192</v>
      </c>
      <c r="D125" s="21" t="s">
        <v>142</v>
      </c>
      <c r="E125" s="21"/>
      <c r="F125" s="21"/>
      <c r="G125" s="21"/>
      <c r="H125" s="21"/>
      <c r="I125" s="24"/>
      <c r="J125" s="21"/>
      <c r="K125" s="24"/>
      <c r="L125" s="21"/>
      <c r="M125" s="31"/>
      <c r="N125" s="30"/>
      <c r="O125" s="30" t="n">
        <f aca="false">K125+K126+K127+K128+K129</f>
        <v>0</v>
      </c>
      <c r="P125" s="30"/>
      <c r="Q125" s="30"/>
      <c r="R125" s="30"/>
      <c r="S125" s="30"/>
      <c r="T125" s="30"/>
      <c r="U125" s="30"/>
      <c r="V125" s="30"/>
      <c r="W125" s="30"/>
      <c r="X125" s="30" t="n">
        <f aca="false">SUM(N125:W131)</f>
        <v>0</v>
      </c>
      <c r="Y125" s="31" t="n">
        <f aca="false">1356.5+6276+1782.4+1356.5+770.5+616.7</f>
        <v>12158.6</v>
      </c>
      <c r="Z125" s="30" t="n">
        <f aca="false">X125-Y125</f>
        <v>-12158.6</v>
      </c>
      <c r="AA125" s="31"/>
    </row>
    <row r="126" s="22" customFormat="true" ht="19.5" hidden="true" customHeight="true" outlineLevel="0" collapsed="false">
      <c r="A126" s="21"/>
      <c r="B126" s="21"/>
      <c r="C126" s="21" t="s">
        <v>193</v>
      </c>
      <c r="D126" s="21" t="s">
        <v>142</v>
      </c>
      <c r="E126" s="21"/>
      <c r="F126" s="21"/>
      <c r="G126" s="21"/>
      <c r="H126" s="21"/>
      <c r="I126" s="24"/>
      <c r="J126" s="21"/>
      <c r="K126" s="24"/>
      <c r="L126" s="2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s="22" customFormat="true" ht="19.5" hidden="true" customHeight="true" outlineLevel="0" collapsed="false">
      <c r="A127" s="21"/>
      <c r="B127" s="21"/>
      <c r="C127" s="21" t="s">
        <v>194</v>
      </c>
      <c r="D127" s="21" t="s">
        <v>142</v>
      </c>
      <c r="E127" s="21"/>
      <c r="F127" s="21"/>
      <c r="G127" s="21"/>
      <c r="H127" s="21"/>
      <c r="I127" s="24"/>
      <c r="J127" s="21"/>
      <c r="K127" s="24"/>
      <c r="L127" s="2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s="22" customFormat="true" ht="19.5" hidden="true" customHeight="true" outlineLevel="0" collapsed="false">
      <c r="A128" s="21"/>
      <c r="B128" s="21"/>
      <c r="C128" s="21" t="s">
        <v>195</v>
      </c>
      <c r="D128" s="21" t="s">
        <v>142</v>
      </c>
      <c r="E128" s="21"/>
      <c r="F128" s="21"/>
      <c r="G128" s="21"/>
      <c r="H128" s="21"/>
      <c r="I128" s="24"/>
      <c r="J128" s="21"/>
      <c r="K128" s="24"/>
      <c r="L128" s="2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s="22" customFormat="true" ht="19.5" hidden="true" customHeight="true" outlineLevel="0" collapsed="false">
      <c r="A129" s="21"/>
      <c r="B129" s="21"/>
      <c r="C129" s="21" t="s">
        <v>196</v>
      </c>
      <c r="D129" s="21" t="s">
        <v>142</v>
      </c>
      <c r="E129" s="21"/>
      <c r="F129" s="21"/>
      <c r="G129" s="21"/>
      <c r="H129" s="21"/>
      <c r="I129" s="24"/>
      <c r="J129" s="21"/>
      <c r="K129" s="24"/>
      <c r="L129" s="2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s="22" customFormat="true" ht="19.5" hidden="true" customHeight="true" outlineLevel="0" collapsed="false">
      <c r="A130" s="21"/>
      <c r="B130" s="21"/>
      <c r="C130" s="21" t="s">
        <v>197</v>
      </c>
      <c r="D130" s="21" t="s">
        <v>142</v>
      </c>
      <c r="E130" s="21"/>
      <c r="F130" s="21"/>
      <c r="G130" s="21"/>
      <c r="H130" s="21"/>
      <c r="I130" s="24"/>
      <c r="J130" s="21"/>
      <c r="K130" s="24"/>
      <c r="L130" s="2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s="22" customFormat="true" ht="19.5" hidden="true" customHeight="true" outlineLevel="0" collapsed="false">
      <c r="A131" s="21"/>
      <c r="B131" s="21" t="s">
        <v>137</v>
      </c>
      <c r="C131" s="21"/>
      <c r="D131" s="21"/>
      <c r="E131" s="21"/>
      <c r="F131" s="21"/>
      <c r="G131" s="21"/>
      <c r="H131" s="21"/>
      <c r="I131" s="29"/>
      <c r="J131" s="21"/>
      <c r="K131" s="24"/>
      <c r="L131" s="2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s="22" customFormat="true" ht="19.5" hidden="true" customHeight="true" outlineLevel="0" collapsed="false">
      <c r="A132" s="21" t="s">
        <v>186</v>
      </c>
      <c r="B132" s="23" t="s">
        <v>198</v>
      </c>
      <c r="C132" s="21" t="s">
        <v>192</v>
      </c>
      <c r="D132" s="21" t="s">
        <v>142</v>
      </c>
      <c r="E132" s="21"/>
      <c r="F132" s="21"/>
      <c r="G132" s="21"/>
      <c r="H132" s="21"/>
      <c r="I132" s="24"/>
      <c r="J132" s="21"/>
      <c r="K132" s="24"/>
      <c r="L132" s="21"/>
      <c r="M132" s="31"/>
      <c r="N132" s="30"/>
      <c r="O132" s="30" t="n">
        <f aca="false">K132+K133+K134+K135+K136</f>
        <v>0</v>
      </c>
      <c r="P132" s="30"/>
      <c r="Q132" s="30"/>
      <c r="R132" s="30"/>
      <c r="S132" s="30"/>
      <c r="T132" s="30"/>
      <c r="U132" s="30"/>
      <c r="V132" s="30"/>
      <c r="W132" s="30"/>
      <c r="X132" s="30" t="n">
        <f aca="false">SUM(N132:W138)</f>
        <v>0</v>
      </c>
      <c r="Y132" s="31" t="n">
        <f aca="false">5425.9+25103.9+7179.7+5425.9+3103.6+2467</f>
        <v>48706</v>
      </c>
      <c r="Z132" s="30" t="n">
        <f aca="false">X132-Y132</f>
        <v>-48706</v>
      </c>
      <c r="AA132" s="31"/>
    </row>
    <row r="133" s="22" customFormat="true" ht="19.5" hidden="true" customHeight="true" outlineLevel="0" collapsed="false">
      <c r="A133" s="21"/>
      <c r="B133" s="21"/>
      <c r="C133" s="21" t="s">
        <v>193</v>
      </c>
      <c r="D133" s="21" t="s">
        <v>142</v>
      </c>
      <c r="E133" s="21"/>
      <c r="F133" s="21"/>
      <c r="G133" s="21"/>
      <c r="H133" s="21"/>
      <c r="I133" s="24"/>
      <c r="J133" s="21"/>
      <c r="K133" s="24"/>
      <c r="L133" s="2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s="22" customFormat="true" ht="19.5" hidden="true" customHeight="true" outlineLevel="0" collapsed="false">
      <c r="A134" s="21"/>
      <c r="B134" s="21"/>
      <c r="C134" s="21" t="s">
        <v>194</v>
      </c>
      <c r="D134" s="21" t="s">
        <v>142</v>
      </c>
      <c r="E134" s="21"/>
      <c r="F134" s="21"/>
      <c r="G134" s="21"/>
      <c r="H134" s="21"/>
      <c r="I134" s="24"/>
      <c r="J134" s="21"/>
      <c r="K134" s="24"/>
      <c r="L134" s="2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s="22" customFormat="true" ht="19.5" hidden="true" customHeight="true" outlineLevel="0" collapsed="false">
      <c r="A135" s="21"/>
      <c r="B135" s="21"/>
      <c r="C135" s="21" t="s">
        <v>195</v>
      </c>
      <c r="D135" s="21" t="s">
        <v>142</v>
      </c>
      <c r="E135" s="21"/>
      <c r="F135" s="21"/>
      <c r="G135" s="21"/>
      <c r="H135" s="21"/>
      <c r="I135" s="24"/>
      <c r="J135" s="21"/>
      <c r="K135" s="24"/>
      <c r="L135" s="2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s="22" customFormat="true" ht="19.5" hidden="true" customHeight="true" outlineLevel="0" collapsed="false">
      <c r="A136" s="21"/>
      <c r="B136" s="21"/>
      <c r="C136" s="21" t="s">
        <v>196</v>
      </c>
      <c r="D136" s="21" t="s">
        <v>142</v>
      </c>
      <c r="E136" s="21"/>
      <c r="F136" s="21"/>
      <c r="G136" s="21"/>
      <c r="H136" s="21"/>
      <c r="I136" s="24"/>
      <c r="J136" s="21"/>
      <c r="K136" s="24"/>
      <c r="L136" s="2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s="22" customFormat="true" ht="19.5" hidden="true" customHeight="true" outlineLevel="0" collapsed="false">
      <c r="A137" s="21"/>
      <c r="B137" s="21"/>
      <c r="C137" s="21" t="s">
        <v>197</v>
      </c>
      <c r="D137" s="21" t="s">
        <v>142</v>
      </c>
      <c r="E137" s="21"/>
      <c r="F137" s="21"/>
      <c r="G137" s="21"/>
      <c r="H137" s="21"/>
      <c r="I137" s="24"/>
      <c r="J137" s="21"/>
      <c r="K137" s="24"/>
      <c r="L137" s="2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s="22" customFormat="true" ht="19.5" hidden="true" customHeight="true" outlineLevel="0" collapsed="false">
      <c r="A138" s="21"/>
      <c r="B138" s="21" t="s">
        <v>137</v>
      </c>
      <c r="C138" s="21"/>
      <c r="D138" s="21"/>
      <c r="E138" s="21"/>
      <c r="F138" s="21"/>
      <c r="G138" s="21"/>
      <c r="H138" s="21"/>
      <c r="I138" s="29"/>
      <c r="J138" s="21"/>
      <c r="K138" s="24"/>
      <c r="L138" s="2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s="22" customFormat="true" ht="25.5" hidden="true" customHeight="true" outlineLevel="0" collapsed="false">
      <c r="A139" s="35" t="s">
        <v>199</v>
      </c>
      <c r="B139" s="35"/>
      <c r="C139" s="35"/>
      <c r="D139" s="35" t="s">
        <v>34</v>
      </c>
      <c r="E139" s="35" t="s">
        <v>2</v>
      </c>
      <c r="F139" s="35" t="s">
        <v>4</v>
      </c>
      <c r="G139" s="35" t="s">
        <v>3</v>
      </c>
      <c r="H139" s="35"/>
      <c r="I139" s="35" t="s">
        <v>5</v>
      </c>
      <c r="J139" s="21"/>
      <c r="K139" s="24"/>
      <c r="L139" s="21"/>
      <c r="M139" s="21" t="s">
        <v>200</v>
      </c>
      <c r="N139" s="25" t="n">
        <f aca="false">SUM(N4:N138)</f>
        <v>0</v>
      </c>
      <c r="O139" s="25" t="n">
        <f aca="false">SUM(O4:O138)</f>
        <v>0</v>
      </c>
      <c r="P139" s="25" t="n">
        <f aca="false">SUM(P4:P138)</f>
        <v>0</v>
      </c>
      <c r="Q139" s="25" t="n">
        <f aca="false">SUM(Q4:Q138)</f>
        <v>0</v>
      </c>
      <c r="R139" s="25" t="n">
        <f aca="false">SUM(R4:R138)</f>
        <v>0</v>
      </c>
      <c r="S139" s="25" t="n">
        <f aca="false">SUM(S4:S138)</f>
        <v>0</v>
      </c>
      <c r="T139" s="25" t="n">
        <f aca="false">SUM(T4:T138)</f>
        <v>0</v>
      </c>
      <c r="U139" s="25" t="n">
        <f aca="false">SUM(U4:U138)</f>
        <v>0</v>
      </c>
      <c r="V139" s="25" t="n">
        <f aca="false">SUM(V4:V138)</f>
        <v>0</v>
      </c>
      <c r="W139" s="25" t="n">
        <f aca="false">SUM(W4:W138)</f>
        <v>0</v>
      </c>
      <c r="X139" s="25" t="n">
        <f aca="false">SUM(X4:X138)</f>
        <v>0</v>
      </c>
      <c r="Y139" s="25" t="n">
        <f aca="false">SUM(Y4:Y138)</f>
        <v>692490.8</v>
      </c>
      <c r="Z139" s="25" t="n">
        <f aca="false">X139-Y139</f>
        <v>-692490.8</v>
      </c>
      <c r="AA139" s="21"/>
    </row>
    <row r="140" s="22" customFormat="true" ht="25.5" hidden="true" customHeight="true" outlineLevel="0" collapsed="false">
      <c r="A140" s="35" t="s">
        <v>201</v>
      </c>
      <c r="B140" s="35"/>
      <c r="C140" s="35"/>
      <c r="D140" s="35" t="str">
        <f aca="false">D137</f>
        <v>Q355MD</v>
      </c>
      <c r="E140" s="35" t="s">
        <v>11</v>
      </c>
      <c r="F140" s="36" t="n">
        <f aca="false">X139</f>
        <v>0</v>
      </c>
      <c r="G140" s="36" t="n">
        <f aca="false">Y139</f>
        <v>692490.8</v>
      </c>
      <c r="H140" s="36"/>
      <c r="I140" s="36" t="n">
        <f aca="false">F140-G140</f>
        <v>-692490.8</v>
      </c>
      <c r="J140" s="21"/>
      <c r="K140" s="24"/>
      <c r="L140" s="21"/>
      <c r="M140" s="21" t="s">
        <v>202</v>
      </c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 t="n">
        <f aca="false">SUM(O140:V140)</f>
        <v>0</v>
      </c>
      <c r="Y140" s="21" t="n">
        <f aca="false">X140</f>
        <v>0</v>
      </c>
      <c r="Z140" s="25" t="n">
        <f aca="false">X140-Y140</f>
        <v>0</v>
      </c>
      <c r="AA140" s="21"/>
    </row>
    <row r="141" s="22" customFormat="true" ht="19.5" hidden="true" customHeight="true" outlineLevel="0" collapsed="false">
      <c r="A141" s="21"/>
      <c r="B141" s="21"/>
      <c r="C141" s="21"/>
      <c r="D141" s="21"/>
      <c r="E141" s="21"/>
      <c r="F141" s="21"/>
      <c r="G141" s="21"/>
      <c r="H141" s="21"/>
      <c r="I141" s="29"/>
      <c r="J141" s="21"/>
      <c r="K141" s="24"/>
      <c r="L141" s="21"/>
      <c r="M141" s="21" t="s">
        <v>5</v>
      </c>
      <c r="N141" s="25" t="n">
        <f aca="false">N139-N140</f>
        <v>0</v>
      </c>
      <c r="O141" s="25" t="n">
        <f aca="false">O139-O140</f>
        <v>0</v>
      </c>
      <c r="P141" s="25" t="n">
        <f aca="false">P139-P140</f>
        <v>0</v>
      </c>
      <c r="Q141" s="25" t="n">
        <f aca="false">Q139-Q140</f>
        <v>0</v>
      </c>
      <c r="R141" s="25" t="n">
        <f aca="false">R139-R140</f>
        <v>0</v>
      </c>
      <c r="S141" s="25" t="n">
        <f aca="false">S139-S140</f>
        <v>0</v>
      </c>
      <c r="T141" s="25" t="n">
        <f aca="false">T139-T140</f>
        <v>0</v>
      </c>
      <c r="U141" s="25" t="n">
        <f aca="false">U139-U140</f>
        <v>0</v>
      </c>
      <c r="V141" s="25" t="n">
        <f aca="false">V139-V140</f>
        <v>0</v>
      </c>
      <c r="W141" s="25" t="n">
        <f aca="false">W139-W140</f>
        <v>0</v>
      </c>
      <c r="X141" s="25" t="n">
        <f aca="false">X139-X140</f>
        <v>0</v>
      </c>
      <c r="Y141" s="21"/>
      <c r="Z141" s="21"/>
      <c r="AA141" s="21"/>
    </row>
    <row r="142" s="22" customFormat="true" ht="19.5" hidden="false" customHeight="true" outlineLevel="0" collapsed="false">
      <c r="A142" s="21"/>
      <c r="B142" s="21"/>
      <c r="C142" s="21"/>
      <c r="D142" s="21"/>
      <c r="E142" s="21"/>
      <c r="F142" s="21"/>
      <c r="G142" s="21"/>
      <c r="H142" s="21"/>
      <c r="I142" s="29"/>
      <c r="J142" s="21"/>
      <c r="K142" s="24"/>
      <c r="L142" s="21"/>
    </row>
  </sheetData>
  <autoFilter ref="A3:AA141">
    <filterColumn colId="6">
      <filters>
        <filter val="20"/>
      </filters>
    </filterColumn>
  </autoFilter>
  <mergeCells count="362">
    <mergeCell ref="A1:L1"/>
    <mergeCell ref="A2:A3"/>
    <mergeCell ref="B2:B3"/>
    <mergeCell ref="C2:C3"/>
    <mergeCell ref="D2:D3"/>
    <mergeCell ref="J2:J3"/>
    <mergeCell ref="L2:L3"/>
    <mergeCell ref="M2:M3"/>
    <mergeCell ref="O2:X2"/>
    <mergeCell ref="Y2:Y3"/>
    <mergeCell ref="A4:A23"/>
    <mergeCell ref="B4:B22"/>
    <mergeCell ref="M4:M23"/>
    <mergeCell ref="N4:N23"/>
    <mergeCell ref="O4:O23"/>
    <mergeCell ref="P4:P23"/>
    <mergeCell ref="Q4:Q23"/>
    <mergeCell ref="R4:R23"/>
    <mergeCell ref="S4:S23"/>
    <mergeCell ref="U4:U23"/>
    <mergeCell ref="V4:V23"/>
    <mergeCell ref="X4:X23"/>
    <mergeCell ref="Y4:Y23"/>
    <mergeCell ref="Z4:Z23"/>
    <mergeCell ref="AA4:AA23"/>
    <mergeCell ref="B23:C23"/>
    <mergeCell ref="A24:A29"/>
    <mergeCell ref="B24:B28"/>
    <mergeCell ref="M24:M29"/>
    <mergeCell ref="N24:N29"/>
    <mergeCell ref="O24:O29"/>
    <mergeCell ref="P24:P29"/>
    <mergeCell ref="Q24:Q29"/>
    <mergeCell ref="R24:R29"/>
    <mergeCell ref="S24:S29"/>
    <mergeCell ref="U24:U29"/>
    <mergeCell ref="V24:V29"/>
    <mergeCell ref="X24:X29"/>
    <mergeCell ref="Y24:Y29"/>
    <mergeCell ref="Z24:Z29"/>
    <mergeCell ref="AA24:AA29"/>
    <mergeCell ref="B29:C29"/>
    <mergeCell ref="A30:A35"/>
    <mergeCell ref="B30:B34"/>
    <mergeCell ref="M30:M35"/>
    <mergeCell ref="N30:N35"/>
    <mergeCell ref="O30:O35"/>
    <mergeCell ref="P30:P35"/>
    <mergeCell ref="Q30:Q35"/>
    <mergeCell ref="R30:R35"/>
    <mergeCell ref="S30:S35"/>
    <mergeCell ref="U30:U35"/>
    <mergeCell ref="V30:V35"/>
    <mergeCell ref="X30:X35"/>
    <mergeCell ref="Y30:Y35"/>
    <mergeCell ref="Z30:Z35"/>
    <mergeCell ref="AA30:AA35"/>
    <mergeCell ref="B35:C35"/>
    <mergeCell ref="A36:A41"/>
    <mergeCell ref="B36:B40"/>
    <mergeCell ref="M36:M41"/>
    <mergeCell ref="N36:N41"/>
    <mergeCell ref="O36:O41"/>
    <mergeCell ref="P36:P41"/>
    <mergeCell ref="Q36:Q41"/>
    <mergeCell ref="R36:R41"/>
    <mergeCell ref="S36:S41"/>
    <mergeCell ref="U36:U41"/>
    <mergeCell ref="V36:V41"/>
    <mergeCell ref="X36:X41"/>
    <mergeCell ref="Y36:Y41"/>
    <mergeCell ref="Z36:Z41"/>
    <mergeCell ref="AA36:AA41"/>
    <mergeCell ref="B41:C41"/>
    <mergeCell ref="A42:A53"/>
    <mergeCell ref="B42:B52"/>
    <mergeCell ref="M42:M53"/>
    <mergeCell ref="N42:N53"/>
    <mergeCell ref="O42:O53"/>
    <mergeCell ref="P42:P53"/>
    <mergeCell ref="Q42:Q53"/>
    <mergeCell ref="R42:R53"/>
    <mergeCell ref="S42:S53"/>
    <mergeCell ref="T42:T53"/>
    <mergeCell ref="U42:U53"/>
    <mergeCell ref="V42:V53"/>
    <mergeCell ref="W42:W53"/>
    <mergeCell ref="X42:X53"/>
    <mergeCell ref="Y42:Y53"/>
    <mergeCell ref="Z42:Z53"/>
    <mergeCell ref="AA42:AA53"/>
    <mergeCell ref="B53:C53"/>
    <mergeCell ref="A54:A57"/>
    <mergeCell ref="B54:B56"/>
    <mergeCell ref="M54:M57"/>
    <mergeCell ref="N54:N57"/>
    <mergeCell ref="O54:O57"/>
    <mergeCell ref="P54:P57"/>
    <mergeCell ref="Q54:Q57"/>
    <mergeCell ref="R54:R57"/>
    <mergeCell ref="S54:S57"/>
    <mergeCell ref="U54:U57"/>
    <mergeCell ref="V54:V57"/>
    <mergeCell ref="X54:X57"/>
    <mergeCell ref="Y54:Y57"/>
    <mergeCell ref="Z54:Z57"/>
    <mergeCell ref="AA54:AA57"/>
    <mergeCell ref="B57:C57"/>
    <mergeCell ref="A58:A61"/>
    <mergeCell ref="B58:B60"/>
    <mergeCell ref="M58:M61"/>
    <mergeCell ref="N58:N61"/>
    <mergeCell ref="O58:O61"/>
    <mergeCell ref="P58:P61"/>
    <mergeCell ref="Q58:Q61"/>
    <mergeCell ref="R58:R61"/>
    <mergeCell ref="S58:S61"/>
    <mergeCell ref="U58:U61"/>
    <mergeCell ref="V58:V61"/>
    <mergeCell ref="X58:X61"/>
    <mergeCell ref="Y58:Y61"/>
    <mergeCell ref="Z58:Z61"/>
    <mergeCell ref="AA58:AA61"/>
    <mergeCell ref="B61:C61"/>
    <mergeCell ref="A62:A65"/>
    <mergeCell ref="B62:B64"/>
    <mergeCell ref="M62:M65"/>
    <mergeCell ref="N62:N65"/>
    <mergeCell ref="O62:O65"/>
    <mergeCell ref="P62:P65"/>
    <mergeCell ref="Q62:Q65"/>
    <mergeCell ref="R62:R65"/>
    <mergeCell ref="S62:S65"/>
    <mergeCell ref="U62:U65"/>
    <mergeCell ref="V62:V65"/>
    <mergeCell ref="X62:X65"/>
    <mergeCell ref="Y62:Y65"/>
    <mergeCell ref="Z62:Z65"/>
    <mergeCell ref="AA62:AA65"/>
    <mergeCell ref="B65:C65"/>
    <mergeCell ref="A66:A69"/>
    <mergeCell ref="B66:B68"/>
    <mergeCell ref="M66:M69"/>
    <mergeCell ref="N66:N69"/>
    <mergeCell ref="O66:O69"/>
    <mergeCell ref="P66:P69"/>
    <mergeCell ref="Q66:Q69"/>
    <mergeCell ref="R66:R69"/>
    <mergeCell ref="S66:S69"/>
    <mergeCell ref="U66:U69"/>
    <mergeCell ref="V66:V69"/>
    <mergeCell ref="X66:X69"/>
    <mergeCell ref="Y66:Y69"/>
    <mergeCell ref="Z66:Z69"/>
    <mergeCell ref="AA66:AA69"/>
    <mergeCell ref="B69:C69"/>
    <mergeCell ref="A70:A73"/>
    <mergeCell ref="B70:B72"/>
    <mergeCell ref="M70:M73"/>
    <mergeCell ref="N70:N73"/>
    <mergeCell ref="O70:O73"/>
    <mergeCell ref="P70:P73"/>
    <mergeCell ref="Q70:Q73"/>
    <mergeCell ref="R70:R73"/>
    <mergeCell ref="S70:S73"/>
    <mergeCell ref="U70:U73"/>
    <mergeCell ref="V70:V73"/>
    <mergeCell ref="X70:X73"/>
    <mergeCell ref="Y70:Y73"/>
    <mergeCell ref="Z70:Z73"/>
    <mergeCell ref="AA70:AA73"/>
    <mergeCell ref="B73:C73"/>
    <mergeCell ref="A74:A77"/>
    <mergeCell ref="B74:B76"/>
    <mergeCell ref="M74:M77"/>
    <mergeCell ref="N74:N77"/>
    <mergeCell ref="O74:O77"/>
    <mergeCell ref="P74:P77"/>
    <mergeCell ref="Q74:Q77"/>
    <mergeCell ref="R74:R77"/>
    <mergeCell ref="S74:S77"/>
    <mergeCell ref="U74:U77"/>
    <mergeCell ref="V74:V77"/>
    <mergeCell ref="X74:X77"/>
    <mergeCell ref="Y74:Y77"/>
    <mergeCell ref="Z74:Z77"/>
    <mergeCell ref="AA74:AA77"/>
    <mergeCell ref="B77:C77"/>
    <mergeCell ref="A78:A80"/>
    <mergeCell ref="B78:B79"/>
    <mergeCell ref="M78:M80"/>
    <mergeCell ref="N78:N80"/>
    <mergeCell ref="O78:O80"/>
    <mergeCell ref="P78:P80"/>
    <mergeCell ref="Q78:Q80"/>
    <mergeCell ref="R78:R80"/>
    <mergeCell ref="S78:S80"/>
    <mergeCell ref="U78:U80"/>
    <mergeCell ref="V78:V80"/>
    <mergeCell ref="X78:X80"/>
    <mergeCell ref="Y78:Y80"/>
    <mergeCell ref="Z78:Z80"/>
    <mergeCell ref="AA78:AA80"/>
    <mergeCell ref="B80:C80"/>
    <mergeCell ref="A81:A83"/>
    <mergeCell ref="B81:B82"/>
    <mergeCell ref="M81:M83"/>
    <mergeCell ref="N81:N83"/>
    <mergeCell ref="O81:O83"/>
    <mergeCell ref="P81:P83"/>
    <mergeCell ref="Q81:Q83"/>
    <mergeCell ref="R81:R83"/>
    <mergeCell ref="S81:S83"/>
    <mergeCell ref="U81:U83"/>
    <mergeCell ref="V81:V83"/>
    <mergeCell ref="X81:X83"/>
    <mergeCell ref="Y81:Y83"/>
    <mergeCell ref="Z81:Z83"/>
    <mergeCell ref="AA81:AA83"/>
    <mergeCell ref="B83:C83"/>
    <mergeCell ref="A84:A86"/>
    <mergeCell ref="B84:B85"/>
    <mergeCell ref="M84:M86"/>
    <mergeCell ref="N84:N86"/>
    <mergeCell ref="O84:O86"/>
    <mergeCell ref="P84:P86"/>
    <mergeCell ref="Q84:Q86"/>
    <mergeCell ref="R84:R86"/>
    <mergeCell ref="S84:S86"/>
    <mergeCell ref="U84:U86"/>
    <mergeCell ref="V84:V86"/>
    <mergeCell ref="X84:X86"/>
    <mergeCell ref="Y84:Y86"/>
    <mergeCell ref="Z84:Z86"/>
    <mergeCell ref="AA84:AA86"/>
    <mergeCell ref="B86:C86"/>
    <mergeCell ref="A87:A89"/>
    <mergeCell ref="B87:B88"/>
    <mergeCell ref="M87:M89"/>
    <mergeCell ref="N87:N89"/>
    <mergeCell ref="O87:O89"/>
    <mergeCell ref="P87:P89"/>
    <mergeCell ref="Q87:Q89"/>
    <mergeCell ref="R87:R89"/>
    <mergeCell ref="S87:S89"/>
    <mergeCell ref="U87:U89"/>
    <mergeCell ref="V87:V89"/>
    <mergeCell ref="X87:X89"/>
    <mergeCell ref="Y87:Y89"/>
    <mergeCell ref="Z87:Z89"/>
    <mergeCell ref="AA87:AA89"/>
    <mergeCell ref="B89:C89"/>
    <mergeCell ref="A90:A99"/>
    <mergeCell ref="B90:B98"/>
    <mergeCell ref="M90:M99"/>
    <mergeCell ref="N90:N99"/>
    <mergeCell ref="O90:O99"/>
    <mergeCell ref="P90:P99"/>
    <mergeCell ref="Q90:Q99"/>
    <mergeCell ref="R90:R99"/>
    <mergeCell ref="S90:S99"/>
    <mergeCell ref="T90:T99"/>
    <mergeCell ref="U90:U99"/>
    <mergeCell ref="V90:V99"/>
    <mergeCell ref="W90:W99"/>
    <mergeCell ref="X90:X99"/>
    <mergeCell ref="Y90:Y99"/>
    <mergeCell ref="Z90:Z99"/>
    <mergeCell ref="AA90:AA99"/>
    <mergeCell ref="B99:C99"/>
    <mergeCell ref="A100:A107"/>
    <mergeCell ref="B100:B106"/>
    <mergeCell ref="M100:M107"/>
    <mergeCell ref="N100:N107"/>
    <mergeCell ref="O100:O107"/>
    <mergeCell ref="P100:P107"/>
    <mergeCell ref="Q100:Q107"/>
    <mergeCell ref="R100:R107"/>
    <mergeCell ref="S100:S107"/>
    <mergeCell ref="T100:T107"/>
    <mergeCell ref="U100:U107"/>
    <mergeCell ref="V100:V107"/>
    <mergeCell ref="W100:W107"/>
    <mergeCell ref="X100:X107"/>
    <mergeCell ref="Y100:Y107"/>
    <mergeCell ref="Z100:Z107"/>
    <mergeCell ref="AA100:AA107"/>
    <mergeCell ref="B107:C107"/>
    <mergeCell ref="A108:A116"/>
    <mergeCell ref="B108:B115"/>
    <mergeCell ref="M108:M116"/>
    <mergeCell ref="N108:N116"/>
    <mergeCell ref="O108:O116"/>
    <mergeCell ref="P108:P116"/>
    <mergeCell ref="Q108:Q116"/>
    <mergeCell ref="R108:R116"/>
    <mergeCell ref="S108:S116"/>
    <mergeCell ref="T108:T116"/>
    <mergeCell ref="U108:U116"/>
    <mergeCell ref="V108:V116"/>
    <mergeCell ref="W108:W116"/>
    <mergeCell ref="X108:X116"/>
    <mergeCell ref="Y108:Y116"/>
    <mergeCell ref="Z108:Z116"/>
    <mergeCell ref="AA108:AA116"/>
    <mergeCell ref="B116:C116"/>
    <mergeCell ref="A117:A124"/>
    <mergeCell ref="B117:B123"/>
    <mergeCell ref="M117:M124"/>
    <mergeCell ref="N117:N124"/>
    <mergeCell ref="O117:O124"/>
    <mergeCell ref="P117:P124"/>
    <mergeCell ref="Q117:Q124"/>
    <mergeCell ref="R117:R124"/>
    <mergeCell ref="S117:S124"/>
    <mergeCell ref="T117:T124"/>
    <mergeCell ref="U117:U124"/>
    <mergeCell ref="V117:V124"/>
    <mergeCell ref="W117:W124"/>
    <mergeCell ref="X117:X124"/>
    <mergeCell ref="Y117:Y124"/>
    <mergeCell ref="Z117:Z124"/>
    <mergeCell ref="AA117:AA124"/>
    <mergeCell ref="B124:C124"/>
    <mergeCell ref="A125:A131"/>
    <mergeCell ref="B125:B130"/>
    <mergeCell ref="M125:M131"/>
    <mergeCell ref="N125:N131"/>
    <mergeCell ref="O125:O131"/>
    <mergeCell ref="P125:P131"/>
    <mergeCell ref="Q125:Q131"/>
    <mergeCell ref="R125:R131"/>
    <mergeCell ref="S125:S131"/>
    <mergeCell ref="T125:T131"/>
    <mergeCell ref="U125:U131"/>
    <mergeCell ref="V125:V131"/>
    <mergeCell ref="W125:W131"/>
    <mergeCell ref="X125:X131"/>
    <mergeCell ref="Y125:Y131"/>
    <mergeCell ref="Z125:Z131"/>
    <mergeCell ref="AA125:AA131"/>
    <mergeCell ref="B131:C131"/>
    <mergeCell ref="A132:A138"/>
    <mergeCell ref="B132:B137"/>
    <mergeCell ref="M132:M138"/>
    <mergeCell ref="N132:N138"/>
    <mergeCell ref="O132:O138"/>
    <mergeCell ref="P132:P138"/>
    <mergeCell ref="Q132:Q138"/>
    <mergeCell ref="R132:R138"/>
    <mergeCell ref="S132:S138"/>
    <mergeCell ref="T132:T138"/>
    <mergeCell ref="U132:U138"/>
    <mergeCell ref="V132:V138"/>
    <mergeCell ref="W132:W138"/>
    <mergeCell ref="X132:X138"/>
    <mergeCell ref="Y132:Y138"/>
    <mergeCell ref="Z132:Z138"/>
    <mergeCell ref="AA132:AA138"/>
    <mergeCell ref="B138:C138"/>
    <mergeCell ref="A139:C139"/>
    <mergeCell ref="A140:C1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J30" activeCellId="0" sqref="J30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1" min="1" style="9" width="7.09166666666667"/>
    <col collapsed="false" customWidth="true" hidden="false" outlineLevel="0" max="2" min="2" style="9" width="7.18333333333333"/>
    <col collapsed="false" customWidth="true" hidden="false" outlineLevel="0" max="18" min="14" style="9" width="7.36666666666667"/>
  </cols>
  <sheetData>
    <row r="1" customFormat="false" ht="25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4" hidden="false" customHeight="true" outlineLevel="0" collapsed="false">
      <c r="A2" s="21" t="s">
        <v>31</v>
      </c>
      <c r="B2" s="21" t="s">
        <v>32</v>
      </c>
      <c r="C2" s="21" t="s">
        <v>33</v>
      </c>
      <c r="D2" s="21" t="s">
        <v>34</v>
      </c>
      <c r="E2" s="21" t="s">
        <v>35</v>
      </c>
      <c r="F2" s="21" t="s">
        <v>36</v>
      </c>
      <c r="G2" s="21" t="s">
        <v>37</v>
      </c>
      <c r="H2" s="21" t="s">
        <v>39</v>
      </c>
      <c r="I2" s="21" t="s">
        <v>38</v>
      </c>
      <c r="J2" s="21" t="s">
        <v>138</v>
      </c>
      <c r="K2" s="21" t="s">
        <v>40</v>
      </c>
      <c r="L2" s="21" t="s">
        <v>6</v>
      </c>
      <c r="M2" s="21" t="s">
        <v>31</v>
      </c>
      <c r="N2" s="21"/>
      <c r="O2" s="21"/>
      <c r="P2" s="21"/>
      <c r="Q2" s="21"/>
      <c r="R2" s="21"/>
      <c r="S2" s="21" t="s">
        <v>3</v>
      </c>
      <c r="T2" s="21" t="s">
        <v>5</v>
      </c>
      <c r="U2" s="21" t="s">
        <v>6</v>
      </c>
    </row>
    <row r="3" customFormat="false" ht="24" hidden="false" customHeight="true" outlineLevel="0" collapsed="false">
      <c r="A3" s="21"/>
      <c r="B3" s="21"/>
      <c r="C3" s="21"/>
      <c r="D3" s="21"/>
      <c r="E3" s="21" t="s">
        <v>45</v>
      </c>
      <c r="F3" s="21" t="s">
        <v>45</v>
      </c>
      <c r="G3" s="21" t="s">
        <v>45</v>
      </c>
      <c r="H3" s="21"/>
      <c r="I3" s="21" t="s">
        <v>11</v>
      </c>
      <c r="J3" s="21"/>
      <c r="K3" s="21" t="s">
        <v>11</v>
      </c>
      <c r="L3" s="21"/>
      <c r="M3" s="21"/>
      <c r="N3" s="21" t="n">
        <v>16</v>
      </c>
      <c r="O3" s="21" t="n">
        <v>20</v>
      </c>
      <c r="P3" s="21" t="n">
        <v>24</v>
      </c>
      <c r="Q3" s="21" t="n">
        <v>28</v>
      </c>
      <c r="R3" s="21" t="s">
        <v>9</v>
      </c>
      <c r="S3" s="21"/>
      <c r="T3" s="21"/>
      <c r="U3" s="21"/>
    </row>
    <row r="4" customFormat="false" ht="22.5" hidden="false" customHeight="true" outlineLevel="0" collapsed="false">
      <c r="A4" s="21" t="s">
        <v>186</v>
      </c>
      <c r="B4" s="23" t="s">
        <v>191</v>
      </c>
      <c r="C4" s="21" t="s">
        <v>141</v>
      </c>
      <c r="D4" s="21" t="s">
        <v>142</v>
      </c>
      <c r="E4" s="21"/>
      <c r="F4" s="21"/>
      <c r="G4" s="21"/>
      <c r="H4" s="21"/>
      <c r="I4" s="24"/>
      <c r="J4" s="21"/>
      <c r="K4" s="24"/>
      <c r="L4" s="21"/>
      <c r="M4" s="31"/>
      <c r="N4" s="30"/>
      <c r="O4" s="30" t="n">
        <f aca="false">K6</f>
        <v>0</v>
      </c>
      <c r="P4" s="30"/>
      <c r="Q4" s="30"/>
      <c r="R4" s="30" t="n">
        <f aca="false">SUM(N4:Q6)</f>
        <v>0</v>
      </c>
      <c r="S4" s="31" t="n">
        <v>7638.4</v>
      </c>
      <c r="T4" s="30" t="n">
        <f aca="false">R4-S4</f>
        <v>-7638.4</v>
      </c>
      <c r="U4" s="31"/>
    </row>
    <row r="5" customFormat="false" ht="22.5" hidden="false" customHeight="true" outlineLevel="0" collapsed="false">
      <c r="A5" s="21"/>
      <c r="B5" s="21"/>
      <c r="C5" s="21" t="s">
        <v>143</v>
      </c>
      <c r="D5" s="21" t="s">
        <v>142</v>
      </c>
      <c r="E5" s="21"/>
      <c r="F5" s="21"/>
      <c r="G5" s="21"/>
      <c r="H5" s="21"/>
      <c r="I5" s="24"/>
      <c r="J5" s="21"/>
      <c r="K5" s="24"/>
      <c r="L5" s="21"/>
      <c r="M5" s="31"/>
      <c r="N5" s="31"/>
      <c r="O5" s="31"/>
      <c r="P5" s="31"/>
      <c r="Q5" s="31"/>
      <c r="R5" s="31"/>
      <c r="S5" s="31"/>
      <c r="T5" s="31"/>
      <c r="U5" s="31"/>
    </row>
    <row r="6" customFormat="false" ht="22.5" hidden="false" customHeight="true" outlineLevel="0" collapsed="false">
      <c r="A6" s="21"/>
      <c r="B6" s="21" t="s">
        <v>137</v>
      </c>
      <c r="C6" s="21"/>
      <c r="D6" s="21"/>
      <c r="E6" s="21"/>
      <c r="F6" s="21"/>
      <c r="G6" s="21"/>
      <c r="H6" s="21"/>
      <c r="I6" s="29"/>
      <c r="J6" s="21"/>
      <c r="K6" s="24"/>
      <c r="L6" s="21"/>
      <c r="M6" s="31"/>
      <c r="N6" s="31"/>
      <c r="O6" s="31"/>
      <c r="P6" s="31"/>
      <c r="Q6" s="31"/>
      <c r="R6" s="31"/>
      <c r="S6" s="31"/>
      <c r="T6" s="31"/>
      <c r="U6" s="31"/>
    </row>
    <row r="7" customFormat="false" ht="25.5" hidden="false" customHeight="true" outlineLevel="0" collapsed="false">
      <c r="A7" s="35" t="s">
        <v>199</v>
      </c>
      <c r="B7" s="35"/>
      <c r="C7" s="35"/>
      <c r="D7" s="35" t="s">
        <v>34</v>
      </c>
      <c r="E7" s="35"/>
      <c r="F7" s="35"/>
      <c r="G7" s="35"/>
      <c r="H7" s="35"/>
      <c r="I7" s="35"/>
      <c r="J7" s="37"/>
      <c r="K7" s="37"/>
      <c r="L7" s="37"/>
    </row>
    <row r="8" customFormat="false" ht="25.5" hidden="false" customHeight="true" outlineLevel="0" collapsed="false">
      <c r="A8" s="35" t="s">
        <v>9</v>
      </c>
      <c r="B8" s="35"/>
      <c r="C8" s="35"/>
      <c r="D8" s="35" t="str">
        <f aca="false">D5</f>
        <v>Q355MD</v>
      </c>
      <c r="E8" s="35"/>
      <c r="F8" s="36"/>
      <c r="G8" s="36"/>
      <c r="H8" s="36"/>
      <c r="I8" s="36"/>
      <c r="J8" s="37"/>
      <c r="K8" s="37"/>
      <c r="L8" s="37"/>
    </row>
  </sheetData>
  <mergeCells count="24">
    <mergeCell ref="A1:L1"/>
    <mergeCell ref="A2:A3"/>
    <mergeCell ref="B2:B3"/>
    <mergeCell ref="C2:C3"/>
    <mergeCell ref="D2:D3"/>
    <mergeCell ref="J2:J3"/>
    <mergeCell ref="L2:L3"/>
    <mergeCell ref="M2:M3"/>
    <mergeCell ref="N2:R2"/>
    <mergeCell ref="S2:S3"/>
    <mergeCell ref="A4:A6"/>
    <mergeCell ref="B4:B5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B6:C6"/>
    <mergeCell ref="A7:C7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I20" activeCellId="0" sqref="I20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1" min="1" style="9" width="7.09166666666667"/>
    <col collapsed="false" customWidth="true" hidden="false" outlineLevel="0" max="2" min="2" style="9" width="7.18333333333333"/>
    <col collapsed="false" customWidth="true" hidden="false" outlineLevel="0" max="18" min="14" style="9" width="7.36666666666667"/>
  </cols>
  <sheetData>
    <row r="1" customFormat="false" ht="25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4" hidden="false" customHeight="true" outlineLevel="0" collapsed="false">
      <c r="A2" s="21" t="s">
        <v>31</v>
      </c>
      <c r="B2" s="21" t="s">
        <v>32</v>
      </c>
      <c r="C2" s="21" t="s">
        <v>33</v>
      </c>
      <c r="D2" s="21" t="s">
        <v>34</v>
      </c>
      <c r="E2" s="21" t="s">
        <v>35</v>
      </c>
      <c r="F2" s="21" t="s">
        <v>36</v>
      </c>
      <c r="G2" s="21" t="s">
        <v>37</v>
      </c>
      <c r="H2" s="21" t="s">
        <v>39</v>
      </c>
      <c r="I2" s="21" t="s">
        <v>38</v>
      </c>
      <c r="J2" s="21" t="s">
        <v>138</v>
      </c>
      <c r="K2" s="21" t="s">
        <v>40</v>
      </c>
      <c r="L2" s="21" t="s">
        <v>6</v>
      </c>
      <c r="M2" s="21" t="s">
        <v>31</v>
      </c>
      <c r="N2" s="21"/>
      <c r="O2" s="21"/>
      <c r="P2" s="21"/>
      <c r="Q2" s="21"/>
      <c r="R2" s="21"/>
      <c r="S2" s="21" t="s">
        <v>3</v>
      </c>
      <c r="T2" s="21" t="s">
        <v>5</v>
      </c>
      <c r="U2" s="21" t="s">
        <v>6</v>
      </c>
    </row>
    <row r="3" customFormat="false" ht="24" hidden="false" customHeight="true" outlineLevel="0" collapsed="false">
      <c r="A3" s="21"/>
      <c r="B3" s="21"/>
      <c r="C3" s="21"/>
      <c r="D3" s="21"/>
      <c r="E3" s="21" t="s">
        <v>45</v>
      </c>
      <c r="F3" s="21" t="s">
        <v>45</v>
      </c>
      <c r="G3" s="21" t="s">
        <v>45</v>
      </c>
      <c r="H3" s="21"/>
      <c r="I3" s="21" t="s">
        <v>11</v>
      </c>
      <c r="J3" s="21"/>
      <c r="K3" s="21" t="s">
        <v>11</v>
      </c>
      <c r="L3" s="21"/>
      <c r="M3" s="21"/>
      <c r="N3" s="21" t="n">
        <v>4</v>
      </c>
      <c r="O3" s="21" t="n">
        <v>12</v>
      </c>
      <c r="P3" s="21" t="n">
        <v>24</v>
      </c>
      <c r="Q3" s="21" t="n">
        <v>28</v>
      </c>
      <c r="R3" s="21" t="s">
        <v>9</v>
      </c>
      <c r="S3" s="21"/>
      <c r="T3" s="21"/>
      <c r="U3" s="21"/>
    </row>
    <row r="4" customFormat="false" ht="22.5" hidden="false" customHeight="true" outlineLevel="0" collapsed="false">
      <c r="A4" s="21" t="s">
        <v>203</v>
      </c>
      <c r="B4" s="23" t="s">
        <v>191</v>
      </c>
      <c r="C4" s="21" t="s">
        <v>204</v>
      </c>
      <c r="D4" s="21" t="s">
        <v>205</v>
      </c>
      <c r="E4" s="21"/>
      <c r="F4" s="21"/>
      <c r="G4" s="21"/>
      <c r="H4" s="21"/>
      <c r="I4" s="24"/>
      <c r="J4" s="21"/>
      <c r="K4" s="24"/>
      <c r="L4" s="21"/>
      <c r="M4" s="31"/>
      <c r="N4" s="30"/>
      <c r="O4" s="30" t="n">
        <f aca="false">K4+K5+K6+K7</f>
        <v>0</v>
      </c>
      <c r="P4" s="30"/>
      <c r="Q4" s="30"/>
      <c r="R4" s="30" t="n">
        <f aca="false">SUM(N4:Q9)</f>
        <v>0</v>
      </c>
      <c r="S4" s="31" t="n">
        <v>7835.18</v>
      </c>
      <c r="T4" s="30" t="n">
        <f aca="false">R4-S4</f>
        <v>-7835.18</v>
      </c>
      <c r="U4" s="31"/>
    </row>
    <row r="5" customFormat="false" ht="22.5" hidden="false" customHeight="true" outlineLevel="0" collapsed="false">
      <c r="A5" s="21"/>
      <c r="B5" s="21"/>
      <c r="C5" s="21" t="s">
        <v>206</v>
      </c>
      <c r="D5" s="21" t="s">
        <v>205</v>
      </c>
      <c r="E5" s="21"/>
      <c r="F5" s="21"/>
      <c r="G5" s="21"/>
      <c r="H5" s="21"/>
      <c r="I5" s="24"/>
      <c r="J5" s="21"/>
      <c r="K5" s="24"/>
      <c r="L5" s="21"/>
      <c r="M5" s="31"/>
      <c r="N5" s="31"/>
      <c r="O5" s="31"/>
      <c r="P5" s="31"/>
      <c r="Q5" s="31"/>
      <c r="R5" s="31"/>
      <c r="S5" s="31"/>
      <c r="T5" s="31"/>
      <c r="U5" s="31"/>
    </row>
    <row r="6" customFormat="false" ht="22.5" hidden="false" customHeight="true" outlineLevel="0" collapsed="false">
      <c r="A6" s="21"/>
      <c r="B6" s="21"/>
      <c r="C6" s="21" t="s">
        <v>207</v>
      </c>
      <c r="D6" s="21" t="s">
        <v>205</v>
      </c>
      <c r="E6" s="21"/>
      <c r="F6" s="21"/>
      <c r="G6" s="21"/>
      <c r="H6" s="21"/>
      <c r="I6" s="24"/>
      <c r="J6" s="21"/>
      <c r="K6" s="24"/>
      <c r="L6" s="21"/>
      <c r="M6" s="31"/>
      <c r="N6" s="31"/>
      <c r="O6" s="31"/>
      <c r="P6" s="31"/>
      <c r="Q6" s="31"/>
      <c r="R6" s="31"/>
      <c r="S6" s="31"/>
      <c r="T6" s="31"/>
      <c r="U6" s="31"/>
    </row>
    <row r="7" customFormat="false" ht="22.5" hidden="false" customHeight="true" outlineLevel="0" collapsed="false">
      <c r="A7" s="21"/>
      <c r="B7" s="21"/>
      <c r="C7" s="21" t="s">
        <v>208</v>
      </c>
      <c r="D7" s="21" t="s">
        <v>205</v>
      </c>
      <c r="E7" s="21"/>
      <c r="F7" s="21"/>
      <c r="G7" s="21"/>
      <c r="H7" s="21"/>
      <c r="I7" s="24"/>
      <c r="J7" s="21"/>
      <c r="K7" s="24"/>
      <c r="L7" s="21"/>
      <c r="M7" s="31"/>
      <c r="N7" s="31"/>
      <c r="O7" s="31"/>
      <c r="P7" s="31"/>
      <c r="Q7" s="31"/>
      <c r="R7" s="31"/>
      <c r="S7" s="31"/>
      <c r="T7" s="31"/>
      <c r="U7" s="31"/>
    </row>
    <row r="8" customFormat="false" ht="22.5" hidden="false" customHeight="true" outlineLevel="0" collapsed="false">
      <c r="A8" s="21"/>
      <c r="B8" s="21"/>
      <c r="C8" s="21" t="s">
        <v>144</v>
      </c>
      <c r="D8" s="21" t="s">
        <v>205</v>
      </c>
      <c r="E8" s="21"/>
      <c r="F8" s="21"/>
      <c r="G8" s="21"/>
      <c r="H8" s="21"/>
      <c r="I8" s="24"/>
      <c r="J8" s="21"/>
      <c r="K8" s="24"/>
      <c r="L8" s="21"/>
      <c r="M8" s="31"/>
      <c r="N8" s="31"/>
      <c r="O8" s="31"/>
      <c r="P8" s="31"/>
      <c r="Q8" s="31"/>
      <c r="R8" s="31"/>
      <c r="S8" s="31"/>
      <c r="T8" s="31"/>
      <c r="U8" s="31"/>
    </row>
    <row r="9" customFormat="false" ht="22.5" hidden="false" customHeight="true" outlineLevel="0" collapsed="false">
      <c r="A9" s="21"/>
      <c r="B9" s="21" t="s">
        <v>137</v>
      </c>
      <c r="C9" s="21"/>
      <c r="D9" s="21"/>
      <c r="E9" s="21"/>
      <c r="F9" s="21"/>
      <c r="G9" s="21"/>
      <c r="H9" s="21"/>
      <c r="I9" s="29"/>
      <c r="J9" s="21"/>
      <c r="K9" s="24"/>
      <c r="L9" s="21"/>
      <c r="M9" s="31"/>
      <c r="N9" s="31"/>
      <c r="O9" s="31"/>
      <c r="P9" s="31"/>
      <c r="Q9" s="31"/>
      <c r="R9" s="31"/>
      <c r="S9" s="31"/>
      <c r="T9" s="31"/>
      <c r="U9" s="31"/>
    </row>
    <row r="10" customFormat="false" ht="25.5" hidden="false" customHeight="true" outlineLevel="0" collapsed="false">
      <c r="A10" s="35" t="s">
        <v>199</v>
      </c>
      <c r="B10" s="35"/>
      <c r="C10" s="35"/>
      <c r="D10" s="35" t="s">
        <v>34</v>
      </c>
      <c r="E10" s="35"/>
      <c r="F10" s="35"/>
      <c r="G10" s="35"/>
      <c r="H10" s="35"/>
      <c r="I10" s="35"/>
      <c r="J10" s="37"/>
      <c r="K10" s="37"/>
      <c r="L10" s="37"/>
    </row>
    <row r="11" customFormat="false" ht="25.5" hidden="false" customHeight="true" outlineLevel="0" collapsed="false">
      <c r="A11" s="35" t="s">
        <v>9</v>
      </c>
      <c r="B11" s="35"/>
      <c r="C11" s="35"/>
      <c r="D11" s="35" t="str">
        <f aca="false">D8</f>
        <v>Q355C</v>
      </c>
      <c r="E11" s="35"/>
      <c r="F11" s="36"/>
      <c r="G11" s="36"/>
      <c r="H11" s="36"/>
      <c r="I11" s="36"/>
      <c r="J11" s="37"/>
      <c r="K11" s="37"/>
      <c r="L11" s="37"/>
    </row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</sheetData>
  <mergeCells count="24">
    <mergeCell ref="A1:L1"/>
    <mergeCell ref="A2:A3"/>
    <mergeCell ref="B2:B3"/>
    <mergeCell ref="C2:C3"/>
    <mergeCell ref="D2:D3"/>
    <mergeCell ref="J2:J3"/>
    <mergeCell ref="L2:L3"/>
    <mergeCell ref="M2:M3"/>
    <mergeCell ref="N2:R2"/>
    <mergeCell ref="S2:S3"/>
    <mergeCell ref="A4:A9"/>
    <mergeCell ref="B4:B8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B9:C9"/>
    <mergeCell ref="A10:C10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:creator>曹毅</dc:creator>
  <dc:description/>
  <dc:language>zh-CN</dc:language>
  <cp:lastModifiedBy>张伟</cp:lastModifiedBy>
  <dcterms:modified xsi:type="dcterms:W3CDTF">2026-10-19T00:40:47Z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465ABB43A53C453B8E57A7E9BA2456AD_13</vt:lpwstr>
  </property>
  <property fmtid="{D5CDD505-2E9C-101B-9397-08002B2CF9AE}" pid="4" name="KSOProductBuildVer">
    <vt:lpwstr>2052-12.1.0.28505</vt:lpwstr>
  </property>
  <property fmtid="{D5CDD505-2E9C-101B-9397-08002B2CF9AE}" pid="5" name="KSOReadingLayout">
    <vt:bool>1</vt:bool>
  </property>
</Properties>
</file>