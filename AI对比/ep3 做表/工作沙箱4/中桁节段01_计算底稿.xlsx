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MG\program\ai交流\AI对比\ep3 做表\工作沙箱4\"/>
    </mc:Choice>
  </mc:AlternateContent>
  <xr:revisionPtr revIDLastSave="0" documentId="13_ncr:1_{9F7005E3-C6C8-4275-A421-74633A3601E9}" xr6:coauthVersionLast="47" xr6:coauthVersionMax="47" xr10:uidLastSave="{00000000-0000-0000-0000-000000000000}"/>
  <bookViews>
    <workbookView xWindow="735" yWindow="735" windowWidth="16200" windowHeight="9848" activeTab="1" xr2:uid="{00000000-000D-0000-FFFF-FFFF00000000}"/>
  </bookViews>
  <sheets>
    <sheet name="合计数量" sheetId="1" r:id="rId1"/>
    <sheet name="主梁数量" sheetId="2" r:id="rId2"/>
    <sheet name="横隔板" sheetId="3" r:id="rId3"/>
    <sheet name="梁底挡块" sheetId="4" r:id="rId4"/>
    <sheet name="附属预埋件" sheetId="5" r:id="rId5"/>
    <sheet name="主梁数量-节段01" sheetId="6" r:id="rId6"/>
    <sheet name="合计数量-节段01" sheetId="7" r:id="rId7"/>
  </sheets>
  <definedNames>
    <definedName name="_xlnm._FilterDatabase" localSheetId="2" hidden="1">横隔板!$A$3:$AA$141</definedName>
    <definedName name="_xlnm._FilterDatabase" localSheetId="1" hidden="1">主梁数量!$A$3:$W$434</definedName>
    <definedName name="_xlnm.Print_Area" localSheetId="4">附属预埋件!$A$1:$L$11</definedName>
    <definedName name="_xlnm.Print_Area" localSheetId="2">横隔板!$A$1:$L$142</definedName>
    <definedName name="_xlnm.Print_Area" localSheetId="3">梁底挡块!$A$1:$L$8</definedName>
    <definedName name="_xlnm.Print_Area" localSheetId="1">主梁数量!$A$1:$K$433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7" l="1"/>
  <c r="W94" i="6"/>
  <c r="H89" i="6"/>
  <c r="J89" i="6" s="1"/>
  <c r="H88" i="6"/>
  <c r="J88" i="6" s="1"/>
  <c r="H87" i="6"/>
  <c r="J87" i="6" s="1"/>
  <c r="V93" i="6" s="1"/>
  <c r="H86" i="6"/>
  <c r="J86" i="6" s="1"/>
  <c r="H85" i="6"/>
  <c r="J85" i="6" s="1"/>
  <c r="H83" i="6"/>
  <c r="J83" i="6" s="1"/>
  <c r="J82" i="6"/>
  <c r="H82" i="6"/>
  <c r="J81" i="6"/>
  <c r="J80" i="6"/>
  <c r="J79" i="6"/>
  <c r="J78" i="6"/>
  <c r="H77" i="6"/>
  <c r="J77" i="6" s="1"/>
  <c r="H76" i="6"/>
  <c r="J76" i="6" s="1"/>
  <c r="H75" i="6"/>
  <c r="J75" i="6" s="1"/>
  <c r="H73" i="6"/>
  <c r="J73" i="6" s="1"/>
  <c r="H72" i="6"/>
  <c r="J72" i="6" s="1"/>
  <c r="H71" i="6"/>
  <c r="J71" i="6" s="1"/>
  <c r="H70" i="6"/>
  <c r="J70" i="6" s="1"/>
  <c r="H69" i="6"/>
  <c r="J69" i="6" s="1"/>
  <c r="J67" i="6"/>
  <c r="H67" i="6"/>
  <c r="H66" i="6"/>
  <c r="J66" i="6" s="1"/>
  <c r="H65" i="6"/>
  <c r="J65" i="6" s="1"/>
  <c r="H63" i="6"/>
  <c r="J63" i="6" s="1"/>
  <c r="J64" i="6" s="1"/>
  <c r="H61" i="6"/>
  <c r="J61" i="6" s="1"/>
  <c r="J62" i="6" s="1"/>
  <c r="H59" i="6"/>
  <c r="J59" i="6" s="1"/>
  <c r="H58" i="6"/>
  <c r="J58" i="6" s="1"/>
  <c r="H56" i="6"/>
  <c r="J56" i="6" s="1"/>
  <c r="H55" i="6"/>
  <c r="J55" i="6" s="1"/>
  <c r="H54" i="6"/>
  <c r="J54" i="6" s="1"/>
  <c r="H53" i="6"/>
  <c r="J53" i="6" s="1"/>
  <c r="H52" i="6"/>
  <c r="J52" i="6" s="1"/>
  <c r="H51" i="6"/>
  <c r="J51" i="6" s="1"/>
  <c r="H50" i="6"/>
  <c r="J50" i="6" s="1"/>
  <c r="J49" i="6"/>
  <c r="H49" i="6"/>
  <c r="H48" i="6"/>
  <c r="J48" i="6" s="1"/>
  <c r="H47" i="6"/>
  <c r="J47" i="6" s="1"/>
  <c r="H46" i="6"/>
  <c r="J46" i="6" s="1"/>
  <c r="J45" i="6"/>
  <c r="H45" i="6"/>
  <c r="H44" i="6"/>
  <c r="J44" i="6" s="1"/>
  <c r="H43" i="6"/>
  <c r="J43" i="6" s="1"/>
  <c r="H41" i="6"/>
  <c r="J41" i="6" s="1"/>
  <c r="N93" i="6" s="1"/>
  <c r="H40" i="6"/>
  <c r="J40" i="6" s="1"/>
  <c r="H39" i="6"/>
  <c r="J39" i="6" s="1"/>
  <c r="H38" i="6"/>
  <c r="J38" i="6" s="1"/>
  <c r="H37" i="6"/>
  <c r="J37" i="6" s="1"/>
  <c r="J36" i="6"/>
  <c r="H36" i="6"/>
  <c r="H34" i="6"/>
  <c r="J34" i="6" s="1"/>
  <c r="H33" i="6"/>
  <c r="J33" i="6" s="1"/>
  <c r="H32" i="6"/>
  <c r="J32" i="6" s="1"/>
  <c r="J35" i="6" s="1"/>
  <c r="J30" i="6"/>
  <c r="J31" i="6" s="1"/>
  <c r="H28" i="6"/>
  <c r="J28" i="6" s="1"/>
  <c r="J26" i="6"/>
  <c r="J25" i="6"/>
  <c r="J27" i="6" s="1"/>
  <c r="H23" i="6"/>
  <c r="J23" i="6" s="1"/>
  <c r="J22" i="6"/>
  <c r="H22" i="6"/>
  <c r="J20" i="6"/>
  <c r="H20" i="6"/>
  <c r="H19" i="6"/>
  <c r="J19" i="6" s="1"/>
  <c r="J18" i="6"/>
  <c r="H18" i="6"/>
  <c r="H17" i="6"/>
  <c r="J17" i="6" s="1"/>
  <c r="H16" i="6"/>
  <c r="J16" i="6" s="1"/>
  <c r="J21" i="6" s="1"/>
  <c r="H14" i="6"/>
  <c r="J14" i="6" s="1"/>
  <c r="H13" i="6"/>
  <c r="J13" i="6" s="1"/>
  <c r="M93" i="6" s="1"/>
  <c r="M95" i="6" s="1"/>
  <c r="H12" i="6"/>
  <c r="J12" i="6" s="1"/>
  <c r="H11" i="6"/>
  <c r="J11" i="6" s="1"/>
  <c r="J9" i="6"/>
  <c r="J10" i="6" s="1"/>
  <c r="J8" i="6"/>
  <c r="J6" i="6"/>
  <c r="H6" i="6"/>
  <c r="J4" i="6"/>
  <c r="J5" i="6" s="1"/>
  <c r="G11" i="5"/>
  <c r="D11" i="5"/>
  <c r="K8" i="5"/>
  <c r="N4" i="5" s="1"/>
  <c r="K7" i="5"/>
  <c r="K6" i="5"/>
  <c r="K5" i="5"/>
  <c r="M4" i="5"/>
  <c r="K4" i="5"/>
  <c r="G8" i="4"/>
  <c r="D8" i="4"/>
  <c r="K5" i="4"/>
  <c r="M4" i="4"/>
  <c r="K4" i="4"/>
  <c r="I4" i="4"/>
  <c r="X140" i="3"/>
  <c r="D140" i="3"/>
  <c r="I137" i="3"/>
  <c r="K137" i="3" s="1"/>
  <c r="N132" i="3" s="1"/>
  <c r="I136" i="3"/>
  <c r="K136" i="3" s="1"/>
  <c r="I135" i="3"/>
  <c r="K135" i="3" s="1"/>
  <c r="I134" i="3"/>
  <c r="K134" i="3" s="1"/>
  <c r="I133" i="3"/>
  <c r="K133" i="3" s="1"/>
  <c r="Y132" i="3"/>
  <c r="M132" i="3"/>
  <c r="I132" i="3"/>
  <c r="K132" i="3" s="1"/>
  <c r="K130" i="3"/>
  <c r="N125" i="3" s="1"/>
  <c r="I130" i="3"/>
  <c r="K129" i="3"/>
  <c r="I129" i="3"/>
  <c r="I128" i="3"/>
  <c r="K128" i="3" s="1"/>
  <c r="I127" i="3"/>
  <c r="K127" i="3" s="1"/>
  <c r="I126" i="3"/>
  <c r="K126" i="3" s="1"/>
  <c r="Y125" i="3"/>
  <c r="M125" i="3"/>
  <c r="I125" i="3"/>
  <c r="K125" i="3" s="1"/>
  <c r="I123" i="3"/>
  <c r="K123" i="3" s="1"/>
  <c r="O117" i="3" s="1"/>
  <c r="K122" i="3"/>
  <c r="I121" i="3"/>
  <c r="K121" i="3" s="1"/>
  <c r="I120" i="3"/>
  <c r="K120" i="3" s="1"/>
  <c r="I119" i="3"/>
  <c r="K119" i="3" s="1"/>
  <c r="K118" i="3"/>
  <c r="R117" i="3" s="1"/>
  <c r="I118" i="3"/>
  <c r="Y117" i="3"/>
  <c r="M117" i="3"/>
  <c r="I117" i="3"/>
  <c r="K117" i="3" s="1"/>
  <c r="I115" i="3"/>
  <c r="K115" i="3" s="1"/>
  <c r="I114" i="3"/>
  <c r="K114" i="3" s="1"/>
  <c r="O108" i="3" s="1"/>
  <c r="K113" i="3"/>
  <c r="I112" i="3"/>
  <c r="K112" i="3" s="1"/>
  <c r="I111" i="3"/>
  <c r="K111" i="3" s="1"/>
  <c r="I110" i="3"/>
  <c r="K110" i="3" s="1"/>
  <c r="I109" i="3"/>
  <c r="K109" i="3" s="1"/>
  <c r="Y108" i="3"/>
  <c r="M108" i="3"/>
  <c r="I108" i="3"/>
  <c r="K108" i="3" s="1"/>
  <c r="K106" i="3"/>
  <c r="I106" i="3"/>
  <c r="I105" i="3"/>
  <c r="K105" i="3" s="1"/>
  <c r="O100" i="3" s="1"/>
  <c r="K104" i="3"/>
  <c r="K103" i="3"/>
  <c r="I103" i="3"/>
  <c r="I102" i="3"/>
  <c r="K102" i="3" s="1"/>
  <c r="I101" i="3"/>
  <c r="K101" i="3" s="1"/>
  <c r="Y100" i="3"/>
  <c r="M100" i="3"/>
  <c r="I100" i="3"/>
  <c r="K100" i="3" s="1"/>
  <c r="I98" i="3"/>
  <c r="K98" i="3" s="1"/>
  <c r="I97" i="3"/>
  <c r="K97" i="3" s="1"/>
  <c r="I96" i="3"/>
  <c r="K96" i="3" s="1"/>
  <c r="K95" i="3"/>
  <c r="K94" i="3"/>
  <c r="K93" i="3"/>
  <c r="I92" i="3"/>
  <c r="K92" i="3" s="1"/>
  <c r="I91" i="3"/>
  <c r="K91" i="3" s="1"/>
  <c r="M90" i="3"/>
  <c r="K90" i="3"/>
  <c r="I90" i="3"/>
  <c r="K88" i="3"/>
  <c r="Y87" i="3"/>
  <c r="M87" i="3"/>
  <c r="K87" i="3"/>
  <c r="I85" i="3"/>
  <c r="K85" i="3" s="1"/>
  <c r="Y84" i="3"/>
  <c r="M84" i="3"/>
  <c r="I84" i="3"/>
  <c r="K84" i="3" s="1"/>
  <c r="I82" i="3"/>
  <c r="K82" i="3" s="1"/>
  <c r="Y81" i="3"/>
  <c r="M81" i="3"/>
  <c r="I81" i="3"/>
  <c r="K81" i="3" s="1"/>
  <c r="I79" i="3"/>
  <c r="K79" i="3" s="1"/>
  <c r="Y78" i="3"/>
  <c r="M78" i="3"/>
  <c r="I78" i="3"/>
  <c r="K78" i="3" s="1"/>
  <c r="K76" i="3"/>
  <c r="K75" i="3"/>
  <c r="Y74" i="3"/>
  <c r="Q74" i="3"/>
  <c r="O74" i="3"/>
  <c r="M74" i="3"/>
  <c r="K74" i="3"/>
  <c r="K77" i="3" s="1"/>
  <c r="K72" i="3"/>
  <c r="K71" i="3"/>
  <c r="Q70" i="3" s="1"/>
  <c r="Y70" i="3"/>
  <c r="M70" i="3"/>
  <c r="K70" i="3"/>
  <c r="R70" i="3" s="1"/>
  <c r="K68" i="3"/>
  <c r="O66" i="3" s="1"/>
  <c r="K67" i="3"/>
  <c r="Q66" i="3" s="1"/>
  <c r="Y66" i="3"/>
  <c r="M66" i="3"/>
  <c r="K66" i="3"/>
  <c r="K69" i="3" s="1"/>
  <c r="K64" i="3"/>
  <c r="K63" i="3"/>
  <c r="Y62" i="3"/>
  <c r="M62" i="3"/>
  <c r="K62" i="3"/>
  <c r="K65" i="3" s="1"/>
  <c r="O62" i="3" s="1"/>
  <c r="X62" i="3" s="1"/>
  <c r="Z62" i="3" s="1"/>
  <c r="K60" i="3"/>
  <c r="K59" i="3"/>
  <c r="K61" i="3" s="1"/>
  <c r="O58" i="3" s="1"/>
  <c r="X58" i="3" s="1"/>
  <c r="Z58" i="3" s="1"/>
  <c r="Y58" i="3"/>
  <c r="M58" i="3"/>
  <c r="K58" i="3"/>
  <c r="K56" i="3"/>
  <c r="K55" i="3"/>
  <c r="Y54" i="3"/>
  <c r="M54" i="3"/>
  <c r="K54" i="3"/>
  <c r="K57" i="3" s="1"/>
  <c r="O54" i="3" s="1"/>
  <c r="X54" i="3" s="1"/>
  <c r="Z54" i="3" s="1"/>
  <c r="K52" i="3"/>
  <c r="W42" i="3" s="1"/>
  <c r="W139" i="3" s="1"/>
  <c r="K51" i="3"/>
  <c r="V42" i="3" s="1"/>
  <c r="K50" i="3"/>
  <c r="O42" i="3" s="1"/>
  <c r="K49" i="3"/>
  <c r="S42" i="3" s="1"/>
  <c r="K48" i="3"/>
  <c r="K47" i="3"/>
  <c r="K46" i="3"/>
  <c r="K45" i="3"/>
  <c r="K44" i="3"/>
  <c r="K43" i="3"/>
  <c r="Y42" i="3"/>
  <c r="T42" i="3"/>
  <c r="T139" i="3" s="1"/>
  <c r="M42" i="3"/>
  <c r="I42" i="3"/>
  <c r="K42" i="3" s="1"/>
  <c r="K40" i="3"/>
  <c r="K39" i="3"/>
  <c r="Q36" i="3" s="1"/>
  <c r="K38" i="3"/>
  <c r="K37" i="3"/>
  <c r="N36" i="3"/>
  <c r="M36" i="3"/>
  <c r="K36" i="3"/>
  <c r="K34" i="3"/>
  <c r="K33" i="3"/>
  <c r="K32" i="3"/>
  <c r="K31" i="3"/>
  <c r="N30" i="3"/>
  <c r="M30" i="3"/>
  <c r="K30" i="3"/>
  <c r="K35" i="3" s="1"/>
  <c r="K28" i="3"/>
  <c r="K27" i="3"/>
  <c r="Q24" i="3" s="1"/>
  <c r="K26" i="3"/>
  <c r="N24" i="3" s="1"/>
  <c r="K25" i="3"/>
  <c r="M24" i="3"/>
  <c r="K24" i="3"/>
  <c r="K22" i="3"/>
  <c r="K21" i="3"/>
  <c r="K20" i="3"/>
  <c r="O4" i="3" s="1"/>
  <c r="I19" i="3"/>
  <c r="K19" i="3" s="1"/>
  <c r="V4" i="3" s="1"/>
  <c r="I18" i="3"/>
  <c r="K18" i="3" s="1"/>
  <c r="U4" i="3" s="1"/>
  <c r="U139" i="3" s="1"/>
  <c r="U141" i="3" s="1"/>
  <c r="K17" i="3"/>
  <c r="I16" i="3"/>
  <c r="K16" i="3" s="1"/>
  <c r="K15" i="3"/>
  <c r="K14" i="3"/>
  <c r="K13" i="3"/>
  <c r="K12" i="3"/>
  <c r="K11" i="3"/>
  <c r="K10" i="3"/>
  <c r="K9" i="3"/>
  <c r="K8" i="3"/>
  <c r="K7" i="3"/>
  <c r="K6" i="3"/>
  <c r="K5" i="3"/>
  <c r="S4" i="3"/>
  <c r="Q4" i="3"/>
  <c r="P4" i="3"/>
  <c r="P139" i="3" s="1"/>
  <c r="P141" i="3" s="1"/>
  <c r="M4" i="3"/>
  <c r="I4" i="3"/>
  <c r="K4" i="3" s="1"/>
  <c r="T433" i="2"/>
  <c r="U433" i="2" s="1"/>
  <c r="V433" i="2" s="1"/>
  <c r="D433" i="2"/>
  <c r="U432" i="2"/>
  <c r="G433" i="2" s="1"/>
  <c r="J430" i="2"/>
  <c r="H430" i="2"/>
  <c r="H429" i="2"/>
  <c r="J429" i="2" s="1"/>
  <c r="H428" i="2"/>
  <c r="J428" i="2" s="1"/>
  <c r="H427" i="2"/>
  <c r="J427" i="2" s="1"/>
  <c r="H426" i="2"/>
  <c r="J426" i="2" s="1"/>
  <c r="H425" i="2"/>
  <c r="J425" i="2" s="1"/>
  <c r="H424" i="2"/>
  <c r="J424" i="2" s="1"/>
  <c r="H423" i="2"/>
  <c r="J423" i="2" s="1"/>
  <c r="H422" i="2"/>
  <c r="J422" i="2" s="1"/>
  <c r="J421" i="2"/>
  <c r="H421" i="2"/>
  <c r="H420" i="2"/>
  <c r="J420" i="2" s="1"/>
  <c r="H419" i="2"/>
  <c r="J419" i="2" s="1"/>
  <c r="H418" i="2"/>
  <c r="J418" i="2" s="1"/>
  <c r="H417" i="2"/>
  <c r="J417" i="2" s="1"/>
  <c r="H416" i="2"/>
  <c r="J416" i="2" s="1"/>
  <c r="H415" i="2"/>
  <c r="J415" i="2" s="1"/>
  <c r="H414" i="2"/>
  <c r="J414" i="2" s="1"/>
  <c r="H413" i="2"/>
  <c r="J413" i="2" s="1"/>
  <c r="H412" i="2"/>
  <c r="J412" i="2" s="1"/>
  <c r="H411" i="2"/>
  <c r="J411" i="2" s="1"/>
  <c r="H410" i="2"/>
  <c r="J410" i="2" s="1"/>
  <c r="J409" i="2"/>
  <c r="H409" i="2"/>
  <c r="H408" i="2"/>
  <c r="J408" i="2" s="1"/>
  <c r="H407" i="2"/>
  <c r="J407" i="2" s="1"/>
  <c r="H406" i="2"/>
  <c r="J406" i="2" s="1"/>
  <c r="H405" i="2"/>
  <c r="J405" i="2" s="1"/>
  <c r="R403" i="2" s="1"/>
  <c r="H404" i="2"/>
  <c r="J404" i="2" s="1"/>
  <c r="L403" i="2"/>
  <c r="H403" i="2"/>
  <c r="J403" i="2" s="1"/>
  <c r="H401" i="2"/>
  <c r="J401" i="2" s="1"/>
  <c r="H400" i="2"/>
  <c r="J400" i="2" s="1"/>
  <c r="H399" i="2"/>
  <c r="J399" i="2" s="1"/>
  <c r="H398" i="2"/>
  <c r="J398" i="2" s="1"/>
  <c r="H397" i="2"/>
  <c r="J397" i="2" s="1"/>
  <c r="H396" i="2"/>
  <c r="J396" i="2" s="1"/>
  <c r="H395" i="2"/>
  <c r="J395" i="2" s="1"/>
  <c r="M377" i="2" s="1"/>
  <c r="H394" i="2"/>
  <c r="J394" i="2" s="1"/>
  <c r="H393" i="2"/>
  <c r="J393" i="2" s="1"/>
  <c r="H392" i="2"/>
  <c r="J392" i="2" s="1"/>
  <c r="H391" i="2"/>
  <c r="J391" i="2" s="1"/>
  <c r="H390" i="2"/>
  <c r="J390" i="2" s="1"/>
  <c r="H389" i="2"/>
  <c r="J389" i="2" s="1"/>
  <c r="H388" i="2"/>
  <c r="J388" i="2" s="1"/>
  <c r="H387" i="2"/>
  <c r="J387" i="2" s="1"/>
  <c r="J386" i="2"/>
  <c r="H386" i="2"/>
  <c r="H385" i="2"/>
  <c r="J385" i="2" s="1"/>
  <c r="H384" i="2"/>
  <c r="J384" i="2" s="1"/>
  <c r="H383" i="2"/>
  <c r="J383" i="2" s="1"/>
  <c r="J382" i="2"/>
  <c r="H382" i="2"/>
  <c r="H381" i="2"/>
  <c r="J381" i="2" s="1"/>
  <c r="H380" i="2"/>
  <c r="J380" i="2" s="1"/>
  <c r="H379" i="2"/>
  <c r="J379" i="2" s="1"/>
  <c r="H378" i="2"/>
  <c r="J378" i="2" s="1"/>
  <c r="R377" i="2"/>
  <c r="L377" i="2"/>
  <c r="H377" i="2"/>
  <c r="J377" i="2" s="1"/>
  <c r="H375" i="2"/>
  <c r="J375" i="2" s="1"/>
  <c r="H374" i="2"/>
  <c r="J374" i="2" s="1"/>
  <c r="H373" i="2"/>
  <c r="J373" i="2" s="1"/>
  <c r="H372" i="2"/>
  <c r="J372" i="2" s="1"/>
  <c r="H371" i="2"/>
  <c r="J371" i="2" s="1"/>
  <c r="H370" i="2"/>
  <c r="J370" i="2" s="1"/>
  <c r="H369" i="2"/>
  <c r="J369" i="2" s="1"/>
  <c r="H368" i="2"/>
  <c r="J368" i="2" s="1"/>
  <c r="H367" i="2"/>
  <c r="J367" i="2" s="1"/>
  <c r="J366" i="2"/>
  <c r="H366" i="2"/>
  <c r="H365" i="2"/>
  <c r="J365" i="2" s="1"/>
  <c r="H364" i="2"/>
  <c r="J364" i="2" s="1"/>
  <c r="H363" i="2"/>
  <c r="J363" i="2" s="1"/>
  <c r="H362" i="2"/>
  <c r="J362" i="2" s="1"/>
  <c r="J361" i="2"/>
  <c r="H361" i="2"/>
  <c r="J360" i="2"/>
  <c r="H360" i="2"/>
  <c r="J359" i="2"/>
  <c r="H359" i="2"/>
  <c r="H358" i="2"/>
  <c r="J358" i="2" s="1"/>
  <c r="H357" i="2"/>
  <c r="J357" i="2" s="1"/>
  <c r="J356" i="2"/>
  <c r="H356" i="2"/>
  <c r="H355" i="2"/>
  <c r="J355" i="2" s="1"/>
  <c r="H354" i="2"/>
  <c r="J354" i="2" s="1"/>
  <c r="J353" i="2"/>
  <c r="H353" i="2"/>
  <c r="H352" i="2"/>
  <c r="J352" i="2" s="1"/>
  <c r="R351" i="2"/>
  <c r="L351" i="2"/>
  <c r="H351" i="2"/>
  <c r="J351" i="2" s="1"/>
  <c r="H349" i="2"/>
  <c r="J349" i="2" s="1"/>
  <c r="H348" i="2"/>
  <c r="J348" i="2" s="1"/>
  <c r="H347" i="2"/>
  <c r="J347" i="2" s="1"/>
  <c r="H346" i="2"/>
  <c r="J346" i="2" s="1"/>
  <c r="H345" i="2"/>
  <c r="J345" i="2" s="1"/>
  <c r="H344" i="2"/>
  <c r="J344" i="2" s="1"/>
  <c r="J343" i="2"/>
  <c r="M325" i="2" s="1"/>
  <c r="H343" i="2"/>
  <c r="H342" i="2"/>
  <c r="J342" i="2" s="1"/>
  <c r="H341" i="2"/>
  <c r="J341" i="2" s="1"/>
  <c r="H340" i="2"/>
  <c r="J340" i="2" s="1"/>
  <c r="J339" i="2"/>
  <c r="H339" i="2"/>
  <c r="H338" i="2"/>
  <c r="J338" i="2" s="1"/>
  <c r="H337" i="2"/>
  <c r="J337" i="2" s="1"/>
  <c r="H336" i="2"/>
  <c r="J336" i="2" s="1"/>
  <c r="H335" i="2"/>
  <c r="J335" i="2" s="1"/>
  <c r="H334" i="2"/>
  <c r="J334" i="2" s="1"/>
  <c r="H333" i="2"/>
  <c r="J333" i="2" s="1"/>
  <c r="H332" i="2"/>
  <c r="J332" i="2" s="1"/>
  <c r="H331" i="2"/>
  <c r="J331" i="2" s="1"/>
  <c r="H330" i="2"/>
  <c r="J330" i="2" s="1"/>
  <c r="H329" i="2"/>
  <c r="J329" i="2" s="1"/>
  <c r="H328" i="2"/>
  <c r="J328" i="2" s="1"/>
  <c r="H327" i="2"/>
  <c r="J327" i="2" s="1"/>
  <c r="Q325" i="2" s="1"/>
  <c r="H326" i="2"/>
  <c r="J326" i="2" s="1"/>
  <c r="R325" i="2"/>
  <c r="L325" i="2"/>
  <c r="H325" i="2"/>
  <c r="J325" i="2" s="1"/>
  <c r="H323" i="2"/>
  <c r="J323" i="2" s="1"/>
  <c r="H322" i="2"/>
  <c r="J322" i="2" s="1"/>
  <c r="H321" i="2"/>
  <c r="J321" i="2" s="1"/>
  <c r="H320" i="2"/>
  <c r="J320" i="2" s="1"/>
  <c r="H319" i="2"/>
  <c r="J319" i="2" s="1"/>
  <c r="H318" i="2"/>
  <c r="J318" i="2" s="1"/>
  <c r="H317" i="2"/>
  <c r="J317" i="2" s="1"/>
  <c r="M299" i="2" s="1"/>
  <c r="H316" i="2"/>
  <c r="J316" i="2" s="1"/>
  <c r="H315" i="2"/>
  <c r="J315" i="2" s="1"/>
  <c r="J314" i="2"/>
  <c r="H314" i="2"/>
  <c r="J313" i="2"/>
  <c r="H313" i="2"/>
  <c r="H312" i="2"/>
  <c r="J312" i="2" s="1"/>
  <c r="H311" i="2"/>
  <c r="J311" i="2" s="1"/>
  <c r="H310" i="2"/>
  <c r="J310" i="2" s="1"/>
  <c r="H309" i="2"/>
  <c r="J309" i="2" s="1"/>
  <c r="H308" i="2"/>
  <c r="J308" i="2" s="1"/>
  <c r="H307" i="2"/>
  <c r="J307" i="2" s="1"/>
  <c r="H306" i="2"/>
  <c r="J306" i="2" s="1"/>
  <c r="J305" i="2"/>
  <c r="H305" i="2"/>
  <c r="J304" i="2"/>
  <c r="H304" i="2"/>
  <c r="H303" i="2"/>
  <c r="J303" i="2" s="1"/>
  <c r="H302" i="2"/>
  <c r="J302" i="2" s="1"/>
  <c r="H301" i="2"/>
  <c r="J301" i="2" s="1"/>
  <c r="H300" i="2"/>
  <c r="J300" i="2" s="1"/>
  <c r="R299" i="2"/>
  <c r="L299" i="2"/>
  <c r="H299" i="2"/>
  <c r="J299" i="2" s="1"/>
  <c r="H297" i="2"/>
  <c r="J297" i="2" s="1"/>
  <c r="J296" i="2"/>
  <c r="H296" i="2"/>
  <c r="H295" i="2"/>
  <c r="J295" i="2" s="1"/>
  <c r="H294" i="2"/>
  <c r="J294" i="2" s="1"/>
  <c r="H293" i="2"/>
  <c r="J293" i="2" s="1"/>
  <c r="H292" i="2"/>
  <c r="J292" i="2" s="1"/>
  <c r="H291" i="2"/>
  <c r="J291" i="2" s="1"/>
  <c r="H290" i="2"/>
  <c r="J290" i="2" s="1"/>
  <c r="H289" i="2"/>
  <c r="J289" i="2" s="1"/>
  <c r="H288" i="2"/>
  <c r="J288" i="2" s="1"/>
  <c r="H287" i="2"/>
  <c r="J287" i="2" s="1"/>
  <c r="H286" i="2"/>
  <c r="J286" i="2" s="1"/>
  <c r="H285" i="2"/>
  <c r="J285" i="2" s="1"/>
  <c r="H284" i="2"/>
  <c r="J284" i="2" s="1"/>
  <c r="H283" i="2"/>
  <c r="J283" i="2" s="1"/>
  <c r="H282" i="2"/>
  <c r="J282" i="2" s="1"/>
  <c r="H281" i="2"/>
  <c r="J281" i="2" s="1"/>
  <c r="H280" i="2"/>
  <c r="J280" i="2" s="1"/>
  <c r="H279" i="2"/>
  <c r="J279" i="2" s="1"/>
  <c r="H278" i="2"/>
  <c r="J278" i="2" s="1"/>
  <c r="H277" i="2"/>
  <c r="J277" i="2" s="1"/>
  <c r="H276" i="2"/>
  <c r="J276" i="2" s="1"/>
  <c r="H275" i="2"/>
  <c r="J275" i="2" s="1"/>
  <c r="Q273" i="2" s="1"/>
  <c r="H274" i="2"/>
  <c r="J274" i="2" s="1"/>
  <c r="R273" i="2"/>
  <c r="L273" i="2"/>
  <c r="H273" i="2"/>
  <c r="J273" i="2" s="1"/>
  <c r="H271" i="2"/>
  <c r="J271" i="2" s="1"/>
  <c r="J270" i="2"/>
  <c r="H270" i="2"/>
  <c r="H269" i="2"/>
  <c r="J269" i="2" s="1"/>
  <c r="H268" i="2"/>
  <c r="J268" i="2" s="1"/>
  <c r="H267" i="2"/>
  <c r="J267" i="2" s="1"/>
  <c r="H266" i="2"/>
  <c r="J266" i="2" s="1"/>
  <c r="H265" i="2"/>
  <c r="J265" i="2" s="1"/>
  <c r="H264" i="2"/>
  <c r="J264" i="2" s="1"/>
  <c r="H263" i="2"/>
  <c r="J263" i="2" s="1"/>
  <c r="H262" i="2"/>
  <c r="J262" i="2" s="1"/>
  <c r="H261" i="2"/>
  <c r="J261" i="2" s="1"/>
  <c r="H260" i="2"/>
  <c r="J260" i="2" s="1"/>
  <c r="H259" i="2"/>
  <c r="J259" i="2" s="1"/>
  <c r="J258" i="2"/>
  <c r="H258" i="2"/>
  <c r="H257" i="2"/>
  <c r="J257" i="2" s="1"/>
  <c r="H256" i="2"/>
  <c r="J256" i="2" s="1"/>
  <c r="H255" i="2"/>
  <c r="J255" i="2" s="1"/>
  <c r="H254" i="2"/>
  <c r="J254" i="2" s="1"/>
  <c r="H253" i="2"/>
  <c r="J253" i="2" s="1"/>
  <c r="H252" i="2"/>
  <c r="J252" i="2" s="1"/>
  <c r="H251" i="2"/>
  <c r="J251" i="2" s="1"/>
  <c r="H250" i="2"/>
  <c r="J250" i="2" s="1"/>
  <c r="H249" i="2"/>
  <c r="J249" i="2" s="1"/>
  <c r="H248" i="2"/>
  <c r="J248" i="2" s="1"/>
  <c r="R247" i="2"/>
  <c r="L247" i="2"/>
  <c r="H247" i="2"/>
  <c r="J247" i="2" s="1"/>
  <c r="H245" i="2"/>
  <c r="J245" i="2" s="1"/>
  <c r="H244" i="2"/>
  <c r="J244" i="2" s="1"/>
  <c r="H243" i="2"/>
  <c r="J243" i="2" s="1"/>
  <c r="H242" i="2"/>
  <c r="J242" i="2" s="1"/>
  <c r="H241" i="2"/>
  <c r="J241" i="2" s="1"/>
  <c r="H240" i="2"/>
  <c r="J240" i="2" s="1"/>
  <c r="H239" i="2"/>
  <c r="J239" i="2" s="1"/>
  <c r="H238" i="2"/>
  <c r="J238" i="2" s="1"/>
  <c r="H237" i="2"/>
  <c r="J237" i="2" s="1"/>
  <c r="H236" i="2"/>
  <c r="J236" i="2" s="1"/>
  <c r="H235" i="2"/>
  <c r="J235" i="2" s="1"/>
  <c r="H234" i="2"/>
  <c r="J234" i="2" s="1"/>
  <c r="H233" i="2"/>
  <c r="J233" i="2" s="1"/>
  <c r="H232" i="2"/>
  <c r="J232" i="2" s="1"/>
  <c r="H231" i="2"/>
  <c r="J231" i="2" s="1"/>
  <c r="H230" i="2"/>
  <c r="J230" i="2" s="1"/>
  <c r="H229" i="2"/>
  <c r="J229" i="2" s="1"/>
  <c r="H228" i="2"/>
  <c r="J228" i="2" s="1"/>
  <c r="H227" i="2"/>
  <c r="J227" i="2" s="1"/>
  <c r="H226" i="2"/>
  <c r="J226" i="2" s="1"/>
  <c r="H225" i="2"/>
  <c r="J225" i="2" s="1"/>
  <c r="H224" i="2"/>
  <c r="J224" i="2" s="1"/>
  <c r="H223" i="2"/>
  <c r="J223" i="2" s="1"/>
  <c r="H222" i="2"/>
  <c r="J222" i="2" s="1"/>
  <c r="S218" i="2" s="1"/>
  <c r="H221" i="2"/>
  <c r="J221" i="2" s="1"/>
  <c r="H220" i="2"/>
  <c r="J220" i="2" s="1"/>
  <c r="R218" i="2" s="1"/>
  <c r="H219" i="2"/>
  <c r="J219" i="2" s="1"/>
  <c r="L218" i="2"/>
  <c r="H218" i="2"/>
  <c r="J218" i="2" s="1"/>
  <c r="H216" i="2"/>
  <c r="J216" i="2" s="1"/>
  <c r="J215" i="2"/>
  <c r="H215" i="2"/>
  <c r="H214" i="2"/>
  <c r="J214" i="2" s="1"/>
  <c r="H213" i="2"/>
  <c r="J213" i="2" s="1"/>
  <c r="H212" i="2"/>
  <c r="J212" i="2" s="1"/>
  <c r="H211" i="2"/>
  <c r="J211" i="2" s="1"/>
  <c r="J210" i="2"/>
  <c r="H210" i="2"/>
  <c r="H209" i="2"/>
  <c r="J209" i="2" s="1"/>
  <c r="H208" i="2"/>
  <c r="J208" i="2" s="1"/>
  <c r="J207" i="2"/>
  <c r="H207" i="2"/>
  <c r="H206" i="2"/>
  <c r="J206" i="2" s="1"/>
  <c r="H205" i="2"/>
  <c r="J205" i="2" s="1"/>
  <c r="H204" i="2"/>
  <c r="J204" i="2" s="1"/>
  <c r="J203" i="2"/>
  <c r="H203" i="2"/>
  <c r="H202" i="2"/>
  <c r="J202" i="2" s="1"/>
  <c r="H201" i="2"/>
  <c r="J201" i="2" s="1"/>
  <c r="H200" i="2"/>
  <c r="J200" i="2" s="1"/>
  <c r="H199" i="2"/>
  <c r="J199" i="2" s="1"/>
  <c r="H198" i="2"/>
  <c r="J198" i="2" s="1"/>
  <c r="H197" i="2"/>
  <c r="J197" i="2" s="1"/>
  <c r="H196" i="2"/>
  <c r="J196" i="2" s="1"/>
  <c r="J195" i="2"/>
  <c r="H195" i="2"/>
  <c r="H194" i="2"/>
  <c r="J194" i="2" s="1"/>
  <c r="H193" i="2"/>
  <c r="J193" i="2" s="1"/>
  <c r="H192" i="2"/>
  <c r="J192" i="2" s="1"/>
  <c r="H191" i="2"/>
  <c r="J191" i="2" s="1"/>
  <c r="R189" i="2" s="1"/>
  <c r="H190" i="2"/>
  <c r="J190" i="2" s="1"/>
  <c r="L189" i="2"/>
  <c r="H189" i="2"/>
  <c r="J189" i="2" s="1"/>
  <c r="H187" i="2"/>
  <c r="J187" i="2" s="1"/>
  <c r="J186" i="2"/>
  <c r="H186" i="2"/>
  <c r="H185" i="2"/>
  <c r="J185" i="2" s="1"/>
  <c r="H184" i="2"/>
  <c r="J184" i="2" s="1"/>
  <c r="H183" i="2"/>
  <c r="J183" i="2" s="1"/>
  <c r="H182" i="2"/>
  <c r="J182" i="2" s="1"/>
  <c r="H181" i="2"/>
  <c r="J181" i="2" s="1"/>
  <c r="M163" i="2" s="1"/>
  <c r="H180" i="2"/>
  <c r="J180" i="2" s="1"/>
  <c r="H179" i="2"/>
  <c r="J179" i="2" s="1"/>
  <c r="J178" i="2"/>
  <c r="H178" i="2"/>
  <c r="H177" i="2"/>
  <c r="J177" i="2" s="1"/>
  <c r="H176" i="2"/>
  <c r="J176" i="2" s="1"/>
  <c r="H175" i="2"/>
  <c r="J175" i="2" s="1"/>
  <c r="H174" i="2"/>
  <c r="J174" i="2" s="1"/>
  <c r="H173" i="2"/>
  <c r="J173" i="2" s="1"/>
  <c r="H172" i="2"/>
  <c r="J172" i="2" s="1"/>
  <c r="H171" i="2"/>
  <c r="J171" i="2" s="1"/>
  <c r="J170" i="2"/>
  <c r="H170" i="2"/>
  <c r="H169" i="2"/>
  <c r="J169" i="2" s="1"/>
  <c r="H168" i="2"/>
  <c r="J168" i="2" s="1"/>
  <c r="H167" i="2"/>
  <c r="J167" i="2" s="1"/>
  <c r="H166" i="2"/>
  <c r="J166" i="2" s="1"/>
  <c r="S163" i="2" s="1"/>
  <c r="H165" i="2"/>
  <c r="J165" i="2" s="1"/>
  <c r="Q163" i="2" s="1"/>
  <c r="H164" i="2"/>
  <c r="J164" i="2" s="1"/>
  <c r="R163" i="2"/>
  <c r="L163" i="2"/>
  <c r="H163" i="2"/>
  <c r="J163" i="2" s="1"/>
  <c r="H161" i="2"/>
  <c r="J161" i="2" s="1"/>
  <c r="H160" i="2"/>
  <c r="J160" i="2" s="1"/>
  <c r="H159" i="2"/>
  <c r="J159" i="2" s="1"/>
  <c r="H158" i="2"/>
  <c r="J158" i="2" s="1"/>
  <c r="H157" i="2"/>
  <c r="J157" i="2" s="1"/>
  <c r="H156" i="2"/>
  <c r="J156" i="2" s="1"/>
  <c r="H155" i="2"/>
  <c r="J155" i="2" s="1"/>
  <c r="H154" i="2"/>
  <c r="J154" i="2" s="1"/>
  <c r="H153" i="2"/>
  <c r="J153" i="2" s="1"/>
  <c r="H152" i="2"/>
  <c r="J152" i="2" s="1"/>
  <c r="H151" i="2"/>
  <c r="J151" i="2" s="1"/>
  <c r="H150" i="2"/>
  <c r="J150" i="2" s="1"/>
  <c r="J149" i="2"/>
  <c r="H149" i="2"/>
  <c r="J148" i="2"/>
  <c r="H148" i="2"/>
  <c r="J147" i="2"/>
  <c r="H147" i="2"/>
  <c r="H146" i="2"/>
  <c r="J146" i="2" s="1"/>
  <c r="H145" i="2"/>
  <c r="J145" i="2" s="1"/>
  <c r="H144" i="2"/>
  <c r="J144" i="2" s="1"/>
  <c r="H143" i="2"/>
  <c r="J143" i="2" s="1"/>
  <c r="H142" i="2"/>
  <c r="J142" i="2" s="1"/>
  <c r="H141" i="2"/>
  <c r="J141" i="2" s="1"/>
  <c r="H140" i="2"/>
  <c r="J140" i="2" s="1"/>
  <c r="S137" i="2" s="1"/>
  <c r="H139" i="2"/>
  <c r="J139" i="2" s="1"/>
  <c r="H138" i="2"/>
  <c r="J138" i="2" s="1"/>
  <c r="R137" i="2"/>
  <c r="L137" i="2"/>
  <c r="H137" i="2"/>
  <c r="J137" i="2" s="1"/>
  <c r="H135" i="2"/>
  <c r="J135" i="2" s="1"/>
  <c r="H134" i="2"/>
  <c r="J134" i="2" s="1"/>
  <c r="H133" i="2"/>
  <c r="J133" i="2" s="1"/>
  <c r="H132" i="2"/>
  <c r="J132" i="2" s="1"/>
  <c r="H131" i="2"/>
  <c r="J131" i="2" s="1"/>
  <c r="H130" i="2"/>
  <c r="J130" i="2" s="1"/>
  <c r="H129" i="2"/>
  <c r="J129" i="2" s="1"/>
  <c r="J128" i="2"/>
  <c r="H128" i="2"/>
  <c r="H127" i="2"/>
  <c r="J127" i="2" s="1"/>
  <c r="H126" i="2"/>
  <c r="J126" i="2" s="1"/>
  <c r="H125" i="2"/>
  <c r="J125" i="2" s="1"/>
  <c r="H124" i="2"/>
  <c r="J124" i="2" s="1"/>
  <c r="H123" i="2"/>
  <c r="J123" i="2" s="1"/>
  <c r="H122" i="2"/>
  <c r="J122" i="2" s="1"/>
  <c r="H121" i="2"/>
  <c r="J121" i="2" s="1"/>
  <c r="H120" i="2"/>
  <c r="J120" i="2" s="1"/>
  <c r="H119" i="2"/>
  <c r="J119" i="2" s="1"/>
  <c r="H118" i="2"/>
  <c r="J118" i="2" s="1"/>
  <c r="H117" i="2"/>
  <c r="J117" i="2" s="1"/>
  <c r="H116" i="2"/>
  <c r="J116" i="2" s="1"/>
  <c r="J115" i="2"/>
  <c r="H115" i="2"/>
  <c r="H114" i="2"/>
  <c r="J114" i="2" s="1"/>
  <c r="S111" i="2" s="1"/>
  <c r="H113" i="2"/>
  <c r="J113" i="2" s="1"/>
  <c r="J112" i="2"/>
  <c r="H112" i="2"/>
  <c r="R111" i="2"/>
  <c r="L111" i="2"/>
  <c r="H111" i="2"/>
  <c r="J111" i="2" s="1"/>
  <c r="H109" i="2"/>
  <c r="J109" i="2" s="1"/>
  <c r="H108" i="2"/>
  <c r="J108" i="2" s="1"/>
  <c r="H107" i="2"/>
  <c r="J107" i="2" s="1"/>
  <c r="H106" i="2"/>
  <c r="J106" i="2" s="1"/>
  <c r="H105" i="2"/>
  <c r="J105" i="2" s="1"/>
  <c r="H104" i="2"/>
  <c r="J104" i="2" s="1"/>
  <c r="J103" i="2"/>
  <c r="H103" i="2"/>
  <c r="J102" i="2"/>
  <c r="H102" i="2"/>
  <c r="H101" i="2"/>
  <c r="J101" i="2" s="1"/>
  <c r="H100" i="2"/>
  <c r="J100" i="2" s="1"/>
  <c r="H99" i="2"/>
  <c r="J99" i="2" s="1"/>
  <c r="H98" i="2"/>
  <c r="J98" i="2" s="1"/>
  <c r="H97" i="2"/>
  <c r="J97" i="2" s="1"/>
  <c r="H96" i="2"/>
  <c r="J96" i="2" s="1"/>
  <c r="H95" i="2"/>
  <c r="J95" i="2" s="1"/>
  <c r="J94" i="2"/>
  <c r="H94" i="2"/>
  <c r="J93" i="2"/>
  <c r="H93" i="2"/>
  <c r="J92" i="2"/>
  <c r="H92" i="2"/>
  <c r="H91" i="2"/>
  <c r="J91" i="2" s="1"/>
  <c r="H90" i="2"/>
  <c r="J90" i="2" s="1"/>
  <c r="H89" i="2"/>
  <c r="J89" i="2" s="1"/>
  <c r="H88" i="2"/>
  <c r="J88" i="2" s="1"/>
  <c r="S85" i="2" s="1"/>
  <c r="H87" i="2"/>
  <c r="J87" i="2" s="1"/>
  <c r="Q85" i="2" s="1"/>
  <c r="H86" i="2"/>
  <c r="J86" i="2" s="1"/>
  <c r="R85" i="2"/>
  <c r="L85" i="2"/>
  <c r="H85" i="2"/>
  <c r="J85" i="2" s="1"/>
  <c r="H83" i="2"/>
  <c r="J83" i="2" s="1"/>
  <c r="H82" i="2"/>
  <c r="J82" i="2" s="1"/>
  <c r="H81" i="2"/>
  <c r="J81" i="2" s="1"/>
  <c r="H80" i="2"/>
  <c r="J80" i="2" s="1"/>
  <c r="H79" i="2"/>
  <c r="J79" i="2" s="1"/>
  <c r="H78" i="2"/>
  <c r="J78" i="2" s="1"/>
  <c r="H77" i="2"/>
  <c r="J77" i="2" s="1"/>
  <c r="M59" i="2" s="1"/>
  <c r="H76" i="2"/>
  <c r="J76" i="2" s="1"/>
  <c r="H75" i="2"/>
  <c r="J75" i="2" s="1"/>
  <c r="H74" i="2"/>
  <c r="J74" i="2" s="1"/>
  <c r="H73" i="2"/>
  <c r="J73" i="2" s="1"/>
  <c r="J72" i="2"/>
  <c r="H72" i="2"/>
  <c r="H71" i="2"/>
  <c r="J71" i="2" s="1"/>
  <c r="H70" i="2"/>
  <c r="J70" i="2" s="1"/>
  <c r="H69" i="2"/>
  <c r="J69" i="2" s="1"/>
  <c r="H68" i="2"/>
  <c r="J68" i="2" s="1"/>
  <c r="H67" i="2"/>
  <c r="J67" i="2" s="1"/>
  <c r="H66" i="2"/>
  <c r="J66" i="2" s="1"/>
  <c r="H65" i="2"/>
  <c r="J65" i="2" s="1"/>
  <c r="H64" i="2"/>
  <c r="J64" i="2" s="1"/>
  <c r="H63" i="2"/>
  <c r="J63" i="2" s="1"/>
  <c r="H62" i="2"/>
  <c r="J62" i="2" s="1"/>
  <c r="H61" i="2"/>
  <c r="J61" i="2" s="1"/>
  <c r="J60" i="2"/>
  <c r="H60" i="2"/>
  <c r="R59" i="2"/>
  <c r="L59" i="2"/>
  <c r="H59" i="2"/>
  <c r="J59" i="2" s="1"/>
  <c r="H57" i="2"/>
  <c r="J57" i="2" s="1"/>
  <c r="H56" i="2"/>
  <c r="J56" i="2" s="1"/>
  <c r="H55" i="2"/>
  <c r="J55" i="2" s="1"/>
  <c r="H54" i="2"/>
  <c r="J54" i="2" s="1"/>
  <c r="H53" i="2"/>
  <c r="J53" i="2" s="1"/>
  <c r="H52" i="2"/>
  <c r="J52" i="2" s="1"/>
  <c r="H51" i="2"/>
  <c r="J51" i="2" s="1"/>
  <c r="M33" i="2" s="1"/>
  <c r="H50" i="2"/>
  <c r="J50" i="2" s="1"/>
  <c r="H49" i="2"/>
  <c r="J49" i="2" s="1"/>
  <c r="H48" i="2"/>
  <c r="J48" i="2" s="1"/>
  <c r="H47" i="2"/>
  <c r="J47" i="2" s="1"/>
  <c r="H46" i="2"/>
  <c r="J46" i="2" s="1"/>
  <c r="H45" i="2"/>
  <c r="J45" i="2" s="1"/>
  <c r="H44" i="2"/>
  <c r="J44" i="2" s="1"/>
  <c r="H43" i="2"/>
  <c r="J43" i="2" s="1"/>
  <c r="H42" i="2"/>
  <c r="J42" i="2" s="1"/>
  <c r="H41" i="2"/>
  <c r="J41" i="2" s="1"/>
  <c r="H40" i="2"/>
  <c r="J40" i="2" s="1"/>
  <c r="H39" i="2"/>
  <c r="J39" i="2" s="1"/>
  <c r="J38" i="2"/>
  <c r="H38" i="2"/>
  <c r="H37" i="2"/>
  <c r="J37" i="2" s="1"/>
  <c r="H36" i="2"/>
  <c r="J36" i="2" s="1"/>
  <c r="H35" i="2"/>
  <c r="J35" i="2" s="1"/>
  <c r="H34" i="2"/>
  <c r="J34" i="2" s="1"/>
  <c r="R33" i="2"/>
  <c r="L33" i="2"/>
  <c r="H33" i="2"/>
  <c r="J33" i="2" s="1"/>
  <c r="H31" i="2"/>
  <c r="J31" i="2" s="1"/>
  <c r="H30" i="2"/>
  <c r="J30" i="2" s="1"/>
  <c r="H29" i="2"/>
  <c r="J29" i="2" s="1"/>
  <c r="H28" i="2"/>
  <c r="J28" i="2" s="1"/>
  <c r="H27" i="2"/>
  <c r="J27" i="2" s="1"/>
  <c r="H26" i="2"/>
  <c r="J26" i="2" s="1"/>
  <c r="J25" i="2"/>
  <c r="H25" i="2"/>
  <c r="H24" i="2"/>
  <c r="J24" i="2" s="1"/>
  <c r="H23" i="2"/>
  <c r="J2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H7" i="2"/>
  <c r="J7" i="2" s="1"/>
  <c r="H6" i="2"/>
  <c r="J6" i="2" s="1"/>
  <c r="R4" i="2" s="1"/>
  <c r="H5" i="2"/>
  <c r="J5" i="2" s="1"/>
  <c r="L4" i="2"/>
  <c r="H4" i="2"/>
  <c r="J4" i="2" s="1"/>
  <c r="F17" i="1"/>
  <c r="H16" i="1"/>
  <c r="F13" i="1"/>
  <c r="F12" i="1"/>
  <c r="F11" i="1"/>
  <c r="F10" i="1"/>
  <c r="F9" i="1"/>
  <c r="F8" i="1"/>
  <c r="F7" i="1"/>
  <c r="F6" i="1"/>
  <c r="F5" i="1"/>
  <c r="F4" i="1"/>
  <c r="K53" i="3" l="1"/>
  <c r="R42" i="3"/>
  <c r="X42" i="3" s="1"/>
  <c r="Z42" i="3" s="1"/>
  <c r="N325" i="2"/>
  <c r="T325" i="2" s="1"/>
  <c r="V325" i="2" s="1"/>
  <c r="M137" i="2"/>
  <c r="N85" i="2"/>
  <c r="M247" i="2"/>
  <c r="O4" i="2"/>
  <c r="K6" i="4"/>
  <c r="O4" i="4" s="1"/>
  <c r="R4" i="4" s="1"/>
  <c r="P93" i="6"/>
  <c r="M85" i="2"/>
  <c r="K29" i="3"/>
  <c r="M403" i="2"/>
  <c r="S93" i="6"/>
  <c r="S95" i="6" s="1"/>
  <c r="O111" i="2"/>
  <c r="S299" i="2"/>
  <c r="R93" i="6"/>
  <c r="M189" i="2"/>
  <c r="N189" i="2"/>
  <c r="Q377" i="2"/>
  <c r="R66" i="3"/>
  <c r="R87" i="3"/>
  <c r="X87" i="3" s="1"/>
  <c r="Z87" i="3" s="1"/>
  <c r="O4" i="5"/>
  <c r="N137" i="2"/>
  <c r="J24" i="6"/>
  <c r="V139" i="3"/>
  <c r="V141" i="3" s="1"/>
  <c r="Q30" i="3"/>
  <c r="N4" i="2"/>
  <c r="N403" i="2"/>
  <c r="M351" i="2"/>
  <c r="Q403" i="2"/>
  <c r="K41" i="3"/>
  <c r="J60" i="6"/>
  <c r="M4" i="2"/>
  <c r="S189" i="2"/>
  <c r="Y139" i="3"/>
  <c r="G140" i="3" s="1"/>
  <c r="S59" i="2"/>
  <c r="Q299" i="2"/>
  <c r="X36" i="3"/>
  <c r="Z36" i="3" s="1"/>
  <c r="Q108" i="3"/>
  <c r="J74" i="6"/>
  <c r="N33" i="2"/>
  <c r="Q137" i="2"/>
  <c r="N351" i="2"/>
  <c r="S403" i="2"/>
  <c r="R24" i="3"/>
  <c r="X24" i="3" s="1"/>
  <c r="Z24" i="3" s="1"/>
  <c r="Q247" i="2"/>
  <c r="F15" i="1"/>
  <c r="R36" i="3"/>
  <c r="N247" i="2"/>
  <c r="Q351" i="2"/>
  <c r="Q59" i="2"/>
  <c r="Q111" i="2"/>
  <c r="K73" i="3"/>
  <c r="O90" i="3"/>
  <c r="K86" i="3"/>
  <c r="O84" i="3"/>
  <c r="X84" i="3" s="1"/>
  <c r="Z84" i="3" s="1"/>
  <c r="F8" i="4"/>
  <c r="T4" i="4"/>
  <c r="G7" i="7"/>
  <c r="H7" i="7" s="1"/>
  <c r="P95" i="6"/>
  <c r="N299" i="2"/>
  <c r="O325" i="2"/>
  <c r="N377" i="2"/>
  <c r="T377" i="2" s="1"/>
  <c r="V377" i="2" s="1"/>
  <c r="J110" i="2"/>
  <c r="P85" i="2"/>
  <c r="P273" i="2"/>
  <c r="J298" i="2"/>
  <c r="J402" i="2"/>
  <c r="P377" i="2"/>
  <c r="R4" i="3"/>
  <c r="X4" i="3" s="1"/>
  <c r="K23" i="3"/>
  <c r="M111" i="2"/>
  <c r="N163" i="2"/>
  <c r="T163" i="2" s="1"/>
  <c r="V163" i="2" s="1"/>
  <c r="M218" i="2"/>
  <c r="S247" i="2"/>
  <c r="O351" i="2"/>
  <c r="P403" i="2"/>
  <c r="J431" i="2"/>
  <c r="K138" i="3"/>
  <c r="O132" i="3"/>
  <c r="O93" i="6"/>
  <c r="J15" i="6"/>
  <c r="O247" i="2"/>
  <c r="S139" i="3"/>
  <c r="S141" i="3" s="1"/>
  <c r="T93" i="6"/>
  <c r="J57" i="6"/>
  <c r="R95" i="6"/>
  <c r="G9" i="7"/>
  <c r="H9" i="7" s="1"/>
  <c r="P4" i="2"/>
  <c r="J32" i="2"/>
  <c r="O33" i="2"/>
  <c r="S273" i="2"/>
  <c r="J350" i="2"/>
  <c r="P325" i="2"/>
  <c r="G10" i="1"/>
  <c r="H10" i="1" s="1"/>
  <c r="T141" i="3"/>
  <c r="K80" i="3"/>
  <c r="O78" i="3"/>
  <c r="X78" i="3" s="1"/>
  <c r="Z78" i="3" s="1"/>
  <c r="J90" i="6"/>
  <c r="K116" i="3"/>
  <c r="R108" i="3"/>
  <c r="K107" i="3"/>
  <c r="Q100" i="3"/>
  <c r="O137" i="2"/>
  <c r="T137" i="2" s="1"/>
  <c r="V137" i="2" s="1"/>
  <c r="N218" i="2"/>
  <c r="M273" i="2"/>
  <c r="J376" i="2"/>
  <c r="P351" i="2"/>
  <c r="S377" i="2"/>
  <c r="R100" i="3"/>
  <c r="J29" i="6"/>
  <c r="Q93" i="6"/>
  <c r="W141" i="3"/>
  <c r="G13" i="1"/>
  <c r="H13" i="1" s="1"/>
  <c r="K99" i="3"/>
  <c r="G13" i="7"/>
  <c r="H13" i="7" s="1"/>
  <c r="V95" i="6"/>
  <c r="O273" i="2"/>
  <c r="X66" i="3"/>
  <c r="Z66" i="3" s="1"/>
  <c r="X108" i="3"/>
  <c r="Z108" i="3" s="1"/>
  <c r="R4" i="5"/>
  <c r="G5" i="7"/>
  <c r="H5" i="7" s="1"/>
  <c r="N95" i="6"/>
  <c r="P33" i="2"/>
  <c r="J58" i="2"/>
  <c r="O299" i="2"/>
  <c r="K83" i="3"/>
  <c r="O81" i="3"/>
  <c r="X81" i="3" s="1"/>
  <c r="Z81" i="3" s="1"/>
  <c r="O125" i="3"/>
  <c r="X125" i="3" s="1"/>
  <c r="Z125" i="3" s="1"/>
  <c r="K131" i="3"/>
  <c r="X132" i="3"/>
  <c r="Z132" i="3" s="1"/>
  <c r="O59" i="2"/>
  <c r="T59" i="2" s="1"/>
  <c r="V59" i="2" s="1"/>
  <c r="J136" i="2"/>
  <c r="P111" i="2"/>
  <c r="Q4" i="2"/>
  <c r="R90" i="3"/>
  <c r="K124" i="3"/>
  <c r="Q117" i="3"/>
  <c r="X117" i="3" s="1"/>
  <c r="Z117" i="3" s="1"/>
  <c r="J84" i="6"/>
  <c r="P189" i="2"/>
  <c r="J217" i="2"/>
  <c r="Q189" i="2"/>
  <c r="O85" i="2"/>
  <c r="J162" i="2"/>
  <c r="J272" i="2"/>
  <c r="O377" i="2"/>
  <c r="S4" i="2"/>
  <c r="S325" i="2"/>
  <c r="P299" i="2"/>
  <c r="J324" i="2"/>
  <c r="O218" i="2"/>
  <c r="P163" i="2"/>
  <c r="J188" i="2"/>
  <c r="N111" i="2"/>
  <c r="R432" i="2"/>
  <c r="P218" i="2"/>
  <c r="J246" i="2"/>
  <c r="Q33" i="2"/>
  <c r="J84" i="2"/>
  <c r="P59" i="2"/>
  <c r="N59" i="2"/>
  <c r="O163" i="2"/>
  <c r="S33" i="2"/>
  <c r="P137" i="2"/>
  <c r="O189" i="2"/>
  <c r="Q218" i="2"/>
  <c r="P247" i="2"/>
  <c r="T247" i="2" s="1"/>
  <c r="V247" i="2" s="1"/>
  <c r="N273" i="2"/>
  <c r="S351" i="2"/>
  <c r="O403" i="2"/>
  <c r="N139" i="3"/>
  <c r="J42" i="6"/>
  <c r="J68" i="6"/>
  <c r="K89" i="3"/>
  <c r="Y140" i="3"/>
  <c r="Z140" i="3" s="1"/>
  <c r="U93" i="6"/>
  <c r="K9" i="5"/>
  <c r="R30" i="3"/>
  <c r="R74" i="3"/>
  <c r="X74" i="3" s="1"/>
  <c r="Z74" i="3" s="1"/>
  <c r="Q90" i="3"/>
  <c r="Q139" i="3" s="1"/>
  <c r="Q141" i="3" s="1"/>
  <c r="G4" i="7"/>
  <c r="O70" i="3"/>
  <c r="X70" i="3" s="1"/>
  <c r="Z70" i="3" s="1"/>
  <c r="J7" i="6"/>
  <c r="T351" i="2" l="1"/>
  <c r="V351" i="2" s="1"/>
  <c r="W93" i="6"/>
  <c r="X30" i="3"/>
  <c r="Z30" i="3" s="1"/>
  <c r="G10" i="7"/>
  <c r="H10" i="7" s="1"/>
  <c r="T299" i="2"/>
  <c r="V299" i="2" s="1"/>
  <c r="O432" i="2"/>
  <c r="O434" i="2" s="1"/>
  <c r="M432" i="2"/>
  <c r="X100" i="3"/>
  <c r="Z100" i="3" s="1"/>
  <c r="N432" i="2"/>
  <c r="T189" i="2"/>
  <c r="V189" i="2" s="1"/>
  <c r="T403" i="2"/>
  <c r="V403" i="2" s="1"/>
  <c r="T85" i="2"/>
  <c r="V85" i="2" s="1"/>
  <c r="J91" i="6"/>
  <c r="N434" i="2"/>
  <c r="G6" i="1"/>
  <c r="H6" i="1" s="1"/>
  <c r="M434" i="2"/>
  <c r="S432" i="2"/>
  <c r="W96" i="6"/>
  <c r="W97" i="6" s="1"/>
  <c r="Y97" i="6" s="1"/>
  <c r="W95" i="6"/>
  <c r="P432" i="2"/>
  <c r="T4" i="2"/>
  <c r="H4" i="7"/>
  <c r="G11" i="1"/>
  <c r="H11" i="1" s="1"/>
  <c r="R434" i="2"/>
  <c r="T111" i="2"/>
  <c r="V111" i="2" s="1"/>
  <c r="T95" i="6"/>
  <c r="G11" i="7"/>
  <c r="H11" i="7" s="1"/>
  <c r="Z4" i="3"/>
  <c r="T33" i="2"/>
  <c r="V33" i="2" s="1"/>
  <c r="R139" i="3"/>
  <c r="R141" i="3" s="1"/>
  <c r="I8" i="4"/>
  <c r="G14" i="1"/>
  <c r="H14" i="1" s="1"/>
  <c r="O139" i="3"/>
  <c r="O141" i="3" s="1"/>
  <c r="X90" i="3"/>
  <c r="Z90" i="3" s="1"/>
  <c r="Q432" i="2"/>
  <c r="G8" i="7"/>
  <c r="H8" i="7" s="1"/>
  <c r="Q95" i="6"/>
  <c r="T273" i="2"/>
  <c r="V273" i="2" s="1"/>
  <c r="G6" i="7"/>
  <c r="H6" i="7" s="1"/>
  <c r="O95" i="6"/>
  <c r="T218" i="2"/>
  <c r="V218" i="2" s="1"/>
  <c r="G12" i="7"/>
  <c r="H12" i="7" s="1"/>
  <c r="U95" i="6"/>
  <c r="G4" i="1"/>
  <c r="N141" i="3"/>
  <c r="F11" i="5"/>
  <c r="T4" i="5"/>
  <c r="G7" i="1" l="1"/>
  <c r="H7" i="1" s="1"/>
  <c r="I11" i="5"/>
  <c r="G17" i="1"/>
  <c r="H17" i="1" s="1"/>
  <c r="P434" i="2"/>
  <c r="G8" i="1"/>
  <c r="H8" i="1" s="1"/>
  <c r="G12" i="1"/>
  <c r="H12" i="1" s="1"/>
  <c r="S434" i="2"/>
  <c r="X139" i="3"/>
  <c r="G5" i="1"/>
  <c r="H5" i="1" s="1"/>
  <c r="V4" i="2"/>
  <c r="T432" i="2"/>
  <c r="H4" i="1"/>
  <c r="G9" i="1"/>
  <c r="H9" i="1" s="1"/>
  <c r="Q434" i="2"/>
  <c r="G14" i="7"/>
  <c r="H14" i="7" s="1"/>
  <c r="Y96" i="6"/>
  <c r="G15" i="1" l="1"/>
  <c r="H15" i="1" s="1"/>
  <c r="F433" i="2"/>
  <c r="H433" i="2" s="1"/>
  <c r="V432" i="2"/>
  <c r="T434" i="2"/>
  <c r="X141" i="3"/>
  <c r="F140" i="3"/>
  <c r="I140" i="3" s="1"/>
  <c r="Z139" i="3"/>
  <c r="G15" i="7"/>
  <c r="H15" i="7" s="1"/>
</calcChain>
</file>

<file path=xl/sharedStrings.xml><?xml version="1.0" encoding="utf-8"?>
<sst xmlns="http://schemas.openxmlformats.org/spreadsheetml/2006/main" count="1785" uniqueCount="506">
  <si>
    <t>部位</t>
  </si>
  <si>
    <t>板厚</t>
  </si>
  <si>
    <t>单位</t>
  </si>
  <si>
    <t>图纸数量</t>
  </si>
  <si>
    <t>复核数量</t>
  </si>
  <si>
    <t>差异</t>
  </si>
  <si>
    <t>备注</t>
  </si>
  <si>
    <t>Q355</t>
  </si>
  <si>
    <t>Q420</t>
  </si>
  <si>
    <t>合计</t>
  </si>
  <si>
    <t>钢梁</t>
  </si>
  <si>
    <t>kg</t>
  </si>
  <si>
    <t>梁底挡块</t>
  </si>
  <si>
    <t>钢梁制造合计</t>
  </si>
  <si>
    <t>附属预埋</t>
  </si>
  <si>
    <t>护栏</t>
  </si>
  <si>
    <t>属于伸缩缝出护栏挡板，与混凝土护栏浇筑标段有冲突，待确认</t>
  </si>
  <si>
    <t>排水</t>
  </si>
  <si>
    <t>梁板编号</t>
  </si>
  <si>
    <t>板件名称</t>
  </si>
  <si>
    <t>位置</t>
  </si>
  <si>
    <t>材质</t>
  </si>
  <si>
    <t>长</t>
  </si>
  <si>
    <t>宽</t>
  </si>
  <si>
    <t>厚</t>
  </si>
  <si>
    <t>单件重</t>
  </si>
  <si>
    <t>数量</t>
  </si>
  <si>
    <t>合计重量</t>
  </si>
  <si>
    <t>mm</t>
  </si>
  <si>
    <t>上层1#</t>
  </si>
  <si>
    <t>顶板</t>
  </si>
  <si>
    <t>T1a</t>
  </si>
  <si>
    <t>Q420MD</t>
  </si>
  <si>
    <t>T1a'</t>
  </si>
  <si>
    <t>T1b</t>
  </si>
  <si>
    <t>T1b'</t>
  </si>
  <si>
    <t>T1c</t>
  </si>
  <si>
    <t>T1d</t>
  </si>
  <si>
    <t>T1e</t>
  </si>
  <si>
    <t>腹板</t>
  </si>
  <si>
    <t>F1a</t>
  </si>
  <si>
    <t>F1a'</t>
  </si>
  <si>
    <t>F1a''</t>
  </si>
  <si>
    <t>F1a'''</t>
  </si>
  <si>
    <t>F1b</t>
  </si>
  <si>
    <t>F1b'</t>
  </si>
  <si>
    <t>F1b''</t>
  </si>
  <si>
    <t>F1b'''</t>
  </si>
  <si>
    <t>F1c</t>
  </si>
  <si>
    <t>F1c'</t>
  </si>
  <si>
    <t>底板</t>
  </si>
  <si>
    <t>B1a</t>
  </si>
  <si>
    <t>B1a'</t>
  </si>
  <si>
    <t>B1b</t>
  </si>
  <si>
    <t>B1c</t>
  </si>
  <si>
    <t>腹板加劲</t>
  </si>
  <si>
    <t>FL1a</t>
  </si>
  <si>
    <t>长度待设计核实</t>
  </si>
  <si>
    <t>FL1b</t>
  </si>
  <si>
    <t>FL1c</t>
  </si>
  <si>
    <t>底板加劲</t>
  </si>
  <si>
    <t>BL1a</t>
  </si>
  <si>
    <t>BL1a'</t>
  </si>
  <si>
    <t>BL1b</t>
  </si>
  <si>
    <t>BL1c</t>
  </si>
  <si>
    <t>小计</t>
  </si>
  <si>
    <t>上层2#</t>
  </si>
  <si>
    <t>T2a</t>
  </si>
  <si>
    <t>T2a'</t>
  </si>
  <si>
    <t>T2b</t>
  </si>
  <si>
    <t>T2c</t>
  </si>
  <si>
    <t>T2d</t>
  </si>
  <si>
    <t>T2e</t>
  </si>
  <si>
    <t>F2a</t>
  </si>
  <si>
    <t>F2a'</t>
  </si>
  <si>
    <t>F2a''</t>
  </si>
  <si>
    <t>F2a'''</t>
  </si>
  <si>
    <t>F2b</t>
  </si>
  <si>
    <t>F2b'</t>
  </si>
  <si>
    <t>F2c</t>
  </si>
  <si>
    <t>F2c'</t>
  </si>
  <si>
    <t>B2a</t>
  </si>
  <si>
    <t>B2a'</t>
  </si>
  <si>
    <t>B2b</t>
  </si>
  <si>
    <t>B2c</t>
  </si>
  <si>
    <t>FL2a</t>
  </si>
  <si>
    <t>FL2b</t>
  </si>
  <si>
    <t>FL2c</t>
  </si>
  <si>
    <t>BL2a</t>
  </si>
  <si>
    <t>BL2a'</t>
  </si>
  <si>
    <t>BL2b</t>
  </si>
  <si>
    <t>BL2c</t>
  </si>
  <si>
    <t>上层3#</t>
  </si>
  <si>
    <t>T3a</t>
  </si>
  <si>
    <t>T3a'</t>
  </si>
  <si>
    <t>T3b</t>
  </si>
  <si>
    <t>T3c</t>
  </si>
  <si>
    <t>T3d</t>
  </si>
  <si>
    <t>T3e</t>
  </si>
  <si>
    <t>F3a</t>
  </si>
  <si>
    <t>F3a'</t>
  </si>
  <si>
    <t>F3a''</t>
  </si>
  <si>
    <t>F3a'''</t>
  </si>
  <si>
    <t>F3b</t>
  </si>
  <si>
    <t>F3b'</t>
  </si>
  <si>
    <t>F3c</t>
  </si>
  <si>
    <t>F3c'</t>
  </si>
  <si>
    <t>B3a</t>
  </si>
  <si>
    <t>B3a'</t>
  </si>
  <si>
    <t>B3b</t>
  </si>
  <si>
    <t>B3c</t>
  </si>
  <si>
    <t>FL3a</t>
  </si>
  <si>
    <t>FL3b</t>
  </si>
  <si>
    <t>FL3c</t>
  </si>
  <si>
    <t>BL3a</t>
  </si>
  <si>
    <t>BL3a'</t>
  </si>
  <si>
    <t>BL3b</t>
  </si>
  <si>
    <t>BL3c</t>
  </si>
  <si>
    <t>上层4#</t>
  </si>
  <si>
    <t>T4a</t>
  </si>
  <si>
    <t>T4a'</t>
  </si>
  <si>
    <t>T4b</t>
  </si>
  <si>
    <t>T4c</t>
  </si>
  <si>
    <t>T4d</t>
  </si>
  <si>
    <t>T4e</t>
  </si>
  <si>
    <t>F4a</t>
  </si>
  <si>
    <t>F4a'</t>
  </si>
  <si>
    <t>F4a''</t>
  </si>
  <si>
    <t>F4a'''</t>
  </si>
  <si>
    <t>F4b</t>
  </si>
  <si>
    <t>F4b'</t>
  </si>
  <si>
    <t>F4c</t>
  </si>
  <si>
    <t>F4c'</t>
  </si>
  <si>
    <t>B4a</t>
  </si>
  <si>
    <t>B4a'</t>
  </si>
  <si>
    <t>B4b</t>
  </si>
  <si>
    <t>B4c</t>
  </si>
  <si>
    <t>FL4a</t>
  </si>
  <si>
    <t>FL4b</t>
  </si>
  <si>
    <t>FL4c</t>
  </si>
  <si>
    <t>BL4a</t>
  </si>
  <si>
    <t>BL4a'</t>
  </si>
  <si>
    <t>BL4b</t>
  </si>
  <si>
    <t>BL4c</t>
  </si>
  <si>
    <t>上层5#</t>
  </si>
  <si>
    <t>T5a</t>
  </si>
  <si>
    <t>T5a'</t>
  </si>
  <si>
    <t>T5b</t>
  </si>
  <si>
    <t>T5c</t>
  </si>
  <si>
    <t>T5d</t>
  </si>
  <si>
    <t>T5e</t>
  </si>
  <si>
    <t>F5a</t>
  </si>
  <si>
    <t>F5a'</t>
  </si>
  <si>
    <t>F5a''</t>
  </si>
  <si>
    <t>F5a'''</t>
  </si>
  <si>
    <t>F5b</t>
  </si>
  <si>
    <t>F5b'</t>
  </si>
  <si>
    <t>F5c</t>
  </si>
  <si>
    <t>F5c'</t>
  </si>
  <si>
    <t>B5a</t>
  </si>
  <si>
    <t>B5a'</t>
  </si>
  <si>
    <t>B5b</t>
  </si>
  <si>
    <t>B5c</t>
  </si>
  <si>
    <t>FL5a</t>
  </si>
  <si>
    <t>FL5b</t>
  </si>
  <si>
    <t>FL5c</t>
  </si>
  <si>
    <t>BL5a</t>
  </si>
  <si>
    <t>BL5a'</t>
  </si>
  <si>
    <t>BL5b</t>
  </si>
  <si>
    <t>BL5c</t>
  </si>
  <si>
    <t>上层6#</t>
  </si>
  <si>
    <t>T6a</t>
  </si>
  <si>
    <t>T6a'</t>
  </si>
  <si>
    <t>T6b</t>
  </si>
  <si>
    <t>T6c</t>
  </si>
  <si>
    <t>T6d</t>
  </si>
  <si>
    <t>T6e</t>
  </si>
  <si>
    <t>F6a</t>
  </si>
  <si>
    <t>F6a'</t>
  </si>
  <si>
    <t>F6a''</t>
  </si>
  <si>
    <t>F6a'''</t>
  </si>
  <si>
    <t>F6b</t>
  </si>
  <si>
    <t>F6b'</t>
  </si>
  <si>
    <t>F6c</t>
  </si>
  <si>
    <t>F6c'</t>
  </si>
  <si>
    <t>B6a</t>
  </si>
  <si>
    <t>B6a'</t>
  </si>
  <si>
    <t>B6b</t>
  </si>
  <si>
    <t>B6c</t>
  </si>
  <si>
    <t>FL6a</t>
  </si>
  <si>
    <t>FL6b</t>
  </si>
  <si>
    <t>FL6c</t>
  </si>
  <si>
    <t>BL6a</t>
  </si>
  <si>
    <t>BL6a'</t>
  </si>
  <si>
    <t>BL6b</t>
  </si>
  <si>
    <t>BL6c</t>
  </si>
  <si>
    <t>上层7#</t>
  </si>
  <si>
    <t>T7a</t>
  </si>
  <si>
    <t>T7a'</t>
  </si>
  <si>
    <t>T7b</t>
  </si>
  <si>
    <t>T7c</t>
  </si>
  <si>
    <t>T7d</t>
  </si>
  <si>
    <t>T7e</t>
  </si>
  <si>
    <t>F7a</t>
  </si>
  <si>
    <t>F7a'</t>
  </si>
  <si>
    <t>F7a''</t>
  </si>
  <si>
    <t>F7a'''</t>
  </si>
  <si>
    <t>F7b</t>
  </si>
  <si>
    <t>F7b'</t>
  </si>
  <si>
    <t>F7c</t>
  </si>
  <si>
    <t>F7c'</t>
  </si>
  <si>
    <t>B7a</t>
  </si>
  <si>
    <t>B7a'</t>
  </si>
  <si>
    <t>B7b</t>
  </si>
  <si>
    <t>B7c</t>
  </si>
  <si>
    <t>FL7a</t>
  </si>
  <si>
    <t>FL7b</t>
  </si>
  <si>
    <t>FL7c</t>
  </si>
  <si>
    <t>BL7a</t>
  </si>
  <si>
    <t>BL7a'</t>
  </si>
  <si>
    <t>BL7b</t>
  </si>
  <si>
    <t>BL7c</t>
  </si>
  <si>
    <t>上层8#</t>
  </si>
  <si>
    <t>T8a</t>
  </si>
  <si>
    <t>T8a'</t>
  </si>
  <si>
    <t>T8b</t>
  </si>
  <si>
    <t>T8b'</t>
  </si>
  <si>
    <t>T8c</t>
  </si>
  <si>
    <t>T8d</t>
  </si>
  <si>
    <t>T8e</t>
  </si>
  <si>
    <t>F8a</t>
  </si>
  <si>
    <t>F8a'</t>
  </si>
  <si>
    <t>F8a''</t>
  </si>
  <si>
    <t>F8a'''</t>
  </si>
  <si>
    <t>F8b</t>
  </si>
  <si>
    <t>F8b'</t>
  </si>
  <si>
    <t>F8b''</t>
  </si>
  <si>
    <t>F8b'''</t>
  </si>
  <si>
    <t>F8c</t>
  </si>
  <si>
    <t>F8c'</t>
  </si>
  <si>
    <t>B8a</t>
  </si>
  <si>
    <t>B8a'</t>
  </si>
  <si>
    <t>B8b</t>
  </si>
  <si>
    <t>B8c</t>
  </si>
  <si>
    <t>FL8a</t>
  </si>
  <si>
    <t>FL8b</t>
  </si>
  <si>
    <t>FL8c</t>
  </si>
  <si>
    <t>BL8a</t>
  </si>
  <si>
    <t>BL8a'</t>
  </si>
  <si>
    <t>BL8b</t>
  </si>
  <si>
    <t>BL8c</t>
  </si>
  <si>
    <t>下层1#</t>
  </si>
  <si>
    <t>下层2#</t>
  </si>
  <si>
    <t>下层3#</t>
  </si>
  <si>
    <t>下层4#</t>
  </si>
  <si>
    <t>下层5#</t>
  </si>
  <si>
    <t>下层6#</t>
  </si>
  <si>
    <t>下层7#</t>
  </si>
  <si>
    <t>下层8#</t>
  </si>
  <si>
    <t>名称</t>
  </si>
  <si>
    <t>复核合计</t>
  </si>
  <si>
    <t>主梁合计</t>
  </si>
  <si>
    <t>图纸合计</t>
  </si>
  <si>
    <t>全桥数量</t>
  </si>
  <si>
    <t>横隔板</t>
  </si>
  <si>
    <t>Z1边支点横隔板</t>
  </si>
  <si>
    <t>N1</t>
  </si>
  <si>
    <t>Q355MD</t>
  </si>
  <si>
    <t>N2</t>
  </si>
  <si>
    <t>N3</t>
  </si>
  <si>
    <t>N3'</t>
  </si>
  <si>
    <t>N3a</t>
  </si>
  <si>
    <t>N3a'</t>
  </si>
  <si>
    <t>N3b</t>
  </si>
  <si>
    <t>N3b'</t>
  </si>
  <si>
    <t>N3c</t>
  </si>
  <si>
    <t>N3c'</t>
  </si>
  <si>
    <t>N3d</t>
  </si>
  <si>
    <t>N3d'</t>
  </si>
  <si>
    <t>N4</t>
  </si>
  <si>
    <t>N5</t>
  </si>
  <si>
    <t>N6</t>
  </si>
  <si>
    <t>N7</t>
  </si>
  <si>
    <t>N8</t>
  </si>
  <si>
    <t>数量有误需设计核实</t>
  </si>
  <si>
    <t>N9</t>
  </si>
  <si>
    <t>N10</t>
  </si>
  <si>
    <t>T1上层挑梁</t>
  </si>
  <si>
    <t>N1T</t>
  </si>
  <si>
    <t>N2T</t>
  </si>
  <si>
    <t>N3T</t>
  </si>
  <si>
    <t>N4T</t>
  </si>
  <si>
    <t>N4Ta</t>
  </si>
  <si>
    <t>T2上层挑梁</t>
  </si>
  <si>
    <t>N4a</t>
  </si>
  <si>
    <t>T3下层挑梁</t>
  </si>
  <si>
    <t>N1'</t>
  </si>
  <si>
    <t>N2'</t>
  </si>
  <si>
    <t>N4'</t>
  </si>
  <si>
    <t>N4a'</t>
  </si>
  <si>
    <t>Z2支点横梁</t>
  </si>
  <si>
    <t>HG1</t>
  </si>
  <si>
    <t>HG2</t>
  </si>
  <si>
    <t>HG3</t>
  </si>
  <si>
    <t>HG5</t>
  </si>
  <si>
    <t>HG4</t>
  </si>
  <si>
    <t>HG6</t>
  </si>
  <si>
    <t>横肋</t>
  </si>
  <si>
    <t>L1横肋</t>
  </si>
  <si>
    <t>需设计核实</t>
  </si>
  <si>
    <t>L2横肋</t>
  </si>
  <si>
    <t>L3横肋</t>
  </si>
  <si>
    <t>U肋</t>
  </si>
  <si>
    <t>单件重量和数量有误需核实</t>
  </si>
  <si>
    <t>梁间横梁</t>
  </si>
  <si>
    <t>XJZ1</t>
  </si>
  <si>
    <t>XJZ2</t>
  </si>
  <si>
    <t>XJZ3</t>
  </si>
  <si>
    <t>XJZ4</t>
  </si>
  <si>
    <t>尺寸有误</t>
  </si>
  <si>
    <t>XJHL1</t>
  </si>
  <si>
    <t>HL1-T1</t>
  </si>
  <si>
    <t>HL1-F1</t>
  </si>
  <si>
    <t>HL1-F2</t>
  </si>
  <si>
    <t>HL1-B1</t>
  </si>
  <si>
    <t>HL1-B2</t>
  </si>
  <si>
    <t>HL1-V1</t>
  </si>
  <si>
    <t>XJHL2</t>
  </si>
  <si>
    <t>上层N1</t>
  </si>
  <si>
    <t>Q355C</t>
  </si>
  <si>
    <t>下层N1</t>
  </si>
  <si>
    <t>上层N2</t>
  </si>
  <si>
    <t>下层N2</t>
  </si>
  <si>
    <t>中桁节段01材料数量表（计算底稿）</t>
  </si>
  <si>
    <t>规格（图纸）</t>
  </si>
  <si>
    <t>复核数量（按板厚，kg）</t>
  </si>
  <si>
    <t>中桁节段01</t>
  </si>
  <si>
    <t>上弦顶板</t>
  </si>
  <si>
    <t>N11</t>
  </si>
  <si>
    <t>Q355D</t>
  </si>
  <si>
    <t>t=20mm,A=27m2</t>
  </si>
  <si>
    <t>图纸按面积计：t=20mm,A=27m2</t>
  </si>
  <si>
    <t>上弦底板</t>
  </si>
  <si>
    <t>N12</t>
  </si>
  <si>
    <t>□13350×1200×20</t>
  </si>
  <si>
    <t>上弦节点板</t>
  </si>
  <si>
    <t>N14</t>
  </si>
  <si>
    <t>t=28mm,A=13.05m2</t>
  </si>
  <si>
    <t>图纸按面积计：t=28mm,A=13.05m2</t>
  </si>
  <si>
    <t>N14a</t>
  </si>
  <si>
    <t>t=40mm,A=25m2</t>
  </si>
  <si>
    <t>图纸按面积计：t=40mm,A=25m2</t>
  </si>
  <si>
    <t>上弦横隔板</t>
  </si>
  <si>
    <t>N15</t>
  </si>
  <si>
    <t>□1980×1200×16</t>
  </si>
  <si>
    <t>N15'</t>
  </si>
  <si>
    <t>□2057×200×16</t>
  </si>
  <si>
    <t>N15b</t>
  </si>
  <si>
    <t>Q355B</t>
  </si>
  <si>
    <t>□2057×40×4</t>
  </si>
  <si>
    <t>材质Q355B，与主材不同</t>
  </si>
  <si>
    <t>N15c</t>
  </si>
  <si>
    <t>□800×400×16</t>
  </si>
  <si>
    <t>上弦加劲肋</t>
  </si>
  <si>
    <t>N16a</t>
  </si>
  <si>
    <t>□5651×240×20</t>
  </si>
  <si>
    <t>N16b</t>
  </si>
  <si>
    <t>□7700×240×20</t>
  </si>
  <si>
    <t>N16c</t>
  </si>
  <si>
    <t>图纸数量为0（共重0），需设计核实</t>
  </si>
  <si>
    <t>N16d</t>
  </si>
  <si>
    <t>□13300×240×20</t>
  </si>
  <si>
    <t>N16e</t>
  </si>
  <si>
    <t>下弦顶板</t>
  </si>
  <si>
    <t>N21</t>
  </si>
  <si>
    <t>□4790×2500×20</t>
  </si>
  <si>
    <t>N21a</t>
  </si>
  <si>
    <t>□10105×2500×20</t>
  </si>
  <si>
    <t>下弦底板</t>
  </si>
  <si>
    <t>N22</t>
  </si>
  <si>
    <t>t=36mm,A=9.36m2</t>
  </si>
  <si>
    <t>图纸按面积计：t=36mm,A=9.36m2</t>
  </si>
  <si>
    <t>N22a</t>
  </si>
  <si>
    <t>t=20mm,A=15.68m2</t>
  </si>
  <si>
    <t>图纸按面积计：t=20mm,A=15.68m2</t>
  </si>
  <si>
    <t>下弦腹板</t>
  </si>
  <si>
    <t>N23</t>
  </si>
  <si>
    <t>□10105×1880×24</t>
  </si>
  <si>
    <t>下弦节点板</t>
  </si>
  <si>
    <t>N24</t>
  </si>
  <si>
    <t>t=40mm,A=17.33m2</t>
  </si>
  <si>
    <t>Z35钢；图纸按面积计：t=40mm,A=17.33m2</t>
  </si>
  <si>
    <t>下弦横隔板</t>
  </si>
  <si>
    <t>N25</t>
  </si>
  <si>
    <t>□1800×1200×16</t>
  </si>
  <si>
    <t>N25'</t>
  </si>
  <si>
    <t>N25a</t>
  </si>
  <si>
    <t>下弦加劲肋</t>
  </si>
  <si>
    <t>N26a</t>
  </si>
  <si>
    <t>□2792×240×20</t>
  </si>
  <si>
    <t>N26b</t>
  </si>
  <si>
    <t>□10105×240×20</t>
  </si>
  <si>
    <t>N26c</t>
  </si>
  <si>
    <t>□12897×240×20</t>
  </si>
  <si>
    <t>N26d</t>
  </si>
  <si>
    <t>N26d'</t>
  </si>
  <si>
    <t>□2792×320×32</t>
  </si>
  <si>
    <t>N26e</t>
  </si>
  <si>
    <t>□12897×170×14</t>
  </si>
  <si>
    <t>斜腹杆</t>
  </si>
  <si>
    <t>N31</t>
  </si>
  <si>
    <t>□14038×1200×36</t>
  </si>
  <si>
    <t>N31a</t>
  </si>
  <si>
    <t>N32</t>
  </si>
  <si>
    <t>□9838×1360×36</t>
  </si>
  <si>
    <t>N33</t>
  </si>
  <si>
    <t>□9838×320×32</t>
  </si>
  <si>
    <t>N33a</t>
  </si>
  <si>
    <t>□12638×320×32</t>
  </si>
  <si>
    <t>N33b</t>
  </si>
  <si>
    <t>N34</t>
  </si>
  <si>
    <t>□1200×1200×16</t>
  </si>
  <si>
    <t>N41</t>
  </si>
  <si>
    <t>□6725×1200×36</t>
  </si>
  <si>
    <t>N41a</t>
  </si>
  <si>
    <t>□6925×1200×36</t>
  </si>
  <si>
    <t>N42</t>
  </si>
  <si>
    <t>□4925×1360×36</t>
  </si>
  <si>
    <t>N43</t>
  </si>
  <si>
    <t>□4925×320×32</t>
  </si>
  <si>
    <t>N43a</t>
  </si>
  <si>
    <t>□6025×320×32</t>
  </si>
  <si>
    <t>N43b</t>
  </si>
  <si>
    <t>□6225×320×32</t>
  </si>
  <si>
    <t>N44</t>
  </si>
  <si>
    <t>竖腹杆顶底板</t>
  </si>
  <si>
    <t>N51</t>
  </si>
  <si>
    <t>□13418×1200×20</t>
  </si>
  <si>
    <t>N51a</t>
  </si>
  <si>
    <t>□11818×1200×20</t>
  </si>
  <si>
    <t>竖腹杆腹板</t>
  </si>
  <si>
    <t>N52</t>
  </si>
  <si>
    <t>□9133×1500×20</t>
  </si>
  <si>
    <t>竖腹杆横隔板</t>
  </si>
  <si>
    <t>N54</t>
  </si>
  <si>
    <t>□1400×1200×16</t>
  </si>
  <si>
    <t>竖腹杆加劲肋</t>
  </si>
  <si>
    <t>N53</t>
  </si>
  <si>
    <t>□9133×190×16</t>
  </si>
  <si>
    <t>N53a</t>
  </si>
  <si>
    <t>□12018×190×16</t>
  </si>
  <si>
    <t>N53b</t>
  </si>
  <si>
    <t>□10418×190×16</t>
  </si>
  <si>
    <t>节点板加劲</t>
  </si>
  <si>
    <t>N61</t>
  </si>
  <si>
    <t>□2800×320×32</t>
  </si>
  <si>
    <t>N62</t>
  </si>
  <si>
    <t>□2600×320×32</t>
  </si>
  <si>
    <t>N63</t>
  </si>
  <si>
    <t>□750×320×28</t>
  </si>
  <si>
    <t>N64</t>
  </si>
  <si>
    <t>□2100×320×32</t>
  </si>
  <si>
    <t>N65</t>
  </si>
  <si>
    <t>横梁接头</t>
  </si>
  <si>
    <t>N71</t>
  </si>
  <si>
    <t>□1980×610×16</t>
  </si>
  <si>
    <t>N71'</t>
  </si>
  <si>
    <t>□1980×650×16</t>
  </si>
  <si>
    <t>N71a</t>
  </si>
  <si>
    <t>□1980×622×16</t>
  </si>
  <si>
    <t>N72</t>
  </si>
  <si>
    <t>t=24mm,A=0.47m2</t>
  </si>
  <si>
    <t>图纸按面积计：t=24mm,A=0.47m2</t>
  </si>
  <si>
    <t>N72'</t>
  </si>
  <si>
    <t>t=24mm,A=0.48m2</t>
  </si>
  <si>
    <t>图纸按面积计：t=24mm,A=0.48m2</t>
  </si>
  <si>
    <t>N72a</t>
  </si>
  <si>
    <t>t=24mm,A=0.97m2</t>
  </si>
  <si>
    <t>图纸按面积计：t=24mm,A=0.97m2</t>
  </si>
  <si>
    <t>N72b</t>
  </si>
  <si>
    <t>N73</t>
  </si>
  <si>
    <t>□1800×626×16</t>
  </si>
  <si>
    <t>N73a</t>
  </si>
  <si>
    <t>□1800×610×28</t>
  </si>
  <si>
    <t>支承加劲肋</t>
  </si>
  <si>
    <t>N81</t>
  </si>
  <si>
    <t>□1800×1200×32</t>
  </si>
  <si>
    <t>N82</t>
  </si>
  <si>
    <t>□502×240×20</t>
  </si>
  <si>
    <t>N83</t>
  </si>
  <si>
    <t>□1800×1800×100</t>
  </si>
  <si>
    <t>N84</t>
  </si>
  <si>
    <t>□1000×568×32</t>
  </si>
  <si>
    <t>N85</t>
  </si>
  <si>
    <t>□1350×570×32</t>
  </si>
  <si>
    <t>节段小计</t>
  </si>
  <si>
    <t>复核数量（按板厚）</t>
  </si>
  <si>
    <t>图纸数量（节段01材料数量汇总表）</t>
  </si>
  <si>
    <t>差异（复核-图纸）</t>
  </si>
  <si>
    <t>焊缝重（1.5%）</t>
  </si>
  <si>
    <t>合计（含焊缝）</t>
  </si>
  <si>
    <t>注：单件重=长×宽×厚×7850/10⁹；面积型板件（t=…,A=…）图纸按面积给出，单件重取图纸值并在“备注”注明；图纸数量取自《节段01材料数量汇总表》（图纸第5张）。</t>
  </si>
  <si>
    <t>中桁节段01 按板厚汇总（计算底稿）</t>
  </si>
  <si>
    <t>图纸t=4（N15b，Q355B）与主材厚度不同，建议核实</t>
  </si>
  <si>
    <t>注：图纸数量取自《节段01材料数量汇总表》（图纸第5张）；复核数量按主梁数量-节段01 明细逐件按板厚用SUMIF汇总。</t>
  </si>
  <si>
    <t>图纸合计 123805.2 = 单个合计 121975.6 + 焊缝重1.5% 1829.6（图纸数）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</si>
</sst>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_ "/>
  </numFmts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77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2" xfId="0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0" xfId="0" applyAlignment="1">
      <alignment horizontal="center" vertical="center"/>
    </xf>
    <xf numFmtId="0" fontId="0" fillId="0" borderId="4" xfId="0" applyBorder="1" applyAlignment="1"/>
    <xf numFmtId="0" fontId="0" fillId="3" borderId="2" xfId="0" applyFill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0" xfId="0" applyAlignment="1"/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228600</xdr:colOff>
      <xdr:row>9</xdr:row>
      <xdr:rowOff>241300</xdr:rowOff>
    </xdr:from>
    <xdr:to>
      <xdr:col>19</xdr:col>
      <xdr:colOff>152400</xdr:colOff>
      <xdr:row>26</xdr:row>
      <xdr:rowOff>63500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4805" y="2933700"/>
          <a:ext cx="4060190" cy="30543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_wm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_wm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_wm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_wm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3" Type="http://schemas.openxmlformats.org/officeDocument/2006/relationships/drawing" Target="../drawings/drawing_wm5.xml"/>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view="pageBreakPreview" zoomScale="115" zoomScaleNormal="100" workbookViewId="0">
      <selection activeCell="I9" sqref="I9"/>
    </sheetView>
  </sheetViews>
  <sheetFormatPr defaultColWidth="9" defaultRowHeight="13.5" x14ac:dyDescent="0.3"/>
  <cols>
    <col min="1" max="1" width="16.265625" style="1" customWidth="1"/>
    <col min="2" max="4" width="9" style="1" customWidth="1"/>
    <col min="5" max="5" width="9.53125" style="1" customWidth="1"/>
    <col min="6" max="6" width="10.53125" style="1" customWidth="1"/>
    <col min="7" max="7" width="12.9296875" style="1" customWidth="1"/>
    <col min="8" max="8" width="9.53125" style="1" customWidth="1"/>
    <col min="9" max="9" width="53.1328125" style="1" customWidth="1"/>
    <col min="10" max="10" width="9" style="1" customWidth="1"/>
    <col min="11" max="16384" width="9" style="1"/>
  </cols>
  <sheetData>
    <row r="1" spans="1:9" ht="20" customHeight="1" x14ac:dyDescent="0.3">
      <c r="A1" s="40"/>
      <c r="B1" s="40"/>
      <c r="C1" s="40"/>
      <c r="D1" s="40"/>
      <c r="E1" s="40"/>
      <c r="F1" s="40"/>
      <c r="G1" s="40"/>
      <c r="H1" s="40"/>
      <c r="I1" s="40"/>
    </row>
    <row r="2" spans="1:9" ht="20" customHeight="1" x14ac:dyDescent="0.3">
      <c r="A2" s="36" t="s">
        <v>0</v>
      </c>
      <c r="B2" s="36" t="s">
        <v>1</v>
      </c>
      <c r="C2" s="36" t="s">
        <v>2</v>
      </c>
      <c r="D2" s="36" t="s">
        <v>3</v>
      </c>
      <c r="E2" s="37"/>
      <c r="F2" s="38"/>
      <c r="G2" s="36" t="s">
        <v>4</v>
      </c>
      <c r="H2" s="36" t="s">
        <v>5</v>
      </c>
      <c r="I2" s="36" t="s">
        <v>6</v>
      </c>
    </row>
    <row r="3" spans="1:9" ht="20" customHeight="1" x14ac:dyDescent="0.3">
      <c r="A3" s="39"/>
      <c r="B3" s="39"/>
      <c r="C3" s="39"/>
      <c r="D3" s="27" t="s">
        <v>7</v>
      </c>
      <c r="E3" s="27" t="s">
        <v>8</v>
      </c>
      <c r="F3" s="27" t="s">
        <v>9</v>
      </c>
      <c r="G3" s="39"/>
      <c r="H3" s="39"/>
      <c r="I3" s="39"/>
    </row>
    <row r="4" spans="1:9" ht="20" customHeight="1" x14ac:dyDescent="0.3">
      <c r="A4" s="36" t="s">
        <v>10</v>
      </c>
      <c r="B4" s="27">
        <v>10</v>
      </c>
      <c r="C4" s="27" t="s">
        <v>11</v>
      </c>
      <c r="D4" s="27">
        <v>3487.3</v>
      </c>
      <c r="E4" s="27"/>
      <c r="F4" s="27">
        <f t="shared" ref="F4:F13" si="0">D4+E4</f>
        <v>3487.3</v>
      </c>
      <c r="G4" s="28">
        <f>横隔板!N139</f>
        <v>3432.9312000000009</v>
      </c>
      <c r="H4" s="28">
        <f t="shared" ref="H4:H17" si="1">G4-F4</f>
        <v>-54.368799999999283</v>
      </c>
      <c r="I4" s="27"/>
    </row>
    <row r="5" spans="1:9" ht="20" customHeight="1" x14ac:dyDescent="0.3">
      <c r="A5" s="41"/>
      <c r="B5" s="27">
        <v>12</v>
      </c>
      <c r="C5" s="27" t="s">
        <v>11</v>
      </c>
      <c r="D5" s="29">
        <v>302486</v>
      </c>
      <c r="E5" s="27">
        <v>19292.400000000001</v>
      </c>
      <c r="F5" s="27">
        <f t="shared" si="0"/>
        <v>321778.40000000002</v>
      </c>
      <c r="G5" s="28">
        <f>主梁数量!M432+横隔板!O139</f>
        <v>323303.31434760004</v>
      </c>
      <c r="H5" s="30">
        <f t="shared" si="1"/>
        <v>1524.9143476000172</v>
      </c>
      <c r="I5" s="27"/>
    </row>
    <row r="6" spans="1:9" ht="20" customHeight="1" x14ac:dyDescent="0.3">
      <c r="A6" s="41"/>
      <c r="B6" s="27">
        <v>14</v>
      </c>
      <c r="C6" s="27" t="s">
        <v>11</v>
      </c>
      <c r="D6" s="27"/>
      <c r="E6" s="27">
        <v>650669.9</v>
      </c>
      <c r="F6" s="27">
        <f t="shared" si="0"/>
        <v>650669.9</v>
      </c>
      <c r="G6" s="28">
        <f>主梁数量!N432+横隔板!P139</f>
        <v>650669.89568000007</v>
      </c>
      <c r="H6" s="28">
        <f t="shared" si="1"/>
        <v>-4.3199999490752816E-3</v>
      </c>
      <c r="I6" s="27"/>
    </row>
    <row r="7" spans="1:9" ht="20" customHeight="1" x14ac:dyDescent="0.3">
      <c r="A7" s="41"/>
      <c r="B7" s="27">
        <v>16</v>
      </c>
      <c r="C7" s="27" t="s">
        <v>11</v>
      </c>
      <c r="D7" s="29">
        <v>72603.100000000006</v>
      </c>
      <c r="E7" s="27">
        <v>401058.9</v>
      </c>
      <c r="F7" s="27">
        <f t="shared" si="0"/>
        <v>473662</v>
      </c>
      <c r="G7" s="28">
        <f>主梁数量!O432+横隔板!Q139</f>
        <v>474025.51464320003</v>
      </c>
      <c r="H7" s="30">
        <f t="shared" si="1"/>
        <v>363.51464320003288</v>
      </c>
      <c r="I7" s="27"/>
    </row>
    <row r="8" spans="1:9" ht="20" customHeight="1" x14ac:dyDescent="0.3">
      <c r="A8" s="41"/>
      <c r="B8" s="27">
        <v>20</v>
      </c>
      <c r="C8" s="27" t="s">
        <v>11</v>
      </c>
      <c r="D8" s="29">
        <v>256924</v>
      </c>
      <c r="E8" s="27">
        <v>738162.3</v>
      </c>
      <c r="F8" s="27">
        <f t="shared" si="0"/>
        <v>995086.3</v>
      </c>
      <c r="G8" s="28">
        <f>主梁数量!P432+横隔板!R139</f>
        <v>990076.34723200009</v>
      </c>
      <c r="H8" s="30">
        <f t="shared" si="1"/>
        <v>-5009.9527679999592</v>
      </c>
      <c r="I8" s="27"/>
    </row>
    <row r="9" spans="1:9" ht="20" customHeight="1" x14ac:dyDescent="0.3">
      <c r="A9" s="41"/>
      <c r="B9" s="27">
        <v>24</v>
      </c>
      <c r="C9" s="27" t="s">
        <v>11</v>
      </c>
      <c r="D9" s="27">
        <v>20330.599999999999</v>
      </c>
      <c r="E9" s="27">
        <v>329413.59999999998</v>
      </c>
      <c r="F9" s="27">
        <f t="shared" si="0"/>
        <v>349744.19999999995</v>
      </c>
      <c r="G9" s="28">
        <f>主梁数量!Q432+横隔板!S139</f>
        <v>349743.2319999999</v>
      </c>
      <c r="H9" s="28">
        <f t="shared" si="1"/>
        <v>-0.9680000000516884</v>
      </c>
      <c r="I9" s="27"/>
    </row>
    <row r="10" spans="1:9" ht="20" customHeight="1" x14ac:dyDescent="0.3">
      <c r="A10" s="41"/>
      <c r="B10" s="27">
        <v>28</v>
      </c>
      <c r="C10" s="27" t="s">
        <v>11</v>
      </c>
      <c r="D10" s="27">
        <v>23114</v>
      </c>
      <c r="E10" s="27"/>
      <c r="F10" s="27">
        <f t="shared" si="0"/>
        <v>23114</v>
      </c>
      <c r="G10" s="28">
        <f>横隔板!T139</f>
        <v>23113.599999999999</v>
      </c>
      <c r="H10" s="28">
        <f t="shared" si="1"/>
        <v>-0.40000000000145519</v>
      </c>
      <c r="I10" s="27"/>
    </row>
    <row r="11" spans="1:9" ht="20" customHeight="1" x14ac:dyDescent="0.3">
      <c r="A11" s="41"/>
      <c r="B11" s="27">
        <v>30</v>
      </c>
      <c r="C11" s="27" t="s">
        <v>11</v>
      </c>
      <c r="D11" s="27">
        <v>2411.5</v>
      </c>
      <c r="E11" s="27">
        <v>36172.800000000003</v>
      </c>
      <c r="F11" s="27">
        <f t="shared" si="0"/>
        <v>38584.300000000003</v>
      </c>
      <c r="G11" s="28">
        <f>主梁数量!R432+横隔板!U139</f>
        <v>38584.319999999992</v>
      </c>
      <c r="H11" s="28">
        <f t="shared" si="1"/>
        <v>1.9999999989522621E-2</v>
      </c>
      <c r="I11" s="27"/>
    </row>
    <row r="12" spans="1:9" ht="20" customHeight="1" x14ac:dyDescent="0.3">
      <c r="A12" s="41"/>
      <c r="B12" s="27">
        <v>40</v>
      </c>
      <c r="C12" s="27" t="s">
        <v>11</v>
      </c>
      <c r="D12" s="27">
        <v>8038.4</v>
      </c>
      <c r="E12" s="27">
        <v>110930.1</v>
      </c>
      <c r="F12" s="27">
        <f t="shared" si="0"/>
        <v>118968.5</v>
      </c>
      <c r="G12" s="28">
        <f>主梁数量!S432+横隔板!V139</f>
        <v>118968.63999999998</v>
      </c>
      <c r="H12" s="28">
        <f t="shared" si="1"/>
        <v>0.13999999998486601</v>
      </c>
      <c r="I12" s="27"/>
    </row>
    <row r="13" spans="1:9" ht="20" customHeight="1" x14ac:dyDescent="0.3">
      <c r="A13" s="39"/>
      <c r="B13" s="27">
        <v>50</v>
      </c>
      <c r="C13" s="27" t="s">
        <v>11</v>
      </c>
      <c r="D13" s="27">
        <v>6280</v>
      </c>
      <c r="E13" s="27"/>
      <c r="F13" s="27">
        <f t="shared" si="0"/>
        <v>6280</v>
      </c>
      <c r="G13" s="28">
        <f>横隔板!W139</f>
        <v>6280</v>
      </c>
      <c r="H13" s="28">
        <f t="shared" si="1"/>
        <v>0</v>
      </c>
      <c r="I13" s="27"/>
    </row>
    <row r="14" spans="1:9" ht="20" customHeight="1" x14ac:dyDescent="0.3">
      <c r="A14" s="27" t="s">
        <v>12</v>
      </c>
      <c r="B14" s="27">
        <v>20</v>
      </c>
      <c r="C14" s="27" t="s">
        <v>11</v>
      </c>
      <c r="D14" s="27"/>
      <c r="E14" s="27"/>
      <c r="F14" s="27">
        <v>7638.4</v>
      </c>
      <c r="G14" s="28">
        <f>梁底挡块!F8</f>
        <v>7639.68</v>
      </c>
      <c r="H14" s="28">
        <f t="shared" si="1"/>
        <v>1.2800000000006548</v>
      </c>
      <c r="I14" s="27"/>
    </row>
    <row r="15" spans="1:9" ht="20" customHeight="1" x14ac:dyDescent="0.3">
      <c r="A15" s="31" t="s">
        <v>13</v>
      </c>
      <c r="B15" s="27"/>
      <c r="C15" s="27" t="s">
        <v>11</v>
      </c>
      <c r="D15" s="27"/>
      <c r="E15" s="27"/>
      <c r="F15" s="28">
        <f>SUM(F4:F14)</f>
        <v>2989013.3000000003</v>
      </c>
      <c r="G15" s="28">
        <f>SUM(G4:G14)</f>
        <v>2985837.4751028004</v>
      </c>
      <c r="H15" s="30">
        <f t="shared" si="1"/>
        <v>-3175.8248971998692</v>
      </c>
      <c r="I15" s="27"/>
    </row>
    <row r="16" spans="1:9" ht="20" customHeight="1" x14ac:dyDescent="0.3">
      <c r="A16" s="42" t="s">
        <v>14</v>
      </c>
      <c r="B16" s="27" t="s">
        <v>15</v>
      </c>
      <c r="C16" s="27" t="s">
        <v>11</v>
      </c>
      <c r="D16" s="27"/>
      <c r="E16" s="27"/>
      <c r="F16" s="27">
        <v>588.9</v>
      </c>
      <c r="G16" s="27">
        <v>0</v>
      </c>
      <c r="H16" s="30">
        <f t="shared" si="1"/>
        <v>-588.9</v>
      </c>
      <c r="I16" s="32" t="s">
        <v>16</v>
      </c>
    </row>
    <row r="17" spans="1:9" ht="20" customHeight="1" x14ac:dyDescent="0.3">
      <c r="A17" s="39"/>
      <c r="B17" s="27" t="s">
        <v>17</v>
      </c>
      <c r="C17" s="27" t="s">
        <v>11</v>
      </c>
      <c r="D17" s="27"/>
      <c r="E17" s="27"/>
      <c r="F17" s="27">
        <f>7835.2</f>
        <v>7835.2</v>
      </c>
      <c r="G17" s="27">
        <f>附属预埋件!F11</f>
        <v>7836</v>
      </c>
      <c r="H17" s="28">
        <f t="shared" si="1"/>
        <v>0.8000000000001819</v>
      </c>
      <c r="I17" s="27"/>
    </row>
    <row r="18" spans="1:9" ht="20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</row>
  </sheetData>
  <mergeCells count="10">
    <mergeCell ref="D2:F2"/>
    <mergeCell ref="H2:H3"/>
    <mergeCell ref="A1:I1"/>
    <mergeCell ref="A4:A13"/>
    <mergeCell ref="A16:A17"/>
    <mergeCell ref="A2:A3"/>
    <mergeCell ref="B2:B3"/>
    <mergeCell ref="C2:C3"/>
    <mergeCell ref="G2:G3"/>
    <mergeCell ref="I2:I3"/>
  </mergeCells>
  <phoneticPr fontId="3" type="noConversion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435"/>
  <sheetViews>
    <sheetView tabSelected="1" view="pageBreakPreview" zoomScaleNormal="100" workbookViewId="0">
      <pane xSplit="4" ySplit="3" topLeftCell="E4" activePane="bottomRight" state="frozen"/>
      <selection pane="topRight"/>
      <selection pane="bottomLeft"/>
      <selection pane="bottomRight" activeCell="N4" sqref="N4:N32"/>
    </sheetView>
  </sheetViews>
  <sheetFormatPr defaultColWidth="9" defaultRowHeight="13.5" x14ac:dyDescent="0.3"/>
  <cols>
    <col min="1" max="1" width="7.06640625" style="33" customWidth="1"/>
    <col min="2" max="2" width="8.59765625" style="33" customWidth="1"/>
    <col min="5" max="7" width="9.73046875" style="33" customWidth="1"/>
    <col min="9" max="9" width="7.265625" style="33" customWidth="1"/>
    <col min="13" max="23" width="8.53125" style="33" customWidth="1"/>
  </cols>
  <sheetData>
    <row r="1" spans="1:23" ht="27" customHeight="1" x14ac:dyDescent="0.3">
      <c r="A1" s="40"/>
      <c r="B1" s="47"/>
      <c r="C1" s="48"/>
      <c r="D1" s="48"/>
      <c r="E1" s="47"/>
      <c r="F1" s="47"/>
      <c r="G1" s="47"/>
      <c r="H1" s="48"/>
      <c r="I1" s="47"/>
      <c r="J1" s="48"/>
      <c r="K1" s="48"/>
    </row>
    <row r="2" spans="1:23" s="18" customFormat="1" ht="20" customHeight="1" x14ac:dyDescent="0.3">
      <c r="A2" s="44" t="s">
        <v>18</v>
      </c>
      <c r="B2" s="44" t="s">
        <v>19</v>
      </c>
      <c r="C2" s="44" t="s">
        <v>20</v>
      </c>
      <c r="D2" s="44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44" t="s">
        <v>6</v>
      </c>
      <c r="L2" s="44" t="s">
        <v>18</v>
      </c>
      <c r="M2" s="45" t="s">
        <v>4</v>
      </c>
      <c r="N2" s="46"/>
      <c r="O2" s="46"/>
      <c r="P2" s="46"/>
      <c r="Q2" s="46"/>
      <c r="R2" s="46"/>
      <c r="S2" s="46"/>
      <c r="T2" s="46"/>
      <c r="U2" s="44" t="s">
        <v>3</v>
      </c>
      <c r="V2" s="19" t="s">
        <v>5</v>
      </c>
      <c r="W2" s="19" t="s">
        <v>6</v>
      </c>
    </row>
    <row r="3" spans="1:23" s="18" customFormat="1" ht="20" customHeight="1" x14ac:dyDescent="0.3">
      <c r="A3" s="39"/>
      <c r="B3" s="39"/>
      <c r="C3" s="39"/>
      <c r="D3" s="39"/>
      <c r="E3" s="19" t="s">
        <v>28</v>
      </c>
      <c r="F3" s="19" t="s">
        <v>28</v>
      </c>
      <c r="G3" s="19" t="s">
        <v>28</v>
      </c>
      <c r="H3" s="19" t="s">
        <v>11</v>
      </c>
      <c r="I3" s="19"/>
      <c r="J3" s="19" t="s">
        <v>11</v>
      </c>
      <c r="K3" s="39"/>
      <c r="L3" s="39"/>
      <c r="M3" s="20">
        <v>12</v>
      </c>
      <c r="N3" s="20">
        <v>14</v>
      </c>
      <c r="O3" s="20">
        <v>16</v>
      </c>
      <c r="P3" s="20">
        <v>20</v>
      </c>
      <c r="Q3" s="20">
        <v>24</v>
      </c>
      <c r="R3" s="20">
        <v>30</v>
      </c>
      <c r="S3" s="20">
        <v>40</v>
      </c>
      <c r="T3" s="20" t="s">
        <v>9</v>
      </c>
      <c r="U3" s="39"/>
      <c r="V3" s="19"/>
      <c r="W3" s="19"/>
    </row>
    <row r="4" spans="1:23" s="18" customFormat="1" ht="20" customHeight="1" x14ac:dyDescent="0.3">
      <c r="A4" s="44" t="s">
        <v>29</v>
      </c>
      <c r="B4" s="44" t="s">
        <v>30</v>
      </c>
      <c r="C4" s="19" t="s">
        <v>31</v>
      </c>
      <c r="D4" s="19" t="s">
        <v>32</v>
      </c>
      <c r="E4" s="19">
        <v>11318.5</v>
      </c>
      <c r="F4" s="19">
        <v>600</v>
      </c>
      <c r="G4" s="19">
        <v>20</v>
      </c>
      <c r="H4" s="21">
        <f t="shared" ref="H4:H31" si="0">(E4/1000)*(F4/1000)*(G4/1000)*7850</f>
        <v>1066.2027</v>
      </c>
      <c r="I4" s="19">
        <v>2</v>
      </c>
      <c r="J4" s="22">
        <f t="shared" ref="J4:J31" si="1">H4*I4</f>
        <v>2132.4054000000001</v>
      </c>
      <c r="K4" s="19"/>
      <c r="L4" s="44" t="str">
        <f>A4</f>
        <v>上层1#</v>
      </c>
      <c r="M4" s="43">
        <f>SUMIF(G4:G31,$M$3,J4:J31)</f>
        <v>1174.4322827999999</v>
      </c>
      <c r="N4" s="43">
        <f>SUMIF(G4:G31,$N$3,J4:J31)</f>
        <v>40598.086905599994</v>
      </c>
      <c r="O4" s="43">
        <f>SUMIF(G4:G31,$O$3,J4:J31)</f>
        <v>24020.363908848001</v>
      </c>
      <c r="P4" s="43">
        <f>SUMIF(G4:G31,$P$3,J4:J31)</f>
        <v>45936.228080000001</v>
      </c>
      <c r="Q4" s="43">
        <f>SUMIF(G4:G31,$Q$3,J4:J31)</f>
        <v>15162.431999999999</v>
      </c>
      <c r="R4" s="43">
        <f>SUMIF(G4:G31,$R$3,J4:J31)</f>
        <v>9043.1999999999989</v>
      </c>
      <c r="S4" s="43">
        <f>SUMIF(G4:G31,$S$3,J4:J31)</f>
        <v>6933.12</v>
      </c>
      <c r="T4" s="43">
        <f>SUM(M4:S32)</f>
        <v>142867.86317724799</v>
      </c>
      <c r="U4" s="43">
        <v>142867.79999999999</v>
      </c>
      <c r="V4" s="43">
        <f>T4-U4</f>
        <v>6.3177247997373343E-2</v>
      </c>
      <c r="W4" s="44"/>
    </row>
    <row r="5" spans="1:23" s="18" customFormat="1" ht="20" customHeight="1" x14ac:dyDescent="0.3">
      <c r="A5" s="41"/>
      <c r="B5" s="41"/>
      <c r="C5" s="19" t="s">
        <v>33</v>
      </c>
      <c r="D5" s="19" t="s">
        <v>32</v>
      </c>
      <c r="E5" s="19">
        <v>12505.7</v>
      </c>
      <c r="F5" s="19">
        <v>600</v>
      </c>
      <c r="G5" s="19">
        <v>20</v>
      </c>
      <c r="H5" s="21">
        <f t="shared" si="0"/>
        <v>1178.0369400000002</v>
      </c>
      <c r="I5" s="19">
        <v>2</v>
      </c>
      <c r="J5" s="22">
        <f t="shared" si="1"/>
        <v>2356.0738800000004</v>
      </c>
      <c r="K5" s="19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</row>
    <row r="6" spans="1:23" s="18" customFormat="1" ht="20" hidden="1" customHeight="1" x14ac:dyDescent="0.3">
      <c r="A6" s="41"/>
      <c r="B6" s="41"/>
      <c r="C6" s="19" t="s">
        <v>34</v>
      </c>
      <c r="D6" s="19" t="s">
        <v>32</v>
      </c>
      <c r="E6" s="19">
        <v>16000</v>
      </c>
      <c r="F6" s="19">
        <v>600</v>
      </c>
      <c r="G6" s="19">
        <v>30</v>
      </c>
      <c r="H6" s="21">
        <f t="shared" si="0"/>
        <v>2260.7999999999997</v>
      </c>
      <c r="I6" s="19">
        <v>4</v>
      </c>
      <c r="J6" s="22">
        <f t="shared" si="1"/>
        <v>9043.1999999999989</v>
      </c>
      <c r="K6" s="19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</row>
    <row r="7" spans="1:23" s="18" customFormat="1" ht="20" hidden="1" customHeight="1" x14ac:dyDescent="0.3">
      <c r="A7" s="41"/>
      <c r="B7" s="41"/>
      <c r="C7" s="19" t="s">
        <v>35</v>
      </c>
      <c r="D7" s="19" t="s">
        <v>32</v>
      </c>
      <c r="E7" s="19">
        <v>16000</v>
      </c>
      <c r="F7" s="19">
        <v>600</v>
      </c>
      <c r="G7" s="19">
        <v>24</v>
      </c>
      <c r="H7" s="21">
        <f t="shared" si="0"/>
        <v>1808.6399999999999</v>
      </c>
      <c r="I7" s="19">
        <v>4</v>
      </c>
      <c r="J7" s="22">
        <f t="shared" si="1"/>
        <v>7234.5599999999995</v>
      </c>
      <c r="K7" s="19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18" customFormat="1" ht="20" hidden="1" customHeight="1" x14ac:dyDescent="0.3">
      <c r="A8" s="41"/>
      <c r="B8" s="41"/>
      <c r="C8" s="19" t="s">
        <v>36</v>
      </c>
      <c r="D8" s="19" t="s">
        <v>32</v>
      </c>
      <c r="E8" s="19">
        <v>3700</v>
      </c>
      <c r="F8" s="19">
        <v>600</v>
      </c>
      <c r="G8" s="19">
        <v>40</v>
      </c>
      <c r="H8" s="21">
        <f t="shared" si="0"/>
        <v>697.08</v>
      </c>
      <c r="I8" s="19">
        <v>2</v>
      </c>
      <c r="J8" s="22">
        <f t="shared" si="1"/>
        <v>1394.16</v>
      </c>
      <c r="K8" s="19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</row>
    <row r="9" spans="1:23" s="18" customFormat="1" ht="20" hidden="1" customHeight="1" x14ac:dyDescent="0.3">
      <c r="A9" s="41"/>
      <c r="B9" s="41"/>
      <c r="C9" s="19" t="s">
        <v>37</v>
      </c>
      <c r="D9" s="19" t="s">
        <v>32</v>
      </c>
      <c r="E9" s="19">
        <v>7200</v>
      </c>
      <c r="F9" s="19">
        <v>800</v>
      </c>
      <c r="G9" s="19">
        <v>40</v>
      </c>
      <c r="H9" s="21">
        <f t="shared" si="0"/>
        <v>1808.64</v>
      </c>
      <c r="I9" s="19">
        <v>2</v>
      </c>
      <c r="J9" s="22">
        <f t="shared" si="1"/>
        <v>3617.28</v>
      </c>
      <c r="K9" s="19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s="18" customFormat="1" ht="20" hidden="1" customHeight="1" x14ac:dyDescent="0.3">
      <c r="A10" s="41"/>
      <c r="B10" s="39"/>
      <c r="C10" s="19" t="s">
        <v>38</v>
      </c>
      <c r="D10" s="19" t="s">
        <v>32</v>
      </c>
      <c r="E10" s="19">
        <v>5100</v>
      </c>
      <c r="F10" s="19">
        <v>600</v>
      </c>
      <c r="G10" s="19">
        <v>40</v>
      </c>
      <c r="H10" s="21">
        <f t="shared" si="0"/>
        <v>960.8399999999998</v>
      </c>
      <c r="I10" s="19">
        <v>2</v>
      </c>
      <c r="J10" s="22">
        <f t="shared" si="1"/>
        <v>1921.6799999999996</v>
      </c>
      <c r="K10" s="19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18" customFormat="1" ht="20" hidden="1" customHeight="1" x14ac:dyDescent="0.3">
      <c r="A11" s="41"/>
      <c r="B11" s="44" t="s">
        <v>39</v>
      </c>
      <c r="C11" s="19" t="s">
        <v>40</v>
      </c>
      <c r="D11" s="19" t="s">
        <v>32</v>
      </c>
      <c r="E11" s="19">
        <v>11318.5</v>
      </c>
      <c r="F11" s="19">
        <v>2641.7</v>
      </c>
      <c r="G11" s="19">
        <v>16</v>
      </c>
      <c r="H11" s="21">
        <f t="shared" si="0"/>
        <v>3755.4502301199996</v>
      </c>
      <c r="I11" s="19">
        <v>1</v>
      </c>
      <c r="J11" s="22">
        <f t="shared" si="1"/>
        <v>3755.4502301199996</v>
      </c>
      <c r="K11" s="19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s="18" customFormat="1" ht="20" hidden="1" customHeight="1" x14ac:dyDescent="0.3">
      <c r="A12" s="41"/>
      <c r="B12" s="41"/>
      <c r="C12" s="19" t="s">
        <v>41</v>
      </c>
      <c r="D12" s="19" t="s">
        <v>32</v>
      </c>
      <c r="E12" s="19">
        <v>11318.5</v>
      </c>
      <c r="F12" s="19">
        <v>2718.2</v>
      </c>
      <c r="G12" s="19">
        <v>16</v>
      </c>
      <c r="H12" s="21">
        <f t="shared" si="0"/>
        <v>3864.2029055200001</v>
      </c>
      <c r="I12" s="19">
        <v>1</v>
      </c>
      <c r="J12" s="22">
        <f t="shared" si="1"/>
        <v>3864.2029055200001</v>
      </c>
      <c r="K12" s="19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18" customFormat="1" ht="20" hidden="1" customHeight="1" x14ac:dyDescent="0.3">
      <c r="A13" s="41"/>
      <c r="B13" s="41"/>
      <c r="C13" s="19" t="s">
        <v>42</v>
      </c>
      <c r="D13" s="19" t="s">
        <v>32</v>
      </c>
      <c r="E13" s="19">
        <v>12505.7</v>
      </c>
      <c r="F13" s="19">
        <v>2641.7</v>
      </c>
      <c r="G13" s="19">
        <v>16</v>
      </c>
      <c r="H13" s="21">
        <f t="shared" si="0"/>
        <v>4149.3602458640007</v>
      </c>
      <c r="I13" s="19">
        <v>1</v>
      </c>
      <c r="J13" s="22">
        <f t="shared" si="1"/>
        <v>4149.3602458640007</v>
      </c>
      <c r="K13" s="19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s="18" customFormat="1" ht="20" hidden="1" customHeight="1" x14ac:dyDescent="0.3">
      <c r="A14" s="41"/>
      <c r="B14" s="41"/>
      <c r="C14" s="19" t="s">
        <v>43</v>
      </c>
      <c r="D14" s="19" t="s">
        <v>32</v>
      </c>
      <c r="E14" s="19">
        <v>12505.7</v>
      </c>
      <c r="F14" s="19">
        <v>2718.2</v>
      </c>
      <c r="G14" s="19">
        <v>16</v>
      </c>
      <c r="H14" s="21">
        <f t="shared" si="0"/>
        <v>4269.5200137440006</v>
      </c>
      <c r="I14" s="19">
        <v>1</v>
      </c>
      <c r="J14" s="22">
        <f t="shared" si="1"/>
        <v>4269.5200137440006</v>
      </c>
      <c r="K14" s="19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s="18" customFormat="1" ht="20" hidden="1" customHeight="1" x14ac:dyDescent="0.3">
      <c r="A15" s="41"/>
      <c r="B15" s="41"/>
      <c r="C15" s="19" t="s">
        <v>44</v>
      </c>
      <c r="D15" s="19" t="s">
        <v>32</v>
      </c>
      <c r="E15" s="19">
        <v>16000</v>
      </c>
      <c r="F15" s="19">
        <v>2631.7</v>
      </c>
      <c r="G15" s="19">
        <v>14</v>
      </c>
      <c r="H15" s="21">
        <f t="shared" si="0"/>
        <v>4627.5812800000003</v>
      </c>
      <c r="I15" s="19">
        <v>2</v>
      </c>
      <c r="J15" s="22">
        <f t="shared" si="1"/>
        <v>9255.1625600000007</v>
      </c>
      <c r="K15" s="19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s="18" customFormat="1" ht="20" hidden="1" customHeight="1" x14ac:dyDescent="0.3">
      <c r="A16" s="41"/>
      <c r="B16" s="41"/>
      <c r="C16" s="19" t="s">
        <v>45</v>
      </c>
      <c r="D16" s="19" t="s">
        <v>32</v>
      </c>
      <c r="E16" s="19">
        <v>16000</v>
      </c>
      <c r="F16" s="19">
        <v>2708.2</v>
      </c>
      <c r="G16" s="19">
        <v>14</v>
      </c>
      <c r="H16" s="21">
        <f t="shared" si="0"/>
        <v>4762.0988799999996</v>
      </c>
      <c r="I16" s="19">
        <v>2</v>
      </c>
      <c r="J16" s="22">
        <f t="shared" si="1"/>
        <v>9524.1977599999991</v>
      </c>
      <c r="K16" s="1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s="18" customFormat="1" ht="20" hidden="1" customHeight="1" x14ac:dyDescent="0.3">
      <c r="A17" s="41"/>
      <c r="B17" s="41"/>
      <c r="C17" s="19" t="s">
        <v>46</v>
      </c>
      <c r="D17" s="19" t="s">
        <v>32</v>
      </c>
      <c r="E17" s="19">
        <v>16000</v>
      </c>
      <c r="F17" s="19">
        <v>2637.7</v>
      </c>
      <c r="G17" s="19">
        <v>14</v>
      </c>
      <c r="H17" s="21">
        <f t="shared" si="0"/>
        <v>4638.1316799999995</v>
      </c>
      <c r="I17" s="19">
        <v>2</v>
      </c>
      <c r="J17" s="22">
        <f t="shared" si="1"/>
        <v>9276.263359999999</v>
      </c>
      <c r="K17" s="1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s="18" customFormat="1" ht="20" hidden="1" customHeight="1" x14ac:dyDescent="0.3">
      <c r="A18" s="41"/>
      <c r="B18" s="41"/>
      <c r="C18" s="19" t="s">
        <v>47</v>
      </c>
      <c r="D18" s="19" t="s">
        <v>32</v>
      </c>
      <c r="E18" s="19">
        <v>16000</v>
      </c>
      <c r="F18" s="19">
        <v>2714.2</v>
      </c>
      <c r="G18" s="19">
        <v>14</v>
      </c>
      <c r="H18" s="21">
        <f t="shared" si="0"/>
        <v>4772.6492799999996</v>
      </c>
      <c r="I18" s="19">
        <v>2</v>
      </c>
      <c r="J18" s="22">
        <f t="shared" si="1"/>
        <v>9545.2985599999993</v>
      </c>
      <c r="K18" s="19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s="18" customFormat="1" ht="20" customHeight="1" x14ac:dyDescent="0.3">
      <c r="A19" s="41"/>
      <c r="B19" s="41"/>
      <c r="C19" s="19" t="s">
        <v>48</v>
      </c>
      <c r="D19" s="19" t="s">
        <v>32</v>
      </c>
      <c r="E19" s="19">
        <v>16000</v>
      </c>
      <c r="F19" s="19">
        <v>2621.7</v>
      </c>
      <c r="G19" s="19">
        <v>20</v>
      </c>
      <c r="H19" s="21">
        <f t="shared" si="0"/>
        <v>6585.710399999999</v>
      </c>
      <c r="I19" s="19">
        <v>1</v>
      </c>
      <c r="J19" s="22">
        <f t="shared" si="1"/>
        <v>6585.710399999999</v>
      </c>
      <c r="K19" s="19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18" customFormat="1" ht="20" customHeight="1" x14ac:dyDescent="0.3">
      <c r="A20" s="41"/>
      <c r="B20" s="39"/>
      <c r="C20" s="19" t="s">
        <v>49</v>
      </c>
      <c r="D20" s="19" t="s">
        <v>32</v>
      </c>
      <c r="E20" s="19">
        <v>16000</v>
      </c>
      <c r="F20" s="19">
        <v>2698.2</v>
      </c>
      <c r="G20" s="19">
        <v>20</v>
      </c>
      <c r="H20" s="21">
        <f t="shared" si="0"/>
        <v>6777.8783999999996</v>
      </c>
      <c r="I20" s="19">
        <v>1</v>
      </c>
      <c r="J20" s="22">
        <f t="shared" si="1"/>
        <v>6777.8783999999996</v>
      </c>
      <c r="K20" s="19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s="18" customFormat="1" ht="20" hidden="1" customHeight="1" x14ac:dyDescent="0.3">
      <c r="A21" s="41"/>
      <c r="B21" s="44" t="s">
        <v>50</v>
      </c>
      <c r="C21" s="19" t="s">
        <v>51</v>
      </c>
      <c r="D21" s="19" t="s">
        <v>32</v>
      </c>
      <c r="E21" s="19">
        <v>10568.5</v>
      </c>
      <c r="F21" s="19">
        <v>2630</v>
      </c>
      <c r="G21" s="19">
        <v>16</v>
      </c>
      <c r="H21" s="21">
        <f t="shared" si="0"/>
        <v>3491.0714680000001</v>
      </c>
      <c r="I21" s="19">
        <v>1</v>
      </c>
      <c r="J21" s="22">
        <f t="shared" si="1"/>
        <v>3491.0714680000001</v>
      </c>
      <c r="K21" s="19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18" customFormat="1" ht="20" hidden="1" customHeight="1" x14ac:dyDescent="0.3">
      <c r="A22" s="41"/>
      <c r="B22" s="41"/>
      <c r="C22" s="19" t="s">
        <v>52</v>
      </c>
      <c r="D22" s="19" t="s">
        <v>32</v>
      </c>
      <c r="E22" s="19">
        <v>11755.7</v>
      </c>
      <c r="F22" s="19">
        <v>2630</v>
      </c>
      <c r="G22" s="19">
        <v>16</v>
      </c>
      <c r="H22" s="21">
        <f t="shared" si="0"/>
        <v>3883.2368696000003</v>
      </c>
      <c r="I22" s="19">
        <v>1</v>
      </c>
      <c r="J22" s="22">
        <f t="shared" si="1"/>
        <v>3883.2368696000003</v>
      </c>
      <c r="K22" s="19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18" customFormat="1" ht="20" customHeight="1" x14ac:dyDescent="0.3">
      <c r="A23" s="41"/>
      <c r="B23" s="41"/>
      <c r="C23" s="19" t="s">
        <v>53</v>
      </c>
      <c r="D23" s="19" t="s">
        <v>32</v>
      </c>
      <c r="E23" s="19">
        <v>16000</v>
      </c>
      <c r="F23" s="19">
        <v>2630</v>
      </c>
      <c r="G23" s="19">
        <v>20</v>
      </c>
      <c r="H23" s="21">
        <f t="shared" si="0"/>
        <v>6606.56</v>
      </c>
      <c r="I23" s="19">
        <v>4</v>
      </c>
      <c r="J23" s="22">
        <f t="shared" si="1"/>
        <v>26426.240000000002</v>
      </c>
      <c r="K23" s="19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18" customFormat="1" ht="20" hidden="1" customHeight="1" x14ac:dyDescent="0.3">
      <c r="A24" s="41"/>
      <c r="B24" s="39"/>
      <c r="C24" s="19" t="s">
        <v>54</v>
      </c>
      <c r="D24" s="19" t="s">
        <v>32</v>
      </c>
      <c r="E24" s="19">
        <v>16000</v>
      </c>
      <c r="F24" s="19">
        <v>2630</v>
      </c>
      <c r="G24" s="19">
        <v>24</v>
      </c>
      <c r="H24" s="21">
        <f t="shared" si="0"/>
        <v>7927.8719999999994</v>
      </c>
      <c r="I24" s="19">
        <v>1</v>
      </c>
      <c r="J24" s="22">
        <f t="shared" si="1"/>
        <v>7927.8719999999994</v>
      </c>
      <c r="K24" s="1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s="18" customFormat="1" ht="20" hidden="1" customHeight="1" x14ac:dyDescent="0.3">
      <c r="A25" s="41"/>
      <c r="B25" s="44" t="s">
        <v>55</v>
      </c>
      <c r="C25" s="19" t="s">
        <v>56</v>
      </c>
      <c r="D25" s="19" t="s">
        <v>32</v>
      </c>
      <c r="E25" s="24">
        <v>18549.900000000001</v>
      </c>
      <c r="F25" s="19">
        <v>140</v>
      </c>
      <c r="G25" s="19">
        <v>12</v>
      </c>
      <c r="H25" s="21">
        <f t="shared" si="0"/>
        <v>244.63608120000001</v>
      </c>
      <c r="I25" s="19">
        <v>1</v>
      </c>
      <c r="J25" s="22">
        <f t="shared" si="1"/>
        <v>244.63608120000001</v>
      </c>
      <c r="K25" s="2" t="s">
        <v>57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18" customFormat="1" ht="20" hidden="1" customHeight="1" x14ac:dyDescent="0.3">
      <c r="A26" s="41"/>
      <c r="B26" s="41"/>
      <c r="C26" s="19" t="s">
        <v>58</v>
      </c>
      <c r="D26" s="19" t="s">
        <v>32</v>
      </c>
      <c r="E26" s="24">
        <v>70503.199999999997</v>
      </c>
      <c r="F26" s="19">
        <v>140</v>
      </c>
      <c r="G26" s="19">
        <v>12</v>
      </c>
      <c r="H26" s="21">
        <f t="shared" si="0"/>
        <v>929.79620160000002</v>
      </c>
      <c r="I26" s="19">
        <v>1</v>
      </c>
      <c r="J26" s="22">
        <f t="shared" si="1"/>
        <v>929.79620160000002</v>
      </c>
      <c r="K26" s="2" t="s">
        <v>57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18" customFormat="1" ht="20" hidden="1" customHeight="1" x14ac:dyDescent="0.3">
      <c r="A27" s="41"/>
      <c r="B27" s="39"/>
      <c r="C27" s="19" t="s">
        <v>59</v>
      </c>
      <c r="D27" s="19" t="s">
        <v>32</v>
      </c>
      <c r="E27" s="24">
        <v>26872</v>
      </c>
      <c r="F27" s="19">
        <v>180</v>
      </c>
      <c r="G27" s="19">
        <v>16</v>
      </c>
      <c r="H27" s="21">
        <f t="shared" si="0"/>
        <v>607.52217599999994</v>
      </c>
      <c r="I27" s="19">
        <v>1</v>
      </c>
      <c r="J27" s="22">
        <f t="shared" si="1"/>
        <v>607.52217599999994</v>
      </c>
      <c r="K27" s="2" t="s">
        <v>57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s="18" customFormat="1" ht="20" hidden="1" customHeight="1" x14ac:dyDescent="0.3">
      <c r="A28" s="41"/>
      <c r="B28" s="44" t="s">
        <v>60</v>
      </c>
      <c r="C28" s="19" t="s">
        <v>61</v>
      </c>
      <c r="D28" s="19" t="s">
        <v>32</v>
      </c>
      <c r="E28" s="19">
        <v>10018.5</v>
      </c>
      <c r="F28" s="19">
        <v>160</v>
      </c>
      <c r="G28" s="19">
        <v>14</v>
      </c>
      <c r="H28" s="21">
        <f t="shared" si="0"/>
        <v>176.16530399999999</v>
      </c>
      <c r="I28" s="19">
        <v>2</v>
      </c>
      <c r="J28" s="22">
        <f t="shared" si="1"/>
        <v>352.33060799999998</v>
      </c>
      <c r="K28" s="19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18" customFormat="1" ht="20" hidden="1" customHeight="1" x14ac:dyDescent="0.3">
      <c r="A29" s="41"/>
      <c r="B29" s="41"/>
      <c r="C29" s="19" t="s">
        <v>62</v>
      </c>
      <c r="D29" s="19" t="s">
        <v>32</v>
      </c>
      <c r="E29" s="19">
        <v>11205.7</v>
      </c>
      <c r="F29" s="19">
        <v>160</v>
      </c>
      <c r="G29" s="19">
        <v>14</v>
      </c>
      <c r="H29" s="21">
        <f t="shared" si="0"/>
        <v>197.04102880000002</v>
      </c>
      <c r="I29" s="19">
        <v>2</v>
      </c>
      <c r="J29" s="22">
        <f t="shared" si="1"/>
        <v>394.08205760000004</v>
      </c>
      <c r="K29" s="19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s="18" customFormat="1" ht="20" hidden="1" customHeight="1" x14ac:dyDescent="0.3">
      <c r="A30" s="41"/>
      <c r="B30" s="41"/>
      <c r="C30" s="19" t="s">
        <v>63</v>
      </c>
      <c r="D30" s="19" t="s">
        <v>32</v>
      </c>
      <c r="E30" s="19">
        <v>16000</v>
      </c>
      <c r="F30" s="19">
        <v>160</v>
      </c>
      <c r="G30" s="19">
        <v>14</v>
      </c>
      <c r="H30" s="21">
        <f t="shared" si="0"/>
        <v>281.34400000000005</v>
      </c>
      <c r="I30" s="19">
        <v>8</v>
      </c>
      <c r="J30" s="22">
        <f t="shared" si="1"/>
        <v>2250.7520000000004</v>
      </c>
      <c r="K30" s="19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s="18" customFormat="1" ht="20" customHeight="1" x14ac:dyDescent="0.3">
      <c r="A31" s="41"/>
      <c r="B31" s="39"/>
      <c r="C31" s="19" t="s">
        <v>64</v>
      </c>
      <c r="D31" s="19" t="s">
        <v>32</v>
      </c>
      <c r="E31" s="19">
        <v>16000</v>
      </c>
      <c r="F31" s="19">
        <v>220</v>
      </c>
      <c r="G31" s="19">
        <v>20</v>
      </c>
      <c r="H31" s="21">
        <f t="shared" si="0"/>
        <v>552.64</v>
      </c>
      <c r="I31" s="19">
        <v>3</v>
      </c>
      <c r="J31" s="22">
        <f t="shared" si="1"/>
        <v>1657.92</v>
      </c>
      <c r="K31" s="19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s="18" customFormat="1" ht="20" hidden="1" customHeight="1" x14ac:dyDescent="0.3">
      <c r="A32" s="39"/>
      <c r="B32" s="44" t="s">
        <v>65</v>
      </c>
      <c r="C32" s="38"/>
      <c r="D32" s="19"/>
      <c r="E32" s="19"/>
      <c r="F32" s="19"/>
      <c r="G32" s="19"/>
      <c r="H32" s="21"/>
      <c r="I32" s="19"/>
      <c r="J32" s="22">
        <f>SUM(J4:J31)</f>
        <v>142867.86317724799</v>
      </c>
      <c r="K32" s="1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pans="1:23" s="18" customFormat="1" ht="20" customHeight="1" x14ac:dyDescent="0.3">
      <c r="A33" s="44" t="s">
        <v>66</v>
      </c>
      <c r="B33" s="44" t="s">
        <v>30</v>
      </c>
      <c r="C33" s="19" t="s">
        <v>67</v>
      </c>
      <c r="D33" s="19" t="s">
        <v>32</v>
      </c>
      <c r="E33" s="19">
        <v>7074.1</v>
      </c>
      <c r="F33" s="19">
        <v>600</v>
      </c>
      <c r="G33" s="19">
        <v>20</v>
      </c>
      <c r="H33" s="21">
        <f t="shared" ref="H33:H57" si="2">(E33/1000)*(F33/1000)*(G33/1000)*7850</f>
        <v>666.38022000000001</v>
      </c>
      <c r="I33" s="19">
        <v>2</v>
      </c>
      <c r="J33" s="22">
        <f t="shared" ref="J33:J57" si="3">H33*I33</f>
        <v>1332.76044</v>
      </c>
      <c r="K33" s="19"/>
      <c r="L33" s="44" t="str">
        <f>A33</f>
        <v>上层2#</v>
      </c>
      <c r="M33" s="43">
        <f>SUMIF(G33:G57,$M$3,J33:J57)</f>
        <v>1188.5935571999999</v>
      </c>
      <c r="N33" s="43">
        <f>SUMIF(G33:G57,$N$3,J33:J57)</f>
        <v>40650.852972799999</v>
      </c>
      <c r="O33" s="43">
        <f>SUMIF(G33:G57,$O$3,J33:J57)</f>
        <v>24288.509604624</v>
      </c>
      <c r="P33" s="43">
        <f>SUMIF(G33:G57,$P$3,J33:J57)</f>
        <v>45992.823439999993</v>
      </c>
      <c r="Q33" s="43">
        <f>SUMIF(G33:G57,$Q$3,J33:J57)</f>
        <v>22396.991999999998</v>
      </c>
      <c r="R33" s="43">
        <f>SUMIF(G33:G57,$R$3,J33:J57)</f>
        <v>0</v>
      </c>
      <c r="S33" s="43">
        <f>SUMIF(G33:G57,$S$3,J33:J57)</f>
        <v>6933.12</v>
      </c>
      <c r="T33" s="43">
        <f>SUM(M33:S58)</f>
        <v>141450.89157462399</v>
      </c>
      <c r="U33" s="43">
        <v>141450.9</v>
      </c>
      <c r="V33" s="43">
        <f>T33-U33</f>
        <v>-8.4253759996499866E-3</v>
      </c>
      <c r="W33" s="44"/>
    </row>
    <row r="34" spans="1:23" s="18" customFormat="1" ht="20" customHeight="1" x14ac:dyDescent="0.3">
      <c r="A34" s="41"/>
      <c r="B34" s="41"/>
      <c r="C34" s="19" t="s">
        <v>68</v>
      </c>
      <c r="D34" s="19" t="s">
        <v>32</v>
      </c>
      <c r="E34" s="19">
        <v>17050.5</v>
      </c>
      <c r="F34" s="19">
        <v>600</v>
      </c>
      <c r="G34" s="19">
        <v>20</v>
      </c>
      <c r="H34" s="21">
        <f t="shared" si="2"/>
        <v>1606.1571000000001</v>
      </c>
      <c r="I34" s="19">
        <v>2</v>
      </c>
      <c r="J34" s="22">
        <f t="shared" si="3"/>
        <v>3212.3142000000003</v>
      </c>
      <c r="K34" s="19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18" customFormat="1" ht="20" hidden="1" customHeight="1" x14ac:dyDescent="0.3">
      <c r="A35" s="41"/>
      <c r="B35" s="41"/>
      <c r="C35" s="19" t="s">
        <v>69</v>
      </c>
      <c r="D35" s="19" t="s">
        <v>32</v>
      </c>
      <c r="E35" s="19">
        <v>16000</v>
      </c>
      <c r="F35" s="19">
        <v>600</v>
      </c>
      <c r="G35" s="19">
        <v>24</v>
      </c>
      <c r="H35" s="21">
        <f t="shared" si="2"/>
        <v>1808.6399999999999</v>
      </c>
      <c r="I35" s="19">
        <v>8</v>
      </c>
      <c r="J35" s="22">
        <f t="shared" si="3"/>
        <v>14469.119999999999</v>
      </c>
      <c r="K35" s="19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s="18" customFormat="1" ht="20" hidden="1" customHeight="1" x14ac:dyDescent="0.3">
      <c r="A36" s="41"/>
      <c r="B36" s="41"/>
      <c r="C36" s="19" t="s">
        <v>70</v>
      </c>
      <c r="D36" s="19" t="s">
        <v>32</v>
      </c>
      <c r="E36" s="19">
        <v>3900</v>
      </c>
      <c r="F36" s="19">
        <v>600</v>
      </c>
      <c r="G36" s="19">
        <v>40</v>
      </c>
      <c r="H36" s="21">
        <f t="shared" si="2"/>
        <v>734.76</v>
      </c>
      <c r="I36" s="19">
        <v>2</v>
      </c>
      <c r="J36" s="22">
        <f t="shared" si="3"/>
        <v>1469.52</v>
      </c>
      <c r="K36" s="1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18" customFormat="1" ht="20" hidden="1" customHeight="1" x14ac:dyDescent="0.3">
      <c r="A37" s="41"/>
      <c r="B37" s="41"/>
      <c r="C37" s="19" t="s">
        <v>71</v>
      </c>
      <c r="D37" s="19" t="s">
        <v>32</v>
      </c>
      <c r="E37" s="19">
        <v>7200</v>
      </c>
      <c r="F37" s="19">
        <v>800</v>
      </c>
      <c r="G37" s="19">
        <v>40</v>
      </c>
      <c r="H37" s="21">
        <f t="shared" si="2"/>
        <v>1808.64</v>
      </c>
      <c r="I37" s="19">
        <v>2</v>
      </c>
      <c r="J37" s="22">
        <f t="shared" si="3"/>
        <v>3617.28</v>
      </c>
      <c r="K37" s="19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s="18" customFormat="1" ht="20" hidden="1" customHeight="1" x14ac:dyDescent="0.3">
      <c r="A38" s="41"/>
      <c r="B38" s="39"/>
      <c r="C38" s="19" t="s">
        <v>72</v>
      </c>
      <c r="D38" s="19" t="s">
        <v>32</v>
      </c>
      <c r="E38" s="19">
        <v>4900</v>
      </c>
      <c r="F38" s="19">
        <v>600</v>
      </c>
      <c r="G38" s="19">
        <v>40</v>
      </c>
      <c r="H38" s="21">
        <f t="shared" si="2"/>
        <v>923.16</v>
      </c>
      <c r="I38" s="19">
        <v>2</v>
      </c>
      <c r="J38" s="22">
        <f t="shared" si="3"/>
        <v>1846.32</v>
      </c>
      <c r="K38" s="19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18" customFormat="1" ht="20" hidden="1" customHeight="1" x14ac:dyDescent="0.3">
      <c r="A39" s="41"/>
      <c r="B39" s="44" t="s">
        <v>39</v>
      </c>
      <c r="C39" s="19" t="s">
        <v>73</v>
      </c>
      <c r="D39" s="19" t="s">
        <v>32</v>
      </c>
      <c r="E39" s="19">
        <v>7074.1</v>
      </c>
      <c r="F39" s="19">
        <v>2641.7</v>
      </c>
      <c r="G39" s="19">
        <v>16</v>
      </c>
      <c r="H39" s="21">
        <f t="shared" si="2"/>
        <v>2347.1688362319996</v>
      </c>
      <c r="I39" s="19">
        <v>1</v>
      </c>
      <c r="J39" s="22">
        <f t="shared" si="3"/>
        <v>2347.1688362319996</v>
      </c>
      <c r="K39" s="19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s="18" customFormat="1" ht="20" hidden="1" customHeight="1" x14ac:dyDescent="0.3">
      <c r="A40" s="41"/>
      <c r="B40" s="41"/>
      <c r="C40" s="19" t="s">
        <v>74</v>
      </c>
      <c r="D40" s="19" t="s">
        <v>32</v>
      </c>
      <c r="E40" s="19">
        <v>7074.1</v>
      </c>
      <c r="F40" s="19">
        <v>2718.2</v>
      </c>
      <c r="G40" s="19">
        <v>16</v>
      </c>
      <c r="H40" s="21">
        <f t="shared" si="2"/>
        <v>2415.1396186720003</v>
      </c>
      <c r="I40" s="19">
        <v>1</v>
      </c>
      <c r="J40" s="22">
        <f t="shared" si="3"/>
        <v>2415.1396186720003</v>
      </c>
      <c r="K40" s="19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18" customFormat="1" ht="20" hidden="1" customHeight="1" x14ac:dyDescent="0.3">
      <c r="A41" s="41"/>
      <c r="B41" s="41"/>
      <c r="C41" s="19" t="s">
        <v>75</v>
      </c>
      <c r="D41" s="19" t="s">
        <v>32</v>
      </c>
      <c r="E41" s="19">
        <v>17050.5</v>
      </c>
      <c r="F41" s="19">
        <v>2641.7</v>
      </c>
      <c r="G41" s="19">
        <v>16</v>
      </c>
      <c r="H41" s="21">
        <f t="shared" si="2"/>
        <v>5657.3136147599989</v>
      </c>
      <c r="I41" s="19">
        <v>1</v>
      </c>
      <c r="J41" s="22">
        <f t="shared" si="3"/>
        <v>5657.3136147599989</v>
      </c>
      <c r="K41" s="19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s="18" customFormat="1" ht="20" hidden="1" customHeight="1" x14ac:dyDescent="0.3">
      <c r="A42" s="41"/>
      <c r="B42" s="41"/>
      <c r="C42" s="19" t="s">
        <v>76</v>
      </c>
      <c r="D42" s="19" t="s">
        <v>32</v>
      </c>
      <c r="E42" s="19">
        <v>17050.5</v>
      </c>
      <c r="F42" s="19">
        <v>2718.2</v>
      </c>
      <c r="G42" s="19">
        <v>16</v>
      </c>
      <c r="H42" s="21">
        <f t="shared" si="2"/>
        <v>5821.1416389599999</v>
      </c>
      <c r="I42" s="19">
        <v>1</v>
      </c>
      <c r="J42" s="22">
        <f t="shared" si="3"/>
        <v>5821.1416389599999</v>
      </c>
      <c r="K42" s="19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18" customFormat="1" ht="20" hidden="1" customHeight="1" x14ac:dyDescent="0.3">
      <c r="A43" s="41"/>
      <c r="B43" s="41"/>
      <c r="C43" s="19" t="s">
        <v>77</v>
      </c>
      <c r="D43" s="19" t="s">
        <v>32</v>
      </c>
      <c r="E43" s="19">
        <v>16000</v>
      </c>
      <c r="F43" s="19">
        <v>2637.7</v>
      </c>
      <c r="G43" s="19">
        <v>14</v>
      </c>
      <c r="H43" s="21">
        <f t="shared" si="2"/>
        <v>4638.1316799999995</v>
      </c>
      <c r="I43" s="19">
        <v>4</v>
      </c>
      <c r="J43" s="22">
        <f t="shared" si="3"/>
        <v>18552.526719999998</v>
      </c>
      <c r="K43" s="19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s="18" customFormat="1" ht="20" hidden="1" customHeight="1" x14ac:dyDescent="0.3">
      <c r="A44" s="41"/>
      <c r="B44" s="41"/>
      <c r="C44" s="19" t="s">
        <v>78</v>
      </c>
      <c r="D44" s="19" t="s">
        <v>32</v>
      </c>
      <c r="E44" s="19">
        <v>16000</v>
      </c>
      <c r="F44" s="19">
        <v>2714.2</v>
      </c>
      <c r="G44" s="19">
        <v>14</v>
      </c>
      <c r="H44" s="21">
        <f t="shared" si="2"/>
        <v>4772.6492799999996</v>
      </c>
      <c r="I44" s="19">
        <v>4</v>
      </c>
      <c r="J44" s="22">
        <f t="shared" si="3"/>
        <v>19090.597119999999</v>
      </c>
      <c r="K44" s="19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s="18" customFormat="1" ht="20" customHeight="1" x14ac:dyDescent="0.3">
      <c r="A45" s="41"/>
      <c r="B45" s="41"/>
      <c r="C45" s="19" t="s">
        <v>79</v>
      </c>
      <c r="D45" s="19" t="s">
        <v>32</v>
      </c>
      <c r="E45" s="19">
        <v>16000</v>
      </c>
      <c r="F45" s="19">
        <v>2621.7</v>
      </c>
      <c r="G45" s="19">
        <v>20</v>
      </c>
      <c r="H45" s="21">
        <f t="shared" si="2"/>
        <v>6585.710399999999</v>
      </c>
      <c r="I45" s="19">
        <v>1</v>
      </c>
      <c r="J45" s="22">
        <f t="shared" si="3"/>
        <v>6585.710399999999</v>
      </c>
      <c r="K45" s="19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s="18" customFormat="1" ht="20" customHeight="1" x14ac:dyDescent="0.3">
      <c r="A46" s="41"/>
      <c r="B46" s="39"/>
      <c r="C46" s="19" t="s">
        <v>80</v>
      </c>
      <c r="D46" s="19" t="s">
        <v>32</v>
      </c>
      <c r="E46" s="19">
        <v>16000</v>
      </c>
      <c r="F46" s="19">
        <v>2698.2</v>
      </c>
      <c r="G46" s="19">
        <v>20</v>
      </c>
      <c r="H46" s="21">
        <f t="shared" si="2"/>
        <v>6777.8783999999996</v>
      </c>
      <c r="I46" s="19">
        <v>1</v>
      </c>
      <c r="J46" s="22">
        <f t="shared" si="3"/>
        <v>6777.8783999999996</v>
      </c>
      <c r="K46" s="19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s="18" customFormat="1" ht="20" hidden="1" customHeight="1" x14ac:dyDescent="0.3">
      <c r="A47" s="41"/>
      <c r="B47" s="44" t="s">
        <v>50</v>
      </c>
      <c r="C47" s="19" t="s">
        <v>81</v>
      </c>
      <c r="D47" s="19" t="s">
        <v>32</v>
      </c>
      <c r="E47" s="19">
        <v>6324.1</v>
      </c>
      <c r="F47" s="19">
        <v>2630</v>
      </c>
      <c r="G47" s="19">
        <v>16</v>
      </c>
      <c r="H47" s="21">
        <f t="shared" si="2"/>
        <v>2089.0273047999999</v>
      </c>
      <c r="I47" s="19">
        <v>1</v>
      </c>
      <c r="J47" s="22">
        <f t="shared" si="3"/>
        <v>2089.0273047999999</v>
      </c>
      <c r="K47" s="19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18" customFormat="1" ht="20" hidden="1" customHeight="1" x14ac:dyDescent="0.3">
      <c r="A48" s="41"/>
      <c r="B48" s="41"/>
      <c r="C48" s="19" t="s">
        <v>82</v>
      </c>
      <c r="D48" s="19" t="s">
        <v>32</v>
      </c>
      <c r="E48" s="19">
        <v>16300.5</v>
      </c>
      <c r="F48" s="19">
        <v>2630</v>
      </c>
      <c r="G48" s="19">
        <v>16</v>
      </c>
      <c r="H48" s="21">
        <f t="shared" si="2"/>
        <v>5384.5115639999995</v>
      </c>
      <c r="I48" s="19">
        <v>1</v>
      </c>
      <c r="J48" s="22">
        <f t="shared" si="3"/>
        <v>5384.5115639999995</v>
      </c>
      <c r="K48" s="19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s="18" customFormat="1" ht="20" customHeight="1" x14ac:dyDescent="0.3">
      <c r="A49" s="41"/>
      <c r="B49" s="41"/>
      <c r="C49" s="19" t="s">
        <v>83</v>
      </c>
      <c r="D49" s="19" t="s">
        <v>32</v>
      </c>
      <c r="E49" s="19">
        <v>16000</v>
      </c>
      <c r="F49" s="19">
        <v>2630</v>
      </c>
      <c r="G49" s="19">
        <v>20</v>
      </c>
      <c r="H49" s="21">
        <f t="shared" si="2"/>
        <v>6606.56</v>
      </c>
      <c r="I49" s="19">
        <v>4</v>
      </c>
      <c r="J49" s="22">
        <f t="shared" si="3"/>
        <v>26426.240000000002</v>
      </c>
      <c r="K49" s="19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s="18" customFormat="1" ht="20" hidden="1" customHeight="1" x14ac:dyDescent="0.3">
      <c r="A50" s="41"/>
      <c r="B50" s="39"/>
      <c r="C50" s="19" t="s">
        <v>84</v>
      </c>
      <c r="D50" s="19" t="s">
        <v>32</v>
      </c>
      <c r="E50" s="19">
        <v>16000</v>
      </c>
      <c r="F50" s="19">
        <v>2630</v>
      </c>
      <c r="G50" s="19">
        <v>24</v>
      </c>
      <c r="H50" s="21">
        <f t="shared" si="2"/>
        <v>7927.8719999999994</v>
      </c>
      <c r="I50" s="19">
        <v>1</v>
      </c>
      <c r="J50" s="22">
        <f t="shared" si="3"/>
        <v>7927.8719999999994</v>
      </c>
      <c r="K50" s="19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s="18" customFormat="1" ht="20" hidden="1" customHeight="1" x14ac:dyDescent="0.3">
      <c r="A51" s="41"/>
      <c r="B51" s="44" t="s">
        <v>55</v>
      </c>
      <c r="C51" s="19" t="s">
        <v>85</v>
      </c>
      <c r="D51" s="19" t="s">
        <v>32</v>
      </c>
      <c r="E51" s="24">
        <v>17578.5</v>
      </c>
      <c r="F51" s="19">
        <v>140</v>
      </c>
      <c r="G51" s="19">
        <v>12</v>
      </c>
      <c r="H51" s="21">
        <f t="shared" si="2"/>
        <v>231.82525799999996</v>
      </c>
      <c r="I51" s="19">
        <v>1</v>
      </c>
      <c r="J51" s="22">
        <f t="shared" si="3"/>
        <v>231.82525799999996</v>
      </c>
      <c r="K51" s="2" t="s">
        <v>57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s="18" customFormat="1" ht="20" hidden="1" customHeight="1" x14ac:dyDescent="0.3">
      <c r="A52" s="41"/>
      <c r="B52" s="41"/>
      <c r="C52" s="19" t="s">
        <v>86</v>
      </c>
      <c r="D52" s="19" t="s">
        <v>32</v>
      </c>
      <c r="E52" s="24">
        <v>72548.399999999994</v>
      </c>
      <c r="F52" s="19">
        <v>140</v>
      </c>
      <c r="G52" s="19">
        <v>12</v>
      </c>
      <c r="H52" s="21">
        <f t="shared" si="2"/>
        <v>956.7682992</v>
      </c>
      <c r="I52" s="19">
        <v>1</v>
      </c>
      <c r="J52" s="22">
        <f t="shared" si="3"/>
        <v>956.7682992</v>
      </c>
      <c r="K52" s="2" t="s">
        <v>57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s="18" customFormat="1" ht="20" hidden="1" customHeight="1" x14ac:dyDescent="0.3">
      <c r="A53" s="41"/>
      <c r="B53" s="39"/>
      <c r="C53" s="19" t="s">
        <v>87</v>
      </c>
      <c r="D53" s="19" t="s">
        <v>32</v>
      </c>
      <c r="E53" s="24">
        <v>25398.400000000001</v>
      </c>
      <c r="F53" s="19">
        <v>180</v>
      </c>
      <c r="G53" s="19">
        <v>16</v>
      </c>
      <c r="H53" s="21">
        <f t="shared" si="2"/>
        <v>574.20702720000008</v>
      </c>
      <c r="I53" s="19">
        <v>1</v>
      </c>
      <c r="J53" s="22">
        <f t="shared" si="3"/>
        <v>574.20702720000008</v>
      </c>
      <c r="K53" s="2" t="s">
        <v>57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s="18" customFormat="1" ht="20" hidden="1" customHeight="1" x14ac:dyDescent="0.3">
      <c r="A54" s="41"/>
      <c r="B54" s="44" t="s">
        <v>60</v>
      </c>
      <c r="C54" s="19" t="s">
        <v>88</v>
      </c>
      <c r="D54" s="19" t="s">
        <v>32</v>
      </c>
      <c r="E54" s="19">
        <v>5774.1</v>
      </c>
      <c r="F54" s="19">
        <v>160</v>
      </c>
      <c r="G54" s="19">
        <v>14</v>
      </c>
      <c r="H54" s="21">
        <f t="shared" si="2"/>
        <v>101.53177440000002</v>
      </c>
      <c r="I54" s="19">
        <v>2</v>
      </c>
      <c r="J54" s="22">
        <f t="shared" si="3"/>
        <v>203.06354880000004</v>
      </c>
      <c r="K54" s="19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s="18" customFormat="1" ht="20" hidden="1" customHeight="1" x14ac:dyDescent="0.3">
      <c r="A55" s="41"/>
      <c r="B55" s="41"/>
      <c r="C55" s="19" t="s">
        <v>89</v>
      </c>
      <c r="D55" s="19" t="s">
        <v>32</v>
      </c>
      <c r="E55" s="19">
        <v>15750.5</v>
      </c>
      <c r="F55" s="19">
        <v>160</v>
      </c>
      <c r="G55" s="19">
        <v>14</v>
      </c>
      <c r="H55" s="21">
        <f t="shared" si="2"/>
        <v>276.95679200000001</v>
      </c>
      <c r="I55" s="19">
        <v>2</v>
      </c>
      <c r="J55" s="22">
        <f t="shared" si="3"/>
        <v>553.91358400000001</v>
      </c>
      <c r="K55" s="19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s="18" customFormat="1" ht="20" hidden="1" customHeight="1" x14ac:dyDescent="0.3">
      <c r="A56" s="41"/>
      <c r="B56" s="41"/>
      <c r="C56" s="19" t="s">
        <v>90</v>
      </c>
      <c r="D56" s="19" t="s">
        <v>32</v>
      </c>
      <c r="E56" s="19">
        <v>16000</v>
      </c>
      <c r="F56" s="19">
        <v>160</v>
      </c>
      <c r="G56" s="19">
        <v>14</v>
      </c>
      <c r="H56" s="21">
        <f t="shared" si="2"/>
        <v>281.34400000000005</v>
      </c>
      <c r="I56" s="19">
        <v>8</v>
      </c>
      <c r="J56" s="22">
        <f t="shared" si="3"/>
        <v>2250.7520000000004</v>
      </c>
      <c r="K56" s="19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s="18" customFormat="1" ht="20" customHeight="1" x14ac:dyDescent="0.3">
      <c r="A57" s="41"/>
      <c r="B57" s="39"/>
      <c r="C57" s="19" t="s">
        <v>91</v>
      </c>
      <c r="D57" s="19" t="s">
        <v>32</v>
      </c>
      <c r="E57" s="19">
        <v>16000</v>
      </c>
      <c r="F57" s="19">
        <v>220</v>
      </c>
      <c r="G57" s="19">
        <v>20</v>
      </c>
      <c r="H57" s="21">
        <f t="shared" si="2"/>
        <v>552.64</v>
      </c>
      <c r="I57" s="19">
        <v>3</v>
      </c>
      <c r="J57" s="22">
        <f t="shared" si="3"/>
        <v>1657.92</v>
      </c>
      <c r="K57" s="19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1:23" s="18" customFormat="1" ht="20" hidden="1" customHeight="1" x14ac:dyDescent="0.3">
      <c r="A58" s="39"/>
      <c r="B58" s="44" t="s">
        <v>65</v>
      </c>
      <c r="C58" s="38"/>
      <c r="D58" s="19"/>
      <c r="E58" s="19"/>
      <c r="F58" s="19"/>
      <c r="G58" s="19"/>
      <c r="H58" s="21"/>
      <c r="I58" s="19"/>
      <c r="J58" s="22">
        <f>SUM(J33:J57)</f>
        <v>141450.89157462399</v>
      </c>
      <c r="K58" s="1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 spans="1:23" s="18" customFormat="1" ht="20" customHeight="1" x14ac:dyDescent="0.3">
      <c r="A59" s="44" t="s">
        <v>92</v>
      </c>
      <c r="B59" s="44" t="s">
        <v>30</v>
      </c>
      <c r="C59" s="19" t="s">
        <v>93</v>
      </c>
      <c r="D59" s="19" t="s">
        <v>32</v>
      </c>
      <c r="E59" s="19">
        <v>18037.900000000001</v>
      </c>
      <c r="F59" s="19">
        <v>600</v>
      </c>
      <c r="G59" s="19">
        <v>20</v>
      </c>
      <c r="H59" s="21">
        <f t="shared" ref="H59:H83" si="4">(E59/1000)*(F59/1000)*(G59/1000)*7850</f>
        <v>1699.1701800000001</v>
      </c>
      <c r="I59" s="19">
        <v>2</v>
      </c>
      <c r="J59" s="22">
        <f t="shared" ref="J59:J83" si="5">H59*I59</f>
        <v>3398.3403600000001</v>
      </c>
      <c r="K59" s="19"/>
      <c r="L59" s="44" t="str">
        <f>A59</f>
        <v>上层3#</v>
      </c>
      <c r="M59" s="43">
        <f>SUMIF(G59:G83,$M$3,J59:J83)</f>
        <v>1152.6654888000003</v>
      </c>
      <c r="N59" s="43">
        <f>SUMIF(G59:G83,$N$3,J59:J83)</f>
        <v>40661.417439999997</v>
      </c>
      <c r="O59" s="43">
        <f>SUMIF(G59:G83,$O$3,J59:J83)</f>
        <v>24660.362717999997</v>
      </c>
      <c r="P59" s="43">
        <f>SUMIF(G59:G83,$P$3,J59:J83)</f>
        <v>46049.418799999999</v>
      </c>
      <c r="Q59" s="43">
        <f>SUMIF(G59:G83,$Q$3,J59:J83)</f>
        <v>22396.991999999998</v>
      </c>
      <c r="R59" s="43">
        <f>SUMIF(G59:G83,$R$3,J59:J83)</f>
        <v>0</v>
      </c>
      <c r="S59" s="43">
        <f>SUMIF(G59:G83,$S$3,J59:J83)</f>
        <v>6933.1200000000008</v>
      </c>
      <c r="T59" s="43">
        <f>SUM(M59:S84)</f>
        <v>141853.97644679999</v>
      </c>
      <c r="U59" s="43">
        <v>141854</v>
      </c>
      <c r="V59" s="43">
        <f>T59-U59</f>
        <v>-2.3553200007881969E-2</v>
      </c>
      <c r="W59" s="44"/>
    </row>
    <row r="60" spans="1:23" s="18" customFormat="1" ht="20" customHeight="1" x14ac:dyDescent="0.3">
      <c r="A60" s="41"/>
      <c r="B60" s="41"/>
      <c r="C60" s="19" t="s">
        <v>94</v>
      </c>
      <c r="D60" s="19" t="s">
        <v>32</v>
      </c>
      <c r="E60" s="19">
        <v>6387.1</v>
      </c>
      <c r="F60" s="19">
        <v>600</v>
      </c>
      <c r="G60" s="19">
        <v>20</v>
      </c>
      <c r="H60" s="21">
        <f t="shared" si="4"/>
        <v>601.66481999999996</v>
      </c>
      <c r="I60" s="19">
        <v>2</v>
      </c>
      <c r="J60" s="22">
        <f t="shared" si="5"/>
        <v>1203.3296399999999</v>
      </c>
      <c r="K60" s="19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1:23" s="18" customFormat="1" ht="20" hidden="1" customHeight="1" x14ac:dyDescent="0.3">
      <c r="A61" s="41"/>
      <c r="B61" s="41"/>
      <c r="C61" s="19" t="s">
        <v>95</v>
      </c>
      <c r="D61" s="19" t="s">
        <v>32</v>
      </c>
      <c r="E61" s="19">
        <v>16000</v>
      </c>
      <c r="F61" s="19">
        <v>600</v>
      </c>
      <c r="G61" s="19">
        <v>24</v>
      </c>
      <c r="H61" s="21">
        <f t="shared" si="4"/>
        <v>1808.6399999999999</v>
      </c>
      <c r="I61" s="19">
        <v>8</v>
      </c>
      <c r="J61" s="22">
        <f t="shared" si="5"/>
        <v>14469.119999999999</v>
      </c>
      <c r="K61" s="19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1:23" s="18" customFormat="1" ht="20" hidden="1" customHeight="1" x14ac:dyDescent="0.3">
      <c r="A62" s="41"/>
      <c r="B62" s="41"/>
      <c r="C62" s="19" t="s">
        <v>96</v>
      </c>
      <c r="D62" s="19" t="s">
        <v>32</v>
      </c>
      <c r="E62" s="19">
        <v>4900</v>
      </c>
      <c r="F62" s="19">
        <v>600</v>
      </c>
      <c r="G62" s="19">
        <v>40</v>
      </c>
      <c r="H62" s="21">
        <f t="shared" si="4"/>
        <v>923.16</v>
      </c>
      <c r="I62" s="19">
        <v>2</v>
      </c>
      <c r="J62" s="22">
        <f t="shared" si="5"/>
        <v>1846.32</v>
      </c>
      <c r="K62" s="19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  <row r="63" spans="1:23" s="18" customFormat="1" ht="20" hidden="1" customHeight="1" x14ac:dyDescent="0.3">
      <c r="A63" s="41"/>
      <c r="B63" s="41"/>
      <c r="C63" s="19" t="s">
        <v>97</v>
      </c>
      <c r="D63" s="19" t="s">
        <v>32</v>
      </c>
      <c r="E63" s="19">
        <v>7200</v>
      </c>
      <c r="F63" s="19">
        <v>800</v>
      </c>
      <c r="G63" s="19">
        <v>40</v>
      </c>
      <c r="H63" s="21">
        <f t="shared" si="4"/>
        <v>1808.64</v>
      </c>
      <c r="I63" s="19">
        <v>2</v>
      </c>
      <c r="J63" s="22">
        <f t="shared" si="5"/>
        <v>3617.28</v>
      </c>
      <c r="K63" s="19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</row>
    <row r="64" spans="1:23" s="18" customFormat="1" ht="20" hidden="1" customHeight="1" x14ac:dyDescent="0.3">
      <c r="A64" s="41"/>
      <c r="B64" s="39"/>
      <c r="C64" s="19" t="s">
        <v>98</v>
      </c>
      <c r="D64" s="19" t="s">
        <v>32</v>
      </c>
      <c r="E64" s="19">
        <v>3900</v>
      </c>
      <c r="F64" s="19">
        <v>600</v>
      </c>
      <c r="G64" s="19">
        <v>40</v>
      </c>
      <c r="H64" s="21">
        <f t="shared" si="4"/>
        <v>734.76</v>
      </c>
      <c r="I64" s="19">
        <v>2</v>
      </c>
      <c r="J64" s="22">
        <f t="shared" si="5"/>
        <v>1469.52</v>
      </c>
      <c r="K64" s="19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</row>
    <row r="65" spans="1:23" s="18" customFormat="1" ht="20" hidden="1" customHeight="1" x14ac:dyDescent="0.3">
      <c r="A65" s="41"/>
      <c r="B65" s="44" t="s">
        <v>39</v>
      </c>
      <c r="C65" s="19" t="s">
        <v>99</v>
      </c>
      <c r="D65" s="19" t="s">
        <v>32</v>
      </c>
      <c r="E65" s="19">
        <v>18037.900000000001</v>
      </c>
      <c r="F65" s="19">
        <v>2641.7</v>
      </c>
      <c r="G65" s="19">
        <v>16</v>
      </c>
      <c r="H65" s="21">
        <f t="shared" si="4"/>
        <v>5984.9304860079992</v>
      </c>
      <c r="I65" s="19">
        <v>1</v>
      </c>
      <c r="J65" s="22">
        <f t="shared" si="5"/>
        <v>5984.9304860079992</v>
      </c>
      <c r="K65" s="19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</row>
    <row r="66" spans="1:23" s="18" customFormat="1" ht="20" hidden="1" customHeight="1" x14ac:dyDescent="0.3">
      <c r="A66" s="41"/>
      <c r="B66" s="41"/>
      <c r="C66" s="19" t="s">
        <v>100</v>
      </c>
      <c r="D66" s="19" t="s">
        <v>32</v>
      </c>
      <c r="E66" s="19">
        <v>18037.900000000001</v>
      </c>
      <c r="F66" s="19">
        <v>2718.2</v>
      </c>
      <c r="G66" s="19">
        <v>16</v>
      </c>
      <c r="H66" s="21">
        <f t="shared" si="4"/>
        <v>6158.2458443680007</v>
      </c>
      <c r="I66" s="19">
        <v>1</v>
      </c>
      <c r="J66" s="22">
        <f t="shared" si="5"/>
        <v>6158.2458443680007</v>
      </c>
      <c r="K66" s="19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</row>
    <row r="67" spans="1:23" s="18" customFormat="1" ht="20" hidden="1" customHeight="1" x14ac:dyDescent="0.3">
      <c r="A67" s="41"/>
      <c r="B67" s="41"/>
      <c r="C67" s="19" t="s">
        <v>101</v>
      </c>
      <c r="D67" s="19" t="s">
        <v>32</v>
      </c>
      <c r="E67" s="19">
        <v>6387.1</v>
      </c>
      <c r="F67" s="19">
        <v>2641.7</v>
      </c>
      <c r="G67" s="19">
        <v>16</v>
      </c>
      <c r="H67" s="21">
        <f t="shared" si="4"/>
        <v>2119.2239399919999</v>
      </c>
      <c r="I67" s="19">
        <v>1</v>
      </c>
      <c r="J67" s="22">
        <f t="shared" si="5"/>
        <v>2119.2239399919999</v>
      </c>
      <c r="K67" s="19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 spans="1:23" s="18" customFormat="1" ht="20" hidden="1" customHeight="1" x14ac:dyDescent="0.3">
      <c r="A68" s="41"/>
      <c r="B68" s="41"/>
      <c r="C68" s="19" t="s">
        <v>102</v>
      </c>
      <c r="D68" s="19" t="s">
        <v>32</v>
      </c>
      <c r="E68" s="19">
        <v>6387.1</v>
      </c>
      <c r="F68" s="19">
        <v>2718.2</v>
      </c>
      <c r="G68" s="19">
        <v>16</v>
      </c>
      <c r="H68" s="21">
        <f t="shared" si="4"/>
        <v>2180.5937516320005</v>
      </c>
      <c r="I68" s="19">
        <v>1</v>
      </c>
      <c r="J68" s="22">
        <f t="shared" si="5"/>
        <v>2180.5937516320005</v>
      </c>
      <c r="K68" s="19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</row>
    <row r="69" spans="1:23" s="18" customFormat="1" ht="20" hidden="1" customHeight="1" x14ac:dyDescent="0.3">
      <c r="A69" s="41"/>
      <c r="B69" s="41"/>
      <c r="C69" s="19" t="s">
        <v>103</v>
      </c>
      <c r="D69" s="19" t="s">
        <v>32</v>
      </c>
      <c r="E69" s="19">
        <v>16000</v>
      </c>
      <c r="F69" s="19">
        <v>2637.7</v>
      </c>
      <c r="G69" s="19">
        <v>14</v>
      </c>
      <c r="H69" s="21">
        <f t="shared" si="4"/>
        <v>4638.1316799999995</v>
      </c>
      <c r="I69" s="19">
        <v>4</v>
      </c>
      <c r="J69" s="22">
        <f t="shared" si="5"/>
        <v>18552.526719999998</v>
      </c>
      <c r="K69" s="19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</row>
    <row r="70" spans="1:23" s="18" customFormat="1" ht="20" hidden="1" customHeight="1" x14ac:dyDescent="0.3">
      <c r="A70" s="41"/>
      <c r="B70" s="41"/>
      <c r="C70" s="19" t="s">
        <v>104</v>
      </c>
      <c r="D70" s="19" t="s">
        <v>32</v>
      </c>
      <c r="E70" s="19">
        <v>16000</v>
      </c>
      <c r="F70" s="19">
        <v>2714.2</v>
      </c>
      <c r="G70" s="19">
        <v>14</v>
      </c>
      <c r="H70" s="21">
        <f t="shared" si="4"/>
        <v>4772.6492799999996</v>
      </c>
      <c r="I70" s="19">
        <v>4</v>
      </c>
      <c r="J70" s="22">
        <f t="shared" si="5"/>
        <v>19090.597119999999</v>
      </c>
      <c r="K70" s="19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</row>
    <row r="71" spans="1:23" s="18" customFormat="1" ht="20" customHeight="1" x14ac:dyDescent="0.3">
      <c r="A71" s="41"/>
      <c r="B71" s="41"/>
      <c r="C71" s="19" t="s">
        <v>105</v>
      </c>
      <c r="D71" s="19" t="s">
        <v>32</v>
      </c>
      <c r="E71" s="19">
        <v>16000</v>
      </c>
      <c r="F71" s="19">
        <v>2621.7</v>
      </c>
      <c r="G71" s="19">
        <v>20</v>
      </c>
      <c r="H71" s="21">
        <f t="shared" si="4"/>
        <v>6585.710399999999</v>
      </c>
      <c r="I71" s="19">
        <v>1</v>
      </c>
      <c r="J71" s="22">
        <f t="shared" si="5"/>
        <v>6585.710399999999</v>
      </c>
      <c r="K71" s="19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</row>
    <row r="72" spans="1:23" s="18" customFormat="1" ht="20" customHeight="1" x14ac:dyDescent="0.3">
      <c r="A72" s="41"/>
      <c r="B72" s="39"/>
      <c r="C72" s="19" t="s">
        <v>106</v>
      </c>
      <c r="D72" s="19" t="s">
        <v>32</v>
      </c>
      <c r="E72" s="19">
        <v>16000</v>
      </c>
      <c r="F72" s="19">
        <v>2698.2</v>
      </c>
      <c r="G72" s="19">
        <v>20</v>
      </c>
      <c r="H72" s="21">
        <f t="shared" si="4"/>
        <v>6777.8783999999996</v>
      </c>
      <c r="I72" s="19">
        <v>1</v>
      </c>
      <c r="J72" s="22">
        <f t="shared" si="5"/>
        <v>6777.8783999999996</v>
      </c>
      <c r="K72" s="19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</row>
    <row r="73" spans="1:23" s="18" customFormat="1" ht="20" hidden="1" customHeight="1" x14ac:dyDescent="0.3">
      <c r="A73" s="41"/>
      <c r="B73" s="44" t="s">
        <v>50</v>
      </c>
      <c r="C73" s="19" t="s">
        <v>107</v>
      </c>
      <c r="D73" s="19" t="s">
        <v>32</v>
      </c>
      <c r="E73" s="19">
        <v>17287.900000000001</v>
      </c>
      <c r="F73" s="19">
        <v>2630</v>
      </c>
      <c r="G73" s="19">
        <v>16</v>
      </c>
      <c r="H73" s="21">
        <f t="shared" si="4"/>
        <v>5710.6774311999998</v>
      </c>
      <c r="I73" s="19">
        <v>1</v>
      </c>
      <c r="J73" s="22">
        <f t="shared" si="5"/>
        <v>5710.6774311999998</v>
      </c>
      <c r="K73" s="19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 spans="1:23" s="18" customFormat="1" ht="20" hidden="1" customHeight="1" x14ac:dyDescent="0.3">
      <c r="A74" s="41"/>
      <c r="B74" s="41"/>
      <c r="C74" s="19" t="s">
        <v>108</v>
      </c>
      <c r="D74" s="19" t="s">
        <v>32</v>
      </c>
      <c r="E74" s="19">
        <v>5637.1</v>
      </c>
      <c r="F74" s="19">
        <v>2630</v>
      </c>
      <c r="G74" s="19">
        <v>16</v>
      </c>
      <c r="H74" s="21">
        <f t="shared" si="4"/>
        <v>1862.0919687999999</v>
      </c>
      <c r="I74" s="19">
        <v>1</v>
      </c>
      <c r="J74" s="22">
        <f t="shared" si="5"/>
        <v>1862.0919687999999</v>
      </c>
      <c r="K74" s="19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 spans="1:23" s="18" customFormat="1" ht="20" customHeight="1" x14ac:dyDescent="0.3">
      <c r="A75" s="41"/>
      <c r="B75" s="41"/>
      <c r="C75" s="19" t="s">
        <v>109</v>
      </c>
      <c r="D75" s="19" t="s">
        <v>32</v>
      </c>
      <c r="E75" s="19">
        <v>16000</v>
      </c>
      <c r="F75" s="19">
        <v>2630</v>
      </c>
      <c r="G75" s="19">
        <v>20</v>
      </c>
      <c r="H75" s="21">
        <f t="shared" si="4"/>
        <v>6606.56</v>
      </c>
      <c r="I75" s="19">
        <v>4</v>
      </c>
      <c r="J75" s="22">
        <f t="shared" si="5"/>
        <v>26426.240000000002</v>
      </c>
      <c r="K75" s="19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 spans="1:23" s="18" customFormat="1" ht="20" hidden="1" customHeight="1" x14ac:dyDescent="0.3">
      <c r="A76" s="41"/>
      <c r="B76" s="39"/>
      <c r="C76" s="19" t="s">
        <v>110</v>
      </c>
      <c r="D76" s="19" t="s">
        <v>32</v>
      </c>
      <c r="E76" s="19">
        <v>16000</v>
      </c>
      <c r="F76" s="19">
        <v>2630</v>
      </c>
      <c r="G76" s="19">
        <v>24</v>
      </c>
      <c r="H76" s="21">
        <f t="shared" si="4"/>
        <v>7927.8719999999994</v>
      </c>
      <c r="I76" s="19">
        <v>1</v>
      </c>
      <c r="J76" s="22">
        <f t="shared" si="5"/>
        <v>7927.8719999999994</v>
      </c>
      <c r="K76" s="19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</row>
    <row r="77" spans="1:23" s="18" customFormat="1" ht="20" hidden="1" customHeight="1" x14ac:dyDescent="0.3">
      <c r="A77" s="41"/>
      <c r="B77" s="44" t="s">
        <v>55</v>
      </c>
      <c r="C77" s="19" t="s">
        <v>111</v>
      </c>
      <c r="D77" s="19" t="s">
        <v>32</v>
      </c>
      <c r="E77" s="24">
        <v>18938</v>
      </c>
      <c r="F77" s="19">
        <v>140</v>
      </c>
      <c r="G77" s="19">
        <v>12</v>
      </c>
      <c r="H77" s="21">
        <f t="shared" si="4"/>
        <v>249.75434400000003</v>
      </c>
      <c r="I77" s="19">
        <v>1</v>
      </c>
      <c r="J77" s="22">
        <f t="shared" si="5"/>
        <v>249.75434400000003</v>
      </c>
      <c r="K77" s="2" t="s">
        <v>57</v>
      </c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</row>
    <row r="78" spans="1:23" s="18" customFormat="1" ht="20" hidden="1" customHeight="1" x14ac:dyDescent="0.3">
      <c r="A78" s="41"/>
      <c r="B78" s="41"/>
      <c r="C78" s="19" t="s">
        <v>112</v>
      </c>
      <c r="D78" s="19" t="s">
        <v>32</v>
      </c>
      <c r="E78" s="24">
        <v>68464.600000000006</v>
      </c>
      <c r="F78" s="19">
        <v>140</v>
      </c>
      <c r="G78" s="19">
        <v>12</v>
      </c>
      <c r="H78" s="21">
        <f t="shared" si="4"/>
        <v>902.91114480000022</v>
      </c>
      <c r="I78" s="19">
        <v>1</v>
      </c>
      <c r="J78" s="22">
        <f t="shared" si="5"/>
        <v>902.91114480000022</v>
      </c>
      <c r="K78" s="2" t="s">
        <v>57</v>
      </c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 spans="1:23" s="18" customFormat="1" ht="20" hidden="1" customHeight="1" x14ac:dyDescent="0.3">
      <c r="A79" s="41"/>
      <c r="B79" s="39"/>
      <c r="C79" s="19" t="s">
        <v>113</v>
      </c>
      <c r="D79" s="19" t="s">
        <v>32</v>
      </c>
      <c r="E79" s="24">
        <v>28512</v>
      </c>
      <c r="F79" s="19">
        <v>180</v>
      </c>
      <c r="G79" s="19">
        <v>16</v>
      </c>
      <c r="H79" s="21">
        <f t="shared" si="4"/>
        <v>644.59929599999998</v>
      </c>
      <c r="I79" s="19">
        <v>1</v>
      </c>
      <c r="J79" s="22">
        <f t="shared" si="5"/>
        <v>644.59929599999998</v>
      </c>
      <c r="K79" s="2" t="s">
        <v>57</v>
      </c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</row>
    <row r="80" spans="1:23" s="18" customFormat="1" ht="20" hidden="1" customHeight="1" x14ac:dyDescent="0.3">
      <c r="A80" s="41"/>
      <c r="B80" s="44" t="s">
        <v>60</v>
      </c>
      <c r="C80" s="19" t="s">
        <v>114</v>
      </c>
      <c r="D80" s="19" t="s">
        <v>32</v>
      </c>
      <c r="E80" s="19">
        <v>16737.900000000001</v>
      </c>
      <c r="F80" s="19">
        <v>160</v>
      </c>
      <c r="G80" s="19">
        <v>14</v>
      </c>
      <c r="H80" s="21">
        <f t="shared" si="4"/>
        <v>294.31923359999996</v>
      </c>
      <c r="I80" s="19">
        <v>2</v>
      </c>
      <c r="J80" s="22">
        <f t="shared" si="5"/>
        <v>588.63846719999992</v>
      </c>
      <c r="K80" s="19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</row>
    <row r="81" spans="1:23" s="18" customFormat="1" ht="20" hidden="1" customHeight="1" x14ac:dyDescent="0.3">
      <c r="A81" s="41"/>
      <c r="B81" s="41"/>
      <c r="C81" s="19" t="s">
        <v>115</v>
      </c>
      <c r="D81" s="19" t="s">
        <v>32</v>
      </c>
      <c r="E81" s="19">
        <v>5087.1000000000004</v>
      </c>
      <c r="F81" s="19">
        <v>160</v>
      </c>
      <c r="G81" s="19">
        <v>14</v>
      </c>
      <c r="H81" s="21">
        <f t="shared" si="4"/>
        <v>89.451566400000004</v>
      </c>
      <c r="I81" s="19">
        <v>2</v>
      </c>
      <c r="J81" s="22">
        <f t="shared" si="5"/>
        <v>178.90313280000001</v>
      </c>
      <c r="K81" s="19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</row>
    <row r="82" spans="1:23" s="18" customFormat="1" ht="20" hidden="1" customHeight="1" x14ac:dyDescent="0.3">
      <c r="A82" s="41"/>
      <c r="B82" s="41"/>
      <c r="C82" s="19" t="s">
        <v>116</v>
      </c>
      <c r="D82" s="19" t="s">
        <v>32</v>
      </c>
      <c r="E82" s="19">
        <v>16000</v>
      </c>
      <c r="F82" s="19">
        <v>160</v>
      </c>
      <c r="G82" s="19">
        <v>14</v>
      </c>
      <c r="H82" s="21">
        <f t="shared" si="4"/>
        <v>281.34400000000005</v>
      </c>
      <c r="I82" s="19">
        <v>8</v>
      </c>
      <c r="J82" s="22">
        <f t="shared" si="5"/>
        <v>2250.7520000000004</v>
      </c>
      <c r="K82" s="19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</row>
    <row r="83" spans="1:23" s="18" customFormat="1" ht="20" customHeight="1" x14ac:dyDescent="0.3">
      <c r="A83" s="41"/>
      <c r="B83" s="39"/>
      <c r="C83" s="19" t="s">
        <v>117</v>
      </c>
      <c r="D83" s="19" t="s">
        <v>32</v>
      </c>
      <c r="E83" s="19">
        <v>16000</v>
      </c>
      <c r="F83" s="19">
        <v>220</v>
      </c>
      <c r="G83" s="19">
        <v>20</v>
      </c>
      <c r="H83" s="21">
        <f t="shared" si="4"/>
        <v>552.64</v>
      </c>
      <c r="I83" s="19">
        <v>3</v>
      </c>
      <c r="J83" s="22">
        <f t="shared" si="5"/>
        <v>1657.92</v>
      </c>
      <c r="K83" s="19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</row>
    <row r="84" spans="1:23" s="18" customFormat="1" ht="20" hidden="1" customHeight="1" x14ac:dyDescent="0.3">
      <c r="A84" s="39"/>
      <c r="B84" s="44" t="s">
        <v>65</v>
      </c>
      <c r="C84" s="38"/>
      <c r="D84" s="19"/>
      <c r="E84" s="19"/>
      <c r="F84" s="19"/>
      <c r="G84" s="19"/>
      <c r="H84" s="21"/>
      <c r="I84" s="19"/>
      <c r="J84" s="22">
        <f>SUM(J59:J83)</f>
        <v>141853.97644680002</v>
      </c>
      <c r="K84" s="1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</row>
    <row r="85" spans="1:23" s="18" customFormat="1" ht="20" customHeight="1" x14ac:dyDescent="0.3">
      <c r="A85" s="44" t="s">
        <v>118</v>
      </c>
      <c r="B85" s="44" t="s">
        <v>30</v>
      </c>
      <c r="C85" s="19" t="s">
        <v>119</v>
      </c>
      <c r="D85" s="19" t="s">
        <v>32</v>
      </c>
      <c r="E85" s="19">
        <v>13809.7</v>
      </c>
      <c r="F85" s="19">
        <v>600</v>
      </c>
      <c r="G85" s="19">
        <v>20</v>
      </c>
      <c r="H85" s="21">
        <f t="shared" ref="H85:H109" si="6">(E85/1000)*(F85/1000)*(G85/1000)*7850</f>
        <v>1300.87374</v>
      </c>
      <c r="I85" s="19">
        <v>2</v>
      </c>
      <c r="J85" s="22">
        <f t="shared" ref="J85:J109" si="7">H85*I85</f>
        <v>2601.74748</v>
      </c>
      <c r="K85" s="19"/>
      <c r="L85" s="44" t="str">
        <f>A85</f>
        <v>上层4#</v>
      </c>
      <c r="M85" s="43">
        <f>SUMIF(G85:G109,$M$3,J85:J109)</f>
        <v>1188.2915520000001</v>
      </c>
      <c r="N85" s="43">
        <f>SUMIF(G85:G109,$N$3,J85:J109)</f>
        <v>40671.981907200003</v>
      </c>
      <c r="O85" s="43">
        <f>SUMIF(G85:G109,$O$3,J85:J109)</f>
        <v>24927.626701776</v>
      </c>
      <c r="P85" s="43">
        <f>SUMIF(G85:G109,$P$3,J85:J109)</f>
        <v>46106.014159999992</v>
      </c>
      <c r="Q85" s="43">
        <f>SUMIF(G85:G109,$Q$3,J85:J109)</f>
        <v>22396.991999999998</v>
      </c>
      <c r="R85" s="43">
        <f>SUMIF(G85:G109,$R$3,J85:J109)</f>
        <v>0</v>
      </c>
      <c r="S85" s="43">
        <f>SUMIF(G85:G109,$S$3,J85:J109)</f>
        <v>6933.12</v>
      </c>
      <c r="T85" s="43">
        <f>SUM(M85:S110)</f>
        <v>142224.02632097597</v>
      </c>
      <c r="U85" s="43">
        <v>142224</v>
      </c>
      <c r="V85" s="43">
        <f>T85-U85</f>
        <v>2.6320975972339511E-2</v>
      </c>
      <c r="W85" s="44"/>
    </row>
    <row r="86" spans="1:23" s="18" customFormat="1" ht="20" customHeight="1" x14ac:dyDescent="0.3">
      <c r="A86" s="41"/>
      <c r="B86" s="41"/>
      <c r="C86" s="19" t="s">
        <v>120</v>
      </c>
      <c r="D86" s="19" t="s">
        <v>32</v>
      </c>
      <c r="E86" s="19">
        <v>10915.7</v>
      </c>
      <c r="F86" s="19">
        <v>600</v>
      </c>
      <c r="G86" s="19">
        <v>20</v>
      </c>
      <c r="H86" s="21">
        <f t="shared" si="6"/>
        <v>1028.2589399999999</v>
      </c>
      <c r="I86" s="19">
        <v>2</v>
      </c>
      <c r="J86" s="22">
        <f t="shared" si="7"/>
        <v>2056.5178799999999</v>
      </c>
      <c r="K86" s="19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 spans="1:23" s="18" customFormat="1" ht="20" hidden="1" customHeight="1" x14ac:dyDescent="0.3">
      <c r="A87" s="41"/>
      <c r="B87" s="41"/>
      <c r="C87" s="19" t="s">
        <v>121</v>
      </c>
      <c r="D87" s="19" t="s">
        <v>32</v>
      </c>
      <c r="E87" s="19">
        <v>16000</v>
      </c>
      <c r="F87" s="19">
        <v>600</v>
      </c>
      <c r="G87" s="19">
        <v>24</v>
      </c>
      <c r="H87" s="21">
        <f t="shared" si="6"/>
        <v>1808.6399999999999</v>
      </c>
      <c r="I87" s="19">
        <v>8</v>
      </c>
      <c r="J87" s="22">
        <f t="shared" si="7"/>
        <v>14469.119999999999</v>
      </c>
      <c r="K87" s="19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 spans="1:23" s="18" customFormat="1" ht="20" hidden="1" customHeight="1" x14ac:dyDescent="0.3">
      <c r="A88" s="41"/>
      <c r="B88" s="41"/>
      <c r="C88" s="19" t="s">
        <v>122</v>
      </c>
      <c r="D88" s="19" t="s">
        <v>32</v>
      </c>
      <c r="E88" s="19">
        <v>5100</v>
      </c>
      <c r="F88" s="19">
        <v>600</v>
      </c>
      <c r="G88" s="19">
        <v>40</v>
      </c>
      <c r="H88" s="21">
        <f t="shared" si="6"/>
        <v>960.8399999999998</v>
      </c>
      <c r="I88" s="19">
        <v>2</v>
      </c>
      <c r="J88" s="22">
        <f t="shared" si="7"/>
        <v>1921.6799999999996</v>
      </c>
      <c r="K88" s="19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</row>
    <row r="89" spans="1:23" s="18" customFormat="1" ht="20" hidden="1" customHeight="1" x14ac:dyDescent="0.3">
      <c r="A89" s="41"/>
      <c r="B89" s="41"/>
      <c r="C89" s="19" t="s">
        <v>123</v>
      </c>
      <c r="D89" s="19" t="s">
        <v>32</v>
      </c>
      <c r="E89" s="19">
        <v>7200</v>
      </c>
      <c r="F89" s="19">
        <v>800</v>
      </c>
      <c r="G89" s="19">
        <v>40</v>
      </c>
      <c r="H89" s="21">
        <f t="shared" si="6"/>
        <v>1808.64</v>
      </c>
      <c r="I89" s="19">
        <v>2</v>
      </c>
      <c r="J89" s="22">
        <f t="shared" si="7"/>
        <v>3617.28</v>
      </c>
      <c r="K89" s="19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</row>
    <row r="90" spans="1:23" s="18" customFormat="1" ht="20" hidden="1" customHeight="1" x14ac:dyDescent="0.3">
      <c r="A90" s="41"/>
      <c r="B90" s="39"/>
      <c r="C90" s="19" t="s">
        <v>124</v>
      </c>
      <c r="D90" s="19" t="s">
        <v>32</v>
      </c>
      <c r="E90" s="19">
        <v>3700</v>
      </c>
      <c r="F90" s="19">
        <v>600</v>
      </c>
      <c r="G90" s="19">
        <v>40</v>
      </c>
      <c r="H90" s="21">
        <f t="shared" si="6"/>
        <v>697.08</v>
      </c>
      <c r="I90" s="19">
        <v>2</v>
      </c>
      <c r="J90" s="22">
        <f t="shared" si="7"/>
        <v>1394.16</v>
      </c>
      <c r="K90" s="19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</row>
    <row r="91" spans="1:23" s="18" customFormat="1" ht="20" hidden="1" customHeight="1" x14ac:dyDescent="0.3">
      <c r="A91" s="41"/>
      <c r="B91" s="44" t="s">
        <v>39</v>
      </c>
      <c r="C91" s="19" t="s">
        <v>125</v>
      </c>
      <c r="D91" s="19" t="s">
        <v>32</v>
      </c>
      <c r="E91" s="19">
        <v>13809.7</v>
      </c>
      <c r="F91" s="19">
        <v>2641.7</v>
      </c>
      <c r="G91" s="19">
        <v>16</v>
      </c>
      <c r="H91" s="21">
        <f t="shared" si="6"/>
        <v>4582.0242119439999</v>
      </c>
      <c r="I91" s="19">
        <v>1</v>
      </c>
      <c r="J91" s="22">
        <f t="shared" si="7"/>
        <v>4582.0242119439999</v>
      </c>
      <c r="K91" s="19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</row>
    <row r="92" spans="1:23" s="18" customFormat="1" ht="20" hidden="1" customHeight="1" x14ac:dyDescent="0.3">
      <c r="A92" s="41"/>
      <c r="B92" s="41"/>
      <c r="C92" s="19" t="s">
        <v>126</v>
      </c>
      <c r="D92" s="19" t="s">
        <v>32</v>
      </c>
      <c r="E92" s="19">
        <v>13809.7</v>
      </c>
      <c r="F92" s="19">
        <v>2718.2</v>
      </c>
      <c r="G92" s="19">
        <v>16</v>
      </c>
      <c r="H92" s="21">
        <f t="shared" si="6"/>
        <v>4714.7133334240007</v>
      </c>
      <c r="I92" s="19">
        <v>1</v>
      </c>
      <c r="J92" s="22">
        <f t="shared" si="7"/>
        <v>4714.7133334240007</v>
      </c>
      <c r="K92" s="19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</row>
    <row r="93" spans="1:23" s="18" customFormat="1" ht="20" hidden="1" customHeight="1" x14ac:dyDescent="0.3">
      <c r="A93" s="41"/>
      <c r="B93" s="41"/>
      <c r="C93" s="19" t="s">
        <v>127</v>
      </c>
      <c r="D93" s="19" t="s">
        <v>32</v>
      </c>
      <c r="E93" s="19">
        <v>10915.7</v>
      </c>
      <c r="F93" s="19">
        <v>2641.7</v>
      </c>
      <c r="G93" s="19">
        <v>16</v>
      </c>
      <c r="H93" s="21">
        <f t="shared" si="6"/>
        <v>3621.8021890639998</v>
      </c>
      <c r="I93" s="19">
        <v>1</v>
      </c>
      <c r="J93" s="22">
        <f t="shared" si="7"/>
        <v>3621.8021890639998</v>
      </c>
      <c r="K93" s="19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</row>
    <row r="94" spans="1:23" s="18" customFormat="1" ht="20" hidden="1" customHeight="1" x14ac:dyDescent="0.3">
      <c r="A94" s="41"/>
      <c r="B94" s="41"/>
      <c r="C94" s="19" t="s">
        <v>128</v>
      </c>
      <c r="D94" s="19" t="s">
        <v>32</v>
      </c>
      <c r="E94" s="19">
        <v>10915.7</v>
      </c>
      <c r="F94" s="19">
        <v>2718.2</v>
      </c>
      <c r="G94" s="19">
        <v>16</v>
      </c>
      <c r="H94" s="21">
        <f t="shared" si="6"/>
        <v>3726.6846009440005</v>
      </c>
      <c r="I94" s="19">
        <v>1</v>
      </c>
      <c r="J94" s="22">
        <f t="shared" si="7"/>
        <v>3726.6846009440005</v>
      </c>
      <c r="K94" s="19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 spans="1:23" s="18" customFormat="1" ht="20" hidden="1" customHeight="1" x14ac:dyDescent="0.3">
      <c r="A95" s="41"/>
      <c r="B95" s="41"/>
      <c r="C95" s="19" t="s">
        <v>129</v>
      </c>
      <c r="D95" s="19" t="s">
        <v>32</v>
      </c>
      <c r="E95" s="19">
        <v>16000</v>
      </c>
      <c r="F95" s="19">
        <v>2637.7</v>
      </c>
      <c r="G95" s="19">
        <v>14</v>
      </c>
      <c r="H95" s="21">
        <f t="shared" si="6"/>
        <v>4638.1316799999995</v>
      </c>
      <c r="I95" s="19">
        <v>4</v>
      </c>
      <c r="J95" s="22">
        <f t="shared" si="7"/>
        <v>18552.526719999998</v>
      </c>
      <c r="K95" s="19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</row>
    <row r="96" spans="1:23" s="18" customFormat="1" ht="20" hidden="1" customHeight="1" x14ac:dyDescent="0.3">
      <c r="A96" s="41"/>
      <c r="B96" s="41"/>
      <c r="C96" s="19" t="s">
        <v>130</v>
      </c>
      <c r="D96" s="19" t="s">
        <v>32</v>
      </c>
      <c r="E96" s="19">
        <v>16000</v>
      </c>
      <c r="F96" s="19">
        <v>2714.2</v>
      </c>
      <c r="G96" s="19">
        <v>14</v>
      </c>
      <c r="H96" s="21">
        <f t="shared" si="6"/>
        <v>4772.6492799999996</v>
      </c>
      <c r="I96" s="19">
        <v>4</v>
      </c>
      <c r="J96" s="22">
        <f t="shared" si="7"/>
        <v>19090.597119999999</v>
      </c>
      <c r="K96" s="19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</row>
    <row r="97" spans="1:23" s="18" customFormat="1" ht="20" customHeight="1" x14ac:dyDescent="0.3">
      <c r="A97" s="41"/>
      <c r="B97" s="41"/>
      <c r="C97" s="19" t="s">
        <v>131</v>
      </c>
      <c r="D97" s="19" t="s">
        <v>32</v>
      </c>
      <c r="E97" s="19">
        <v>16000</v>
      </c>
      <c r="F97" s="19">
        <v>2621.7</v>
      </c>
      <c r="G97" s="19">
        <v>20</v>
      </c>
      <c r="H97" s="21">
        <f t="shared" si="6"/>
        <v>6585.710399999999</v>
      </c>
      <c r="I97" s="19">
        <v>1</v>
      </c>
      <c r="J97" s="22">
        <f t="shared" si="7"/>
        <v>6585.710399999999</v>
      </c>
      <c r="K97" s="19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</row>
    <row r="98" spans="1:23" s="18" customFormat="1" ht="20" customHeight="1" x14ac:dyDescent="0.3">
      <c r="A98" s="41"/>
      <c r="B98" s="39"/>
      <c r="C98" s="19" t="s">
        <v>132</v>
      </c>
      <c r="D98" s="19" t="s">
        <v>32</v>
      </c>
      <c r="E98" s="19">
        <v>16000</v>
      </c>
      <c r="F98" s="19">
        <v>2698.2</v>
      </c>
      <c r="G98" s="19">
        <v>20</v>
      </c>
      <c r="H98" s="21">
        <f t="shared" si="6"/>
        <v>6777.8783999999996</v>
      </c>
      <c r="I98" s="19">
        <v>1</v>
      </c>
      <c r="J98" s="22">
        <f t="shared" si="7"/>
        <v>6777.8783999999996</v>
      </c>
      <c r="K98" s="19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</row>
    <row r="99" spans="1:23" s="18" customFormat="1" ht="20" hidden="1" customHeight="1" x14ac:dyDescent="0.3">
      <c r="A99" s="41"/>
      <c r="B99" s="44" t="s">
        <v>50</v>
      </c>
      <c r="C99" s="19" t="s">
        <v>133</v>
      </c>
      <c r="D99" s="19" t="s">
        <v>32</v>
      </c>
      <c r="E99" s="19">
        <v>13059.7</v>
      </c>
      <c r="F99" s="19">
        <v>2630</v>
      </c>
      <c r="G99" s="19">
        <v>16</v>
      </c>
      <c r="H99" s="21">
        <f t="shared" si="6"/>
        <v>4313.9845816000006</v>
      </c>
      <c r="I99" s="19">
        <v>1</v>
      </c>
      <c r="J99" s="22">
        <f t="shared" si="7"/>
        <v>4313.9845816000006</v>
      </c>
      <c r="K99" s="19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 spans="1:23" s="18" customFormat="1" ht="20" hidden="1" customHeight="1" x14ac:dyDescent="0.3">
      <c r="A100" s="41"/>
      <c r="B100" s="41"/>
      <c r="C100" s="19" t="s">
        <v>134</v>
      </c>
      <c r="D100" s="19" t="s">
        <v>32</v>
      </c>
      <c r="E100" s="19">
        <v>10165.700000000001</v>
      </c>
      <c r="F100" s="19">
        <v>2630</v>
      </c>
      <c r="G100" s="19">
        <v>16</v>
      </c>
      <c r="H100" s="21">
        <f t="shared" si="6"/>
        <v>3358.0153496000003</v>
      </c>
      <c r="I100" s="19">
        <v>1</v>
      </c>
      <c r="J100" s="22">
        <f t="shared" si="7"/>
        <v>3358.0153496000003</v>
      </c>
      <c r="K100" s="19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</row>
    <row r="101" spans="1:23" s="18" customFormat="1" ht="20" customHeight="1" x14ac:dyDescent="0.3">
      <c r="A101" s="41"/>
      <c r="B101" s="41"/>
      <c r="C101" s="19" t="s">
        <v>135</v>
      </c>
      <c r="D101" s="19" t="s">
        <v>32</v>
      </c>
      <c r="E101" s="19">
        <v>16000</v>
      </c>
      <c r="F101" s="19">
        <v>2630</v>
      </c>
      <c r="G101" s="19">
        <v>20</v>
      </c>
      <c r="H101" s="21">
        <f t="shared" si="6"/>
        <v>6606.56</v>
      </c>
      <c r="I101" s="19">
        <v>4</v>
      </c>
      <c r="J101" s="22">
        <f t="shared" si="7"/>
        <v>26426.240000000002</v>
      </c>
      <c r="K101" s="19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</row>
    <row r="102" spans="1:23" s="18" customFormat="1" ht="20" hidden="1" customHeight="1" x14ac:dyDescent="0.3">
      <c r="A102" s="41"/>
      <c r="B102" s="39"/>
      <c r="C102" s="19" t="s">
        <v>136</v>
      </c>
      <c r="D102" s="19" t="s">
        <v>32</v>
      </c>
      <c r="E102" s="19">
        <v>16000</v>
      </c>
      <c r="F102" s="19">
        <v>2630</v>
      </c>
      <c r="G102" s="19">
        <v>24</v>
      </c>
      <c r="H102" s="21">
        <f t="shared" si="6"/>
        <v>7927.8719999999994</v>
      </c>
      <c r="I102" s="19">
        <v>1</v>
      </c>
      <c r="J102" s="22">
        <f t="shared" si="7"/>
        <v>7927.8719999999994</v>
      </c>
      <c r="K102" s="19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</row>
    <row r="103" spans="1:23" s="18" customFormat="1" ht="20" hidden="1" customHeight="1" x14ac:dyDescent="0.3">
      <c r="A103" s="41"/>
      <c r="B103" s="44" t="s">
        <v>55</v>
      </c>
      <c r="C103" s="19" t="s">
        <v>137</v>
      </c>
      <c r="D103" s="19" t="s">
        <v>32</v>
      </c>
      <c r="E103" s="24">
        <v>20056.400000000001</v>
      </c>
      <c r="F103" s="19">
        <v>140</v>
      </c>
      <c r="G103" s="19">
        <v>12</v>
      </c>
      <c r="H103" s="21">
        <f t="shared" si="6"/>
        <v>264.50380320000005</v>
      </c>
      <c r="I103" s="19">
        <v>1</v>
      </c>
      <c r="J103" s="22">
        <f t="shared" si="7"/>
        <v>264.50380320000005</v>
      </c>
      <c r="K103" s="2" t="s">
        <v>57</v>
      </c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</row>
    <row r="104" spans="1:23" s="18" customFormat="1" ht="20" hidden="1" customHeight="1" x14ac:dyDescent="0.3">
      <c r="A104" s="41"/>
      <c r="B104" s="41"/>
      <c r="C104" s="19" t="s">
        <v>138</v>
      </c>
      <c r="D104" s="19" t="s">
        <v>32</v>
      </c>
      <c r="E104" s="24">
        <v>70047.600000000006</v>
      </c>
      <c r="F104" s="19">
        <v>140</v>
      </c>
      <c r="G104" s="19">
        <v>12</v>
      </c>
      <c r="H104" s="21">
        <f t="shared" si="6"/>
        <v>923.78774880000014</v>
      </c>
      <c r="I104" s="19">
        <v>1</v>
      </c>
      <c r="J104" s="22">
        <f t="shared" si="7"/>
        <v>923.78774880000014</v>
      </c>
      <c r="K104" s="2" t="s">
        <v>57</v>
      </c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</row>
    <row r="105" spans="1:23" s="18" customFormat="1" ht="20" hidden="1" customHeight="1" x14ac:dyDescent="0.3">
      <c r="A105" s="41"/>
      <c r="B105" s="39"/>
      <c r="C105" s="19" t="s">
        <v>139</v>
      </c>
      <c r="D105" s="19" t="s">
        <v>32</v>
      </c>
      <c r="E105" s="24">
        <v>26999.4</v>
      </c>
      <c r="F105" s="19">
        <v>180</v>
      </c>
      <c r="G105" s="19">
        <v>16</v>
      </c>
      <c r="H105" s="21">
        <f t="shared" si="6"/>
        <v>610.40243520000001</v>
      </c>
      <c r="I105" s="19">
        <v>1</v>
      </c>
      <c r="J105" s="22">
        <f t="shared" si="7"/>
        <v>610.40243520000001</v>
      </c>
      <c r="K105" s="2" t="s">
        <v>57</v>
      </c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</row>
    <row r="106" spans="1:23" s="18" customFormat="1" ht="20" hidden="1" customHeight="1" x14ac:dyDescent="0.3">
      <c r="A106" s="41"/>
      <c r="B106" s="44" t="s">
        <v>60</v>
      </c>
      <c r="C106" s="19" t="s">
        <v>140</v>
      </c>
      <c r="D106" s="19" t="s">
        <v>32</v>
      </c>
      <c r="E106" s="19">
        <v>12509.7</v>
      </c>
      <c r="F106" s="19">
        <v>160</v>
      </c>
      <c r="G106" s="19">
        <v>14</v>
      </c>
      <c r="H106" s="21">
        <f t="shared" si="6"/>
        <v>219.97056480000003</v>
      </c>
      <c r="I106" s="19">
        <v>2</v>
      </c>
      <c r="J106" s="22">
        <f t="shared" si="7"/>
        <v>439.94112960000007</v>
      </c>
      <c r="K106" s="19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</row>
    <row r="107" spans="1:23" s="18" customFormat="1" ht="20" hidden="1" customHeight="1" x14ac:dyDescent="0.3">
      <c r="A107" s="41"/>
      <c r="B107" s="41"/>
      <c r="C107" s="19" t="s">
        <v>141</v>
      </c>
      <c r="D107" s="19" t="s">
        <v>32</v>
      </c>
      <c r="E107" s="19">
        <v>9615.7000000000007</v>
      </c>
      <c r="F107" s="19">
        <v>160</v>
      </c>
      <c r="G107" s="19">
        <v>14</v>
      </c>
      <c r="H107" s="21">
        <f t="shared" si="6"/>
        <v>169.08246880000002</v>
      </c>
      <c r="I107" s="19">
        <v>2</v>
      </c>
      <c r="J107" s="22">
        <f t="shared" si="7"/>
        <v>338.16493760000003</v>
      </c>
      <c r="K107" s="19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</row>
    <row r="108" spans="1:23" s="18" customFormat="1" ht="20" hidden="1" customHeight="1" x14ac:dyDescent="0.3">
      <c r="A108" s="41"/>
      <c r="B108" s="41"/>
      <c r="C108" s="19" t="s">
        <v>142</v>
      </c>
      <c r="D108" s="19" t="s">
        <v>32</v>
      </c>
      <c r="E108" s="19">
        <v>16000</v>
      </c>
      <c r="F108" s="19">
        <v>160</v>
      </c>
      <c r="G108" s="19">
        <v>14</v>
      </c>
      <c r="H108" s="21">
        <f t="shared" si="6"/>
        <v>281.34400000000005</v>
      </c>
      <c r="I108" s="19">
        <v>8</v>
      </c>
      <c r="J108" s="22">
        <f t="shared" si="7"/>
        <v>2250.7520000000004</v>
      </c>
      <c r="K108" s="19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</row>
    <row r="109" spans="1:23" s="18" customFormat="1" ht="20" customHeight="1" x14ac:dyDescent="0.3">
      <c r="A109" s="41"/>
      <c r="B109" s="39"/>
      <c r="C109" s="19" t="s">
        <v>143</v>
      </c>
      <c r="D109" s="19" t="s">
        <v>32</v>
      </c>
      <c r="E109" s="19">
        <v>16000</v>
      </c>
      <c r="F109" s="19">
        <v>220</v>
      </c>
      <c r="G109" s="19">
        <v>20</v>
      </c>
      <c r="H109" s="21">
        <f t="shared" si="6"/>
        <v>552.64</v>
      </c>
      <c r="I109" s="19">
        <v>3</v>
      </c>
      <c r="J109" s="22">
        <f t="shared" si="7"/>
        <v>1657.92</v>
      </c>
      <c r="K109" s="19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</row>
    <row r="110" spans="1:23" s="18" customFormat="1" ht="20" hidden="1" customHeight="1" x14ac:dyDescent="0.3">
      <c r="A110" s="39"/>
      <c r="B110" s="44" t="s">
        <v>65</v>
      </c>
      <c r="C110" s="38"/>
      <c r="D110" s="19"/>
      <c r="E110" s="19"/>
      <c r="F110" s="19"/>
      <c r="G110" s="19"/>
      <c r="H110" s="21"/>
      <c r="I110" s="19"/>
      <c r="J110" s="22">
        <f>SUM(J85:J109)</f>
        <v>142224.026320976</v>
      </c>
      <c r="K110" s="1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</row>
    <row r="111" spans="1:23" s="18" customFormat="1" ht="20" customHeight="1" x14ac:dyDescent="0.3">
      <c r="A111" s="44" t="s">
        <v>144</v>
      </c>
      <c r="B111" s="44" t="s">
        <v>30</v>
      </c>
      <c r="C111" s="19" t="s">
        <v>145</v>
      </c>
      <c r="D111" s="19" t="s">
        <v>32</v>
      </c>
      <c r="E111" s="19">
        <v>11072.4</v>
      </c>
      <c r="F111" s="19">
        <v>600</v>
      </c>
      <c r="G111" s="19">
        <v>20</v>
      </c>
      <c r="H111" s="21">
        <f t="shared" ref="H111:H135" si="8">(E111/1000)*(F111/1000)*(G111/1000)*7850</f>
        <v>1043.02008</v>
      </c>
      <c r="I111" s="19">
        <v>2</v>
      </c>
      <c r="J111" s="22">
        <f t="shared" ref="J111:J135" si="9">H111*I111</f>
        <v>2086.04016</v>
      </c>
      <c r="K111" s="19"/>
      <c r="L111" s="44" t="str">
        <f>A111</f>
        <v>上层5#</v>
      </c>
      <c r="M111" s="43">
        <f>SUMIF(G111:G135,$M$3,J111:J135)</f>
        <v>1191.2351136000002</v>
      </c>
      <c r="N111" s="43">
        <f>SUMIF(G111:G135,$N$3,J111:J135)</f>
        <v>40682.855852799999</v>
      </c>
      <c r="O111" s="43">
        <f>SUMIF(G111:G135,$O$3,J111:J135)</f>
        <v>25233.342763824003</v>
      </c>
      <c r="P111" s="43">
        <f>SUMIF(G111:G135,$P$3,J111:J135)</f>
        <v>46164.267439999996</v>
      </c>
      <c r="Q111" s="43">
        <f>SUMIF(G111:G135,$Q$3,J111:J135)</f>
        <v>22396.991999999998</v>
      </c>
      <c r="R111" s="43">
        <f>SUMIF(G111:G135,$R$3,J111:J135)</f>
        <v>0</v>
      </c>
      <c r="S111" s="43">
        <f>SUMIF(G111:G135,$S$3,J111:J135)</f>
        <v>6933.12</v>
      </c>
      <c r="T111" s="43">
        <f>SUM(M111:S136)</f>
        <v>142601.81317022399</v>
      </c>
      <c r="U111" s="43">
        <v>142601.79999999999</v>
      </c>
      <c r="V111" s="43">
        <f>T111-U111</f>
        <v>1.3170224003260955E-2</v>
      </c>
      <c r="W111" s="44"/>
    </row>
    <row r="112" spans="1:23" s="18" customFormat="1" ht="20" customHeight="1" x14ac:dyDescent="0.3">
      <c r="A112" s="41"/>
      <c r="B112" s="41"/>
      <c r="C112" s="19" t="s">
        <v>146</v>
      </c>
      <c r="D112" s="19" t="s">
        <v>32</v>
      </c>
      <c r="E112" s="19">
        <v>13962.2</v>
      </c>
      <c r="F112" s="19">
        <v>600</v>
      </c>
      <c r="G112" s="19">
        <v>20</v>
      </c>
      <c r="H112" s="21">
        <f t="shared" si="8"/>
        <v>1315.2392400000001</v>
      </c>
      <c r="I112" s="19">
        <v>2</v>
      </c>
      <c r="J112" s="22">
        <f t="shared" si="9"/>
        <v>2630.4784800000002</v>
      </c>
      <c r="K112" s="19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</row>
    <row r="113" spans="1:23" s="18" customFormat="1" ht="20" hidden="1" customHeight="1" x14ac:dyDescent="0.3">
      <c r="A113" s="41"/>
      <c r="B113" s="41"/>
      <c r="C113" s="19" t="s">
        <v>147</v>
      </c>
      <c r="D113" s="19" t="s">
        <v>32</v>
      </c>
      <c r="E113" s="19">
        <v>16000</v>
      </c>
      <c r="F113" s="19">
        <v>600</v>
      </c>
      <c r="G113" s="19">
        <v>24</v>
      </c>
      <c r="H113" s="21">
        <f t="shared" si="8"/>
        <v>1808.6399999999999</v>
      </c>
      <c r="I113" s="19">
        <v>8</v>
      </c>
      <c r="J113" s="22">
        <f t="shared" si="9"/>
        <v>14469.119999999999</v>
      </c>
      <c r="K113" s="19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</row>
    <row r="114" spans="1:23" s="18" customFormat="1" ht="20" hidden="1" customHeight="1" x14ac:dyDescent="0.3">
      <c r="A114" s="41"/>
      <c r="B114" s="41"/>
      <c r="C114" s="19" t="s">
        <v>148</v>
      </c>
      <c r="D114" s="19" t="s">
        <v>32</v>
      </c>
      <c r="E114" s="19">
        <v>3700</v>
      </c>
      <c r="F114" s="19">
        <v>600</v>
      </c>
      <c r="G114" s="19">
        <v>40</v>
      </c>
      <c r="H114" s="21">
        <f t="shared" si="8"/>
        <v>697.08</v>
      </c>
      <c r="I114" s="19">
        <v>2</v>
      </c>
      <c r="J114" s="22">
        <f t="shared" si="9"/>
        <v>1394.16</v>
      </c>
      <c r="K114" s="19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</row>
    <row r="115" spans="1:23" s="18" customFormat="1" ht="20" hidden="1" customHeight="1" x14ac:dyDescent="0.3">
      <c r="A115" s="41"/>
      <c r="B115" s="41"/>
      <c r="C115" s="19" t="s">
        <v>149</v>
      </c>
      <c r="D115" s="19" t="s">
        <v>32</v>
      </c>
      <c r="E115" s="19">
        <v>7200</v>
      </c>
      <c r="F115" s="19">
        <v>800</v>
      </c>
      <c r="G115" s="19">
        <v>40</v>
      </c>
      <c r="H115" s="21">
        <f t="shared" si="8"/>
        <v>1808.64</v>
      </c>
      <c r="I115" s="19">
        <v>2</v>
      </c>
      <c r="J115" s="22">
        <f t="shared" si="9"/>
        <v>3617.28</v>
      </c>
      <c r="K115" s="19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</row>
    <row r="116" spans="1:23" s="18" customFormat="1" ht="20" hidden="1" customHeight="1" x14ac:dyDescent="0.3">
      <c r="A116" s="41"/>
      <c r="B116" s="39"/>
      <c r="C116" s="19" t="s">
        <v>150</v>
      </c>
      <c r="D116" s="19" t="s">
        <v>32</v>
      </c>
      <c r="E116" s="19">
        <v>5100</v>
      </c>
      <c r="F116" s="19">
        <v>600</v>
      </c>
      <c r="G116" s="19">
        <v>40</v>
      </c>
      <c r="H116" s="21">
        <f t="shared" si="8"/>
        <v>960.8399999999998</v>
      </c>
      <c r="I116" s="19">
        <v>2</v>
      </c>
      <c r="J116" s="22">
        <f t="shared" si="9"/>
        <v>1921.6799999999996</v>
      </c>
      <c r="K116" s="19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</row>
    <row r="117" spans="1:23" s="18" customFormat="1" ht="20" hidden="1" customHeight="1" x14ac:dyDescent="0.3">
      <c r="A117" s="41"/>
      <c r="B117" s="44" t="s">
        <v>39</v>
      </c>
      <c r="C117" s="19" t="s">
        <v>151</v>
      </c>
      <c r="D117" s="19" t="s">
        <v>32</v>
      </c>
      <c r="E117" s="19">
        <v>11072.4</v>
      </c>
      <c r="F117" s="19">
        <v>2641.7</v>
      </c>
      <c r="G117" s="19">
        <v>16</v>
      </c>
      <c r="H117" s="21">
        <f t="shared" si="8"/>
        <v>3673.7948604479998</v>
      </c>
      <c r="I117" s="19">
        <v>1</v>
      </c>
      <c r="J117" s="22">
        <f t="shared" si="9"/>
        <v>3673.7948604479998</v>
      </c>
      <c r="K117" s="19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</row>
    <row r="118" spans="1:23" s="18" customFormat="1" ht="20" hidden="1" customHeight="1" x14ac:dyDescent="0.3">
      <c r="A118" s="41"/>
      <c r="B118" s="41"/>
      <c r="C118" s="19" t="s">
        <v>152</v>
      </c>
      <c r="D118" s="19" t="s">
        <v>32</v>
      </c>
      <c r="E118" s="19">
        <v>11072.4</v>
      </c>
      <c r="F118" s="19">
        <v>2718.2</v>
      </c>
      <c r="G118" s="19">
        <v>16</v>
      </c>
      <c r="H118" s="21">
        <f t="shared" si="8"/>
        <v>3780.1829086080002</v>
      </c>
      <c r="I118" s="19">
        <v>1</v>
      </c>
      <c r="J118" s="22">
        <f t="shared" si="9"/>
        <v>3780.1829086080002</v>
      </c>
      <c r="K118" s="19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</row>
    <row r="119" spans="1:23" s="18" customFormat="1" ht="20" hidden="1" customHeight="1" x14ac:dyDescent="0.3">
      <c r="A119" s="41"/>
      <c r="B119" s="41"/>
      <c r="C119" s="19" t="s">
        <v>153</v>
      </c>
      <c r="D119" s="19" t="s">
        <v>32</v>
      </c>
      <c r="E119" s="19">
        <v>13962.2</v>
      </c>
      <c r="F119" s="19">
        <v>2641.7</v>
      </c>
      <c r="G119" s="19">
        <v>16</v>
      </c>
      <c r="H119" s="21">
        <f t="shared" si="8"/>
        <v>4632.6233337439999</v>
      </c>
      <c r="I119" s="19">
        <v>1</v>
      </c>
      <c r="J119" s="22">
        <f t="shared" si="9"/>
        <v>4632.6233337439999</v>
      </c>
      <c r="K119" s="19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</row>
    <row r="120" spans="1:23" s="18" customFormat="1" ht="20" hidden="1" customHeight="1" x14ac:dyDescent="0.3">
      <c r="A120" s="41"/>
      <c r="B120" s="41"/>
      <c r="C120" s="19" t="s">
        <v>154</v>
      </c>
      <c r="D120" s="19" t="s">
        <v>32</v>
      </c>
      <c r="E120" s="19">
        <v>13962.2</v>
      </c>
      <c r="F120" s="19">
        <v>2718.2</v>
      </c>
      <c r="G120" s="19">
        <v>16</v>
      </c>
      <c r="H120" s="21">
        <f t="shared" si="8"/>
        <v>4766.7777362240004</v>
      </c>
      <c r="I120" s="19">
        <v>1</v>
      </c>
      <c r="J120" s="22">
        <f t="shared" si="9"/>
        <v>4766.7777362240004</v>
      </c>
      <c r="K120" s="19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</row>
    <row r="121" spans="1:23" s="18" customFormat="1" ht="20" hidden="1" customHeight="1" x14ac:dyDescent="0.3">
      <c r="A121" s="41"/>
      <c r="B121" s="41"/>
      <c r="C121" s="19" t="s">
        <v>155</v>
      </c>
      <c r="D121" s="19" t="s">
        <v>32</v>
      </c>
      <c r="E121" s="19">
        <v>16000</v>
      </c>
      <c r="F121" s="19">
        <v>2637.7</v>
      </c>
      <c r="G121" s="19">
        <v>14</v>
      </c>
      <c r="H121" s="21">
        <f t="shared" si="8"/>
        <v>4638.1316799999995</v>
      </c>
      <c r="I121" s="19">
        <v>4</v>
      </c>
      <c r="J121" s="22">
        <f t="shared" si="9"/>
        <v>18552.526719999998</v>
      </c>
      <c r="K121" s="19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</row>
    <row r="122" spans="1:23" s="18" customFormat="1" ht="20" hidden="1" customHeight="1" x14ac:dyDescent="0.3">
      <c r="A122" s="41"/>
      <c r="B122" s="41"/>
      <c r="C122" s="19" t="s">
        <v>156</v>
      </c>
      <c r="D122" s="19" t="s">
        <v>32</v>
      </c>
      <c r="E122" s="19">
        <v>16000</v>
      </c>
      <c r="F122" s="19">
        <v>2714.2</v>
      </c>
      <c r="G122" s="19">
        <v>14</v>
      </c>
      <c r="H122" s="21">
        <f t="shared" si="8"/>
        <v>4772.6492799999996</v>
      </c>
      <c r="I122" s="19">
        <v>4</v>
      </c>
      <c r="J122" s="22">
        <f t="shared" si="9"/>
        <v>19090.597119999999</v>
      </c>
      <c r="K122" s="19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</row>
    <row r="123" spans="1:23" s="18" customFormat="1" ht="20" customHeight="1" x14ac:dyDescent="0.3">
      <c r="A123" s="41"/>
      <c r="B123" s="41"/>
      <c r="C123" s="19" t="s">
        <v>157</v>
      </c>
      <c r="D123" s="19" t="s">
        <v>32</v>
      </c>
      <c r="E123" s="19">
        <v>16000</v>
      </c>
      <c r="F123" s="19">
        <v>2621.7</v>
      </c>
      <c r="G123" s="19">
        <v>20</v>
      </c>
      <c r="H123" s="21">
        <f t="shared" si="8"/>
        <v>6585.710399999999</v>
      </c>
      <c r="I123" s="19">
        <v>1</v>
      </c>
      <c r="J123" s="22">
        <f t="shared" si="9"/>
        <v>6585.710399999999</v>
      </c>
      <c r="K123" s="19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</row>
    <row r="124" spans="1:23" s="18" customFormat="1" ht="20" customHeight="1" x14ac:dyDescent="0.3">
      <c r="A124" s="41"/>
      <c r="B124" s="39"/>
      <c r="C124" s="19" t="s">
        <v>158</v>
      </c>
      <c r="D124" s="19" t="s">
        <v>32</v>
      </c>
      <c r="E124" s="19">
        <v>16000</v>
      </c>
      <c r="F124" s="19">
        <v>2698.2</v>
      </c>
      <c r="G124" s="19">
        <v>20</v>
      </c>
      <c r="H124" s="21">
        <f t="shared" si="8"/>
        <v>6777.8783999999996</v>
      </c>
      <c r="I124" s="19">
        <v>1</v>
      </c>
      <c r="J124" s="22">
        <f t="shared" si="9"/>
        <v>6777.8783999999996</v>
      </c>
      <c r="K124" s="19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</row>
    <row r="125" spans="1:23" s="18" customFormat="1" ht="20" hidden="1" customHeight="1" x14ac:dyDescent="0.3">
      <c r="A125" s="41"/>
      <c r="B125" s="44" t="s">
        <v>50</v>
      </c>
      <c r="C125" s="19" t="s">
        <v>159</v>
      </c>
      <c r="D125" s="19" t="s">
        <v>32</v>
      </c>
      <c r="E125" s="19">
        <v>10322.4</v>
      </c>
      <c r="F125" s="19">
        <v>2630</v>
      </c>
      <c r="G125" s="19">
        <v>16</v>
      </c>
      <c r="H125" s="21">
        <f t="shared" si="8"/>
        <v>3409.7777471999998</v>
      </c>
      <c r="I125" s="19">
        <v>1</v>
      </c>
      <c r="J125" s="22">
        <f t="shared" si="9"/>
        <v>3409.7777471999998</v>
      </c>
      <c r="K125" s="19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</row>
    <row r="126" spans="1:23" s="18" customFormat="1" ht="20" hidden="1" customHeight="1" x14ac:dyDescent="0.3">
      <c r="A126" s="41"/>
      <c r="B126" s="41"/>
      <c r="C126" s="19" t="s">
        <v>160</v>
      </c>
      <c r="D126" s="19" t="s">
        <v>32</v>
      </c>
      <c r="E126" s="19">
        <v>13212.2</v>
      </c>
      <c r="F126" s="19">
        <v>2630</v>
      </c>
      <c r="G126" s="19">
        <v>16</v>
      </c>
      <c r="H126" s="21">
        <f t="shared" si="8"/>
        <v>4364.3596016000001</v>
      </c>
      <c r="I126" s="19">
        <v>1</v>
      </c>
      <c r="J126" s="22">
        <f t="shared" si="9"/>
        <v>4364.3596016000001</v>
      </c>
      <c r="K126" s="19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</row>
    <row r="127" spans="1:23" s="18" customFormat="1" ht="20" customHeight="1" x14ac:dyDescent="0.3">
      <c r="A127" s="41"/>
      <c r="B127" s="41"/>
      <c r="C127" s="19" t="s">
        <v>161</v>
      </c>
      <c r="D127" s="19" t="s">
        <v>32</v>
      </c>
      <c r="E127" s="19">
        <v>16000</v>
      </c>
      <c r="F127" s="19">
        <v>2630</v>
      </c>
      <c r="G127" s="19">
        <v>20</v>
      </c>
      <c r="H127" s="21">
        <f t="shared" si="8"/>
        <v>6606.56</v>
      </c>
      <c r="I127" s="19">
        <v>4</v>
      </c>
      <c r="J127" s="22">
        <f t="shared" si="9"/>
        <v>26426.240000000002</v>
      </c>
      <c r="K127" s="19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</row>
    <row r="128" spans="1:23" s="18" customFormat="1" ht="20" hidden="1" customHeight="1" x14ac:dyDescent="0.3">
      <c r="A128" s="41"/>
      <c r="B128" s="39"/>
      <c r="C128" s="19" t="s">
        <v>162</v>
      </c>
      <c r="D128" s="19" t="s">
        <v>32</v>
      </c>
      <c r="E128" s="19">
        <v>16000</v>
      </c>
      <c r="F128" s="19">
        <v>2630</v>
      </c>
      <c r="G128" s="19">
        <v>24</v>
      </c>
      <c r="H128" s="21">
        <f t="shared" si="8"/>
        <v>7927.8719999999994</v>
      </c>
      <c r="I128" s="19">
        <v>1</v>
      </c>
      <c r="J128" s="22">
        <f t="shared" si="9"/>
        <v>7927.8719999999994</v>
      </c>
      <c r="K128" s="19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</row>
    <row r="129" spans="1:23" s="18" customFormat="1" ht="20" hidden="1" customHeight="1" x14ac:dyDescent="0.3">
      <c r="A129" s="41"/>
      <c r="B129" s="44" t="s">
        <v>55</v>
      </c>
      <c r="C129" s="19" t="s">
        <v>163</v>
      </c>
      <c r="D129" s="19" t="s">
        <v>32</v>
      </c>
      <c r="E129" s="24">
        <v>19213.8</v>
      </c>
      <c r="F129" s="19">
        <v>140</v>
      </c>
      <c r="G129" s="19">
        <v>12</v>
      </c>
      <c r="H129" s="21">
        <f t="shared" si="8"/>
        <v>253.39159440000003</v>
      </c>
      <c r="I129" s="19">
        <v>1</v>
      </c>
      <c r="J129" s="22">
        <f t="shared" si="9"/>
        <v>253.39159440000003</v>
      </c>
      <c r="K129" s="2" t="s">
        <v>57</v>
      </c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</row>
    <row r="130" spans="1:23" s="18" customFormat="1" ht="20" hidden="1" customHeight="1" x14ac:dyDescent="0.3">
      <c r="A130" s="41"/>
      <c r="B130" s="41"/>
      <c r="C130" s="19" t="s">
        <v>164</v>
      </c>
      <c r="D130" s="19" t="s">
        <v>32</v>
      </c>
      <c r="E130" s="24">
        <v>71113.399999999994</v>
      </c>
      <c r="F130" s="19">
        <v>140</v>
      </c>
      <c r="G130" s="19">
        <v>12</v>
      </c>
      <c r="H130" s="21">
        <f t="shared" si="8"/>
        <v>937.84351920000006</v>
      </c>
      <c r="I130" s="19">
        <v>1</v>
      </c>
      <c r="J130" s="22">
        <f t="shared" si="9"/>
        <v>937.84351920000006</v>
      </c>
      <c r="K130" s="2" t="s">
        <v>57</v>
      </c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</row>
    <row r="131" spans="1:23" s="18" customFormat="1" ht="20" hidden="1" customHeight="1" x14ac:dyDescent="0.3">
      <c r="A131" s="41"/>
      <c r="B131" s="39"/>
      <c r="C131" s="19" t="s">
        <v>165</v>
      </c>
      <c r="D131" s="19" t="s">
        <v>32</v>
      </c>
      <c r="E131" s="24">
        <v>26797</v>
      </c>
      <c r="F131" s="19">
        <v>180</v>
      </c>
      <c r="G131" s="19">
        <v>16</v>
      </c>
      <c r="H131" s="21">
        <f t="shared" si="8"/>
        <v>605.82657599999993</v>
      </c>
      <c r="I131" s="19">
        <v>1</v>
      </c>
      <c r="J131" s="22">
        <f t="shared" si="9"/>
        <v>605.82657599999993</v>
      </c>
      <c r="K131" s="2" t="s">
        <v>57</v>
      </c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</row>
    <row r="132" spans="1:23" s="18" customFormat="1" ht="20" hidden="1" customHeight="1" x14ac:dyDescent="0.3">
      <c r="A132" s="41"/>
      <c r="B132" s="44" t="s">
        <v>60</v>
      </c>
      <c r="C132" s="19" t="s">
        <v>166</v>
      </c>
      <c r="D132" s="19" t="s">
        <v>32</v>
      </c>
      <c r="E132" s="19">
        <v>9772.4</v>
      </c>
      <c r="F132" s="19">
        <v>160</v>
      </c>
      <c r="G132" s="19">
        <v>14</v>
      </c>
      <c r="H132" s="21">
        <f t="shared" si="8"/>
        <v>171.83788159999997</v>
      </c>
      <c r="I132" s="19">
        <v>2</v>
      </c>
      <c r="J132" s="22">
        <f t="shared" si="9"/>
        <v>343.67576319999995</v>
      </c>
      <c r="K132" s="19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</row>
    <row r="133" spans="1:23" s="18" customFormat="1" ht="20" hidden="1" customHeight="1" x14ac:dyDescent="0.3">
      <c r="A133" s="41"/>
      <c r="B133" s="41"/>
      <c r="C133" s="19" t="s">
        <v>167</v>
      </c>
      <c r="D133" s="19" t="s">
        <v>32</v>
      </c>
      <c r="E133" s="19">
        <v>12662.2</v>
      </c>
      <c r="F133" s="19">
        <v>160</v>
      </c>
      <c r="G133" s="19">
        <v>14</v>
      </c>
      <c r="H133" s="21">
        <f t="shared" si="8"/>
        <v>222.65212480000002</v>
      </c>
      <c r="I133" s="19">
        <v>2</v>
      </c>
      <c r="J133" s="22">
        <f t="shared" si="9"/>
        <v>445.30424960000005</v>
      </c>
      <c r="K133" s="19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</row>
    <row r="134" spans="1:23" s="18" customFormat="1" ht="20" hidden="1" customHeight="1" x14ac:dyDescent="0.3">
      <c r="A134" s="41"/>
      <c r="B134" s="41"/>
      <c r="C134" s="19" t="s">
        <v>168</v>
      </c>
      <c r="D134" s="19" t="s">
        <v>32</v>
      </c>
      <c r="E134" s="19">
        <v>16000</v>
      </c>
      <c r="F134" s="19">
        <v>160</v>
      </c>
      <c r="G134" s="19">
        <v>14</v>
      </c>
      <c r="H134" s="21">
        <f t="shared" si="8"/>
        <v>281.34400000000005</v>
      </c>
      <c r="I134" s="19">
        <v>8</v>
      </c>
      <c r="J134" s="22">
        <f t="shared" si="9"/>
        <v>2250.7520000000004</v>
      </c>
      <c r="K134" s="19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</row>
    <row r="135" spans="1:23" s="18" customFormat="1" ht="20" customHeight="1" x14ac:dyDescent="0.3">
      <c r="A135" s="41"/>
      <c r="B135" s="39"/>
      <c r="C135" s="19" t="s">
        <v>169</v>
      </c>
      <c r="D135" s="19" t="s">
        <v>32</v>
      </c>
      <c r="E135" s="19">
        <v>16000</v>
      </c>
      <c r="F135" s="19">
        <v>220</v>
      </c>
      <c r="G135" s="19">
        <v>20</v>
      </c>
      <c r="H135" s="21">
        <f t="shared" si="8"/>
        <v>552.64</v>
      </c>
      <c r="I135" s="19">
        <v>3</v>
      </c>
      <c r="J135" s="22">
        <f t="shared" si="9"/>
        <v>1657.92</v>
      </c>
      <c r="K135" s="19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</row>
    <row r="136" spans="1:23" s="18" customFormat="1" ht="20" hidden="1" customHeight="1" x14ac:dyDescent="0.3">
      <c r="A136" s="39"/>
      <c r="B136" s="44" t="s">
        <v>65</v>
      </c>
      <c r="C136" s="38"/>
      <c r="D136" s="19"/>
      <c r="E136" s="19"/>
      <c r="F136" s="19"/>
      <c r="G136" s="19"/>
      <c r="H136" s="21"/>
      <c r="I136" s="19"/>
      <c r="J136" s="22">
        <f>SUM(J111:J135)</f>
        <v>142601.81317022399</v>
      </c>
      <c r="K136" s="1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</row>
    <row r="137" spans="1:23" s="18" customFormat="1" ht="20" customHeight="1" x14ac:dyDescent="0.3">
      <c r="A137" s="44" t="s">
        <v>170</v>
      </c>
      <c r="B137" s="44" t="s">
        <v>30</v>
      </c>
      <c r="C137" s="19" t="s">
        <v>171</v>
      </c>
      <c r="D137" s="19" t="s">
        <v>32</v>
      </c>
      <c r="E137" s="19">
        <v>6860.1</v>
      </c>
      <c r="F137" s="19">
        <v>600</v>
      </c>
      <c r="G137" s="19">
        <v>20</v>
      </c>
      <c r="H137" s="21">
        <f t="shared" ref="H137:H161" si="10">(E137/1000)*(F137/1000)*(G137/1000)*7850</f>
        <v>646.22141999999997</v>
      </c>
      <c r="I137" s="19">
        <v>2</v>
      </c>
      <c r="J137" s="22">
        <f t="shared" ref="J137:J161" si="11">H137*I137</f>
        <v>1292.4428399999999</v>
      </c>
      <c r="K137" s="19"/>
      <c r="L137" s="44" t="str">
        <f>A137</f>
        <v>上层6#</v>
      </c>
      <c r="M137" s="43">
        <f>SUMIF(G137:G161,$M$3,J137:J161)</f>
        <v>1208.8265868000003</v>
      </c>
      <c r="N137" s="43">
        <f>SUMIF(G137:G161,$N$3,J137:J161)</f>
        <v>40693.420320000005</v>
      </c>
      <c r="O137" s="43">
        <f>SUMIF(G137:G161,$O$3,J137:J161)</f>
        <v>25495.316475599997</v>
      </c>
      <c r="P137" s="43">
        <f>SUMIF(G137:G161,$P$3,J137:J161)</f>
        <v>46220.862800000003</v>
      </c>
      <c r="Q137" s="43">
        <f>SUMIF(G137:G161,$Q$3,J137:J161)</f>
        <v>22396.991999999998</v>
      </c>
      <c r="R137" s="43">
        <f>SUMIF(G137:G161,$R$3,J137:J161)</f>
        <v>0</v>
      </c>
      <c r="S137" s="43">
        <f>SUMIF(G137:G161,$S$3,J137:J161)</f>
        <v>6933.12</v>
      </c>
      <c r="T137" s="43">
        <f>SUM(M137:S162)</f>
        <v>142948.53818239999</v>
      </c>
      <c r="U137" s="43">
        <v>142948.6</v>
      </c>
      <c r="V137" s="43">
        <f>T137-U137</f>
        <v>-6.1817600013455376E-2</v>
      </c>
      <c r="W137" s="44"/>
    </row>
    <row r="138" spans="1:23" s="18" customFormat="1" ht="20" customHeight="1" x14ac:dyDescent="0.3">
      <c r="A138" s="41"/>
      <c r="B138" s="41"/>
      <c r="C138" s="19" t="s">
        <v>172</v>
      </c>
      <c r="D138" s="19" t="s">
        <v>32</v>
      </c>
      <c r="E138" s="19">
        <v>18474.900000000001</v>
      </c>
      <c r="F138" s="19">
        <v>600</v>
      </c>
      <c r="G138" s="19">
        <v>20</v>
      </c>
      <c r="H138" s="21">
        <f t="shared" si="10"/>
        <v>1740.3355800000002</v>
      </c>
      <c r="I138" s="19">
        <v>2</v>
      </c>
      <c r="J138" s="22">
        <f t="shared" si="11"/>
        <v>3480.6711600000003</v>
      </c>
      <c r="K138" s="19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</row>
    <row r="139" spans="1:23" s="18" customFormat="1" ht="20" hidden="1" customHeight="1" x14ac:dyDescent="0.3">
      <c r="A139" s="41"/>
      <c r="B139" s="41"/>
      <c r="C139" s="19" t="s">
        <v>173</v>
      </c>
      <c r="D139" s="19" t="s">
        <v>32</v>
      </c>
      <c r="E139" s="19">
        <v>16000</v>
      </c>
      <c r="F139" s="19">
        <v>600</v>
      </c>
      <c r="G139" s="19">
        <v>24</v>
      </c>
      <c r="H139" s="21">
        <f t="shared" si="10"/>
        <v>1808.6399999999999</v>
      </c>
      <c r="I139" s="19">
        <v>8</v>
      </c>
      <c r="J139" s="22">
        <f t="shared" si="11"/>
        <v>14469.119999999999</v>
      </c>
      <c r="K139" s="19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</row>
    <row r="140" spans="1:23" s="18" customFormat="1" ht="20" hidden="1" customHeight="1" x14ac:dyDescent="0.3">
      <c r="A140" s="41"/>
      <c r="B140" s="41"/>
      <c r="C140" s="19" t="s">
        <v>174</v>
      </c>
      <c r="D140" s="19" t="s">
        <v>32</v>
      </c>
      <c r="E140" s="19">
        <v>3900</v>
      </c>
      <c r="F140" s="19">
        <v>600</v>
      </c>
      <c r="G140" s="19">
        <v>40</v>
      </c>
      <c r="H140" s="21">
        <f t="shared" si="10"/>
        <v>734.76</v>
      </c>
      <c r="I140" s="19">
        <v>2</v>
      </c>
      <c r="J140" s="22">
        <f t="shared" si="11"/>
        <v>1469.52</v>
      </c>
      <c r="K140" s="19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</row>
    <row r="141" spans="1:23" s="18" customFormat="1" ht="20" hidden="1" customHeight="1" x14ac:dyDescent="0.3">
      <c r="A141" s="41"/>
      <c r="B141" s="41"/>
      <c r="C141" s="19" t="s">
        <v>175</v>
      </c>
      <c r="D141" s="19" t="s">
        <v>32</v>
      </c>
      <c r="E141" s="19">
        <v>7200</v>
      </c>
      <c r="F141" s="19">
        <v>800</v>
      </c>
      <c r="G141" s="19">
        <v>40</v>
      </c>
      <c r="H141" s="21">
        <f t="shared" si="10"/>
        <v>1808.64</v>
      </c>
      <c r="I141" s="19">
        <v>2</v>
      </c>
      <c r="J141" s="22">
        <f t="shared" si="11"/>
        <v>3617.28</v>
      </c>
      <c r="K141" s="19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</row>
    <row r="142" spans="1:23" s="18" customFormat="1" ht="20" hidden="1" customHeight="1" x14ac:dyDescent="0.3">
      <c r="A142" s="41"/>
      <c r="B142" s="39"/>
      <c r="C142" s="19" t="s">
        <v>176</v>
      </c>
      <c r="D142" s="19" t="s">
        <v>32</v>
      </c>
      <c r="E142" s="19">
        <v>4900</v>
      </c>
      <c r="F142" s="19">
        <v>600</v>
      </c>
      <c r="G142" s="19">
        <v>40</v>
      </c>
      <c r="H142" s="21">
        <f t="shared" si="10"/>
        <v>923.16</v>
      </c>
      <c r="I142" s="19">
        <v>2</v>
      </c>
      <c r="J142" s="22">
        <f t="shared" si="11"/>
        <v>1846.32</v>
      </c>
      <c r="K142" s="19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</row>
    <row r="143" spans="1:23" s="18" customFormat="1" ht="20" hidden="1" customHeight="1" x14ac:dyDescent="0.3">
      <c r="A143" s="41"/>
      <c r="B143" s="44" t="s">
        <v>39</v>
      </c>
      <c r="C143" s="19" t="s">
        <v>177</v>
      </c>
      <c r="D143" s="19" t="s">
        <v>32</v>
      </c>
      <c r="E143" s="19">
        <v>6860.1</v>
      </c>
      <c r="F143" s="19">
        <v>2641.7</v>
      </c>
      <c r="G143" s="19">
        <v>16</v>
      </c>
      <c r="H143" s="21">
        <f t="shared" si="10"/>
        <v>2276.1641669519995</v>
      </c>
      <c r="I143" s="19">
        <v>1</v>
      </c>
      <c r="J143" s="22">
        <f t="shared" si="11"/>
        <v>2276.1641669519995</v>
      </c>
      <c r="K143" s="19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</row>
    <row r="144" spans="1:23" s="18" customFormat="1" ht="20" hidden="1" customHeight="1" x14ac:dyDescent="0.3">
      <c r="A144" s="41"/>
      <c r="B144" s="41"/>
      <c r="C144" s="19" t="s">
        <v>178</v>
      </c>
      <c r="D144" s="19" t="s">
        <v>32</v>
      </c>
      <c r="E144" s="19">
        <v>6860.1</v>
      </c>
      <c r="F144" s="19">
        <v>2718.2</v>
      </c>
      <c r="G144" s="19">
        <v>16</v>
      </c>
      <c r="H144" s="21">
        <f t="shared" si="10"/>
        <v>2342.0787517919998</v>
      </c>
      <c r="I144" s="19">
        <v>1</v>
      </c>
      <c r="J144" s="22">
        <f t="shared" si="11"/>
        <v>2342.0787517919998</v>
      </c>
      <c r="K144" s="19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</row>
    <row r="145" spans="1:23" s="18" customFormat="1" ht="20" hidden="1" customHeight="1" x14ac:dyDescent="0.3">
      <c r="A145" s="41"/>
      <c r="B145" s="41"/>
      <c r="C145" s="19" t="s">
        <v>179</v>
      </c>
      <c r="D145" s="19" t="s">
        <v>32</v>
      </c>
      <c r="E145" s="19">
        <v>18474.900000000001</v>
      </c>
      <c r="F145" s="19">
        <v>2641.7</v>
      </c>
      <c r="G145" s="19">
        <v>16</v>
      </c>
      <c r="H145" s="21">
        <f t="shared" si="10"/>
        <v>6129.9260022480003</v>
      </c>
      <c r="I145" s="19">
        <v>1</v>
      </c>
      <c r="J145" s="22">
        <f t="shared" si="11"/>
        <v>6129.9260022480003</v>
      </c>
      <c r="K145" s="19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</row>
    <row r="146" spans="1:23" s="18" customFormat="1" ht="20" hidden="1" customHeight="1" x14ac:dyDescent="0.3">
      <c r="A146" s="41"/>
      <c r="B146" s="41"/>
      <c r="C146" s="19" t="s">
        <v>180</v>
      </c>
      <c r="D146" s="19" t="s">
        <v>32</v>
      </c>
      <c r="E146" s="19">
        <v>18474.900000000001</v>
      </c>
      <c r="F146" s="19">
        <v>2718.2</v>
      </c>
      <c r="G146" s="19">
        <v>16</v>
      </c>
      <c r="H146" s="21">
        <f t="shared" si="10"/>
        <v>6307.4402314080007</v>
      </c>
      <c r="I146" s="19">
        <v>1</v>
      </c>
      <c r="J146" s="22">
        <f t="shared" si="11"/>
        <v>6307.4402314080007</v>
      </c>
      <c r="K146" s="19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</row>
    <row r="147" spans="1:23" s="18" customFormat="1" ht="20" hidden="1" customHeight="1" x14ac:dyDescent="0.3">
      <c r="A147" s="41"/>
      <c r="B147" s="41"/>
      <c r="C147" s="19" t="s">
        <v>181</v>
      </c>
      <c r="D147" s="19" t="s">
        <v>32</v>
      </c>
      <c r="E147" s="19">
        <v>16000</v>
      </c>
      <c r="F147" s="19">
        <v>2637.7</v>
      </c>
      <c r="G147" s="19">
        <v>14</v>
      </c>
      <c r="H147" s="21">
        <f t="shared" si="10"/>
        <v>4638.1316799999995</v>
      </c>
      <c r="I147" s="19">
        <v>4</v>
      </c>
      <c r="J147" s="22">
        <f t="shared" si="11"/>
        <v>18552.526719999998</v>
      </c>
      <c r="K147" s="19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</row>
    <row r="148" spans="1:23" s="18" customFormat="1" ht="20" hidden="1" customHeight="1" x14ac:dyDescent="0.3">
      <c r="A148" s="41"/>
      <c r="B148" s="41"/>
      <c r="C148" s="19" t="s">
        <v>182</v>
      </c>
      <c r="D148" s="19" t="s">
        <v>32</v>
      </c>
      <c r="E148" s="19">
        <v>16000</v>
      </c>
      <c r="F148" s="19">
        <v>2714.2</v>
      </c>
      <c r="G148" s="19">
        <v>14</v>
      </c>
      <c r="H148" s="21">
        <f t="shared" si="10"/>
        <v>4772.6492799999996</v>
      </c>
      <c r="I148" s="19">
        <v>4</v>
      </c>
      <c r="J148" s="22">
        <f t="shared" si="11"/>
        <v>19090.597119999999</v>
      </c>
      <c r="K148" s="19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</row>
    <row r="149" spans="1:23" s="18" customFormat="1" ht="20" customHeight="1" x14ac:dyDescent="0.3">
      <c r="A149" s="41"/>
      <c r="B149" s="41"/>
      <c r="C149" s="19" t="s">
        <v>183</v>
      </c>
      <c r="D149" s="19" t="s">
        <v>32</v>
      </c>
      <c r="E149" s="19">
        <v>16000</v>
      </c>
      <c r="F149" s="19">
        <v>2621.7</v>
      </c>
      <c r="G149" s="19">
        <v>20</v>
      </c>
      <c r="H149" s="21">
        <f t="shared" si="10"/>
        <v>6585.710399999999</v>
      </c>
      <c r="I149" s="19">
        <v>1</v>
      </c>
      <c r="J149" s="22">
        <f t="shared" si="11"/>
        <v>6585.710399999999</v>
      </c>
      <c r="K149" s="19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</row>
    <row r="150" spans="1:23" s="18" customFormat="1" ht="20" customHeight="1" x14ac:dyDescent="0.3">
      <c r="A150" s="41"/>
      <c r="B150" s="39"/>
      <c r="C150" s="19" t="s">
        <v>184</v>
      </c>
      <c r="D150" s="19" t="s">
        <v>32</v>
      </c>
      <c r="E150" s="19">
        <v>16000</v>
      </c>
      <c r="F150" s="19">
        <v>2698.2</v>
      </c>
      <c r="G150" s="19">
        <v>20</v>
      </c>
      <c r="H150" s="21">
        <f t="shared" si="10"/>
        <v>6777.8783999999996</v>
      </c>
      <c r="I150" s="19">
        <v>1</v>
      </c>
      <c r="J150" s="22">
        <f t="shared" si="11"/>
        <v>6777.8783999999996</v>
      </c>
      <c r="K150" s="19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</row>
    <row r="151" spans="1:23" s="18" customFormat="1" ht="20" hidden="1" customHeight="1" x14ac:dyDescent="0.3">
      <c r="A151" s="41"/>
      <c r="B151" s="44" t="s">
        <v>50</v>
      </c>
      <c r="C151" s="19" t="s">
        <v>185</v>
      </c>
      <c r="D151" s="19" t="s">
        <v>32</v>
      </c>
      <c r="E151" s="19">
        <v>6110.1</v>
      </c>
      <c r="F151" s="19">
        <v>2630</v>
      </c>
      <c r="G151" s="19">
        <v>16</v>
      </c>
      <c r="H151" s="21">
        <f t="shared" si="10"/>
        <v>2018.3371127999999</v>
      </c>
      <c r="I151" s="19">
        <v>1</v>
      </c>
      <c r="J151" s="22">
        <f t="shared" si="11"/>
        <v>2018.3371127999999</v>
      </c>
      <c r="K151" s="19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</row>
    <row r="152" spans="1:23" s="18" customFormat="1" ht="20" hidden="1" customHeight="1" x14ac:dyDescent="0.3">
      <c r="A152" s="41"/>
      <c r="B152" s="41"/>
      <c r="C152" s="19" t="s">
        <v>186</v>
      </c>
      <c r="D152" s="19" t="s">
        <v>32</v>
      </c>
      <c r="E152" s="19">
        <v>17724.900000000001</v>
      </c>
      <c r="F152" s="19">
        <v>2630</v>
      </c>
      <c r="G152" s="19">
        <v>16</v>
      </c>
      <c r="H152" s="21">
        <f t="shared" si="10"/>
        <v>5855.0307671999999</v>
      </c>
      <c r="I152" s="19">
        <v>1</v>
      </c>
      <c r="J152" s="22">
        <f t="shared" si="11"/>
        <v>5855.0307671999999</v>
      </c>
      <c r="K152" s="19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</row>
    <row r="153" spans="1:23" s="18" customFormat="1" ht="20" customHeight="1" x14ac:dyDescent="0.3">
      <c r="A153" s="41"/>
      <c r="B153" s="41"/>
      <c r="C153" s="19" t="s">
        <v>187</v>
      </c>
      <c r="D153" s="19" t="s">
        <v>32</v>
      </c>
      <c r="E153" s="19">
        <v>16000</v>
      </c>
      <c r="F153" s="19">
        <v>2630</v>
      </c>
      <c r="G153" s="19">
        <v>20</v>
      </c>
      <c r="H153" s="21">
        <f t="shared" si="10"/>
        <v>6606.56</v>
      </c>
      <c r="I153" s="19">
        <v>4</v>
      </c>
      <c r="J153" s="22">
        <f t="shared" si="11"/>
        <v>26426.240000000002</v>
      </c>
      <c r="K153" s="19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</row>
    <row r="154" spans="1:23" s="18" customFormat="1" ht="20" hidden="1" customHeight="1" x14ac:dyDescent="0.3">
      <c r="A154" s="41"/>
      <c r="B154" s="39"/>
      <c r="C154" s="19" t="s">
        <v>188</v>
      </c>
      <c r="D154" s="19" t="s">
        <v>32</v>
      </c>
      <c r="E154" s="19">
        <v>16000</v>
      </c>
      <c r="F154" s="19">
        <v>2630</v>
      </c>
      <c r="G154" s="19">
        <v>24</v>
      </c>
      <c r="H154" s="21">
        <f t="shared" si="10"/>
        <v>7927.8719999999994</v>
      </c>
      <c r="I154" s="19">
        <v>1</v>
      </c>
      <c r="J154" s="22">
        <f t="shared" si="11"/>
        <v>7927.8719999999994</v>
      </c>
      <c r="K154" s="19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</row>
    <row r="155" spans="1:23" s="18" customFormat="1" ht="20" hidden="1" customHeight="1" x14ac:dyDescent="0.3">
      <c r="A155" s="41"/>
      <c r="B155" s="44" t="s">
        <v>55</v>
      </c>
      <c r="C155" s="19" t="s">
        <v>189</v>
      </c>
      <c r="D155" s="19" t="s">
        <v>32</v>
      </c>
      <c r="E155" s="24">
        <v>21093.1</v>
      </c>
      <c r="F155" s="19">
        <v>140</v>
      </c>
      <c r="G155" s="19">
        <v>12</v>
      </c>
      <c r="H155" s="21">
        <f t="shared" si="10"/>
        <v>278.17580280000004</v>
      </c>
      <c r="I155" s="19">
        <v>1</v>
      </c>
      <c r="J155" s="22">
        <f t="shared" si="11"/>
        <v>278.17580280000004</v>
      </c>
      <c r="K155" s="2" t="s">
        <v>57</v>
      </c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</row>
    <row r="156" spans="1:23" s="18" customFormat="1" ht="20" hidden="1" customHeight="1" x14ac:dyDescent="0.3">
      <c r="A156" s="41"/>
      <c r="B156" s="41"/>
      <c r="C156" s="19" t="s">
        <v>190</v>
      </c>
      <c r="D156" s="19" t="s">
        <v>32</v>
      </c>
      <c r="E156" s="24">
        <v>70568</v>
      </c>
      <c r="F156" s="19">
        <v>140</v>
      </c>
      <c r="G156" s="19">
        <v>12</v>
      </c>
      <c r="H156" s="21">
        <f t="shared" si="10"/>
        <v>930.65078400000016</v>
      </c>
      <c r="I156" s="19">
        <v>1</v>
      </c>
      <c r="J156" s="22">
        <f t="shared" si="11"/>
        <v>930.65078400000016</v>
      </c>
      <c r="K156" s="2" t="s">
        <v>57</v>
      </c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</row>
    <row r="157" spans="1:23" s="18" customFormat="1" ht="20" hidden="1" customHeight="1" x14ac:dyDescent="0.3">
      <c r="A157" s="41"/>
      <c r="B157" s="39"/>
      <c r="C157" s="19" t="s">
        <v>191</v>
      </c>
      <c r="D157" s="19" t="s">
        <v>32</v>
      </c>
      <c r="E157" s="24">
        <v>25050.400000000001</v>
      </c>
      <c r="F157" s="19">
        <v>180</v>
      </c>
      <c r="G157" s="19">
        <v>16</v>
      </c>
      <c r="H157" s="21">
        <f t="shared" si="10"/>
        <v>566.33944320000001</v>
      </c>
      <c r="I157" s="19">
        <v>1</v>
      </c>
      <c r="J157" s="22">
        <f t="shared" si="11"/>
        <v>566.33944320000001</v>
      </c>
      <c r="K157" s="2" t="s">
        <v>57</v>
      </c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</row>
    <row r="158" spans="1:23" s="18" customFormat="1" ht="20" hidden="1" customHeight="1" x14ac:dyDescent="0.3">
      <c r="A158" s="41"/>
      <c r="B158" s="44" t="s">
        <v>60</v>
      </c>
      <c r="C158" s="19" t="s">
        <v>192</v>
      </c>
      <c r="D158" s="19" t="s">
        <v>32</v>
      </c>
      <c r="E158" s="19">
        <v>5560.1</v>
      </c>
      <c r="F158" s="19">
        <v>160</v>
      </c>
      <c r="G158" s="19">
        <v>14</v>
      </c>
      <c r="H158" s="21">
        <f t="shared" si="10"/>
        <v>97.768798400000009</v>
      </c>
      <c r="I158" s="19">
        <v>2</v>
      </c>
      <c r="J158" s="22">
        <f t="shared" si="11"/>
        <v>195.53759680000002</v>
      </c>
      <c r="K158" s="19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</row>
    <row r="159" spans="1:23" s="18" customFormat="1" ht="20" hidden="1" customHeight="1" x14ac:dyDescent="0.3">
      <c r="A159" s="41"/>
      <c r="B159" s="41"/>
      <c r="C159" s="19" t="s">
        <v>193</v>
      </c>
      <c r="D159" s="19" t="s">
        <v>32</v>
      </c>
      <c r="E159" s="19">
        <v>17174.900000000001</v>
      </c>
      <c r="F159" s="19">
        <v>160</v>
      </c>
      <c r="G159" s="19">
        <v>14</v>
      </c>
      <c r="H159" s="21">
        <f t="shared" si="10"/>
        <v>302.00344160000003</v>
      </c>
      <c r="I159" s="19">
        <v>2</v>
      </c>
      <c r="J159" s="22">
        <f t="shared" si="11"/>
        <v>604.00688320000006</v>
      </c>
      <c r="K159" s="19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</row>
    <row r="160" spans="1:23" s="18" customFormat="1" ht="20" hidden="1" customHeight="1" x14ac:dyDescent="0.3">
      <c r="A160" s="41"/>
      <c r="B160" s="41"/>
      <c r="C160" s="19" t="s">
        <v>194</v>
      </c>
      <c r="D160" s="19" t="s">
        <v>32</v>
      </c>
      <c r="E160" s="19">
        <v>16000</v>
      </c>
      <c r="F160" s="19">
        <v>160</v>
      </c>
      <c r="G160" s="19">
        <v>14</v>
      </c>
      <c r="H160" s="21">
        <f t="shared" si="10"/>
        <v>281.34400000000005</v>
      </c>
      <c r="I160" s="19">
        <v>8</v>
      </c>
      <c r="J160" s="22">
        <f t="shared" si="11"/>
        <v>2250.7520000000004</v>
      </c>
      <c r="K160" s="19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</row>
    <row r="161" spans="1:23" s="18" customFormat="1" ht="20" customHeight="1" x14ac:dyDescent="0.3">
      <c r="A161" s="41"/>
      <c r="B161" s="39"/>
      <c r="C161" s="19" t="s">
        <v>195</v>
      </c>
      <c r="D161" s="19" t="s">
        <v>32</v>
      </c>
      <c r="E161" s="19">
        <v>16000</v>
      </c>
      <c r="F161" s="19">
        <v>220</v>
      </c>
      <c r="G161" s="19">
        <v>20</v>
      </c>
      <c r="H161" s="21">
        <f t="shared" si="10"/>
        <v>552.64</v>
      </c>
      <c r="I161" s="19">
        <v>3</v>
      </c>
      <c r="J161" s="22">
        <f t="shared" si="11"/>
        <v>1657.92</v>
      </c>
      <c r="K161" s="19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</row>
    <row r="162" spans="1:23" s="18" customFormat="1" ht="20" hidden="1" customHeight="1" x14ac:dyDescent="0.3">
      <c r="A162" s="39"/>
      <c r="B162" s="44" t="s">
        <v>65</v>
      </c>
      <c r="C162" s="38"/>
      <c r="D162" s="19"/>
      <c r="E162" s="19"/>
      <c r="F162" s="19"/>
      <c r="G162" s="19"/>
      <c r="H162" s="21"/>
      <c r="I162" s="19"/>
      <c r="J162" s="22">
        <f>SUM(J137:J161)</f>
        <v>142948.53818239999</v>
      </c>
      <c r="K162" s="1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</row>
    <row r="163" spans="1:23" s="18" customFormat="1" ht="20" customHeight="1" x14ac:dyDescent="0.3">
      <c r="A163" s="44" t="s">
        <v>196</v>
      </c>
      <c r="B163" s="44" t="s">
        <v>30</v>
      </c>
      <c r="C163" s="19" t="s">
        <v>197</v>
      </c>
      <c r="D163" s="19" t="s">
        <v>32</v>
      </c>
      <c r="E163" s="19">
        <v>17855.400000000001</v>
      </c>
      <c r="F163" s="19">
        <v>600</v>
      </c>
      <c r="G163" s="19">
        <v>20</v>
      </c>
      <c r="H163" s="21">
        <f t="shared" ref="H163:H187" si="12">(E163/1000)*(F163/1000)*(G163/1000)*7850</f>
        <v>1681.9786800000002</v>
      </c>
      <c r="I163" s="19">
        <v>2</v>
      </c>
      <c r="J163" s="22">
        <f t="shared" ref="J163:J187" si="13">H163*I163</f>
        <v>3363.9573600000003</v>
      </c>
      <c r="K163" s="19"/>
      <c r="L163" s="44" t="str">
        <f>A163</f>
        <v>上层7#</v>
      </c>
      <c r="M163" s="43">
        <f>SUMIF(G163:G187,$M$3,J163:J187)</f>
        <v>1213.3553460000003</v>
      </c>
      <c r="N163" s="43">
        <f>SUMIF(G163:G187,$N$3,J163:J187)</f>
        <v>40703.984787199995</v>
      </c>
      <c r="O163" s="43">
        <f>SUMIF(G163:G187,$O$3,J163:J187)</f>
        <v>25797.808244976</v>
      </c>
      <c r="P163" s="43">
        <f>SUMIF(G163:G187,$P$3,J163:J187)</f>
        <v>46277.458159999995</v>
      </c>
      <c r="Q163" s="43">
        <f>SUMIF(G163:G187,$Q$3,J163:J187)</f>
        <v>22396.991999999998</v>
      </c>
      <c r="R163" s="43">
        <f>SUMIF(G163:G187,$R$3,J163:J187)</f>
        <v>0</v>
      </c>
      <c r="S163" s="43">
        <f>SUMIF(G163:G187,$S$3,J163:J187)</f>
        <v>6933.12</v>
      </c>
      <c r="T163" s="43">
        <f>SUM(M163:S188)</f>
        <v>143322.71853817598</v>
      </c>
      <c r="U163" s="43">
        <v>143322.79999999999</v>
      </c>
      <c r="V163" s="43">
        <f>T163-U163</f>
        <v>-8.1461824011057615E-2</v>
      </c>
      <c r="W163" s="44"/>
    </row>
    <row r="164" spans="1:23" s="18" customFormat="1" ht="20" customHeight="1" x14ac:dyDescent="0.3">
      <c r="A164" s="41"/>
      <c r="B164" s="41"/>
      <c r="C164" s="19" t="s">
        <v>198</v>
      </c>
      <c r="D164" s="19" t="s">
        <v>32</v>
      </c>
      <c r="E164" s="19">
        <v>7780</v>
      </c>
      <c r="F164" s="19">
        <v>600</v>
      </c>
      <c r="G164" s="19">
        <v>20</v>
      </c>
      <c r="H164" s="21">
        <f t="shared" si="12"/>
        <v>732.87599999999998</v>
      </c>
      <c r="I164" s="19">
        <v>2</v>
      </c>
      <c r="J164" s="22">
        <f t="shared" si="13"/>
        <v>1465.752</v>
      </c>
      <c r="K164" s="19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</row>
    <row r="165" spans="1:23" s="18" customFormat="1" ht="20" hidden="1" customHeight="1" x14ac:dyDescent="0.3">
      <c r="A165" s="41"/>
      <c r="B165" s="41"/>
      <c r="C165" s="19" t="s">
        <v>199</v>
      </c>
      <c r="D165" s="19" t="s">
        <v>32</v>
      </c>
      <c r="E165" s="19">
        <v>16000</v>
      </c>
      <c r="F165" s="19">
        <v>600</v>
      </c>
      <c r="G165" s="19">
        <v>24</v>
      </c>
      <c r="H165" s="21">
        <f t="shared" si="12"/>
        <v>1808.6399999999999</v>
      </c>
      <c r="I165" s="19">
        <v>8</v>
      </c>
      <c r="J165" s="22">
        <f t="shared" si="13"/>
        <v>14469.119999999999</v>
      </c>
      <c r="K165" s="19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</row>
    <row r="166" spans="1:23" s="18" customFormat="1" ht="20" hidden="1" customHeight="1" x14ac:dyDescent="0.3">
      <c r="A166" s="41"/>
      <c r="B166" s="41"/>
      <c r="C166" s="19" t="s">
        <v>200</v>
      </c>
      <c r="D166" s="19" t="s">
        <v>32</v>
      </c>
      <c r="E166" s="19">
        <v>3900</v>
      </c>
      <c r="F166" s="19">
        <v>600</v>
      </c>
      <c r="G166" s="19">
        <v>40</v>
      </c>
      <c r="H166" s="21">
        <f t="shared" si="12"/>
        <v>734.76</v>
      </c>
      <c r="I166" s="19">
        <v>2</v>
      </c>
      <c r="J166" s="22">
        <f t="shared" si="13"/>
        <v>1469.52</v>
      </c>
      <c r="K166" s="19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</row>
    <row r="167" spans="1:23" s="18" customFormat="1" ht="20" hidden="1" customHeight="1" x14ac:dyDescent="0.3">
      <c r="A167" s="41"/>
      <c r="B167" s="41"/>
      <c r="C167" s="19" t="s">
        <v>201</v>
      </c>
      <c r="D167" s="19" t="s">
        <v>32</v>
      </c>
      <c r="E167" s="19">
        <v>7200</v>
      </c>
      <c r="F167" s="19">
        <v>800</v>
      </c>
      <c r="G167" s="19">
        <v>40</v>
      </c>
      <c r="H167" s="21">
        <f t="shared" si="12"/>
        <v>1808.64</v>
      </c>
      <c r="I167" s="19">
        <v>2</v>
      </c>
      <c r="J167" s="22">
        <f t="shared" si="13"/>
        <v>3617.28</v>
      </c>
      <c r="K167" s="19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</row>
    <row r="168" spans="1:23" s="18" customFormat="1" ht="20" hidden="1" customHeight="1" x14ac:dyDescent="0.3">
      <c r="A168" s="41"/>
      <c r="B168" s="39"/>
      <c r="C168" s="19" t="s">
        <v>202</v>
      </c>
      <c r="D168" s="19" t="s">
        <v>32</v>
      </c>
      <c r="E168" s="19">
        <v>4900</v>
      </c>
      <c r="F168" s="19">
        <v>600</v>
      </c>
      <c r="G168" s="19">
        <v>40</v>
      </c>
      <c r="H168" s="21">
        <f t="shared" si="12"/>
        <v>923.16</v>
      </c>
      <c r="I168" s="19">
        <v>2</v>
      </c>
      <c r="J168" s="22">
        <f t="shared" si="13"/>
        <v>1846.32</v>
      </c>
      <c r="K168" s="19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</row>
    <row r="169" spans="1:23" s="18" customFormat="1" ht="20" hidden="1" customHeight="1" x14ac:dyDescent="0.3">
      <c r="A169" s="41"/>
      <c r="B169" s="44" t="s">
        <v>39</v>
      </c>
      <c r="C169" s="19" t="s">
        <v>203</v>
      </c>
      <c r="D169" s="19" t="s">
        <v>32</v>
      </c>
      <c r="E169" s="19">
        <v>17855.400000000001</v>
      </c>
      <c r="F169" s="19">
        <v>2641.7</v>
      </c>
      <c r="G169" s="19">
        <v>16</v>
      </c>
      <c r="H169" s="21">
        <f t="shared" si="12"/>
        <v>5924.3774386080004</v>
      </c>
      <c r="I169" s="19">
        <v>1</v>
      </c>
      <c r="J169" s="22">
        <f t="shared" si="13"/>
        <v>5924.3774386080004</v>
      </c>
      <c r="K169" s="19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</row>
    <row r="170" spans="1:23" s="18" customFormat="1" ht="20" hidden="1" customHeight="1" x14ac:dyDescent="0.3">
      <c r="A170" s="41"/>
      <c r="B170" s="41"/>
      <c r="C170" s="19" t="s">
        <v>204</v>
      </c>
      <c r="D170" s="19" t="s">
        <v>32</v>
      </c>
      <c r="E170" s="19">
        <v>17855.400000000001</v>
      </c>
      <c r="F170" s="19">
        <v>2718.2</v>
      </c>
      <c r="G170" s="19">
        <v>16</v>
      </c>
      <c r="H170" s="21">
        <f t="shared" si="12"/>
        <v>6095.9392639680018</v>
      </c>
      <c r="I170" s="19">
        <v>1</v>
      </c>
      <c r="J170" s="22">
        <f t="shared" si="13"/>
        <v>6095.9392639680018</v>
      </c>
      <c r="K170" s="19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</row>
    <row r="171" spans="1:23" s="18" customFormat="1" ht="20" hidden="1" customHeight="1" x14ac:dyDescent="0.3">
      <c r="A171" s="41"/>
      <c r="B171" s="41"/>
      <c r="C171" s="19" t="s">
        <v>205</v>
      </c>
      <c r="D171" s="19" t="s">
        <v>32</v>
      </c>
      <c r="E171" s="19">
        <v>7780</v>
      </c>
      <c r="F171" s="19">
        <v>2641.7</v>
      </c>
      <c r="G171" s="19">
        <v>16</v>
      </c>
      <c r="H171" s="21">
        <f t="shared" si="12"/>
        <v>2581.3847056</v>
      </c>
      <c r="I171" s="19">
        <v>1</v>
      </c>
      <c r="J171" s="22">
        <f t="shared" si="13"/>
        <v>2581.3847056</v>
      </c>
      <c r="K171" s="19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</row>
    <row r="172" spans="1:23" s="18" customFormat="1" ht="20" hidden="1" customHeight="1" x14ac:dyDescent="0.3">
      <c r="A172" s="41"/>
      <c r="B172" s="41"/>
      <c r="C172" s="19" t="s">
        <v>206</v>
      </c>
      <c r="D172" s="19" t="s">
        <v>32</v>
      </c>
      <c r="E172" s="19">
        <v>7780</v>
      </c>
      <c r="F172" s="19">
        <v>2718.2</v>
      </c>
      <c r="G172" s="19">
        <v>16</v>
      </c>
      <c r="H172" s="21">
        <f t="shared" si="12"/>
        <v>2656.1380576000001</v>
      </c>
      <c r="I172" s="19">
        <v>1</v>
      </c>
      <c r="J172" s="22">
        <f t="shared" si="13"/>
        <v>2656.1380576000001</v>
      </c>
      <c r="K172" s="19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</row>
    <row r="173" spans="1:23" s="18" customFormat="1" ht="20" hidden="1" customHeight="1" x14ac:dyDescent="0.3">
      <c r="A173" s="41"/>
      <c r="B173" s="41"/>
      <c r="C173" s="19" t="s">
        <v>207</v>
      </c>
      <c r="D173" s="19" t="s">
        <v>32</v>
      </c>
      <c r="E173" s="19">
        <v>16000</v>
      </c>
      <c r="F173" s="19">
        <v>2637.7</v>
      </c>
      <c r="G173" s="19">
        <v>14</v>
      </c>
      <c r="H173" s="21">
        <f t="shared" si="12"/>
        <v>4638.1316799999995</v>
      </c>
      <c r="I173" s="19">
        <v>4</v>
      </c>
      <c r="J173" s="22">
        <f t="shared" si="13"/>
        <v>18552.526719999998</v>
      </c>
      <c r="K173" s="19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</row>
    <row r="174" spans="1:23" s="18" customFormat="1" ht="20" hidden="1" customHeight="1" x14ac:dyDescent="0.3">
      <c r="A174" s="41"/>
      <c r="B174" s="41"/>
      <c r="C174" s="19" t="s">
        <v>208</v>
      </c>
      <c r="D174" s="19" t="s">
        <v>32</v>
      </c>
      <c r="E174" s="19">
        <v>16000</v>
      </c>
      <c r="F174" s="19">
        <v>2714.2</v>
      </c>
      <c r="G174" s="19">
        <v>14</v>
      </c>
      <c r="H174" s="21">
        <f t="shared" si="12"/>
        <v>4772.6492799999996</v>
      </c>
      <c r="I174" s="19">
        <v>4</v>
      </c>
      <c r="J174" s="22">
        <f t="shared" si="13"/>
        <v>19090.597119999999</v>
      </c>
      <c r="K174" s="19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</row>
    <row r="175" spans="1:23" s="18" customFormat="1" ht="20" customHeight="1" x14ac:dyDescent="0.3">
      <c r="A175" s="41"/>
      <c r="B175" s="41"/>
      <c r="C175" s="19" t="s">
        <v>209</v>
      </c>
      <c r="D175" s="19" t="s">
        <v>32</v>
      </c>
      <c r="E175" s="19">
        <v>16000</v>
      </c>
      <c r="F175" s="19">
        <v>2621.7</v>
      </c>
      <c r="G175" s="19">
        <v>20</v>
      </c>
      <c r="H175" s="21">
        <f t="shared" si="12"/>
        <v>6585.710399999999</v>
      </c>
      <c r="I175" s="19">
        <v>1</v>
      </c>
      <c r="J175" s="22">
        <f t="shared" si="13"/>
        <v>6585.710399999999</v>
      </c>
      <c r="K175" s="19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</row>
    <row r="176" spans="1:23" s="18" customFormat="1" ht="20" customHeight="1" x14ac:dyDescent="0.3">
      <c r="A176" s="41"/>
      <c r="B176" s="39"/>
      <c r="C176" s="19" t="s">
        <v>210</v>
      </c>
      <c r="D176" s="19" t="s">
        <v>32</v>
      </c>
      <c r="E176" s="19">
        <v>16000</v>
      </c>
      <c r="F176" s="19">
        <v>2698.2</v>
      </c>
      <c r="G176" s="19">
        <v>20</v>
      </c>
      <c r="H176" s="21">
        <f t="shared" si="12"/>
        <v>6777.8783999999996</v>
      </c>
      <c r="I176" s="19">
        <v>1</v>
      </c>
      <c r="J176" s="22">
        <f t="shared" si="13"/>
        <v>6777.8783999999996</v>
      </c>
      <c r="K176" s="19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</row>
    <row r="177" spans="1:23" s="18" customFormat="1" ht="20" hidden="1" customHeight="1" x14ac:dyDescent="0.3">
      <c r="A177" s="41"/>
      <c r="B177" s="44" t="s">
        <v>50</v>
      </c>
      <c r="C177" s="19" t="s">
        <v>211</v>
      </c>
      <c r="D177" s="19" t="s">
        <v>32</v>
      </c>
      <c r="E177" s="19">
        <v>17105.400000000001</v>
      </c>
      <c r="F177" s="19">
        <v>2630</v>
      </c>
      <c r="G177" s="19">
        <v>16</v>
      </c>
      <c r="H177" s="21">
        <f t="shared" si="12"/>
        <v>5650.3925712000009</v>
      </c>
      <c r="I177" s="19">
        <v>1</v>
      </c>
      <c r="J177" s="22">
        <f t="shared" si="13"/>
        <v>5650.3925712000009</v>
      </c>
      <c r="K177" s="19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</row>
    <row r="178" spans="1:23" s="18" customFormat="1" ht="20" hidden="1" customHeight="1" x14ac:dyDescent="0.3">
      <c r="A178" s="41"/>
      <c r="B178" s="41"/>
      <c r="C178" s="19" t="s">
        <v>212</v>
      </c>
      <c r="D178" s="19" t="s">
        <v>32</v>
      </c>
      <c r="E178" s="19">
        <v>7030</v>
      </c>
      <c r="F178" s="19">
        <v>2630</v>
      </c>
      <c r="G178" s="19">
        <v>16</v>
      </c>
      <c r="H178" s="21">
        <f t="shared" si="12"/>
        <v>2322.2058400000005</v>
      </c>
      <c r="I178" s="19">
        <v>1</v>
      </c>
      <c r="J178" s="22">
        <f t="shared" si="13"/>
        <v>2322.2058400000005</v>
      </c>
      <c r="K178" s="19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</row>
    <row r="179" spans="1:23" s="18" customFormat="1" ht="20" customHeight="1" x14ac:dyDescent="0.3">
      <c r="A179" s="41"/>
      <c r="B179" s="41"/>
      <c r="C179" s="19" t="s">
        <v>213</v>
      </c>
      <c r="D179" s="19" t="s">
        <v>32</v>
      </c>
      <c r="E179" s="19">
        <v>16000</v>
      </c>
      <c r="F179" s="19">
        <v>2630</v>
      </c>
      <c r="G179" s="19">
        <v>20</v>
      </c>
      <c r="H179" s="21">
        <f t="shared" si="12"/>
        <v>6606.56</v>
      </c>
      <c r="I179" s="19">
        <v>4</v>
      </c>
      <c r="J179" s="22">
        <f t="shared" si="13"/>
        <v>26426.240000000002</v>
      </c>
      <c r="K179" s="19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</row>
    <row r="180" spans="1:23" s="18" customFormat="1" ht="20" hidden="1" customHeight="1" x14ac:dyDescent="0.3">
      <c r="A180" s="41"/>
      <c r="B180" s="39"/>
      <c r="C180" s="19" t="s">
        <v>214</v>
      </c>
      <c r="D180" s="19" t="s">
        <v>32</v>
      </c>
      <c r="E180" s="19">
        <v>16000</v>
      </c>
      <c r="F180" s="19">
        <v>2630</v>
      </c>
      <c r="G180" s="19">
        <v>24</v>
      </c>
      <c r="H180" s="21">
        <f t="shared" si="12"/>
        <v>7927.8719999999994</v>
      </c>
      <c r="I180" s="19">
        <v>1</v>
      </c>
      <c r="J180" s="22">
        <f t="shared" si="13"/>
        <v>7927.8719999999994</v>
      </c>
      <c r="K180" s="19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</row>
    <row r="181" spans="1:23" s="18" customFormat="1" ht="20" hidden="1" customHeight="1" x14ac:dyDescent="0.3">
      <c r="A181" s="41"/>
      <c r="B181" s="44" t="s">
        <v>55</v>
      </c>
      <c r="C181" s="19" t="s">
        <v>215</v>
      </c>
      <c r="D181" s="19" t="s">
        <v>32</v>
      </c>
      <c r="E181" s="24">
        <v>21169.7</v>
      </c>
      <c r="F181" s="19">
        <v>140</v>
      </c>
      <c r="G181" s="19">
        <v>12</v>
      </c>
      <c r="H181" s="21">
        <f t="shared" si="12"/>
        <v>279.18600360000011</v>
      </c>
      <c r="I181" s="19">
        <v>1</v>
      </c>
      <c r="J181" s="22">
        <f t="shared" si="13"/>
        <v>279.18600360000011</v>
      </c>
      <c r="K181" s="2" t="s">
        <v>57</v>
      </c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</row>
    <row r="182" spans="1:23" s="18" customFormat="1" ht="20" hidden="1" customHeight="1" x14ac:dyDescent="0.3">
      <c r="A182" s="41"/>
      <c r="B182" s="41"/>
      <c r="C182" s="19" t="s">
        <v>216</v>
      </c>
      <c r="D182" s="19" t="s">
        <v>32</v>
      </c>
      <c r="E182" s="24">
        <v>70834.8</v>
      </c>
      <c r="F182" s="19">
        <v>140</v>
      </c>
      <c r="G182" s="19">
        <v>12</v>
      </c>
      <c r="H182" s="21">
        <f t="shared" si="12"/>
        <v>934.16934240000012</v>
      </c>
      <c r="I182" s="19">
        <v>1</v>
      </c>
      <c r="J182" s="22">
        <f t="shared" si="13"/>
        <v>934.16934240000012</v>
      </c>
      <c r="K182" s="2" t="s">
        <v>57</v>
      </c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</row>
    <row r="183" spans="1:23" s="18" customFormat="1" ht="20" hidden="1" customHeight="1" x14ac:dyDescent="0.3">
      <c r="A183" s="41"/>
      <c r="B183" s="39"/>
      <c r="C183" s="19" t="s">
        <v>217</v>
      </c>
      <c r="D183" s="19" t="s">
        <v>32</v>
      </c>
      <c r="E183" s="24">
        <v>25096</v>
      </c>
      <c r="F183" s="19">
        <v>180</v>
      </c>
      <c r="G183" s="19">
        <v>16</v>
      </c>
      <c r="H183" s="21">
        <f t="shared" si="12"/>
        <v>567.37036799999987</v>
      </c>
      <c r="I183" s="19">
        <v>1</v>
      </c>
      <c r="J183" s="22">
        <f t="shared" si="13"/>
        <v>567.37036799999987</v>
      </c>
      <c r="K183" s="2" t="s">
        <v>57</v>
      </c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</row>
    <row r="184" spans="1:23" s="18" customFormat="1" ht="20" hidden="1" customHeight="1" x14ac:dyDescent="0.3">
      <c r="A184" s="41"/>
      <c r="B184" s="44" t="s">
        <v>60</v>
      </c>
      <c r="C184" s="19" t="s">
        <v>218</v>
      </c>
      <c r="D184" s="19" t="s">
        <v>32</v>
      </c>
      <c r="E184" s="19">
        <v>16555.400000000001</v>
      </c>
      <c r="F184" s="19">
        <v>160</v>
      </c>
      <c r="G184" s="19">
        <v>14</v>
      </c>
      <c r="H184" s="21">
        <f t="shared" si="12"/>
        <v>291.1101536000001</v>
      </c>
      <c r="I184" s="19">
        <v>2</v>
      </c>
      <c r="J184" s="22">
        <f t="shared" si="13"/>
        <v>582.22030720000021</v>
      </c>
      <c r="K184" s="19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</row>
    <row r="185" spans="1:23" s="18" customFormat="1" ht="20" hidden="1" customHeight="1" x14ac:dyDescent="0.3">
      <c r="A185" s="41"/>
      <c r="B185" s="41"/>
      <c r="C185" s="19" t="s">
        <v>219</v>
      </c>
      <c r="D185" s="19" t="s">
        <v>32</v>
      </c>
      <c r="E185" s="19">
        <v>6480</v>
      </c>
      <c r="F185" s="19">
        <v>160</v>
      </c>
      <c r="G185" s="19">
        <v>14</v>
      </c>
      <c r="H185" s="21">
        <f t="shared" si="12"/>
        <v>113.94432000000002</v>
      </c>
      <c r="I185" s="19">
        <v>2</v>
      </c>
      <c r="J185" s="22">
        <f t="shared" si="13"/>
        <v>227.88864000000004</v>
      </c>
      <c r="K185" s="19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</row>
    <row r="186" spans="1:23" s="18" customFormat="1" ht="20" hidden="1" customHeight="1" x14ac:dyDescent="0.3">
      <c r="A186" s="41"/>
      <c r="B186" s="41"/>
      <c r="C186" s="19" t="s">
        <v>220</v>
      </c>
      <c r="D186" s="19" t="s">
        <v>32</v>
      </c>
      <c r="E186" s="19">
        <v>16000</v>
      </c>
      <c r="F186" s="19">
        <v>160</v>
      </c>
      <c r="G186" s="19">
        <v>14</v>
      </c>
      <c r="H186" s="21">
        <f t="shared" si="12"/>
        <v>281.34400000000005</v>
      </c>
      <c r="I186" s="19">
        <v>8</v>
      </c>
      <c r="J186" s="22">
        <f t="shared" si="13"/>
        <v>2250.7520000000004</v>
      </c>
      <c r="K186" s="19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</row>
    <row r="187" spans="1:23" s="18" customFormat="1" ht="20" customHeight="1" x14ac:dyDescent="0.3">
      <c r="A187" s="41"/>
      <c r="B187" s="39"/>
      <c r="C187" s="19" t="s">
        <v>221</v>
      </c>
      <c r="D187" s="19" t="s">
        <v>32</v>
      </c>
      <c r="E187" s="19">
        <v>16000</v>
      </c>
      <c r="F187" s="19">
        <v>220</v>
      </c>
      <c r="G187" s="19">
        <v>20</v>
      </c>
      <c r="H187" s="21">
        <f t="shared" si="12"/>
        <v>552.64</v>
      </c>
      <c r="I187" s="19">
        <v>3</v>
      </c>
      <c r="J187" s="22">
        <f t="shared" si="13"/>
        <v>1657.92</v>
      </c>
      <c r="K187" s="19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</row>
    <row r="188" spans="1:23" s="18" customFormat="1" ht="20" hidden="1" customHeight="1" x14ac:dyDescent="0.3">
      <c r="A188" s="39"/>
      <c r="B188" s="44" t="s">
        <v>65</v>
      </c>
      <c r="C188" s="38"/>
      <c r="D188" s="19"/>
      <c r="E188" s="19"/>
      <c r="F188" s="19"/>
      <c r="G188" s="19"/>
      <c r="H188" s="21"/>
      <c r="I188" s="19"/>
      <c r="J188" s="22">
        <f>SUM(J163:J187)</f>
        <v>143322.71853817606</v>
      </c>
      <c r="K188" s="1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</row>
    <row r="189" spans="1:23" s="18" customFormat="1" ht="20" customHeight="1" x14ac:dyDescent="0.3">
      <c r="A189" s="44" t="s">
        <v>222</v>
      </c>
      <c r="B189" s="44" t="s">
        <v>30</v>
      </c>
      <c r="C189" s="19" t="s">
        <v>223</v>
      </c>
      <c r="D189" s="19" t="s">
        <v>32</v>
      </c>
      <c r="E189" s="19">
        <v>14058.2</v>
      </c>
      <c r="F189" s="19">
        <v>600</v>
      </c>
      <c r="G189" s="19">
        <v>20</v>
      </c>
      <c r="H189" s="21">
        <f t="shared" ref="H189:H216" si="14">(E189/1000)*(F189/1000)*(G189/1000)*7850</f>
        <v>1324.28244</v>
      </c>
      <c r="I189" s="19">
        <v>2</v>
      </c>
      <c r="J189" s="22">
        <f t="shared" ref="J189:J216" si="15">H189*I189</f>
        <v>2648.5648799999999</v>
      </c>
      <c r="K189" s="19"/>
      <c r="L189" s="44" t="str">
        <f>A189</f>
        <v>上层8#</v>
      </c>
      <c r="M189" s="43">
        <f>SUMIF(G189:G216,$M$3,J189:J216)</f>
        <v>1204.8227100000001</v>
      </c>
      <c r="N189" s="43">
        <f>SUMIF(G189:G216,$N$3,J189:J216)</f>
        <v>40672.3476544</v>
      </c>
      <c r="O189" s="43">
        <f>SUMIF(G189:G216,$O$3,J189:J216)</f>
        <v>26140.994414352004</v>
      </c>
      <c r="P189" s="43">
        <f>SUMIF(G189:G216,$P$3,J189:J216)</f>
        <v>46334.053520000001</v>
      </c>
      <c r="Q189" s="43">
        <f>SUMIF(G189:G216,$Q$3,J189:J216)</f>
        <v>15162.431999999999</v>
      </c>
      <c r="R189" s="43">
        <f>SUMIF(G189:G216,$R$3,J189:J216)</f>
        <v>9043.1999999999989</v>
      </c>
      <c r="S189" s="43">
        <f>SUMIF(G189:G216,$S$3,J189:J216)</f>
        <v>6933.12</v>
      </c>
      <c r="T189" s="43">
        <f>SUM(M189:S217)</f>
        <v>145490.97029875201</v>
      </c>
      <c r="U189" s="43">
        <v>145490.9</v>
      </c>
      <c r="V189" s="43">
        <f>T189-U189</f>
        <v>7.029875201988034E-2</v>
      </c>
      <c r="W189" s="44"/>
    </row>
    <row r="190" spans="1:23" s="18" customFormat="1" ht="20" customHeight="1" x14ac:dyDescent="0.3">
      <c r="A190" s="41"/>
      <c r="B190" s="41"/>
      <c r="C190" s="19" t="s">
        <v>224</v>
      </c>
      <c r="D190" s="19" t="s">
        <v>32</v>
      </c>
      <c r="E190" s="19">
        <v>11877.6</v>
      </c>
      <c r="F190" s="19">
        <v>600</v>
      </c>
      <c r="G190" s="19">
        <v>20</v>
      </c>
      <c r="H190" s="21">
        <f t="shared" si="14"/>
        <v>1118.8699200000001</v>
      </c>
      <c r="I190" s="19">
        <v>2</v>
      </c>
      <c r="J190" s="22">
        <f t="shared" si="15"/>
        <v>2237.7398400000002</v>
      </c>
      <c r="K190" s="19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</row>
    <row r="191" spans="1:23" s="18" customFormat="1" ht="20" hidden="1" customHeight="1" x14ac:dyDescent="0.3">
      <c r="A191" s="41"/>
      <c r="B191" s="41"/>
      <c r="C191" s="19" t="s">
        <v>225</v>
      </c>
      <c r="D191" s="19" t="s">
        <v>32</v>
      </c>
      <c r="E191" s="19">
        <v>16000</v>
      </c>
      <c r="F191" s="19">
        <v>600</v>
      </c>
      <c r="G191" s="19">
        <v>30</v>
      </c>
      <c r="H191" s="21">
        <f t="shared" si="14"/>
        <v>2260.7999999999997</v>
      </c>
      <c r="I191" s="19">
        <v>4</v>
      </c>
      <c r="J191" s="22">
        <f t="shared" si="15"/>
        <v>9043.1999999999989</v>
      </c>
      <c r="K191" s="19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</row>
    <row r="192" spans="1:23" s="18" customFormat="1" ht="20" hidden="1" customHeight="1" x14ac:dyDescent="0.3">
      <c r="A192" s="41"/>
      <c r="B192" s="41"/>
      <c r="C192" s="19" t="s">
        <v>226</v>
      </c>
      <c r="D192" s="19" t="s">
        <v>32</v>
      </c>
      <c r="E192" s="19">
        <v>16000</v>
      </c>
      <c r="F192" s="19">
        <v>600</v>
      </c>
      <c r="G192" s="19">
        <v>24</v>
      </c>
      <c r="H192" s="21">
        <f t="shared" si="14"/>
        <v>1808.6399999999999</v>
      </c>
      <c r="I192" s="19">
        <v>4</v>
      </c>
      <c r="J192" s="22">
        <f t="shared" si="15"/>
        <v>7234.5599999999995</v>
      </c>
      <c r="K192" s="19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</row>
    <row r="193" spans="1:23" s="18" customFormat="1" ht="20" hidden="1" customHeight="1" x14ac:dyDescent="0.3">
      <c r="A193" s="41"/>
      <c r="B193" s="41"/>
      <c r="C193" s="19" t="s">
        <v>227</v>
      </c>
      <c r="D193" s="19" t="s">
        <v>32</v>
      </c>
      <c r="E193" s="19">
        <v>4700</v>
      </c>
      <c r="F193" s="19">
        <v>600</v>
      </c>
      <c r="G193" s="19">
        <v>40</v>
      </c>
      <c r="H193" s="21">
        <f t="shared" si="14"/>
        <v>885.48</v>
      </c>
      <c r="I193" s="19">
        <v>2</v>
      </c>
      <c r="J193" s="22">
        <f t="shared" si="15"/>
        <v>1770.96</v>
      </c>
      <c r="K193" s="19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</row>
    <row r="194" spans="1:23" s="18" customFormat="1" ht="20" hidden="1" customHeight="1" x14ac:dyDescent="0.3">
      <c r="A194" s="41"/>
      <c r="B194" s="41"/>
      <c r="C194" s="19" t="s">
        <v>228</v>
      </c>
      <c r="D194" s="19" t="s">
        <v>32</v>
      </c>
      <c r="E194" s="19">
        <v>7200</v>
      </c>
      <c r="F194" s="19">
        <v>800</v>
      </c>
      <c r="G194" s="19">
        <v>40</v>
      </c>
      <c r="H194" s="21">
        <f t="shared" si="14"/>
        <v>1808.64</v>
      </c>
      <c r="I194" s="19">
        <v>2</v>
      </c>
      <c r="J194" s="22">
        <f t="shared" si="15"/>
        <v>3617.28</v>
      </c>
      <c r="K194" s="19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</row>
    <row r="195" spans="1:23" s="18" customFormat="1" ht="20" hidden="1" customHeight="1" x14ac:dyDescent="0.3">
      <c r="A195" s="41"/>
      <c r="B195" s="39"/>
      <c r="C195" s="19" t="s">
        <v>229</v>
      </c>
      <c r="D195" s="19" t="s">
        <v>32</v>
      </c>
      <c r="E195" s="19">
        <v>4100</v>
      </c>
      <c r="F195" s="19">
        <v>600</v>
      </c>
      <c r="G195" s="19">
        <v>40</v>
      </c>
      <c r="H195" s="21">
        <f t="shared" si="14"/>
        <v>772.43999999999994</v>
      </c>
      <c r="I195" s="19">
        <v>2</v>
      </c>
      <c r="J195" s="22">
        <f t="shared" si="15"/>
        <v>1544.8799999999999</v>
      </c>
      <c r="K195" s="19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</row>
    <row r="196" spans="1:23" s="18" customFormat="1" ht="20" hidden="1" customHeight="1" x14ac:dyDescent="0.3">
      <c r="A196" s="41"/>
      <c r="B196" s="44" t="s">
        <v>39</v>
      </c>
      <c r="C196" s="19" t="s">
        <v>230</v>
      </c>
      <c r="D196" s="19" t="s">
        <v>32</v>
      </c>
      <c r="E196" s="19">
        <v>14058.2</v>
      </c>
      <c r="F196" s="19">
        <v>2641.7</v>
      </c>
      <c r="G196" s="19">
        <v>16</v>
      </c>
      <c r="H196" s="21">
        <f t="shared" si="14"/>
        <v>4664.4758956639998</v>
      </c>
      <c r="I196" s="19">
        <v>1</v>
      </c>
      <c r="J196" s="22">
        <f t="shared" si="15"/>
        <v>4664.4758956639998</v>
      </c>
      <c r="K196" s="19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</row>
    <row r="197" spans="1:23" s="18" customFormat="1" ht="20" hidden="1" customHeight="1" x14ac:dyDescent="0.3">
      <c r="A197" s="41"/>
      <c r="B197" s="41"/>
      <c r="C197" s="19" t="s">
        <v>231</v>
      </c>
      <c r="D197" s="19" t="s">
        <v>32</v>
      </c>
      <c r="E197" s="19">
        <v>14058.2</v>
      </c>
      <c r="F197" s="19">
        <v>2718.2</v>
      </c>
      <c r="G197" s="19">
        <v>16</v>
      </c>
      <c r="H197" s="21">
        <f t="shared" si="14"/>
        <v>4799.5527045440003</v>
      </c>
      <c r="I197" s="19">
        <v>1</v>
      </c>
      <c r="J197" s="22">
        <f t="shared" si="15"/>
        <v>4799.5527045440003</v>
      </c>
      <c r="K197" s="19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</row>
    <row r="198" spans="1:23" s="18" customFormat="1" ht="20" hidden="1" customHeight="1" x14ac:dyDescent="0.3">
      <c r="A198" s="41"/>
      <c r="B198" s="41"/>
      <c r="C198" s="19" t="s">
        <v>232</v>
      </c>
      <c r="D198" s="19" t="s">
        <v>32</v>
      </c>
      <c r="E198" s="19">
        <v>11877.6</v>
      </c>
      <c r="F198" s="19">
        <v>2641.7</v>
      </c>
      <c r="G198" s="19">
        <v>16</v>
      </c>
      <c r="H198" s="21">
        <f t="shared" si="14"/>
        <v>3940.9582235520002</v>
      </c>
      <c r="I198" s="19">
        <v>1</v>
      </c>
      <c r="J198" s="22">
        <f t="shared" si="15"/>
        <v>3940.9582235520002</v>
      </c>
      <c r="K198" s="19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</row>
    <row r="199" spans="1:23" s="18" customFormat="1" ht="20" hidden="1" customHeight="1" x14ac:dyDescent="0.3">
      <c r="A199" s="41"/>
      <c r="B199" s="41"/>
      <c r="C199" s="19" t="s">
        <v>233</v>
      </c>
      <c r="D199" s="19" t="s">
        <v>32</v>
      </c>
      <c r="E199" s="19">
        <v>11877.6</v>
      </c>
      <c r="F199" s="19">
        <v>2718.2</v>
      </c>
      <c r="G199" s="19">
        <v>16</v>
      </c>
      <c r="H199" s="21">
        <f t="shared" si="14"/>
        <v>4055.0829553920003</v>
      </c>
      <c r="I199" s="19">
        <v>1</v>
      </c>
      <c r="J199" s="22">
        <f t="shared" si="15"/>
        <v>4055.0829553920003</v>
      </c>
      <c r="K199" s="19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</row>
    <row r="200" spans="1:23" s="18" customFormat="1" ht="20" hidden="1" customHeight="1" x14ac:dyDescent="0.3">
      <c r="A200" s="41"/>
      <c r="B200" s="41"/>
      <c r="C200" s="19" t="s">
        <v>234</v>
      </c>
      <c r="D200" s="19" t="s">
        <v>32</v>
      </c>
      <c r="E200" s="19">
        <v>16000</v>
      </c>
      <c r="F200" s="19">
        <v>2631.7</v>
      </c>
      <c r="G200" s="19">
        <v>14</v>
      </c>
      <c r="H200" s="21">
        <f t="shared" si="14"/>
        <v>4627.5812800000003</v>
      </c>
      <c r="I200" s="19">
        <v>2</v>
      </c>
      <c r="J200" s="22">
        <f t="shared" si="15"/>
        <v>9255.1625600000007</v>
      </c>
      <c r="K200" s="19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</row>
    <row r="201" spans="1:23" s="18" customFormat="1" ht="20" hidden="1" customHeight="1" x14ac:dyDescent="0.3">
      <c r="A201" s="41"/>
      <c r="B201" s="41"/>
      <c r="C201" s="19" t="s">
        <v>235</v>
      </c>
      <c r="D201" s="19" t="s">
        <v>32</v>
      </c>
      <c r="E201" s="19">
        <v>16000</v>
      </c>
      <c r="F201" s="19">
        <v>2708.2</v>
      </c>
      <c r="G201" s="19">
        <v>14</v>
      </c>
      <c r="H201" s="21">
        <f t="shared" si="14"/>
        <v>4762.0988799999996</v>
      </c>
      <c r="I201" s="19">
        <v>2</v>
      </c>
      <c r="J201" s="22">
        <f t="shared" si="15"/>
        <v>9524.1977599999991</v>
      </c>
      <c r="K201" s="19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</row>
    <row r="202" spans="1:23" s="18" customFormat="1" ht="20" hidden="1" customHeight="1" x14ac:dyDescent="0.3">
      <c r="A202" s="41"/>
      <c r="B202" s="41"/>
      <c r="C202" s="19" t="s">
        <v>236</v>
      </c>
      <c r="D202" s="19" t="s">
        <v>32</v>
      </c>
      <c r="E202" s="19">
        <v>16000</v>
      </c>
      <c r="F202" s="19">
        <v>2637.7</v>
      </c>
      <c r="G202" s="19">
        <v>14</v>
      </c>
      <c r="H202" s="21">
        <f t="shared" si="14"/>
        <v>4638.1316799999995</v>
      </c>
      <c r="I202" s="19">
        <v>2</v>
      </c>
      <c r="J202" s="22">
        <f t="shared" si="15"/>
        <v>9276.263359999999</v>
      </c>
      <c r="K202" s="19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</row>
    <row r="203" spans="1:23" s="18" customFormat="1" ht="20" hidden="1" customHeight="1" x14ac:dyDescent="0.3">
      <c r="A203" s="41"/>
      <c r="B203" s="41"/>
      <c r="C203" s="19" t="s">
        <v>237</v>
      </c>
      <c r="D203" s="19" t="s">
        <v>32</v>
      </c>
      <c r="E203" s="19">
        <v>16000</v>
      </c>
      <c r="F203" s="19">
        <v>2714.2</v>
      </c>
      <c r="G203" s="19">
        <v>14</v>
      </c>
      <c r="H203" s="21">
        <f t="shared" si="14"/>
        <v>4772.6492799999996</v>
      </c>
      <c r="I203" s="19">
        <v>2</v>
      </c>
      <c r="J203" s="22">
        <f t="shared" si="15"/>
        <v>9545.2985599999993</v>
      </c>
      <c r="K203" s="19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</row>
    <row r="204" spans="1:23" s="18" customFormat="1" ht="20" customHeight="1" x14ac:dyDescent="0.3">
      <c r="A204" s="41"/>
      <c r="B204" s="41"/>
      <c r="C204" s="19" t="s">
        <v>238</v>
      </c>
      <c r="D204" s="19" t="s">
        <v>32</v>
      </c>
      <c r="E204" s="19">
        <v>16000</v>
      </c>
      <c r="F204" s="19">
        <v>2621.7</v>
      </c>
      <c r="G204" s="19">
        <v>20</v>
      </c>
      <c r="H204" s="21">
        <f t="shared" si="14"/>
        <v>6585.710399999999</v>
      </c>
      <c r="I204" s="19">
        <v>1</v>
      </c>
      <c r="J204" s="22">
        <f t="shared" si="15"/>
        <v>6585.710399999999</v>
      </c>
      <c r="K204" s="19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</row>
    <row r="205" spans="1:23" s="18" customFormat="1" ht="20" customHeight="1" x14ac:dyDescent="0.3">
      <c r="A205" s="41"/>
      <c r="B205" s="39"/>
      <c r="C205" s="19" t="s">
        <v>239</v>
      </c>
      <c r="D205" s="19" t="s">
        <v>32</v>
      </c>
      <c r="E205" s="19">
        <v>16000</v>
      </c>
      <c r="F205" s="19">
        <v>2698.2</v>
      </c>
      <c r="G205" s="19">
        <v>20</v>
      </c>
      <c r="H205" s="21">
        <f t="shared" si="14"/>
        <v>6777.8783999999996</v>
      </c>
      <c r="I205" s="19">
        <v>1</v>
      </c>
      <c r="J205" s="22">
        <f t="shared" si="15"/>
        <v>6777.8783999999996</v>
      </c>
      <c r="K205" s="19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</row>
    <row r="206" spans="1:23" s="18" customFormat="1" ht="20" hidden="1" customHeight="1" x14ac:dyDescent="0.3">
      <c r="A206" s="41"/>
      <c r="B206" s="44" t="s">
        <v>50</v>
      </c>
      <c r="C206" s="19" t="s">
        <v>240</v>
      </c>
      <c r="D206" s="19" t="s">
        <v>32</v>
      </c>
      <c r="E206" s="19">
        <v>13308.2</v>
      </c>
      <c r="F206" s="19">
        <v>2630</v>
      </c>
      <c r="G206" s="19">
        <v>16</v>
      </c>
      <c r="H206" s="21">
        <f t="shared" si="14"/>
        <v>4396.0710896000001</v>
      </c>
      <c r="I206" s="19">
        <v>1</v>
      </c>
      <c r="J206" s="22">
        <f t="shared" si="15"/>
        <v>4396.0710896000001</v>
      </c>
      <c r="K206" s="19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</row>
    <row r="207" spans="1:23" s="18" customFormat="1" ht="20" hidden="1" customHeight="1" x14ac:dyDescent="0.3">
      <c r="A207" s="41"/>
      <c r="B207" s="41"/>
      <c r="C207" s="19" t="s">
        <v>241</v>
      </c>
      <c r="D207" s="19" t="s">
        <v>32</v>
      </c>
      <c r="E207" s="19">
        <v>11127.6</v>
      </c>
      <c r="F207" s="19">
        <v>2630</v>
      </c>
      <c r="G207" s="19">
        <v>16</v>
      </c>
      <c r="H207" s="21">
        <f t="shared" si="14"/>
        <v>3675.7578528000004</v>
      </c>
      <c r="I207" s="19">
        <v>1</v>
      </c>
      <c r="J207" s="22">
        <f t="shared" si="15"/>
        <v>3675.7578528000004</v>
      </c>
      <c r="K207" s="19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</row>
    <row r="208" spans="1:23" s="18" customFormat="1" ht="20" customHeight="1" x14ac:dyDescent="0.3">
      <c r="A208" s="41"/>
      <c r="B208" s="41"/>
      <c r="C208" s="19" t="s">
        <v>242</v>
      </c>
      <c r="D208" s="19" t="s">
        <v>32</v>
      </c>
      <c r="E208" s="19">
        <v>16000</v>
      </c>
      <c r="F208" s="19">
        <v>2630</v>
      </c>
      <c r="G208" s="19">
        <v>20</v>
      </c>
      <c r="H208" s="21">
        <f t="shared" si="14"/>
        <v>6606.56</v>
      </c>
      <c r="I208" s="19">
        <v>4</v>
      </c>
      <c r="J208" s="22">
        <f t="shared" si="15"/>
        <v>26426.240000000002</v>
      </c>
      <c r="K208" s="19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</row>
    <row r="209" spans="1:23" s="18" customFormat="1" ht="20" hidden="1" customHeight="1" x14ac:dyDescent="0.3">
      <c r="A209" s="41"/>
      <c r="B209" s="39"/>
      <c r="C209" s="19" t="s">
        <v>243</v>
      </c>
      <c r="D209" s="19" t="s">
        <v>32</v>
      </c>
      <c r="E209" s="19">
        <v>16000</v>
      </c>
      <c r="F209" s="19">
        <v>2630</v>
      </c>
      <c r="G209" s="19">
        <v>24</v>
      </c>
      <c r="H209" s="21">
        <f t="shared" si="14"/>
        <v>7927.8719999999994</v>
      </c>
      <c r="I209" s="19">
        <v>1</v>
      </c>
      <c r="J209" s="22">
        <f t="shared" si="15"/>
        <v>7927.8719999999994</v>
      </c>
      <c r="K209" s="19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</row>
    <row r="210" spans="1:23" s="18" customFormat="1" ht="20" hidden="1" customHeight="1" x14ac:dyDescent="0.3">
      <c r="A210" s="41"/>
      <c r="B210" s="44" t="s">
        <v>55</v>
      </c>
      <c r="C210" s="19" t="s">
        <v>244</v>
      </c>
      <c r="D210" s="19" t="s">
        <v>32</v>
      </c>
      <c r="E210" s="24">
        <v>19425.8</v>
      </c>
      <c r="F210" s="19">
        <v>140</v>
      </c>
      <c r="G210" s="19">
        <v>12</v>
      </c>
      <c r="H210" s="21">
        <f t="shared" si="14"/>
        <v>256.18745040000005</v>
      </c>
      <c r="I210" s="19">
        <v>1</v>
      </c>
      <c r="J210" s="22">
        <f t="shared" si="15"/>
        <v>256.18745040000005</v>
      </c>
      <c r="K210" s="2" t="s">
        <v>57</v>
      </c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</row>
    <row r="211" spans="1:23" s="18" customFormat="1" ht="20" hidden="1" customHeight="1" x14ac:dyDescent="0.3">
      <c r="A211" s="41"/>
      <c r="B211" s="41"/>
      <c r="C211" s="19" t="s">
        <v>245</v>
      </c>
      <c r="D211" s="19" t="s">
        <v>32</v>
      </c>
      <c r="E211" s="24">
        <v>71931.7</v>
      </c>
      <c r="F211" s="19">
        <v>140</v>
      </c>
      <c r="G211" s="19">
        <v>12</v>
      </c>
      <c r="H211" s="21">
        <f t="shared" si="14"/>
        <v>948.63525960000004</v>
      </c>
      <c r="I211" s="19">
        <v>1</v>
      </c>
      <c r="J211" s="22">
        <f t="shared" si="15"/>
        <v>948.63525960000004</v>
      </c>
      <c r="K211" s="2" t="s">
        <v>57</v>
      </c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</row>
    <row r="212" spans="1:23" s="18" customFormat="1" ht="20" hidden="1" customHeight="1" x14ac:dyDescent="0.3">
      <c r="A212" s="41"/>
      <c r="B212" s="39"/>
      <c r="C212" s="19" t="s">
        <v>246</v>
      </c>
      <c r="D212" s="19" t="s">
        <v>32</v>
      </c>
      <c r="E212" s="24">
        <v>26941.599999999999</v>
      </c>
      <c r="F212" s="19">
        <v>180</v>
      </c>
      <c r="G212" s="19">
        <v>16</v>
      </c>
      <c r="H212" s="21">
        <f t="shared" si="14"/>
        <v>609.09569279999982</v>
      </c>
      <c r="I212" s="19">
        <v>1</v>
      </c>
      <c r="J212" s="22">
        <f t="shared" si="15"/>
        <v>609.09569279999982</v>
      </c>
      <c r="K212" s="2" t="s">
        <v>57</v>
      </c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</row>
    <row r="213" spans="1:23" s="18" customFormat="1" ht="20" hidden="1" customHeight="1" x14ac:dyDescent="0.3">
      <c r="A213" s="41"/>
      <c r="B213" s="44" t="s">
        <v>60</v>
      </c>
      <c r="C213" s="19" t="s">
        <v>247</v>
      </c>
      <c r="D213" s="19" t="s">
        <v>32</v>
      </c>
      <c r="E213" s="19">
        <v>12758.2</v>
      </c>
      <c r="F213" s="19">
        <v>160</v>
      </c>
      <c r="G213" s="19">
        <v>14</v>
      </c>
      <c r="H213" s="21">
        <f t="shared" si="14"/>
        <v>224.34018879999999</v>
      </c>
      <c r="I213" s="19">
        <v>2</v>
      </c>
      <c r="J213" s="22">
        <f t="shared" si="15"/>
        <v>448.68037759999999</v>
      </c>
      <c r="K213" s="19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</row>
    <row r="214" spans="1:23" s="18" customFormat="1" ht="20" hidden="1" customHeight="1" x14ac:dyDescent="0.3">
      <c r="A214" s="41"/>
      <c r="B214" s="41"/>
      <c r="C214" s="19" t="s">
        <v>248</v>
      </c>
      <c r="D214" s="19" t="s">
        <v>32</v>
      </c>
      <c r="E214" s="19">
        <v>10577.6</v>
      </c>
      <c r="F214" s="19">
        <v>160</v>
      </c>
      <c r="G214" s="19">
        <v>14</v>
      </c>
      <c r="H214" s="21">
        <f t="shared" si="14"/>
        <v>185.99651840000001</v>
      </c>
      <c r="I214" s="19">
        <v>2</v>
      </c>
      <c r="J214" s="22">
        <f t="shared" si="15"/>
        <v>371.99303680000003</v>
      </c>
      <c r="K214" s="19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</row>
    <row r="215" spans="1:23" s="18" customFormat="1" ht="20" hidden="1" customHeight="1" x14ac:dyDescent="0.3">
      <c r="A215" s="41"/>
      <c r="B215" s="41"/>
      <c r="C215" s="19" t="s">
        <v>249</v>
      </c>
      <c r="D215" s="19" t="s">
        <v>32</v>
      </c>
      <c r="E215" s="19">
        <v>16000</v>
      </c>
      <c r="F215" s="19">
        <v>160</v>
      </c>
      <c r="G215" s="19">
        <v>14</v>
      </c>
      <c r="H215" s="21">
        <f t="shared" si="14"/>
        <v>281.34400000000005</v>
      </c>
      <c r="I215" s="19">
        <v>8</v>
      </c>
      <c r="J215" s="22">
        <f t="shared" si="15"/>
        <v>2250.7520000000004</v>
      </c>
      <c r="K215" s="19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</row>
    <row r="216" spans="1:23" s="18" customFormat="1" ht="20" customHeight="1" x14ac:dyDescent="0.3">
      <c r="A216" s="41"/>
      <c r="B216" s="39"/>
      <c r="C216" s="19" t="s">
        <v>250</v>
      </c>
      <c r="D216" s="19" t="s">
        <v>32</v>
      </c>
      <c r="E216" s="19">
        <v>16000</v>
      </c>
      <c r="F216" s="19">
        <v>220</v>
      </c>
      <c r="G216" s="19">
        <v>20</v>
      </c>
      <c r="H216" s="21">
        <f t="shared" si="14"/>
        <v>552.64</v>
      </c>
      <c r="I216" s="19">
        <v>3</v>
      </c>
      <c r="J216" s="22">
        <f t="shared" si="15"/>
        <v>1657.92</v>
      </c>
      <c r="K216" s="19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</row>
    <row r="217" spans="1:23" s="18" customFormat="1" ht="20" hidden="1" customHeight="1" x14ac:dyDescent="0.3">
      <c r="A217" s="39"/>
      <c r="B217" s="44" t="s">
        <v>65</v>
      </c>
      <c r="C217" s="38"/>
      <c r="D217" s="19"/>
      <c r="E217" s="19"/>
      <c r="F217" s="19"/>
      <c r="G217" s="19"/>
      <c r="H217" s="21"/>
      <c r="I217" s="19"/>
      <c r="J217" s="22">
        <f>SUM(J189:J216)</f>
        <v>145490.97029875201</v>
      </c>
      <c r="K217" s="1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</row>
    <row r="218" spans="1:23" s="18" customFormat="1" ht="20" customHeight="1" x14ac:dyDescent="0.3">
      <c r="A218" s="44" t="s">
        <v>251</v>
      </c>
      <c r="B218" s="44" t="s">
        <v>30</v>
      </c>
      <c r="C218" s="19" t="s">
        <v>31</v>
      </c>
      <c r="D218" s="19" t="s">
        <v>32</v>
      </c>
      <c r="E218" s="19">
        <v>11613.3</v>
      </c>
      <c r="F218" s="19">
        <v>600</v>
      </c>
      <c r="G218" s="19">
        <v>20</v>
      </c>
      <c r="H218" s="21">
        <f t="shared" ref="H218:H245" si="16">(E218/1000)*(F218/1000)*(G218/1000)*7850</f>
        <v>1093.9728599999999</v>
      </c>
      <c r="I218" s="19">
        <v>2</v>
      </c>
      <c r="J218" s="22">
        <f t="shared" ref="J218:J245" si="17">H218*I218</f>
        <v>2187.9457199999997</v>
      </c>
      <c r="K218" s="19"/>
      <c r="L218" s="44" t="str">
        <f>A218</f>
        <v>下层1#</v>
      </c>
      <c r="M218" s="43">
        <f>SUMIF(G218:G245,$M$3,J218:J245)</f>
        <v>1302.6961332000001</v>
      </c>
      <c r="N218" s="43">
        <f>SUMIF(G218:G245,$N$3,J218:J245)</f>
        <v>40597.3167264</v>
      </c>
      <c r="O218" s="43">
        <f>SUMIF(G218:G245,$O$3,J218:J245)</f>
        <v>23998.445351112001</v>
      </c>
      <c r="P218" s="43">
        <f>SUMIF(G218:G245,$P$3,J218:J245)</f>
        <v>45932.102119999996</v>
      </c>
      <c r="Q218" s="43">
        <f>SUMIF(G218:G245,$Q$3,J218:J245)</f>
        <v>15162.431999999999</v>
      </c>
      <c r="R218" s="43">
        <f>SUMIF(G218:G245,$R$3,J218:J245)</f>
        <v>9043.1999999999989</v>
      </c>
      <c r="S218" s="43">
        <f>SUMIF(G218:G245,$S$3,J218:J245)</f>
        <v>6933.12</v>
      </c>
      <c r="T218" s="43">
        <f>SUM(M218:S246)</f>
        <v>142969.31233071201</v>
      </c>
      <c r="U218" s="43">
        <v>142969.29999999999</v>
      </c>
      <c r="V218" s="43">
        <f>T218-U218</f>
        <v>1.2330712022958323E-2</v>
      </c>
      <c r="W218" s="44"/>
    </row>
    <row r="219" spans="1:23" s="18" customFormat="1" ht="20" customHeight="1" x14ac:dyDescent="0.3">
      <c r="A219" s="41"/>
      <c r="B219" s="41"/>
      <c r="C219" s="19" t="s">
        <v>33</v>
      </c>
      <c r="D219" s="19" t="s">
        <v>32</v>
      </c>
      <c r="E219" s="19">
        <v>12189</v>
      </c>
      <c r="F219" s="19">
        <v>600</v>
      </c>
      <c r="G219" s="19">
        <v>20</v>
      </c>
      <c r="H219" s="21">
        <f t="shared" si="16"/>
        <v>1148.2038</v>
      </c>
      <c r="I219" s="19">
        <v>2</v>
      </c>
      <c r="J219" s="22">
        <f t="shared" si="17"/>
        <v>2296.4076</v>
      </c>
      <c r="K219" s="19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</row>
    <row r="220" spans="1:23" s="18" customFormat="1" ht="20" hidden="1" customHeight="1" x14ac:dyDescent="0.3">
      <c r="A220" s="41"/>
      <c r="B220" s="41"/>
      <c r="C220" s="19" t="s">
        <v>34</v>
      </c>
      <c r="D220" s="19" t="s">
        <v>32</v>
      </c>
      <c r="E220" s="19">
        <v>16000</v>
      </c>
      <c r="F220" s="19">
        <v>600</v>
      </c>
      <c r="G220" s="19">
        <v>30</v>
      </c>
      <c r="H220" s="21">
        <f t="shared" si="16"/>
        <v>2260.7999999999997</v>
      </c>
      <c r="I220" s="19">
        <v>4</v>
      </c>
      <c r="J220" s="22">
        <f t="shared" si="17"/>
        <v>9043.1999999999989</v>
      </c>
      <c r="K220" s="19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</row>
    <row r="221" spans="1:23" s="18" customFormat="1" ht="20" hidden="1" customHeight="1" x14ac:dyDescent="0.3">
      <c r="A221" s="41"/>
      <c r="B221" s="41"/>
      <c r="C221" s="19" t="s">
        <v>35</v>
      </c>
      <c r="D221" s="19" t="s">
        <v>32</v>
      </c>
      <c r="E221" s="19">
        <v>16000</v>
      </c>
      <c r="F221" s="19">
        <v>600</v>
      </c>
      <c r="G221" s="19">
        <v>24</v>
      </c>
      <c r="H221" s="21">
        <f t="shared" si="16"/>
        <v>1808.6399999999999</v>
      </c>
      <c r="I221" s="19">
        <v>4</v>
      </c>
      <c r="J221" s="22">
        <f t="shared" si="17"/>
        <v>7234.5599999999995</v>
      </c>
      <c r="K221" s="19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</row>
    <row r="222" spans="1:23" s="18" customFormat="1" ht="20" hidden="1" customHeight="1" x14ac:dyDescent="0.3">
      <c r="A222" s="41"/>
      <c r="B222" s="41"/>
      <c r="C222" s="19" t="s">
        <v>36</v>
      </c>
      <c r="D222" s="19" t="s">
        <v>32</v>
      </c>
      <c r="E222" s="19">
        <v>3700</v>
      </c>
      <c r="F222" s="19">
        <v>600</v>
      </c>
      <c r="G222" s="19">
        <v>40</v>
      </c>
      <c r="H222" s="21">
        <f t="shared" si="16"/>
        <v>697.08</v>
      </c>
      <c r="I222" s="19">
        <v>2</v>
      </c>
      <c r="J222" s="22">
        <f t="shared" si="17"/>
        <v>1394.16</v>
      </c>
      <c r="K222" s="19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</row>
    <row r="223" spans="1:23" s="18" customFormat="1" ht="20" hidden="1" customHeight="1" x14ac:dyDescent="0.3">
      <c r="A223" s="41"/>
      <c r="B223" s="41"/>
      <c r="C223" s="19" t="s">
        <v>37</v>
      </c>
      <c r="D223" s="19" t="s">
        <v>32</v>
      </c>
      <c r="E223" s="19">
        <v>7200</v>
      </c>
      <c r="F223" s="19">
        <v>800</v>
      </c>
      <c r="G223" s="19">
        <v>40</v>
      </c>
      <c r="H223" s="21">
        <f t="shared" si="16"/>
        <v>1808.64</v>
      </c>
      <c r="I223" s="19">
        <v>2</v>
      </c>
      <c r="J223" s="22">
        <f t="shared" si="17"/>
        <v>3617.28</v>
      </c>
      <c r="K223" s="19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</row>
    <row r="224" spans="1:23" s="18" customFormat="1" ht="20" hidden="1" customHeight="1" x14ac:dyDescent="0.3">
      <c r="A224" s="41"/>
      <c r="B224" s="39"/>
      <c r="C224" s="19" t="s">
        <v>38</v>
      </c>
      <c r="D224" s="19" t="s">
        <v>32</v>
      </c>
      <c r="E224" s="19">
        <v>5100</v>
      </c>
      <c r="F224" s="19">
        <v>600</v>
      </c>
      <c r="G224" s="19">
        <v>40</v>
      </c>
      <c r="H224" s="21">
        <f t="shared" si="16"/>
        <v>960.8399999999998</v>
      </c>
      <c r="I224" s="19">
        <v>2</v>
      </c>
      <c r="J224" s="22">
        <f t="shared" si="17"/>
        <v>1921.6799999999996</v>
      </c>
      <c r="K224" s="19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</row>
    <row r="225" spans="1:23" s="18" customFormat="1" ht="20" hidden="1" customHeight="1" x14ac:dyDescent="0.3">
      <c r="A225" s="41"/>
      <c r="B225" s="44" t="s">
        <v>39</v>
      </c>
      <c r="C225" s="19" t="s">
        <v>40</v>
      </c>
      <c r="D225" s="19" t="s">
        <v>32</v>
      </c>
      <c r="E225" s="19">
        <v>11613.3</v>
      </c>
      <c r="F225" s="19">
        <v>2641.7</v>
      </c>
      <c r="G225" s="19">
        <v>16</v>
      </c>
      <c r="H225" s="21">
        <f t="shared" si="16"/>
        <v>3853.2641390159997</v>
      </c>
      <c r="I225" s="19">
        <v>1</v>
      </c>
      <c r="J225" s="22">
        <f t="shared" si="17"/>
        <v>3853.2641390159997</v>
      </c>
      <c r="K225" s="19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</row>
    <row r="226" spans="1:23" s="18" customFormat="1" ht="20" hidden="1" customHeight="1" x14ac:dyDescent="0.3">
      <c r="A226" s="41"/>
      <c r="B226" s="41"/>
      <c r="C226" s="19" t="s">
        <v>41</v>
      </c>
      <c r="D226" s="19" t="s">
        <v>32</v>
      </c>
      <c r="E226" s="19">
        <v>11613.3</v>
      </c>
      <c r="F226" s="19">
        <v>2718.2</v>
      </c>
      <c r="G226" s="19">
        <v>16</v>
      </c>
      <c r="H226" s="21">
        <f t="shared" si="16"/>
        <v>3964.8493707359999</v>
      </c>
      <c r="I226" s="19">
        <v>1</v>
      </c>
      <c r="J226" s="22">
        <f t="shared" si="17"/>
        <v>3964.8493707359999</v>
      </c>
      <c r="K226" s="19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</row>
    <row r="227" spans="1:23" s="18" customFormat="1" ht="20" hidden="1" customHeight="1" x14ac:dyDescent="0.3">
      <c r="A227" s="41"/>
      <c r="B227" s="41"/>
      <c r="C227" s="19" t="s">
        <v>42</v>
      </c>
      <c r="D227" s="19" t="s">
        <v>32</v>
      </c>
      <c r="E227" s="19">
        <v>12189</v>
      </c>
      <c r="F227" s="19">
        <v>2641.7</v>
      </c>
      <c r="G227" s="19">
        <v>16</v>
      </c>
      <c r="H227" s="21">
        <f t="shared" si="16"/>
        <v>4044.2799712799997</v>
      </c>
      <c r="I227" s="19">
        <v>1</v>
      </c>
      <c r="J227" s="22">
        <f t="shared" si="17"/>
        <v>4044.2799712799997</v>
      </c>
      <c r="K227" s="19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</row>
    <row r="228" spans="1:23" s="18" customFormat="1" ht="20" hidden="1" customHeight="1" x14ac:dyDescent="0.3">
      <c r="A228" s="41"/>
      <c r="B228" s="41"/>
      <c r="C228" s="19" t="s">
        <v>43</v>
      </c>
      <c r="D228" s="19" t="s">
        <v>32</v>
      </c>
      <c r="E228" s="19">
        <v>12189</v>
      </c>
      <c r="F228" s="19">
        <v>2718.2</v>
      </c>
      <c r="G228" s="19">
        <v>16</v>
      </c>
      <c r="H228" s="21">
        <f t="shared" si="16"/>
        <v>4161.3967588799997</v>
      </c>
      <c r="I228" s="19">
        <v>1</v>
      </c>
      <c r="J228" s="22">
        <f t="shared" si="17"/>
        <v>4161.3967588799997</v>
      </c>
      <c r="K228" s="19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</row>
    <row r="229" spans="1:23" s="18" customFormat="1" ht="20" hidden="1" customHeight="1" x14ac:dyDescent="0.3">
      <c r="A229" s="41"/>
      <c r="B229" s="41"/>
      <c r="C229" s="19" t="s">
        <v>44</v>
      </c>
      <c r="D229" s="19" t="s">
        <v>32</v>
      </c>
      <c r="E229" s="19">
        <v>16000</v>
      </c>
      <c r="F229" s="19">
        <v>2631.7</v>
      </c>
      <c r="G229" s="19">
        <v>14</v>
      </c>
      <c r="H229" s="21">
        <f t="shared" si="16"/>
        <v>4627.5812800000003</v>
      </c>
      <c r="I229" s="19">
        <v>2</v>
      </c>
      <c r="J229" s="22">
        <f t="shared" si="17"/>
        <v>9255.1625600000007</v>
      </c>
      <c r="K229" s="19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</row>
    <row r="230" spans="1:23" s="18" customFormat="1" ht="20" hidden="1" customHeight="1" x14ac:dyDescent="0.3">
      <c r="A230" s="41"/>
      <c r="B230" s="41"/>
      <c r="C230" s="19" t="s">
        <v>45</v>
      </c>
      <c r="D230" s="19" t="s">
        <v>32</v>
      </c>
      <c r="E230" s="19">
        <v>16000</v>
      </c>
      <c r="F230" s="19">
        <v>2708.2</v>
      </c>
      <c r="G230" s="19">
        <v>14</v>
      </c>
      <c r="H230" s="21">
        <f t="shared" si="16"/>
        <v>4762.0988799999996</v>
      </c>
      <c r="I230" s="19">
        <v>2</v>
      </c>
      <c r="J230" s="22">
        <f t="shared" si="17"/>
        <v>9524.1977599999991</v>
      </c>
      <c r="K230" s="19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</row>
    <row r="231" spans="1:23" s="18" customFormat="1" ht="20" hidden="1" customHeight="1" x14ac:dyDescent="0.3">
      <c r="A231" s="41"/>
      <c r="B231" s="41"/>
      <c r="C231" s="19" t="s">
        <v>46</v>
      </c>
      <c r="D231" s="19" t="s">
        <v>32</v>
      </c>
      <c r="E231" s="19">
        <v>16000</v>
      </c>
      <c r="F231" s="19">
        <v>2637.7</v>
      </c>
      <c r="G231" s="19">
        <v>14</v>
      </c>
      <c r="H231" s="21">
        <f t="shared" si="16"/>
        <v>4638.1316799999995</v>
      </c>
      <c r="I231" s="19">
        <v>2</v>
      </c>
      <c r="J231" s="22">
        <f t="shared" si="17"/>
        <v>9276.263359999999</v>
      </c>
      <c r="K231" s="19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</row>
    <row r="232" spans="1:23" s="18" customFormat="1" ht="20" hidden="1" customHeight="1" x14ac:dyDescent="0.3">
      <c r="A232" s="41"/>
      <c r="B232" s="41"/>
      <c r="C232" s="19" t="s">
        <v>47</v>
      </c>
      <c r="D232" s="19" t="s">
        <v>32</v>
      </c>
      <c r="E232" s="19">
        <v>16000</v>
      </c>
      <c r="F232" s="19">
        <v>2714.2</v>
      </c>
      <c r="G232" s="19">
        <v>14</v>
      </c>
      <c r="H232" s="21">
        <f t="shared" si="16"/>
        <v>4772.6492799999996</v>
      </c>
      <c r="I232" s="19">
        <v>2</v>
      </c>
      <c r="J232" s="22">
        <f t="shared" si="17"/>
        <v>9545.2985599999993</v>
      </c>
      <c r="K232" s="19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</row>
    <row r="233" spans="1:23" s="18" customFormat="1" ht="20" customHeight="1" x14ac:dyDescent="0.3">
      <c r="A233" s="41"/>
      <c r="B233" s="41"/>
      <c r="C233" s="19" t="s">
        <v>48</v>
      </c>
      <c r="D233" s="19" t="s">
        <v>32</v>
      </c>
      <c r="E233" s="19">
        <v>16000</v>
      </c>
      <c r="F233" s="19">
        <v>2621.7</v>
      </c>
      <c r="G233" s="19">
        <v>20</v>
      </c>
      <c r="H233" s="21">
        <f t="shared" si="16"/>
        <v>6585.710399999999</v>
      </c>
      <c r="I233" s="19">
        <v>1</v>
      </c>
      <c r="J233" s="22">
        <f t="shared" si="17"/>
        <v>6585.710399999999</v>
      </c>
      <c r="K233" s="19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</row>
    <row r="234" spans="1:23" s="18" customFormat="1" ht="20" customHeight="1" x14ac:dyDescent="0.3">
      <c r="A234" s="41"/>
      <c r="B234" s="39"/>
      <c r="C234" s="19" t="s">
        <v>49</v>
      </c>
      <c r="D234" s="19" t="s">
        <v>32</v>
      </c>
      <c r="E234" s="19">
        <v>16000</v>
      </c>
      <c r="F234" s="19">
        <v>2698.2</v>
      </c>
      <c r="G234" s="19">
        <v>20</v>
      </c>
      <c r="H234" s="21">
        <f t="shared" si="16"/>
        <v>6777.8783999999996</v>
      </c>
      <c r="I234" s="19">
        <v>1</v>
      </c>
      <c r="J234" s="22">
        <f t="shared" si="17"/>
        <v>6777.8783999999996</v>
      </c>
      <c r="K234" s="19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</row>
    <row r="235" spans="1:23" s="18" customFormat="1" ht="20" hidden="1" customHeight="1" x14ac:dyDescent="0.3">
      <c r="A235" s="41"/>
      <c r="B235" s="44" t="s">
        <v>50</v>
      </c>
      <c r="C235" s="19" t="s">
        <v>51</v>
      </c>
      <c r="D235" s="19" t="s">
        <v>32</v>
      </c>
      <c r="E235" s="19">
        <v>10863.3</v>
      </c>
      <c r="F235" s="19">
        <v>2630</v>
      </c>
      <c r="G235" s="19">
        <v>16</v>
      </c>
      <c r="H235" s="21">
        <f t="shared" si="16"/>
        <v>3588.4521623999995</v>
      </c>
      <c r="I235" s="19">
        <v>1</v>
      </c>
      <c r="J235" s="22">
        <f t="shared" si="17"/>
        <v>3588.4521623999995</v>
      </c>
      <c r="K235" s="19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</row>
    <row r="236" spans="1:23" s="18" customFormat="1" ht="20" hidden="1" customHeight="1" x14ac:dyDescent="0.3">
      <c r="A236" s="41"/>
      <c r="B236" s="41"/>
      <c r="C236" s="19" t="s">
        <v>52</v>
      </c>
      <c r="D236" s="19" t="s">
        <v>32</v>
      </c>
      <c r="E236" s="19">
        <v>11439</v>
      </c>
      <c r="F236" s="19">
        <v>2630</v>
      </c>
      <c r="G236" s="19">
        <v>16</v>
      </c>
      <c r="H236" s="21">
        <f t="shared" si="16"/>
        <v>3778.6219920000003</v>
      </c>
      <c r="I236" s="19">
        <v>1</v>
      </c>
      <c r="J236" s="22">
        <f t="shared" si="17"/>
        <v>3778.6219920000003</v>
      </c>
      <c r="K236" s="19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</row>
    <row r="237" spans="1:23" s="18" customFormat="1" ht="20" customHeight="1" x14ac:dyDescent="0.3">
      <c r="A237" s="41"/>
      <c r="B237" s="41"/>
      <c r="C237" s="19" t="s">
        <v>53</v>
      </c>
      <c r="D237" s="19" t="s">
        <v>32</v>
      </c>
      <c r="E237" s="19">
        <v>16000</v>
      </c>
      <c r="F237" s="19">
        <v>2630</v>
      </c>
      <c r="G237" s="19">
        <v>20</v>
      </c>
      <c r="H237" s="21">
        <f t="shared" si="16"/>
        <v>6606.56</v>
      </c>
      <c r="I237" s="19">
        <v>4</v>
      </c>
      <c r="J237" s="22">
        <f t="shared" si="17"/>
        <v>26426.240000000002</v>
      </c>
      <c r="K237" s="19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</row>
    <row r="238" spans="1:23" s="18" customFormat="1" ht="20" hidden="1" customHeight="1" x14ac:dyDescent="0.3">
      <c r="A238" s="41"/>
      <c r="B238" s="39"/>
      <c r="C238" s="19" t="s">
        <v>54</v>
      </c>
      <c r="D238" s="19" t="s">
        <v>32</v>
      </c>
      <c r="E238" s="19">
        <v>16000</v>
      </c>
      <c r="F238" s="19">
        <v>2630</v>
      </c>
      <c r="G238" s="19">
        <v>24</v>
      </c>
      <c r="H238" s="21">
        <f t="shared" si="16"/>
        <v>7927.8719999999994</v>
      </c>
      <c r="I238" s="19">
        <v>1</v>
      </c>
      <c r="J238" s="22">
        <f t="shared" si="17"/>
        <v>7927.8719999999994</v>
      </c>
      <c r="K238" s="19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</row>
    <row r="239" spans="1:23" s="18" customFormat="1" ht="20" hidden="1" customHeight="1" x14ac:dyDescent="0.3">
      <c r="A239" s="41"/>
      <c r="B239" s="44" t="s">
        <v>55</v>
      </c>
      <c r="C239" s="19" t="s">
        <v>56</v>
      </c>
      <c r="D239" s="19" t="s">
        <v>32</v>
      </c>
      <c r="E239" s="24">
        <v>18538</v>
      </c>
      <c r="F239" s="19">
        <v>140</v>
      </c>
      <c r="G239" s="19">
        <v>12</v>
      </c>
      <c r="H239" s="21">
        <f t="shared" si="16"/>
        <v>244.47914400000002</v>
      </c>
      <c r="I239" s="19">
        <v>1</v>
      </c>
      <c r="J239" s="22">
        <f t="shared" si="17"/>
        <v>244.47914400000002</v>
      </c>
      <c r="K239" s="2" t="s">
        <v>57</v>
      </c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</row>
    <row r="240" spans="1:23" s="18" customFormat="1" ht="20" hidden="1" customHeight="1" x14ac:dyDescent="0.3">
      <c r="A240" s="41"/>
      <c r="B240" s="41"/>
      <c r="C240" s="19" t="s">
        <v>58</v>
      </c>
      <c r="D240" s="19" t="s">
        <v>32</v>
      </c>
      <c r="E240" s="24">
        <v>80240.899999999994</v>
      </c>
      <c r="F240" s="19">
        <v>140</v>
      </c>
      <c r="G240" s="19">
        <v>12</v>
      </c>
      <c r="H240" s="21">
        <f t="shared" si="16"/>
        <v>1058.2169892000002</v>
      </c>
      <c r="I240" s="19">
        <v>1</v>
      </c>
      <c r="J240" s="22">
        <f t="shared" si="17"/>
        <v>1058.2169892000002</v>
      </c>
      <c r="K240" s="2" t="s">
        <v>57</v>
      </c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</row>
    <row r="241" spans="1:23" s="18" customFormat="1" ht="20" hidden="1" customHeight="1" x14ac:dyDescent="0.3">
      <c r="A241" s="41"/>
      <c r="B241" s="39"/>
      <c r="C241" s="19" t="s">
        <v>59</v>
      </c>
      <c r="D241" s="19" t="s">
        <v>32</v>
      </c>
      <c r="E241" s="24">
        <v>26874.6</v>
      </c>
      <c r="F241" s="19">
        <v>180</v>
      </c>
      <c r="G241" s="19">
        <v>16</v>
      </c>
      <c r="H241" s="21">
        <f t="shared" si="16"/>
        <v>607.58095679999997</v>
      </c>
      <c r="I241" s="19">
        <v>1</v>
      </c>
      <c r="J241" s="22">
        <f t="shared" si="17"/>
        <v>607.58095679999997</v>
      </c>
      <c r="K241" s="2" t="s">
        <v>57</v>
      </c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</row>
    <row r="242" spans="1:23" s="18" customFormat="1" ht="20" hidden="1" customHeight="1" x14ac:dyDescent="0.3">
      <c r="A242" s="41"/>
      <c r="B242" s="44" t="s">
        <v>60</v>
      </c>
      <c r="C242" s="19" t="s">
        <v>61</v>
      </c>
      <c r="D242" s="19" t="s">
        <v>32</v>
      </c>
      <c r="E242" s="19">
        <v>10313.299999999999</v>
      </c>
      <c r="F242" s="19">
        <v>160</v>
      </c>
      <c r="G242" s="19">
        <v>14</v>
      </c>
      <c r="H242" s="21">
        <f t="shared" si="16"/>
        <v>181.34906720000001</v>
      </c>
      <c r="I242" s="19">
        <v>2</v>
      </c>
      <c r="J242" s="22">
        <f t="shared" si="17"/>
        <v>362.69813440000001</v>
      </c>
      <c r="K242" s="19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</row>
    <row r="243" spans="1:23" s="18" customFormat="1" ht="20" hidden="1" customHeight="1" x14ac:dyDescent="0.3">
      <c r="A243" s="41"/>
      <c r="B243" s="41"/>
      <c r="C243" s="19" t="s">
        <v>62</v>
      </c>
      <c r="D243" s="19" t="s">
        <v>32</v>
      </c>
      <c r="E243" s="19">
        <v>10889</v>
      </c>
      <c r="F243" s="19">
        <v>160</v>
      </c>
      <c r="G243" s="19">
        <v>14</v>
      </c>
      <c r="H243" s="21">
        <f t="shared" si="16"/>
        <v>191.47217600000002</v>
      </c>
      <c r="I243" s="19">
        <v>2</v>
      </c>
      <c r="J243" s="22">
        <f t="shared" si="17"/>
        <v>382.94435200000004</v>
      </c>
      <c r="K243" s="19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</row>
    <row r="244" spans="1:23" s="18" customFormat="1" ht="20" hidden="1" customHeight="1" x14ac:dyDescent="0.3">
      <c r="A244" s="41"/>
      <c r="B244" s="41"/>
      <c r="C244" s="19" t="s">
        <v>63</v>
      </c>
      <c r="D244" s="19" t="s">
        <v>32</v>
      </c>
      <c r="E244" s="19">
        <v>16000</v>
      </c>
      <c r="F244" s="19">
        <v>160</v>
      </c>
      <c r="G244" s="19">
        <v>14</v>
      </c>
      <c r="H244" s="21">
        <f t="shared" si="16"/>
        <v>281.34400000000005</v>
      </c>
      <c r="I244" s="19">
        <v>8</v>
      </c>
      <c r="J244" s="22">
        <f t="shared" si="17"/>
        <v>2250.7520000000004</v>
      </c>
      <c r="K244" s="19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</row>
    <row r="245" spans="1:23" s="18" customFormat="1" ht="20" customHeight="1" x14ac:dyDescent="0.3">
      <c r="A245" s="41"/>
      <c r="B245" s="39"/>
      <c r="C245" s="19" t="s">
        <v>64</v>
      </c>
      <c r="D245" s="19" t="s">
        <v>32</v>
      </c>
      <c r="E245" s="19">
        <v>16000</v>
      </c>
      <c r="F245" s="19">
        <v>220</v>
      </c>
      <c r="G245" s="19">
        <v>20</v>
      </c>
      <c r="H245" s="21">
        <f t="shared" si="16"/>
        <v>552.64</v>
      </c>
      <c r="I245" s="19">
        <v>3</v>
      </c>
      <c r="J245" s="22">
        <f t="shared" si="17"/>
        <v>1657.92</v>
      </c>
      <c r="K245" s="19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</row>
    <row r="246" spans="1:23" s="18" customFormat="1" ht="20" hidden="1" customHeight="1" x14ac:dyDescent="0.3">
      <c r="A246" s="39"/>
      <c r="B246" s="44" t="s">
        <v>65</v>
      </c>
      <c r="C246" s="38"/>
      <c r="D246" s="19"/>
      <c r="E246" s="19"/>
      <c r="F246" s="19"/>
      <c r="G246" s="19"/>
      <c r="H246" s="21"/>
      <c r="I246" s="19"/>
      <c r="J246" s="22">
        <f>SUM(J218:J245)</f>
        <v>142969.31233071201</v>
      </c>
      <c r="K246" s="1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</row>
    <row r="247" spans="1:23" s="18" customFormat="1" ht="20" customHeight="1" x14ac:dyDescent="0.3">
      <c r="A247" s="44" t="s">
        <v>252</v>
      </c>
      <c r="B247" s="44" t="s">
        <v>30</v>
      </c>
      <c r="C247" s="19" t="s">
        <v>67</v>
      </c>
      <c r="D247" s="19" t="s">
        <v>32</v>
      </c>
      <c r="E247" s="19">
        <v>7368.3</v>
      </c>
      <c r="F247" s="19">
        <v>600</v>
      </c>
      <c r="G247" s="19">
        <v>20</v>
      </c>
      <c r="H247" s="21">
        <f t="shared" ref="H247:H271" si="18">(E247/1000)*(F247/1000)*(G247/1000)*7850</f>
        <v>694.09386000000006</v>
      </c>
      <c r="I247" s="19">
        <v>2</v>
      </c>
      <c r="J247" s="22">
        <f t="shared" ref="J247:J271" si="19">H247*I247</f>
        <v>1388.1877200000001</v>
      </c>
      <c r="K247" s="19"/>
      <c r="L247" s="44" t="str">
        <f>A247</f>
        <v>下层2#</v>
      </c>
      <c r="M247" s="43">
        <f>SUMIF(G247:G271,$M$3,J247:J271)</f>
        <v>1188.2005548</v>
      </c>
      <c r="N247" s="43">
        <f>SUMIF(G247:G271,$N$3,J247:J271)</f>
        <v>40650.082793599999</v>
      </c>
      <c r="O247" s="43">
        <f>SUMIF(G247:G271,$O$3,J247:J271)</f>
        <v>24266.708608487999</v>
      </c>
      <c r="P247" s="43">
        <f>SUMIF(G247:G271,$P$3,J247:J271)</f>
        <v>45988.697480000003</v>
      </c>
      <c r="Q247" s="43">
        <f>SUMIF(G247:G271,$Q$3,J247:J271)</f>
        <v>22396.991999999998</v>
      </c>
      <c r="R247" s="43">
        <f>SUMIF(G247:G271,$R$3,J247:J271)</f>
        <v>0</v>
      </c>
      <c r="S247" s="43">
        <f>SUMIF(G247:G271,$S$3,J247:J271)</f>
        <v>6933.12</v>
      </c>
      <c r="T247" s="43">
        <f>SUM(M247:S272)</f>
        <v>141423.801436888</v>
      </c>
      <c r="U247" s="43">
        <v>141423.79999999999</v>
      </c>
      <c r="V247" s="43">
        <f>T247-U247</f>
        <v>1.4368880074471235E-3</v>
      </c>
      <c r="W247" s="44"/>
    </row>
    <row r="248" spans="1:23" s="18" customFormat="1" ht="20" customHeight="1" x14ac:dyDescent="0.3">
      <c r="A248" s="41"/>
      <c r="B248" s="41"/>
      <c r="C248" s="19" t="s">
        <v>68</v>
      </c>
      <c r="D248" s="19" t="s">
        <v>32</v>
      </c>
      <c r="E248" s="19">
        <v>16734.400000000001</v>
      </c>
      <c r="F248" s="19">
        <v>600</v>
      </c>
      <c r="G248" s="19">
        <v>20</v>
      </c>
      <c r="H248" s="21">
        <f t="shared" si="18"/>
        <v>1576.38048</v>
      </c>
      <c r="I248" s="19">
        <v>2</v>
      </c>
      <c r="J248" s="22">
        <f t="shared" si="19"/>
        <v>3152.7609600000001</v>
      </c>
      <c r="K248" s="19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</row>
    <row r="249" spans="1:23" s="18" customFormat="1" ht="20" hidden="1" customHeight="1" x14ac:dyDescent="0.3">
      <c r="A249" s="41"/>
      <c r="B249" s="41"/>
      <c r="C249" s="19" t="s">
        <v>69</v>
      </c>
      <c r="D249" s="19" t="s">
        <v>32</v>
      </c>
      <c r="E249" s="19">
        <v>16000</v>
      </c>
      <c r="F249" s="19">
        <v>600</v>
      </c>
      <c r="G249" s="19">
        <v>24</v>
      </c>
      <c r="H249" s="21">
        <f t="shared" si="18"/>
        <v>1808.6399999999999</v>
      </c>
      <c r="I249" s="19">
        <v>8</v>
      </c>
      <c r="J249" s="22">
        <f t="shared" si="19"/>
        <v>14469.119999999999</v>
      </c>
      <c r="K249" s="19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</row>
    <row r="250" spans="1:23" s="18" customFormat="1" ht="20" hidden="1" customHeight="1" x14ac:dyDescent="0.3">
      <c r="A250" s="41"/>
      <c r="B250" s="41"/>
      <c r="C250" s="19" t="s">
        <v>70</v>
      </c>
      <c r="D250" s="19" t="s">
        <v>32</v>
      </c>
      <c r="E250" s="19">
        <v>3900</v>
      </c>
      <c r="F250" s="19">
        <v>600</v>
      </c>
      <c r="G250" s="19">
        <v>40</v>
      </c>
      <c r="H250" s="21">
        <f t="shared" si="18"/>
        <v>734.76</v>
      </c>
      <c r="I250" s="19">
        <v>2</v>
      </c>
      <c r="J250" s="22">
        <f t="shared" si="19"/>
        <v>1469.52</v>
      </c>
      <c r="K250" s="19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</row>
    <row r="251" spans="1:23" s="18" customFormat="1" ht="20" hidden="1" customHeight="1" x14ac:dyDescent="0.3">
      <c r="A251" s="41"/>
      <c r="B251" s="41"/>
      <c r="C251" s="19" t="s">
        <v>71</v>
      </c>
      <c r="D251" s="19" t="s">
        <v>32</v>
      </c>
      <c r="E251" s="19">
        <v>7200</v>
      </c>
      <c r="F251" s="19">
        <v>800</v>
      </c>
      <c r="G251" s="19">
        <v>40</v>
      </c>
      <c r="H251" s="21">
        <f t="shared" si="18"/>
        <v>1808.64</v>
      </c>
      <c r="I251" s="19">
        <v>2</v>
      </c>
      <c r="J251" s="22">
        <f t="shared" si="19"/>
        <v>3617.28</v>
      </c>
      <c r="K251" s="19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</row>
    <row r="252" spans="1:23" s="18" customFormat="1" ht="20" hidden="1" customHeight="1" x14ac:dyDescent="0.3">
      <c r="A252" s="41"/>
      <c r="B252" s="39"/>
      <c r="C252" s="19" t="s">
        <v>72</v>
      </c>
      <c r="D252" s="19" t="s">
        <v>32</v>
      </c>
      <c r="E252" s="19">
        <v>4900</v>
      </c>
      <c r="F252" s="19">
        <v>600</v>
      </c>
      <c r="G252" s="19">
        <v>40</v>
      </c>
      <c r="H252" s="21">
        <f t="shared" si="18"/>
        <v>923.16</v>
      </c>
      <c r="I252" s="19">
        <v>2</v>
      </c>
      <c r="J252" s="22">
        <f t="shared" si="19"/>
        <v>1846.32</v>
      </c>
      <c r="K252" s="19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</row>
    <row r="253" spans="1:23" s="18" customFormat="1" ht="20" hidden="1" customHeight="1" x14ac:dyDescent="0.3">
      <c r="A253" s="41"/>
      <c r="B253" s="44" t="s">
        <v>39</v>
      </c>
      <c r="C253" s="19" t="s">
        <v>73</v>
      </c>
      <c r="D253" s="19" t="s">
        <v>32</v>
      </c>
      <c r="E253" s="19">
        <v>7368.3</v>
      </c>
      <c r="F253" s="19">
        <v>2641.7</v>
      </c>
      <c r="G253" s="19">
        <v>16</v>
      </c>
      <c r="H253" s="21">
        <f t="shared" si="18"/>
        <v>2444.7836666160001</v>
      </c>
      <c r="I253" s="19">
        <v>1</v>
      </c>
      <c r="J253" s="22">
        <f t="shared" si="19"/>
        <v>2444.7836666160001</v>
      </c>
      <c r="K253" s="19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</row>
    <row r="254" spans="1:23" s="18" customFormat="1" ht="20" hidden="1" customHeight="1" x14ac:dyDescent="0.3">
      <c r="A254" s="41"/>
      <c r="B254" s="41"/>
      <c r="C254" s="19" t="s">
        <v>74</v>
      </c>
      <c r="D254" s="19" t="s">
        <v>32</v>
      </c>
      <c r="E254" s="19">
        <v>7368.3</v>
      </c>
      <c r="F254" s="19">
        <v>2718.2</v>
      </c>
      <c r="G254" s="19">
        <v>16</v>
      </c>
      <c r="H254" s="21">
        <f t="shared" si="18"/>
        <v>2515.5812403360005</v>
      </c>
      <c r="I254" s="19">
        <v>1</v>
      </c>
      <c r="J254" s="22">
        <f t="shared" si="19"/>
        <v>2515.5812403360005</v>
      </c>
      <c r="K254" s="19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</row>
    <row r="255" spans="1:23" s="18" customFormat="1" ht="20" hidden="1" customHeight="1" x14ac:dyDescent="0.3">
      <c r="A255" s="41"/>
      <c r="B255" s="41"/>
      <c r="C255" s="19" t="s">
        <v>75</v>
      </c>
      <c r="D255" s="19" t="s">
        <v>32</v>
      </c>
      <c r="E255" s="19">
        <v>16734.400000000001</v>
      </c>
      <c r="F255" s="19">
        <v>2641.7</v>
      </c>
      <c r="G255" s="19">
        <v>16</v>
      </c>
      <c r="H255" s="21">
        <f t="shared" si="18"/>
        <v>5552.4324186880003</v>
      </c>
      <c r="I255" s="19">
        <v>1</v>
      </c>
      <c r="J255" s="22">
        <f t="shared" si="19"/>
        <v>5552.4324186880003</v>
      </c>
      <c r="K255" s="19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</row>
    <row r="256" spans="1:23" s="18" customFormat="1" ht="20" hidden="1" customHeight="1" x14ac:dyDescent="0.3">
      <c r="A256" s="41"/>
      <c r="B256" s="41"/>
      <c r="C256" s="19" t="s">
        <v>76</v>
      </c>
      <c r="D256" s="19" t="s">
        <v>32</v>
      </c>
      <c r="E256" s="19">
        <v>16734.400000000001</v>
      </c>
      <c r="F256" s="19">
        <v>2718.2</v>
      </c>
      <c r="G256" s="19">
        <v>16</v>
      </c>
      <c r="H256" s="21">
        <f t="shared" si="18"/>
        <v>5713.2232276479999</v>
      </c>
      <c r="I256" s="19">
        <v>1</v>
      </c>
      <c r="J256" s="22">
        <f t="shared" si="19"/>
        <v>5713.2232276479999</v>
      </c>
      <c r="K256" s="19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</row>
    <row r="257" spans="1:23" s="18" customFormat="1" ht="20" hidden="1" customHeight="1" x14ac:dyDescent="0.3">
      <c r="A257" s="41"/>
      <c r="B257" s="41"/>
      <c r="C257" s="19" t="s">
        <v>77</v>
      </c>
      <c r="D257" s="19" t="s">
        <v>32</v>
      </c>
      <c r="E257" s="19">
        <v>16000</v>
      </c>
      <c r="F257" s="19">
        <v>2637.7</v>
      </c>
      <c r="G257" s="19">
        <v>14</v>
      </c>
      <c r="H257" s="21">
        <f t="shared" si="18"/>
        <v>4638.1316799999995</v>
      </c>
      <c r="I257" s="19">
        <v>4</v>
      </c>
      <c r="J257" s="22">
        <f t="shared" si="19"/>
        <v>18552.526719999998</v>
      </c>
      <c r="K257" s="19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</row>
    <row r="258" spans="1:23" s="18" customFormat="1" ht="20" hidden="1" customHeight="1" x14ac:dyDescent="0.3">
      <c r="A258" s="41"/>
      <c r="B258" s="41"/>
      <c r="C258" s="19" t="s">
        <v>78</v>
      </c>
      <c r="D258" s="19" t="s">
        <v>32</v>
      </c>
      <c r="E258" s="19">
        <v>16000</v>
      </c>
      <c r="F258" s="19">
        <v>2714.2</v>
      </c>
      <c r="G258" s="19">
        <v>14</v>
      </c>
      <c r="H258" s="21">
        <f t="shared" si="18"/>
        <v>4772.6492799999996</v>
      </c>
      <c r="I258" s="19">
        <v>4</v>
      </c>
      <c r="J258" s="22">
        <f t="shared" si="19"/>
        <v>19090.597119999999</v>
      </c>
      <c r="K258" s="19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</row>
    <row r="259" spans="1:23" s="18" customFormat="1" ht="20" customHeight="1" x14ac:dyDescent="0.3">
      <c r="A259" s="41"/>
      <c r="B259" s="41"/>
      <c r="C259" s="19" t="s">
        <v>79</v>
      </c>
      <c r="D259" s="19" t="s">
        <v>32</v>
      </c>
      <c r="E259" s="19">
        <v>16000</v>
      </c>
      <c r="F259" s="19">
        <v>2621.7</v>
      </c>
      <c r="G259" s="19">
        <v>20</v>
      </c>
      <c r="H259" s="21">
        <f t="shared" si="18"/>
        <v>6585.710399999999</v>
      </c>
      <c r="I259" s="19">
        <v>1</v>
      </c>
      <c r="J259" s="22">
        <f t="shared" si="19"/>
        <v>6585.710399999999</v>
      </c>
      <c r="K259" s="19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</row>
    <row r="260" spans="1:23" s="18" customFormat="1" ht="20" customHeight="1" x14ac:dyDescent="0.3">
      <c r="A260" s="41"/>
      <c r="B260" s="39"/>
      <c r="C260" s="19" t="s">
        <v>80</v>
      </c>
      <c r="D260" s="19" t="s">
        <v>32</v>
      </c>
      <c r="E260" s="19">
        <v>16000</v>
      </c>
      <c r="F260" s="19">
        <v>2698.2</v>
      </c>
      <c r="G260" s="19">
        <v>20</v>
      </c>
      <c r="H260" s="21">
        <f t="shared" si="18"/>
        <v>6777.8783999999996</v>
      </c>
      <c r="I260" s="19">
        <v>1</v>
      </c>
      <c r="J260" s="22">
        <f t="shared" si="19"/>
        <v>6777.8783999999996</v>
      </c>
      <c r="K260" s="19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</row>
    <row r="261" spans="1:23" s="18" customFormat="1" ht="20" hidden="1" customHeight="1" x14ac:dyDescent="0.3">
      <c r="A261" s="41"/>
      <c r="B261" s="44" t="s">
        <v>50</v>
      </c>
      <c r="C261" s="19" t="s">
        <v>81</v>
      </c>
      <c r="D261" s="19" t="s">
        <v>32</v>
      </c>
      <c r="E261" s="19">
        <v>6618.3</v>
      </c>
      <c r="F261" s="19">
        <v>2630</v>
      </c>
      <c r="G261" s="19">
        <v>16</v>
      </c>
      <c r="H261" s="21">
        <f t="shared" si="18"/>
        <v>2186.2098023999997</v>
      </c>
      <c r="I261" s="19">
        <v>1</v>
      </c>
      <c r="J261" s="22">
        <f t="shared" si="19"/>
        <v>2186.2098023999997</v>
      </c>
      <c r="K261" s="19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</row>
    <row r="262" spans="1:23" s="18" customFormat="1" ht="20" hidden="1" customHeight="1" x14ac:dyDescent="0.3">
      <c r="A262" s="41"/>
      <c r="B262" s="41"/>
      <c r="C262" s="19" t="s">
        <v>82</v>
      </c>
      <c r="D262" s="19" t="s">
        <v>32</v>
      </c>
      <c r="E262" s="19">
        <v>15984.4</v>
      </c>
      <c r="F262" s="19">
        <v>2630</v>
      </c>
      <c r="G262" s="19">
        <v>16</v>
      </c>
      <c r="H262" s="21">
        <f t="shared" si="18"/>
        <v>5280.0948831999995</v>
      </c>
      <c r="I262" s="19">
        <v>1</v>
      </c>
      <c r="J262" s="22">
        <f t="shared" si="19"/>
        <v>5280.0948831999995</v>
      </c>
      <c r="K262" s="19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</row>
    <row r="263" spans="1:23" s="18" customFormat="1" ht="20" customHeight="1" x14ac:dyDescent="0.3">
      <c r="A263" s="41"/>
      <c r="B263" s="41"/>
      <c r="C263" s="19" t="s">
        <v>83</v>
      </c>
      <c r="D263" s="19" t="s">
        <v>32</v>
      </c>
      <c r="E263" s="19">
        <v>16000</v>
      </c>
      <c r="F263" s="19">
        <v>2630</v>
      </c>
      <c r="G263" s="19">
        <v>20</v>
      </c>
      <c r="H263" s="21">
        <f t="shared" si="18"/>
        <v>6606.56</v>
      </c>
      <c r="I263" s="19">
        <v>4</v>
      </c>
      <c r="J263" s="22">
        <f t="shared" si="19"/>
        <v>26426.240000000002</v>
      </c>
      <c r="K263" s="19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</row>
    <row r="264" spans="1:23" s="18" customFormat="1" ht="20" hidden="1" customHeight="1" x14ac:dyDescent="0.3">
      <c r="A264" s="41"/>
      <c r="B264" s="39"/>
      <c r="C264" s="19" t="s">
        <v>84</v>
      </c>
      <c r="D264" s="19" t="s">
        <v>32</v>
      </c>
      <c r="E264" s="19">
        <v>16000</v>
      </c>
      <c r="F264" s="19">
        <v>2630</v>
      </c>
      <c r="G264" s="19">
        <v>24</v>
      </c>
      <c r="H264" s="21">
        <f t="shared" si="18"/>
        <v>7927.8719999999994</v>
      </c>
      <c r="I264" s="19">
        <v>1</v>
      </c>
      <c r="J264" s="22">
        <f t="shared" si="19"/>
        <v>7927.8719999999994</v>
      </c>
      <c r="K264" s="19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</row>
    <row r="265" spans="1:23" s="18" customFormat="1" ht="20" hidden="1" customHeight="1" x14ac:dyDescent="0.3">
      <c r="A265" s="41"/>
      <c r="B265" s="44" t="s">
        <v>55</v>
      </c>
      <c r="C265" s="19" t="s">
        <v>85</v>
      </c>
      <c r="D265" s="19" t="s">
        <v>32</v>
      </c>
      <c r="E265" s="24">
        <v>19103.599999999999</v>
      </c>
      <c r="F265" s="19">
        <v>140</v>
      </c>
      <c r="G265" s="19">
        <v>12</v>
      </c>
      <c r="H265" s="21">
        <f t="shared" si="18"/>
        <v>251.93827680000001</v>
      </c>
      <c r="I265" s="19">
        <v>1</v>
      </c>
      <c r="J265" s="22">
        <f t="shared" si="19"/>
        <v>251.93827680000001</v>
      </c>
      <c r="K265" s="2" t="s">
        <v>57</v>
      </c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</row>
    <row r="266" spans="1:23" s="18" customFormat="1" ht="20" hidden="1" customHeight="1" x14ac:dyDescent="0.3">
      <c r="A266" s="41"/>
      <c r="B266" s="41"/>
      <c r="C266" s="19" t="s">
        <v>86</v>
      </c>
      <c r="D266" s="19" t="s">
        <v>32</v>
      </c>
      <c r="E266" s="24">
        <v>70993.5</v>
      </c>
      <c r="F266" s="19">
        <v>140</v>
      </c>
      <c r="G266" s="19">
        <v>12</v>
      </c>
      <c r="H266" s="21">
        <f t="shared" si="18"/>
        <v>936.26227800000004</v>
      </c>
      <c r="I266" s="19">
        <v>1</v>
      </c>
      <c r="J266" s="22">
        <f t="shared" si="19"/>
        <v>936.26227800000004</v>
      </c>
      <c r="K266" s="2" t="s">
        <v>57</v>
      </c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</row>
    <row r="267" spans="1:23" s="18" customFormat="1" ht="20" hidden="1" customHeight="1" x14ac:dyDescent="0.3">
      <c r="A267" s="41"/>
      <c r="B267" s="39"/>
      <c r="C267" s="19" t="s">
        <v>87</v>
      </c>
      <c r="D267" s="19" t="s">
        <v>32</v>
      </c>
      <c r="E267" s="24">
        <v>25406.2</v>
      </c>
      <c r="F267" s="19">
        <v>180</v>
      </c>
      <c r="G267" s="19">
        <v>16</v>
      </c>
      <c r="H267" s="21">
        <f t="shared" si="18"/>
        <v>574.38336959999992</v>
      </c>
      <c r="I267" s="19">
        <v>1</v>
      </c>
      <c r="J267" s="22">
        <f t="shared" si="19"/>
        <v>574.38336959999992</v>
      </c>
      <c r="K267" s="2" t="s">
        <v>57</v>
      </c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</row>
    <row r="268" spans="1:23" s="18" customFormat="1" ht="20" hidden="1" customHeight="1" x14ac:dyDescent="0.3">
      <c r="A268" s="41"/>
      <c r="B268" s="44" t="s">
        <v>60</v>
      </c>
      <c r="C268" s="19" t="s">
        <v>88</v>
      </c>
      <c r="D268" s="19" t="s">
        <v>32</v>
      </c>
      <c r="E268" s="19">
        <v>6068.3</v>
      </c>
      <c r="F268" s="19">
        <v>160</v>
      </c>
      <c r="G268" s="19">
        <v>14</v>
      </c>
      <c r="H268" s="21">
        <f t="shared" si="18"/>
        <v>106.70498720000001</v>
      </c>
      <c r="I268" s="19">
        <v>2</v>
      </c>
      <c r="J268" s="22">
        <f t="shared" si="19"/>
        <v>213.40997440000001</v>
      </c>
      <c r="K268" s="19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</row>
    <row r="269" spans="1:23" s="18" customFormat="1" ht="20" hidden="1" customHeight="1" x14ac:dyDescent="0.3">
      <c r="A269" s="41"/>
      <c r="B269" s="41"/>
      <c r="C269" s="19" t="s">
        <v>89</v>
      </c>
      <c r="D269" s="19" t="s">
        <v>32</v>
      </c>
      <c r="E269" s="19">
        <v>15434.4</v>
      </c>
      <c r="F269" s="19">
        <v>160</v>
      </c>
      <c r="G269" s="19">
        <v>14</v>
      </c>
      <c r="H269" s="21">
        <f t="shared" si="18"/>
        <v>271.39848960000006</v>
      </c>
      <c r="I269" s="19">
        <v>2</v>
      </c>
      <c r="J269" s="22">
        <f t="shared" si="19"/>
        <v>542.79697920000012</v>
      </c>
      <c r="K269" s="19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</row>
    <row r="270" spans="1:23" s="18" customFormat="1" ht="20" hidden="1" customHeight="1" x14ac:dyDescent="0.3">
      <c r="A270" s="41"/>
      <c r="B270" s="41"/>
      <c r="C270" s="19" t="s">
        <v>90</v>
      </c>
      <c r="D270" s="19" t="s">
        <v>32</v>
      </c>
      <c r="E270" s="19">
        <v>16000</v>
      </c>
      <c r="F270" s="19">
        <v>160</v>
      </c>
      <c r="G270" s="19">
        <v>14</v>
      </c>
      <c r="H270" s="21">
        <f t="shared" si="18"/>
        <v>281.34400000000005</v>
      </c>
      <c r="I270" s="19">
        <v>8</v>
      </c>
      <c r="J270" s="22">
        <f t="shared" si="19"/>
        <v>2250.7520000000004</v>
      </c>
      <c r="K270" s="19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</row>
    <row r="271" spans="1:23" s="18" customFormat="1" ht="20" customHeight="1" x14ac:dyDescent="0.3">
      <c r="A271" s="41"/>
      <c r="B271" s="39"/>
      <c r="C271" s="19" t="s">
        <v>91</v>
      </c>
      <c r="D271" s="19" t="s">
        <v>32</v>
      </c>
      <c r="E271" s="19">
        <v>16000</v>
      </c>
      <c r="F271" s="19">
        <v>220</v>
      </c>
      <c r="G271" s="19">
        <v>20</v>
      </c>
      <c r="H271" s="21">
        <f t="shared" si="18"/>
        <v>552.64</v>
      </c>
      <c r="I271" s="19">
        <v>3</v>
      </c>
      <c r="J271" s="22">
        <f t="shared" si="19"/>
        <v>1657.92</v>
      </c>
      <c r="K271" s="19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</row>
    <row r="272" spans="1:23" s="18" customFormat="1" ht="20" hidden="1" customHeight="1" x14ac:dyDescent="0.3">
      <c r="A272" s="39"/>
      <c r="B272" s="44" t="s">
        <v>65</v>
      </c>
      <c r="C272" s="38"/>
      <c r="D272" s="19"/>
      <c r="E272" s="19"/>
      <c r="F272" s="19"/>
      <c r="G272" s="19"/>
      <c r="H272" s="21"/>
      <c r="I272" s="19"/>
      <c r="J272" s="22">
        <f>SUM(J247:J271)</f>
        <v>141423.80143688805</v>
      </c>
      <c r="K272" s="1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</row>
    <row r="273" spans="1:23" s="18" customFormat="1" ht="20" customHeight="1" x14ac:dyDescent="0.3">
      <c r="A273" s="44" t="s">
        <v>253</v>
      </c>
      <c r="B273" s="44" t="s">
        <v>30</v>
      </c>
      <c r="C273" s="19" t="s">
        <v>93</v>
      </c>
      <c r="D273" s="19" t="s">
        <v>32</v>
      </c>
      <c r="E273" s="19">
        <v>18331.5</v>
      </c>
      <c r="F273" s="19">
        <v>600</v>
      </c>
      <c r="G273" s="19">
        <v>20</v>
      </c>
      <c r="H273" s="21">
        <f t="shared" ref="H273:H297" si="20">(E273/1000)*(F273/1000)*(G273/1000)*7850</f>
        <v>1726.8272999999999</v>
      </c>
      <c r="I273" s="19">
        <v>2</v>
      </c>
      <c r="J273" s="22">
        <f t="shared" ref="J273:J297" si="21">H273*I273</f>
        <v>3453.6545999999998</v>
      </c>
      <c r="K273" s="19"/>
      <c r="L273" s="44" t="str">
        <f>A273</f>
        <v>下层3#</v>
      </c>
      <c r="M273" s="43">
        <f>SUMIF(G273:G297,$M$3,J273:J297)</f>
        <v>1254.3884892000001</v>
      </c>
      <c r="N273" s="43">
        <f>SUMIF(G273:G297,$N$3,J273:J297)</f>
        <v>40660.647260800004</v>
      </c>
      <c r="O273" s="43">
        <f>SUMIF(G273:G297,$O$3,J273:J297)</f>
        <v>24568.725609863999</v>
      </c>
      <c r="P273" s="43">
        <f>SUMIF(G273:G297,$P$3,J273:J297)</f>
        <v>46045.292839999995</v>
      </c>
      <c r="Q273" s="43">
        <f>SUMIF(G273:G297,$Q$3,J273:J297)</f>
        <v>22396.991999999998</v>
      </c>
      <c r="R273" s="43">
        <f>SUMIF(G273:G297,$R$3,J273:J297)</f>
        <v>0</v>
      </c>
      <c r="S273" s="43">
        <f>SUMIF(G273:G297,$S$3,J273:J297)</f>
        <v>6933.1200000000008</v>
      </c>
      <c r="T273" s="43">
        <f>SUM(M273:S298)</f>
        <v>141859.166199864</v>
      </c>
      <c r="U273" s="43">
        <v>141859.20000000001</v>
      </c>
      <c r="V273" s="43">
        <f>T273-U273</f>
        <v>-3.3800136006902903E-2</v>
      </c>
      <c r="W273" s="44"/>
    </row>
    <row r="274" spans="1:23" s="18" customFormat="1" ht="20" customHeight="1" x14ac:dyDescent="0.3">
      <c r="A274" s="41"/>
      <c r="B274" s="41"/>
      <c r="C274" s="19" t="s">
        <v>94</v>
      </c>
      <c r="D274" s="19" t="s">
        <v>32</v>
      </c>
      <c r="E274" s="19">
        <v>6071.6</v>
      </c>
      <c r="F274" s="19">
        <v>600</v>
      </c>
      <c r="G274" s="19">
        <v>20</v>
      </c>
      <c r="H274" s="21">
        <f t="shared" si="20"/>
        <v>571.94471999999996</v>
      </c>
      <c r="I274" s="19">
        <v>2</v>
      </c>
      <c r="J274" s="22">
        <f t="shared" si="21"/>
        <v>1143.8894399999999</v>
      </c>
      <c r="K274" s="19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</row>
    <row r="275" spans="1:23" s="18" customFormat="1" ht="20" hidden="1" customHeight="1" x14ac:dyDescent="0.3">
      <c r="A275" s="41"/>
      <c r="B275" s="41"/>
      <c r="C275" s="19" t="s">
        <v>95</v>
      </c>
      <c r="D275" s="19" t="s">
        <v>32</v>
      </c>
      <c r="E275" s="19">
        <v>16000</v>
      </c>
      <c r="F275" s="19">
        <v>600</v>
      </c>
      <c r="G275" s="19">
        <v>24</v>
      </c>
      <c r="H275" s="21">
        <f t="shared" si="20"/>
        <v>1808.6399999999999</v>
      </c>
      <c r="I275" s="19">
        <v>8</v>
      </c>
      <c r="J275" s="22">
        <f t="shared" si="21"/>
        <v>14469.119999999999</v>
      </c>
      <c r="K275" s="19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</row>
    <row r="276" spans="1:23" s="18" customFormat="1" ht="20" hidden="1" customHeight="1" x14ac:dyDescent="0.3">
      <c r="A276" s="41"/>
      <c r="B276" s="41"/>
      <c r="C276" s="19" t="s">
        <v>96</v>
      </c>
      <c r="D276" s="19" t="s">
        <v>32</v>
      </c>
      <c r="E276" s="19">
        <v>4900</v>
      </c>
      <c r="F276" s="19">
        <v>600</v>
      </c>
      <c r="G276" s="19">
        <v>40</v>
      </c>
      <c r="H276" s="21">
        <f t="shared" si="20"/>
        <v>923.16</v>
      </c>
      <c r="I276" s="19">
        <v>2</v>
      </c>
      <c r="J276" s="22">
        <f t="shared" si="21"/>
        <v>1846.32</v>
      </c>
      <c r="K276" s="19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</row>
    <row r="277" spans="1:23" s="18" customFormat="1" ht="20" hidden="1" customHeight="1" x14ac:dyDescent="0.3">
      <c r="A277" s="41"/>
      <c r="B277" s="41"/>
      <c r="C277" s="19" t="s">
        <v>97</v>
      </c>
      <c r="D277" s="19" t="s">
        <v>32</v>
      </c>
      <c r="E277" s="19">
        <v>7200</v>
      </c>
      <c r="F277" s="19">
        <v>800</v>
      </c>
      <c r="G277" s="19">
        <v>40</v>
      </c>
      <c r="H277" s="21">
        <f t="shared" si="20"/>
        <v>1808.64</v>
      </c>
      <c r="I277" s="19">
        <v>2</v>
      </c>
      <c r="J277" s="22">
        <f t="shared" si="21"/>
        <v>3617.28</v>
      </c>
      <c r="K277" s="19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</row>
    <row r="278" spans="1:23" s="18" customFormat="1" ht="20" hidden="1" customHeight="1" x14ac:dyDescent="0.3">
      <c r="A278" s="41"/>
      <c r="B278" s="39"/>
      <c r="C278" s="19" t="s">
        <v>98</v>
      </c>
      <c r="D278" s="19" t="s">
        <v>32</v>
      </c>
      <c r="E278" s="19">
        <v>3900</v>
      </c>
      <c r="F278" s="19">
        <v>600</v>
      </c>
      <c r="G278" s="19">
        <v>40</v>
      </c>
      <c r="H278" s="21">
        <f t="shared" si="20"/>
        <v>734.76</v>
      </c>
      <c r="I278" s="19">
        <v>2</v>
      </c>
      <c r="J278" s="22">
        <f t="shared" si="21"/>
        <v>1469.52</v>
      </c>
      <c r="K278" s="19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</row>
    <row r="279" spans="1:23" s="18" customFormat="1" ht="20" hidden="1" customHeight="1" x14ac:dyDescent="0.3">
      <c r="A279" s="41"/>
      <c r="B279" s="44" t="s">
        <v>39</v>
      </c>
      <c r="C279" s="19" t="s">
        <v>99</v>
      </c>
      <c r="D279" s="19" t="s">
        <v>32</v>
      </c>
      <c r="E279" s="19">
        <v>18331.5</v>
      </c>
      <c r="F279" s="19">
        <v>2641.7</v>
      </c>
      <c r="G279" s="19">
        <v>16</v>
      </c>
      <c r="H279" s="21">
        <f t="shared" si="20"/>
        <v>6082.3462378799986</v>
      </c>
      <c r="I279" s="19">
        <v>1</v>
      </c>
      <c r="J279" s="22">
        <f t="shared" si="21"/>
        <v>6082.3462378799986</v>
      </c>
      <c r="K279" s="19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</row>
    <row r="280" spans="1:23" s="18" customFormat="1" ht="20" hidden="1" customHeight="1" x14ac:dyDescent="0.3">
      <c r="A280" s="41"/>
      <c r="B280" s="41"/>
      <c r="C280" s="19" t="s">
        <v>100</v>
      </c>
      <c r="D280" s="19" t="s">
        <v>32</v>
      </c>
      <c r="E280" s="19">
        <v>18331.5</v>
      </c>
      <c r="F280" s="19">
        <v>2718.2</v>
      </c>
      <c r="G280" s="19">
        <v>16</v>
      </c>
      <c r="H280" s="21">
        <f t="shared" si="20"/>
        <v>6258.482622479999</v>
      </c>
      <c r="I280" s="19">
        <v>1</v>
      </c>
      <c r="J280" s="22">
        <f t="shared" si="21"/>
        <v>6258.482622479999</v>
      </c>
      <c r="K280" s="19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</row>
    <row r="281" spans="1:23" s="18" customFormat="1" ht="20" hidden="1" customHeight="1" x14ac:dyDescent="0.3">
      <c r="A281" s="41"/>
      <c r="B281" s="41"/>
      <c r="C281" s="19" t="s">
        <v>101</v>
      </c>
      <c r="D281" s="19" t="s">
        <v>32</v>
      </c>
      <c r="E281" s="19">
        <v>6071.6</v>
      </c>
      <c r="F281" s="19">
        <v>2641.7</v>
      </c>
      <c r="G281" s="19">
        <v>16</v>
      </c>
      <c r="H281" s="21">
        <f t="shared" si="20"/>
        <v>2014.5418224320001</v>
      </c>
      <c r="I281" s="19">
        <v>1</v>
      </c>
      <c r="J281" s="22">
        <f t="shared" si="21"/>
        <v>2014.5418224320001</v>
      </c>
      <c r="K281" s="19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</row>
    <row r="282" spans="1:23" s="18" customFormat="1" ht="20" hidden="1" customHeight="1" x14ac:dyDescent="0.3">
      <c r="A282" s="41"/>
      <c r="B282" s="41"/>
      <c r="C282" s="19" t="s">
        <v>102</v>
      </c>
      <c r="D282" s="19" t="s">
        <v>32</v>
      </c>
      <c r="E282" s="19">
        <v>6071.6</v>
      </c>
      <c r="F282" s="19">
        <v>2718.2</v>
      </c>
      <c r="G282" s="19">
        <v>16</v>
      </c>
      <c r="H282" s="21">
        <f t="shared" si="20"/>
        <v>2072.8801838720001</v>
      </c>
      <c r="I282" s="19">
        <v>1</v>
      </c>
      <c r="J282" s="22">
        <f t="shared" si="21"/>
        <v>2072.8801838720001</v>
      </c>
      <c r="K282" s="19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</row>
    <row r="283" spans="1:23" s="18" customFormat="1" ht="20" hidden="1" customHeight="1" x14ac:dyDescent="0.3">
      <c r="A283" s="41"/>
      <c r="B283" s="41"/>
      <c r="C283" s="19" t="s">
        <v>103</v>
      </c>
      <c r="D283" s="19" t="s">
        <v>32</v>
      </c>
      <c r="E283" s="19">
        <v>16000</v>
      </c>
      <c r="F283" s="19">
        <v>2637.7</v>
      </c>
      <c r="G283" s="19">
        <v>14</v>
      </c>
      <c r="H283" s="21">
        <f t="shared" si="20"/>
        <v>4638.1316799999995</v>
      </c>
      <c r="I283" s="19">
        <v>4</v>
      </c>
      <c r="J283" s="22">
        <f t="shared" si="21"/>
        <v>18552.526719999998</v>
      </c>
      <c r="K283" s="19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</row>
    <row r="284" spans="1:23" s="18" customFormat="1" ht="20" hidden="1" customHeight="1" x14ac:dyDescent="0.3">
      <c r="A284" s="41"/>
      <c r="B284" s="41"/>
      <c r="C284" s="19" t="s">
        <v>104</v>
      </c>
      <c r="D284" s="19" t="s">
        <v>32</v>
      </c>
      <c r="E284" s="19">
        <v>16000</v>
      </c>
      <c r="F284" s="19">
        <v>2714.2</v>
      </c>
      <c r="G284" s="19">
        <v>14</v>
      </c>
      <c r="H284" s="21">
        <f t="shared" si="20"/>
        <v>4772.6492799999996</v>
      </c>
      <c r="I284" s="19">
        <v>4</v>
      </c>
      <c r="J284" s="22">
        <f t="shared" si="21"/>
        <v>19090.597119999999</v>
      </c>
      <c r="K284" s="19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</row>
    <row r="285" spans="1:23" s="18" customFormat="1" ht="20" customHeight="1" x14ac:dyDescent="0.3">
      <c r="A285" s="41"/>
      <c r="B285" s="41"/>
      <c r="C285" s="19" t="s">
        <v>105</v>
      </c>
      <c r="D285" s="19" t="s">
        <v>32</v>
      </c>
      <c r="E285" s="19">
        <v>16000</v>
      </c>
      <c r="F285" s="19">
        <v>2621.7</v>
      </c>
      <c r="G285" s="19">
        <v>20</v>
      </c>
      <c r="H285" s="21">
        <f t="shared" si="20"/>
        <v>6585.710399999999</v>
      </c>
      <c r="I285" s="19">
        <v>1</v>
      </c>
      <c r="J285" s="22">
        <f t="shared" si="21"/>
        <v>6585.710399999999</v>
      </c>
      <c r="K285" s="19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</row>
    <row r="286" spans="1:23" s="18" customFormat="1" ht="20" customHeight="1" x14ac:dyDescent="0.3">
      <c r="A286" s="41"/>
      <c r="B286" s="39"/>
      <c r="C286" s="19" t="s">
        <v>106</v>
      </c>
      <c r="D286" s="19" t="s">
        <v>32</v>
      </c>
      <c r="E286" s="19">
        <v>16000</v>
      </c>
      <c r="F286" s="19">
        <v>2698.2</v>
      </c>
      <c r="G286" s="19">
        <v>20</v>
      </c>
      <c r="H286" s="21">
        <f t="shared" si="20"/>
        <v>6777.8783999999996</v>
      </c>
      <c r="I286" s="19">
        <v>1</v>
      </c>
      <c r="J286" s="22">
        <f t="shared" si="21"/>
        <v>6777.8783999999996</v>
      </c>
      <c r="K286" s="19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</row>
    <row r="287" spans="1:23" s="18" customFormat="1" ht="20" hidden="1" customHeight="1" x14ac:dyDescent="0.3">
      <c r="A287" s="41"/>
      <c r="B287" s="44" t="s">
        <v>50</v>
      </c>
      <c r="C287" s="19" t="s">
        <v>107</v>
      </c>
      <c r="D287" s="19" t="s">
        <v>32</v>
      </c>
      <c r="E287" s="19">
        <v>17581.5</v>
      </c>
      <c r="F287" s="19">
        <v>2630</v>
      </c>
      <c r="G287" s="19">
        <v>16</v>
      </c>
      <c r="H287" s="21">
        <f t="shared" si="20"/>
        <v>5807.6617319999996</v>
      </c>
      <c r="I287" s="19">
        <v>1</v>
      </c>
      <c r="J287" s="22">
        <f t="shared" si="21"/>
        <v>5807.6617319999996</v>
      </c>
      <c r="K287" s="19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</row>
    <row r="288" spans="1:23" s="18" customFormat="1" ht="20" hidden="1" customHeight="1" x14ac:dyDescent="0.3">
      <c r="A288" s="41"/>
      <c r="B288" s="41"/>
      <c r="C288" s="19" t="s">
        <v>108</v>
      </c>
      <c r="D288" s="19" t="s">
        <v>32</v>
      </c>
      <c r="E288" s="19">
        <v>5321.6</v>
      </c>
      <c r="F288" s="19">
        <v>2630</v>
      </c>
      <c r="G288" s="19">
        <v>16</v>
      </c>
      <c r="H288" s="21">
        <f t="shared" si="20"/>
        <v>1757.8734847999999</v>
      </c>
      <c r="I288" s="19">
        <v>1</v>
      </c>
      <c r="J288" s="22">
        <f t="shared" si="21"/>
        <v>1757.8734847999999</v>
      </c>
      <c r="K288" s="19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</row>
    <row r="289" spans="1:23" s="18" customFormat="1" ht="20" customHeight="1" x14ac:dyDescent="0.3">
      <c r="A289" s="41"/>
      <c r="B289" s="41"/>
      <c r="C289" s="19" t="s">
        <v>109</v>
      </c>
      <c r="D289" s="19" t="s">
        <v>32</v>
      </c>
      <c r="E289" s="19">
        <v>16000</v>
      </c>
      <c r="F289" s="19">
        <v>2630</v>
      </c>
      <c r="G289" s="19">
        <v>20</v>
      </c>
      <c r="H289" s="21">
        <f t="shared" si="20"/>
        <v>6606.56</v>
      </c>
      <c r="I289" s="19">
        <v>4</v>
      </c>
      <c r="J289" s="22">
        <f t="shared" si="21"/>
        <v>26426.240000000002</v>
      </c>
      <c r="K289" s="19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</row>
    <row r="290" spans="1:23" s="18" customFormat="1" ht="20" hidden="1" customHeight="1" x14ac:dyDescent="0.3">
      <c r="A290" s="41"/>
      <c r="B290" s="39"/>
      <c r="C290" s="19" t="s">
        <v>110</v>
      </c>
      <c r="D290" s="19" t="s">
        <v>32</v>
      </c>
      <c r="E290" s="19">
        <v>16000</v>
      </c>
      <c r="F290" s="19">
        <v>2630</v>
      </c>
      <c r="G290" s="19">
        <v>24</v>
      </c>
      <c r="H290" s="21">
        <f t="shared" si="20"/>
        <v>7927.8719999999994</v>
      </c>
      <c r="I290" s="19">
        <v>1</v>
      </c>
      <c r="J290" s="22">
        <f t="shared" si="21"/>
        <v>7927.8719999999994</v>
      </c>
      <c r="K290" s="19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</row>
    <row r="291" spans="1:23" s="18" customFormat="1" ht="20" hidden="1" customHeight="1" x14ac:dyDescent="0.3">
      <c r="A291" s="41"/>
      <c r="B291" s="44" t="s">
        <v>55</v>
      </c>
      <c r="C291" s="19" t="s">
        <v>111</v>
      </c>
      <c r="D291" s="19" t="s">
        <v>32</v>
      </c>
      <c r="E291" s="24">
        <v>18925.900000000001</v>
      </c>
      <c r="F291" s="19">
        <v>140</v>
      </c>
      <c r="G291" s="19">
        <v>12</v>
      </c>
      <c r="H291" s="21">
        <f t="shared" si="20"/>
        <v>249.59476920000003</v>
      </c>
      <c r="I291" s="19">
        <v>1</v>
      </c>
      <c r="J291" s="22">
        <f t="shared" si="21"/>
        <v>249.59476920000003</v>
      </c>
      <c r="K291" s="2" t="s">
        <v>57</v>
      </c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</row>
    <row r="292" spans="1:23" s="18" customFormat="1" ht="20" hidden="1" customHeight="1" x14ac:dyDescent="0.3">
      <c r="A292" s="41"/>
      <c r="B292" s="41"/>
      <c r="C292" s="19" t="s">
        <v>112</v>
      </c>
      <c r="D292" s="19" t="s">
        <v>32</v>
      </c>
      <c r="E292" s="24">
        <v>76190</v>
      </c>
      <c r="F292" s="19">
        <v>140</v>
      </c>
      <c r="G292" s="19">
        <v>12</v>
      </c>
      <c r="H292" s="21">
        <f t="shared" si="20"/>
        <v>1004.79372</v>
      </c>
      <c r="I292" s="19">
        <v>1</v>
      </c>
      <c r="J292" s="22">
        <f t="shared" si="21"/>
        <v>1004.79372</v>
      </c>
      <c r="K292" s="2" t="s">
        <v>57</v>
      </c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</row>
    <row r="293" spans="1:23" s="18" customFormat="1" ht="20" hidden="1" customHeight="1" x14ac:dyDescent="0.3">
      <c r="A293" s="41"/>
      <c r="B293" s="39"/>
      <c r="C293" s="19" t="s">
        <v>113</v>
      </c>
      <c r="D293" s="19" t="s">
        <v>32</v>
      </c>
      <c r="E293" s="24">
        <v>25430.799999999999</v>
      </c>
      <c r="F293" s="19">
        <v>180</v>
      </c>
      <c r="G293" s="19">
        <v>16</v>
      </c>
      <c r="H293" s="21">
        <f t="shared" si="20"/>
        <v>574.93952639999986</v>
      </c>
      <c r="I293" s="19">
        <v>1</v>
      </c>
      <c r="J293" s="22">
        <f t="shared" si="21"/>
        <v>574.93952639999986</v>
      </c>
      <c r="K293" s="2" t="s">
        <v>57</v>
      </c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</row>
    <row r="294" spans="1:23" s="18" customFormat="1" ht="20" hidden="1" customHeight="1" x14ac:dyDescent="0.3">
      <c r="A294" s="41"/>
      <c r="B294" s="44" t="s">
        <v>60</v>
      </c>
      <c r="C294" s="19" t="s">
        <v>114</v>
      </c>
      <c r="D294" s="19" t="s">
        <v>32</v>
      </c>
      <c r="E294" s="19">
        <v>17031.5</v>
      </c>
      <c r="F294" s="19">
        <v>160</v>
      </c>
      <c r="G294" s="19">
        <v>14</v>
      </c>
      <c r="H294" s="21">
        <f t="shared" si="20"/>
        <v>299.48189600000006</v>
      </c>
      <c r="I294" s="19">
        <v>2</v>
      </c>
      <c r="J294" s="22">
        <f t="shared" si="21"/>
        <v>598.96379200000013</v>
      </c>
      <c r="K294" s="19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</row>
    <row r="295" spans="1:23" s="18" customFormat="1" ht="20" hidden="1" customHeight="1" x14ac:dyDescent="0.3">
      <c r="A295" s="41"/>
      <c r="B295" s="41"/>
      <c r="C295" s="19" t="s">
        <v>115</v>
      </c>
      <c r="D295" s="19" t="s">
        <v>32</v>
      </c>
      <c r="E295" s="19">
        <v>4771.6000000000004</v>
      </c>
      <c r="F295" s="19">
        <v>160</v>
      </c>
      <c r="G295" s="19">
        <v>14</v>
      </c>
      <c r="H295" s="21">
        <f t="shared" si="20"/>
        <v>83.903814400000002</v>
      </c>
      <c r="I295" s="19">
        <v>2</v>
      </c>
      <c r="J295" s="22">
        <f t="shared" si="21"/>
        <v>167.8076288</v>
      </c>
      <c r="K295" s="19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</row>
    <row r="296" spans="1:23" s="18" customFormat="1" ht="20" hidden="1" customHeight="1" x14ac:dyDescent="0.3">
      <c r="A296" s="41"/>
      <c r="B296" s="41"/>
      <c r="C296" s="19" t="s">
        <v>116</v>
      </c>
      <c r="D296" s="19" t="s">
        <v>32</v>
      </c>
      <c r="E296" s="19">
        <v>16000</v>
      </c>
      <c r="F296" s="19">
        <v>160</v>
      </c>
      <c r="G296" s="19">
        <v>14</v>
      </c>
      <c r="H296" s="21">
        <f t="shared" si="20"/>
        <v>281.34400000000005</v>
      </c>
      <c r="I296" s="19">
        <v>8</v>
      </c>
      <c r="J296" s="22">
        <f t="shared" si="21"/>
        <v>2250.7520000000004</v>
      </c>
      <c r="K296" s="19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</row>
    <row r="297" spans="1:23" s="18" customFormat="1" ht="20" customHeight="1" x14ac:dyDescent="0.3">
      <c r="A297" s="41"/>
      <c r="B297" s="39"/>
      <c r="C297" s="19" t="s">
        <v>117</v>
      </c>
      <c r="D297" s="19" t="s">
        <v>32</v>
      </c>
      <c r="E297" s="19">
        <v>16000</v>
      </c>
      <c r="F297" s="19">
        <v>220</v>
      </c>
      <c r="G297" s="19">
        <v>20</v>
      </c>
      <c r="H297" s="21">
        <f t="shared" si="20"/>
        <v>552.64</v>
      </c>
      <c r="I297" s="19">
        <v>3</v>
      </c>
      <c r="J297" s="22">
        <f t="shared" si="21"/>
        <v>1657.92</v>
      </c>
      <c r="K297" s="19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</row>
    <row r="298" spans="1:23" s="18" customFormat="1" ht="20" hidden="1" customHeight="1" x14ac:dyDescent="0.3">
      <c r="A298" s="39"/>
      <c r="B298" s="44" t="s">
        <v>65</v>
      </c>
      <c r="C298" s="38"/>
      <c r="D298" s="19"/>
      <c r="E298" s="19"/>
      <c r="F298" s="19"/>
      <c r="G298" s="19"/>
      <c r="H298" s="21"/>
      <c r="I298" s="19"/>
      <c r="J298" s="22">
        <f>SUM(J273:J297)</f>
        <v>141859.16619986398</v>
      </c>
      <c r="K298" s="1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</row>
    <row r="299" spans="1:23" s="18" customFormat="1" ht="20" customHeight="1" x14ac:dyDescent="0.3">
      <c r="A299" s="44" t="s">
        <v>254</v>
      </c>
      <c r="B299" s="44" t="s">
        <v>30</v>
      </c>
      <c r="C299" s="19" t="s">
        <v>119</v>
      </c>
      <c r="D299" s="19" t="s">
        <v>32</v>
      </c>
      <c r="E299" s="19">
        <v>14102.7</v>
      </c>
      <c r="F299" s="19">
        <v>600</v>
      </c>
      <c r="G299" s="19">
        <v>20</v>
      </c>
      <c r="H299" s="21">
        <f t="shared" ref="H299:H323" si="22">(E299/1000)*(F299/1000)*(G299/1000)*7850</f>
        <v>1328.47434</v>
      </c>
      <c r="I299" s="19">
        <v>2</v>
      </c>
      <c r="J299" s="22">
        <f t="shared" ref="J299:J323" si="23">H299*I299</f>
        <v>2656.94868</v>
      </c>
      <c r="K299" s="19"/>
      <c r="L299" s="44" t="str">
        <f>A299</f>
        <v>下层4#</v>
      </c>
      <c r="M299" s="43">
        <f>SUMIF(G299:G323,$M$3,J299:J323)</f>
        <v>1188.0488928000002</v>
      </c>
      <c r="N299" s="43">
        <f>SUMIF(G299:G323,$N$3,J299:J323)</f>
        <v>40671.211728000002</v>
      </c>
      <c r="O299" s="43">
        <f>SUMIF(G299:G323,$O$3,J299:J323)</f>
        <v>24905.613190439999</v>
      </c>
      <c r="P299" s="43">
        <f>SUMIF(G299:G323,$P$3,J299:J323)</f>
        <v>46101.888200000001</v>
      </c>
      <c r="Q299" s="43">
        <f>SUMIF(G299:G323,$Q$3,J299:J323)</f>
        <v>22396.991999999998</v>
      </c>
      <c r="R299" s="43">
        <f>SUMIF(G299:G323,$R$3,J299:J323)</f>
        <v>0</v>
      </c>
      <c r="S299" s="43">
        <f>SUMIF(G299:G323,$S$3,J299:J323)</f>
        <v>6933.12</v>
      </c>
      <c r="T299" s="43">
        <f>SUM(M299:S324)</f>
        <v>142196.87401124</v>
      </c>
      <c r="U299" s="43">
        <v>142196.9</v>
      </c>
      <c r="V299" s="43">
        <f>T299-U299</f>
        <v>-2.5988759996835142E-2</v>
      </c>
      <c r="W299" s="44"/>
    </row>
    <row r="300" spans="1:23" s="18" customFormat="1" ht="20" customHeight="1" x14ac:dyDescent="0.3">
      <c r="A300" s="41"/>
      <c r="B300" s="41"/>
      <c r="C300" s="19" t="s">
        <v>120</v>
      </c>
      <c r="D300" s="19" t="s">
        <v>32</v>
      </c>
      <c r="E300" s="19">
        <v>10600.8</v>
      </c>
      <c r="F300" s="19">
        <v>600</v>
      </c>
      <c r="G300" s="19">
        <v>20</v>
      </c>
      <c r="H300" s="21">
        <f t="shared" si="22"/>
        <v>998.59536000000003</v>
      </c>
      <c r="I300" s="19">
        <v>2</v>
      </c>
      <c r="J300" s="22">
        <f t="shared" si="23"/>
        <v>1997.1907200000001</v>
      </c>
      <c r="K300" s="19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</row>
    <row r="301" spans="1:23" s="18" customFormat="1" ht="20" hidden="1" customHeight="1" x14ac:dyDescent="0.3">
      <c r="A301" s="41"/>
      <c r="B301" s="41"/>
      <c r="C301" s="19" t="s">
        <v>121</v>
      </c>
      <c r="D301" s="19" t="s">
        <v>32</v>
      </c>
      <c r="E301" s="19">
        <v>16000</v>
      </c>
      <c r="F301" s="19">
        <v>600</v>
      </c>
      <c r="G301" s="19">
        <v>24</v>
      </c>
      <c r="H301" s="21">
        <f t="shared" si="22"/>
        <v>1808.6399999999999</v>
      </c>
      <c r="I301" s="19">
        <v>8</v>
      </c>
      <c r="J301" s="22">
        <f t="shared" si="23"/>
        <v>14469.119999999999</v>
      </c>
      <c r="K301" s="19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</row>
    <row r="302" spans="1:23" s="18" customFormat="1" ht="20" hidden="1" customHeight="1" x14ac:dyDescent="0.3">
      <c r="A302" s="41"/>
      <c r="B302" s="41"/>
      <c r="C302" s="19" t="s">
        <v>122</v>
      </c>
      <c r="D302" s="19" t="s">
        <v>32</v>
      </c>
      <c r="E302" s="19">
        <v>5100</v>
      </c>
      <c r="F302" s="19">
        <v>600</v>
      </c>
      <c r="G302" s="19">
        <v>40</v>
      </c>
      <c r="H302" s="21">
        <f t="shared" si="22"/>
        <v>960.8399999999998</v>
      </c>
      <c r="I302" s="19">
        <v>2</v>
      </c>
      <c r="J302" s="22">
        <f t="shared" si="23"/>
        <v>1921.6799999999996</v>
      </c>
      <c r="K302" s="19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</row>
    <row r="303" spans="1:23" s="18" customFormat="1" ht="20" hidden="1" customHeight="1" x14ac:dyDescent="0.3">
      <c r="A303" s="41"/>
      <c r="B303" s="41"/>
      <c r="C303" s="19" t="s">
        <v>123</v>
      </c>
      <c r="D303" s="19" t="s">
        <v>32</v>
      </c>
      <c r="E303" s="19">
        <v>7200</v>
      </c>
      <c r="F303" s="19">
        <v>800</v>
      </c>
      <c r="G303" s="19">
        <v>40</v>
      </c>
      <c r="H303" s="21">
        <f t="shared" si="22"/>
        <v>1808.64</v>
      </c>
      <c r="I303" s="19">
        <v>2</v>
      </c>
      <c r="J303" s="22">
        <f t="shared" si="23"/>
        <v>3617.28</v>
      </c>
      <c r="K303" s="19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</row>
    <row r="304" spans="1:23" s="18" customFormat="1" ht="20" hidden="1" customHeight="1" x14ac:dyDescent="0.3">
      <c r="A304" s="41"/>
      <c r="B304" s="39"/>
      <c r="C304" s="19" t="s">
        <v>124</v>
      </c>
      <c r="D304" s="19" t="s">
        <v>32</v>
      </c>
      <c r="E304" s="19">
        <v>3700</v>
      </c>
      <c r="F304" s="19">
        <v>600</v>
      </c>
      <c r="G304" s="19">
        <v>40</v>
      </c>
      <c r="H304" s="21">
        <f t="shared" si="22"/>
        <v>697.08</v>
      </c>
      <c r="I304" s="19">
        <v>2</v>
      </c>
      <c r="J304" s="22">
        <f t="shared" si="23"/>
        <v>1394.16</v>
      </c>
      <c r="K304" s="19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</row>
    <row r="305" spans="1:23" s="18" customFormat="1" ht="20" hidden="1" customHeight="1" x14ac:dyDescent="0.3">
      <c r="A305" s="41"/>
      <c r="B305" s="44" t="s">
        <v>39</v>
      </c>
      <c r="C305" s="19" t="s">
        <v>125</v>
      </c>
      <c r="D305" s="19" t="s">
        <v>32</v>
      </c>
      <c r="E305" s="19">
        <v>14102.7</v>
      </c>
      <c r="F305" s="19">
        <v>2641.7</v>
      </c>
      <c r="G305" s="19">
        <v>16</v>
      </c>
      <c r="H305" s="21">
        <f t="shared" si="22"/>
        <v>4679.2408853039997</v>
      </c>
      <c r="I305" s="19">
        <v>1</v>
      </c>
      <c r="J305" s="22">
        <f t="shared" si="23"/>
        <v>4679.2408853039997</v>
      </c>
      <c r="K305" s="19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</row>
    <row r="306" spans="1:23" s="18" customFormat="1" ht="20" hidden="1" customHeight="1" x14ac:dyDescent="0.3">
      <c r="A306" s="41"/>
      <c r="B306" s="41"/>
      <c r="C306" s="19" t="s">
        <v>126</v>
      </c>
      <c r="D306" s="19" t="s">
        <v>32</v>
      </c>
      <c r="E306" s="19">
        <v>14102.7</v>
      </c>
      <c r="F306" s="19">
        <v>2718.2</v>
      </c>
      <c r="G306" s="19">
        <v>16</v>
      </c>
      <c r="H306" s="21">
        <f t="shared" si="22"/>
        <v>4814.7452679839998</v>
      </c>
      <c r="I306" s="19">
        <v>1</v>
      </c>
      <c r="J306" s="22">
        <f t="shared" si="23"/>
        <v>4814.7452679839998</v>
      </c>
      <c r="K306" s="19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</row>
    <row r="307" spans="1:23" s="18" customFormat="1" ht="20" hidden="1" customHeight="1" x14ac:dyDescent="0.3">
      <c r="A307" s="41"/>
      <c r="B307" s="41"/>
      <c r="C307" s="19" t="s">
        <v>127</v>
      </c>
      <c r="D307" s="19" t="s">
        <v>32</v>
      </c>
      <c r="E307" s="19">
        <v>10600.8</v>
      </c>
      <c r="F307" s="19">
        <v>2641.7</v>
      </c>
      <c r="G307" s="19">
        <v>16</v>
      </c>
      <c r="H307" s="21">
        <f t="shared" si="22"/>
        <v>3517.3191500160001</v>
      </c>
      <c r="I307" s="19">
        <v>1</v>
      </c>
      <c r="J307" s="22">
        <f t="shared" si="23"/>
        <v>3517.3191500160001</v>
      </c>
      <c r="K307" s="19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</row>
    <row r="308" spans="1:23" s="18" customFormat="1" ht="20" hidden="1" customHeight="1" x14ac:dyDescent="0.3">
      <c r="A308" s="41"/>
      <c r="B308" s="41"/>
      <c r="C308" s="19" t="s">
        <v>128</v>
      </c>
      <c r="D308" s="19" t="s">
        <v>32</v>
      </c>
      <c r="E308" s="19">
        <v>10600.8</v>
      </c>
      <c r="F308" s="19">
        <v>2718.2</v>
      </c>
      <c r="G308" s="19">
        <v>16</v>
      </c>
      <c r="H308" s="21">
        <f t="shared" si="22"/>
        <v>3619.1758767360002</v>
      </c>
      <c r="I308" s="19">
        <v>1</v>
      </c>
      <c r="J308" s="22">
        <f t="shared" si="23"/>
        <v>3619.1758767360002</v>
      </c>
      <c r="K308" s="19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</row>
    <row r="309" spans="1:23" s="18" customFormat="1" ht="20" hidden="1" customHeight="1" x14ac:dyDescent="0.3">
      <c r="A309" s="41"/>
      <c r="B309" s="41"/>
      <c r="C309" s="19" t="s">
        <v>129</v>
      </c>
      <c r="D309" s="19" t="s">
        <v>32</v>
      </c>
      <c r="E309" s="19">
        <v>16000</v>
      </c>
      <c r="F309" s="19">
        <v>2637.7</v>
      </c>
      <c r="G309" s="19">
        <v>14</v>
      </c>
      <c r="H309" s="21">
        <f t="shared" si="22"/>
        <v>4638.1316799999995</v>
      </c>
      <c r="I309" s="19">
        <v>4</v>
      </c>
      <c r="J309" s="22">
        <f t="shared" si="23"/>
        <v>18552.526719999998</v>
      </c>
      <c r="K309" s="19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</row>
    <row r="310" spans="1:23" s="18" customFormat="1" ht="20" hidden="1" customHeight="1" x14ac:dyDescent="0.3">
      <c r="A310" s="41"/>
      <c r="B310" s="41"/>
      <c r="C310" s="19" t="s">
        <v>130</v>
      </c>
      <c r="D310" s="19" t="s">
        <v>32</v>
      </c>
      <c r="E310" s="19">
        <v>16000</v>
      </c>
      <c r="F310" s="19">
        <v>2714.2</v>
      </c>
      <c r="G310" s="19">
        <v>14</v>
      </c>
      <c r="H310" s="21">
        <f t="shared" si="22"/>
        <v>4772.6492799999996</v>
      </c>
      <c r="I310" s="19">
        <v>4</v>
      </c>
      <c r="J310" s="22">
        <f t="shared" si="23"/>
        <v>19090.597119999999</v>
      </c>
      <c r="K310" s="19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</row>
    <row r="311" spans="1:23" s="18" customFormat="1" ht="20" customHeight="1" x14ac:dyDescent="0.3">
      <c r="A311" s="41"/>
      <c r="B311" s="41"/>
      <c r="C311" s="19" t="s">
        <v>131</v>
      </c>
      <c r="D311" s="19" t="s">
        <v>32</v>
      </c>
      <c r="E311" s="19">
        <v>16000</v>
      </c>
      <c r="F311" s="19">
        <v>2621.7</v>
      </c>
      <c r="G311" s="19">
        <v>20</v>
      </c>
      <c r="H311" s="21">
        <f t="shared" si="22"/>
        <v>6585.710399999999</v>
      </c>
      <c r="I311" s="19">
        <v>1</v>
      </c>
      <c r="J311" s="22">
        <f t="shared" si="23"/>
        <v>6585.710399999999</v>
      </c>
      <c r="K311" s="19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</row>
    <row r="312" spans="1:23" s="18" customFormat="1" ht="20" customHeight="1" x14ac:dyDescent="0.3">
      <c r="A312" s="41"/>
      <c r="B312" s="39"/>
      <c r="C312" s="19" t="s">
        <v>132</v>
      </c>
      <c r="D312" s="19" t="s">
        <v>32</v>
      </c>
      <c r="E312" s="19">
        <v>16000</v>
      </c>
      <c r="F312" s="19">
        <v>2698.2</v>
      </c>
      <c r="G312" s="19">
        <v>20</v>
      </c>
      <c r="H312" s="21">
        <f t="shared" si="22"/>
        <v>6777.8783999999996</v>
      </c>
      <c r="I312" s="19">
        <v>1</v>
      </c>
      <c r="J312" s="22">
        <f t="shared" si="23"/>
        <v>6777.8783999999996</v>
      </c>
      <c r="K312" s="19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</row>
    <row r="313" spans="1:23" s="18" customFormat="1" ht="20" hidden="1" customHeight="1" x14ac:dyDescent="0.3">
      <c r="A313" s="41"/>
      <c r="B313" s="44" t="s">
        <v>50</v>
      </c>
      <c r="C313" s="19" t="s">
        <v>133</v>
      </c>
      <c r="D313" s="19" t="s">
        <v>32</v>
      </c>
      <c r="E313" s="19">
        <v>13352.7</v>
      </c>
      <c r="F313" s="19">
        <v>2630</v>
      </c>
      <c r="G313" s="19">
        <v>16</v>
      </c>
      <c r="H313" s="21">
        <f t="shared" si="22"/>
        <v>4410.7706855999995</v>
      </c>
      <c r="I313" s="19">
        <v>1</v>
      </c>
      <c r="J313" s="22">
        <f t="shared" si="23"/>
        <v>4410.7706855999995</v>
      </c>
      <c r="K313" s="19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</row>
    <row r="314" spans="1:23" s="18" customFormat="1" ht="20" hidden="1" customHeight="1" x14ac:dyDescent="0.3">
      <c r="A314" s="41"/>
      <c r="B314" s="41"/>
      <c r="C314" s="19" t="s">
        <v>134</v>
      </c>
      <c r="D314" s="19" t="s">
        <v>32</v>
      </c>
      <c r="E314" s="19">
        <v>9850.7999999999993</v>
      </c>
      <c r="F314" s="19">
        <v>2630</v>
      </c>
      <c r="G314" s="19">
        <v>16</v>
      </c>
      <c r="H314" s="21">
        <f t="shared" si="22"/>
        <v>3253.9950624000003</v>
      </c>
      <c r="I314" s="19">
        <v>1</v>
      </c>
      <c r="J314" s="22">
        <f t="shared" si="23"/>
        <v>3253.9950624000003</v>
      </c>
      <c r="K314" s="19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</row>
    <row r="315" spans="1:23" s="18" customFormat="1" ht="20" customHeight="1" x14ac:dyDescent="0.3">
      <c r="A315" s="41"/>
      <c r="B315" s="41"/>
      <c r="C315" s="19" t="s">
        <v>135</v>
      </c>
      <c r="D315" s="19" t="s">
        <v>32</v>
      </c>
      <c r="E315" s="19">
        <v>16000</v>
      </c>
      <c r="F315" s="19">
        <v>2630</v>
      </c>
      <c r="G315" s="19">
        <v>20</v>
      </c>
      <c r="H315" s="21">
        <f t="shared" si="22"/>
        <v>6606.56</v>
      </c>
      <c r="I315" s="19">
        <v>4</v>
      </c>
      <c r="J315" s="22">
        <f t="shared" si="23"/>
        <v>26426.240000000002</v>
      </c>
      <c r="K315" s="19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</row>
    <row r="316" spans="1:23" s="18" customFormat="1" ht="20" hidden="1" customHeight="1" x14ac:dyDescent="0.3">
      <c r="A316" s="41"/>
      <c r="B316" s="39"/>
      <c r="C316" s="19" t="s">
        <v>136</v>
      </c>
      <c r="D316" s="19" t="s">
        <v>32</v>
      </c>
      <c r="E316" s="19">
        <v>16000</v>
      </c>
      <c r="F316" s="19">
        <v>2630</v>
      </c>
      <c r="G316" s="19">
        <v>24</v>
      </c>
      <c r="H316" s="21">
        <f t="shared" si="22"/>
        <v>7927.8719999999994</v>
      </c>
      <c r="I316" s="19">
        <v>1</v>
      </c>
      <c r="J316" s="22">
        <f t="shared" si="23"/>
        <v>7927.8719999999994</v>
      </c>
      <c r="K316" s="19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</row>
    <row r="317" spans="1:23" s="18" customFormat="1" ht="20" hidden="1" customHeight="1" x14ac:dyDescent="0.3">
      <c r="A317" s="41"/>
      <c r="B317" s="44" t="s">
        <v>55</v>
      </c>
      <c r="C317" s="19" t="s">
        <v>137</v>
      </c>
      <c r="D317" s="19" t="s">
        <v>32</v>
      </c>
      <c r="E317" s="24">
        <v>20044.099999999999</v>
      </c>
      <c r="F317" s="19">
        <v>140</v>
      </c>
      <c r="G317" s="19">
        <v>12</v>
      </c>
      <c r="H317" s="21">
        <f t="shared" si="22"/>
        <v>264.34159080000006</v>
      </c>
      <c r="I317" s="19">
        <v>1</v>
      </c>
      <c r="J317" s="22">
        <f t="shared" si="23"/>
        <v>264.34159080000006</v>
      </c>
      <c r="K317" s="2" t="s">
        <v>57</v>
      </c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</row>
    <row r="318" spans="1:23" s="18" customFormat="1" ht="20" hidden="1" customHeight="1" x14ac:dyDescent="0.3">
      <c r="A318" s="41"/>
      <c r="B318" s="41"/>
      <c r="C318" s="19" t="s">
        <v>138</v>
      </c>
      <c r="D318" s="19" t="s">
        <v>32</v>
      </c>
      <c r="E318" s="24">
        <v>70041.5</v>
      </c>
      <c r="F318" s="19">
        <v>140</v>
      </c>
      <c r="G318" s="19">
        <v>12</v>
      </c>
      <c r="H318" s="21">
        <f t="shared" si="22"/>
        <v>923.70730200000014</v>
      </c>
      <c r="I318" s="19">
        <v>1</v>
      </c>
      <c r="J318" s="22">
        <f t="shared" si="23"/>
        <v>923.70730200000014</v>
      </c>
      <c r="K318" s="2" t="s">
        <v>57</v>
      </c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</row>
    <row r="319" spans="1:23" s="18" customFormat="1" ht="20" hidden="1" customHeight="1" x14ac:dyDescent="0.3">
      <c r="A319" s="41"/>
      <c r="B319" s="39"/>
      <c r="C319" s="19" t="s">
        <v>139</v>
      </c>
      <c r="D319" s="19" t="s">
        <v>32</v>
      </c>
      <c r="E319" s="24">
        <v>26997.8</v>
      </c>
      <c r="F319" s="19">
        <v>180</v>
      </c>
      <c r="G319" s="19">
        <v>16</v>
      </c>
      <c r="H319" s="21">
        <f t="shared" si="22"/>
        <v>610.36626239999987</v>
      </c>
      <c r="I319" s="19">
        <v>1</v>
      </c>
      <c r="J319" s="22">
        <f t="shared" si="23"/>
        <v>610.36626239999987</v>
      </c>
      <c r="K319" s="2" t="s">
        <v>57</v>
      </c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</row>
    <row r="320" spans="1:23" s="18" customFormat="1" ht="20" hidden="1" customHeight="1" x14ac:dyDescent="0.3">
      <c r="A320" s="41"/>
      <c r="B320" s="44" t="s">
        <v>60</v>
      </c>
      <c r="C320" s="19" t="s">
        <v>140</v>
      </c>
      <c r="D320" s="19" t="s">
        <v>32</v>
      </c>
      <c r="E320" s="19">
        <v>12802.7</v>
      </c>
      <c r="F320" s="19">
        <v>160</v>
      </c>
      <c r="G320" s="19">
        <v>14</v>
      </c>
      <c r="H320" s="21">
        <f t="shared" si="22"/>
        <v>225.12267680000005</v>
      </c>
      <c r="I320" s="19">
        <v>2</v>
      </c>
      <c r="J320" s="22">
        <f t="shared" si="23"/>
        <v>450.2453536000001</v>
      </c>
      <c r="K320" s="19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</row>
    <row r="321" spans="1:23" s="18" customFormat="1" ht="20" hidden="1" customHeight="1" x14ac:dyDescent="0.3">
      <c r="A321" s="41"/>
      <c r="B321" s="41"/>
      <c r="C321" s="19" t="s">
        <v>141</v>
      </c>
      <c r="D321" s="19" t="s">
        <v>32</v>
      </c>
      <c r="E321" s="19">
        <v>9300.7999999999993</v>
      </c>
      <c r="F321" s="19">
        <v>160</v>
      </c>
      <c r="G321" s="19">
        <v>14</v>
      </c>
      <c r="H321" s="21">
        <f t="shared" si="22"/>
        <v>163.54526720000001</v>
      </c>
      <c r="I321" s="19">
        <v>2</v>
      </c>
      <c r="J321" s="22">
        <f t="shared" si="23"/>
        <v>327.09053440000002</v>
      </c>
      <c r="K321" s="19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</row>
    <row r="322" spans="1:23" s="18" customFormat="1" ht="20" hidden="1" customHeight="1" x14ac:dyDescent="0.3">
      <c r="A322" s="41"/>
      <c r="B322" s="41"/>
      <c r="C322" s="19" t="s">
        <v>142</v>
      </c>
      <c r="D322" s="19" t="s">
        <v>32</v>
      </c>
      <c r="E322" s="19">
        <v>16000</v>
      </c>
      <c r="F322" s="19">
        <v>160</v>
      </c>
      <c r="G322" s="19">
        <v>14</v>
      </c>
      <c r="H322" s="21">
        <f t="shared" si="22"/>
        <v>281.34400000000005</v>
      </c>
      <c r="I322" s="19">
        <v>8</v>
      </c>
      <c r="J322" s="22">
        <f t="shared" si="23"/>
        <v>2250.7520000000004</v>
      </c>
      <c r="K322" s="19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</row>
    <row r="323" spans="1:23" s="18" customFormat="1" ht="20" customHeight="1" x14ac:dyDescent="0.3">
      <c r="A323" s="41"/>
      <c r="B323" s="39"/>
      <c r="C323" s="19" t="s">
        <v>143</v>
      </c>
      <c r="D323" s="19" t="s">
        <v>32</v>
      </c>
      <c r="E323" s="19">
        <v>16000</v>
      </c>
      <c r="F323" s="19">
        <v>220</v>
      </c>
      <c r="G323" s="19">
        <v>20</v>
      </c>
      <c r="H323" s="21">
        <f t="shared" si="22"/>
        <v>552.64</v>
      </c>
      <c r="I323" s="19">
        <v>3</v>
      </c>
      <c r="J323" s="22">
        <f t="shared" si="23"/>
        <v>1657.92</v>
      </c>
      <c r="K323" s="19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</row>
    <row r="324" spans="1:23" s="18" customFormat="1" ht="20" hidden="1" customHeight="1" x14ac:dyDescent="0.3">
      <c r="A324" s="39"/>
      <c r="B324" s="44" t="s">
        <v>65</v>
      </c>
      <c r="C324" s="38"/>
      <c r="D324" s="19"/>
      <c r="E324" s="19"/>
      <c r="F324" s="19"/>
      <c r="G324" s="19"/>
      <c r="H324" s="21"/>
      <c r="I324" s="19"/>
      <c r="J324" s="22">
        <f>SUM(J299:J323)</f>
        <v>142196.87401124003</v>
      </c>
      <c r="K324" s="1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</row>
    <row r="325" spans="1:23" s="18" customFormat="1" ht="20" customHeight="1" x14ac:dyDescent="0.3">
      <c r="A325" s="44" t="s">
        <v>255</v>
      </c>
      <c r="B325" s="44" t="s">
        <v>30</v>
      </c>
      <c r="C325" s="19" t="s">
        <v>145</v>
      </c>
      <c r="D325" s="19" t="s">
        <v>32</v>
      </c>
      <c r="E325" s="19">
        <v>10780</v>
      </c>
      <c r="F325" s="19">
        <v>600</v>
      </c>
      <c r="G325" s="19">
        <v>20</v>
      </c>
      <c r="H325" s="21">
        <f t="shared" ref="H325:H349" si="24">(E325/1000)*(F325/1000)*(G325/1000)*7850</f>
        <v>1015.4759999999998</v>
      </c>
      <c r="I325" s="19">
        <v>2</v>
      </c>
      <c r="J325" s="22">
        <f t="shared" ref="J325:J349" si="25">H325*I325</f>
        <v>2030.9519999999995</v>
      </c>
      <c r="K325" s="19"/>
      <c r="L325" s="44" t="str">
        <f>A325</f>
        <v>下层5#</v>
      </c>
      <c r="M325" s="43">
        <f>SUMIF(G325:G349,$M$3,J325:J349)</f>
        <v>1191.5358000000001</v>
      </c>
      <c r="N325" s="43">
        <f>SUMIF(G325:G349,$N$3,J325:J349)</f>
        <v>40683.626032</v>
      </c>
      <c r="O325" s="43">
        <f>SUMIF(G325:G349,$O$3,J325:J349)</f>
        <v>25255.252278359996</v>
      </c>
      <c r="P325" s="43">
        <f>SUMIF(G325:G349,$P$3,J325:J349)</f>
        <v>46168.393400000001</v>
      </c>
      <c r="Q325" s="43">
        <f>SUMIF(G325:G349,$Q$3,J325:J349)</f>
        <v>22396.991999999998</v>
      </c>
      <c r="R325" s="43">
        <f>SUMIF(G325:G349,$R$3,J325:J349)</f>
        <v>0</v>
      </c>
      <c r="S325" s="43">
        <f>SUMIF(G325:G349,$S$3,J325:J349)</f>
        <v>6933.12</v>
      </c>
      <c r="T325" s="43">
        <f>SUM(M325:S350)</f>
        <v>142628.91951035999</v>
      </c>
      <c r="U325" s="43">
        <v>142628.9</v>
      </c>
      <c r="V325" s="43">
        <f>T325-U325</f>
        <v>1.9510359998093918E-2</v>
      </c>
      <c r="W325" s="44"/>
    </row>
    <row r="326" spans="1:23" s="18" customFormat="1" ht="20" customHeight="1" x14ac:dyDescent="0.3">
      <c r="A326" s="41"/>
      <c r="B326" s="41"/>
      <c r="C326" s="19" t="s">
        <v>146</v>
      </c>
      <c r="D326" s="19" t="s">
        <v>32</v>
      </c>
      <c r="E326" s="19">
        <v>14276.5</v>
      </c>
      <c r="F326" s="19">
        <v>600</v>
      </c>
      <c r="G326" s="19">
        <v>20</v>
      </c>
      <c r="H326" s="21">
        <f t="shared" si="24"/>
        <v>1344.8462999999999</v>
      </c>
      <c r="I326" s="19">
        <v>2</v>
      </c>
      <c r="J326" s="22">
        <f t="shared" si="25"/>
        <v>2689.6925999999999</v>
      </c>
      <c r="K326" s="19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</row>
    <row r="327" spans="1:23" s="18" customFormat="1" ht="20" hidden="1" customHeight="1" x14ac:dyDescent="0.3">
      <c r="A327" s="41"/>
      <c r="B327" s="41"/>
      <c r="C327" s="19" t="s">
        <v>147</v>
      </c>
      <c r="D327" s="19" t="s">
        <v>32</v>
      </c>
      <c r="E327" s="19">
        <v>16000</v>
      </c>
      <c r="F327" s="19">
        <v>600</v>
      </c>
      <c r="G327" s="19">
        <v>24</v>
      </c>
      <c r="H327" s="21">
        <f t="shared" si="24"/>
        <v>1808.6399999999999</v>
      </c>
      <c r="I327" s="19">
        <v>8</v>
      </c>
      <c r="J327" s="22">
        <f t="shared" si="25"/>
        <v>14469.119999999999</v>
      </c>
      <c r="K327" s="19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</row>
    <row r="328" spans="1:23" s="18" customFormat="1" ht="20" hidden="1" customHeight="1" x14ac:dyDescent="0.3">
      <c r="A328" s="41"/>
      <c r="B328" s="41"/>
      <c r="C328" s="19" t="s">
        <v>148</v>
      </c>
      <c r="D328" s="19" t="s">
        <v>32</v>
      </c>
      <c r="E328" s="19">
        <v>3700</v>
      </c>
      <c r="F328" s="19">
        <v>600</v>
      </c>
      <c r="G328" s="19">
        <v>40</v>
      </c>
      <c r="H328" s="21">
        <f t="shared" si="24"/>
        <v>697.08</v>
      </c>
      <c r="I328" s="19">
        <v>2</v>
      </c>
      <c r="J328" s="22">
        <f t="shared" si="25"/>
        <v>1394.16</v>
      </c>
      <c r="K328" s="19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</row>
    <row r="329" spans="1:23" s="18" customFormat="1" ht="20" hidden="1" customHeight="1" x14ac:dyDescent="0.3">
      <c r="A329" s="41"/>
      <c r="B329" s="41"/>
      <c r="C329" s="19" t="s">
        <v>149</v>
      </c>
      <c r="D329" s="19" t="s">
        <v>32</v>
      </c>
      <c r="E329" s="19">
        <v>7200</v>
      </c>
      <c r="F329" s="19">
        <v>800</v>
      </c>
      <c r="G329" s="19">
        <v>40</v>
      </c>
      <c r="H329" s="21">
        <f t="shared" si="24"/>
        <v>1808.64</v>
      </c>
      <c r="I329" s="19">
        <v>2</v>
      </c>
      <c r="J329" s="22">
        <f t="shared" si="25"/>
        <v>3617.28</v>
      </c>
      <c r="K329" s="19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</row>
    <row r="330" spans="1:23" s="18" customFormat="1" ht="20" hidden="1" customHeight="1" x14ac:dyDescent="0.3">
      <c r="A330" s="41"/>
      <c r="B330" s="39"/>
      <c r="C330" s="19" t="s">
        <v>150</v>
      </c>
      <c r="D330" s="19" t="s">
        <v>32</v>
      </c>
      <c r="E330" s="19">
        <v>5100</v>
      </c>
      <c r="F330" s="19">
        <v>600</v>
      </c>
      <c r="G330" s="19">
        <v>40</v>
      </c>
      <c r="H330" s="21">
        <f t="shared" si="24"/>
        <v>960.8399999999998</v>
      </c>
      <c r="I330" s="19">
        <v>2</v>
      </c>
      <c r="J330" s="22">
        <f t="shared" si="25"/>
        <v>1921.6799999999996</v>
      </c>
      <c r="K330" s="19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</row>
    <row r="331" spans="1:23" s="18" customFormat="1" ht="20" hidden="1" customHeight="1" x14ac:dyDescent="0.3">
      <c r="A331" s="41"/>
      <c r="B331" s="44" t="s">
        <v>39</v>
      </c>
      <c r="C331" s="19" t="s">
        <v>151</v>
      </c>
      <c r="D331" s="19" t="s">
        <v>32</v>
      </c>
      <c r="E331" s="19">
        <v>10780</v>
      </c>
      <c r="F331" s="19">
        <v>2641.7</v>
      </c>
      <c r="G331" s="19">
        <v>16</v>
      </c>
      <c r="H331" s="21">
        <f t="shared" si="24"/>
        <v>3576.7772655999993</v>
      </c>
      <c r="I331" s="19">
        <v>1</v>
      </c>
      <c r="J331" s="22">
        <f t="shared" si="25"/>
        <v>3576.7772655999993</v>
      </c>
      <c r="K331" s="19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</row>
    <row r="332" spans="1:23" s="18" customFormat="1" ht="20" hidden="1" customHeight="1" x14ac:dyDescent="0.3">
      <c r="A332" s="41"/>
      <c r="B332" s="41"/>
      <c r="C332" s="19" t="s">
        <v>152</v>
      </c>
      <c r="D332" s="19" t="s">
        <v>32</v>
      </c>
      <c r="E332" s="19">
        <v>10780</v>
      </c>
      <c r="F332" s="19">
        <v>2718.2</v>
      </c>
      <c r="G332" s="19">
        <v>16</v>
      </c>
      <c r="H332" s="21">
        <f t="shared" si="24"/>
        <v>3680.3558175999997</v>
      </c>
      <c r="I332" s="19">
        <v>1</v>
      </c>
      <c r="J332" s="22">
        <f t="shared" si="25"/>
        <v>3680.3558175999997</v>
      </c>
      <c r="K332" s="19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</row>
    <row r="333" spans="1:23" s="18" customFormat="1" ht="20" hidden="1" customHeight="1" x14ac:dyDescent="0.3">
      <c r="A333" s="41"/>
      <c r="B333" s="41"/>
      <c r="C333" s="19" t="s">
        <v>153</v>
      </c>
      <c r="D333" s="19" t="s">
        <v>32</v>
      </c>
      <c r="E333" s="19">
        <v>14276.5</v>
      </c>
      <c r="F333" s="19">
        <v>2641.7</v>
      </c>
      <c r="G333" s="19">
        <v>16</v>
      </c>
      <c r="H333" s="21">
        <f t="shared" si="24"/>
        <v>4736.9072942799994</v>
      </c>
      <c r="I333" s="19">
        <v>1</v>
      </c>
      <c r="J333" s="22">
        <f t="shared" si="25"/>
        <v>4736.9072942799994</v>
      </c>
      <c r="K333" s="19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</row>
    <row r="334" spans="1:23" s="18" customFormat="1" ht="20" hidden="1" customHeight="1" x14ac:dyDescent="0.3">
      <c r="A334" s="41"/>
      <c r="B334" s="41"/>
      <c r="C334" s="19" t="s">
        <v>154</v>
      </c>
      <c r="D334" s="19" t="s">
        <v>32</v>
      </c>
      <c r="E334" s="19">
        <v>14276.5</v>
      </c>
      <c r="F334" s="19">
        <v>2718.2</v>
      </c>
      <c r="G334" s="19">
        <v>16</v>
      </c>
      <c r="H334" s="21">
        <f t="shared" si="24"/>
        <v>4874.0816168800002</v>
      </c>
      <c r="I334" s="19">
        <v>1</v>
      </c>
      <c r="J334" s="22">
        <f t="shared" si="25"/>
        <v>4874.0816168800002</v>
      </c>
      <c r="K334" s="19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</row>
    <row r="335" spans="1:23" s="18" customFormat="1" ht="20" hidden="1" customHeight="1" x14ac:dyDescent="0.3">
      <c r="A335" s="41"/>
      <c r="B335" s="41"/>
      <c r="C335" s="19" t="s">
        <v>155</v>
      </c>
      <c r="D335" s="19" t="s">
        <v>32</v>
      </c>
      <c r="E335" s="19">
        <v>16000</v>
      </c>
      <c r="F335" s="19">
        <v>2637.7</v>
      </c>
      <c r="G335" s="19">
        <v>14</v>
      </c>
      <c r="H335" s="21">
        <f t="shared" si="24"/>
        <v>4638.1316799999995</v>
      </c>
      <c r="I335" s="19">
        <v>4</v>
      </c>
      <c r="J335" s="22">
        <f t="shared" si="25"/>
        <v>18552.526719999998</v>
      </c>
      <c r="K335" s="19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</row>
    <row r="336" spans="1:23" s="18" customFormat="1" ht="20" hidden="1" customHeight="1" x14ac:dyDescent="0.3">
      <c r="A336" s="41"/>
      <c r="B336" s="41"/>
      <c r="C336" s="19" t="s">
        <v>156</v>
      </c>
      <c r="D336" s="19" t="s">
        <v>32</v>
      </c>
      <c r="E336" s="19">
        <v>16000</v>
      </c>
      <c r="F336" s="19">
        <v>2714.2</v>
      </c>
      <c r="G336" s="19">
        <v>14</v>
      </c>
      <c r="H336" s="21">
        <f t="shared" si="24"/>
        <v>4772.6492799999996</v>
      </c>
      <c r="I336" s="19">
        <v>4</v>
      </c>
      <c r="J336" s="22">
        <f t="shared" si="25"/>
        <v>19090.597119999999</v>
      </c>
      <c r="K336" s="19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</row>
    <row r="337" spans="1:23" s="18" customFormat="1" ht="20" customHeight="1" x14ac:dyDescent="0.3">
      <c r="A337" s="41"/>
      <c r="B337" s="41"/>
      <c r="C337" s="19" t="s">
        <v>157</v>
      </c>
      <c r="D337" s="19" t="s">
        <v>32</v>
      </c>
      <c r="E337" s="19">
        <v>16000</v>
      </c>
      <c r="F337" s="19">
        <v>2621.7</v>
      </c>
      <c r="G337" s="19">
        <v>20</v>
      </c>
      <c r="H337" s="21">
        <f t="shared" si="24"/>
        <v>6585.710399999999</v>
      </c>
      <c r="I337" s="19">
        <v>1</v>
      </c>
      <c r="J337" s="22">
        <f t="shared" si="25"/>
        <v>6585.710399999999</v>
      </c>
      <c r="K337" s="19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</row>
    <row r="338" spans="1:23" s="18" customFormat="1" ht="20" customHeight="1" x14ac:dyDescent="0.3">
      <c r="A338" s="41"/>
      <c r="B338" s="39"/>
      <c r="C338" s="19" t="s">
        <v>158</v>
      </c>
      <c r="D338" s="19" t="s">
        <v>32</v>
      </c>
      <c r="E338" s="19">
        <v>16000</v>
      </c>
      <c r="F338" s="19">
        <v>2698.2</v>
      </c>
      <c r="G338" s="19">
        <v>20</v>
      </c>
      <c r="H338" s="21">
        <f t="shared" si="24"/>
        <v>6777.8783999999996</v>
      </c>
      <c r="I338" s="19">
        <v>1</v>
      </c>
      <c r="J338" s="22">
        <f t="shared" si="25"/>
        <v>6777.8783999999996</v>
      </c>
      <c r="K338" s="19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</row>
    <row r="339" spans="1:23" s="18" customFormat="1" ht="20" hidden="1" customHeight="1" x14ac:dyDescent="0.3">
      <c r="A339" s="41"/>
      <c r="B339" s="44" t="s">
        <v>50</v>
      </c>
      <c r="C339" s="19" t="s">
        <v>159</v>
      </c>
      <c r="D339" s="19" t="s">
        <v>32</v>
      </c>
      <c r="E339" s="19">
        <v>10030</v>
      </c>
      <c r="F339" s="19">
        <v>2630</v>
      </c>
      <c r="G339" s="19">
        <v>16</v>
      </c>
      <c r="H339" s="21">
        <f t="shared" si="24"/>
        <v>3313.18984</v>
      </c>
      <c r="I339" s="19">
        <v>1</v>
      </c>
      <c r="J339" s="22">
        <f t="shared" si="25"/>
        <v>3313.18984</v>
      </c>
      <c r="K339" s="19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</row>
    <row r="340" spans="1:23" s="18" customFormat="1" ht="20" hidden="1" customHeight="1" x14ac:dyDescent="0.3">
      <c r="A340" s="41"/>
      <c r="B340" s="41"/>
      <c r="C340" s="19" t="s">
        <v>160</v>
      </c>
      <c r="D340" s="19" t="s">
        <v>32</v>
      </c>
      <c r="E340" s="19">
        <v>13526.5</v>
      </c>
      <c r="F340" s="19">
        <v>2630</v>
      </c>
      <c r="G340" s="19">
        <v>16</v>
      </c>
      <c r="H340" s="21">
        <f t="shared" si="24"/>
        <v>4468.1816919999992</v>
      </c>
      <c r="I340" s="19">
        <v>1</v>
      </c>
      <c r="J340" s="22">
        <f t="shared" si="25"/>
        <v>4468.1816919999992</v>
      </c>
      <c r="K340" s="19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</row>
    <row r="341" spans="1:23" s="18" customFormat="1" ht="20" customHeight="1" x14ac:dyDescent="0.3">
      <c r="A341" s="41"/>
      <c r="B341" s="41"/>
      <c r="C341" s="19" t="s">
        <v>161</v>
      </c>
      <c r="D341" s="19" t="s">
        <v>32</v>
      </c>
      <c r="E341" s="19">
        <v>16000</v>
      </c>
      <c r="F341" s="19">
        <v>2630</v>
      </c>
      <c r="G341" s="19">
        <v>20</v>
      </c>
      <c r="H341" s="21">
        <f t="shared" si="24"/>
        <v>6606.56</v>
      </c>
      <c r="I341" s="19">
        <v>4</v>
      </c>
      <c r="J341" s="22">
        <f t="shared" si="25"/>
        <v>26426.240000000002</v>
      </c>
      <c r="K341" s="19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</row>
    <row r="342" spans="1:23" s="18" customFormat="1" ht="20" hidden="1" customHeight="1" x14ac:dyDescent="0.3">
      <c r="A342" s="41"/>
      <c r="B342" s="39"/>
      <c r="C342" s="19" t="s">
        <v>162</v>
      </c>
      <c r="D342" s="19" t="s">
        <v>32</v>
      </c>
      <c r="E342" s="19">
        <v>16000</v>
      </c>
      <c r="F342" s="19">
        <v>2630</v>
      </c>
      <c r="G342" s="19">
        <v>24</v>
      </c>
      <c r="H342" s="21">
        <f t="shared" si="24"/>
        <v>7927.8719999999994</v>
      </c>
      <c r="I342" s="19">
        <v>1</v>
      </c>
      <c r="J342" s="22">
        <f t="shared" si="25"/>
        <v>7927.8719999999994</v>
      </c>
      <c r="K342" s="19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</row>
    <row r="343" spans="1:23" s="18" customFormat="1" ht="20" hidden="1" customHeight="1" x14ac:dyDescent="0.3">
      <c r="A343" s="41"/>
      <c r="B343" s="44" t="s">
        <v>55</v>
      </c>
      <c r="C343" s="19" t="s">
        <v>163</v>
      </c>
      <c r="D343" s="19" t="s">
        <v>32</v>
      </c>
      <c r="E343" s="24">
        <v>19225.599999999999</v>
      </c>
      <c r="F343" s="19">
        <v>140</v>
      </c>
      <c r="G343" s="19">
        <v>12</v>
      </c>
      <c r="H343" s="21">
        <f t="shared" si="24"/>
        <v>253.54721280000004</v>
      </c>
      <c r="I343" s="19">
        <v>1</v>
      </c>
      <c r="J343" s="22">
        <f t="shared" si="25"/>
        <v>253.54721280000004</v>
      </c>
      <c r="K343" s="2" t="s">
        <v>57</v>
      </c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</row>
    <row r="344" spans="1:23" s="18" customFormat="1" ht="20" hidden="1" customHeight="1" x14ac:dyDescent="0.3">
      <c r="A344" s="41"/>
      <c r="B344" s="41"/>
      <c r="C344" s="19" t="s">
        <v>164</v>
      </c>
      <c r="D344" s="19" t="s">
        <v>32</v>
      </c>
      <c r="E344" s="24">
        <v>71124.399999999994</v>
      </c>
      <c r="F344" s="19">
        <v>140</v>
      </c>
      <c r="G344" s="19">
        <v>12</v>
      </c>
      <c r="H344" s="21">
        <f t="shared" si="24"/>
        <v>937.98858719999998</v>
      </c>
      <c r="I344" s="19">
        <v>1</v>
      </c>
      <c r="J344" s="22">
        <f t="shared" si="25"/>
        <v>937.98858719999998</v>
      </c>
      <c r="K344" s="2" t="s">
        <v>57</v>
      </c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</row>
    <row r="345" spans="1:23" s="18" customFormat="1" ht="20" hidden="1" customHeight="1" x14ac:dyDescent="0.3">
      <c r="A345" s="41"/>
      <c r="B345" s="39"/>
      <c r="C345" s="19" t="s">
        <v>165</v>
      </c>
      <c r="D345" s="19" t="s">
        <v>32</v>
      </c>
      <c r="E345" s="24">
        <v>26794</v>
      </c>
      <c r="F345" s="19">
        <v>180</v>
      </c>
      <c r="G345" s="19">
        <v>16</v>
      </c>
      <c r="H345" s="21">
        <f t="shared" si="24"/>
        <v>605.75875199999996</v>
      </c>
      <c r="I345" s="19">
        <v>1</v>
      </c>
      <c r="J345" s="22">
        <f t="shared" si="25"/>
        <v>605.75875199999996</v>
      </c>
      <c r="K345" s="2" t="s">
        <v>57</v>
      </c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</row>
    <row r="346" spans="1:23" s="18" customFormat="1" ht="20" hidden="1" customHeight="1" x14ac:dyDescent="0.3">
      <c r="A346" s="41"/>
      <c r="B346" s="44" t="s">
        <v>60</v>
      </c>
      <c r="C346" s="19" t="s">
        <v>166</v>
      </c>
      <c r="D346" s="19" t="s">
        <v>32</v>
      </c>
      <c r="E346" s="19">
        <v>9480</v>
      </c>
      <c r="F346" s="19">
        <v>160</v>
      </c>
      <c r="G346" s="19">
        <v>14</v>
      </c>
      <c r="H346" s="21">
        <f t="shared" si="24"/>
        <v>166.69632000000001</v>
      </c>
      <c r="I346" s="19">
        <v>2</v>
      </c>
      <c r="J346" s="22">
        <f t="shared" si="25"/>
        <v>333.39264000000003</v>
      </c>
      <c r="K346" s="19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</row>
    <row r="347" spans="1:23" s="18" customFormat="1" ht="20" hidden="1" customHeight="1" x14ac:dyDescent="0.3">
      <c r="A347" s="41"/>
      <c r="B347" s="41"/>
      <c r="C347" s="19" t="s">
        <v>167</v>
      </c>
      <c r="D347" s="19" t="s">
        <v>32</v>
      </c>
      <c r="E347" s="19">
        <v>12976.5</v>
      </c>
      <c r="F347" s="19">
        <v>160</v>
      </c>
      <c r="G347" s="19">
        <v>14</v>
      </c>
      <c r="H347" s="21">
        <f t="shared" si="24"/>
        <v>228.178776</v>
      </c>
      <c r="I347" s="19">
        <v>2</v>
      </c>
      <c r="J347" s="22">
        <f t="shared" si="25"/>
        <v>456.357552</v>
      </c>
      <c r="K347" s="19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</row>
    <row r="348" spans="1:23" s="18" customFormat="1" ht="20" hidden="1" customHeight="1" x14ac:dyDescent="0.3">
      <c r="A348" s="41"/>
      <c r="B348" s="41"/>
      <c r="C348" s="19" t="s">
        <v>168</v>
      </c>
      <c r="D348" s="19" t="s">
        <v>32</v>
      </c>
      <c r="E348" s="19">
        <v>16000</v>
      </c>
      <c r="F348" s="19">
        <v>160</v>
      </c>
      <c r="G348" s="19">
        <v>14</v>
      </c>
      <c r="H348" s="21">
        <f t="shared" si="24"/>
        <v>281.34400000000005</v>
      </c>
      <c r="I348" s="19">
        <v>8</v>
      </c>
      <c r="J348" s="22">
        <f t="shared" si="25"/>
        <v>2250.7520000000004</v>
      </c>
      <c r="K348" s="19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</row>
    <row r="349" spans="1:23" s="18" customFormat="1" ht="20" customHeight="1" x14ac:dyDescent="0.3">
      <c r="A349" s="41"/>
      <c r="B349" s="39"/>
      <c r="C349" s="19" t="s">
        <v>169</v>
      </c>
      <c r="D349" s="19" t="s">
        <v>32</v>
      </c>
      <c r="E349" s="19">
        <v>16000</v>
      </c>
      <c r="F349" s="19">
        <v>220</v>
      </c>
      <c r="G349" s="19">
        <v>20</v>
      </c>
      <c r="H349" s="21">
        <f t="shared" si="24"/>
        <v>552.64</v>
      </c>
      <c r="I349" s="19">
        <v>3</v>
      </c>
      <c r="J349" s="22">
        <f t="shared" si="25"/>
        <v>1657.92</v>
      </c>
      <c r="K349" s="19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</row>
    <row r="350" spans="1:23" s="18" customFormat="1" ht="20" hidden="1" customHeight="1" x14ac:dyDescent="0.3">
      <c r="A350" s="39"/>
      <c r="B350" s="44" t="s">
        <v>65</v>
      </c>
      <c r="C350" s="38"/>
      <c r="D350" s="19"/>
      <c r="E350" s="19"/>
      <c r="F350" s="19"/>
      <c r="G350" s="19"/>
      <c r="H350" s="21"/>
      <c r="I350" s="19"/>
      <c r="J350" s="22">
        <f>SUM(J325:J349)</f>
        <v>142628.91951036002</v>
      </c>
      <c r="K350" s="1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</row>
    <row r="351" spans="1:23" s="18" customFormat="1" ht="20" customHeight="1" x14ac:dyDescent="0.3">
      <c r="A351" s="44" t="s">
        <v>256</v>
      </c>
      <c r="B351" s="44" t="s">
        <v>30</v>
      </c>
      <c r="C351" s="19" t="s">
        <v>171</v>
      </c>
      <c r="D351" s="19" t="s">
        <v>32</v>
      </c>
      <c r="E351" s="19">
        <v>6568.2</v>
      </c>
      <c r="F351" s="19">
        <v>600</v>
      </c>
      <c r="G351" s="19">
        <v>20</v>
      </c>
      <c r="H351" s="21">
        <f t="shared" ref="H351:H375" si="26">(E351/1000)*(F351/1000)*(G351/1000)*7850</f>
        <v>618.72443999999996</v>
      </c>
      <c r="I351" s="19">
        <v>2</v>
      </c>
      <c r="J351" s="22">
        <f t="shared" ref="J351:J375" si="27">H351*I351</f>
        <v>1237.4488799999999</v>
      </c>
      <c r="K351" s="19"/>
      <c r="L351" s="44" t="str">
        <f>A351</f>
        <v>下层6#</v>
      </c>
      <c r="M351" s="43">
        <f>SUMIF(G351:G375,$M$3,J351:J375)</f>
        <v>1209.1839815999999</v>
      </c>
      <c r="N351" s="43">
        <f>SUMIF(G351:G375,$N$3,J351:J375)</f>
        <v>40694.190499199998</v>
      </c>
      <c r="O351" s="43">
        <f>SUMIF(G351:G375,$O$3,J351:J375)</f>
        <v>25517.121993336001</v>
      </c>
      <c r="P351" s="43">
        <f>SUMIF(G351:G375,$P$3,J351:J375)</f>
        <v>46224.988759999993</v>
      </c>
      <c r="Q351" s="43">
        <f>SUMIF(G351:G375,$Q$3,J351:J375)</f>
        <v>22396.991999999998</v>
      </c>
      <c r="R351" s="43">
        <f>SUMIF(G351:G375,$R$3,J351:J375)</f>
        <v>0</v>
      </c>
      <c r="S351" s="43">
        <f>SUMIF(G351:G375,$S$3,J351:J375)</f>
        <v>6933.12</v>
      </c>
      <c r="T351" s="43">
        <f>SUM(M351:S376)</f>
        <v>142975.59723413599</v>
      </c>
      <c r="U351" s="43">
        <v>142975.6</v>
      </c>
      <c r="V351" s="43">
        <f>T351-U351</f>
        <v>-2.765864017419517E-3</v>
      </c>
      <c r="W351" s="44"/>
    </row>
    <row r="352" spans="1:23" s="18" customFormat="1" ht="20" customHeight="1" x14ac:dyDescent="0.3">
      <c r="A352" s="41"/>
      <c r="B352" s="41"/>
      <c r="C352" s="19" t="s">
        <v>172</v>
      </c>
      <c r="D352" s="19" t="s">
        <v>32</v>
      </c>
      <c r="E352" s="19">
        <v>18788.7</v>
      </c>
      <c r="F352" s="19">
        <v>600</v>
      </c>
      <c r="G352" s="19">
        <v>20</v>
      </c>
      <c r="H352" s="21">
        <f t="shared" si="26"/>
        <v>1769.89554</v>
      </c>
      <c r="I352" s="19">
        <v>2</v>
      </c>
      <c r="J352" s="22">
        <f t="shared" si="27"/>
        <v>3539.79108</v>
      </c>
      <c r="K352" s="19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</row>
    <row r="353" spans="1:23" s="18" customFormat="1" ht="20" hidden="1" customHeight="1" x14ac:dyDescent="0.3">
      <c r="A353" s="41"/>
      <c r="B353" s="41"/>
      <c r="C353" s="19" t="s">
        <v>173</v>
      </c>
      <c r="D353" s="19" t="s">
        <v>32</v>
      </c>
      <c r="E353" s="19">
        <v>16000</v>
      </c>
      <c r="F353" s="19">
        <v>600</v>
      </c>
      <c r="G353" s="19">
        <v>24</v>
      </c>
      <c r="H353" s="21">
        <f t="shared" si="26"/>
        <v>1808.6399999999999</v>
      </c>
      <c r="I353" s="19">
        <v>8</v>
      </c>
      <c r="J353" s="22">
        <f t="shared" si="27"/>
        <v>14469.119999999999</v>
      </c>
      <c r="K353" s="19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</row>
    <row r="354" spans="1:23" s="18" customFormat="1" ht="20" hidden="1" customHeight="1" x14ac:dyDescent="0.3">
      <c r="A354" s="41"/>
      <c r="B354" s="41"/>
      <c r="C354" s="19" t="s">
        <v>174</v>
      </c>
      <c r="D354" s="19" t="s">
        <v>32</v>
      </c>
      <c r="E354" s="19">
        <v>3900</v>
      </c>
      <c r="F354" s="19">
        <v>600</v>
      </c>
      <c r="G354" s="19">
        <v>40</v>
      </c>
      <c r="H354" s="21">
        <f t="shared" si="26"/>
        <v>734.76</v>
      </c>
      <c r="I354" s="19">
        <v>2</v>
      </c>
      <c r="J354" s="22">
        <f t="shared" si="27"/>
        <v>1469.52</v>
      </c>
      <c r="K354" s="19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</row>
    <row r="355" spans="1:23" s="18" customFormat="1" ht="20" hidden="1" customHeight="1" x14ac:dyDescent="0.3">
      <c r="A355" s="41"/>
      <c r="B355" s="41"/>
      <c r="C355" s="19" t="s">
        <v>175</v>
      </c>
      <c r="D355" s="19" t="s">
        <v>32</v>
      </c>
      <c r="E355" s="19">
        <v>7200</v>
      </c>
      <c r="F355" s="19">
        <v>800</v>
      </c>
      <c r="G355" s="19">
        <v>40</v>
      </c>
      <c r="H355" s="21">
        <f t="shared" si="26"/>
        <v>1808.64</v>
      </c>
      <c r="I355" s="19">
        <v>2</v>
      </c>
      <c r="J355" s="22">
        <f t="shared" si="27"/>
        <v>3617.28</v>
      </c>
      <c r="K355" s="19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</row>
    <row r="356" spans="1:23" s="18" customFormat="1" ht="20" hidden="1" customHeight="1" x14ac:dyDescent="0.3">
      <c r="A356" s="41"/>
      <c r="B356" s="39"/>
      <c r="C356" s="19" t="s">
        <v>176</v>
      </c>
      <c r="D356" s="19" t="s">
        <v>32</v>
      </c>
      <c r="E356" s="19">
        <v>4900</v>
      </c>
      <c r="F356" s="19">
        <v>600</v>
      </c>
      <c r="G356" s="19">
        <v>40</v>
      </c>
      <c r="H356" s="21">
        <f t="shared" si="26"/>
        <v>923.16</v>
      </c>
      <c r="I356" s="19">
        <v>2</v>
      </c>
      <c r="J356" s="22">
        <f t="shared" si="27"/>
        <v>1846.32</v>
      </c>
      <c r="K356" s="19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</row>
    <row r="357" spans="1:23" s="18" customFormat="1" ht="20" hidden="1" customHeight="1" x14ac:dyDescent="0.3">
      <c r="A357" s="41"/>
      <c r="B357" s="44" t="s">
        <v>39</v>
      </c>
      <c r="C357" s="19" t="s">
        <v>177</v>
      </c>
      <c r="D357" s="19" t="s">
        <v>32</v>
      </c>
      <c r="E357" s="19">
        <v>6568.2</v>
      </c>
      <c r="F357" s="19">
        <v>2641.7</v>
      </c>
      <c r="G357" s="19">
        <v>16</v>
      </c>
      <c r="H357" s="21">
        <f t="shared" si="26"/>
        <v>2179.3124708639998</v>
      </c>
      <c r="I357" s="19">
        <v>1</v>
      </c>
      <c r="J357" s="22">
        <f t="shared" si="27"/>
        <v>2179.3124708639998</v>
      </c>
      <c r="K357" s="19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</row>
    <row r="358" spans="1:23" s="18" customFormat="1" ht="20" hidden="1" customHeight="1" x14ac:dyDescent="0.3">
      <c r="A358" s="41"/>
      <c r="B358" s="41"/>
      <c r="C358" s="19" t="s">
        <v>178</v>
      </c>
      <c r="D358" s="19" t="s">
        <v>32</v>
      </c>
      <c r="E358" s="19">
        <v>6568.2</v>
      </c>
      <c r="F358" s="19">
        <v>2718.2</v>
      </c>
      <c r="G358" s="19">
        <v>16</v>
      </c>
      <c r="H358" s="21">
        <f t="shared" si="26"/>
        <v>2242.4223637440004</v>
      </c>
      <c r="I358" s="19">
        <v>1</v>
      </c>
      <c r="J358" s="22">
        <f t="shared" si="27"/>
        <v>2242.4223637440004</v>
      </c>
      <c r="K358" s="19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</row>
    <row r="359" spans="1:23" s="18" customFormat="1" ht="20" hidden="1" customHeight="1" x14ac:dyDescent="0.3">
      <c r="A359" s="41"/>
      <c r="B359" s="41"/>
      <c r="C359" s="19" t="s">
        <v>179</v>
      </c>
      <c r="D359" s="19" t="s">
        <v>32</v>
      </c>
      <c r="E359" s="19">
        <v>18788.7</v>
      </c>
      <c r="F359" s="19">
        <v>2641.7</v>
      </c>
      <c r="G359" s="19">
        <v>16</v>
      </c>
      <c r="H359" s="21">
        <f t="shared" si="26"/>
        <v>6234.0440640239995</v>
      </c>
      <c r="I359" s="19">
        <v>1</v>
      </c>
      <c r="J359" s="22">
        <f t="shared" si="27"/>
        <v>6234.0440640239995</v>
      </c>
      <c r="K359" s="19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</row>
    <row r="360" spans="1:23" s="18" customFormat="1" ht="20" hidden="1" customHeight="1" x14ac:dyDescent="0.3">
      <c r="A360" s="41"/>
      <c r="B360" s="41"/>
      <c r="C360" s="19" t="s">
        <v>180</v>
      </c>
      <c r="D360" s="19" t="s">
        <v>32</v>
      </c>
      <c r="E360" s="19">
        <v>18788.7</v>
      </c>
      <c r="F360" s="19">
        <v>2718.2</v>
      </c>
      <c r="G360" s="19">
        <v>16</v>
      </c>
      <c r="H360" s="21">
        <f t="shared" si="26"/>
        <v>6414.5734091040013</v>
      </c>
      <c r="I360" s="19">
        <v>1</v>
      </c>
      <c r="J360" s="22">
        <f t="shared" si="27"/>
        <v>6414.5734091040013</v>
      </c>
      <c r="K360" s="19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</row>
    <row r="361" spans="1:23" s="18" customFormat="1" ht="20" hidden="1" customHeight="1" x14ac:dyDescent="0.3">
      <c r="A361" s="41"/>
      <c r="B361" s="41"/>
      <c r="C361" s="19" t="s">
        <v>181</v>
      </c>
      <c r="D361" s="19" t="s">
        <v>32</v>
      </c>
      <c r="E361" s="19">
        <v>16000</v>
      </c>
      <c r="F361" s="19">
        <v>2637.7</v>
      </c>
      <c r="G361" s="19">
        <v>14</v>
      </c>
      <c r="H361" s="21">
        <f t="shared" si="26"/>
        <v>4638.1316799999995</v>
      </c>
      <c r="I361" s="19">
        <v>4</v>
      </c>
      <c r="J361" s="22">
        <f t="shared" si="27"/>
        <v>18552.526719999998</v>
      </c>
      <c r="K361" s="19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</row>
    <row r="362" spans="1:23" s="18" customFormat="1" ht="20" hidden="1" customHeight="1" x14ac:dyDescent="0.3">
      <c r="A362" s="41"/>
      <c r="B362" s="41"/>
      <c r="C362" s="19" t="s">
        <v>182</v>
      </c>
      <c r="D362" s="19" t="s">
        <v>32</v>
      </c>
      <c r="E362" s="19">
        <v>16000</v>
      </c>
      <c r="F362" s="19">
        <v>2714.2</v>
      </c>
      <c r="G362" s="19">
        <v>14</v>
      </c>
      <c r="H362" s="21">
        <f t="shared" si="26"/>
        <v>4772.6492799999996</v>
      </c>
      <c r="I362" s="19">
        <v>4</v>
      </c>
      <c r="J362" s="22">
        <f t="shared" si="27"/>
        <v>19090.597119999999</v>
      </c>
      <c r="K362" s="19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</row>
    <row r="363" spans="1:23" s="18" customFormat="1" ht="20" customHeight="1" x14ac:dyDescent="0.3">
      <c r="A363" s="41"/>
      <c r="B363" s="41"/>
      <c r="C363" s="19" t="s">
        <v>183</v>
      </c>
      <c r="D363" s="19" t="s">
        <v>32</v>
      </c>
      <c r="E363" s="19">
        <v>16000</v>
      </c>
      <c r="F363" s="19">
        <v>2621.7</v>
      </c>
      <c r="G363" s="19">
        <v>20</v>
      </c>
      <c r="H363" s="21">
        <f t="shared" si="26"/>
        <v>6585.710399999999</v>
      </c>
      <c r="I363" s="19">
        <v>1</v>
      </c>
      <c r="J363" s="22">
        <f t="shared" si="27"/>
        <v>6585.710399999999</v>
      </c>
      <c r="K363" s="19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</row>
    <row r="364" spans="1:23" s="18" customFormat="1" ht="20" customHeight="1" x14ac:dyDescent="0.3">
      <c r="A364" s="41"/>
      <c r="B364" s="39"/>
      <c r="C364" s="19" t="s">
        <v>184</v>
      </c>
      <c r="D364" s="19" t="s">
        <v>32</v>
      </c>
      <c r="E364" s="19">
        <v>16000</v>
      </c>
      <c r="F364" s="19">
        <v>2698.2</v>
      </c>
      <c r="G364" s="19">
        <v>20</v>
      </c>
      <c r="H364" s="21">
        <f t="shared" si="26"/>
        <v>6777.8783999999996</v>
      </c>
      <c r="I364" s="19">
        <v>1</v>
      </c>
      <c r="J364" s="22">
        <f t="shared" si="27"/>
        <v>6777.8783999999996</v>
      </c>
      <c r="K364" s="19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</row>
    <row r="365" spans="1:23" s="18" customFormat="1" ht="20" hidden="1" customHeight="1" x14ac:dyDescent="0.3">
      <c r="A365" s="41"/>
      <c r="B365" s="44" t="s">
        <v>50</v>
      </c>
      <c r="C365" s="19" t="s">
        <v>185</v>
      </c>
      <c r="D365" s="19" t="s">
        <v>32</v>
      </c>
      <c r="E365" s="19">
        <v>5818.2</v>
      </c>
      <c r="F365" s="19">
        <v>2630</v>
      </c>
      <c r="G365" s="19">
        <v>16</v>
      </c>
      <c r="H365" s="21">
        <f t="shared" si="26"/>
        <v>1921.9143695999999</v>
      </c>
      <c r="I365" s="19">
        <v>1</v>
      </c>
      <c r="J365" s="22">
        <f t="shared" si="27"/>
        <v>1921.9143695999999</v>
      </c>
      <c r="K365" s="19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</row>
    <row r="366" spans="1:23" s="18" customFormat="1" ht="20" hidden="1" customHeight="1" x14ac:dyDescent="0.3">
      <c r="A366" s="41"/>
      <c r="B366" s="41"/>
      <c r="C366" s="19" t="s">
        <v>186</v>
      </c>
      <c r="D366" s="19" t="s">
        <v>32</v>
      </c>
      <c r="E366" s="19">
        <v>18038.7</v>
      </c>
      <c r="F366" s="19">
        <v>2630</v>
      </c>
      <c r="G366" s="19">
        <v>16</v>
      </c>
      <c r="H366" s="21">
        <f t="shared" si="26"/>
        <v>5958.6876936000008</v>
      </c>
      <c r="I366" s="19">
        <v>1</v>
      </c>
      <c r="J366" s="22">
        <f t="shared" si="27"/>
        <v>5958.6876936000008</v>
      </c>
      <c r="K366" s="19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</row>
    <row r="367" spans="1:23" s="18" customFormat="1" ht="20" customHeight="1" x14ac:dyDescent="0.3">
      <c r="A367" s="41"/>
      <c r="B367" s="41"/>
      <c r="C367" s="19" t="s">
        <v>187</v>
      </c>
      <c r="D367" s="19" t="s">
        <v>32</v>
      </c>
      <c r="E367" s="19">
        <v>16000</v>
      </c>
      <c r="F367" s="19">
        <v>2630</v>
      </c>
      <c r="G367" s="19">
        <v>20</v>
      </c>
      <c r="H367" s="21">
        <f t="shared" si="26"/>
        <v>6606.56</v>
      </c>
      <c r="I367" s="19">
        <v>4</v>
      </c>
      <c r="J367" s="22">
        <f t="shared" si="27"/>
        <v>26426.240000000002</v>
      </c>
      <c r="K367" s="19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</row>
    <row r="368" spans="1:23" s="18" customFormat="1" ht="20" hidden="1" customHeight="1" x14ac:dyDescent="0.3">
      <c r="A368" s="41"/>
      <c r="B368" s="39"/>
      <c r="C368" s="19" t="s">
        <v>188</v>
      </c>
      <c r="D368" s="19" t="s">
        <v>32</v>
      </c>
      <c r="E368" s="19">
        <v>16000</v>
      </c>
      <c r="F368" s="19">
        <v>2630</v>
      </c>
      <c r="G368" s="19">
        <v>24</v>
      </c>
      <c r="H368" s="21">
        <f t="shared" si="26"/>
        <v>7927.8719999999994</v>
      </c>
      <c r="I368" s="19">
        <v>1</v>
      </c>
      <c r="J368" s="22">
        <f t="shared" si="27"/>
        <v>7927.8719999999994</v>
      </c>
      <c r="K368" s="19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</row>
    <row r="369" spans="1:23" s="18" customFormat="1" ht="20" hidden="1" customHeight="1" x14ac:dyDescent="0.3">
      <c r="A369" s="41"/>
      <c r="B369" s="44" t="s">
        <v>55</v>
      </c>
      <c r="C369" s="19" t="s">
        <v>189</v>
      </c>
      <c r="D369" s="19" t="s">
        <v>32</v>
      </c>
      <c r="E369" s="24">
        <v>21105.200000000001</v>
      </c>
      <c r="F369" s="19">
        <v>140</v>
      </c>
      <c r="G369" s="19">
        <v>12</v>
      </c>
      <c r="H369" s="21">
        <f t="shared" si="26"/>
        <v>278.33537760000002</v>
      </c>
      <c r="I369" s="19">
        <v>1</v>
      </c>
      <c r="J369" s="22">
        <f t="shared" si="27"/>
        <v>278.33537760000002</v>
      </c>
      <c r="K369" s="2" t="s">
        <v>57</v>
      </c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</row>
    <row r="370" spans="1:23" s="18" customFormat="1" ht="20" hidden="1" customHeight="1" x14ac:dyDescent="0.3">
      <c r="A370" s="41"/>
      <c r="B370" s="41"/>
      <c r="C370" s="19" t="s">
        <v>190</v>
      </c>
      <c r="D370" s="19" t="s">
        <v>32</v>
      </c>
      <c r="E370" s="24">
        <v>70583</v>
      </c>
      <c r="F370" s="19">
        <v>140</v>
      </c>
      <c r="G370" s="19">
        <v>12</v>
      </c>
      <c r="H370" s="21">
        <f t="shared" si="26"/>
        <v>930.84860399999991</v>
      </c>
      <c r="I370" s="19">
        <v>1</v>
      </c>
      <c r="J370" s="22">
        <f t="shared" si="27"/>
        <v>930.84860399999991</v>
      </c>
      <c r="K370" s="2" t="s">
        <v>57</v>
      </c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</row>
    <row r="371" spans="1:23" s="18" customFormat="1" ht="20" hidden="1" customHeight="1" x14ac:dyDescent="0.3">
      <c r="A371" s="41"/>
      <c r="B371" s="39"/>
      <c r="C371" s="19" t="s">
        <v>191</v>
      </c>
      <c r="D371" s="19" t="s">
        <v>32</v>
      </c>
      <c r="E371" s="24">
        <v>25042.799999999999</v>
      </c>
      <c r="F371" s="19">
        <v>180</v>
      </c>
      <c r="G371" s="19">
        <v>16</v>
      </c>
      <c r="H371" s="21">
        <f t="shared" si="26"/>
        <v>566.16762239999991</v>
      </c>
      <c r="I371" s="19">
        <v>1</v>
      </c>
      <c r="J371" s="22">
        <f t="shared" si="27"/>
        <v>566.16762239999991</v>
      </c>
      <c r="K371" s="2" t="s">
        <v>57</v>
      </c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</row>
    <row r="372" spans="1:23" s="18" customFormat="1" ht="20" hidden="1" customHeight="1" x14ac:dyDescent="0.3">
      <c r="A372" s="41"/>
      <c r="B372" s="44" t="s">
        <v>60</v>
      </c>
      <c r="C372" s="19" t="s">
        <v>192</v>
      </c>
      <c r="D372" s="19" t="s">
        <v>32</v>
      </c>
      <c r="E372" s="19">
        <v>5268.2</v>
      </c>
      <c r="F372" s="19">
        <v>160</v>
      </c>
      <c r="G372" s="19">
        <v>14</v>
      </c>
      <c r="H372" s="21">
        <f t="shared" si="26"/>
        <v>92.636028800000005</v>
      </c>
      <c r="I372" s="19">
        <v>2</v>
      </c>
      <c r="J372" s="22">
        <f t="shared" si="27"/>
        <v>185.27205760000001</v>
      </c>
      <c r="K372" s="19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</row>
    <row r="373" spans="1:23" s="18" customFormat="1" ht="20" hidden="1" customHeight="1" x14ac:dyDescent="0.3">
      <c r="A373" s="41"/>
      <c r="B373" s="41"/>
      <c r="C373" s="19" t="s">
        <v>193</v>
      </c>
      <c r="D373" s="19" t="s">
        <v>32</v>
      </c>
      <c r="E373" s="19">
        <v>17488.7</v>
      </c>
      <c r="F373" s="19">
        <v>160</v>
      </c>
      <c r="G373" s="19">
        <v>14</v>
      </c>
      <c r="H373" s="21">
        <f t="shared" si="26"/>
        <v>307.52130080000006</v>
      </c>
      <c r="I373" s="19">
        <v>2</v>
      </c>
      <c r="J373" s="22">
        <f t="shared" si="27"/>
        <v>615.04260160000013</v>
      </c>
      <c r="K373" s="19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</row>
    <row r="374" spans="1:23" s="18" customFormat="1" ht="20" hidden="1" customHeight="1" x14ac:dyDescent="0.3">
      <c r="A374" s="41"/>
      <c r="B374" s="41"/>
      <c r="C374" s="19" t="s">
        <v>194</v>
      </c>
      <c r="D374" s="19" t="s">
        <v>32</v>
      </c>
      <c r="E374" s="19">
        <v>16000</v>
      </c>
      <c r="F374" s="19">
        <v>160</v>
      </c>
      <c r="G374" s="19">
        <v>14</v>
      </c>
      <c r="H374" s="21">
        <f t="shared" si="26"/>
        <v>281.34400000000005</v>
      </c>
      <c r="I374" s="19">
        <v>8</v>
      </c>
      <c r="J374" s="22">
        <f t="shared" si="27"/>
        <v>2250.7520000000004</v>
      </c>
      <c r="K374" s="19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</row>
    <row r="375" spans="1:23" s="18" customFormat="1" ht="20" customHeight="1" x14ac:dyDescent="0.3">
      <c r="A375" s="41"/>
      <c r="B375" s="39"/>
      <c r="C375" s="19" t="s">
        <v>195</v>
      </c>
      <c r="D375" s="19" t="s">
        <v>32</v>
      </c>
      <c r="E375" s="19">
        <v>16000</v>
      </c>
      <c r="F375" s="19">
        <v>220</v>
      </c>
      <c r="G375" s="19">
        <v>20</v>
      </c>
      <c r="H375" s="21">
        <f t="shared" si="26"/>
        <v>552.64</v>
      </c>
      <c r="I375" s="19">
        <v>3</v>
      </c>
      <c r="J375" s="22">
        <f t="shared" si="27"/>
        <v>1657.92</v>
      </c>
      <c r="K375" s="19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</row>
    <row r="376" spans="1:23" s="18" customFormat="1" ht="20" hidden="1" customHeight="1" x14ac:dyDescent="0.3">
      <c r="A376" s="39"/>
      <c r="B376" s="44" t="s">
        <v>65</v>
      </c>
      <c r="C376" s="38"/>
      <c r="D376" s="19"/>
      <c r="E376" s="19"/>
      <c r="F376" s="19"/>
      <c r="G376" s="19"/>
      <c r="H376" s="21"/>
      <c r="I376" s="19"/>
      <c r="J376" s="22">
        <f>SUM(J351:J375)</f>
        <v>142975.59723413599</v>
      </c>
      <c r="K376" s="1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</row>
    <row r="377" spans="1:23" s="18" customFormat="1" ht="20" customHeight="1" x14ac:dyDescent="0.3">
      <c r="A377" s="44" t="s">
        <v>257</v>
      </c>
      <c r="B377" s="44" t="s">
        <v>30</v>
      </c>
      <c r="C377" s="19" t="s">
        <v>197</v>
      </c>
      <c r="D377" s="19" t="s">
        <v>32</v>
      </c>
      <c r="E377" s="19">
        <v>17564.099999999999</v>
      </c>
      <c r="F377" s="19">
        <v>600</v>
      </c>
      <c r="G377" s="19">
        <v>20</v>
      </c>
      <c r="H377" s="21">
        <f t="shared" ref="H377:H401" si="28">(E377/1000)*(F377/1000)*(G377/1000)*7850</f>
        <v>1654.5382199999999</v>
      </c>
      <c r="I377" s="19">
        <v>2</v>
      </c>
      <c r="J377" s="22">
        <f t="shared" ref="J377:J401" si="29">H377*I377</f>
        <v>3309.0764399999998</v>
      </c>
      <c r="K377" s="19"/>
      <c r="L377" s="44" t="str">
        <f>A377</f>
        <v>下层7#</v>
      </c>
      <c r="M377" s="43">
        <f>SUMIF(G377:G401,$M$3,J377:J401)</f>
        <v>1213.6824084</v>
      </c>
      <c r="N377" s="43">
        <f>SUMIF(G377:G401,$N$3,J377:J401)</f>
        <v>40704.754966400003</v>
      </c>
      <c r="O377" s="43">
        <f>SUMIF(G377:G401,$O$3,J377:J401)</f>
        <v>25819.717759512001</v>
      </c>
      <c r="P377" s="43">
        <f>SUMIF(G377:G401,$P$3,J377:J401)</f>
        <v>46281.58412</v>
      </c>
      <c r="Q377" s="43">
        <f>SUMIF(G377:G401,$Q$3,J377:J401)</f>
        <v>22396.991999999998</v>
      </c>
      <c r="R377" s="43">
        <f>SUMIF(G377:G401,$R$3,J377:J401)</f>
        <v>0</v>
      </c>
      <c r="S377" s="43">
        <f>SUMIF(G377:G401,$S$3,J377:J401)</f>
        <v>6933.12</v>
      </c>
      <c r="T377" s="43">
        <f>SUM(M377:S402)</f>
        <v>143349.851254312</v>
      </c>
      <c r="U377" s="43">
        <v>143349.9</v>
      </c>
      <c r="V377" s="43">
        <f>T377-U377</f>
        <v>-4.8745687992777675E-2</v>
      </c>
      <c r="W377" s="44"/>
    </row>
    <row r="378" spans="1:23" s="18" customFormat="1" ht="20" customHeight="1" x14ac:dyDescent="0.3">
      <c r="A378" s="41"/>
      <c r="B378" s="41"/>
      <c r="C378" s="19" t="s">
        <v>198</v>
      </c>
      <c r="D378" s="19" t="s">
        <v>32</v>
      </c>
      <c r="E378" s="19">
        <v>8093.2</v>
      </c>
      <c r="F378" s="19">
        <v>600</v>
      </c>
      <c r="G378" s="19">
        <v>20</v>
      </c>
      <c r="H378" s="21">
        <f t="shared" si="28"/>
        <v>762.37943999999993</v>
      </c>
      <c r="I378" s="19">
        <v>2</v>
      </c>
      <c r="J378" s="22">
        <f t="shared" si="29"/>
        <v>1524.7588799999999</v>
      </c>
      <c r="K378" s="19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</row>
    <row r="379" spans="1:23" s="18" customFormat="1" ht="20" hidden="1" customHeight="1" x14ac:dyDescent="0.3">
      <c r="A379" s="41"/>
      <c r="B379" s="41"/>
      <c r="C379" s="19" t="s">
        <v>199</v>
      </c>
      <c r="D379" s="19" t="s">
        <v>32</v>
      </c>
      <c r="E379" s="19">
        <v>16000</v>
      </c>
      <c r="F379" s="19">
        <v>600</v>
      </c>
      <c r="G379" s="19">
        <v>24</v>
      </c>
      <c r="H379" s="21">
        <f t="shared" si="28"/>
        <v>1808.6399999999999</v>
      </c>
      <c r="I379" s="19">
        <v>8</v>
      </c>
      <c r="J379" s="22">
        <f t="shared" si="29"/>
        <v>14469.119999999999</v>
      </c>
      <c r="K379" s="19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</row>
    <row r="380" spans="1:23" s="18" customFormat="1" ht="20" hidden="1" customHeight="1" x14ac:dyDescent="0.3">
      <c r="A380" s="41"/>
      <c r="B380" s="41"/>
      <c r="C380" s="19" t="s">
        <v>200</v>
      </c>
      <c r="D380" s="19" t="s">
        <v>32</v>
      </c>
      <c r="E380" s="19">
        <v>3900</v>
      </c>
      <c r="F380" s="19">
        <v>600</v>
      </c>
      <c r="G380" s="19">
        <v>40</v>
      </c>
      <c r="H380" s="21">
        <f t="shared" si="28"/>
        <v>734.76</v>
      </c>
      <c r="I380" s="19">
        <v>2</v>
      </c>
      <c r="J380" s="22">
        <f t="shared" si="29"/>
        <v>1469.52</v>
      </c>
      <c r="K380" s="19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</row>
    <row r="381" spans="1:23" s="18" customFormat="1" ht="20" hidden="1" customHeight="1" x14ac:dyDescent="0.3">
      <c r="A381" s="41"/>
      <c r="B381" s="41"/>
      <c r="C381" s="19" t="s">
        <v>201</v>
      </c>
      <c r="D381" s="19" t="s">
        <v>32</v>
      </c>
      <c r="E381" s="19">
        <v>7200</v>
      </c>
      <c r="F381" s="19">
        <v>800</v>
      </c>
      <c r="G381" s="19">
        <v>40</v>
      </c>
      <c r="H381" s="21">
        <f t="shared" si="28"/>
        <v>1808.64</v>
      </c>
      <c r="I381" s="19">
        <v>2</v>
      </c>
      <c r="J381" s="22">
        <f t="shared" si="29"/>
        <v>3617.28</v>
      </c>
      <c r="K381" s="19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</row>
    <row r="382" spans="1:23" s="18" customFormat="1" ht="20" hidden="1" customHeight="1" x14ac:dyDescent="0.3">
      <c r="A382" s="41"/>
      <c r="B382" s="39"/>
      <c r="C382" s="19" t="s">
        <v>202</v>
      </c>
      <c r="D382" s="19" t="s">
        <v>32</v>
      </c>
      <c r="E382" s="19">
        <v>4900</v>
      </c>
      <c r="F382" s="19">
        <v>600</v>
      </c>
      <c r="G382" s="19">
        <v>40</v>
      </c>
      <c r="H382" s="21">
        <f t="shared" si="28"/>
        <v>923.16</v>
      </c>
      <c r="I382" s="19">
        <v>2</v>
      </c>
      <c r="J382" s="22">
        <f t="shared" si="29"/>
        <v>1846.32</v>
      </c>
      <c r="K382" s="19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</row>
    <row r="383" spans="1:23" s="18" customFormat="1" ht="20" hidden="1" customHeight="1" x14ac:dyDescent="0.3">
      <c r="A383" s="41"/>
      <c r="B383" s="44" t="s">
        <v>39</v>
      </c>
      <c r="C383" s="19" t="s">
        <v>203</v>
      </c>
      <c r="D383" s="19" t="s">
        <v>32</v>
      </c>
      <c r="E383" s="19">
        <v>17564.099999999999</v>
      </c>
      <c r="F383" s="19">
        <v>2641.7</v>
      </c>
      <c r="G383" s="19">
        <v>16</v>
      </c>
      <c r="H383" s="21">
        <f t="shared" si="28"/>
        <v>5827.7248210319995</v>
      </c>
      <c r="I383" s="19">
        <v>1</v>
      </c>
      <c r="J383" s="22">
        <f t="shared" si="29"/>
        <v>5827.7248210319995</v>
      </c>
      <c r="K383" s="19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</row>
    <row r="384" spans="1:23" s="18" customFormat="1" ht="20" hidden="1" customHeight="1" x14ac:dyDescent="0.3">
      <c r="A384" s="41"/>
      <c r="B384" s="41"/>
      <c r="C384" s="19" t="s">
        <v>204</v>
      </c>
      <c r="D384" s="19" t="s">
        <v>32</v>
      </c>
      <c r="E384" s="19">
        <v>17564.099999999999</v>
      </c>
      <c r="F384" s="19">
        <v>2718.2</v>
      </c>
      <c r="G384" s="19">
        <v>16</v>
      </c>
      <c r="H384" s="21">
        <f t="shared" si="28"/>
        <v>5996.4877194719993</v>
      </c>
      <c r="I384" s="19">
        <v>1</v>
      </c>
      <c r="J384" s="22">
        <f t="shared" si="29"/>
        <v>5996.4877194719993</v>
      </c>
      <c r="K384" s="19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</row>
    <row r="385" spans="1:23" s="18" customFormat="1" ht="20" hidden="1" customHeight="1" x14ac:dyDescent="0.3">
      <c r="A385" s="41"/>
      <c r="B385" s="41"/>
      <c r="C385" s="19" t="s">
        <v>205</v>
      </c>
      <c r="D385" s="19" t="s">
        <v>32</v>
      </c>
      <c r="E385" s="19">
        <v>8093.2</v>
      </c>
      <c r="F385" s="19">
        <v>2641.7</v>
      </c>
      <c r="G385" s="19">
        <v>16</v>
      </c>
      <c r="H385" s="21">
        <f t="shared" si="28"/>
        <v>2685.3036888639995</v>
      </c>
      <c r="I385" s="19">
        <v>1</v>
      </c>
      <c r="J385" s="22">
        <f t="shared" si="29"/>
        <v>2685.3036888639995</v>
      </c>
      <c r="K385" s="19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</row>
    <row r="386" spans="1:23" s="18" customFormat="1" ht="20" hidden="1" customHeight="1" x14ac:dyDescent="0.3">
      <c r="A386" s="41"/>
      <c r="B386" s="41"/>
      <c r="C386" s="19" t="s">
        <v>206</v>
      </c>
      <c r="D386" s="19" t="s">
        <v>32</v>
      </c>
      <c r="E386" s="19">
        <v>8093.2</v>
      </c>
      <c r="F386" s="19">
        <v>2718.2</v>
      </c>
      <c r="G386" s="19">
        <v>16</v>
      </c>
      <c r="H386" s="21">
        <f t="shared" si="28"/>
        <v>2763.0663917439997</v>
      </c>
      <c r="I386" s="19">
        <v>1</v>
      </c>
      <c r="J386" s="22">
        <f t="shared" si="29"/>
        <v>2763.0663917439997</v>
      </c>
      <c r="K386" s="19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</row>
    <row r="387" spans="1:23" s="18" customFormat="1" ht="20" hidden="1" customHeight="1" x14ac:dyDescent="0.3">
      <c r="A387" s="41"/>
      <c r="B387" s="41"/>
      <c r="C387" s="19" t="s">
        <v>207</v>
      </c>
      <c r="D387" s="19" t="s">
        <v>32</v>
      </c>
      <c r="E387" s="19">
        <v>16000</v>
      </c>
      <c r="F387" s="19">
        <v>2637.7</v>
      </c>
      <c r="G387" s="19">
        <v>14</v>
      </c>
      <c r="H387" s="21">
        <f t="shared" si="28"/>
        <v>4638.1316799999995</v>
      </c>
      <c r="I387" s="19">
        <v>4</v>
      </c>
      <c r="J387" s="22">
        <f t="shared" si="29"/>
        <v>18552.526719999998</v>
      </c>
      <c r="K387" s="19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</row>
    <row r="388" spans="1:23" s="18" customFormat="1" ht="20" hidden="1" customHeight="1" x14ac:dyDescent="0.3">
      <c r="A388" s="41"/>
      <c r="B388" s="41"/>
      <c r="C388" s="19" t="s">
        <v>208</v>
      </c>
      <c r="D388" s="19" t="s">
        <v>32</v>
      </c>
      <c r="E388" s="19">
        <v>16000</v>
      </c>
      <c r="F388" s="19">
        <v>2714.2</v>
      </c>
      <c r="G388" s="19">
        <v>14</v>
      </c>
      <c r="H388" s="21">
        <f t="shared" si="28"/>
        <v>4772.6492799999996</v>
      </c>
      <c r="I388" s="19">
        <v>4</v>
      </c>
      <c r="J388" s="22">
        <f t="shared" si="29"/>
        <v>19090.597119999999</v>
      </c>
      <c r="K388" s="19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</row>
    <row r="389" spans="1:23" s="18" customFormat="1" ht="20" customHeight="1" x14ac:dyDescent="0.3">
      <c r="A389" s="41"/>
      <c r="B389" s="41"/>
      <c r="C389" s="19" t="s">
        <v>209</v>
      </c>
      <c r="D389" s="19" t="s">
        <v>32</v>
      </c>
      <c r="E389" s="19">
        <v>16000</v>
      </c>
      <c r="F389" s="19">
        <v>2621.7</v>
      </c>
      <c r="G389" s="19">
        <v>20</v>
      </c>
      <c r="H389" s="21">
        <f t="shared" si="28"/>
        <v>6585.710399999999</v>
      </c>
      <c r="I389" s="19">
        <v>1</v>
      </c>
      <c r="J389" s="22">
        <f t="shared" si="29"/>
        <v>6585.710399999999</v>
      </c>
      <c r="K389" s="19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</row>
    <row r="390" spans="1:23" s="18" customFormat="1" ht="20" customHeight="1" x14ac:dyDescent="0.3">
      <c r="A390" s="41"/>
      <c r="B390" s="39"/>
      <c r="C390" s="19" t="s">
        <v>210</v>
      </c>
      <c r="D390" s="19" t="s">
        <v>32</v>
      </c>
      <c r="E390" s="19">
        <v>16000</v>
      </c>
      <c r="F390" s="19">
        <v>2698.2</v>
      </c>
      <c r="G390" s="19">
        <v>20</v>
      </c>
      <c r="H390" s="21">
        <f t="shared" si="28"/>
        <v>6777.8783999999996</v>
      </c>
      <c r="I390" s="19">
        <v>1</v>
      </c>
      <c r="J390" s="22">
        <f t="shared" si="29"/>
        <v>6777.8783999999996</v>
      </c>
      <c r="K390" s="19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</row>
    <row r="391" spans="1:23" s="18" customFormat="1" ht="20" hidden="1" customHeight="1" x14ac:dyDescent="0.3">
      <c r="A391" s="41"/>
      <c r="B391" s="44" t="s">
        <v>50</v>
      </c>
      <c r="C391" s="19" t="s">
        <v>211</v>
      </c>
      <c r="D391" s="19" t="s">
        <v>32</v>
      </c>
      <c r="E391" s="19">
        <v>16814.099999999999</v>
      </c>
      <c r="F391" s="19">
        <v>2630</v>
      </c>
      <c r="G391" s="19">
        <v>16</v>
      </c>
      <c r="H391" s="21">
        <f t="shared" si="28"/>
        <v>5554.1680248000002</v>
      </c>
      <c r="I391" s="19">
        <v>1</v>
      </c>
      <c r="J391" s="22">
        <f t="shared" si="29"/>
        <v>5554.1680248000002</v>
      </c>
      <c r="K391" s="19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</row>
    <row r="392" spans="1:23" s="18" customFormat="1" ht="20" hidden="1" customHeight="1" x14ac:dyDescent="0.3">
      <c r="A392" s="41"/>
      <c r="B392" s="41"/>
      <c r="C392" s="19" t="s">
        <v>212</v>
      </c>
      <c r="D392" s="19" t="s">
        <v>32</v>
      </c>
      <c r="E392" s="19">
        <v>7343.2</v>
      </c>
      <c r="F392" s="19">
        <v>2630</v>
      </c>
      <c r="G392" s="19">
        <v>16</v>
      </c>
      <c r="H392" s="21">
        <f t="shared" si="28"/>
        <v>2425.6645695999996</v>
      </c>
      <c r="I392" s="19">
        <v>1</v>
      </c>
      <c r="J392" s="22">
        <f t="shared" si="29"/>
        <v>2425.6645695999996</v>
      </c>
      <c r="K392" s="19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</row>
    <row r="393" spans="1:23" s="18" customFormat="1" ht="20" customHeight="1" x14ac:dyDescent="0.3">
      <c r="A393" s="41"/>
      <c r="B393" s="41"/>
      <c r="C393" s="19" t="s">
        <v>213</v>
      </c>
      <c r="D393" s="19" t="s">
        <v>32</v>
      </c>
      <c r="E393" s="19">
        <v>16000</v>
      </c>
      <c r="F393" s="19">
        <v>2630</v>
      </c>
      <c r="G393" s="19">
        <v>20</v>
      </c>
      <c r="H393" s="21">
        <f t="shared" si="28"/>
        <v>6606.56</v>
      </c>
      <c r="I393" s="19">
        <v>4</v>
      </c>
      <c r="J393" s="22">
        <f t="shared" si="29"/>
        <v>26426.240000000002</v>
      </c>
      <c r="K393" s="19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</row>
    <row r="394" spans="1:23" s="18" customFormat="1" ht="20" hidden="1" customHeight="1" x14ac:dyDescent="0.3">
      <c r="A394" s="41"/>
      <c r="B394" s="39"/>
      <c r="C394" s="19" t="s">
        <v>214</v>
      </c>
      <c r="D394" s="19" t="s">
        <v>32</v>
      </c>
      <c r="E394" s="19">
        <v>16000</v>
      </c>
      <c r="F394" s="19">
        <v>2630</v>
      </c>
      <c r="G394" s="19">
        <v>24</v>
      </c>
      <c r="H394" s="21">
        <f t="shared" si="28"/>
        <v>7927.8719999999994</v>
      </c>
      <c r="I394" s="19">
        <v>1</v>
      </c>
      <c r="J394" s="22">
        <f t="shared" si="29"/>
        <v>7927.8719999999994</v>
      </c>
      <c r="K394" s="19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</row>
    <row r="395" spans="1:23" s="18" customFormat="1" ht="20" hidden="1" customHeight="1" x14ac:dyDescent="0.3">
      <c r="A395" s="41"/>
      <c r="B395" s="44" t="s">
        <v>55</v>
      </c>
      <c r="C395" s="19" t="s">
        <v>215</v>
      </c>
      <c r="D395" s="19" t="s">
        <v>32</v>
      </c>
      <c r="E395" s="24">
        <v>21181.9</v>
      </c>
      <c r="F395" s="19">
        <v>140</v>
      </c>
      <c r="G395" s="19">
        <v>12</v>
      </c>
      <c r="H395" s="21">
        <f t="shared" si="28"/>
        <v>279.34689720000006</v>
      </c>
      <c r="I395" s="19">
        <v>1</v>
      </c>
      <c r="J395" s="22">
        <f t="shared" si="29"/>
        <v>279.34689720000006</v>
      </c>
      <c r="K395" s="2" t="s">
        <v>57</v>
      </c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</row>
    <row r="396" spans="1:23" s="18" customFormat="1" ht="20" hidden="1" customHeight="1" x14ac:dyDescent="0.3">
      <c r="A396" s="41"/>
      <c r="B396" s="41"/>
      <c r="C396" s="19" t="s">
        <v>216</v>
      </c>
      <c r="D396" s="19" t="s">
        <v>32</v>
      </c>
      <c r="E396" s="24">
        <v>70847.399999999994</v>
      </c>
      <c r="F396" s="19">
        <v>140</v>
      </c>
      <c r="G396" s="19">
        <v>12</v>
      </c>
      <c r="H396" s="21">
        <f t="shared" si="28"/>
        <v>934.33551119999993</v>
      </c>
      <c r="I396" s="19">
        <v>1</v>
      </c>
      <c r="J396" s="22">
        <f t="shared" si="29"/>
        <v>934.33551119999993</v>
      </c>
      <c r="K396" s="2" t="s">
        <v>57</v>
      </c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</row>
    <row r="397" spans="1:23" s="18" customFormat="1" ht="20" hidden="1" customHeight="1" x14ac:dyDescent="0.3">
      <c r="A397" s="41"/>
      <c r="B397" s="39"/>
      <c r="C397" s="19" t="s">
        <v>217</v>
      </c>
      <c r="D397" s="19" t="s">
        <v>32</v>
      </c>
      <c r="E397" s="24">
        <v>25093</v>
      </c>
      <c r="F397" s="19">
        <v>180</v>
      </c>
      <c r="G397" s="19">
        <v>16</v>
      </c>
      <c r="H397" s="21">
        <f t="shared" si="28"/>
        <v>567.30254400000001</v>
      </c>
      <c r="I397" s="19">
        <v>1</v>
      </c>
      <c r="J397" s="22">
        <f t="shared" si="29"/>
        <v>567.30254400000001</v>
      </c>
      <c r="K397" s="2" t="s">
        <v>57</v>
      </c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</row>
    <row r="398" spans="1:23" s="18" customFormat="1" ht="20" hidden="1" customHeight="1" x14ac:dyDescent="0.3">
      <c r="A398" s="41"/>
      <c r="B398" s="44" t="s">
        <v>60</v>
      </c>
      <c r="C398" s="19" t="s">
        <v>218</v>
      </c>
      <c r="D398" s="19" t="s">
        <v>32</v>
      </c>
      <c r="E398" s="19">
        <v>16264.1</v>
      </c>
      <c r="F398" s="19">
        <v>160</v>
      </c>
      <c r="G398" s="19">
        <v>14</v>
      </c>
      <c r="H398" s="21">
        <f t="shared" si="28"/>
        <v>285.98793440000003</v>
      </c>
      <c r="I398" s="19">
        <v>2</v>
      </c>
      <c r="J398" s="22">
        <f t="shared" si="29"/>
        <v>571.97586880000006</v>
      </c>
      <c r="K398" s="19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</row>
    <row r="399" spans="1:23" s="18" customFormat="1" ht="20" hidden="1" customHeight="1" x14ac:dyDescent="0.3">
      <c r="A399" s="41"/>
      <c r="B399" s="41"/>
      <c r="C399" s="19" t="s">
        <v>219</v>
      </c>
      <c r="D399" s="19" t="s">
        <v>32</v>
      </c>
      <c r="E399" s="19">
        <v>6793.2</v>
      </c>
      <c r="F399" s="19">
        <v>160</v>
      </c>
      <c r="G399" s="19">
        <v>14</v>
      </c>
      <c r="H399" s="21">
        <f t="shared" si="28"/>
        <v>119.45162879999999</v>
      </c>
      <c r="I399" s="19">
        <v>2</v>
      </c>
      <c r="J399" s="22">
        <f t="shared" si="29"/>
        <v>238.90325759999999</v>
      </c>
      <c r="K399" s="19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</row>
    <row r="400" spans="1:23" s="18" customFormat="1" ht="20" hidden="1" customHeight="1" x14ac:dyDescent="0.3">
      <c r="A400" s="41"/>
      <c r="B400" s="41"/>
      <c r="C400" s="19" t="s">
        <v>220</v>
      </c>
      <c r="D400" s="19" t="s">
        <v>32</v>
      </c>
      <c r="E400" s="19">
        <v>16000</v>
      </c>
      <c r="F400" s="19">
        <v>160</v>
      </c>
      <c r="G400" s="19">
        <v>14</v>
      </c>
      <c r="H400" s="21">
        <f t="shared" si="28"/>
        <v>281.34400000000005</v>
      </c>
      <c r="I400" s="19">
        <v>8</v>
      </c>
      <c r="J400" s="22">
        <f t="shared" si="29"/>
        <v>2250.7520000000004</v>
      </c>
      <c r="K400" s="19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</row>
    <row r="401" spans="1:23" s="18" customFormat="1" ht="20" customHeight="1" x14ac:dyDescent="0.3">
      <c r="A401" s="41"/>
      <c r="B401" s="39"/>
      <c r="C401" s="19" t="s">
        <v>221</v>
      </c>
      <c r="D401" s="19" t="s">
        <v>32</v>
      </c>
      <c r="E401" s="19">
        <v>16000</v>
      </c>
      <c r="F401" s="19">
        <v>220</v>
      </c>
      <c r="G401" s="19">
        <v>20</v>
      </c>
      <c r="H401" s="21">
        <f t="shared" si="28"/>
        <v>552.64</v>
      </c>
      <c r="I401" s="19">
        <v>3</v>
      </c>
      <c r="J401" s="22">
        <f t="shared" si="29"/>
        <v>1657.92</v>
      </c>
      <c r="K401" s="19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</row>
    <row r="402" spans="1:23" s="18" customFormat="1" ht="20" hidden="1" customHeight="1" x14ac:dyDescent="0.3">
      <c r="A402" s="39"/>
      <c r="B402" s="44" t="s">
        <v>65</v>
      </c>
      <c r="C402" s="38"/>
      <c r="D402" s="19"/>
      <c r="E402" s="19"/>
      <c r="F402" s="19"/>
      <c r="G402" s="19"/>
      <c r="H402" s="21"/>
      <c r="I402" s="19"/>
      <c r="J402" s="22">
        <f>SUM(J377:J401)</f>
        <v>143349.85125431203</v>
      </c>
      <c r="K402" s="1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</row>
    <row r="403" spans="1:23" s="18" customFormat="1" ht="20" customHeight="1" x14ac:dyDescent="0.3">
      <c r="A403" s="44" t="s">
        <v>258</v>
      </c>
      <c r="B403" s="44" t="s">
        <v>30</v>
      </c>
      <c r="C403" s="19" t="s">
        <v>223</v>
      </c>
      <c r="D403" s="19" t="s">
        <v>32</v>
      </c>
      <c r="E403" s="19">
        <v>13767.4</v>
      </c>
      <c r="F403" s="19">
        <v>600</v>
      </c>
      <c r="G403" s="19">
        <v>20</v>
      </c>
      <c r="H403" s="21">
        <f t="shared" ref="H403:H430" si="30">(E403/1000)*(F403/1000)*(G403/1000)*7850</f>
        <v>1296.8890799999999</v>
      </c>
      <c r="I403" s="19">
        <v>2</v>
      </c>
      <c r="J403" s="22">
        <f t="shared" ref="J403:J430" si="31">H403*I403</f>
        <v>2593.7781599999998</v>
      </c>
      <c r="K403" s="19"/>
      <c r="L403" s="44" t="str">
        <f>A403</f>
        <v>下层8#</v>
      </c>
      <c r="M403" s="43">
        <f>SUMIF(G403:G430,$M$3,J403:J430)</f>
        <v>1222.4352840000001</v>
      </c>
      <c r="N403" s="43">
        <f>SUMIF(G403:G430,$N$3,J403:J430)</f>
        <v>40673.117833600001</v>
      </c>
      <c r="O403" s="43">
        <f>SUMIF(G403:G430,$O$3,J403:J430)</f>
        <v>26163.026012087998</v>
      </c>
      <c r="P403" s="43">
        <f>SUMIF(G403:G430,$P$3,J403:J430)</f>
        <v>46338.179479999992</v>
      </c>
      <c r="Q403" s="43">
        <f>SUMIF(G403:G430,$Q$3,J403:J430)</f>
        <v>15162.431999999999</v>
      </c>
      <c r="R403" s="43">
        <f>SUMIF(G403:G430,$R$3,J403:J430)</f>
        <v>9043.1999999999989</v>
      </c>
      <c r="S403" s="43">
        <f>SUMIF(G403:G430,$S$3,J403:J430)</f>
        <v>6933.12</v>
      </c>
      <c r="T403" s="43">
        <f>SUM(M403:S431)</f>
        <v>145535.510609688</v>
      </c>
      <c r="U403" s="43">
        <v>145535.5</v>
      </c>
      <c r="V403" s="43">
        <f>T403-U403</f>
        <v>1.0609688004478812E-2</v>
      </c>
      <c r="W403" s="44"/>
    </row>
    <row r="404" spans="1:23" s="18" customFormat="1" ht="20" customHeight="1" x14ac:dyDescent="0.3">
      <c r="A404" s="41"/>
      <c r="B404" s="41"/>
      <c r="C404" s="19" t="s">
        <v>224</v>
      </c>
      <c r="D404" s="19" t="s">
        <v>32</v>
      </c>
      <c r="E404" s="19">
        <v>12190.3</v>
      </c>
      <c r="F404" s="19">
        <v>600</v>
      </c>
      <c r="G404" s="19">
        <v>20</v>
      </c>
      <c r="H404" s="21">
        <f t="shared" si="30"/>
        <v>1148.3262599999998</v>
      </c>
      <c r="I404" s="19">
        <v>2</v>
      </c>
      <c r="J404" s="22">
        <f t="shared" si="31"/>
        <v>2296.6525199999996</v>
      </c>
      <c r="K404" s="19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</row>
    <row r="405" spans="1:23" s="18" customFormat="1" ht="20" hidden="1" customHeight="1" x14ac:dyDescent="0.3">
      <c r="A405" s="41"/>
      <c r="B405" s="41"/>
      <c r="C405" s="19" t="s">
        <v>225</v>
      </c>
      <c r="D405" s="19" t="s">
        <v>32</v>
      </c>
      <c r="E405" s="19">
        <v>16000</v>
      </c>
      <c r="F405" s="19">
        <v>600</v>
      </c>
      <c r="G405" s="19">
        <v>30</v>
      </c>
      <c r="H405" s="21">
        <f t="shared" si="30"/>
        <v>2260.7999999999997</v>
      </c>
      <c r="I405" s="19">
        <v>4</v>
      </c>
      <c r="J405" s="22">
        <f t="shared" si="31"/>
        <v>9043.1999999999989</v>
      </c>
      <c r="K405" s="19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</row>
    <row r="406" spans="1:23" s="18" customFormat="1" ht="20" hidden="1" customHeight="1" x14ac:dyDescent="0.3">
      <c r="A406" s="41"/>
      <c r="B406" s="41"/>
      <c r="C406" s="19" t="s">
        <v>226</v>
      </c>
      <c r="D406" s="19" t="s">
        <v>32</v>
      </c>
      <c r="E406" s="19">
        <v>16000</v>
      </c>
      <c r="F406" s="19">
        <v>600</v>
      </c>
      <c r="G406" s="19">
        <v>24</v>
      </c>
      <c r="H406" s="21">
        <f t="shared" si="30"/>
        <v>1808.6399999999999</v>
      </c>
      <c r="I406" s="19">
        <v>4</v>
      </c>
      <c r="J406" s="22">
        <f t="shared" si="31"/>
        <v>7234.5599999999995</v>
      </c>
      <c r="K406" s="19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</row>
    <row r="407" spans="1:23" s="18" customFormat="1" ht="20" hidden="1" customHeight="1" x14ac:dyDescent="0.3">
      <c r="A407" s="41"/>
      <c r="B407" s="41"/>
      <c r="C407" s="19" t="s">
        <v>227</v>
      </c>
      <c r="D407" s="19" t="s">
        <v>32</v>
      </c>
      <c r="E407" s="19">
        <v>4700</v>
      </c>
      <c r="F407" s="19">
        <v>600</v>
      </c>
      <c r="G407" s="19">
        <v>40</v>
      </c>
      <c r="H407" s="21">
        <f t="shared" si="30"/>
        <v>885.48</v>
      </c>
      <c r="I407" s="19">
        <v>2</v>
      </c>
      <c r="J407" s="22">
        <f t="shared" si="31"/>
        <v>1770.96</v>
      </c>
      <c r="K407" s="19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</row>
    <row r="408" spans="1:23" s="18" customFormat="1" ht="20" hidden="1" customHeight="1" x14ac:dyDescent="0.3">
      <c r="A408" s="41"/>
      <c r="B408" s="41"/>
      <c r="C408" s="19" t="s">
        <v>228</v>
      </c>
      <c r="D408" s="19" t="s">
        <v>32</v>
      </c>
      <c r="E408" s="19">
        <v>7200</v>
      </c>
      <c r="F408" s="19">
        <v>800</v>
      </c>
      <c r="G408" s="19">
        <v>40</v>
      </c>
      <c r="H408" s="21">
        <f t="shared" si="30"/>
        <v>1808.64</v>
      </c>
      <c r="I408" s="19">
        <v>2</v>
      </c>
      <c r="J408" s="22">
        <f t="shared" si="31"/>
        <v>3617.28</v>
      </c>
      <c r="K408" s="19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</row>
    <row r="409" spans="1:23" s="18" customFormat="1" ht="20" hidden="1" customHeight="1" x14ac:dyDescent="0.3">
      <c r="A409" s="41"/>
      <c r="B409" s="39"/>
      <c r="C409" s="19" t="s">
        <v>229</v>
      </c>
      <c r="D409" s="19" t="s">
        <v>32</v>
      </c>
      <c r="E409" s="19">
        <v>4100</v>
      </c>
      <c r="F409" s="19">
        <v>600</v>
      </c>
      <c r="G409" s="19">
        <v>40</v>
      </c>
      <c r="H409" s="21">
        <f t="shared" si="30"/>
        <v>772.43999999999994</v>
      </c>
      <c r="I409" s="19">
        <v>2</v>
      </c>
      <c r="J409" s="22">
        <f t="shared" si="31"/>
        <v>1544.8799999999999</v>
      </c>
      <c r="K409" s="19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</row>
    <row r="410" spans="1:23" s="18" customFormat="1" ht="20" hidden="1" customHeight="1" x14ac:dyDescent="0.3">
      <c r="A410" s="41"/>
      <c r="B410" s="44" t="s">
        <v>39</v>
      </c>
      <c r="C410" s="19" t="s">
        <v>230</v>
      </c>
      <c r="D410" s="19" t="s">
        <v>32</v>
      </c>
      <c r="E410" s="19">
        <v>13767.4</v>
      </c>
      <c r="F410" s="19">
        <v>2641.7</v>
      </c>
      <c r="G410" s="19">
        <v>16</v>
      </c>
      <c r="H410" s="21">
        <f t="shared" si="30"/>
        <v>4567.9891768480002</v>
      </c>
      <c r="I410" s="19">
        <v>1</v>
      </c>
      <c r="J410" s="22">
        <f t="shared" si="31"/>
        <v>4567.9891768480002</v>
      </c>
      <c r="K410" s="19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</row>
    <row r="411" spans="1:23" s="18" customFormat="1" ht="20" hidden="1" customHeight="1" x14ac:dyDescent="0.3">
      <c r="A411" s="41"/>
      <c r="B411" s="41"/>
      <c r="C411" s="19" t="s">
        <v>231</v>
      </c>
      <c r="D411" s="19" t="s">
        <v>32</v>
      </c>
      <c r="E411" s="19">
        <v>13767.4</v>
      </c>
      <c r="F411" s="19">
        <v>2718.2</v>
      </c>
      <c r="G411" s="19">
        <v>16</v>
      </c>
      <c r="H411" s="21">
        <f t="shared" si="30"/>
        <v>4700.2718630079999</v>
      </c>
      <c r="I411" s="19">
        <v>1</v>
      </c>
      <c r="J411" s="22">
        <f t="shared" si="31"/>
        <v>4700.2718630079999</v>
      </c>
      <c r="K411" s="19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</row>
    <row r="412" spans="1:23" s="18" customFormat="1" ht="20" hidden="1" customHeight="1" x14ac:dyDescent="0.3">
      <c r="A412" s="41"/>
      <c r="B412" s="41"/>
      <c r="C412" s="19" t="s">
        <v>232</v>
      </c>
      <c r="D412" s="19" t="s">
        <v>32</v>
      </c>
      <c r="E412" s="19">
        <v>12190.3</v>
      </c>
      <c r="F412" s="19">
        <v>2641.7</v>
      </c>
      <c r="G412" s="19">
        <v>16</v>
      </c>
      <c r="H412" s="21">
        <f t="shared" si="30"/>
        <v>4044.7113080559998</v>
      </c>
      <c r="I412" s="19">
        <v>1</v>
      </c>
      <c r="J412" s="22">
        <f t="shared" si="31"/>
        <v>4044.7113080559998</v>
      </c>
      <c r="K412" s="19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</row>
    <row r="413" spans="1:23" s="18" customFormat="1" ht="20" hidden="1" customHeight="1" x14ac:dyDescent="0.3">
      <c r="A413" s="41"/>
      <c r="B413" s="41"/>
      <c r="C413" s="19" t="s">
        <v>233</v>
      </c>
      <c r="D413" s="19" t="s">
        <v>32</v>
      </c>
      <c r="E413" s="19">
        <v>12190.3</v>
      </c>
      <c r="F413" s="19">
        <v>2718.2</v>
      </c>
      <c r="G413" s="19">
        <v>16</v>
      </c>
      <c r="H413" s="21">
        <f t="shared" si="30"/>
        <v>4161.8405865760005</v>
      </c>
      <c r="I413" s="19">
        <v>1</v>
      </c>
      <c r="J413" s="22">
        <f t="shared" si="31"/>
        <v>4161.8405865760005</v>
      </c>
      <c r="K413" s="19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</row>
    <row r="414" spans="1:23" s="18" customFormat="1" ht="20" hidden="1" customHeight="1" x14ac:dyDescent="0.3">
      <c r="A414" s="41"/>
      <c r="B414" s="41"/>
      <c r="C414" s="19" t="s">
        <v>234</v>
      </c>
      <c r="D414" s="19" t="s">
        <v>32</v>
      </c>
      <c r="E414" s="19">
        <v>16000</v>
      </c>
      <c r="F414" s="19">
        <v>2631.7</v>
      </c>
      <c r="G414" s="19">
        <v>14</v>
      </c>
      <c r="H414" s="21">
        <f t="shared" si="30"/>
        <v>4627.5812800000003</v>
      </c>
      <c r="I414" s="19">
        <v>2</v>
      </c>
      <c r="J414" s="22">
        <f t="shared" si="31"/>
        <v>9255.1625600000007</v>
      </c>
      <c r="K414" s="19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</row>
    <row r="415" spans="1:23" s="18" customFormat="1" ht="20" hidden="1" customHeight="1" x14ac:dyDescent="0.3">
      <c r="A415" s="41"/>
      <c r="B415" s="41"/>
      <c r="C415" s="19" t="s">
        <v>235</v>
      </c>
      <c r="D415" s="19" t="s">
        <v>32</v>
      </c>
      <c r="E415" s="19">
        <v>16000</v>
      </c>
      <c r="F415" s="19">
        <v>2708.2</v>
      </c>
      <c r="G415" s="19">
        <v>14</v>
      </c>
      <c r="H415" s="21">
        <f t="shared" si="30"/>
        <v>4762.0988799999996</v>
      </c>
      <c r="I415" s="19">
        <v>2</v>
      </c>
      <c r="J415" s="22">
        <f t="shared" si="31"/>
        <v>9524.1977599999991</v>
      </c>
      <c r="K415" s="19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</row>
    <row r="416" spans="1:23" s="18" customFormat="1" ht="20" hidden="1" customHeight="1" x14ac:dyDescent="0.3">
      <c r="A416" s="41"/>
      <c r="B416" s="41"/>
      <c r="C416" s="19" t="s">
        <v>236</v>
      </c>
      <c r="D416" s="19" t="s">
        <v>32</v>
      </c>
      <c r="E416" s="19">
        <v>16000</v>
      </c>
      <c r="F416" s="19">
        <v>2637.7</v>
      </c>
      <c r="G416" s="19">
        <v>14</v>
      </c>
      <c r="H416" s="21">
        <f t="shared" si="30"/>
        <v>4638.1316799999995</v>
      </c>
      <c r="I416" s="19">
        <v>2</v>
      </c>
      <c r="J416" s="22">
        <f t="shared" si="31"/>
        <v>9276.263359999999</v>
      </c>
      <c r="K416" s="19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</row>
    <row r="417" spans="1:23" s="18" customFormat="1" ht="20" hidden="1" customHeight="1" x14ac:dyDescent="0.3">
      <c r="A417" s="41"/>
      <c r="B417" s="41"/>
      <c r="C417" s="19" t="s">
        <v>237</v>
      </c>
      <c r="D417" s="19" t="s">
        <v>32</v>
      </c>
      <c r="E417" s="19">
        <v>16000</v>
      </c>
      <c r="F417" s="19">
        <v>2714.2</v>
      </c>
      <c r="G417" s="19">
        <v>14</v>
      </c>
      <c r="H417" s="21">
        <f t="shared" si="30"/>
        <v>4772.6492799999996</v>
      </c>
      <c r="I417" s="19">
        <v>2</v>
      </c>
      <c r="J417" s="22">
        <f t="shared" si="31"/>
        <v>9545.2985599999993</v>
      </c>
      <c r="K417" s="19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</row>
    <row r="418" spans="1:23" s="18" customFormat="1" ht="20" customHeight="1" x14ac:dyDescent="0.3">
      <c r="A418" s="41"/>
      <c r="B418" s="41"/>
      <c r="C418" s="19" t="s">
        <v>238</v>
      </c>
      <c r="D418" s="19" t="s">
        <v>32</v>
      </c>
      <c r="E418" s="19">
        <v>16000</v>
      </c>
      <c r="F418" s="19">
        <v>2621.7</v>
      </c>
      <c r="G418" s="19">
        <v>20</v>
      </c>
      <c r="H418" s="21">
        <f t="shared" si="30"/>
        <v>6585.710399999999</v>
      </c>
      <c r="I418" s="19">
        <v>1</v>
      </c>
      <c r="J418" s="22">
        <f t="shared" si="31"/>
        <v>6585.710399999999</v>
      </c>
      <c r="K418" s="19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</row>
    <row r="419" spans="1:23" s="18" customFormat="1" ht="20" customHeight="1" x14ac:dyDescent="0.3">
      <c r="A419" s="41"/>
      <c r="B419" s="39"/>
      <c r="C419" s="19" t="s">
        <v>239</v>
      </c>
      <c r="D419" s="19" t="s">
        <v>32</v>
      </c>
      <c r="E419" s="19">
        <v>16000</v>
      </c>
      <c r="F419" s="19">
        <v>2698.2</v>
      </c>
      <c r="G419" s="19">
        <v>20</v>
      </c>
      <c r="H419" s="21">
        <f t="shared" si="30"/>
        <v>6777.8783999999996</v>
      </c>
      <c r="I419" s="19">
        <v>1</v>
      </c>
      <c r="J419" s="22">
        <f t="shared" si="31"/>
        <v>6777.8783999999996</v>
      </c>
      <c r="K419" s="19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</row>
    <row r="420" spans="1:23" s="18" customFormat="1" ht="20" hidden="1" customHeight="1" x14ac:dyDescent="0.3">
      <c r="A420" s="41"/>
      <c r="B420" s="44" t="s">
        <v>50</v>
      </c>
      <c r="C420" s="19" t="s">
        <v>240</v>
      </c>
      <c r="D420" s="19" t="s">
        <v>32</v>
      </c>
      <c r="E420" s="19">
        <v>13017.4</v>
      </c>
      <c r="F420" s="19">
        <v>2630</v>
      </c>
      <c r="G420" s="19">
        <v>16</v>
      </c>
      <c r="H420" s="21">
        <f t="shared" si="30"/>
        <v>4300.0117072000003</v>
      </c>
      <c r="I420" s="19">
        <v>1</v>
      </c>
      <c r="J420" s="22">
        <f t="shared" si="31"/>
        <v>4300.0117072000003</v>
      </c>
      <c r="K420" s="19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</row>
    <row r="421" spans="1:23" s="18" customFormat="1" ht="20" hidden="1" customHeight="1" x14ac:dyDescent="0.3">
      <c r="A421" s="41"/>
      <c r="B421" s="41"/>
      <c r="C421" s="19" t="s">
        <v>241</v>
      </c>
      <c r="D421" s="19" t="s">
        <v>32</v>
      </c>
      <c r="E421" s="19">
        <v>11440.3</v>
      </c>
      <c r="F421" s="19">
        <v>2630</v>
      </c>
      <c r="G421" s="19">
        <v>16</v>
      </c>
      <c r="H421" s="21">
        <f t="shared" si="30"/>
        <v>3779.0514183999999</v>
      </c>
      <c r="I421" s="19">
        <v>1</v>
      </c>
      <c r="J421" s="22">
        <f t="shared" si="31"/>
        <v>3779.0514183999999</v>
      </c>
      <c r="K421" s="19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</row>
    <row r="422" spans="1:23" s="18" customFormat="1" ht="20" customHeight="1" x14ac:dyDescent="0.3">
      <c r="A422" s="41"/>
      <c r="B422" s="41"/>
      <c r="C422" s="19" t="s">
        <v>242</v>
      </c>
      <c r="D422" s="19" t="s">
        <v>32</v>
      </c>
      <c r="E422" s="19">
        <v>16000</v>
      </c>
      <c r="F422" s="19">
        <v>2630</v>
      </c>
      <c r="G422" s="19">
        <v>20</v>
      </c>
      <c r="H422" s="21">
        <f t="shared" si="30"/>
        <v>6606.56</v>
      </c>
      <c r="I422" s="19">
        <v>4</v>
      </c>
      <c r="J422" s="22">
        <f t="shared" si="31"/>
        <v>26426.240000000002</v>
      </c>
      <c r="K422" s="19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</row>
    <row r="423" spans="1:23" s="18" customFormat="1" ht="20" hidden="1" customHeight="1" x14ac:dyDescent="0.3">
      <c r="A423" s="41"/>
      <c r="B423" s="39"/>
      <c r="C423" s="19" t="s">
        <v>243</v>
      </c>
      <c r="D423" s="19" t="s">
        <v>32</v>
      </c>
      <c r="E423" s="19">
        <v>16000</v>
      </c>
      <c r="F423" s="19">
        <v>2630</v>
      </c>
      <c r="G423" s="19">
        <v>24</v>
      </c>
      <c r="H423" s="21">
        <f t="shared" si="30"/>
        <v>7927.8719999999994</v>
      </c>
      <c r="I423" s="19">
        <v>1</v>
      </c>
      <c r="J423" s="22">
        <f t="shared" si="31"/>
        <v>7927.8719999999994</v>
      </c>
      <c r="K423" s="19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</row>
    <row r="424" spans="1:23" s="18" customFormat="1" ht="20" hidden="1" customHeight="1" x14ac:dyDescent="0.3">
      <c r="A424" s="41"/>
      <c r="B424" s="44" t="s">
        <v>55</v>
      </c>
      <c r="C424" s="19" t="s">
        <v>244</v>
      </c>
      <c r="D424" s="19" t="s">
        <v>32</v>
      </c>
      <c r="E424" s="24">
        <v>20753</v>
      </c>
      <c r="F424" s="19">
        <v>140</v>
      </c>
      <c r="G424" s="19">
        <v>12</v>
      </c>
      <c r="H424" s="21">
        <f t="shared" si="30"/>
        <v>273.69056400000005</v>
      </c>
      <c r="I424" s="19">
        <v>1</v>
      </c>
      <c r="J424" s="22">
        <f t="shared" si="31"/>
        <v>273.69056400000005</v>
      </c>
      <c r="K424" s="2" t="s">
        <v>57</v>
      </c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</row>
    <row r="425" spans="1:23" s="18" customFormat="1" ht="20" hidden="1" customHeight="1" x14ac:dyDescent="0.3">
      <c r="A425" s="41"/>
      <c r="B425" s="41"/>
      <c r="C425" s="19" t="s">
        <v>245</v>
      </c>
      <c r="D425" s="19" t="s">
        <v>32</v>
      </c>
      <c r="E425" s="24">
        <v>71940</v>
      </c>
      <c r="F425" s="19">
        <v>140</v>
      </c>
      <c r="G425" s="19">
        <v>12</v>
      </c>
      <c r="H425" s="21">
        <f t="shared" si="30"/>
        <v>948.74472000000003</v>
      </c>
      <c r="I425" s="19">
        <v>1</v>
      </c>
      <c r="J425" s="22">
        <f t="shared" si="31"/>
        <v>948.74472000000003</v>
      </c>
      <c r="K425" s="2" t="s">
        <v>57</v>
      </c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</row>
    <row r="426" spans="1:23" s="18" customFormat="1" ht="20" hidden="1" customHeight="1" x14ac:dyDescent="0.3">
      <c r="A426" s="41"/>
      <c r="B426" s="39"/>
      <c r="C426" s="19" t="s">
        <v>246</v>
      </c>
      <c r="D426" s="19" t="s">
        <v>32</v>
      </c>
      <c r="E426" s="24">
        <v>26944</v>
      </c>
      <c r="F426" s="19">
        <v>180</v>
      </c>
      <c r="G426" s="19">
        <v>16</v>
      </c>
      <c r="H426" s="21">
        <f t="shared" si="30"/>
        <v>609.14995199999998</v>
      </c>
      <c r="I426" s="19">
        <v>1</v>
      </c>
      <c r="J426" s="22">
        <f t="shared" si="31"/>
        <v>609.14995199999998</v>
      </c>
      <c r="K426" s="2" t="s">
        <v>57</v>
      </c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</row>
    <row r="427" spans="1:23" s="18" customFormat="1" ht="20" hidden="1" customHeight="1" x14ac:dyDescent="0.3">
      <c r="A427" s="41"/>
      <c r="B427" s="44" t="s">
        <v>60</v>
      </c>
      <c r="C427" s="19" t="s">
        <v>247</v>
      </c>
      <c r="D427" s="19" t="s">
        <v>32</v>
      </c>
      <c r="E427" s="19">
        <v>12467.4</v>
      </c>
      <c r="F427" s="19">
        <v>160</v>
      </c>
      <c r="G427" s="19">
        <v>14</v>
      </c>
      <c r="H427" s="21">
        <f t="shared" si="30"/>
        <v>219.2267616</v>
      </c>
      <c r="I427" s="19">
        <v>2</v>
      </c>
      <c r="J427" s="22">
        <f t="shared" si="31"/>
        <v>438.45352320000001</v>
      </c>
      <c r="K427" s="19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</row>
    <row r="428" spans="1:23" s="18" customFormat="1" ht="20" hidden="1" customHeight="1" x14ac:dyDescent="0.3">
      <c r="A428" s="41"/>
      <c r="B428" s="41"/>
      <c r="C428" s="19" t="s">
        <v>248</v>
      </c>
      <c r="D428" s="19" t="s">
        <v>32</v>
      </c>
      <c r="E428" s="19">
        <v>10890.3</v>
      </c>
      <c r="F428" s="19">
        <v>160</v>
      </c>
      <c r="G428" s="19">
        <v>14</v>
      </c>
      <c r="H428" s="21">
        <f t="shared" si="30"/>
        <v>191.49503520000002</v>
      </c>
      <c r="I428" s="19">
        <v>2</v>
      </c>
      <c r="J428" s="22">
        <f t="shared" si="31"/>
        <v>382.99007040000004</v>
      </c>
      <c r="K428" s="19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</row>
    <row r="429" spans="1:23" s="18" customFormat="1" ht="20" hidden="1" customHeight="1" x14ac:dyDescent="0.3">
      <c r="A429" s="41"/>
      <c r="B429" s="41"/>
      <c r="C429" s="19" t="s">
        <v>249</v>
      </c>
      <c r="D429" s="19" t="s">
        <v>32</v>
      </c>
      <c r="E429" s="19">
        <v>16000</v>
      </c>
      <c r="F429" s="19">
        <v>160</v>
      </c>
      <c r="G429" s="19">
        <v>14</v>
      </c>
      <c r="H429" s="21">
        <f t="shared" si="30"/>
        <v>281.34400000000005</v>
      </c>
      <c r="I429" s="19">
        <v>8</v>
      </c>
      <c r="J429" s="22">
        <f t="shared" si="31"/>
        <v>2250.7520000000004</v>
      </c>
      <c r="K429" s="19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</row>
    <row r="430" spans="1:23" s="18" customFormat="1" ht="20" customHeight="1" x14ac:dyDescent="0.3">
      <c r="A430" s="41"/>
      <c r="B430" s="39"/>
      <c r="C430" s="19" t="s">
        <v>250</v>
      </c>
      <c r="D430" s="19" t="s">
        <v>32</v>
      </c>
      <c r="E430" s="19">
        <v>16000</v>
      </c>
      <c r="F430" s="19">
        <v>220</v>
      </c>
      <c r="G430" s="19">
        <v>20</v>
      </c>
      <c r="H430" s="21">
        <f t="shared" si="30"/>
        <v>552.64</v>
      </c>
      <c r="I430" s="19">
        <v>3</v>
      </c>
      <c r="J430" s="22">
        <f t="shared" si="31"/>
        <v>1657.92</v>
      </c>
      <c r="K430" s="19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</row>
    <row r="431" spans="1:23" s="18" customFormat="1" ht="20" hidden="1" customHeight="1" x14ac:dyDescent="0.3">
      <c r="A431" s="39"/>
      <c r="B431" s="44" t="s">
        <v>65</v>
      </c>
      <c r="C431" s="38"/>
      <c r="D431" s="19"/>
      <c r="E431" s="19"/>
      <c r="F431" s="19"/>
      <c r="G431" s="19"/>
      <c r="H431" s="21"/>
      <c r="I431" s="19"/>
      <c r="J431" s="22">
        <f>SUM(J403:J430)</f>
        <v>145535.510609688</v>
      </c>
      <c r="K431" s="1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</row>
    <row r="432" spans="1:23" s="18" customFormat="1" ht="26" hidden="1" customHeight="1" x14ac:dyDescent="0.3">
      <c r="A432" s="49" t="s">
        <v>259</v>
      </c>
      <c r="B432" s="37"/>
      <c r="C432" s="38"/>
      <c r="D432" s="25" t="s">
        <v>21</v>
      </c>
      <c r="E432" s="25" t="s">
        <v>2</v>
      </c>
      <c r="F432" s="25" t="s">
        <v>4</v>
      </c>
      <c r="G432" s="25" t="s">
        <v>3</v>
      </c>
      <c r="H432" s="25" t="s">
        <v>5</v>
      </c>
      <c r="I432" s="19"/>
      <c r="J432" s="22"/>
      <c r="K432" s="19"/>
      <c r="L432" s="19" t="s">
        <v>260</v>
      </c>
      <c r="M432" s="23">
        <f t="shared" ref="M432:U432" si="32">SUM(M4:M431)</f>
        <v>19292.394181199998</v>
      </c>
      <c r="N432" s="23">
        <f t="shared" si="32"/>
        <v>650669.89568000007</v>
      </c>
      <c r="O432" s="23">
        <f t="shared" si="32"/>
        <v>401058.93563520006</v>
      </c>
      <c r="P432" s="23">
        <f t="shared" si="32"/>
        <v>738162.25280000013</v>
      </c>
      <c r="Q432" s="23">
        <f t="shared" si="32"/>
        <v>329413.63199999993</v>
      </c>
      <c r="R432" s="23">
        <f t="shared" si="32"/>
        <v>36172.799999999996</v>
      </c>
      <c r="S432" s="23">
        <f t="shared" si="32"/>
        <v>110929.91999999998</v>
      </c>
      <c r="T432" s="23">
        <f t="shared" si="32"/>
        <v>2285699.8302964</v>
      </c>
      <c r="U432" s="23">
        <f t="shared" si="32"/>
        <v>2285699.9</v>
      </c>
      <c r="V432" s="23">
        <f>T432-U432</f>
        <v>-6.9703599903732538E-2</v>
      </c>
      <c r="W432" s="19"/>
    </row>
    <row r="433" spans="1:23" s="18" customFormat="1" ht="26" hidden="1" customHeight="1" x14ac:dyDescent="0.3">
      <c r="A433" s="49" t="s">
        <v>261</v>
      </c>
      <c r="B433" s="37"/>
      <c r="C433" s="38"/>
      <c r="D433" s="25" t="str">
        <f>D430</f>
        <v>Q420MD</v>
      </c>
      <c r="E433" s="25" t="s">
        <v>11</v>
      </c>
      <c r="F433" s="26">
        <f>T432</f>
        <v>2285699.8302964</v>
      </c>
      <c r="G433" s="26">
        <f>U432</f>
        <v>2285699.9</v>
      </c>
      <c r="H433" s="26">
        <f>F433-G433</f>
        <v>-6.9703599903732538E-2</v>
      </c>
      <c r="I433" s="19"/>
      <c r="J433" s="22"/>
      <c r="K433" s="19"/>
      <c r="L433" s="19" t="s">
        <v>262</v>
      </c>
      <c r="M433" s="19">
        <v>19292.400000000001</v>
      </c>
      <c r="N433" s="19">
        <v>650669.9</v>
      </c>
      <c r="O433" s="19">
        <v>401058.9</v>
      </c>
      <c r="P433" s="19">
        <v>738162.3</v>
      </c>
      <c r="Q433" s="19">
        <v>329413.59999999998</v>
      </c>
      <c r="R433" s="19">
        <v>36172.800000000003</v>
      </c>
      <c r="S433" s="19">
        <v>110930.1</v>
      </c>
      <c r="T433" s="19">
        <f>SUM(M433:S433)</f>
        <v>2285700</v>
      </c>
      <c r="U433" s="19">
        <f>T433</f>
        <v>2285700</v>
      </c>
      <c r="V433" s="23">
        <f>T433-U433</f>
        <v>0</v>
      </c>
      <c r="W433" s="19"/>
    </row>
    <row r="434" spans="1:23" s="18" customFormat="1" ht="20" hidden="1" customHeight="1" x14ac:dyDescent="0.3">
      <c r="A434" s="19"/>
      <c r="B434" s="19"/>
      <c r="C434" s="19"/>
      <c r="D434" s="19"/>
      <c r="E434" s="19"/>
      <c r="F434" s="19"/>
      <c r="G434" s="19"/>
      <c r="H434" s="21"/>
      <c r="I434" s="19"/>
      <c r="J434" s="22"/>
      <c r="K434" s="19"/>
      <c r="L434" s="19" t="s">
        <v>5</v>
      </c>
      <c r="M434" s="23">
        <f t="shared" ref="M434:T434" si="33">M432-M433</f>
        <v>-5.8188000039081089E-3</v>
      </c>
      <c r="N434" s="23">
        <f t="shared" si="33"/>
        <v>-4.3199999490752816E-3</v>
      </c>
      <c r="O434" s="23">
        <f t="shared" si="33"/>
        <v>3.5635200038086623E-2</v>
      </c>
      <c r="P434" s="23">
        <f t="shared" si="33"/>
        <v>-4.7199999913573265E-2</v>
      </c>
      <c r="Q434" s="23">
        <f t="shared" si="33"/>
        <v>3.1999999948311597E-2</v>
      </c>
      <c r="R434" s="23">
        <f t="shared" si="33"/>
        <v>0</v>
      </c>
      <c r="S434" s="23">
        <f t="shared" si="33"/>
        <v>-0.18000000002211891</v>
      </c>
      <c r="T434" s="23">
        <f t="shared" si="33"/>
        <v>-0.1697035999968648</v>
      </c>
      <c r="U434" s="19"/>
      <c r="V434" s="19"/>
      <c r="W434" s="19"/>
    </row>
    <row r="435" spans="1:23" s="18" customFormat="1" ht="20" customHeight="1" x14ac:dyDescent="0.3">
      <c r="A435" s="19"/>
      <c r="B435" s="19"/>
      <c r="C435" s="19"/>
      <c r="D435" s="19"/>
      <c r="E435" s="19"/>
      <c r="F435" s="19"/>
      <c r="G435" s="19"/>
      <c r="H435" s="21"/>
      <c r="I435" s="19"/>
      <c r="J435" s="22"/>
      <c r="K435" s="19"/>
    </row>
  </sheetData>
  <autoFilter ref="A3:W434" xr:uid="{00000000-0009-0000-0000-000001000000}">
    <filterColumn colId="6">
      <filters>
        <filter val="20"/>
      </filters>
    </filterColumn>
  </autoFilter>
  <mergeCells count="315">
    <mergeCell ref="S377:S402"/>
    <mergeCell ref="U377:U402"/>
    <mergeCell ref="W85:W110"/>
    <mergeCell ref="B247:B252"/>
    <mergeCell ref="A351:A376"/>
    <mergeCell ref="B346:B349"/>
    <mergeCell ref="B299:B304"/>
    <mergeCell ref="V325:V350"/>
    <mergeCell ref="B39:B46"/>
    <mergeCell ref="B398:B401"/>
    <mergeCell ref="B177:B180"/>
    <mergeCell ref="B217:C217"/>
    <mergeCell ref="B181:B183"/>
    <mergeCell ref="B206:B209"/>
    <mergeCell ref="R273:R298"/>
    <mergeCell ref="B110:C110"/>
    <mergeCell ref="M299:M324"/>
    <mergeCell ref="O299:O324"/>
    <mergeCell ref="B325:B330"/>
    <mergeCell ref="B2:B3"/>
    <mergeCell ref="Q273:Q298"/>
    <mergeCell ref="D2:D3"/>
    <mergeCell ref="S273:S298"/>
    <mergeCell ref="B129:B131"/>
    <mergeCell ref="A137:A162"/>
    <mergeCell ref="R163:R188"/>
    <mergeCell ref="T163:T188"/>
    <mergeCell ref="M325:M350"/>
    <mergeCell ref="L59:L84"/>
    <mergeCell ref="B155:B157"/>
    <mergeCell ref="N59:N84"/>
    <mergeCell ref="P247:P272"/>
    <mergeCell ref="B320:B323"/>
    <mergeCell ref="B11:B20"/>
    <mergeCell ref="L2:L3"/>
    <mergeCell ref="W137:W162"/>
    <mergeCell ref="B184:B187"/>
    <mergeCell ref="U218:U246"/>
    <mergeCell ref="T351:T376"/>
    <mergeCell ref="L351:L376"/>
    <mergeCell ref="N351:N376"/>
    <mergeCell ref="B25:B27"/>
    <mergeCell ref="N111:N136"/>
    <mergeCell ref="P111:P136"/>
    <mergeCell ref="T189:T217"/>
    <mergeCell ref="V189:V217"/>
    <mergeCell ref="V137:V162"/>
    <mergeCell ref="O85:O110"/>
    <mergeCell ref="B268:B271"/>
    <mergeCell ref="B47:B50"/>
    <mergeCell ref="L137:L162"/>
    <mergeCell ref="B239:B241"/>
    <mergeCell ref="V351:V376"/>
    <mergeCell ref="M351:M376"/>
    <mergeCell ref="W403:W431"/>
    <mergeCell ref="B410:B419"/>
    <mergeCell ref="L325:L350"/>
    <mergeCell ref="L189:L217"/>
    <mergeCell ref="N85:N110"/>
    <mergeCell ref="P85:P110"/>
    <mergeCell ref="V111:V136"/>
    <mergeCell ref="A2:A3"/>
    <mergeCell ref="C2:C3"/>
    <mergeCell ref="T273:T298"/>
    <mergeCell ref="W59:W84"/>
    <mergeCell ref="B158:B161"/>
    <mergeCell ref="B246:C246"/>
    <mergeCell ref="B291:B293"/>
    <mergeCell ref="M85:M110"/>
    <mergeCell ref="Q163:Q188"/>
    <mergeCell ref="S163:S188"/>
    <mergeCell ref="N325:N350"/>
    <mergeCell ref="N189:N217"/>
    <mergeCell ref="P33:P58"/>
    <mergeCell ref="U189:U217"/>
    <mergeCell ref="R33:R58"/>
    <mergeCell ref="W189:W217"/>
    <mergeCell ref="M59:M84"/>
    <mergeCell ref="A433:C433"/>
    <mergeCell ref="B111:B116"/>
    <mergeCell ref="Q85:Q110"/>
    <mergeCell ref="Q299:Q324"/>
    <mergeCell ref="B403:B409"/>
    <mergeCell ref="S299:S324"/>
    <mergeCell ref="S4:S32"/>
    <mergeCell ref="B218:B224"/>
    <mergeCell ref="B372:B375"/>
    <mergeCell ref="B33:B38"/>
    <mergeCell ref="A218:A246"/>
    <mergeCell ref="B213:B216"/>
    <mergeCell ref="P299:P324"/>
    <mergeCell ref="R299:R324"/>
    <mergeCell ref="O325:O350"/>
    <mergeCell ref="B351:B356"/>
    <mergeCell ref="B21:B24"/>
    <mergeCell ref="B91:B98"/>
    <mergeCell ref="O33:O58"/>
    <mergeCell ref="B59:B64"/>
    <mergeCell ref="B383:B390"/>
    <mergeCell ref="Q33:Q58"/>
    <mergeCell ref="B369:B371"/>
    <mergeCell ref="S247:S272"/>
    <mergeCell ref="A4:A32"/>
    <mergeCell ref="L163:L188"/>
    <mergeCell ref="R247:R272"/>
    <mergeCell ref="T247:T272"/>
    <mergeCell ref="W218:W246"/>
    <mergeCell ref="A33:A58"/>
    <mergeCell ref="W377:W402"/>
    <mergeCell ref="B85:B90"/>
    <mergeCell ref="B242:B245"/>
    <mergeCell ref="M189:M217"/>
    <mergeCell ref="O189:O217"/>
    <mergeCell ref="O137:O162"/>
    <mergeCell ref="B73:B76"/>
    <mergeCell ref="U137:U162"/>
    <mergeCell ref="B272:C272"/>
    <mergeCell ref="B189:B195"/>
    <mergeCell ref="U247:U272"/>
    <mergeCell ref="T218:T246"/>
    <mergeCell ref="B136:C136"/>
    <mergeCell ref="V218:V246"/>
    <mergeCell ref="U4:U32"/>
    <mergeCell ref="W351:W376"/>
    <mergeCell ref="O351:O376"/>
    <mergeCell ref="B65:B72"/>
    <mergeCell ref="U273:U298"/>
    <mergeCell ref="T299:T324"/>
    <mergeCell ref="R4:R32"/>
    <mergeCell ref="T4:T32"/>
    <mergeCell ref="V4:V32"/>
    <mergeCell ref="M111:M136"/>
    <mergeCell ref="O111:O136"/>
    <mergeCell ref="V163:V188"/>
    <mergeCell ref="B294:B297"/>
    <mergeCell ref="P59:P84"/>
    <mergeCell ref="R59:R84"/>
    <mergeCell ref="M137:M162"/>
    <mergeCell ref="Q377:Q402"/>
    <mergeCell ref="B287:B290"/>
    <mergeCell ref="B339:B342"/>
    <mergeCell ref="A163:A188"/>
    <mergeCell ref="B377:B382"/>
    <mergeCell ref="N403:N431"/>
    <mergeCell ref="P403:P431"/>
    <mergeCell ref="R403:R431"/>
    <mergeCell ref="P137:P162"/>
    <mergeCell ref="L218:L246"/>
    <mergeCell ref="N218:N246"/>
    <mergeCell ref="B298:C298"/>
    <mergeCell ref="O403:O431"/>
    <mergeCell ref="Q403:Q431"/>
    <mergeCell ref="B427:B430"/>
    <mergeCell ref="L403:L431"/>
    <mergeCell ref="M403:M431"/>
    <mergeCell ref="P377:P402"/>
    <mergeCell ref="R377:R402"/>
    <mergeCell ref="R85:R110"/>
    <mergeCell ref="B99:B102"/>
    <mergeCell ref="T85:T110"/>
    <mergeCell ref="L85:L110"/>
    <mergeCell ref="B137:B142"/>
    <mergeCell ref="B77:B79"/>
    <mergeCell ref="B188:C188"/>
    <mergeCell ref="B317:B319"/>
    <mergeCell ref="O377:O402"/>
    <mergeCell ref="P325:P350"/>
    <mergeCell ref="R325:R350"/>
    <mergeCell ref="B117:B124"/>
    <mergeCell ref="O59:O84"/>
    <mergeCell ref="Q59:Q84"/>
    <mergeCell ref="B395:B397"/>
    <mergeCell ref="N137:N162"/>
    <mergeCell ref="P351:P376"/>
    <mergeCell ref="R351:R376"/>
    <mergeCell ref="B261:B264"/>
    <mergeCell ref="R111:R136"/>
    <mergeCell ref="L247:L272"/>
    <mergeCell ref="T111:T136"/>
    <mergeCell ref="A59:A84"/>
    <mergeCell ref="B54:B57"/>
    <mergeCell ref="B125:B128"/>
    <mergeCell ref="Q351:Q376"/>
    <mergeCell ref="S351:S376"/>
    <mergeCell ref="Q111:Q136"/>
    <mergeCell ref="S111:S136"/>
    <mergeCell ref="B58:C58"/>
    <mergeCell ref="M247:M272"/>
    <mergeCell ref="B350:C350"/>
    <mergeCell ref="P273:P298"/>
    <mergeCell ref="A273:A298"/>
    <mergeCell ref="B162:C162"/>
    <mergeCell ref="M218:M246"/>
    <mergeCell ref="O218:O246"/>
    <mergeCell ref="B343:B345"/>
    <mergeCell ref="B402:C402"/>
    <mergeCell ref="A432:C432"/>
    <mergeCell ref="W273:W298"/>
    <mergeCell ref="B253:B260"/>
    <mergeCell ref="B313:B316"/>
    <mergeCell ref="B80:B83"/>
    <mergeCell ref="Q189:Q217"/>
    <mergeCell ref="B210:B212"/>
    <mergeCell ref="B143:B150"/>
    <mergeCell ref="S85:S110"/>
    <mergeCell ref="U85:U110"/>
    <mergeCell ref="B324:C324"/>
    <mergeCell ref="U299:U324"/>
    <mergeCell ref="W299:W324"/>
    <mergeCell ref="B106:B109"/>
    <mergeCell ref="B391:B394"/>
    <mergeCell ref="B424:B426"/>
    <mergeCell ref="L273:L298"/>
    <mergeCell ref="N273:N298"/>
    <mergeCell ref="Q325:Q350"/>
    <mergeCell ref="A377:A402"/>
    <mergeCell ref="S189:S217"/>
    <mergeCell ref="S325:S350"/>
    <mergeCell ref="M163:M188"/>
    <mergeCell ref="A1:K1"/>
    <mergeCell ref="W247:W272"/>
    <mergeCell ref="L33:L58"/>
    <mergeCell ref="N33:N58"/>
    <mergeCell ref="N247:N272"/>
    <mergeCell ref="Q218:Q246"/>
    <mergeCell ref="A403:A431"/>
    <mergeCell ref="S218:S246"/>
    <mergeCell ref="P4:P32"/>
    <mergeCell ref="A299:A324"/>
    <mergeCell ref="M377:M402"/>
    <mergeCell ref="L111:L136"/>
    <mergeCell ref="P189:P217"/>
    <mergeCell ref="R189:R217"/>
    <mergeCell ref="T403:T431"/>
    <mergeCell ref="R137:R162"/>
    <mergeCell ref="V403:V431"/>
    <mergeCell ref="T137:T162"/>
    <mergeCell ref="P218:P246"/>
    <mergeCell ref="B235:B238"/>
    <mergeCell ref="A189:A217"/>
    <mergeCell ref="B273:B278"/>
    <mergeCell ref="V299:V324"/>
    <mergeCell ref="B151:B154"/>
    <mergeCell ref="T377:T402"/>
    <mergeCell ref="B420:B423"/>
    <mergeCell ref="L377:L402"/>
    <mergeCell ref="V377:V402"/>
    <mergeCell ref="N377:N402"/>
    <mergeCell ref="B169:B176"/>
    <mergeCell ref="V85:V110"/>
    <mergeCell ref="B431:C431"/>
    <mergeCell ref="S403:S431"/>
    <mergeCell ref="U403:U431"/>
    <mergeCell ref="Q137:Q162"/>
    <mergeCell ref="S137:S162"/>
    <mergeCell ref="B225:B234"/>
    <mergeCell ref="B163:B168"/>
    <mergeCell ref="B103:B105"/>
    <mergeCell ref="M273:M298"/>
    <mergeCell ref="O273:O298"/>
    <mergeCell ref="T325:T350"/>
    <mergeCell ref="B196:B205"/>
    <mergeCell ref="B365:B368"/>
    <mergeCell ref="B331:B338"/>
    <mergeCell ref="N163:N188"/>
    <mergeCell ref="P163:P188"/>
    <mergeCell ref="V247:V272"/>
    <mergeCell ref="M2:T2"/>
    <mergeCell ref="B265:B267"/>
    <mergeCell ref="L299:L324"/>
    <mergeCell ref="N299:N324"/>
    <mergeCell ref="B376:C376"/>
    <mergeCell ref="U351:U376"/>
    <mergeCell ref="A85:A110"/>
    <mergeCell ref="M33:M58"/>
    <mergeCell ref="W111:W136"/>
    <mergeCell ref="O247:O272"/>
    <mergeCell ref="Q247:Q272"/>
    <mergeCell ref="R218:R246"/>
    <mergeCell ref="B305:B312"/>
    <mergeCell ref="K2:K3"/>
    <mergeCell ref="W4:W32"/>
    <mergeCell ref="B84:C84"/>
    <mergeCell ref="N4:N32"/>
    <mergeCell ref="S59:S84"/>
    <mergeCell ref="A111:A136"/>
    <mergeCell ref="U59:U84"/>
    <mergeCell ref="B4:B10"/>
    <mergeCell ref="A247:A272"/>
    <mergeCell ref="A325:A350"/>
    <mergeCell ref="U2:U3"/>
    <mergeCell ref="O4:O32"/>
    <mergeCell ref="Q4:Q32"/>
    <mergeCell ref="U325:U350"/>
    <mergeCell ref="W325:W350"/>
    <mergeCell ref="W33:W58"/>
    <mergeCell ref="T59:T84"/>
    <mergeCell ref="B357:B364"/>
    <mergeCell ref="V59:V84"/>
    <mergeCell ref="B132:B135"/>
    <mergeCell ref="B32:C32"/>
    <mergeCell ref="T33:T58"/>
    <mergeCell ref="V33:V58"/>
    <mergeCell ref="B28:B31"/>
    <mergeCell ref="M4:M32"/>
    <mergeCell ref="S33:S58"/>
    <mergeCell ref="U33:U58"/>
    <mergeCell ref="O163:O188"/>
    <mergeCell ref="B279:B286"/>
    <mergeCell ref="U111:U136"/>
    <mergeCell ref="B51:B53"/>
    <mergeCell ref="V273:V298"/>
    <mergeCell ref="L4:L32"/>
    <mergeCell ref="U163:U188"/>
    <mergeCell ref="W163:W188"/>
  </mergeCells>
  <phoneticPr fontId="3" type="noConversion"/>
  <pageMargins left="0.7" right="0.7" top="0.75" bottom="0.75" header="0.3" footer="0.3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42"/>
  <sheetViews>
    <sheetView view="pageBreakPreview" zoomScaleNormal="100" workbookViewId="0">
      <pane xSplit="4" ySplit="3" topLeftCell="E4" activePane="bottomRight" state="frozen"/>
      <selection pane="topRight"/>
      <selection pane="bottomLeft"/>
      <selection pane="bottomRight" activeCell="K2" sqref="K1:K1048576"/>
    </sheetView>
  </sheetViews>
  <sheetFormatPr defaultColWidth="9" defaultRowHeight="13.5" x14ac:dyDescent="0.3"/>
  <cols>
    <col min="1" max="1" width="5.73046875" style="12" customWidth="1"/>
    <col min="2" max="2" width="6.59765625" style="12" customWidth="1"/>
    <col min="3" max="3" width="6.796875" style="12" customWidth="1"/>
    <col min="4" max="7" width="7.796875" style="12" customWidth="1"/>
    <col min="8" max="8" width="6" style="12" customWidth="1"/>
    <col min="9" max="9" width="7.796875" style="12" customWidth="1"/>
    <col min="10" max="10" width="7.265625" style="12" customWidth="1"/>
    <col min="11" max="12" width="9" style="12" customWidth="1"/>
    <col min="13" max="27" width="7.796875" style="12" customWidth="1"/>
    <col min="28" max="28" width="9" style="12" customWidth="1"/>
    <col min="29" max="16384" width="9" style="12"/>
  </cols>
  <sheetData>
    <row r="1" spans="1:27" ht="27" customHeight="1" x14ac:dyDescent="0.3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27" s="13" customFormat="1" ht="20" customHeight="1" x14ac:dyDescent="0.3">
      <c r="A2" s="50" t="s">
        <v>18</v>
      </c>
      <c r="B2" s="50" t="s">
        <v>19</v>
      </c>
      <c r="C2" s="50" t="s">
        <v>20</v>
      </c>
      <c r="D2" s="50" t="s">
        <v>21</v>
      </c>
      <c r="E2" s="2" t="s">
        <v>22</v>
      </c>
      <c r="F2" s="2" t="s">
        <v>23</v>
      </c>
      <c r="G2" s="2" t="s">
        <v>24</v>
      </c>
      <c r="H2" s="2" t="s">
        <v>26</v>
      </c>
      <c r="I2" s="2" t="s">
        <v>25</v>
      </c>
      <c r="J2" s="50" t="s">
        <v>263</v>
      </c>
      <c r="K2" s="2" t="s">
        <v>27</v>
      </c>
      <c r="L2" s="50" t="s">
        <v>6</v>
      </c>
      <c r="M2" s="50" t="s">
        <v>18</v>
      </c>
      <c r="N2" s="2"/>
      <c r="O2" s="50" t="s">
        <v>4</v>
      </c>
      <c r="P2" s="37"/>
      <c r="Q2" s="37"/>
      <c r="R2" s="37"/>
      <c r="S2" s="37"/>
      <c r="T2" s="37"/>
      <c r="U2" s="37"/>
      <c r="V2" s="37"/>
      <c r="W2" s="37"/>
      <c r="X2" s="38"/>
      <c r="Y2" s="50" t="s">
        <v>3</v>
      </c>
      <c r="Z2" s="2" t="s">
        <v>5</v>
      </c>
      <c r="AA2" s="2" t="s">
        <v>6</v>
      </c>
    </row>
    <row r="3" spans="1:27" s="13" customFormat="1" ht="20" customHeight="1" x14ac:dyDescent="0.3">
      <c r="A3" s="39"/>
      <c r="B3" s="39"/>
      <c r="C3" s="39"/>
      <c r="D3" s="39"/>
      <c r="E3" s="2" t="s">
        <v>28</v>
      </c>
      <c r="F3" s="2" t="s">
        <v>28</v>
      </c>
      <c r="G3" s="2" t="s">
        <v>28</v>
      </c>
      <c r="H3" s="2"/>
      <c r="I3" s="2" t="s">
        <v>11</v>
      </c>
      <c r="J3" s="39"/>
      <c r="K3" s="2" t="s">
        <v>11</v>
      </c>
      <c r="L3" s="39"/>
      <c r="M3" s="39"/>
      <c r="N3" s="2">
        <v>10</v>
      </c>
      <c r="O3" s="2">
        <v>12</v>
      </c>
      <c r="P3" s="2">
        <v>14</v>
      </c>
      <c r="Q3" s="2">
        <v>16</v>
      </c>
      <c r="R3" s="2">
        <v>20</v>
      </c>
      <c r="S3" s="2">
        <v>24</v>
      </c>
      <c r="T3" s="2">
        <v>28</v>
      </c>
      <c r="U3" s="2">
        <v>30</v>
      </c>
      <c r="V3" s="2">
        <v>40</v>
      </c>
      <c r="W3" s="2">
        <v>50</v>
      </c>
      <c r="X3" s="2" t="s">
        <v>9</v>
      </c>
      <c r="Y3" s="39"/>
      <c r="Z3" s="2"/>
      <c r="AA3" s="2"/>
    </row>
    <row r="4" spans="1:27" s="13" customFormat="1" ht="20" customHeight="1" x14ac:dyDescent="0.3">
      <c r="A4" s="50" t="s">
        <v>264</v>
      </c>
      <c r="B4" s="53" t="s">
        <v>265</v>
      </c>
      <c r="C4" s="2" t="s">
        <v>266</v>
      </c>
      <c r="D4" s="2" t="s">
        <v>267</v>
      </c>
      <c r="E4" s="2">
        <v>1951</v>
      </c>
      <c r="F4" s="2">
        <v>1790</v>
      </c>
      <c r="G4" s="2">
        <v>20</v>
      </c>
      <c r="H4" s="2">
        <v>1</v>
      </c>
      <c r="I4" s="4">
        <f>(E4/1000)*(F4/1000)*(G4/1000)*7850*H4</f>
        <v>548.28953000000001</v>
      </c>
      <c r="J4" s="2">
        <v>32</v>
      </c>
      <c r="K4" s="4">
        <f t="shared" ref="K4:K22" si="0">I4*J4</f>
        <v>17545.26496</v>
      </c>
      <c r="L4" s="2"/>
      <c r="M4" s="50" t="str">
        <f>B4</f>
        <v>Z1边支点横隔板</v>
      </c>
      <c r="N4" s="50"/>
      <c r="O4" s="55">
        <f>SUMIF(G4:G22,$O$3,K4:K22)</f>
        <v>646.4</v>
      </c>
      <c r="P4" s="55">
        <f>SUMIF(G4:G22,$P$3,K4:K22)</f>
        <v>0</v>
      </c>
      <c r="Q4" s="55">
        <f>SUMIF(G4:G22,$Q$3,K4:K22)</f>
        <v>0</v>
      </c>
      <c r="R4" s="55">
        <f>SUMIF(G4:G22,$R$3,K4:K22)</f>
        <v>131616.82463999998</v>
      </c>
      <c r="S4" s="55">
        <f>SUMIF(G4:G22,$S$3,K4:K22)</f>
        <v>0</v>
      </c>
      <c r="T4" s="14"/>
      <c r="U4" s="55">
        <f>SUMIF(G4:G22,$U$3,K4:K22)</f>
        <v>2411.5200000000004</v>
      </c>
      <c r="V4" s="55">
        <f>SUMIF(G4:G22,$V$3,K4:K22)</f>
        <v>6430.7200000000012</v>
      </c>
      <c r="W4" s="14"/>
      <c r="X4" s="55">
        <f>SUM(O4:V23)</f>
        <v>141105.46463999996</v>
      </c>
      <c r="Y4" s="55">
        <v>141101.79999999999</v>
      </c>
      <c r="Z4" s="55">
        <f>X4-Y4</f>
        <v>3.6646399999735877</v>
      </c>
      <c r="AA4" s="50"/>
    </row>
    <row r="5" spans="1:27" s="13" customFormat="1" ht="20" customHeight="1" x14ac:dyDescent="0.3">
      <c r="A5" s="41"/>
      <c r="B5" s="41"/>
      <c r="C5" s="2" t="s">
        <v>268</v>
      </c>
      <c r="D5" s="2" t="s">
        <v>267</v>
      </c>
      <c r="E5" s="2">
        <v>2718</v>
      </c>
      <c r="F5" s="2">
        <v>2550</v>
      </c>
      <c r="G5" s="2">
        <v>20</v>
      </c>
      <c r="H5" s="2">
        <v>1</v>
      </c>
      <c r="I5" s="4">
        <v>1033.76</v>
      </c>
      <c r="J5" s="2">
        <v>32</v>
      </c>
      <c r="K5" s="4">
        <f t="shared" si="0"/>
        <v>33080.32</v>
      </c>
      <c r="L5" s="2"/>
      <c r="M5" s="41"/>
      <c r="N5" s="41"/>
      <c r="O5" s="41"/>
      <c r="P5" s="41"/>
      <c r="Q5" s="41"/>
      <c r="R5" s="41"/>
      <c r="S5" s="41"/>
      <c r="T5" s="6"/>
      <c r="U5" s="41"/>
      <c r="V5" s="41"/>
      <c r="W5" s="6"/>
      <c r="X5" s="41"/>
      <c r="Y5" s="41"/>
      <c r="Z5" s="41"/>
      <c r="AA5" s="41"/>
    </row>
    <row r="6" spans="1:27" s="13" customFormat="1" ht="20" customHeight="1" x14ac:dyDescent="0.3">
      <c r="A6" s="41"/>
      <c r="B6" s="41"/>
      <c r="C6" s="2" t="s">
        <v>269</v>
      </c>
      <c r="D6" s="2" t="s">
        <v>267</v>
      </c>
      <c r="E6" s="2">
        <v>2653</v>
      </c>
      <c r="F6" s="2">
        <v>470</v>
      </c>
      <c r="G6" s="2">
        <v>20</v>
      </c>
      <c r="H6" s="2">
        <v>1</v>
      </c>
      <c r="I6" s="4">
        <v>132.31</v>
      </c>
      <c r="J6" s="2">
        <v>32</v>
      </c>
      <c r="K6" s="4">
        <f t="shared" si="0"/>
        <v>4233.92</v>
      </c>
      <c r="L6" s="2"/>
      <c r="M6" s="41"/>
      <c r="N6" s="41"/>
      <c r="O6" s="41"/>
      <c r="P6" s="41"/>
      <c r="Q6" s="41"/>
      <c r="R6" s="41"/>
      <c r="S6" s="41"/>
      <c r="T6" s="6"/>
      <c r="U6" s="41"/>
      <c r="V6" s="41"/>
      <c r="W6" s="6"/>
      <c r="X6" s="41"/>
      <c r="Y6" s="41"/>
      <c r="Z6" s="41"/>
      <c r="AA6" s="41"/>
    </row>
    <row r="7" spans="1:27" s="13" customFormat="1" ht="20" customHeight="1" x14ac:dyDescent="0.3">
      <c r="A7" s="41"/>
      <c r="B7" s="41"/>
      <c r="C7" s="2" t="s">
        <v>270</v>
      </c>
      <c r="D7" s="2" t="s">
        <v>267</v>
      </c>
      <c r="E7" s="2">
        <v>2653</v>
      </c>
      <c r="F7" s="2">
        <v>440</v>
      </c>
      <c r="G7" s="2">
        <v>20</v>
      </c>
      <c r="H7" s="2">
        <v>1</v>
      </c>
      <c r="I7" s="4">
        <v>119.56</v>
      </c>
      <c r="J7" s="2">
        <v>32</v>
      </c>
      <c r="K7" s="4">
        <f t="shared" si="0"/>
        <v>3825.92</v>
      </c>
      <c r="L7" s="2"/>
      <c r="M7" s="41"/>
      <c r="N7" s="41"/>
      <c r="O7" s="41"/>
      <c r="P7" s="41"/>
      <c r="Q7" s="41"/>
      <c r="R7" s="41"/>
      <c r="S7" s="41"/>
      <c r="T7" s="6"/>
      <c r="U7" s="41"/>
      <c r="V7" s="41"/>
      <c r="W7" s="6"/>
      <c r="X7" s="41"/>
      <c r="Y7" s="41"/>
      <c r="Z7" s="41"/>
      <c r="AA7" s="41"/>
    </row>
    <row r="8" spans="1:27" s="13" customFormat="1" ht="20" customHeight="1" x14ac:dyDescent="0.3">
      <c r="A8" s="41"/>
      <c r="B8" s="41"/>
      <c r="C8" s="2" t="s">
        <v>271</v>
      </c>
      <c r="D8" s="2" t="s">
        <v>267</v>
      </c>
      <c r="E8" s="2">
        <v>2671</v>
      </c>
      <c r="F8" s="2">
        <v>470</v>
      </c>
      <c r="G8" s="2">
        <v>20</v>
      </c>
      <c r="H8" s="2">
        <v>1</v>
      </c>
      <c r="I8" s="4">
        <v>132.97999999999999</v>
      </c>
      <c r="J8" s="2">
        <v>32</v>
      </c>
      <c r="K8" s="4">
        <f t="shared" si="0"/>
        <v>4255.3599999999997</v>
      </c>
      <c r="L8" s="2"/>
      <c r="M8" s="41"/>
      <c r="N8" s="41"/>
      <c r="O8" s="41"/>
      <c r="P8" s="41"/>
      <c r="Q8" s="41"/>
      <c r="R8" s="41"/>
      <c r="S8" s="41"/>
      <c r="T8" s="6"/>
      <c r="U8" s="41"/>
      <c r="V8" s="41"/>
      <c r="W8" s="6"/>
      <c r="X8" s="41"/>
      <c r="Y8" s="41"/>
      <c r="Z8" s="41"/>
      <c r="AA8" s="41"/>
    </row>
    <row r="9" spans="1:27" s="13" customFormat="1" ht="20" customHeight="1" x14ac:dyDescent="0.3">
      <c r="A9" s="41"/>
      <c r="B9" s="41"/>
      <c r="C9" s="2" t="s">
        <v>272</v>
      </c>
      <c r="D9" s="2" t="s">
        <v>267</v>
      </c>
      <c r="E9" s="2">
        <v>2671</v>
      </c>
      <c r="F9" s="2">
        <v>440</v>
      </c>
      <c r="G9" s="2">
        <v>20</v>
      </c>
      <c r="H9" s="2">
        <v>1</v>
      </c>
      <c r="I9" s="4">
        <v>120.24</v>
      </c>
      <c r="J9" s="2">
        <v>32</v>
      </c>
      <c r="K9" s="4">
        <f t="shared" si="0"/>
        <v>3847.68</v>
      </c>
      <c r="L9" s="2"/>
      <c r="M9" s="41"/>
      <c r="N9" s="41"/>
      <c r="O9" s="41"/>
      <c r="P9" s="41"/>
      <c r="Q9" s="41"/>
      <c r="R9" s="41"/>
      <c r="S9" s="41"/>
      <c r="T9" s="6"/>
      <c r="U9" s="41"/>
      <c r="V9" s="41"/>
      <c r="W9" s="6"/>
      <c r="X9" s="41"/>
      <c r="Y9" s="41"/>
      <c r="Z9" s="41"/>
      <c r="AA9" s="41"/>
    </row>
    <row r="10" spans="1:27" s="13" customFormat="1" ht="20" customHeight="1" x14ac:dyDescent="0.3">
      <c r="A10" s="41"/>
      <c r="B10" s="41"/>
      <c r="C10" s="2" t="s">
        <v>273</v>
      </c>
      <c r="D10" s="2" t="s">
        <v>267</v>
      </c>
      <c r="E10" s="2">
        <v>2689</v>
      </c>
      <c r="F10" s="2">
        <v>470</v>
      </c>
      <c r="G10" s="2">
        <v>20</v>
      </c>
      <c r="H10" s="2">
        <v>1</v>
      </c>
      <c r="I10" s="4">
        <v>133.66</v>
      </c>
      <c r="J10" s="2">
        <v>32</v>
      </c>
      <c r="K10" s="4">
        <f t="shared" si="0"/>
        <v>4277.12</v>
      </c>
      <c r="L10" s="2"/>
      <c r="M10" s="41"/>
      <c r="N10" s="41"/>
      <c r="O10" s="41"/>
      <c r="P10" s="41"/>
      <c r="Q10" s="41"/>
      <c r="R10" s="41"/>
      <c r="S10" s="41"/>
      <c r="T10" s="6"/>
      <c r="U10" s="41"/>
      <c r="V10" s="41"/>
      <c r="W10" s="6"/>
      <c r="X10" s="41"/>
      <c r="Y10" s="41"/>
      <c r="Z10" s="41"/>
      <c r="AA10" s="41"/>
    </row>
    <row r="11" spans="1:27" s="13" customFormat="1" ht="20" customHeight="1" x14ac:dyDescent="0.3">
      <c r="A11" s="41"/>
      <c r="B11" s="41"/>
      <c r="C11" s="2" t="s">
        <v>274</v>
      </c>
      <c r="D11" s="2" t="s">
        <v>267</v>
      </c>
      <c r="E11" s="2">
        <v>2689</v>
      </c>
      <c r="F11" s="2">
        <v>440</v>
      </c>
      <c r="G11" s="2">
        <v>20</v>
      </c>
      <c r="H11" s="2">
        <v>1</v>
      </c>
      <c r="I11" s="4">
        <v>120.91</v>
      </c>
      <c r="J11" s="2">
        <v>32</v>
      </c>
      <c r="K11" s="4">
        <f t="shared" si="0"/>
        <v>3869.12</v>
      </c>
      <c r="L11" s="2"/>
      <c r="M11" s="41"/>
      <c r="N11" s="41"/>
      <c r="O11" s="41"/>
      <c r="P11" s="41"/>
      <c r="Q11" s="41"/>
      <c r="R11" s="41"/>
      <c r="S11" s="41"/>
      <c r="T11" s="6"/>
      <c r="U11" s="41"/>
      <c r="V11" s="41"/>
      <c r="W11" s="6"/>
      <c r="X11" s="41"/>
      <c r="Y11" s="41"/>
      <c r="Z11" s="41"/>
      <c r="AA11" s="41"/>
    </row>
    <row r="12" spans="1:27" s="13" customFormat="1" ht="20" customHeight="1" x14ac:dyDescent="0.3">
      <c r="A12" s="41"/>
      <c r="B12" s="41"/>
      <c r="C12" s="2" t="s">
        <v>275</v>
      </c>
      <c r="D12" s="2" t="s">
        <v>267</v>
      </c>
      <c r="E12" s="2">
        <v>2707</v>
      </c>
      <c r="F12" s="2">
        <v>470</v>
      </c>
      <c r="G12" s="2">
        <v>20</v>
      </c>
      <c r="H12" s="2">
        <v>1</v>
      </c>
      <c r="I12" s="4">
        <v>134.34</v>
      </c>
      <c r="J12" s="2">
        <v>32</v>
      </c>
      <c r="K12" s="4">
        <f t="shared" si="0"/>
        <v>4298.88</v>
      </c>
      <c r="L12" s="2"/>
      <c r="M12" s="41"/>
      <c r="N12" s="41"/>
      <c r="O12" s="41"/>
      <c r="P12" s="41"/>
      <c r="Q12" s="41"/>
      <c r="R12" s="41"/>
      <c r="S12" s="41"/>
      <c r="T12" s="6"/>
      <c r="U12" s="41"/>
      <c r="V12" s="41"/>
      <c r="W12" s="6"/>
      <c r="X12" s="41"/>
      <c r="Y12" s="41"/>
      <c r="Z12" s="41"/>
      <c r="AA12" s="41"/>
    </row>
    <row r="13" spans="1:27" s="13" customFormat="1" ht="20" customHeight="1" x14ac:dyDescent="0.3">
      <c r="A13" s="41"/>
      <c r="B13" s="41"/>
      <c r="C13" s="2" t="s">
        <v>276</v>
      </c>
      <c r="D13" s="2" t="s">
        <v>267</v>
      </c>
      <c r="E13" s="2">
        <v>2707</v>
      </c>
      <c r="F13" s="2">
        <v>440</v>
      </c>
      <c r="G13" s="2">
        <v>20</v>
      </c>
      <c r="H13" s="2">
        <v>1</v>
      </c>
      <c r="I13" s="4">
        <v>121.59</v>
      </c>
      <c r="J13" s="2">
        <v>32</v>
      </c>
      <c r="K13" s="4">
        <f t="shared" si="0"/>
        <v>3890.88</v>
      </c>
      <c r="L13" s="2"/>
      <c r="M13" s="41"/>
      <c r="N13" s="41"/>
      <c r="O13" s="41"/>
      <c r="P13" s="41"/>
      <c r="Q13" s="41"/>
      <c r="R13" s="41"/>
      <c r="S13" s="41"/>
      <c r="T13" s="6"/>
      <c r="U13" s="41"/>
      <c r="V13" s="41"/>
      <c r="W13" s="6"/>
      <c r="X13" s="41"/>
      <c r="Y13" s="41"/>
      <c r="Z13" s="41"/>
      <c r="AA13" s="41"/>
    </row>
    <row r="14" spans="1:27" s="13" customFormat="1" ht="20" customHeight="1" x14ac:dyDescent="0.3">
      <c r="A14" s="41"/>
      <c r="B14" s="41"/>
      <c r="C14" s="2" t="s">
        <v>277</v>
      </c>
      <c r="D14" s="2" t="s">
        <v>267</v>
      </c>
      <c r="E14" s="2">
        <v>1150</v>
      </c>
      <c r="F14" s="2">
        <v>470</v>
      </c>
      <c r="G14" s="2">
        <v>20</v>
      </c>
      <c r="H14" s="2">
        <v>1</v>
      </c>
      <c r="I14" s="4">
        <v>75.680000000000007</v>
      </c>
      <c r="J14" s="2">
        <v>32</v>
      </c>
      <c r="K14" s="4">
        <f t="shared" si="0"/>
        <v>2421.7600000000002</v>
      </c>
      <c r="L14" s="2"/>
      <c r="M14" s="41"/>
      <c r="N14" s="41"/>
      <c r="O14" s="41"/>
      <c r="P14" s="41"/>
      <c r="Q14" s="41"/>
      <c r="R14" s="41"/>
      <c r="S14" s="41"/>
      <c r="T14" s="6"/>
      <c r="U14" s="41"/>
      <c r="V14" s="41"/>
      <c r="W14" s="6"/>
      <c r="X14" s="41"/>
      <c r="Y14" s="41"/>
      <c r="Z14" s="41"/>
      <c r="AA14" s="41"/>
    </row>
    <row r="15" spans="1:27" s="13" customFormat="1" ht="20" customHeight="1" x14ac:dyDescent="0.3">
      <c r="A15" s="41"/>
      <c r="B15" s="41"/>
      <c r="C15" s="2" t="s">
        <v>278</v>
      </c>
      <c r="D15" s="2" t="s">
        <v>267</v>
      </c>
      <c r="E15" s="2">
        <v>1150</v>
      </c>
      <c r="F15" s="2">
        <v>440</v>
      </c>
      <c r="G15" s="2">
        <v>20</v>
      </c>
      <c r="H15" s="2">
        <v>1</v>
      </c>
      <c r="I15" s="4">
        <v>62.32</v>
      </c>
      <c r="J15" s="2">
        <v>32</v>
      </c>
      <c r="K15" s="4">
        <f t="shared" si="0"/>
        <v>1994.24</v>
      </c>
      <c r="L15" s="2"/>
      <c r="M15" s="41"/>
      <c r="N15" s="41"/>
      <c r="O15" s="41"/>
      <c r="P15" s="41"/>
      <c r="Q15" s="41"/>
      <c r="R15" s="41"/>
      <c r="S15" s="41"/>
      <c r="T15" s="6"/>
      <c r="U15" s="41"/>
      <c r="V15" s="41"/>
      <c r="W15" s="6"/>
      <c r="X15" s="41"/>
      <c r="Y15" s="41"/>
      <c r="Z15" s="41"/>
      <c r="AA15" s="41"/>
    </row>
    <row r="16" spans="1:27" s="13" customFormat="1" ht="20" customHeight="1" x14ac:dyDescent="0.3">
      <c r="A16" s="41"/>
      <c r="B16" s="41"/>
      <c r="C16" s="2" t="s">
        <v>279</v>
      </c>
      <c r="D16" s="2" t="s">
        <v>267</v>
      </c>
      <c r="E16" s="2">
        <v>776</v>
      </c>
      <c r="F16" s="2">
        <v>160</v>
      </c>
      <c r="G16" s="2">
        <v>20</v>
      </c>
      <c r="H16" s="2">
        <v>2</v>
      </c>
      <c r="I16" s="4">
        <f>(E16/1000)*(F16/1000)*(G16/1000)*7850*H16</f>
        <v>38.986240000000002</v>
      </c>
      <c r="J16" s="2">
        <v>32</v>
      </c>
      <c r="K16" s="4">
        <f t="shared" si="0"/>
        <v>1247.5596800000001</v>
      </c>
      <c r="L16" s="2"/>
      <c r="M16" s="41"/>
      <c r="N16" s="41"/>
      <c r="O16" s="41"/>
      <c r="P16" s="41"/>
      <c r="Q16" s="41"/>
      <c r="R16" s="41"/>
      <c r="S16" s="41"/>
      <c r="T16" s="6"/>
      <c r="U16" s="41"/>
      <c r="V16" s="41"/>
      <c r="W16" s="6"/>
      <c r="X16" s="41"/>
      <c r="Y16" s="41"/>
      <c r="Z16" s="41"/>
      <c r="AA16" s="41"/>
    </row>
    <row r="17" spans="1:27" s="13" customFormat="1" ht="20" customHeight="1" x14ac:dyDescent="0.3">
      <c r="A17" s="41"/>
      <c r="B17" s="41"/>
      <c r="C17" s="2" t="s">
        <v>280</v>
      </c>
      <c r="D17" s="2" t="s">
        <v>267</v>
      </c>
      <c r="E17" s="2">
        <v>500</v>
      </c>
      <c r="F17" s="2">
        <v>240</v>
      </c>
      <c r="G17" s="2">
        <v>20</v>
      </c>
      <c r="H17" s="2">
        <v>2</v>
      </c>
      <c r="I17" s="4">
        <v>33.700000000000003</v>
      </c>
      <c r="J17" s="2">
        <v>32</v>
      </c>
      <c r="K17" s="4">
        <f t="shared" si="0"/>
        <v>1078.4000000000001</v>
      </c>
      <c r="L17" s="2"/>
      <c r="M17" s="41"/>
      <c r="N17" s="41"/>
      <c r="O17" s="41"/>
      <c r="P17" s="41"/>
      <c r="Q17" s="41"/>
      <c r="R17" s="41"/>
      <c r="S17" s="41"/>
      <c r="T17" s="6"/>
      <c r="U17" s="41"/>
      <c r="V17" s="41"/>
      <c r="W17" s="6"/>
      <c r="X17" s="41"/>
      <c r="Y17" s="41"/>
      <c r="Z17" s="41"/>
      <c r="AA17" s="41"/>
    </row>
    <row r="18" spans="1:27" s="13" customFormat="1" ht="20" hidden="1" customHeight="1" x14ac:dyDescent="0.3">
      <c r="A18" s="41"/>
      <c r="B18" s="41"/>
      <c r="C18" s="2" t="s">
        <v>281</v>
      </c>
      <c r="D18" s="2" t="s">
        <v>267</v>
      </c>
      <c r="E18" s="2">
        <v>400</v>
      </c>
      <c r="F18" s="2">
        <v>400</v>
      </c>
      <c r="G18" s="2">
        <v>30</v>
      </c>
      <c r="H18" s="2">
        <v>2</v>
      </c>
      <c r="I18" s="4">
        <f>(E18/1000)*(F18/1000)*(G18/1000)*7850*H18</f>
        <v>75.360000000000014</v>
      </c>
      <c r="J18" s="2">
        <v>32</v>
      </c>
      <c r="K18" s="4">
        <f t="shared" si="0"/>
        <v>2411.5200000000004</v>
      </c>
      <c r="L18" s="2"/>
      <c r="M18" s="41"/>
      <c r="N18" s="41"/>
      <c r="O18" s="41"/>
      <c r="P18" s="41"/>
      <c r="Q18" s="41"/>
      <c r="R18" s="41"/>
      <c r="S18" s="41"/>
      <c r="T18" s="6"/>
      <c r="U18" s="41"/>
      <c r="V18" s="41"/>
      <c r="W18" s="6"/>
      <c r="X18" s="41"/>
      <c r="Y18" s="41"/>
      <c r="Z18" s="41"/>
      <c r="AA18" s="41"/>
    </row>
    <row r="19" spans="1:27" s="13" customFormat="1" ht="20" hidden="1" customHeight="1" x14ac:dyDescent="0.3">
      <c r="A19" s="41"/>
      <c r="B19" s="41"/>
      <c r="C19" s="2" t="s">
        <v>282</v>
      </c>
      <c r="D19" s="2" t="s">
        <v>267</v>
      </c>
      <c r="E19" s="2">
        <v>800</v>
      </c>
      <c r="F19" s="2">
        <v>800</v>
      </c>
      <c r="G19" s="2">
        <v>40</v>
      </c>
      <c r="H19" s="2">
        <v>1</v>
      </c>
      <c r="I19" s="4">
        <f>(E19/1000)*(F19/1000)*(G19/1000)*7850*H19</f>
        <v>200.96000000000004</v>
      </c>
      <c r="J19" s="2">
        <v>32</v>
      </c>
      <c r="K19" s="4">
        <f t="shared" si="0"/>
        <v>6430.7200000000012</v>
      </c>
      <c r="L19" s="2"/>
      <c r="M19" s="41"/>
      <c r="N19" s="41"/>
      <c r="O19" s="41"/>
      <c r="P19" s="41"/>
      <c r="Q19" s="41"/>
      <c r="R19" s="41"/>
      <c r="S19" s="41"/>
      <c r="T19" s="6"/>
      <c r="U19" s="41"/>
      <c r="V19" s="41"/>
      <c r="W19" s="6"/>
      <c r="X19" s="41"/>
      <c r="Y19" s="41"/>
      <c r="Z19" s="41"/>
      <c r="AA19" s="41"/>
    </row>
    <row r="20" spans="1:27" s="13" customFormat="1" ht="20" hidden="1" customHeight="1" x14ac:dyDescent="0.3">
      <c r="A20" s="41"/>
      <c r="B20" s="41"/>
      <c r="C20" s="2" t="s">
        <v>283</v>
      </c>
      <c r="D20" s="2" t="s">
        <v>267</v>
      </c>
      <c r="E20" s="2">
        <v>840</v>
      </c>
      <c r="F20" s="2">
        <v>540</v>
      </c>
      <c r="G20" s="2">
        <v>12</v>
      </c>
      <c r="H20" s="16">
        <v>2</v>
      </c>
      <c r="I20" s="4">
        <v>20.2</v>
      </c>
      <c r="J20" s="2">
        <v>32</v>
      </c>
      <c r="K20" s="4">
        <f t="shared" si="0"/>
        <v>646.4</v>
      </c>
      <c r="L20" s="2" t="s">
        <v>284</v>
      </c>
      <c r="M20" s="41"/>
      <c r="N20" s="41"/>
      <c r="O20" s="41"/>
      <c r="P20" s="41"/>
      <c r="Q20" s="41"/>
      <c r="R20" s="41"/>
      <c r="S20" s="41"/>
      <c r="T20" s="6"/>
      <c r="U20" s="41"/>
      <c r="V20" s="41"/>
      <c r="W20" s="6"/>
      <c r="X20" s="41"/>
      <c r="Y20" s="41"/>
      <c r="Z20" s="41"/>
      <c r="AA20" s="41"/>
    </row>
    <row r="21" spans="1:27" s="13" customFormat="1" ht="20" customHeight="1" x14ac:dyDescent="0.3">
      <c r="A21" s="41"/>
      <c r="B21" s="41"/>
      <c r="C21" s="2" t="s">
        <v>285</v>
      </c>
      <c r="D21" s="2" t="s">
        <v>267</v>
      </c>
      <c r="E21" s="2">
        <v>2718</v>
      </c>
      <c r="F21" s="2">
        <v>2550</v>
      </c>
      <c r="G21" s="2">
        <v>20</v>
      </c>
      <c r="H21" s="2">
        <v>1</v>
      </c>
      <c r="I21" s="4">
        <v>1033.8</v>
      </c>
      <c r="J21" s="2">
        <v>32</v>
      </c>
      <c r="K21" s="4">
        <f t="shared" si="0"/>
        <v>33081.599999999999</v>
      </c>
      <c r="L21" s="2"/>
      <c r="M21" s="41"/>
      <c r="N21" s="41"/>
      <c r="O21" s="41"/>
      <c r="P21" s="41"/>
      <c r="Q21" s="41"/>
      <c r="R21" s="41"/>
      <c r="S21" s="41"/>
      <c r="T21" s="6"/>
      <c r="U21" s="41"/>
      <c r="V21" s="41"/>
      <c r="W21" s="6"/>
      <c r="X21" s="41"/>
      <c r="Y21" s="41"/>
      <c r="Z21" s="41"/>
      <c r="AA21" s="41"/>
    </row>
    <row r="22" spans="1:27" s="13" customFormat="1" ht="20" customHeight="1" x14ac:dyDescent="0.3">
      <c r="A22" s="41"/>
      <c r="B22" s="41"/>
      <c r="C22" s="2" t="s">
        <v>286</v>
      </c>
      <c r="D22" s="2" t="s">
        <v>267</v>
      </c>
      <c r="E22" s="2">
        <v>740</v>
      </c>
      <c r="F22" s="2">
        <v>785</v>
      </c>
      <c r="G22" s="2">
        <v>20</v>
      </c>
      <c r="H22" s="2">
        <v>1</v>
      </c>
      <c r="I22" s="4">
        <v>270.89999999999998</v>
      </c>
      <c r="J22" s="2">
        <v>32</v>
      </c>
      <c r="K22" s="4">
        <f t="shared" si="0"/>
        <v>8668.7999999999993</v>
      </c>
      <c r="L22" s="2"/>
      <c r="M22" s="41"/>
      <c r="N22" s="41"/>
      <c r="O22" s="41"/>
      <c r="P22" s="41"/>
      <c r="Q22" s="41"/>
      <c r="R22" s="41"/>
      <c r="S22" s="41"/>
      <c r="T22" s="6"/>
      <c r="U22" s="41"/>
      <c r="V22" s="41"/>
      <c r="W22" s="6"/>
      <c r="X22" s="41"/>
      <c r="Y22" s="41"/>
      <c r="Z22" s="41"/>
      <c r="AA22" s="41"/>
    </row>
    <row r="23" spans="1:27" s="13" customFormat="1" ht="20" hidden="1" customHeight="1" x14ac:dyDescent="0.3">
      <c r="A23" s="39"/>
      <c r="B23" s="50" t="s">
        <v>65</v>
      </c>
      <c r="C23" s="38"/>
      <c r="D23" s="2"/>
      <c r="E23" s="2"/>
      <c r="F23" s="2"/>
      <c r="G23" s="2"/>
      <c r="H23" s="2"/>
      <c r="I23" s="7"/>
      <c r="J23" s="2"/>
      <c r="K23" s="4">
        <f>SUM(K4:K22)</f>
        <v>141105.46463999999</v>
      </c>
      <c r="L23" s="2"/>
      <c r="M23" s="39"/>
      <c r="N23" s="39"/>
      <c r="O23" s="39"/>
      <c r="P23" s="39"/>
      <c r="Q23" s="39"/>
      <c r="R23" s="39"/>
      <c r="S23" s="39"/>
      <c r="T23" s="8"/>
      <c r="U23" s="39"/>
      <c r="V23" s="39"/>
      <c r="W23" s="8"/>
      <c r="X23" s="39"/>
      <c r="Y23" s="39"/>
      <c r="Z23" s="39"/>
      <c r="AA23" s="39"/>
    </row>
    <row r="24" spans="1:27" s="13" customFormat="1" ht="20" customHeight="1" x14ac:dyDescent="0.3">
      <c r="A24" s="50" t="s">
        <v>264</v>
      </c>
      <c r="B24" s="53" t="s">
        <v>287</v>
      </c>
      <c r="C24" s="2" t="s">
        <v>288</v>
      </c>
      <c r="D24" s="2" t="s">
        <v>267</v>
      </c>
      <c r="E24" s="2">
        <v>1109</v>
      </c>
      <c r="F24" s="2">
        <v>575</v>
      </c>
      <c r="G24" s="2">
        <v>20</v>
      </c>
      <c r="H24" s="2">
        <v>1</v>
      </c>
      <c r="I24" s="4">
        <v>65.3</v>
      </c>
      <c r="J24" s="2">
        <v>4</v>
      </c>
      <c r="K24" s="4">
        <f>I24*J24</f>
        <v>261.2</v>
      </c>
      <c r="L24" s="2"/>
      <c r="M24" s="51" t="str">
        <f>B24</f>
        <v>T1上层挑梁</v>
      </c>
      <c r="N24" s="51">
        <f>K26</f>
        <v>109.2</v>
      </c>
      <c r="O24" s="51"/>
      <c r="P24" s="51"/>
      <c r="Q24" s="51">
        <f>K27+K28</f>
        <v>234</v>
      </c>
      <c r="R24" s="51">
        <f>K24+K25</f>
        <v>1188.4000000000001</v>
      </c>
      <c r="S24" s="51"/>
      <c r="T24" s="5"/>
      <c r="U24" s="51"/>
      <c r="V24" s="51"/>
      <c r="W24" s="5"/>
      <c r="X24" s="51">
        <f>SUM(N24:V24)</f>
        <v>1531.6000000000001</v>
      </c>
      <c r="Y24" s="51">
        <v>1532.1</v>
      </c>
      <c r="Z24" s="52">
        <f>X24-Y24</f>
        <v>-0.49999999999977263</v>
      </c>
      <c r="AA24" s="51"/>
    </row>
    <row r="25" spans="1:27" s="13" customFormat="1" ht="20" customHeight="1" x14ac:dyDescent="0.3">
      <c r="A25" s="41"/>
      <c r="B25" s="41"/>
      <c r="C25" s="2" t="s">
        <v>289</v>
      </c>
      <c r="D25" s="2" t="s">
        <v>267</v>
      </c>
      <c r="E25" s="2">
        <v>1790</v>
      </c>
      <c r="F25" s="2">
        <v>825</v>
      </c>
      <c r="G25" s="2">
        <v>20</v>
      </c>
      <c r="H25" s="2">
        <v>1</v>
      </c>
      <c r="I25" s="4">
        <v>231.8</v>
      </c>
      <c r="J25" s="2">
        <v>4</v>
      </c>
      <c r="K25" s="4">
        <f>I25*J25</f>
        <v>927.2</v>
      </c>
      <c r="L25" s="2"/>
      <c r="M25" s="41"/>
      <c r="N25" s="41"/>
      <c r="O25" s="41"/>
      <c r="P25" s="41"/>
      <c r="Q25" s="41"/>
      <c r="R25" s="41"/>
      <c r="S25" s="41"/>
      <c r="T25" s="5"/>
      <c r="U25" s="41"/>
      <c r="V25" s="41"/>
      <c r="W25" s="5"/>
      <c r="X25" s="41"/>
      <c r="Y25" s="41"/>
      <c r="Z25" s="41"/>
      <c r="AA25" s="41"/>
    </row>
    <row r="26" spans="1:27" s="13" customFormat="1" ht="20" hidden="1" customHeight="1" x14ac:dyDescent="0.3">
      <c r="A26" s="41"/>
      <c r="B26" s="41"/>
      <c r="C26" s="2" t="s">
        <v>290</v>
      </c>
      <c r="D26" s="2" t="s">
        <v>267</v>
      </c>
      <c r="E26" s="2">
        <v>1161</v>
      </c>
      <c r="F26" s="2">
        <v>300</v>
      </c>
      <c r="G26" s="2">
        <v>10</v>
      </c>
      <c r="H26" s="2">
        <v>1</v>
      </c>
      <c r="I26" s="4">
        <v>27.3</v>
      </c>
      <c r="J26" s="2">
        <v>4</v>
      </c>
      <c r="K26" s="4">
        <f>I26*J26</f>
        <v>109.2</v>
      </c>
      <c r="L26" s="2"/>
      <c r="M26" s="41"/>
      <c r="N26" s="41"/>
      <c r="O26" s="41"/>
      <c r="P26" s="41"/>
      <c r="Q26" s="41"/>
      <c r="R26" s="41"/>
      <c r="S26" s="41"/>
      <c r="T26" s="5"/>
      <c r="U26" s="41"/>
      <c r="V26" s="41"/>
      <c r="W26" s="5"/>
      <c r="X26" s="41"/>
      <c r="Y26" s="41"/>
      <c r="Z26" s="41"/>
      <c r="AA26" s="41"/>
    </row>
    <row r="27" spans="1:27" s="13" customFormat="1" ht="20" hidden="1" customHeight="1" x14ac:dyDescent="0.3">
      <c r="A27" s="41"/>
      <c r="B27" s="41"/>
      <c r="C27" s="2" t="s">
        <v>291</v>
      </c>
      <c r="D27" s="2" t="s">
        <v>267</v>
      </c>
      <c r="E27" s="2">
        <v>1234</v>
      </c>
      <c r="F27" s="2">
        <v>160</v>
      </c>
      <c r="G27" s="2">
        <v>16</v>
      </c>
      <c r="H27" s="2">
        <v>2</v>
      </c>
      <c r="I27" s="4">
        <v>49.6</v>
      </c>
      <c r="J27" s="2">
        <v>4</v>
      </c>
      <c r="K27" s="4">
        <f>I27*J27</f>
        <v>198.4</v>
      </c>
      <c r="L27" s="2"/>
      <c r="M27" s="41"/>
      <c r="N27" s="41"/>
      <c r="O27" s="41"/>
      <c r="P27" s="41"/>
      <c r="Q27" s="41"/>
      <c r="R27" s="41"/>
      <c r="S27" s="41"/>
      <c r="T27" s="5"/>
      <c r="U27" s="41"/>
      <c r="V27" s="41"/>
      <c r="W27" s="5"/>
      <c r="X27" s="41"/>
      <c r="Y27" s="41"/>
      <c r="Z27" s="41"/>
      <c r="AA27" s="41"/>
    </row>
    <row r="28" spans="1:27" s="13" customFormat="1" ht="20" hidden="1" customHeight="1" x14ac:dyDescent="0.3">
      <c r="A28" s="41"/>
      <c r="B28" s="41"/>
      <c r="C28" s="2" t="s">
        <v>292</v>
      </c>
      <c r="D28" s="2" t="s">
        <v>267</v>
      </c>
      <c r="E28" s="2">
        <v>444</v>
      </c>
      <c r="F28" s="2">
        <v>160</v>
      </c>
      <c r="G28" s="2">
        <v>16</v>
      </c>
      <c r="H28" s="16">
        <v>1</v>
      </c>
      <c r="I28" s="4">
        <v>8.9</v>
      </c>
      <c r="J28" s="2">
        <v>4</v>
      </c>
      <c r="K28" s="4">
        <f>I28*J28</f>
        <v>35.6</v>
      </c>
      <c r="L28" s="2" t="s">
        <v>284</v>
      </c>
      <c r="M28" s="41"/>
      <c r="N28" s="41"/>
      <c r="O28" s="41"/>
      <c r="P28" s="41"/>
      <c r="Q28" s="41"/>
      <c r="R28" s="41"/>
      <c r="S28" s="41"/>
      <c r="T28" s="5"/>
      <c r="U28" s="41"/>
      <c r="V28" s="41"/>
      <c r="W28" s="5"/>
      <c r="X28" s="41"/>
      <c r="Y28" s="41"/>
      <c r="Z28" s="41"/>
      <c r="AA28" s="41"/>
    </row>
    <row r="29" spans="1:27" s="13" customFormat="1" ht="20" hidden="1" customHeight="1" x14ac:dyDescent="0.3">
      <c r="A29" s="39"/>
      <c r="B29" s="50" t="s">
        <v>65</v>
      </c>
      <c r="C29" s="38"/>
      <c r="D29" s="2"/>
      <c r="E29" s="2"/>
      <c r="F29" s="2"/>
      <c r="G29" s="2"/>
      <c r="H29" s="2"/>
      <c r="I29" s="7"/>
      <c r="J29" s="2"/>
      <c r="K29" s="4">
        <f>SUM(K24:K28)</f>
        <v>1531.6000000000001</v>
      </c>
      <c r="L29" s="2"/>
      <c r="M29" s="39"/>
      <c r="N29" s="39"/>
      <c r="O29" s="39"/>
      <c r="P29" s="39"/>
      <c r="Q29" s="39"/>
      <c r="R29" s="39"/>
      <c r="S29" s="39"/>
      <c r="T29" s="3"/>
      <c r="U29" s="39"/>
      <c r="V29" s="39"/>
      <c r="W29" s="3"/>
      <c r="X29" s="39"/>
      <c r="Y29" s="39"/>
      <c r="Z29" s="39"/>
      <c r="AA29" s="39"/>
    </row>
    <row r="30" spans="1:27" s="13" customFormat="1" ht="20" customHeight="1" x14ac:dyDescent="0.3">
      <c r="A30" s="50" t="s">
        <v>264</v>
      </c>
      <c r="B30" s="53" t="s">
        <v>293</v>
      </c>
      <c r="C30" s="2" t="s">
        <v>266</v>
      </c>
      <c r="D30" s="2" t="s">
        <v>267</v>
      </c>
      <c r="E30" s="2">
        <v>1109</v>
      </c>
      <c r="F30" s="2">
        <v>575</v>
      </c>
      <c r="G30" s="2">
        <v>20</v>
      </c>
      <c r="H30" s="2">
        <v>1</v>
      </c>
      <c r="I30" s="4">
        <v>59.4</v>
      </c>
      <c r="J30" s="2">
        <v>4</v>
      </c>
      <c r="K30" s="4">
        <f>I30*J30</f>
        <v>237.6</v>
      </c>
      <c r="L30" s="2"/>
      <c r="M30" s="51" t="str">
        <f>B30</f>
        <v>T2上层挑梁</v>
      </c>
      <c r="N30" s="51">
        <f>K32</f>
        <v>100.8</v>
      </c>
      <c r="O30" s="51"/>
      <c r="P30" s="51"/>
      <c r="Q30" s="51">
        <f>K33+K34</f>
        <v>234</v>
      </c>
      <c r="R30" s="51">
        <f>K30+K31</f>
        <v>1052.3999999999999</v>
      </c>
      <c r="S30" s="51"/>
      <c r="T30" s="5"/>
      <c r="U30" s="51"/>
      <c r="V30" s="51"/>
      <c r="W30" s="5"/>
      <c r="X30" s="51">
        <f>SUM(N30:V30)</f>
        <v>1387.1999999999998</v>
      </c>
      <c r="Y30" s="51">
        <v>1387.5</v>
      </c>
      <c r="Z30" s="52">
        <f>X30-Y30</f>
        <v>-0.3000000000001819</v>
      </c>
      <c r="AA30" s="51"/>
    </row>
    <row r="31" spans="1:27" s="13" customFormat="1" ht="20" customHeight="1" x14ac:dyDescent="0.3">
      <c r="A31" s="41"/>
      <c r="B31" s="41"/>
      <c r="C31" s="2" t="s">
        <v>268</v>
      </c>
      <c r="D31" s="2" t="s">
        <v>267</v>
      </c>
      <c r="E31" s="2">
        <v>1790</v>
      </c>
      <c r="F31" s="2">
        <v>725</v>
      </c>
      <c r="G31" s="2">
        <v>20</v>
      </c>
      <c r="H31" s="2">
        <v>1</v>
      </c>
      <c r="I31" s="4">
        <v>203.7</v>
      </c>
      <c r="J31" s="2">
        <v>4</v>
      </c>
      <c r="K31" s="4">
        <f>I31*J31</f>
        <v>814.8</v>
      </c>
      <c r="L31" s="2"/>
      <c r="M31" s="41"/>
      <c r="N31" s="41"/>
      <c r="O31" s="41"/>
      <c r="P31" s="41"/>
      <c r="Q31" s="41"/>
      <c r="R31" s="41"/>
      <c r="S31" s="41"/>
      <c r="T31" s="5"/>
      <c r="U31" s="41"/>
      <c r="V31" s="41"/>
      <c r="W31" s="5"/>
      <c r="X31" s="41"/>
      <c r="Y31" s="41"/>
      <c r="Z31" s="41"/>
      <c r="AA31" s="41"/>
    </row>
    <row r="32" spans="1:27" s="13" customFormat="1" ht="20" hidden="1" customHeight="1" x14ac:dyDescent="0.3">
      <c r="A32" s="41"/>
      <c r="B32" s="41"/>
      <c r="C32" s="2" t="s">
        <v>269</v>
      </c>
      <c r="D32" s="2" t="s">
        <v>267</v>
      </c>
      <c r="E32" s="2">
        <v>1071</v>
      </c>
      <c r="F32" s="2">
        <v>300</v>
      </c>
      <c r="G32" s="2">
        <v>10</v>
      </c>
      <c r="H32" s="2">
        <v>1</v>
      </c>
      <c r="I32" s="4">
        <v>25.2</v>
      </c>
      <c r="J32" s="2">
        <v>4</v>
      </c>
      <c r="K32" s="4">
        <f>I32*J32</f>
        <v>100.8</v>
      </c>
      <c r="L32" s="2"/>
      <c r="M32" s="41"/>
      <c r="N32" s="41"/>
      <c r="O32" s="41"/>
      <c r="P32" s="41"/>
      <c r="Q32" s="41"/>
      <c r="R32" s="41"/>
      <c r="S32" s="41"/>
      <c r="T32" s="5"/>
      <c r="U32" s="41"/>
      <c r="V32" s="41"/>
      <c r="W32" s="5"/>
      <c r="X32" s="41"/>
      <c r="Y32" s="41"/>
      <c r="Z32" s="41"/>
      <c r="AA32" s="41"/>
    </row>
    <row r="33" spans="1:27" s="13" customFormat="1" ht="20" hidden="1" customHeight="1" x14ac:dyDescent="0.3">
      <c r="A33" s="41"/>
      <c r="B33" s="41"/>
      <c r="C33" s="2" t="s">
        <v>279</v>
      </c>
      <c r="D33" s="2" t="s">
        <v>267</v>
      </c>
      <c r="E33" s="2">
        <v>1234</v>
      </c>
      <c r="F33" s="2">
        <v>160</v>
      </c>
      <c r="G33" s="2">
        <v>16</v>
      </c>
      <c r="H33" s="2">
        <v>2</v>
      </c>
      <c r="I33" s="4">
        <v>49.6</v>
      </c>
      <c r="J33" s="2">
        <v>4</v>
      </c>
      <c r="K33" s="4">
        <f>I33*J33</f>
        <v>198.4</v>
      </c>
      <c r="L33" s="2"/>
      <c r="M33" s="41"/>
      <c r="N33" s="41"/>
      <c r="O33" s="41"/>
      <c r="P33" s="41"/>
      <c r="Q33" s="41"/>
      <c r="R33" s="41"/>
      <c r="S33" s="41"/>
      <c r="T33" s="5"/>
      <c r="U33" s="41"/>
      <c r="V33" s="41"/>
      <c r="W33" s="5"/>
      <c r="X33" s="41"/>
      <c r="Y33" s="41"/>
      <c r="Z33" s="41"/>
      <c r="AA33" s="41"/>
    </row>
    <row r="34" spans="1:27" s="13" customFormat="1" ht="20" hidden="1" customHeight="1" x14ac:dyDescent="0.3">
      <c r="A34" s="41"/>
      <c r="B34" s="41"/>
      <c r="C34" s="2" t="s">
        <v>294</v>
      </c>
      <c r="D34" s="2" t="s">
        <v>267</v>
      </c>
      <c r="E34" s="2">
        <v>444</v>
      </c>
      <c r="F34" s="2">
        <v>160</v>
      </c>
      <c r="G34" s="2">
        <v>16</v>
      </c>
      <c r="H34" s="16">
        <v>1</v>
      </c>
      <c r="I34" s="4">
        <v>8.9</v>
      </c>
      <c r="J34" s="2">
        <v>4</v>
      </c>
      <c r="K34" s="4">
        <f>I34*J34</f>
        <v>35.6</v>
      </c>
      <c r="L34" s="2" t="s">
        <v>284</v>
      </c>
      <c r="M34" s="41"/>
      <c r="N34" s="41"/>
      <c r="O34" s="41"/>
      <c r="P34" s="41"/>
      <c r="Q34" s="41"/>
      <c r="R34" s="41"/>
      <c r="S34" s="41"/>
      <c r="T34" s="5"/>
      <c r="U34" s="41"/>
      <c r="V34" s="41"/>
      <c r="W34" s="5"/>
      <c r="X34" s="41"/>
      <c r="Y34" s="41"/>
      <c r="Z34" s="41"/>
      <c r="AA34" s="41"/>
    </row>
    <row r="35" spans="1:27" s="13" customFormat="1" ht="20" hidden="1" customHeight="1" x14ac:dyDescent="0.3">
      <c r="A35" s="39"/>
      <c r="B35" s="50" t="s">
        <v>65</v>
      </c>
      <c r="C35" s="38"/>
      <c r="D35" s="2"/>
      <c r="E35" s="2"/>
      <c r="F35" s="2"/>
      <c r="G35" s="2"/>
      <c r="H35" s="2"/>
      <c r="I35" s="7"/>
      <c r="J35" s="2"/>
      <c r="K35" s="4">
        <f>SUM(K30:K34)</f>
        <v>1387.1999999999998</v>
      </c>
      <c r="L35" s="2"/>
      <c r="M35" s="39"/>
      <c r="N35" s="39"/>
      <c r="O35" s="39"/>
      <c r="P35" s="39"/>
      <c r="Q35" s="39"/>
      <c r="R35" s="39"/>
      <c r="S35" s="39"/>
      <c r="T35" s="3"/>
      <c r="U35" s="39"/>
      <c r="V35" s="39"/>
      <c r="W35" s="3"/>
      <c r="X35" s="39"/>
      <c r="Y35" s="39"/>
      <c r="Z35" s="39"/>
      <c r="AA35" s="39"/>
    </row>
    <row r="36" spans="1:27" s="13" customFormat="1" ht="20" customHeight="1" x14ac:dyDescent="0.3">
      <c r="A36" s="50" t="s">
        <v>264</v>
      </c>
      <c r="B36" s="53" t="s">
        <v>295</v>
      </c>
      <c r="C36" s="2" t="s">
        <v>296</v>
      </c>
      <c r="D36" s="2" t="s">
        <v>267</v>
      </c>
      <c r="E36" s="2">
        <v>634</v>
      </c>
      <c r="F36" s="2">
        <v>575</v>
      </c>
      <c r="G36" s="2">
        <v>20</v>
      </c>
      <c r="H36" s="2">
        <v>1</v>
      </c>
      <c r="I36" s="4">
        <v>37.200000000000003</v>
      </c>
      <c r="J36" s="2">
        <v>8</v>
      </c>
      <c r="K36" s="4">
        <f>I36*J36</f>
        <v>297.60000000000002</v>
      </c>
      <c r="L36" s="2"/>
      <c r="M36" s="51" t="str">
        <f>B36</f>
        <v>T3下层挑梁</v>
      </c>
      <c r="N36" s="51">
        <f>K38</f>
        <v>139.19999999999999</v>
      </c>
      <c r="O36" s="51"/>
      <c r="P36" s="51"/>
      <c r="Q36" s="51">
        <f>K39+K40</f>
        <v>269.60000000000002</v>
      </c>
      <c r="R36" s="51">
        <f>K36+K37</f>
        <v>1084.8000000000002</v>
      </c>
      <c r="S36" s="51"/>
      <c r="T36" s="5"/>
      <c r="U36" s="51"/>
      <c r="V36" s="51"/>
      <c r="W36" s="5"/>
      <c r="X36" s="51">
        <f>SUM(N36:V36)</f>
        <v>1493.6000000000001</v>
      </c>
      <c r="Y36" s="51">
        <v>1492.9</v>
      </c>
      <c r="Z36" s="52">
        <f>X36-Y36</f>
        <v>0.70000000000004547</v>
      </c>
      <c r="AA36" s="51"/>
    </row>
    <row r="37" spans="1:27" s="13" customFormat="1" ht="20" customHeight="1" x14ac:dyDescent="0.3">
      <c r="A37" s="41"/>
      <c r="B37" s="41"/>
      <c r="C37" s="2" t="s">
        <v>297</v>
      </c>
      <c r="D37" s="2" t="s">
        <v>267</v>
      </c>
      <c r="E37" s="2">
        <v>1790</v>
      </c>
      <c r="F37" s="2">
        <v>350</v>
      </c>
      <c r="G37" s="2">
        <v>20</v>
      </c>
      <c r="H37" s="2">
        <v>1</v>
      </c>
      <c r="I37" s="4">
        <v>98.4</v>
      </c>
      <c r="J37" s="2">
        <v>8</v>
      </c>
      <c r="K37" s="4">
        <f>I37*J37</f>
        <v>787.2</v>
      </c>
      <c r="L37" s="2"/>
      <c r="M37" s="41"/>
      <c r="N37" s="41"/>
      <c r="O37" s="41"/>
      <c r="P37" s="41"/>
      <c r="Q37" s="41"/>
      <c r="R37" s="41"/>
      <c r="S37" s="41"/>
      <c r="T37" s="5"/>
      <c r="U37" s="41"/>
      <c r="V37" s="41"/>
      <c r="W37" s="5"/>
      <c r="X37" s="41"/>
      <c r="Y37" s="41"/>
      <c r="Z37" s="41"/>
      <c r="AA37" s="41"/>
    </row>
    <row r="38" spans="1:27" s="13" customFormat="1" ht="20" hidden="1" customHeight="1" x14ac:dyDescent="0.3">
      <c r="A38" s="41"/>
      <c r="B38" s="41"/>
      <c r="C38" s="2" t="s">
        <v>270</v>
      </c>
      <c r="D38" s="2" t="s">
        <v>267</v>
      </c>
      <c r="E38" s="2">
        <v>738</v>
      </c>
      <c r="F38" s="2">
        <v>300</v>
      </c>
      <c r="G38" s="2">
        <v>10</v>
      </c>
      <c r="H38" s="2">
        <v>1</v>
      </c>
      <c r="I38" s="4">
        <v>17.399999999999999</v>
      </c>
      <c r="J38" s="2">
        <v>8</v>
      </c>
      <c r="K38" s="4">
        <f>I38*J38</f>
        <v>139.19999999999999</v>
      </c>
      <c r="L38" s="2"/>
      <c r="M38" s="41"/>
      <c r="N38" s="41"/>
      <c r="O38" s="41"/>
      <c r="P38" s="41"/>
      <c r="Q38" s="41"/>
      <c r="R38" s="41"/>
      <c r="S38" s="41"/>
      <c r="T38" s="5"/>
      <c r="U38" s="41"/>
      <c r="V38" s="41"/>
      <c r="W38" s="5"/>
      <c r="X38" s="41"/>
      <c r="Y38" s="41"/>
      <c r="Z38" s="41"/>
      <c r="AA38" s="41"/>
    </row>
    <row r="39" spans="1:27" s="13" customFormat="1" ht="20" hidden="1" customHeight="1" x14ac:dyDescent="0.3">
      <c r="A39" s="41"/>
      <c r="B39" s="41"/>
      <c r="C39" s="2" t="s">
        <v>298</v>
      </c>
      <c r="D39" s="2" t="s">
        <v>267</v>
      </c>
      <c r="E39" s="2">
        <v>1234</v>
      </c>
      <c r="F39" s="2">
        <v>160</v>
      </c>
      <c r="G39" s="2">
        <v>16</v>
      </c>
      <c r="H39" s="2">
        <v>1</v>
      </c>
      <c r="I39" s="4">
        <v>24.8</v>
      </c>
      <c r="J39" s="2">
        <v>8</v>
      </c>
      <c r="K39" s="4">
        <f>I39*J39</f>
        <v>198.4</v>
      </c>
      <c r="L39" s="2"/>
      <c r="M39" s="41"/>
      <c r="N39" s="41"/>
      <c r="O39" s="41"/>
      <c r="P39" s="41"/>
      <c r="Q39" s="41"/>
      <c r="R39" s="41"/>
      <c r="S39" s="41"/>
      <c r="T39" s="5"/>
      <c r="U39" s="41"/>
      <c r="V39" s="41"/>
      <c r="W39" s="5"/>
      <c r="X39" s="41"/>
      <c r="Y39" s="41"/>
      <c r="Z39" s="41"/>
      <c r="AA39" s="41"/>
    </row>
    <row r="40" spans="1:27" s="13" customFormat="1" ht="20" hidden="1" customHeight="1" x14ac:dyDescent="0.3">
      <c r="A40" s="41"/>
      <c r="B40" s="41"/>
      <c r="C40" s="2" t="s">
        <v>299</v>
      </c>
      <c r="D40" s="2" t="s">
        <v>267</v>
      </c>
      <c r="E40" s="2">
        <v>444</v>
      </c>
      <c r="F40" s="2">
        <v>160</v>
      </c>
      <c r="G40" s="2">
        <v>16</v>
      </c>
      <c r="H40" s="2">
        <v>1</v>
      </c>
      <c r="I40" s="4">
        <v>8.9</v>
      </c>
      <c r="J40" s="2">
        <v>8</v>
      </c>
      <c r="K40" s="4">
        <f>I40*J40</f>
        <v>71.2</v>
      </c>
      <c r="L40" s="2"/>
      <c r="M40" s="41"/>
      <c r="N40" s="41"/>
      <c r="O40" s="41"/>
      <c r="P40" s="41"/>
      <c r="Q40" s="41"/>
      <c r="R40" s="41"/>
      <c r="S40" s="41"/>
      <c r="T40" s="5"/>
      <c r="U40" s="41"/>
      <c r="V40" s="41"/>
      <c r="W40" s="5"/>
      <c r="X40" s="41"/>
      <c r="Y40" s="41"/>
      <c r="Z40" s="41"/>
      <c r="AA40" s="41"/>
    </row>
    <row r="41" spans="1:27" s="13" customFormat="1" ht="20" hidden="1" customHeight="1" x14ac:dyDescent="0.3">
      <c r="A41" s="39"/>
      <c r="B41" s="50" t="s">
        <v>65</v>
      </c>
      <c r="C41" s="38"/>
      <c r="D41" s="2"/>
      <c r="E41" s="2"/>
      <c r="F41" s="2"/>
      <c r="G41" s="2"/>
      <c r="H41" s="2"/>
      <c r="I41" s="7"/>
      <c r="J41" s="2"/>
      <c r="K41" s="4">
        <f>SUM(K36:K40)</f>
        <v>1493.6000000000004</v>
      </c>
      <c r="L41" s="2"/>
      <c r="M41" s="39"/>
      <c r="N41" s="39"/>
      <c r="O41" s="39"/>
      <c r="P41" s="39"/>
      <c r="Q41" s="39"/>
      <c r="R41" s="39"/>
      <c r="S41" s="39"/>
      <c r="T41" s="3"/>
      <c r="U41" s="39"/>
      <c r="V41" s="39"/>
      <c r="W41" s="3"/>
      <c r="X41" s="39"/>
      <c r="Y41" s="39"/>
      <c r="Z41" s="39"/>
      <c r="AA41" s="39"/>
    </row>
    <row r="42" spans="1:27" s="13" customFormat="1" ht="20" customHeight="1" x14ac:dyDescent="0.3">
      <c r="A42" s="50" t="s">
        <v>264</v>
      </c>
      <c r="B42" s="53" t="s">
        <v>300</v>
      </c>
      <c r="C42" s="2" t="s">
        <v>266</v>
      </c>
      <c r="D42" s="2" t="s">
        <v>267</v>
      </c>
      <c r="E42" s="2">
        <v>1759</v>
      </c>
      <c r="F42" s="2">
        <v>600</v>
      </c>
      <c r="G42" s="2">
        <v>20</v>
      </c>
      <c r="H42" s="2">
        <v>1</v>
      </c>
      <c r="I42" s="4">
        <f>165.7*H42</f>
        <v>165.7</v>
      </c>
      <c r="J42" s="2">
        <v>16</v>
      </c>
      <c r="K42" s="4">
        <f t="shared" ref="K42:K52" si="1">I42*J42</f>
        <v>2651.2</v>
      </c>
      <c r="L42" s="2"/>
      <c r="M42" s="51" t="str">
        <f>B42</f>
        <v>Z2支点横梁</v>
      </c>
      <c r="N42" s="51"/>
      <c r="O42" s="51">
        <f>K50</f>
        <v>321.60000000000002</v>
      </c>
      <c r="P42" s="51"/>
      <c r="Q42" s="51"/>
      <c r="R42" s="51">
        <f>K42+K48</f>
        <v>3742.3999999999996</v>
      </c>
      <c r="S42" s="51">
        <f>K44+K45+K46+K47+K49</f>
        <v>20329.599999999999</v>
      </c>
      <c r="T42" s="51">
        <f>K43</f>
        <v>23113.599999999999</v>
      </c>
      <c r="U42" s="51"/>
      <c r="V42" s="51">
        <f>K51</f>
        <v>1608</v>
      </c>
      <c r="W42" s="51">
        <f>K52</f>
        <v>6280</v>
      </c>
      <c r="X42" s="51">
        <f>SUM(N42:W53)</f>
        <v>55395.199999999997</v>
      </c>
      <c r="Y42" s="51">
        <f>56228.4-831</f>
        <v>55397.4</v>
      </c>
      <c r="Z42" s="52">
        <f>X42-Y42</f>
        <v>-2.2000000000043656</v>
      </c>
      <c r="AA42" s="51"/>
    </row>
    <row r="43" spans="1:27" s="13" customFormat="1" ht="20" hidden="1" customHeight="1" x14ac:dyDescent="0.3">
      <c r="A43" s="41"/>
      <c r="B43" s="41"/>
      <c r="C43" s="2" t="s">
        <v>268</v>
      </c>
      <c r="D43" s="2" t="s">
        <v>267</v>
      </c>
      <c r="E43" s="2"/>
      <c r="F43" s="2"/>
      <c r="G43" s="2">
        <v>28</v>
      </c>
      <c r="H43" s="2">
        <v>1</v>
      </c>
      <c r="I43" s="4">
        <v>1444.6</v>
      </c>
      <c r="J43" s="2">
        <v>16</v>
      </c>
      <c r="K43" s="4">
        <f t="shared" si="1"/>
        <v>23113.599999999999</v>
      </c>
      <c r="L43" s="2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s="13" customFormat="1" ht="20" hidden="1" customHeight="1" x14ac:dyDescent="0.3">
      <c r="A44" s="41"/>
      <c r="B44" s="41"/>
      <c r="C44" s="2" t="s">
        <v>269</v>
      </c>
      <c r="D44" s="2" t="s">
        <v>267</v>
      </c>
      <c r="E44" s="2"/>
      <c r="F44" s="2"/>
      <c r="G44" s="2">
        <v>24</v>
      </c>
      <c r="H44" s="2">
        <v>2</v>
      </c>
      <c r="I44" s="4">
        <v>297.7</v>
      </c>
      <c r="J44" s="2">
        <v>16</v>
      </c>
      <c r="K44" s="4">
        <f t="shared" si="1"/>
        <v>4763.2</v>
      </c>
      <c r="L44" s="2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s="13" customFormat="1" ht="20" hidden="1" customHeight="1" x14ac:dyDescent="0.3">
      <c r="A45" s="41"/>
      <c r="B45" s="41"/>
      <c r="C45" s="2" t="s">
        <v>271</v>
      </c>
      <c r="D45" s="2" t="s">
        <v>267</v>
      </c>
      <c r="E45" s="2"/>
      <c r="F45" s="2"/>
      <c r="G45" s="2">
        <v>24</v>
      </c>
      <c r="H45" s="2">
        <v>2</v>
      </c>
      <c r="I45" s="4">
        <v>298.8</v>
      </c>
      <c r="J45" s="2">
        <v>16</v>
      </c>
      <c r="K45" s="4">
        <f t="shared" si="1"/>
        <v>4780.8</v>
      </c>
      <c r="L45" s="2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s="13" customFormat="1" ht="20" hidden="1" customHeight="1" x14ac:dyDescent="0.3">
      <c r="A46" s="41"/>
      <c r="B46" s="41"/>
      <c r="C46" s="2" t="s">
        <v>273</v>
      </c>
      <c r="D46" s="2" t="s">
        <v>267</v>
      </c>
      <c r="E46" s="2"/>
      <c r="F46" s="2"/>
      <c r="G46" s="2">
        <v>24</v>
      </c>
      <c r="H46" s="2">
        <v>2</v>
      </c>
      <c r="I46" s="4">
        <v>301.39999999999998</v>
      </c>
      <c r="J46" s="2">
        <v>16</v>
      </c>
      <c r="K46" s="4">
        <f t="shared" si="1"/>
        <v>4822.3999999999996</v>
      </c>
      <c r="L46" s="2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s="13" customFormat="1" ht="20" hidden="1" customHeight="1" x14ac:dyDescent="0.3">
      <c r="A47" s="41"/>
      <c r="B47" s="41"/>
      <c r="C47" s="2" t="s">
        <v>275</v>
      </c>
      <c r="D47" s="2" t="s">
        <v>267</v>
      </c>
      <c r="E47" s="2"/>
      <c r="F47" s="2"/>
      <c r="G47" s="2">
        <v>24</v>
      </c>
      <c r="H47" s="2">
        <v>2</v>
      </c>
      <c r="I47" s="4">
        <v>302.60000000000002</v>
      </c>
      <c r="J47" s="2">
        <v>16</v>
      </c>
      <c r="K47" s="4">
        <f t="shared" si="1"/>
        <v>4841.6000000000004</v>
      </c>
      <c r="L47" s="2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s="13" customFormat="1" ht="20" customHeight="1" x14ac:dyDescent="0.3">
      <c r="A48" s="41"/>
      <c r="B48" s="41"/>
      <c r="C48" s="2" t="s">
        <v>279</v>
      </c>
      <c r="D48" s="2" t="s">
        <v>267</v>
      </c>
      <c r="E48" s="2">
        <v>776</v>
      </c>
      <c r="F48" s="2">
        <v>280</v>
      </c>
      <c r="G48" s="2">
        <v>20</v>
      </c>
      <c r="H48" s="2">
        <v>2</v>
      </c>
      <c r="I48" s="4">
        <v>68.2</v>
      </c>
      <c r="J48" s="2">
        <v>16</v>
      </c>
      <c r="K48" s="4">
        <f t="shared" si="1"/>
        <v>1091.2</v>
      </c>
      <c r="L48" s="2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s="13" customFormat="1" ht="20" hidden="1" customHeight="1" x14ac:dyDescent="0.3">
      <c r="A49" s="41"/>
      <c r="B49" s="41"/>
      <c r="C49" s="2" t="s">
        <v>280</v>
      </c>
      <c r="D49" s="2" t="s">
        <v>267</v>
      </c>
      <c r="E49" s="2"/>
      <c r="F49" s="2"/>
      <c r="G49" s="2">
        <v>24</v>
      </c>
      <c r="H49" s="2">
        <v>2</v>
      </c>
      <c r="I49" s="4">
        <v>70.099999999999994</v>
      </c>
      <c r="J49" s="2">
        <v>16</v>
      </c>
      <c r="K49" s="4">
        <f t="shared" si="1"/>
        <v>1121.5999999999999</v>
      </c>
      <c r="L49" s="2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s="13" customFormat="1" ht="20" hidden="1" customHeight="1" x14ac:dyDescent="0.3">
      <c r="A50" s="41"/>
      <c r="B50" s="41"/>
      <c r="C50" s="2" t="s">
        <v>281</v>
      </c>
      <c r="D50" s="2" t="s">
        <v>267</v>
      </c>
      <c r="E50" s="2">
        <v>2139</v>
      </c>
      <c r="F50" s="2">
        <v>50</v>
      </c>
      <c r="G50" s="2">
        <v>12</v>
      </c>
      <c r="H50" s="2">
        <v>2</v>
      </c>
      <c r="I50" s="4">
        <v>20.100000000000001</v>
      </c>
      <c r="J50" s="2">
        <v>16</v>
      </c>
      <c r="K50" s="4">
        <f t="shared" si="1"/>
        <v>321.60000000000002</v>
      </c>
      <c r="L50" s="2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s="13" customFormat="1" ht="20" hidden="1" customHeight="1" x14ac:dyDescent="0.3">
      <c r="A51" s="41"/>
      <c r="B51" s="41"/>
      <c r="C51" s="2" t="s">
        <v>282</v>
      </c>
      <c r="D51" s="2" t="s">
        <v>267</v>
      </c>
      <c r="E51" s="2">
        <v>400</v>
      </c>
      <c r="F51" s="2">
        <v>400</v>
      </c>
      <c r="G51" s="2">
        <v>40</v>
      </c>
      <c r="H51" s="2">
        <v>2</v>
      </c>
      <c r="I51" s="4">
        <v>100.5</v>
      </c>
      <c r="J51" s="2">
        <v>16</v>
      </c>
      <c r="K51" s="4">
        <f t="shared" si="1"/>
        <v>1608</v>
      </c>
      <c r="L51" s="2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s="13" customFormat="1" ht="20" hidden="1" customHeight="1" x14ac:dyDescent="0.3">
      <c r="A52" s="41"/>
      <c r="B52" s="41"/>
      <c r="C52" s="2" t="s">
        <v>283</v>
      </c>
      <c r="D52" s="2" t="s">
        <v>267</v>
      </c>
      <c r="E52" s="2">
        <v>1000</v>
      </c>
      <c r="F52" s="2">
        <v>1000</v>
      </c>
      <c r="G52" s="2">
        <v>50</v>
      </c>
      <c r="H52" s="2">
        <v>1</v>
      </c>
      <c r="I52" s="4">
        <v>392.5</v>
      </c>
      <c r="J52" s="2">
        <v>16</v>
      </c>
      <c r="K52" s="4">
        <f t="shared" si="1"/>
        <v>6280</v>
      </c>
      <c r="L52" s="2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s="13" customFormat="1" ht="20" hidden="1" customHeight="1" x14ac:dyDescent="0.3">
      <c r="A53" s="39"/>
      <c r="B53" s="50" t="s">
        <v>65</v>
      </c>
      <c r="C53" s="38"/>
      <c r="D53" s="2"/>
      <c r="E53" s="2"/>
      <c r="F53" s="2"/>
      <c r="G53" s="2"/>
      <c r="H53" s="2"/>
      <c r="I53" s="7"/>
      <c r="J53" s="2"/>
      <c r="K53" s="4">
        <f>SUM(K42:K52)</f>
        <v>55395.199999999997</v>
      </c>
      <c r="L53" s="2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s="13" customFormat="1" ht="20" hidden="1" customHeight="1" x14ac:dyDescent="0.3">
      <c r="A54" s="50" t="s">
        <v>264</v>
      </c>
      <c r="B54" s="53" t="s">
        <v>301</v>
      </c>
      <c r="C54" s="2" t="s">
        <v>266</v>
      </c>
      <c r="D54" s="2" t="s">
        <v>267</v>
      </c>
      <c r="E54" s="2">
        <v>1650</v>
      </c>
      <c r="F54" s="2">
        <v>300</v>
      </c>
      <c r="G54" s="2">
        <v>12</v>
      </c>
      <c r="H54" s="2">
        <v>1</v>
      </c>
      <c r="I54" s="4">
        <v>46.6</v>
      </c>
      <c r="J54" s="2">
        <v>64</v>
      </c>
      <c r="K54" s="4">
        <f>I54*J54</f>
        <v>2982.4</v>
      </c>
      <c r="L54" s="2"/>
      <c r="M54" s="51" t="str">
        <f>B54</f>
        <v>HG1</v>
      </c>
      <c r="N54" s="51"/>
      <c r="O54" s="51">
        <f>K57</f>
        <v>39052.799999999996</v>
      </c>
      <c r="P54" s="51"/>
      <c r="Q54" s="51"/>
      <c r="R54" s="51"/>
      <c r="S54" s="51"/>
      <c r="T54" s="5"/>
      <c r="U54" s="51"/>
      <c r="V54" s="51"/>
      <c r="W54" s="5"/>
      <c r="X54" s="51">
        <f>SUM(N54:W57)</f>
        <v>39052.799999999996</v>
      </c>
      <c r="Y54" s="51">
        <f>2984.3+34160.9+1905.7</f>
        <v>39050.9</v>
      </c>
      <c r="Z54" s="52">
        <f>X54-Y54</f>
        <v>1.8999999999941792</v>
      </c>
      <c r="AA54" s="51"/>
    </row>
    <row r="55" spans="1:27" s="13" customFormat="1" ht="20" hidden="1" customHeight="1" x14ac:dyDescent="0.3">
      <c r="A55" s="41"/>
      <c r="B55" s="41"/>
      <c r="C55" s="2" t="s">
        <v>268</v>
      </c>
      <c r="D55" s="2" t="s">
        <v>267</v>
      </c>
      <c r="E55" s="2"/>
      <c r="F55" s="2"/>
      <c r="G55" s="2">
        <v>12</v>
      </c>
      <c r="H55" s="2">
        <v>1</v>
      </c>
      <c r="I55" s="4">
        <v>533.79999999999995</v>
      </c>
      <c r="J55" s="2">
        <v>64</v>
      </c>
      <c r="K55" s="4">
        <f>I55*J55</f>
        <v>34163.199999999997</v>
      </c>
      <c r="L55" s="2"/>
      <c r="M55" s="41"/>
      <c r="N55" s="41"/>
      <c r="O55" s="41"/>
      <c r="P55" s="41"/>
      <c r="Q55" s="41"/>
      <c r="R55" s="41"/>
      <c r="S55" s="41"/>
      <c r="T55" s="5"/>
      <c r="U55" s="41"/>
      <c r="V55" s="41"/>
      <c r="W55" s="5"/>
      <c r="X55" s="41"/>
      <c r="Y55" s="41"/>
      <c r="Z55" s="41"/>
      <c r="AA55" s="41"/>
    </row>
    <row r="56" spans="1:27" s="13" customFormat="1" ht="20" hidden="1" customHeight="1" x14ac:dyDescent="0.3">
      <c r="A56" s="41"/>
      <c r="B56" s="41"/>
      <c r="C56" s="2" t="s">
        <v>269</v>
      </c>
      <c r="D56" s="2" t="s">
        <v>267</v>
      </c>
      <c r="E56" s="2">
        <v>3161</v>
      </c>
      <c r="F56" s="2">
        <v>100</v>
      </c>
      <c r="G56" s="2">
        <v>12</v>
      </c>
      <c r="H56" s="2">
        <v>1</v>
      </c>
      <c r="I56" s="4">
        <v>29.8</v>
      </c>
      <c r="J56" s="2">
        <v>64</v>
      </c>
      <c r="K56" s="4">
        <f>I56*J56</f>
        <v>1907.2</v>
      </c>
      <c r="L56" s="2"/>
      <c r="M56" s="41"/>
      <c r="N56" s="41"/>
      <c r="O56" s="41"/>
      <c r="P56" s="41"/>
      <c r="Q56" s="41"/>
      <c r="R56" s="41"/>
      <c r="S56" s="41"/>
      <c r="T56" s="5"/>
      <c r="U56" s="41"/>
      <c r="V56" s="41"/>
      <c r="W56" s="5"/>
      <c r="X56" s="41"/>
      <c r="Y56" s="41"/>
      <c r="Z56" s="41"/>
      <c r="AA56" s="41"/>
    </row>
    <row r="57" spans="1:27" s="13" customFormat="1" ht="20" hidden="1" customHeight="1" x14ac:dyDescent="0.3">
      <c r="A57" s="39"/>
      <c r="B57" s="50" t="s">
        <v>65</v>
      </c>
      <c r="C57" s="38"/>
      <c r="D57" s="2"/>
      <c r="E57" s="2"/>
      <c r="F57" s="2"/>
      <c r="G57" s="2"/>
      <c r="H57" s="2"/>
      <c r="I57" s="7"/>
      <c r="J57" s="2"/>
      <c r="K57" s="4">
        <f>SUM(K54:K56)</f>
        <v>39052.799999999996</v>
      </c>
      <c r="L57" s="2"/>
      <c r="M57" s="39"/>
      <c r="N57" s="39"/>
      <c r="O57" s="39"/>
      <c r="P57" s="39"/>
      <c r="Q57" s="39"/>
      <c r="R57" s="39"/>
      <c r="S57" s="39"/>
      <c r="T57" s="3"/>
      <c r="U57" s="39"/>
      <c r="V57" s="39"/>
      <c r="W57" s="3"/>
      <c r="X57" s="39"/>
      <c r="Y57" s="39"/>
      <c r="Z57" s="39"/>
      <c r="AA57" s="39"/>
    </row>
    <row r="58" spans="1:27" s="13" customFormat="1" ht="20" hidden="1" customHeight="1" x14ac:dyDescent="0.3">
      <c r="A58" s="50" t="s">
        <v>264</v>
      </c>
      <c r="B58" s="53" t="s">
        <v>302</v>
      </c>
      <c r="C58" s="2" t="s">
        <v>266</v>
      </c>
      <c r="D58" s="2" t="s">
        <v>267</v>
      </c>
      <c r="E58" s="2">
        <v>1650</v>
      </c>
      <c r="F58" s="2">
        <v>300</v>
      </c>
      <c r="G58" s="2">
        <v>12</v>
      </c>
      <c r="H58" s="2">
        <v>1</v>
      </c>
      <c r="I58" s="4">
        <v>46.6</v>
      </c>
      <c r="J58" s="2">
        <v>200</v>
      </c>
      <c r="K58" s="4">
        <f>I58*J58</f>
        <v>9320</v>
      </c>
      <c r="L58" s="2"/>
      <c r="M58" s="51" t="str">
        <f>B58</f>
        <v>HG2</v>
      </c>
      <c r="N58" s="51"/>
      <c r="O58" s="51">
        <f>K61</f>
        <v>122000</v>
      </c>
      <c r="P58" s="51"/>
      <c r="Q58" s="51"/>
      <c r="R58" s="51"/>
      <c r="S58" s="51"/>
      <c r="T58" s="5"/>
      <c r="U58" s="51"/>
      <c r="V58" s="51"/>
      <c r="W58" s="5"/>
      <c r="X58" s="51">
        <f>SUM(N58:W61)</f>
        <v>122000</v>
      </c>
      <c r="Y58" s="51">
        <f>9325.8+106715+5955.3</f>
        <v>121996.1</v>
      </c>
      <c r="Z58" s="52">
        <f>X58-Y58</f>
        <v>3.8999999999941792</v>
      </c>
      <c r="AA58" s="51"/>
    </row>
    <row r="59" spans="1:27" s="13" customFormat="1" ht="20" hidden="1" customHeight="1" x14ac:dyDescent="0.3">
      <c r="A59" s="41"/>
      <c r="B59" s="41"/>
      <c r="C59" s="2" t="s">
        <v>268</v>
      </c>
      <c r="D59" s="2" t="s">
        <v>267</v>
      </c>
      <c r="E59" s="2"/>
      <c r="F59" s="2"/>
      <c r="G59" s="2">
        <v>12</v>
      </c>
      <c r="H59" s="2">
        <v>1</v>
      </c>
      <c r="I59" s="4">
        <v>533.6</v>
      </c>
      <c r="J59" s="2">
        <v>200</v>
      </c>
      <c r="K59" s="4">
        <f>I59*J59</f>
        <v>106720</v>
      </c>
      <c r="L59" s="2"/>
      <c r="M59" s="41"/>
      <c r="N59" s="41"/>
      <c r="O59" s="41"/>
      <c r="P59" s="41"/>
      <c r="Q59" s="41"/>
      <c r="R59" s="41"/>
      <c r="S59" s="41"/>
      <c r="T59" s="5"/>
      <c r="U59" s="41"/>
      <c r="V59" s="41"/>
      <c r="W59" s="5"/>
      <c r="X59" s="41"/>
      <c r="Y59" s="41"/>
      <c r="Z59" s="41"/>
      <c r="AA59" s="41"/>
    </row>
    <row r="60" spans="1:27" s="13" customFormat="1" ht="20" hidden="1" customHeight="1" x14ac:dyDescent="0.3">
      <c r="A60" s="41"/>
      <c r="B60" s="41"/>
      <c r="C60" s="2" t="s">
        <v>269</v>
      </c>
      <c r="D60" s="2" t="s">
        <v>267</v>
      </c>
      <c r="E60" s="2">
        <v>3161</v>
      </c>
      <c r="F60" s="2">
        <v>100</v>
      </c>
      <c r="G60" s="2">
        <v>12</v>
      </c>
      <c r="H60" s="2">
        <v>1</v>
      </c>
      <c r="I60" s="4">
        <v>29.8</v>
      </c>
      <c r="J60" s="2">
        <v>200</v>
      </c>
      <c r="K60" s="4">
        <f>I60*J60</f>
        <v>5960</v>
      </c>
      <c r="L60" s="2"/>
      <c r="M60" s="41"/>
      <c r="N60" s="41"/>
      <c r="O60" s="41"/>
      <c r="P60" s="41"/>
      <c r="Q60" s="41"/>
      <c r="R60" s="41"/>
      <c r="S60" s="41"/>
      <c r="T60" s="5"/>
      <c r="U60" s="41"/>
      <c r="V60" s="41"/>
      <c r="W60" s="5"/>
      <c r="X60" s="41"/>
      <c r="Y60" s="41"/>
      <c r="Z60" s="41"/>
      <c r="AA60" s="41"/>
    </row>
    <row r="61" spans="1:27" s="13" customFormat="1" ht="20" hidden="1" customHeight="1" x14ac:dyDescent="0.3">
      <c r="A61" s="39"/>
      <c r="B61" s="50" t="s">
        <v>65</v>
      </c>
      <c r="C61" s="38"/>
      <c r="D61" s="2"/>
      <c r="E61" s="2"/>
      <c r="F61" s="2"/>
      <c r="G61" s="2"/>
      <c r="H61" s="2"/>
      <c r="I61" s="7"/>
      <c r="J61" s="2"/>
      <c r="K61" s="4">
        <f>SUM(K58:K60)</f>
        <v>122000</v>
      </c>
      <c r="L61" s="2"/>
      <c r="M61" s="39"/>
      <c r="N61" s="39"/>
      <c r="O61" s="39"/>
      <c r="P61" s="39"/>
      <c r="Q61" s="39"/>
      <c r="R61" s="39"/>
      <c r="S61" s="39"/>
      <c r="T61" s="3"/>
      <c r="U61" s="39"/>
      <c r="V61" s="39"/>
      <c r="W61" s="3"/>
      <c r="X61" s="39"/>
      <c r="Y61" s="39"/>
      <c r="Z61" s="39"/>
      <c r="AA61" s="39"/>
    </row>
    <row r="62" spans="1:27" s="13" customFormat="1" ht="20" hidden="1" customHeight="1" x14ac:dyDescent="0.3">
      <c r="A62" s="50" t="s">
        <v>264</v>
      </c>
      <c r="B62" s="53" t="s">
        <v>303</v>
      </c>
      <c r="C62" s="2" t="s">
        <v>266</v>
      </c>
      <c r="D62" s="2" t="s">
        <v>267</v>
      </c>
      <c r="E62" s="2">
        <v>1650</v>
      </c>
      <c r="F62" s="2">
        <v>300</v>
      </c>
      <c r="G62" s="2">
        <v>12</v>
      </c>
      <c r="H62" s="2">
        <v>1</v>
      </c>
      <c r="I62" s="4">
        <v>46.6</v>
      </c>
      <c r="J62" s="2">
        <v>32</v>
      </c>
      <c r="K62" s="4">
        <f>I62*J62</f>
        <v>1491.2</v>
      </c>
      <c r="L62" s="2"/>
      <c r="M62" s="51" t="str">
        <f>B62</f>
        <v>HG3</v>
      </c>
      <c r="N62" s="51"/>
      <c r="O62" s="51">
        <f>K65</f>
        <v>19494.399999999998</v>
      </c>
      <c r="P62" s="51"/>
      <c r="Q62" s="51"/>
      <c r="R62" s="51"/>
      <c r="S62" s="51"/>
      <c r="T62" s="5"/>
      <c r="U62" s="51"/>
      <c r="V62" s="51"/>
      <c r="W62" s="5"/>
      <c r="X62" s="51">
        <f>SUM(N62:W65)</f>
        <v>19494.399999999998</v>
      </c>
      <c r="Y62" s="51">
        <f>1492.1+17050.3+952.9</f>
        <v>19495.3</v>
      </c>
      <c r="Z62" s="52">
        <f>X62-Y62</f>
        <v>-0.90000000000145519</v>
      </c>
      <c r="AA62" s="51"/>
    </row>
    <row r="63" spans="1:27" s="13" customFormat="1" ht="20" hidden="1" customHeight="1" x14ac:dyDescent="0.3">
      <c r="A63" s="41"/>
      <c r="B63" s="41"/>
      <c r="C63" s="2" t="s">
        <v>268</v>
      </c>
      <c r="D63" s="2" t="s">
        <v>267</v>
      </c>
      <c r="E63" s="2"/>
      <c r="F63" s="2"/>
      <c r="G63" s="2">
        <v>12</v>
      </c>
      <c r="H63" s="2">
        <v>1</v>
      </c>
      <c r="I63" s="4">
        <v>532.79999999999995</v>
      </c>
      <c r="J63" s="2">
        <v>32</v>
      </c>
      <c r="K63" s="4">
        <f>I63*J63</f>
        <v>17049.599999999999</v>
      </c>
      <c r="L63" s="2"/>
      <c r="M63" s="41"/>
      <c r="N63" s="41"/>
      <c r="O63" s="41"/>
      <c r="P63" s="41"/>
      <c r="Q63" s="41"/>
      <c r="R63" s="41"/>
      <c r="S63" s="41"/>
      <c r="T63" s="5"/>
      <c r="U63" s="41"/>
      <c r="V63" s="41"/>
      <c r="W63" s="5"/>
      <c r="X63" s="41"/>
      <c r="Y63" s="41"/>
      <c r="Z63" s="41"/>
      <c r="AA63" s="41"/>
    </row>
    <row r="64" spans="1:27" s="13" customFormat="1" ht="20" hidden="1" customHeight="1" x14ac:dyDescent="0.3">
      <c r="A64" s="41"/>
      <c r="B64" s="41"/>
      <c r="C64" s="2" t="s">
        <v>269</v>
      </c>
      <c r="D64" s="2" t="s">
        <v>267</v>
      </c>
      <c r="E64" s="2">
        <v>3161</v>
      </c>
      <c r="F64" s="2">
        <v>100</v>
      </c>
      <c r="G64" s="2">
        <v>12</v>
      </c>
      <c r="H64" s="2">
        <v>1</v>
      </c>
      <c r="I64" s="4">
        <v>29.8</v>
      </c>
      <c r="J64" s="2">
        <v>32</v>
      </c>
      <c r="K64" s="4">
        <f>I64*J64</f>
        <v>953.6</v>
      </c>
      <c r="L64" s="2"/>
      <c r="M64" s="41"/>
      <c r="N64" s="41"/>
      <c r="O64" s="41"/>
      <c r="P64" s="41"/>
      <c r="Q64" s="41"/>
      <c r="R64" s="41"/>
      <c r="S64" s="41"/>
      <c r="T64" s="5"/>
      <c r="U64" s="41"/>
      <c r="V64" s="41"/>
      <c r="W64" s="5"/>
      <c r="X64" s="41"/>
      <c r="Y64" s="41"/>
      <c r="Z64" s="41"/>
      <c r="AA64" s="41"/>
    </row>
    <row r="65" spans="1:27" s="13" customFormat="1" ht="20" hidden="1" customHeight="1" x14ac:dyDescent="0.3">
      <c r="A65" s="39"/>
      <c r="B65" s="50" t="s">
        <v>65</v>
      </c>
      <c r="C65" s="38"/>
      <c r="D65" s="2"/>
      <c r="E65" s="2"/>
      <c r="F65" s="2"/>
      <c r="G65" s="2"/>
      <c r="H65" s="2"/>
      <c r="I65" s="7"/>
      <c r="J65" s="2"/>
      <c r="K65" s="4">
        <f>SUM(K62:K64)</f>
        <v>19494.399999999998</v>
      </c>
      <c r="L65" s="2"/>
      <c r="M65" s="39"/>
      <c r="N65" s="39"/>
      <c r="O65" s="39"/>
      <c r="P65" s="39"/>
      <c r="Q65" s="39"/>
      <c r="R65" s="39"/>
      <c r="S65" s="39"/>
      <c r="T65" s="3"/>
      <c r="U65" s="39"/>
      <c r="V65" s="39"/>
      <c r="W65" s="3"/>
      <c r="X65" s="39"/>
      <c r="Y65" s="39"/>
      <c r="Z65" s="39"/>
      <c r="AA65" s="39"/>
    </row>
    <row r="66" spans="1:27" s="13" customFormat="1" ht="20" customHeight="1" x14ac:dyDescent="0.3">
      <c r="A66" s="50" t="s">
        <v>264</v>
      </c>
      <c r="B66" s="53" t="s">
        <v>304</v>
      </c>
      <c r="C66" s="2" t="s">
        <v>266</v>
      </c>
      <c r="D66" s="2" t="s">
        <v>267</v>
      </c>
      <c r="E66" s="2">
        <v>1650</v>
      </c>
      <c r="F66" s="2">
        <v>300</v>
      </c>
      <c r="G66" s="2">
        <v>20</v>
      </c>
      <c r="H66" s="2">
        <v>1</v>
      </c>
      <c r="I66" s="4">
        <v>77.7</v>
      </c>
      <c r="J66" s="2">
        <v>24</v>
      </c>
      <c r="K66" s="4">
        <f>I66*J66</f>
        <v>1864.8000000000002</v>
      </c>
      <c r="L66" s="2"/>
      <c r="M66" s="51" t="str">
        <f>B66</f>
        <v>HG5</v>
      </c>
      <c r="N66" s="51"/>
      <c r="O66" s="51">
        <f>K68</f>
        <v>715.2</v>
      </c>
      <c r="P66" s="51"/>
      <c r="Q66" s="51">
        <f>K67</f>
        <v>17018.400000000001</v>
      </c>
      <c r="R66" s="51">
        <f>K66</f>
        <v>1864.8000000000002</v>
      </c>
      <c r="S66" s="51"/>
      <c r="T66" s="5"/>
      <c r="U66" s="51"/>
      <c r="V66" s="51"/>
      <c r="W66" s="5"/>
      <c r="X66" s="51">
        <f>SUM(N66:W69)</f>
        <v>19598.400000000001</v>
      </c>
      <c r="Y66" s="51">
        <f>1865.2+17017.7+714.6</f>
        <v>19597.5</v>
      </c>
      <c r="Z66" s="52">
        <f>X66-Y66</f>
        <v>0.90000000000145519</v>
      </c>
      <c r="AA66" s="51"/>
    </row>
    <row r="67" spans="1:27" s="13" customFormat="1" ht="20" hidden="1" customHeight="1" x14ac:dyDescent="0.3">
      <c r="A67" s="41"/>
      <c r="B67" s="41"/>
      <c r="C67" s="2" t="s">
        <v>268</v>
      </c>
      <c r="D67" s="2" t="s">
        <v>267</v>
      </c>
      <c r="E67" s="2"/>
      <c r="F67" s="2"/>
      <c r="G67" s="2">
        <v>16</v>
      </c>
      <c r="H67" s="2">
        <v>1</v>
      </c>
      <c r="I67" s="4">
        <v>709.1</v>
      </c>
      <c r="J67" s="2">
        <v>24</v>
      </c>
      <c r="K67" s="4">
        <f>I67*J67</f>
        <v>17018.400000000001</v>
      </c>
      <c r="L67" s="2"/>
      <c r="M67" s="41"/>
      <c r="N67" s="41"/>
      <c r="O67" s="41"/>
      <c r="P67" s="41"/>
      <c r="Q67" s="41"/>
      <c r="R67" s="41"/>
      <c r="S67" s="41"/>
      <c r="T67" s="5"/>
      <c r="U67" s="41"/>
      <c r="V67" s="41"/>
      <c r="W67" s="5"/>
      <c r="X67" s="41"/>
      <c r="Y67" s="41"/>
      <c r="Z67" s="41"/>
      <c r="AA67" s="41"/>
    </row>
    <row r="68" spans="1:27" s="13" customFormat="1" ht="20" hidden="1" customHeight="1" x14ac:dyDescent="0.3">
      <c r="A68" s="41"/>
      <c r="B68" s="41"/>
      <c r="C68" s="2" t="s">
        <v>269</v>
      </c>
      <c r="D68" s="2" t="s">
        <v>267</v>
      </c>
      <c r="E68" s="2">
        <v>3161</v>
      </c>
      <c r="F68" s="2">
        <v>100</v>
      </c>
      <c r="G68" s="2">
        <v>12</v>
      </c>
      <c r="H68" s="2">
        <v>1</v>
      </c>
      <c r="I68" s="4">
        <v>29.8</v>
      </c>
      <c r="J68" s="2">
        <v>24</v>
      </c>
      <c r="K68" s="4">
        <f>I68*J68</f>
        <v>715.2</v>
      </c>
      <c r="L68" s="2"/>
      <c r="M68" s="41"/>
      <c r="N68" s="41"/>
      <c r="O68" s="41"/>
      <c r="P68" s="41"/>
      <c r="Q68" s="41"/>
      <c r="R68" s="41"/>
      <c r="S68" s="41"/>
      <c r="T68" s="5"/>
      <c r="U68" s="41"/>
      <c r="V68" s="41"/>
      <c r="W68" s="5"/>
      <c r="X68" s="41"/>
      <c r="Y68" s="41"/>
      <c r="Z68" s="41"/>
      <c r="AA68" s="41"/>
    </row>
    <row r="69" spans="1:27" s="13" customFormat="1" ht="20" hidden="1" customHeight="1" x14ac:dyDescent="0.3">
      <c r="A69" s="39"/>
      <c r="B69" s="50" t="s">
        <v>65</v>
      </c>
      <c r="C69" s="38"/>
      <c r="D69" s="2"/>
      <c r="E69" s="2"/>
      <c r="F69" s="2"/>
      <c r="G69" s="2"/>
      <c r="H69" s="2"/>
      <c r="I69" s="7"/>
      <c r="J69" s="2"/>
      <c r="K69" s="4">
        <f>SUM(K66:K68)</f>
        <v>19598.400000000001</v>
      </c>
      <c r="L69" s="2"/>
      <c r="M69" s="39"/>
      <c r="N69" s="39"/>
      <c r="O69" s="39"/>
      <c r="P69" s="39"/>
      <c r="Q69" s="39"/>
      <c r="R69" s="39"/>
      <c r="S69" s="39"/>
      <c r="T69" s="3"/>
      <c r="U69" s="39"/>
      <c r="V69" s="39"/>
      <c r="W69" s="3"/>
      <c r="X69" s="39"/>
      <c r="Y69" s="39"/>
      <c r="Z69" s="39"/>
      <c r="AA69" s="39"/>
    </row>
    <row r="70" spans="1:27" s="13" customFormat="1" ht="20" customHeight="1" x14ac:dyDescent="0.3">
      <c r="A70" s="50" t="s">
        <v>264</v>
      </c>
      <c r="B70" s="53" t="s">
        <v>305</v>
      </c>
      <c r="C70" s="2" t="s">
        <v>266</v>
      </c>
      <c r="D70" s="2" t="s">
        <v>267</v>
      </c>
      <c r="E70" s="2">
        <v>1950</v>
      </c>
      <c r="F70" s="2">
        <v>300</v>
      </c>
      <c r="G70" s="2">
        <v>20</v>
      </c>
      <c r="H70" s="2">
        <v>1</v>
      </c>
      <c r="I70" s="4">
        <v>91.8</v>
      </c>
      <c r="J70" s="2">
        <v>24</v>
      </c>
      <c r="K70" s="4">
        <f>I70*J70</f>
        <v>2203.1999999999998</v>
      </c>
      <c r="L70" s="2"/>
      <c r="M70" s="51" t="str">
        <f>B70</f>
        <v>HG4</v>
      </c>
      <c r="N70" s="51"/>
      <c r="O70" s="51">
        <f>K72</f>
        <v>715.2</v>
      </c>
      <c r="P70" s="51"/>
      <c r="Q70" s="51">
        <f>K71</f>
        <v>18465.599999999999</v>
      </c>
      <c r="R70" s="51">
        <f>K70</f>
        <v>2203.1999999999998</v>
      </c>
      <c r="S70" s="51"/>
      <c r="T70" s="5"/>
      <c r="U70" s="51"/>
      <c r="V70" s="51"/>
      <c r="W70" s="5"/>
      <c r="X70" s="51">
        <f>SUM(N70:W73)</f>
        <v>21384</v>
      </c>
      <c r="Y70" s="51">
        <f>2204.3+18466.5+714.6</f>
        <v>21385.399999999998</v>
      </c>
      <c r="Z70" s="52">
        <f>X70-Y70</f>
        <v>-1.3999999999978172</v>
      </c>
      <c r="AA70" s="51"/>
    </row>
    <row r="71" spans="1:27" s="13" customFormat="1" ht="20" hidden="1" customHeight="1" x14ac:dyDescent="0.3">
      <c r="A71" s="41"/>
      <c r="B71" s="41"/>
      <c r="C71" s="2" t="s">
        <v>268</v>
      </c>
      <c r="D71" s="2" t="s">
        <v>267</v>
      </c>
      <c r="E71" s="2"/>
      <c r="F71" s="2"/>
      <c r="G71" s="2">
        <v>16</v>
      </c>
      <c r="H71" s="2">
        <v>1</v>
      </c>
      <c r="I71" s="4">
        <v>769.4</v>
      </c>
      <c r="J71" s="2">
        <v>24</v>
      </c>
      <c r="K71" s="4">
        <f>I71*J71</f>
        <v>18465.599999999999</v>
      </c>
      <c r="L71" s="2"/>
      <c r="M71" s="41"/>
      <c r="N71" s="41"/>
      <c r="O71" s="41"/>
      <c r="P71" s="41"/>
      <c r="Q71" s="41"/>
      <c r="R71" s="41"/>
      <c r="S71" s="41"/>
      <c r="T71" s="5"/>
      <c r="U71" s="41"/>
      <c r="V71" s="41"/>
      <c r="W71" s="5"/>
      <c r="X71" s="41"/>
      <c r="Y71" s="41"/>
      <c r="Z71" s="41"/>
      <c r="AA71" s="41"/>
    </row>
    <row r="72" spans="1:27" s="13" customFormat="1" ht="20" hidden="1" customHeight="1" x14ac:dyDescent="0.3">
      <c r="A72" s="41"/>
      <c r="B72" s="41"/>
      <c r="C72" s="2" t="s">
        <v>269</v>
      </c>
      <c r="D72" s="2" t="s">
        <v>267</v>
      </c>
      <c r="E72" s="2">
        <v>3161</v>
      </c>
      <c r="F72" s="2">
        <v>100</v>
      </c>
      <c r="G72" s="2">
        <v>12</v>
      </c>
      <c r="H72" s="2">
        <v>1</v>
      </c>
      <c r="I72" s="4">
        <v>29.8</v>
      </c>
      <c r="J72" s="2">
        <v>24</v>
      </c>
      <c r="K72" s="4">
        <f>I72*J72</f>
        <v>715.2</v>
      </c>
      <c r="L72" s="2"/>
      <c r="M72" s="41"/>
      <c r="N72" s="41"/>
      <c r="O72" s="41"/>
      <c r="P72" s="41"/>
      <c r="Q72" s="41"/>
      <c r="R72" s="41"/>
      <c r="S72" s="41"/>
      <c r="T72" s="5"/>
      <c r="U72" s="41"/>
      <c r="V72" s="41"/>
      <c r="W72" s="5"/>
      <c r="X72" s="41"/>
      <c r="Y72" s="41"/>
      <c r="Z72" s="41"/>
      <c r="AA72" s="41"/>
    </row>
    <row r="73" spans="1:27" s="13" customFormat="1" ht="20" hidden="1" customHeight="1" x14ac:dyDescent="0.3">
      <c r="A73" s="39"/>
      <c r="B73" s="50" t="s">
        <v>65</v>
      </c>
      <c r="C73" s="38"/>
      <c r="D73" s="2"/>
      <c r="E73" s="2"/>
      <c r="F73" s="2"/>
      <c r="G73" s="2"/>
      <c r="H73" s="2"/>
      <c r="I73" s="7"/>
      <c r="J73" s="2"/>
      <c r="K73" s="4">
        <f>SUM(K70:K72)</f>
        <v>21384</v>
      </c>
      <c r="L73" s="2"/>
      <c r="M73" s="39"/>
      <c r="N73" s="39"/>
      <c r="O73" s="39"/>
      <c r="P73" s="39"/>
      <c r="Q73" s="39"/>
      <c r="R73" s="39"/>
      <c r="S73" s="39"/>
      <c r="T73" s="3"/>
      <c r="U73" s="39"/>
      <c r="V73" s="39"/>
      <c r="W73" s="3"/>
      <c r="X73" s="39"/>
      <c r="Y73" s="39"/>
      <c r="Z73" s="39"/>
      <c r="AA73" s="39"/>
    </row>
    <row r="74" spans="1:27" s="13" customFormat="1" ht="20" customHeight="1" x14ac:dyDescent="0.3">
      <c r="A74" s="50" t="s">
        <v>264</v>
      </c>
      <c r="B74" s="53" t="s">
        <v>306</v>
      </c>
      <c r="C74" s="2" t="s">
        <v>266</v>
      </c>
      <c r="D74" s="2" t="s">
        <v>267</v>
      </c>
      <c r="E74" s="2">
        <v>1950</v>
      </c>
      <c r="F74" s="2">
        <v>300</v>
      </c>
      <c r="G74" s="2">
        <v>20</v>
      </c>
      <c r="H74" s="2">
        <v>1</v>
      </c>
      <c r="I74" s="4">
        <v>91.8</v>
      </c>
      <c r="J74" s="2">
        <v>24</v>
      </c>
      <c r="K74" s="4">
        <f>I74*J74</f>
        <v>2203.1999999999998</v>
      </c>
      <c r="L74" s="2"/>
      <c r="M74" s="51" t="str">
        <f>B74</f>
        <v>HG6</v>
      </c>
      <c r="N74" s="51"/>
      <c r="O74" s="51">
        <f>K76</f>
        <v>715.2</v>
      </c>
      <c r="P74" s="51"/>
      <c r="Q74" s="51">
        <f>K75</f>
        <v>18372</v>
      </c>
      <c r="R74" s="51">
        <f>K74</f>
        <v>2203.1999999999998</v>
      </c>
      <c r="S74" s="51"/>
      <c r="T74" s="5"/>
      <c r="U74" s="51"/>
      <c r="V74" s="51"/>
      <c r="W74" s="5"/>
      <c r="X74" s="51">
        <f>SUM(N74:W77)</f>
        <v>21290.400000000001</v>
      </c>
      <c r="Y74" s="51">
        <f>2204.3+18372.3+714.6</f>
        <v>21291.199999999997</v>
      </c>
      <c r="Z74" s="52">
        <f>X74-Y74</f>
        <v>-0.79999999999563443</v>
      </c>
      <c r="AA74" s="51"/>
    </row>
    <row r="75" spans="1:27" s="13" customFormat="1" ht="20" hidden="1" customHeight="1" x14ac:dyDescent="0.3">
      <c r="A75" s="41"/>
      <c r="B75" s="41"/>
      <c r="C75" s="2" t="s">
        <v>268</v>
      </c>
      <c r="D75" s="2" t="s">
        <v>267</v>
      </c>
      <c r="E75" s="2"/>
      <c r="F75" s="2"/>
      <c r="G75" s="2">
        <v>16</v>
      </c>
      <c r="H75" s="2">
        <v>1</v>
      </c>
      <c r="I75" s="4">
        <v>765.5</v>
      </c>
      <c r="J75" s="2">
        <v>24</v>
      </c>
      <c r="K75" s="4">
        <f>I75*J75</f>
        <v>18372</v>
      </c>
      <c r="L75" s="2"/>
      <c r="M75" s="41"/>
      <c r="N75" s="41"/>
      <c r="O75" s="41"/>
      <c r="P75" s="41"/>
      <c r="Q75" s="41"/>
      <c r="R75" s="41"/>
      <c r="S75" s="41"/>
      <c r="T75" s="5"/>
      <c r="U75" s="41"/>
      <c r="V75" s="41"/>
      <c r="W75" s="5"/>
      <c r="X75" s="41"/>
      <c r="Y75" s="41"/>
      <c r="Z75" s="41"/>
      <c r="AA75" s="41"/>
    </row>
    <row r="76" spans="1:27" s="13" customFormat="1" ht="20" hidden="1" customHeight="1" x14ac:dyDescent="0.3">
      <c r="A76" s="41"/>
      <c r="B76" s="41"/>
      <c r="C76" s="2" t="s">
        <v>269</v>
      </c>
      <c r="D76" s="2" t="s">
        <v>267</v>
      </c>
      <c r="E76" s="2">
        <v>3161</v>
      </c>
      <c r="F76" s="2">
        <v>100</v>
      </c>
      <c r="G76" s="2">
        <v>12</v>
      </c>
      <c r="H76" s="2">
        <v>1</v>
      </c>
      <c r="I76" s="4">
        <v>29.8</v>
      </c>
      <c r="J76" s="2">
        <v>24</v>
      </c>
      <c r="K76" s="4">
        <f>I76*J76</f>
        <v>715.2</v>
      </c>
      <c r="L76" s="2"/>
      <c r="M76" s="41"/>
      <c r="N76" s="41"/>
      <c r="O76" s="41"/>
      <c r="P76" s="41"/>
      <c r="Q76" s="41"/>
      <c r="R76" s="41"/>
      <c r="S76" s="41"/>
      <c r="T76" s="5"/>
      <c r="U76" s="41"/>
      <c r="V76" s="41"/>
      <c r="W76" s="5"/>
      <c r="X76" s="41"/>
      <c r="Y76" s="41"/>
      <c r="Z76" s="41"/>
      <c r="AA76" s="41"/>
    </row>
    <row r="77" spans="1:27" s="13" customFormat="1" ht="20" hidden="1" customHeight="1" x14ac:dyDescent="0.3">
      <c r="A77" s="39"/>
      <c r="B77" s="50" t="s">
        <v>65</v>
      </c>
      <c r="C77" s="38"/>
      <c r="D77" s="2"/>
      <c r="E77" s="2"/>
      <c r="F77" s="2"/>
      <c r="G77" s="2"/>
      <c r="H77" s="2"/>
      <c r="I77" s="7"/>
      <c r="J77" s="2"/>
      <c r="K77" s="4">
        <f>SUM(K74:K76)</f>
        <v>21290.400000000001</v>
      </c>
      <c r="L77" s="2"/>
      <c r="M77" s="39"/>
      <c r="N77" s="39"/>
      <c r="O77" s="39"/>
      <c r="P77" s="39"/>
      <c r="Q77" s="39"/>
      <c r="R77" s="39"/>
      <c r="S77" s="39"/>
      <c r="T77" s="3"/>
      <c r="U77" s="39"/>
      <c r="V77" s="39"/>
      <c r="W77" s="3"/>
      <c r="X77" s="39"/>
      <c r="Y77" s="39"/>
      <c r="Z77" s="39"/>
      <c r="AA77" s="39"/>
    </row>
    <row r="78" spans="1:27" s="13" customFormat="1" ht="20" hidden="1" customHeight="1" x14ac:dyDescent="0.3">
      <c r="A78" s="50" t="s">
        <v>307</v>
      </c>
      <c r="B78" s="53" t="s">
        <v>308</v>
      </c>
      <c r="C78" s="2" t="s">
        <v>266</v>
      </c>
      <c r="D78" s="2" t="s">
        <v>267</v>
      </c>
      <c r="E78" s="2">
        <v>2642</v>
      </c>
      <c r="F78" s="2">
        <v>160</v>
      </c>
      <c r="G78" s="2">
        <v>12</v>
      </c>
      <c r="H78" s="2">
        <v>1</v>
      </c>
      <c r="I78" s="4">
        <f>(E78/1000)*(F78/1000)*(G78/1000)*7850</f>
        <v>39.820223999999996</v>
      </c>
      <c r="J78" s="16">
        <v>144</v>
      </c>
      <c r="K78" s="4">
        <f>I78*J78</f>
        <v>5734.1122559999994</v>
      </c>
      <c r="L78" s="2" t="s">
        <v>309</v>
      </c>
      <c r="M78" s="51" t="str">
        <f>B78</f>
        <v>L1横肋</v>
      </c>
      <c r="N78" s="51"/>
      <c r="O78" s="51">
        <f>K78+K79</f>
        <v>11635.342848</v>
      </c>
      <c r="P78" s="51"/>
      <c r="Q78" s="51"/>
      <c r="R78" s="51"/>
      <c r="S78" s="51"/>
      <c r="T78" s="5"/>
      <c r="U78" s="51"/>
      <c r="V78" s="51"/>
      <c r="W78" s="5"/>
      <c r="X78" s="51">
        <f>SUM(N78:W80)</f>
        <v>11635.342848</v>
      </c>
      <c r="Y78" s="51">
        <f>5734.1+5901.2</f>
        <v>11635.3</v>
      </c>
      <c r="Z78" s="52">
        <f>X78-Y78</f>
        <v>4.2848000000958564E-2</v>
      </c>
      <c r="AA78" s="51"/>
    </row>
    <row r="79" spans="1:27" s="13" customFormat="1" ht="20" hidden="1" customHeight="1" x14ac:dyDescent="0.3">
      <c r="A79" s="41"/>
      <c r="B79" s="41"/>
      <c r="C79" s="2" t="s">
        <v>268</v>
      </c>
      <c r="D79" s="2" t="s">
        <v>267</v>
      </c>
      <c r="E79" s="2">
        <v>2719</v>
      </c>
      <c r="F79" s="2">
        <v>160</v>
      </c>
      <c r="G79" s="2">
        <v>12</v>
      </c>
      <c r="H79" s="2">
        <v>1</v>
      </c>
      <c r="I79" s="4">
        <f>(E79/1000)*(F79/1000)*(G79/1000)*7850</f>
        <v>40.980767999999998</v>
      </c>
      <c r="J79" s="16">
        <v>144</v>
      </c>
      <c r="K79" s="4">
        <f>I79*J79</f>
        <v>5901.2305919999999</v>
      </c>
      <c r="L79" s="2" t="s">
        <v>309</v>
      </c>
      <c r="M79" s="41"/>
      <c r="N79" s="41"/>
      <c r="O79" s="41"/>
      <c r="P79" s="41"/>
      <c r="Q79" s="41"/>
      <c r="R79" s="41"/>
      <c r="S79" s="41"/>
      <c r="T79" s="5"/>
      <c r="U79" s="41"/>
      <c r="V79" s="41"/>
      <c r="W79" s="5"/>
      <c r="X79" s="41"/>
      <c r="Y79" s="41"/>
      <c r="Z79" s="41"/>
      <c r="AA79" s="41"/>
    </row>
    <row r="80" spans="1:27" s="13" customFormat="1" ht="20" hidden="1" customHeight="1" x14ac:dyDescent="0.3">
      <c r="A80" s="39"/>
      <c r="B80" s="50" t="s">
        <v>65</v>
      </c>
      <c r="C80" s="38"/>
      <c r="D80" s="2"/>
      <c r="E80" s="2"/>
      <c r="F80" s="2"/>
      <c r="G80" s="2"/>
      <c r="H80" s="2"/>
      <c r="I80" s="7"/>
      <c r="J80" s="2"/>
      <c r="K80" s="4">
        <f>SUM(K78:K79)</f>
        <v>11635.342848</v>
      </c>
      <c r="L80" s="2"/>
      <c r="M80" s="39"/>
      <c r="N80" s="39"/>
      <c r="O80" s="39"/>
      <c r="P80" s="39"/>
      <c r="Q80" s="39"/>
      <c r="R80" s="39"/>
      <c r="S80" s="39"/>
      <c r="T80" s="3"/>
      <c r="U80" s="39"/>
      <c r="V80" s="39"/>
      <c r="W80" s="3"/>
      <c r="X80" s="39"/>
      <c r="Y80" s="39"/>
      <c r="Z80" s="39"/>
      <c r="AA80" s="39"/>
    </row>
    <row r="81" spans="1:27" s="13" customFormat="1" ht="20" hidden="1" customHeight="1" x14ac:dyDescent="0.3">
      <c r="A81" s="50" t="s">
        <v>307</v>
      </c>
      <c r="B81" s="53" t="s">
        <v>310</v>
      </c>
      <c r="C81" s="2" t="s">
        <v>266</v>
      </c>
      <c r="D81" s="2" t="s">
        <v>267</v>
      </c>
      <c r="E81" s="2">
        <v>2638</v>
      </c>
      <c r="F81" s="2">
        <v>160</v>
      </c>
      <c r="G81" s="2">
        <v>12</v>
      </c>
      <c r="H81" s="2">
        <v>1</v>
      </c>
      <c r="I81" s="4">
        <f>(E81/1000)*(F81/1000)*(G81/1000)*7850</f>
        <v>39.759936000000003</v>
      </c>
      <c r="J81" s="2">
        <v>336</v>
      </c>
      <c r="K81" s="4">
        <f>I81*J81</f>
        <v>13359.338496</v>
      </c>
      <c r="L81" s="2"/>
      <c r="M81" s="51" t="str">
        <f>B81</f>
        <v>L2横肋</v>
      </c>
      <c r="N81" s="51"/>
      <c r="O81" s="51">
        <f>K81+K82</f>
        <v>27108.619776</v>
      </c>
      <c r="P81" s="51"/>
      <c r="Q81" s="51"/>
      <c r="R81" s="51"/>
      <c r="S81" s="51"/>
      <c r="T81" s="5"/>
      <c r="U81" s="51"/>
      <c r="V81" s="51"/>
      <c r="W81" s="5"/>
      <c r="X81" s="51">
        <f>SUM(N81:W83)</f>
        <v>27108.619776</v>
      </c>
      <c r="Y81" s="51">
        <f>13359.3+13749.3</f>
        <v>27108.6</v>
      </c>
      <c r="Z81" s="52">
        <f>X81-Y81</f>
        <v>1.9776000001002103E-2</v>
      </c>
      <c r="AA81" s="51"/>
    </row>
    <row r="82" spans="1:27" s="13" customFormat="1" ht="20" hidden="1" customHeight="1" x14ac:dyDescent="0.3">
      <c r="A82" s="41"/>
      <c r="B82" s="41"/>
      <c r="C82" s="2" t="s">
        <v>268</v>
      </c>
      <c r="D82" s="2" t="s">
        <v>267</v>
      </c>
      <c r="E82" s="2">
        <v>2715</v>
      </c>
      <c r="F82" s="2">
        <v>160</v>
      </c>
      <c r="G82" s="2">
        <v>12</v>
      </c>
      <c r="H82" s="2">
        <v>1</v>
      </c>
      <c r="I82" s="4">
        <f>(E82/1000)*(F82/1000)*(G82/1000)*7850</f>
        <v>40.920479999999998</v>
      </c>
      <c r="J82" s="2">
        <v>336</v>
      </c>
      <c r="K82" s="4">
        <f>I82*J82</f>
        <v>13749.281279999999</v>
      </c>
      <c r="L82" s="2"/>
      <c r="M82" s="41"/>
      <c r="N82" s="41"/>
      <c r="O82" s="41"/>
      <c r="P82" s="41"/>
      <c r="Q82" s="41"/>
      <c r="R82" s="41"/>
      <c r="S82" s="41"/>
      <c r="T82" s="5"/>
      <c r="U82" s="41"/>
      <c r="V82" s="41"/>
      <c r="W82" s="5"/>
      <c r="X82" s="41"/>
      <c r="Y82" s="41"/>
      <c r="Z82" s="41"/>
      <c r="AA82" s="41"/>
    </row>
    <row r="83" spans="1:27" s="13" customFormat="1" ht="20" hidden="1" customHeight="1" x14ac:dyDescent="0.3">
      <c r="A83" s="39"/>
      <c r="B83" s="50" t="s">
        <v>65</v>
      </c>
      <c r="C83" s="38"/>
      <c r="D83" s="2"/>
      <c r="E83" s="2"/>
      <c r="F83" s="2"/>
      <c r="G83" s="2"/>
      <c r="H83" s="2"/>
      <c r="I83" s="4"/>
      <c r="J83" s="2"/>
      <c r="K83" s="4">
        <f>SUM(K81:K82)</f>
        <v>27108.619776</v>
      </c>
      <c r="L83" s="2"/>
      <c r="M83" s="39"/>
      <c r="N83" s="39"/>
      <c r="O83" s="39"/>
      <c r="P83" s="39"/>
      <c r="Q83" s="39"/>
      <c r="R83" s="39"/>
      <c r="S83" s="39"/>
      <c r="T83" s="3"/>
      <c r="U83" s="39"/>
      <c r="V83" s="39"/>
      <c r="W83" s="3"/>
      <c r="X83" s="39"/>
      <c r="Y83" s="39"/>
      <c r="Z83" s="39"/>
      <c r="AA83" s="39"/>
    </row>
    <row r="84" spans="1:27" s="13" customFormat="1" ht="20" hidden="1" customHeight="1" x14ac:dyDescent="0.3">
      <c r="A84" s="50" t="s">
        <v>307</v>
      </c>
      <c r="B84" s="53" t="s">
        <v>311</v>
      </c>
      <c r="C84" s="2" t="s">
        <v>266</v>
      </c>
      <c r="D84" s="2" t="s">
        <v>267</v>
      </c>
      <c r="E84" s="2">
        <v>2632</v>
      </c>
      <c r="F84" s="2">
        <v>160</v>
      </c>
      <c r="G84" s="2">
        <v>12</v>
      </c>
      <c r="H84" s="2">
        <v>1</v>
      </c>
      <c r="I84" s="4">
        <f>(E84/1000)*(F84/1000)*(G84/1000)*7850</f>
        <v>39.669504000000011</v>
      </c>
      <c r="J84" s="2">
        <v>48</v>
      </c>
      <c r="K84" s="4">
        <f>I84*J84</f>
        <v>1904.1361920000004</v>
      </c>
      <c r="L84" s="2"/>
      <c r="M84" s="51" t="str">
        <f>B84</f>
        <v>L3横肋</v>
      </c>
      <c r="N84" s="51"/>
      <c r="O84" s="51">
        <f>K84+K85</f>
        <v>3863.9784960000006</v>
      </c>
      <c r="P84" s="51"/>
      <c r="Q84" s="51"/>
      <c r="R84" s="51"/>
      <c r="S84" s="51"/>
      <c r="T84" s="5"/>
      <c r="U84" s="51"/>
      <c r="V84" s="51"/>
      <c r="W84" s="5"/>
      <c r="X84" s="51">
        <f>SUM(N84:W86)</f>
        <v>3863.9784960000006</v>
      </c>
      <c r="Y84" s="51">
        <f>1904.1+1959.8</f>
        <v>3863.8999999999996</v>
      </c>
      <c r="Z84" s="52">
        <f>X84-Y84</f>
        <v>7.8496000000995991E-2</v>
      </c>
      <c r="AA84" s="51"/>
    </row>
    <row r="85" spans="1:27" s="13" customFormat="1" ht="20" hidden="1" customHeight="1" x14ac:dyDescent="0.3">
      <c r="A85" s="41"/>
      <c r="B85" s="41"/>
      <c r="C85" s="2" t="s">
        <v>268</v>
      </c>
      <c r="D85" s="2" t="s">
        <v>267</v>
      </c>
      <c r="E85" s="2">
        <v>2709</v>
      </c>
      <c r="F85" s="2">
        <v>160</v>
      </c>
      <c r="G85" s="2">
        <v>12</v>
      </c>
      <c r="H85" s="2">
        <v>1</v>
      </c>
      <c r="I85" s="4">
        <f>(E85/1000)*(F85/1000)*(G85/1000)*7850</f>
        <v>40.830048000000005</v>
      </c>
      <c r="J85" s="2">
        <v>48</v>
      </c>
      <c r="K85" s="4">
        <f>I85*J85</f>
        <v>1959.8423040000002</v>
      </c>
      <c r="L85" s="2"/>
      <c r="M85" s="41"/>
      <c r="N85" s="41"/>
      <c r="O85" s="41"/>
      <c r="P85" s="41"/>
      <c r="Q85" s="41"/>
      <c r="R85" s="41"/>
      <c r="S85" s="41"/>
      <c r="T85" s="5"/>
      <c r="U85" s="41"/>
      <c r="V85" s="41"/>
      <c r="W85" s="5"/>
      <c r="X85" s="41"/>
      <c r="Y85" s="41"/>
      <c r="Z85" s="41"/>
      <c r="AA85" s="41"/>
    </row>
    <row r="86" spans="1:27" s="13" customFormat="1" ht="20" hidden="1" customHeight="1" x14ac:dyDescent="0.3">
      <c r="A86" s="39"/>
      <c r="B86" s="50" t="s">
        <v>65</v>
      </c>
      <c r="C86" s="38"/>
      <c r="D86" s="2"/>
      <c r="E86" s="2"/>
      <c r="F86" s="2"/>
      <c r="G86" s="2"/>
      <c r="H86" s="2"/>
      <c r="I86" s="4"/>
      <c r="J86" s="2"/>
      <c r="K86" s="4">
        <f>SUM(K84:K85)</f>
        <v>3863.9784960000006</v>
      </c>
      <c r="L86" s="2"/>
      <c r="M86" s="39"/>
      <c r="N86" s="39"/>
      <c r="O86" s="39"/>
      <c r="P86" s="39"/>
      <c r="Q86" s="39"/>
      <c r="R86" s="39"/>
      <c r="S86" s="39"/>
      <c r="T86" s="3"/>
      <c r="U86" s="39"/>
      <c r="V86" s="39"/>
      <c r="W86" s="3"/>
      <c r="X86" s="39"/>
      <c r="Y86" s="39"/>
      <c r="Z86" s="39"/>
      <c r="AA86" s="39"/>
    </row>
    <row r="87" spans="1:27" s="13" customFormat="1" ht="20" customHeight="1" x14ac:dyDescent="0.3">
      <c r="A87" s="50" t="s">
        <v>307</v>
      </c>
      <c r="B87" s="53" t="s">
        <v>312</v>
      </c>
      <c r="C87" s="2" t="s">
        <v>266</v>
      </c>
      <c r="D87" s="2" t="s">
        <v>267</v>
      </c>
      <c r="E87" s="2"/>
      <c r="F87" s="2"/>
      <c r="G87" s="2">
        <v>20</v>
      </c>
      <c r="H87" s="2">
        <v>1</v>
      </c>
      <c r="I87" s="4">
        <v>314</v>
      </c>
      <c r="J87" s="2">
        <v>112</v>
      </c>
      <c r="K87" s="4">
        <f>I87*J87</f>
        <v>35168</v>
      </c>
      <c r="L87" s="2"/>
      <c r="M87" s="51" t="str">
        <f>B87</f>
        <v>U肋</v>
      </c>
      <c r="N87" s="51"/>
      <c r="O87" s="51"/>
      <c r="P87" s="51"/>
      <c r="Q87" s="51"/>
      <c r="R87" s="51">
        <f>K87+K88</f>
        <v>37172.800000000003</v>
      </c>
      <c r="S87" s="51"/>
      <c r="T87" s="5"/>
      <c r="U87" s="51"/>
      <c r="V87" s="51"/>
      <c r="W87" s="5"/>
      <c r="X87" s="51">
        <f>SUM(N87:W89)</f>
        <v>37172.800000000003</v>
      </c>
      <c r="Y87" s="51">
        <f>35163.5+2008</f>
        <v>37171.5</v>
      </c>
      <c r="Z87" s="52">
        <f>X87-Y87</f>
        <v>1.3000000000029104</v>
      </c>
      <c r="AA87" s="51"/>
    </row>
    <row r="88" spans="1:27" s="13" customFormat="1" ht="20" customHeight="1" x14ac:dyDescent="0.3">
      <c r="A88" s="41"/>
      <c r="B88" s="41"/>
      <c r="C88" s="2" t="s">
        <v>268</v>
      </c>
      <c r="D88" s="2" t="s">
        <v>267</v>
      </c>
      <c r="E88" s="2"/>
      <c r="F88" s="2"/>
      <c r="G88" s="2">
        <v>20</v>
      </c>
      <c r="H88" s="2">
        <v>1</v>
      </c>
      <c r="I88" s="17">
        <v>17.899999999999999</v>
      </c>
      <c r="J88" s="16">
        <v>112</v>
      </c>
      <c r="K88" s="4">
        <f>I88*J88</f>
        <v>2004.7999999999997</v>
      </c>
      <c r="L88" s="2" t="s">
        <v>313</v>
      </c>
      <c r="M88" s="41"/>
      <c r="N88" s="41"/>
      <c r="O88" s="41"/>
      <c r="P88" s="41"/>
      <c r="Q88" s="41"/>
      <c r="R88" s="41"/>
      <c r="S88" s="41"/>
      <c r="T88" s="5"/>
      <c r="U88" s="41"/>
      <c r="V88" s="41"/>
      <c r="W88" s="5"/>
      <c r="X88" s="41"/>
      <c r="Y88" s="41"/>
      <c r="Z88" s="41"/>
      <c r="AA88" s="41"/>
    </row>
    <row r="89" spans="1:27" s="13" customFormat="1" ht="20" hidden="1" customHeight="1" x14ac:dyDescent="0.3">
      <c r="A89" s="39"/>
      <c r="B89" s="50" t="s">
        <v>65</v>
      </c>
      <c r="C89" s="38"/>
      <c r="D89" s="2"/>
      <c r="E89" s="2"/>
      <c r="F89" s="2"/>
      <c r="G89" s="2"/>
      <c r="H89" s="2"/>
      <c r="I89" s="4"/>
      <c r="J89" s="2"/>
      <c r="K89" s="4">
        <f>SUM(K87:K88)</f>
        <v>37172.800000000003</v>
      </c>
      <c r="L89" s="2"/>
      <c r="M89" s="39"/>
      <c r="N89" s="39"/>
      <c r="O89" s="39"/>
      <c r="P89" s="39"/>
      <c r="Q89" s="39"/>
      <c r="R89" s="39"/>
      <c r="S89" s="39"/>
      <c r="T89" s="3"/>
      <c r="U89" s="39"/>
      <c r="V89" s="39"/>
      <c r="W89" s="3"/>
      <c r="X89" s="39"/>
      <c r="Y89" s="39"/>
      <c r="Z89" s="39"/>
      <c r="AA89" s="39"/>
    </row>
    <row r="90" spans="1:27" s="13" customFormat="1" ht="20" hidden="1" customHeight="1" x14ac:dyDescent="0.3">
      <c r="A90" s="50" t="s">
        <v>314</v>
      </c>
      <c r="B90" s="53" t="s">
        <v>315</v>
      </c>
      <c r="C90" s="2" t="s">
        <v>266</v>
      </c>
      <c r="D90" s="2" t="s">
        <v>267</v>
      </c>
      <c r="E90" s="2">
        <v>1790</v>
      </c>
      <c r="F90" s="2">
        <v>2001</v>
      </c>
      <c r="G90" s="2">
        <v>16</v>
      </c>
      <c r="H90" s="2">
        <v>1</v>
      </c>
      <c r="I90" s="4">
        <f>(E90/1000)*(F90/1000)*(G90/1000)*7850</f>
        <v>449.87282399999998</v>
      </c>
      <c r="J90" s="2">
        <v>24</v>
      </c>
      <c r="K90" s="4">
        <f t="shared" ref="K90:K98" si="2">I90*J90</f>
        <v>10796.947775999999</v>
      </c>
      <c r="L90" s="2"/>
      <c r="M90" s="51" t="str">
        <f>B90</f>
        <v>XJZ1</v>
      </c>
      <c r="N90" s="51"/>
      <c r="O90" s="51">
        <f>K94+K95</f>
        <v>14608.8</v>
      </c>
      <c r="P90" s="51"/>
      <c r="Q90" s="51">
        <f>K90</f>
        <v>10796.947775999999</v>
      </c>
      <c r="R90" s="51">
        <f>K91+K92+K93+K96+K97+K98</f>
        <v>22413.263040000002</v>
      </c>
      <c r="S90" s="51"/>
      <c r="T90" s="51"/>
      <c r="U90" s="51"/>
      <c r="V90" s="51"/>
      <c r="W90" s="51"/>
      <c r="X90" s="51">
        <f>SUM(N90:W99)</f>
        <v>47819.010815999995</v>
      </c>
      <c r="Y90" s="51">
        <v>47820.1</v>
      </c>
      <c r="Z90" s="52">
        <f>X90-Y90</f>
        <v>-1.0891840000040247</v>
      </c>
      <c r="AA90" s="51"/>
    </row>
    <row r="91" spans="1:27" s="13" customFormat="1" ht="20" customHeight="1" x14ac:dyDescent="0.3">
      <c r="A91" s="41"/>
      <c r="B91" s="41"/>
      <c r="C91" s="2" t="s">
        <v>268</v>
      </c>
      <c r="D91" s="2" t="s">
        <v>267</v>
      </c>
      <c r="E91" s="2">
        <v>1974</v>
      </c>
      <c r="F91" s="2">
        <v>285</v>
      </c>
      <c r="G91" s="2">
        <v>20</v>
      </c>
      <c r="H91" s="2">
        <v>1</v>
      </c>
      <c r="I91" s="4">
        <f>(E91/1000)*(F91/1000)*(G91/1000)*7850</f>
        <v>88.326629999999994</v>
      </c>
      <c r="J91" s="2">
        <v>24</v>
      </c>
      <c r="K91" s="4">
        <f t="shared" si="2"/>
        <v>2119.8391199999996</v>
      </c>
      <c r="L91" s="2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s="13" customFormat="1" ht="20" customHeight="1" x14ac:dyDescent="0.3">
      <c r="A92" s="41"/>
      <c r="B92" s="41"/>
      <c r="C92" s="2" t="s">
        <v>297</v>
      </c>
      <c r="D92" s="2" t="s">
        <v>267</v>
      </c>
      <c r="E92" s="2">
        <v>1974</v>
      </c>
      <c r="F92" s="2">
        <v>285</v>
      </c>
      <c r="G92" s="2">
        <v>20</v>
      </c>
      <c r="H92" s="2">
        <v>1</v>
      </c>
      <c r="I92" s="4">
        <f>(E92/1000)*(F92/1000)*(G92/1000)*7850</f>
        <v>88.326629999999994</v>
      </c>
      <c r="J92" s="2">
        <v>24</v>
      </c>
      <c r="K92" s="4">
        <f t="shared" si="2"/>
        <v>2119.8391199999996</v>
      </c>
      <c r="L92" s="2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s="13" customFormat="1" ht="20" customHeight="1" x14ac:dyDescent="0.3">
      <c r="A93" s="41"/>
      <c r="B93" s="41"/>
      <c r="C93" s="2" t="s">
        <v>269</v>
      </c>
      <c r="D93" s="2" t="s">
        <v>267</v>
      </c>
      <c r="E93" s="2">
        <v>1974</v>
      </c>
      <c r="F93" s="2">
        <v>2001</v>
      </c>
      <c r="G93" s="2">
        <v>20</v>
      </c>
      <c r="H93" s="2">
        <v>1</v>
      </c>
      <c r="I93" s="4">
        <v>618.9</v>
      </c>
      <c r="J93" s="2">
        <v>24</v>
      </c>
      <c r="K93" s="4">
        <f t="shared" si="2"/>
        <v>14853.599999999999</v>
      </c>
      <c r="L93" s="2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s="13" customFormat="1" ht="20" hidden="1" customHeight="1" x14ac:dyDescent="0.3">
      <c r="A94" s="41"/>
      <c r="B94" s="41"/>
      <c r="C94" s="2" t="s">
        <v>279</v>
      </c>
      <c r="D94" s="2" t="s">
        <v>267</v>
      </c>
      <c r="E94" s="2">
        <v>1970</v>
      </c>
      <c r="F94" s="2">
        <v>1230</v>
      </c>
      <c r="G94" s="2">
        <v>12</v>
      </c>
      <c r="H94" s="2">
        <v>5</v>
      </c>
      <c r="I94" s="17">
        <v>411.4</v>
      </c>
      <c r="J94" s="2">
        <v>24</v>
      </c>
      <c r="K94" s="4">
        <f t="shared" si="2"/>
        <v>9873.5999999999985</v>
      </c>
      <c r="L94" s="2" t="s">
        <v>309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s="13" customFormat="1" ht="20" hidden="1" customHeight="1" x14ac:dyDescent="0.3">
      <c r="A95" s="41"/>
      <c r="B95" s="41"/>
      <c r="C95" s="2" t="s">
        <v>298</v>
      </c>
      <c r="D95" s="2" t="s">
        <v>267</v>
      </c>
      <c r="E95" s="2">
        <v>1970</v>
      </c>
      <c r="F95" s="2">
        <v>440</v>
      </c>
      <c r="G95" s="2">
        <v>12</v>
      </c>
      <c r="H95" s="2">
        <v>5</v>
      </c>
      <c r="I95" s="4">
        <v>197.3</v>
      </c>
      <c r="J95" s="2">
        <v>24</v>
      </c>
      <c r="K95" s="4">
        <f t="shared" si="2"/>
        <v>4735.2000000000007</v>
      </c>
      <c r="L95" s="2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s="13" customFormat="1" ht="20" customHeight="1" x14ac:dyDescent="0.3">
      <c r="A96" s="41"/>
      <c r="B96" s="41"/>
      <c r="C96" s="2" t="s">
        <v>280</v>
      </c>
      <c r="D96" s="2" t="s">
        <v>267</v>
      </c>
      <c r="E96" s="2">
        <v>300</v>
      </c>
      <c r="F96" s="2">
        <v>300</v>
      </c>
      <c r="G96" s="2">
        <v>20</v>
      </c>
      <c r="H96" s="2">
        <v>2</v>
      </c>
      <c r="I96" s="4">
        <f>(E96/1000)*(F96/1000)*(G96/1000)*7850*H96</f>
        <v>28.259999999999998</v>
      </c>
      <c r="J96" s="2">
        <v>24</v>
      </c>
      <c r="K96" s="4">
        <f t="shared" si="2"/>
        <v>678.24</v>
      </c>
      <c r="L96" s="2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s="13" customFormat="1" ht="20" customHeight="1" x14ac:dyDescent="0.3">
      <c r="A97" s="41"/>
      <c r="B97" s="41"/>
      <c r="C97" s="2" t="s">
        <v>281</v>
      </c>
      <c r="D97" s="2" t="s">
        <v>267</v>
      </c>
      <c r="E97" s="2">
        <v>2001</v>
      </c>
      <c r="F97" s="2">
        <v>300</v>
      </c>
      <c r="G97" s="2">
        <v>20</v>
      </c>
      <c r="H97" s="2">
        <v>1</v>
      </c>
      <c r="I97" s="4">
        <f>(E97/1000)*(F97/1000)*(G97/1000)*7850*H97</f>
        <v>94.247099999999989</v>
      </c>
      <c r="J97" s="2">
        <v>24</v>
      </c>
      <c r="K97" s="4">
        <f t="shared" si="2"/>
        <v>2261.9303999999997</v>
      </c>
      <c r="L97" s="2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s="13" customFormat="1" ht="20" customHeight="1" x14ac:dyDescent="0.3">
      <c r="A98" s="41"/>
      <c r="B98" s="41"/>
      <c r="C98" s="2" t="s">
        <v>282</v>
      </c>
      <c r="D98" s="2" t="s">
        <v>267</v>
      </c>
      <c r="E98" s="2">
        <v>180</v>
      </c>
      <c r="F98" s="2">
        <v>140</v>
      </c>
      <c r="G98" s="2">
        <v>20</v>
      </c>
      <c r="H98" s="2">
        <v>4</v>
      </c>
      <c r="I98" s="4">
        <f>(E98/1000)*(F98/1000)*(G98/1000)*7850*H98</f>
        <v>15.8256</v>
      </c>
      <c r="J98" s="2">
        <v>24</v>
      </c>
      <c r="K98" s="4">
        <f t="shared" si="2"/>
        <v>379.81439999999998</v>
      </c>
      <c r="L98" s="2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s="13" customFormat="1" ht="20" hidden="1" customHeight="1" x14ac:dyDescent="0.3">
      <c r="A99" s="39"/>
      <c r="B99" s="50" t="s">
        <v>65</v>
      </c>
      <c r="C99" s="38"/>
      <c r="D99" s="2"/>
      <c r="E99" s="2"/>
      <c r="F99" s="2"/>
      <c r="G99" s="2"/>
      <c r="H99" s="2"/>
      <c r="I99" s="7"/>
      <c r="J99" s="2"/>
      <c r="K99" s="4">
        <f>SUM(K90:K98)</f>
        <v>47819.010815999987</v>
      </c>
      <c r="L99" s="2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s="13" customFormat="1" ht="20" hidden="1" customHeight="1" x14ac:dyDescent="0.3">
      <c r="A100" s="50" t="s">
        <v>314</v>
      </c>
      <c r="B100" s="53" t="s">
        <v>316</v>
      </c>
      <c r="C100" s="2" t="s">
        <v>266</v>
      </c>
      <c r="D100" s="2" t="s">
        <v>267</v>
      </c>
      <c r="E100" s="2">
        <v>2000</v>
      </c>
      <c r="F100" s="2">
        <v>600</v>
      </c>
      <c r="G100" s="2">
        <v>16</v>
      </c>
      <c r="H100" s="2">
        <v>1</v>
      </c>
      <c r="I100" s="4">
        <f>(E100/1000)*(F100/1000)*(G100/1000)*7850</f>
        <v>150.72</v>
      </c>
      <c r="J100" s="2">
        <v>8</v>
      </c>
      <c r="K100" s="4">
        <f t="shared" ref="K100:K106" si="3">I100*J100</f>
        <v>1205.76</v>
      </c>
      <c r="L100" s="2"/>
      <c r="M100" s="51" t="str">
        <f>B100</f>
        <v>XJZ2</v>
      </c>
      <c r="N100" s="51"/>
      <c r="O100" s="51">
        <f>K104+K105</f>
        <v>1185.0595840000001</v>
      </c>
      <c r="P100" s="51"/>
      <c r="Q100" s="51">
        <f>K100+K106</f>
        <v>1376.4956159999999</v>
      </c>
      <c r="R100" s="51">
        <f>K101+K102+K103</f>
        <v>7632.8727680000002</v>
      </c>
      <c r="S100" s="51"/>
      <c r="T100" s="51"/>
      <c r="U100" s="51"/>
      <c r="V100" s="51"/>
      <c r="W100" s="51"/>
      <c r="X100" s="51">
        <f>SUM(N100:W107)</f>
        <v>10194.427968</v>
      </c>
      <c r="Y100" s="51">
        <f>1205.8+4958.7+1418.2+1256+351.7+833.1+170.7</f>
        <v>10194.200000000003</v>
      </c>
      <c r="Z100" s="52">
        <f>X100-Y100</f>
        <v>0.22796799999741779</v>
      </c>
      <c r="AA100" s="51"/>
    </row>
    <row r="101" spans="1:27" s="13" customFormat="1" ht="20" customHeight="1" x14ac:dyDescent="0.3">
      <c r="A101" s="41"/>
      <c r="B101" s="41"/>
      <c r="C101" s="2" t="s">
        <v>268</v>
      </c>
      <c r="D101" s="2" t="s">
        <v>267</v>
      </c>
      <c r="E101" s="2">
        <v>1974</v>
      </c>
      <c r="F101" s="2">
        <v>2000</v>
      </c>
      <c r="G101" s="2">
        <v>20</v>
      </c>
      <c r="H101" s="2">
        <v>1</v>
      </c>
      <c r="I101" s="4">
        <f>(E101/1000)*(F101/1000)*(G101/1000)*7850</f>
        <v>619.83600000000001</v>
      </c>
      <c r="J101" s="2">
        <v>8</v>
      </c>
      <c r="K101" s="4">
        <f t="shared" si="3"/>
        <v>4958.6880000000001</v>
      </c>
      <c r="L101" s="2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s="13" customFormat="1" ht="20" customHeight="1" x14ac:dyDescent="0.3">
      <c r="A102" s="41"/>
      <c r="B102" s="41"/>
      <c r="C102" s="2" t="s">
        <v>269</v>
      </c>
      <c r="D102" s="2" t="s">
        <v>267</v>
      </c>
      <c r="E102" s="2">
        <v>1974</v>
      </c>
      <c r="F102" s="2">
        <v>286</v>
      </c>
      <c r="G102" s="2">
        <v>20</v>
      </c>
      <c r="H102" s="2">
        <v>2</v>
      </c>
      <c r="I102" s="4">
        <f>(E102/1000)*(F102/1000)*(G102/1000)*7850*H102</f>
        <v>177.27309599999998</v>
      </c>
      <c r="J102" s="2">
        <v>8</v>
      </c>
      <c r="K102" s="4">
        <f t="shared" si="3"/>
        <v>1418.1847679999998</v>
      </c>
      <c r="L102" s="2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s="13" customFormat="1" ht="20" customHeight="1" x14ac:dyDescent="0.3">
      <c r="A103" s="41"/>
      <c r="B103" s="41"/>
      <c r="C103" s="2" t="s">
        <v>279</v>
      </c>
      <c r="D103" s="2" t="s">
        <v>267</v>
      </c>
      <c r="E103" s="2">
        <v>2000</v>
      </c>
      <c r="F103" s="2">
        <v>500</v>
      </c>
      <c r="G103" s="2">
        <v>20</v>
      </c>
      <c r="H103" s="2">
        <v>1</v>
      </c>
      <c r="I103" s="4">
        <f>(E103/1000)*(F103/1000)*(G103/1000)*7850*H103</f>
        <v>157</v>
      </c>
      <c r="J103" s="2">
        <v>8</v>
      </c>
      <c r="K103" s="4">
        <f t="shared" si="3"/>
        <v>1256</v>
      </c>
      <c r="L103" s="2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s="13" customFormat="1" ht="20" hidden="1" customHeight="1" x14ac:dyDescent="0.3">
      <c r="A104" s="41"/>
      <c r="B104" s="41"/>
      <c r="C104" s="2" t="s">
        <v>280</v>
      </c>
      <c r="D104" s="2" t="s">
        <v>267</v>
      </c>
      <c r="E104" s="2">
        <v>280</v>
      </c>
      <c r="F104" s="2">
        <v>500</v>
      </c>
      <c r="G104" s="2">
        <v>12</v>
      </c>
      <c r="H104" s="2">
        <v>2</v>
      </c>
      <c r="I104" s="4">
        <v>44</v>
      </c>
      <c r="J104" s="2">
        <v>8</v>
      </c>
      <c r="K104" s="4">
        <f t="shared" si="3"/>
        <v>352</v>
      </c>
      <c r="L104" s="2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s="13" customFormat="1" ht="20" hidden="1" customHeight="1" x14ac:dyDescent="0.3">
      <c r="A105" s="41"/>
      <c r="B105" s="41"/>
      <c r="C105" s="2" t="s">
        <v>281</v>
      </c>
      <c r="D105" s="2" t="s">
        <v>267</v>
      </c>
      <c r="E105" s="2">
        <v>1974</v>
      </c>
      <c r="F105" s="2">
        <v>140</v>
      </c>
      <c r="G105" s="2">
        <v>12</v>
      </c>
      <c r="H105" s="2">
        <v>4</v>
      </c>
      <c r="I105" s="4">
        <f>(E105/1000)*(F105/1000)*(G105/1000)*7850*H105</f>
        <v>104.13244800000002</v>
      </c>
      <c r="J105" s="2">
        <v>8</v>
      </c>
      <c r="K105" s="4">
        <f t="shared" si="3"/>
        <v>833.0595840000002</v>
      </c>
      <c r="L105" s="2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s="13" customFormat="1" ht="20" hidden="1" customHeight="1" x14ac:dyDescent="0.3">
      <c r="A106" s="41"/>
      <c r="B106" s="41"/>
      <c r="C106" s="2" t="s">
        <v>282</v>
      </c>
      <c r="D106" s="2" t="s">
        <v>267</v>
      </c>
      <c r="E106" s="2">
        <v>236</v>
      </c>
      <c r="F106" s="2">
        <v>180</v>
      </c>
      <c r="G106" s="2">
        <v>16</v>
      </c>
      <c r="H106" s="2">
        <v>4</v>
      </c>
      <c r="I106" s="4">
        <f>(E106/1000)*(F106/1000)*(G106/1000)*7850*H106</f>
        <v>21.341951999999999</v>
      </c>
      <c r="J106" s="2">
        <v>8</v>
      </c>
      <c r="K106" s="4">
        <f t="shared" si="3"/>
        <v>170.73561599999999</v>
      </c>
      <c r="L106" s="2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s="13" customFormat="1" ht="20" hidden="1" customHeight="1" x14ac:dyDescent="0.3">
      <c r="A107" s="39"/>
      <c r="B107" s="50" t="s">
        <v>65</v>
      </c>
      <c r="C107" s="38"/>
      <c r="D107" s="2"/>
      <c r="E107" s="2"/>
      <c r="F107" s="2"/>
      <c r="G107" s="2"/>
      <c r="H107" s="2"/>
      <c r="I107" s="7"/>
      <c r="J107" s="2"/>
      <c r="K107" s="4">
        <f>SUM(K100:K106)</f>
        <v>10194.427968</v>
      </c>
      <c r="L107" s="2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s="13" customFormat="1" ht="20" hidden="1" customHeight="1" x14ac:dyDescent="0.3">
      <c r="A108" s="50" t="s">
        <v>314</v>
      </c>
      <c r="B108" s="53" t="s">
        <v>317</v>
      </c>
      <c r="C108" s="2" t="s">
        <v>266</v>
      </c>
      <c r="D108" s="2" t="s">
        <v>267</v>
      </c>
      <c r="E108" s="2">
        <v>2000</v>
      </c>
      <c r="F108" s="2">
        <v>600</v>
      </c>
      <c r="G108" s="2">
        <v>16</v>
      </c>
      <c r="H108" s="2">
        <v>1</v>
      </c>
      <c r="I108" s="4">
        <f>(E108/1000)*(F108/1000)*(G108/1000)*7850*H108</f>
        <v>150.72</v>
      </c>
      <c r="J108" s="2">
        <v>16</v>
      </c>
      <c r="K108" s="4">
        <f t="shared" ref="K108:K115" si="4">I108*J108</f>
        <v>2411.52</v>
      </c>
      <c r="L108" s="2"/>
      <c r="M108" s="51" t="str">
        <f>B108</f>
        <v>XJZ3</v>
      </c>
      <c r="N108" s="51"/>
      <c r="O108" s="52">
        <f>K114</f>
        <v>1666.9632000000001</v>
      </c>
      <c r="P108" s="52"/>
      <c r="Q108" s="52">
        <f>K108+K115</f>
        <v>2582.2556159999999</v>
      </c>
      <c r="R108" s="52">
        <f>K109+K110+K111+K112+K113</f>
        <v>15923.811104</v>
      </c>
      <c r="S108" s="52"/>
      <c r="T108" s="52"/>
      <c r="U108" s="52"/>
      <c r="V108" s="52"/>
      <c r="W108" s="52"/>
      <c r="X108" s="52">
        <f>SUM(N108:W116)</f>
        <v>20173.029920000001</v>
      </c>
      <c r="Y108" s="51">
        <f>2411.5+9922.4+1413.2+1372.3+2512+703.4+1667+170.7</f>
        <v>20172.500000000004</v>
      </c>
      <c r="Z108" s="52">
        <f>X108-Y108</f>
        <v>0.52991999999721884</v>
      </c>
      <c r="AA108" s="51"/>
    </row>
    <row r="109" spans="1:27" s="13" customFormat="1" ht="20" customHeight="1" x14ac:dyDescent="0.3">
      <c r="A109" s="41"/>
      <c r="B109" s="41"/>
      <c r="C109" s="2" t="s">
        <v>268</v>
      </c>
      <c r="D109" s="2" t="s">
        <v>267</v>
      </c>
      <c r="E109" s="2">
        <v>1975</v>
      </c>
      <c r="F109" s="2">
        <v>2000</v>
      </c>
      <c r="G109" s="2">
        <v>20</v>
      </c>
      <c r="H109" s="2">
        <v>1</v>
      </c>
      <c r="I109" s="4">
        <f>(E109/1000)*(F109/1000)*(G109/1000)*7850*H109</f>
        <v>620.15</v>
      </c>
      <c r="J109" s="2">
        <v>16</v>
      </c>
      <c r="K109" s="4">
        <f t="shared" si="4"/>
        <v>9922.4</v>
      </c>
      <c r="L109" s="2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s="13" customFormat="1" ht="20" customHeight="1" x14ac:dyDescent="0.3">
      <c r="A110" s="41"/>
      <c r="B110" s="41"/>
      <c r="C110" s="2" t="s">
        <v>269</v>
      </c>
      <c r="D110" s="2" t="s">
        <v>267</v>
      </c>
      <c r="E110" s="2">
        <v>1967</v>
      </c>
      <c r="F110" s="2">
        <v>286</v>
      </c>
      <c r="G110" s="2">
        <v>20</v>
      </c>
      <c r="H110" s="2">
        <v>1</v>
      </c>
      <c r="I110" s="4">
        <f>(E110/1000)*(F110/1000)*(G110/1000)*7850*H110</f>
        <v>88.322234000000009</v>
      </c>
      <c r="J110" s="2">
        <v>16</v>
      </c>
      <c r="K110" s="4">
        <f t="shared" si="4"/>
        <v>1413.1557440000001</v>
      </c>
      <c r="L110" s="2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s="13" customFormat="1" ht="20" customHeight="1" x14ac:dyDescent="0.3">
      <c r="A111" s="41"/>
      <c r="B111" s="41"/>
      <c r="C111" s="2" t="s">
        <v>271</v>
      </c>
      <c r="D111" s="2" t="s">
        <v>267</v>
      </c>
      <c r="E111" s="2">
        <v>1951</v>
      </c>
      <c r="F111" s="2">
        <v>280</v>
      </c>
      <c r="G111" s="2">
        <v>20</v>
      </c>
      <c r="H111" s="2">
        <v>1</v>
      </c>
      <c r="I111" s="4">
        <f>(E111/1000)*(F111/1000)*(G111/1000)*7850*H111</f>
        <v>85.765960000000021</v>
      </c>
      <c r="J111" s="2">
        <v>16</v>
      </c>
      <c r="K111" s="4">
        <f t="shared" si="4"/>
        <v>1372.2553600000003</v>
      </c>
      <c r="L111" s="2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s="13" customFormat="1" ht="20" customHeight="1" x14ac:dyDescent="0.3">
      <c r="A112" s="41"/>
      <c r="B112" s="41"/>
      <c r="C112" s="2" t="s">
        <v>279</v>
      </c>
      <c r="D112" s="2" t="s">
        <v>267</v>
      </c>
      <c r="E112" s="2">
        <v>2000</v>
      </c>
      <c r="F112" s="2">
        <v>500</v>
      </c>
      <c r="G112" s="2">
        <v>20</v>
      </c>
      <c r="H112" s="2">
        <v>1</v>
      </c>
      <c r="I112" s="4">
        <f>(E112/1000)*(F112/1000)*(G112/1000)*7850*H112</f>
        <v>157</v>
      </c>
      <c r="J112" s="2">
        <v>16</v>
      </c>
      <c r="K112" s="4">
        <f t="shared" si="4"/>
        <v>2512</v>
      </c>
      <c r="L112" s="2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s="13" customFormat="1" ht="20" customHeight="1" x14ac:dyDescent="0.3">
      <c r="A113" s="41"/>
      <c r="B113" s="41"/>
      <c r="C113" s="2" t="s">
        <v>280</v>
      </c>
      <c r="D113" s="2" t="s">
        <v>267</v>
      </c>
      <c r="E113" s="2">
        <v>280</v>
      </c>
      <c r="F113" s="2">
        <v>500</v>
      </c>
      <c r="G113" s="2">
        <v>20</v>
      </c>
      <c r="H113" s="2">
        <v>2</v>
      </c>
      <c r="I113" s="4">
        <v>44</v>
      </c>
      <c r="J113" s="2">
        <v>16</v>
      </c>
      <c r="K113" s="4">
        <f t="shared" si="4"/>
        <v>704</v>
      </c>
      <c r="L113" s="2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s="13" customFormat="1" ht="20" hidden="1" customHeight="1" x14ac:dyDescent="0.3">
      <c r="A114" s="41"/>
      <c r="B114" s="41"/>
      <c r="C114" s="2" t="s">
        <v>281</v>
      </c>
      <c r="D114" s="2" t="s">
        <v>267</v>
      </c>
      <c r="E114" s="2">
        <v>1975</v>
      </c>
      <c r="F114" s="2">
        <v>140</v>
      </c>
      <c r="G114" s="2">
        <v>12</v>
      </c>
      <c r="H114" s="2">
        <v>4</v>
      </c>
      <c r="I114" s="4">
        <f>(E114/1000)*(F114/1000)*(G114/1000)*7850*H114</f>
        <v>104.18520000000001</v>
      </c>
      <c r="J114" s="2">
        <v>16</v>
      </c>
      <c r="K114" s="4">
        <f t="shared" si="4"/>
        <v>1666.9632000000001</v>
      </c>
      <c r="L114" s="2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s="13" customFormat="1" ht="20" hidden="1" customHeight="1" x14ac:dyDescent="0.3">
      <c r="A115" s="41"/>
      <c r="B115" s="41"/>
      <c r="C115" s="2" t="s">
        <v>282</v>
      </c>
      <c r="D115" s="2" t="s">
        <v>267</v>
      </c>
      <c r="E115" s="2">
        <v>236</v>
      </c>
      <c r="F115" s="2">
        <v>180</v>
      </c>
      <c r="G115" s="2">
        <v>16</v>
      </c>
      <c r="H115" s="2">
        <v>2</v>
      </c>
      <c r="I115" s="4">
        <f>(E115/1000)*(F115/1000)*(G115/1000)*7850*H115</f>
        <v>10.670976</v>
      </c>
      <c r="J115" s="2">
        <v>16</v>
      </c>
      <c r="K115" s="4">
        <f t="shared" si="4"/>
        <v>170.73561599999999</v>
      </c>
      <c r="L115" s="2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s="13" customFormat="1" ht="20" hidden="1" customHeight="1" x14ac:dyDescent="0.3">
      <c r="A116" s="39"/>
      <c r="B116" s="50" t="s">
        <v>65</v>
      </c>
      <c r="C116" s="38"/>
      <c r="D116" s="2"/>
      <c r="E116" s="2"/>
      <c r="F116" s="2"/>
      <c r="G116" s="2"/>
      <c r="H116" s="2"/>
      <c r="I116" s="7"/>
      <c r="J116" s="2"/>
      <c r="K116" s="4">
        <f>SUM(K108:K115)</f>
        <v>20173.029920000004</v>
      </c>
      <c r="L116" s="2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s="13" customFormat="1" ht="20" hidden="1" customHeight="1" x14ac:dyDescent="0.3">
      <c r="A117" s="50" t="s">
        <v>314</v>
      </c>
      <c r="B117" s="53" t="s">
        <v>318</v>
      </c>
      <c r="C117" s="2" t="s">
        <v>266</v>
      </c>
      <c r="D117" s="2" t="s">
        <v>267</v>
      </c>
      <c r="E117" s="16">
        <v>2000</v>
      </c>
      <c r="F117" s="2">
        <v>600</v>
      </c>
      <c r="G117" s="2">
        <v>16</v>
      </c>
      <c r="H117" s="2">
        <v>1</v>
      </c>
      <c r="I117" s="4">
        <f>(E117/1000)*(F117/1000)*(G117/1000)*7850*H117</f>
        <v>150.72</v>
      </c>
      <c r="J117" s="2">
        <v>24</v>
      </c>
      <c r="K117" s="4">
        <f t="shared" ref="K117:K123" si="5">I117*J117</f>
        <v>3617.2799999999997</v>
      </c>
      <c r="L117" s="2" t="s">
        <v>319</v>
      </c>
      <c r="M117" s="51" t="str">
        <f>B117</f>
        <v>XJZ4</v>
      </c>
      <c r="N117" s="51"/>
      <c r="O117" s="52">
        <f>K123</f>
        <v>2500.4448000000002</v>
      </c>
      <c r="P117" s="52"/>
      <c r="Q117" s="52">
        <f>K117</f>
        <v>3617.2799999999997</v>
      </c>
      <c r="R117" s="52">
        <f>K118+K119+K120+K121+K122</f>
        <v>23815.322880000003</v>
      </c>
      <c r="S117" s="52"/>
      <c r="T117" s="52"/>
      <c r="U117" s="52"/>
      <c r="V117" s="52"/>
      <c r="W117" s="52"/>
      <c r="X117" s="52">
        <f>SUM(N117:W124)</f>
        <v>29933.047680000003</v>
      </c>
      <c r="Y117" s="51">
        <f>3617.3+14139.4+2058.4+2793.5+3768+1055+2500.4</f>
        <v>29932.000000000004</v>
      </c>
      <c r="Z117" s="52">
        <f>X117-Y117</f>
        <v>1.0476799999996729</v>
      </c>
      <c r="AA117" s="51"/>
    </row>
    <row r="118" spans="1:27" s="13" customFormat="1" ht="20" customHeight="1" x14ac:dyDescent="0.3">
      <c r="A118" s="41"/>
      <c r="B118" s="41"/>
      <c r="C118" s="2" t="s">
        <v>268</v>
      </c>
      <c r="D118" s="2" t="s">
        <v>267</v>
      </c>
      <c r="E118" s="2">
        <v>1975</v>
      </c>
      <c r="F118" s="2">
        <v>1900</v>
      </c>
      <c r="G118" s="2">
        <v>20</v>
      </c>
      <c r="H118" s="2">
        <v>1</v>
      </c>
      <c r="I118" s="4">
        <f>(E118/1000)*(F118/1000)*(G118/1000)*7850*H118</f>
        <v>589.14250000000004</v>
      </c>
      <c r="J118" s="2">
        <v>24</v>
      </c>
      <c r="K118" s="4">
        <f t="shared" si="5"/>
        <v>14139.420000000002</v>
      </c>
      <c r="L118" s="2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s="13" customFormat="1" ht="20" customHeight="1" x14ac:dyDescent="0.3">
      <c r="A119" s="41"/>
      <c r="B119" s="41"/>
      <c r="C119" s="2" t="s">
        <v>269</v>
      </c>
      <c r="D119" s="2" t="s">
        <v>267</v>
      </c>
      <c r="E119" s="2">
        <v>1951</v>
      </c>
      <c r="F119" s="2">
        <v>280</v>
      </c>
      <c r="G119" s="2">
        <v>20</v>
      </c>
      <c r="H119" s="2">
        <v>1</v>
      </c>
      <c r="I119" s="4">
        <f>(E119/1000)*(F119/1000)*(G119/1000)*7850*H119</f>
        <v>85.765960000000021</v>
      </c>
      <c r="J119" s="2">
        <v>24</v>
      </c>
      <c r="K119" s="4">
        <f t="shared" si="5"/>
        <v>2058.3830400000006</v>
      </c>
      <c r="L119" s="2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s="13" customFormat="1" ht="20" customHeight="1" x14ac:dyDescent="0.3">
      <c r="A120" s="41"/>
      <c r="B120" s="41"/>
      <c r="C120" s="2" t="s">
        <v>271</v>
      </c>
      <c r="D120" s="2" t="s">
        <v>267</v>
      </c>
      <c r="E120" s="2">
        <v>1951</v>
      </c>
      <c r="F120" s="2">
        <v>380</v>
      </c>
      <c r="G120" s="2">
        <v>20</v>
      </c>
      <c r="H120" s="2">
        <v>1</v>
      </c>
      <c r="I120" s="4">
        <f>(E120/1000)*(F120/1000)*(G120/1000)*7850*H120</f>
        <v>116.39666000000001</v>
      </c>
      <c r="J120" s="2">
        <v>24</v>
      </c>
      <c r="K120" s="4">
        <f t="shared" si="5"/>
        <v>2793.5198400000004</v>
      </c>
      <c r="L120" s="2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s="13" customFormat="1" ht="20" customHeight="1" x14ac:dyDescent="0.3">
      <c r="A121" s="41"/>
      <c r="B121" s="41"/>
      <c r="C121" s="2" t="s">
        <v>279</v>
      </c>
      <c r="D121" s="2" t="s">
        <v>267</v>
      </c>
      <c r="E121" s="16">
        <v>2000</v>
      </c>
      <c r="F121" s="2">
        <v>500</v>
      </c>
      <c r="G121" s="2">
        <v>20</v>
      </c>
      <c r="H121" s="2">
        <v>1</v>
      </c>
      <c r="I121" s="4">
        <f>(E121/1000)*(F121/1000)*(G121/1000)*7850*H121</f>
        <v>157</v>
      </c>
      <c r="J121" s="2">
        <v>24</v>
      </c>
      <c r="K121" s="4">
        <f t="shared" si="5"/>
        <v>3768</v>
      </c>
      <c r="L121" s="2" t="s">
        <v>319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s="13" customFormat="1" ht="20" customHeight="1" x14ac:dyDescent="0.3">
      <c r="A122" s="41"/>
      <c r="B122" s="41"/>
      <c r="C122" s="2" t="s">
        <v>280</v>
      </c>
      <c r="D122" s="2" t="s">
        <v>267</v>
      </c>
      <c r="E122" s="16">
        <v>280</v>
      </c>
      <c r="F122" s="2">
        <v>500</v>
      </c>
      <c r="G122" s="2">
        <v>20</v>
      </c>
      <c r="H122" s="2">
        <v>2</v>
      </c>
      <c r="I122" s="4">
        <v>44</v>
      </c>
      <c r="J122" s="2">
        <v>24</v>
      </c>
      <c r="K122" s="4">
        <f t="shared" si="5"/>
        <v>1056</v>
      </c>
      <c r="L122" s="2" t="s">
        <v>319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s="13" customFormat="1" ht="20" hidden="1" customHeight="1" x14ac:dyDescent="0.3">
      <c r="A123" s="41"/>
      <c r="B123" s="41"/>
      <c r="C123" s="2" t="s">
        <v>281</v>
      </c>
      <c r="D123" s="2" t="s">
        <v>267</v>
      </c>
      <c r="E123" s="2">
        <v>1975</v>
      </c>
      <c r="F123" s="2">
        <v>140</v>
      </c>
      <c r="G123" s="2">
        <v>12</v>
      </c>
      <c r="H123" s="2">
        <v>4</v>
      </c>
      <c r="I123" s="4">
        <f>(E123/1000)*(F123/1000)*(G123/1000)*7850*H123</f>
        <v>104.18520000000001</v>
      </c>
      <c r="J123" s="2">
        <v>24</v>
      </c>
      <c r="K123" s="4">
        <f t="shared" si="5"/>
        <v>2500.4448000000002</v>
      </c>
      <c r="L123" s="2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s="13" customFormat="1" ht="20" hidden="1" customHeight="1" x14ac:dyDescent="0.3">
      <c r="A124" s="39"/>
      <c r="B124" s="50" t="s">
        <v>65</v>
      </c>
      <c r="C124" s="38"/>
      <c r="D124" s="2"/>
      <c r="E124" s="2"/>
      <c r="F124" s="2"/>
      <c r="G124" s="2"/>
      <c r="H124" s="2"/>
      <c r="I124" s="7"/>
      <c r="J124" s="2"/>
      <c r="K124" s="4">
        <f>SUM(K117:K123)</f>
        <v>29933.047680000003</v>
      </c>
      <c r="L124" s="2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s="13" customFormat="1" ht="20" hidden="1" customHeight="1" x14ac:dyDescent="0.3">
      <c r="A125" s="50" t="s">
        <v>314</v>
      </c>
      <c r="B125" s="53" t="s">
        <v>320</v>
      </c>
      <c r="C125" s="2" t="s">
        <v>321</v>
      </c>
      <c r="D125" s="2" t="s">
        <v>267</v>
      </c>
      <c r="E125" s="2">
        <v>2000</v>
      </c>
      <c r="F125" s="2">
        <v>300</v>
      </c>
      <c r="G125" s="2">
        <v>12</v>
      </c>
      <c r="H125" s="2">
        <v>1</v>
      </c>
      <c r="I125" s="4">
        <f t="shared" ref="I125:I130" si="6">(E125/1000)*(F125/1000)*(G125/1000)*7850*H125</f>
        <v>56.519999999999996</v>
      </c>
      <c r="J125" s="2">
        <v>24</v>
      </c>
      <c r="K125" s="4">
        <f t="shared" ref="K125:K130" si="7">I125*J125</f>
        <v>1356.48</v>
      </c>
      <c r="L125" s="2"/>
      <c r="M125" s="51" t="str">
        <f>B125</f>
        <v>XJHL1</v>
      </c>
      <c r="N125" s="52">
        <f>K130</f>
        <v>616.74624000000017</v>
      </c>
      <c r="O125" s="52">
        <f>K125+K126+K127+K128+K129</f>
        <v>11541.7999872</v>
      </c>
      <c r="P125" s="52"/>
      <c r="Q125" s="52"/>
      <c r="R125" s="52"/>
      <c r="S125" s="52"/>
      <c r="T125" s="52"/>
      <c r="U125" s="52"/>
      <c r="V125" s="52"/>
      <c r="W125" s="52"/>
      <c r="X125" s="52">
        <f>SUM(N125:W131)</f>
        <v>12158.5462272</v>
      </c>
      <c r="Y125" s="51">
        <f>1356.5+6276+1782.4+1356.5+770.5+616.7</f>
        <v>12158.6</v>
      </c>
      <c r="Z125" s="52">
        <f>X125-Y125</f>
        <v>-5.3772799999933341E-2</v>
      </c>
      <c r="AA125" s="51"/>
    </row>
    <row r="126" spans="1:27" s="13" customFormat="1" ht="20" hidden="1" customHeight="1" x14ac:dyDescent="0.3">
      <c r="A126" s="41"/>
      <c r="B126" s="41"/>
      <c r="C126" s="2" t="s">
        <v>322</v>
      </c>
      <c r="D126" s="2" t="s">
        <v>267</v>
      </c>
      <c r="E126" s="2">
        <v>1388</v>
      </c>
      <c r="F126" s="2">
        <v>2000</v>
      </c>
      <c r="G126" s="2">
        <v>12</v>
      </c>
      <c r="H126" s="2">
        <v>1</v>
      </c>
      <c r="I126" s="4">
        <f t="shared" si="6"/>
        <v>261.49920000000003</v>
      </c>
      <c r="J126" s="2">
        <v>24</v>
      </c>
      <c r="K126" s="4">
        <f t="shared" si="7"/>
        <v>6275.9808000000012</v>
      </c>
      <c r="L126" s="2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s="13" customFormat="1" ht="20" hidden="1" customHeight="1" x14ac:dyDescent="0.3">
      <c r="A127" s="41"/>
      <c r="B127" s="41"/>
      <c r="C127" s="2" t="s">
        <v>323</v>
      </c>
      <c r="D127" s="2" t="s">
        <v>267</v>
      </c>
      <c r="E127" s="2">
        <v>1388</v>
      </c>
      <c r="F127" s="2">
        <v>284</v>
      </c>
      <c r="G127" s="2">
        <v>12</v>
      </c>
      <c r="H127" s="2">
        <v>2</v>
      </c>
      <c r="I127" s="4">
        <f t="shared" si="6"/>
        <v>74.265772799999993</v>
      </c>
      <c r="J127" s="2">
        <v>24</v>
      </c>
      <c r="K127" s="4">
        <f t="shared" si="7"/>
        <v>1782.3785472</v>
      </c>
      <c r="L127" s="2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s="13" customFormat="1" ht="20" hidden="1" customHeight="1" x14ac:dyDescent="0.3">
      <c r="A128" s="41"/>
      <c r="B128" s="41"/>
      <c r="C128" s="2" t="s">
        <v>324</v>
      </c>
      <c r="D128" s="2" t="s">
        <v>267</v>
      </c>
      <c r="E128" s="2">
        <v>2000</v>
      </c>
      <c r="F128" s="2">
        <v>300</v>
      </c>
      <c r="G128" s="2">
        <v>12</v>
      </c>
      <c r="H128" s="2">
        <v>1</v>
      </c>
      <c r="I128" s="4">
        <f t="shared" si="6"/>
        <v>56.519999999999996</v>
      </c>
      <c r="J128" s="2">
        <v>24</v>
      </c>
      <c r="K128" s="4">
        <f t="shared" si="7"/>
        <v>1356.48</v>
      </c>
      <c r="L128" s="2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s="13" customFormat="1" ht="20" hidden="1" customHeight="1" x14ac:dyDescent="0.3">
      <c r="A129" s="41"/>
      <c r="B129" s="41"/>
      <c r="C129" s="2" t="s">
        <v>325</v>
      </c>
      <c r="D129" s="2" t="s">
        <v>267</v>
      </c>
      <c r="E129" s="2">
        <v>300</v>
      </c>
      <c r="F129" s="2">
        <v>284</v>
      </c>
      <c r="G129" s="2">
        <v>12</v>
      </c>
      <c r="H129" s="2">
        <v>4</v>
      </c>
      <c r="I129" s="4">
        <f t="shared" si="6"/>
        <v>32.103359999999995</v>
      </c>
      <c r="J129" s="2">
        <v>24</v>
      </c>
      <c r="K129" s="4">
        <f t="shared" si="7"/>
        <v>770.48063999999988</v>
      </c>
      <c r="L129" s="2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s="13" customFormat="1" ht="20" hidden="1" customHeight="1" x14ac:dyDescent="0.3">
      <c r="A130" s="41"/>
      <c r="B130" s="41"/>
      <c r="C130" s="2" t="s">
        <v>326</v>
      </c>
      <c r="D130" s="2" t="s">
        <v>267</v>
      </c>
      <c r="E130" s="2">
        <v>1364</v>
      </c>
      <c r="F130" s="2">
        <v>120</v>
      </c>
      <c r="G130" s="2">
        <v>10</v>
      </c>
      <c r="H130" s="2">
        <v>2</v>
      </c>
      <c r="I130" s="4">
        <f t="shared" si="6"/>
        <v>25.697760000000006</v>
      </c>
      <c r="J130" s="2">
        <v>24</v>
      </c>
      <c r="K130" s="4">
        <f t="shared" si="7"/>
        <v>616.74624000000017</v>
      </c>
      <c r="L130" s="2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s="13" customFormat="1" ht="20" hidden="1" customHeight="1" x14ac:dyDescent="0.3">
      <c r="A131" s="39"/>
      <c r="B131" s="50" t="s">
        <v>65</v>
      </c>
      <c r="C131" s="38"/>
      <c r="D131" s="2"/>
      <c r="E131" s="2"/>
      <c r="F131" s="2"/>
      <c r="G131" s="2"/>
      <c r="H131" s="2"/>
      <c r="I131" s="7"/>
      <c r="J131" s="2"/>
      <c r="K131" s="4">
        <f>SUM(K125:K130)</f>
        <v>12158.5462272</v>
      </c>
      <c r="L131" s="2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s="13" customFormat="1" ht="20" hidden="1" customHeight="1" x14ac:dyDescent="0.3">
      <c r="A132" s="50" t="s">
        <v>314</v>
      </c>
      <c r="B132" s="53" t="s">
        <v>327</v>
      </c>
      <c r="C132" s="2" t="s">
        <v>321</v>
      </c>
      <c r="D132" s="2" t="s">
        <v>267</v>
      </c>
      <c r="E132" s="2">
        <v>2000</v>
      </c>
      <c r="F132" s="2">
        <v>300</v>
      </c>
      <c r="G132" s="2">
        <v>12</v>
      </c>
      <c r="H132" s="2">
        <v>1</v>
      </c>
      <c r="I132" s="4">
        <f t="shared" ref="I132:I137" si="8">(E132/1000)*(F132/1000)*(G132/1000)*7850*H132</f>
        <v>56.519999999999996</v>
      </c>
      <c r="J132" s="2">
        <v>96</v>
      </c>
      <c r="K132" s="4">
        <f t="shared" ref="K132:K137" si="9">I132*J132</f>
        <v>5425.92</v>
      </c>
      <c r="L132" s="2"/>
      <c r="M132" s="51" t="str">
        <f>B132</f>
        <v>XJHL2</v>
      </c>
      <c r="N132" s="52">
        <f>K137</f>
        <v>2466.9849600000007</v>
      </c>
      <c r="O132" s="52">
        <f>K132+K133+K134+K135+K136</f>
        <v>46239.111475199999</v>
      </c>
      <c r="P132" s="52"/>
      <c r="Q132" s="52"/>
      <c r="R132" s="52"/>
      <c r="S132" s="52"/>
      <c r="T132" s="52"/>
      <c r="U132" s="52"/>
      <c r="V132" s="52"/>
      <c r="W132" s="52"/>
      <c r="X132" s="52">
        <f>SUM(N132:W138)</f>
        <v>48706.096435200001</v>
      </c>
      <c r="Y132" s="51">
        <f>5425.9+25103.9+7179.7+5425.9+3103.6+2467</f>
        <v>48706</v>
      </c>
      <c r="Z132" s="52">
        <f>X132-Y132</f>
        <v>9.6435200000996701E-2</v>
      </c>
      <c r="AA132" s="51"/>
    </row>
    <row r="133" spans="1:27" s="13" customFormat="1" ht="20" hidden="1" customHeight="1" x14ac:dyDescent="0.3">
      <c r="A133" s="41"/>
      <c r="B133" s="41"/>
      <c r="C133" s="2" t="s">
        <v>322</v>
      </c>
      <c r="D133" s="2" t="s">
        <v>267</v>
      </c>
      <c r="E133" s="2">
        <v>1388</v>
      </c>
      <c r="F133" s="2">
        <v>2000</v>
      </c>
      <c r="G133" s="2">
        <v>12</v>
      </c>
      <c r="H133" s="2">
        <v>1</v>
      </c>
      <c r="I133" s="4">
        <f t="shared" si="8"/>
        <v>261.49920000000003</v>
      </c>
      <c r="J133" s="2">
        <v>96</v>
      </c>
      <c r="K133" s="4">
        <f t="shared" si="9"/>
        <v>25103.923200000005</v>
      </c>
      <c r="L133" s="2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s="13" customFormat="1" ht="20" hidden="1" customHeight="1" x14ac:dyDescent="0.3">
      <c r="A134" s="41"/>
      <c r="B134" s="41"/>
      <c r="C134" s="2" t="s">
        <v>323</v>
      </c>
      <c r="D134" s="2" t="s">
        <v>267</v>
      </c>
      <c r="E134" s="2">
        <v>1388</v>
      </c>
      <c r="F134" s="2">
        <v>286</v>
      </c>
      <c r="G134" s="2">
        <v>12</v>
      </c>
      <c r="H134" s="2">
        <v>2</v>
      </c>
      <c r="I134" s="4">
        <f t="shared" si="8"/>
        <v>74.788771199999985</v>
      </c>
      <c r="J134" s="2">
        <v>96</v>
      </c>
      <c r="K134" s="4">
        <f t="shared" si="9"/>
        <v>7179.7220351999986</v>
      </c>
      <c r="L134" s="2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s="13" customFormat="1" ht="20" hidden="1" customHeight="1" x14ac:dyDescent="0.3">
      <c r="A135" s="41"/>
      <c r="B135" s="41"/>
      <c r="C135" s="2" t="s">
        <v>324</v>
      </c>
      <c r="D135" s="2" t="s">
        <v>267</v>
      </c>
      <c r="E135" s="2">
        <v>2000</v>
      </c>
      <c r="F135" s="2">
        <v>300</v>
      </c>
      <c r="G135" s="2">
        <v>12</v>
      </c>
      <c r="H135" s="2">
        <v>1</v>
      </c>
      <c r="I135" s="4">
        <f t="shared" si="8"/>
        <v>56.519999999999996</v>
      </c>
      <c r="J135" s="2">
        <v>96</v>
      </c>
      <c r="K135" s="4">
        <f t="shared" si="9"/>
        <v>5425.92</v>
      </c>
      <c r="L135" s="2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s="13" customFormat="1" ht="20" hidden="1" customHeight="1" x14ac:dyDescent="0.3">
      <c r="A136" s="41"/>
      <c r="B136" s="41"/>
      <c r="C136" s="2" t="s">
        <v>325</v>
      </c>
      <c r="D136" s="2" t="s">
        <v>267</v>
      </c>
      <c r="E136" s="2">
        <v>300</v>
      </c>
      <c r="F136" s="2">
        <v>286</v>
      </c>
      <c r="G136" s="2">
        <v>12</v>
      </c>
      <c r="H136" s="2">
        <v>4</v>
      </c>
      <c r="I136" s="4">
        <f t="shared" si="8"/>
        <v>32.329439999999998</v>
      </c>
      <c r="J136" s="2">
        <v>96</v>
      </c>
      <c r="K136" s="4">
        <f t="shared" si="9"/>
        <v>3103.6262399999996</v>
      </c>
      <c r="L136" s="2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s="13" customFormat="1" ht="20" hidden="1" customHeight="1" x14ac:dyDescent="0.3">
      <c r="A137" s="41"/>
      <c r="B137" s="41"/>
      <c r="C137" s="2" t="s">
        <v>326</v>
      </c>
      <c r="D137" s="2" t="s">
        <v>267</v>
      </c>
      <c r="E137" s="2">
        <v>1364</v>
      </c>
      <c r="F137" s="2">
        <v>120</v>
      </c>
      <c r="G137" s="2">
        <v>10</v>
      </c>
      <c r="H137" s="2">
        <v>2</v>
      </c>
      <c r="I137" s="4">
        <f t="shared" si="8"/>
        <v>25.697760000000006</v>
      </c>
      <c r="J137" s="2">
        <v>96</v>
      </c>
      <c r="K137" s="4">
        <f t="shared" si="9"/>
        <v>2466.9849600000007</v>
      </c>
      <c r="L137" s="2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s="13" customFormat="1" ht="20" hidden="1" customHeight="1" x14ac:dyDescent="0.3">
      <c r="A138" s="39"/>
      <c r="B138" s="50" t="s">
        <v>65</v>
      </c>
      <c r="C138" s="38"/>
      <c r="D138" s="2"/>
      <c r="E138" s="2"/>
      <c r="F138" s="2"/>
      <c r="G138" s="2"/>
      <c r="H138" s="2"/>
      <c r="I138" s="7"/>
      <c r="J138" s="2"/>
      <c r="K138" s="4">
        <f>SUM(K132:K137)</f>
        <v>48706.096435200001</v>
      </c>
      <c r="L138" s="2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s="13" customFormat="1" ht="26" hidden="1" customHeight="1" x14ac:dyDescent="0.3">
      <c r="A139" s="54" t="s">
        <v>259</v>
      </c>
      <c r="B139" s="37"/>
      <c r="C139" s="38"/>
      <c r="D139" s="9" t="s">
        <v>21</v>
      </c>
      <c r="E139" s="9" t="s">
        <v>2</v>
      </c>
      <c r="F139" s="9" t="s">
        <v>4</v>
      </c>
      <c r="G139" s="9" t="s">
        <v>3</v>
      </c>
      <c r="H139" s="9"/>
      <c r="I139" s="9" t="s">
        <v>5</v>
      </c>
      <c r="J139" s="2"/>
      <c r="K139" s="4"/>
      <c r="L139" s="2"/>
      <c r="M139" s="2" t="s">
        <v>260</v>
      </c>
      <c r="N139" s="15">
        <f t="shared" ref="N139:Y139" si="10">SUM(N4:N138)</f>
        <v>3432.9312000000009</v>
      </c>
      <c r="O139" s="15">
        <f t="shared" si="10"/>
        <v>304010.92016640003</v>
      </c>
      <c r="P139" s="15">
        <f t="shared" si="10"/>
        <v>0</v>
      </c>
      <c r="Q139" s="15">
        <f t="shared" si="10"/>
        <v>72966.579007999986</v>
      </c>
      <c r="R139" s="15">
        <f t="shared" si="10"/>
        <v>251914.09443199993</v>
      </c>
      <c r="S139" s="15">
        <f t="shared" si="10"/>
        <v>20329.599999999999</v>
      </c>
      <c r="T139" s="15">
        <f t="shared" si="10"/>
        <v>23113.599999999999</v>
      </c>
      <c r="U139" s="15">
        <f t="shared" si="10"/>
        <v>2411.5200000000004</v>
      </c>
      <c r="V139" s="15">
        <f t="shared" si="10"/>
        <v>8038.7200000000012</v>
      </c>
      <c r="W139" s="15">
        <f t="shared" si="10"/>
        <v>6280</v>
      </c>
      <c r="X139" s="15">
        <f t="shared" si="10"/>
        <v>692497.96480639989</v>
      </c>
      <c r="Y139" s="15">
        <f t="shared" si="10"/>
        <v>692490.79999999993</v>
      </c>
      <c r="Z139" s="15">
        <f>X139-Y139</f>
        <v>7.1648063999600708</v>
      </c>
      <c r="AA139" s="2"/>
    </row>
    <row r="140" spans="1:27" s="13" customFormat="1" ht="26" hidden="1" customHeight="1" x14ac:dyDescent="0.3">
      <c r="A140" s="54" t="s">
        <v>261</v>
      </c>
      <c r="B140" s="37"/>
      <c r="C140" s="38"/>
      <c r="D140" s="9" t="e">
        <f>#REF!</f>
        <v>#REF!</v>
      </c>
      <c r="E140" s="9" t="s">
        <v>11</v>
      </c>
      <c r="F140" s="11">
        <f>X139</f>
        <v>692497.96480639989</v>
      </c>
      <c r="G140" s="11">
        <f>Y139</f>
        <v>692490.79999999993</v>
      </c>
      <c r="H140" s="11"/>
      <c r="I140" s="11">
        <f>F140-G140</f>
        <v>7.1648063999600708</v>
      </c>
      <c r="J140" s="2"/>
      <c r="K140" s="4"/>
      <c r="L140" s="2"/>
      <c r="M140" s="2" t="s">
        <v>262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>
        <f>SUM(O140:V140)</f>
        <v>0</v>
      </c>
      <c r="Y140" s="2">
        <f>X140</f>
        <v>0</v>
      </c>
      <c r="Z140" s="15">
        <f>X140-Y140</f>
        <v>0</v>
      </c>
      <c r="AA140" s="2"/>
    </row>
    <row r="141" spans="1:27" s="13" customFormat="1" ht="20" hidden="1" customHeight="1" x14ac:dyDescent="0.3">
      <c r="A141" s="2"/>
      <c r="B141" s="2"/>
      <c r="C141" s="2"/>
      <c r="D141" s="2"/>
      <c r="E141" s="2"/>
      <c r="F141" s="2"/>
      <c r="G141" s="2"/>
      <c r="H141" s="2"/>
      <c r="I141" s="7"/>
      <c r="J141" s="2"/>
      <c r="K141" s="4"/>
      <c r="L141" s="2"/>
      <c r="M141" s="2" t="s">
        <v>5</v>
      </c>
      <c r="N141" s="15">
        <f t="shared" ref="N141:X141" si="11">N139-N140</f>
        <v>3432.9312000000009</v>
      </c>
      <c r="O141" s="15">
        <f t="shared" si="11"/>
        <v>304010.92016640003</v>
      </c>
      <c r="P141" s="15">
        <f t="shared" si="11"/>
        <v>0</v>
      </c>
      <c r="Q141" s="15">
        <f t="shared" si="11"/>
        <v>72966.579007999986</v>
      </c>
      <c r="R141" s="15">
        <f t="shared" si="11"/>
        <v>251914.09443199993</v>
      </c>
      <c r="S141" s="15">
        <f t="shared" si="11"/>
        <v>20329.599999999999</v>
      </c>
      <c r="T141" s="15">
        <f t="shared" si="11"/>
        <v>23113.599999999999</v>
      </c>
      <c r="U141" s="15">
        <f t="shared" si="11"/>
        <v>2411.5200000000004</v>
      </c>
      <c r="V141" s="15">
        <f t="shared" si="11"/>
        <v>8038.7200000000012</v>
      </c>
      <c r="W141" s="15">
        <f t="shared" si="11"/>
        <v>6280</v>
      </c>
      <c r="X141" s="15">
        <f t="shared" si="11"/>
        <v>692497.96480639989</v>
      </c>
      <c r="Y141" s="2"/>
      <c r="Z141" s="2"/>
      <c r="AA141" s="2"/>
    </row>
    <row r="142" spans="1:27" s="13" customFormat="1" ht="20" customHeight="1" x14ac:dyDescent="0.3">
      <c r="A142" s="2"/>
      <c r="B142" s="2"/>
      <c r="C142" s="2"/>
      <c r="D142" s="2"/>
      <c r="E142" s="2"/>
      <c r="F142" s="2"/>
      <c r="G142" s="2"/>
      <c r="H142" s="2"/>
      <c r="I142" s="7"/>
      <c r="J142" s="2"/>
      <c r="K142" s="4"/>
      <c r="L142" s="2"/>
    </row>
  </sheetData>
  <autoFilter ref="A3:AA141" xr:uid="{00000000-0009-0000-0000-000002000000}">
    <filterColumn colId="6">
      <filters>
        <filter val="20"/>
      </filters>
    </filterColumn>
  </autoFilter>
  <mergeCells count="362">
    <mergeCell ref="J2:J3"/>
    <mergeCell ref="V30:V35"/>
    <mergeCell ref="L2:L3"/>
    <mergeCell ref="A78:A80"/>
    <mergeCell ref="X117:X124"/>
    <mergeCell ref="A100:A107"/>
    <mergeCell ref="N24:N29"/>
    <mergeCell ref="P24:P29"/>
    <mergeCell ref="R42:R53"/>
    <mergeCell ref="P58:P61"/>
    <mergeCell ref="M62:M65"/>
    <mergeCell ref="B2:B3"/>
    <mergeCell ref="D2:D3"/>
    <mergeCell ref="Q24:Q29"/>
    <mergeCell ref="Q58:Q61"/>
    <mergeCell ref="N62:N65"/>
    <mergeCell ref="S58:S61"/>
    <mergeCell ref="A66:A69"/>
    <mergeCell ref="X4:X23"/>
    <mergeCell ref="B107:C107"/>
    <mergeCell ref="X81:X83"/>
    <mergeCell ref="B57:C57"/>
    <mergeCell ref="U84:U86"/>
    <mergeCell ref="U100:U107"/>
    <mergeCell ref="W100:W107"/>
    <mergeCell ref="O70:O73"/>
    <mergeCell ref="Q70:Q73"/>
    <mergeCell ref="V66:V69"/>
    <mergeCell ref="N36:N41"/>
    <mergeCell ref="M2:M3"/>
    <mergeCell ref="X90:X99"/>
    <mergeCell ref="A30:A35"/>
    <mergeCell ref="S66:S69"/>
    <mergeCell ref="P70:P73"/>
    <mergeCell ref="R70:R73"/>
    <mergeCell ref="AA117:AA124"/>
    <mergeCell ref="S117:S124"/>
    <mergeCell ref="Y125:Y131"/>
    <mergeCell ref="AA125:AA131"/>
    <mergeCell ref="AA87:AA89"/>
    <mergeCell ref="P90:P99"/>
    <mergeCell ref="R90:R99"/>
    <mergeCell ref="Y4:Y23"/>
    <mergeCell ref="M66:M69"/>
    <mergeCell ref="O84:O86"/>
    <mergeCell ref="N30:N35"/>
    <mergeCell ref="P30:P35"/>
    <mergeCell ref="Z4:Z23"/>
    <mergeCell ref="Z74:Z77"/>
    <mergeCell ref="Y81:Y83"/>
    <mergeCell ref="Z87:Z89"/>
    <mergeCell ref="M30:M35"/>
    <mergeCell ref="V54:V57"/>
    <mergeCell ref="X54:X57"/>
    <mergeCell ref="Z125:Z131"/>
    <mergeCell ref="X100:X107"/>
    <mergeCell ref="B41:C41"/>
    <mergeCell ref="M84:M86"/>
    <mergeCell ref="B35:C35"/>
    <mergeCell ref="N54:N57"/>
    <mergeCell ref="P54:P57"/>
    <mergeCell ref="O36:O41"/>
    <mergeCell ref="O30:O35"/>
    <mergeCell ref="U78:U80"/>
    <mergeCell ref="Y117:Y124"/>
    <mergeCell ref="O81:O83"/>
    <mergeCell ref="B87:B88"/>
    <mergeCell ref="B65:C65"/>
    <mergeCell ref="A1:L1"/>
    <mergeCell ref="W90:W99"/>
    <mergeCell ref="Y90:Y99"/>
    <mergeCell ref="Q90:Q99"/>
    <mergeCell ref="O125:O131"/>
    <mergeCell ref="M100:M107"/>
    <mergeCell ref="O100:O107"/>
    <mergeCell ref="Z24:Z29"/>
    <mergeCell ref="Y62:Y65"/>
    <mergeCell ref="S87:S89"/>
    <mergeCell ref="U87:U89"/>
    <mergeCell ref="N66:N69"/>
    <mergeCell ref="A108:A116"/>
    <mergeCell ref="U42:U53"/>
    <mergeCell ref="W42:W53"/>
    <mergeCell ref="B86:C86"/>
    <mergeCell ref="A74:A77"/>
    <mergeCell ref="O54:O57"/>
    <mergeCell ref="Q54:Q57"/>
    <mergeCell ref="A2:A3"/>
    <mergeCell ref="B36:B40"/>
    <mergeCell ref="C2:C3"/>
    <mergeCell ref="B62:B64"/>
    <mergeCell ref="O62:O65"/>
    <mergeCell ref="Y2:Y3"/>
    <mergeCell ref="B54:B56"/>
    <mergeCell ref="B30:B34"/>
    <mergeCell ref="N100:N107"/>
    <mergeCell ref="P100:P107"/>
    <mergeCell ref="AA24:AA29"/>
    <mergeCell ref="Z132:Z138"/>
    <mergeCell ref="Z62:Z65"/>
    <mergeCell ref="N81:N83"/>
    <mergeCell ref="Z117:Z124"/>
    <mergeCell ref="P81:P83"/>
    <mergeCell ref="X125:X131"/>
    <mergeCell ref="M78:M80"/>
    <mergeCell ref="B132:B137"/>
    <mergeCell ref="Q117:Q124"/>
    <mergeCell ref="R87:R89"/>
    <mergeCell ref="B70:B72"/>
    <mergeCell ref="V84:V86"/>
    <mergeCell ref="N4:N23"/>
    <mergeCell ref="V78:V80"/>
    <mergeCell ref="Y36:Y41"/>
    <mergeCell ref="P4:P23"/>
    <mergeCell ref="X78:X80"/>
    <mergeCell ref="R58:R61"/>
    <mergeCell ref="AA36:AA41"/>
    <mergeCell ref="B83:C83"/>
    <mergeCell ref="U108:U116"/>
    <mergeCell ref="W108:W116"/>
    <mergeCell ref="X36:X41"/>
    <mergeCell ref="B4:B22"/>
    <mergeCell ref="O4:O23"/>
    <mergeCell ref="Z36:Z41"/>
    <mergeCell ref="Q4:Q23"/>
    <mergeCell ref="Q81:Q83"/>
    <mergeCell ref="U74:U77"/>
    <mergeCell ref="N84:N86"/>
    <mergeCell ref="M54:M57"/>
    <mergeCell ref="AA81:AA83"/>
    <mergeCell ref="B84:B85"/>
    <mergeCell ref="P36:P41"/>
    <mergeCell ref="O78:O80"/>
    <mergeCell ref="R36:R41"/>
    <mergeCell ref="B29:C29"/>
    <mergeCell ref="M74:M77"/>
    <mergeCell ref="O74:O77"/>
    <mergeCell ref="R132:R138"/>
    <mergeCell ref="AA62:AA65"/>
    <mergeCell ref="B89:C89"/>
    <mergeCell ref="B90:B98"/>
    <mergeCell ref="B81:B82"/>
    <mergeCell ref="N78:N80"/>
    <mergeCell ref="P78:P80"/>
    <mergeCell ref="Z90:Z99"/>
    <mergeCell ref="P125:P131"/>
    <mergeCell ref="Z54:Z57"/>
    <mergeCell ref="R125:R131"/>
    <mergeCell ref="Z30:Z35"/>
    <mergeCell ref="X132:X138"/>
    <mergeCell ref="X62:X65"/>
    <mergeCell ref="U66:U69"/>
    <mergeCell ref="B66:B68"/>
    <mergeCell ref="AA4:AA23"/>
    <mergeCell ref="B78:B79"/>
    <mergeCell ref="B61:C61"/>
    <mergeCell ref="R30:R35"/>
    <mergeCell ref="Q125:Q131"/>
    <mergeCell ref="AA54:AA57"/>
    <mergeCell ref="S125:S131"/>
    <mergeCell ref="B69:C69"/>
    <mergeCell ref="AA30:AA35"/>
    <mergeCell ref="S24:S29"/>
    <mergeCell ref="U24:U29"/>
    <mergeCell ref="M24:M29"/>
    <mergeCell ref="B100:B106"/>
    <mergeCell ref="P62:P65"/>
    <mergeCell ref="U58:U61"/>
    <mergeCell ref="R62:R65"/>
    <mergeCell ref="Z81:Z83"/>
    <mergeCell ref="P117:P124"/>
    <mergeCell ref="R117:R124"/>
    <mergeCell ref="Y84:Y86"/>
    <mergeCell ref="AA84:AA86"/>
    <mergeCell ref="Y100:Y107"/>
    <mergeCell ref="O90:O99"/>
    <mergeCell ref="AA100:AA107"/>
    <mergeCell ref="AA66:AA69"/>
    <mergeCell ref="N108:N116"/>
    <mergeCell ref="P108:P116"/>
    <mergeCell ref="A90:A99"/>
    <mergeCell ref="N42:N53"/>
    <mergeCell ref="Q36:Q41"/>
    <mergeCell ref="S36:S41"/>
    <mergeCell ref="N74:N77"/>
    <mergeCell ref="Y132:Y138"/>
    <mergeCell ref="P74:P77"/>
    <mergeCell ref="AA132:AA138"/>
    <mergeCell ref="S132:S138"/>
    <mergeCell ref="Y78:Y80"/>
    <mergeCell ref="U117:U124"/>
    <mergeCell ref="AA78:AA80"/>
    <mergeCell ref="W117:W124"/>
    <mergeCell ref="S70:S73"/>
    <mergeCell ref="V90:V99"/>
    <mergeCell ref="M108:M116"/>
    <mergeCell ref="P132:P138"/>
    <mergeCell ref="B138:C138"/>
    <mergeCell ref="A117:A124"/>
    <mergeCell ref="V108:V116"/>
    <mergeCell ref="X108:X116"/>
    <mergeCell ref="A24:A29"/>
    <mergeCell ref="M42:M53"/>
    <mergeCell ref="O42:O53"/>
    <mergeCell ref="M58:M61"/>
    <mergeCell ref="X84:X86"/>
    <mergeCell ref="Z84:Z86"/>
    <mergeCell ref="Z78:Z80"/>
    <mergeCell ref="Z100:Z107"/>
    <mergeCell ref="V125:V131"/>
    <mergeCell ref="R54:R57"/>
    <mergeCell ref="B73:C73"/>
    <mergeCell ref="V70:V73"/>
    <mergeCell ref="A125:A131"/>
    <mergeCell ref="X66:X69"/>
    <mergeCell ref="U70:U73"/>
    <mergeCell ref="Z66:Z69"/>
    <mergeCell ref="M87:M89"/>
    <mergeCell ref="V74:V77"/>
    <mergeCell ref="X74:X77"/>
    <mergeCell ref="A42:A53"/>
    <mergeCell ref="A58:A61"/>
    <mergeCell ref="R24:R29"/>
    <mergeCell ref="T42:T53"/>
    <mergeCell ref="V42:V53"/>
    <mergeCell ref="Z42:Z53"/>
    <mergeCell ref="M117:M124"/>
    <mergeCell ref="B74:B76"/>
    <mergeCell ref="O117:O124"/>
    <mergeCell ref="Y108:Y116"/>
    <mergeCell ref="AA108:AA116"/>
    <mergeCell ref="N58:N61"/>
    <mergeCell ref="B116:C116"/>
    <mergeCell ref="S4:S23"/>
    <mergeCell ref="U4:U23"/>
    <mergeCell ref="U81:U83"/>
    <mergeCell ref="P84:P86"/>
    <mergeCell ref="R84:R86"/>
    <mergeCell ref="Q30:Q35"/>
    <mergeCell ref="R100:R107"/>
    <mergeCell ref="T100:T107"/>
    <mergeCell ref="B108:B115"/>
    <mergeCell ref="O108:O116"/>
    <mergeCell ref="B42:B52"/>
    <mergeCell ref="Y74:Y77"/>
    <mergeCell ref="R81:R83"/>
    <mergeCell ref="AA90:AA99"/>
    <mergeCell ref="S90:S99"/>
    <mergeCell ref="U90:U99"/>
    <mergeCell ref="A4:A23"/>
    <mergeCell ref="R78:R80"/>
    <mergeCell ref="N117:N124"/>
    <mergeCell ref="T125:T131"/>
    <mergeCell ref="N125:N131"/>
    <mergeCell ref="V87:V89"/>
    <mergeCell ref="O66:O69"/>
    <mergeCell ref="Y66:Y69"/>
    <mergeCell ref="X87:X89"/>
    <mergeCell ref="Q66:Q69"/>
    <mergeCell ref="N70:N73"/>
    <mergeCell ref="X42:X53"/>
    <mergeCell ref="M125:M131"/>
    <mergeCell ref="P66:P69"/>
    <mergeCell ref="Y87:Y89"/>
    <mergeCell ref="R66:R69"/>
    <mergeCell ref="A87:A89"/>
    <mergeCell ref="S30:S35"/>
    <mergeCell ref="B124:C124"/>
    <mergeCell ref="S54:S57"/>
    <mergeCell ref="U54:U57"/>
    <mergeCell ref="Q62:Q65"/>
    <mergeCell ref="V58:V61"/>
    <mergeCell ref="S62:S65"/>
    <mergeCell ref="O2:X2"/>
    <mergeCell ref="Y42:Y53"/>
    <mergeCell ref="O24:O29"/>
    <mergeCell ref="Y24:Y29"/>
    <mergeCell ref="AA42:AA53"/>
    <mergeCell ref="Y58:Y61"/>
    <mergeCell ref="AA58:AA61"/>
    <mergeCell ref="B23:C23"/>
    <mergeCell ref="A140:C140"/>
    <mergeCell ref="T117:T124"/>
    <mergeCell ref="V117:V124"/>
    <mergeCell ref="A132:A138"/>
    <mergeCell ref="Z108:Z116"/>
    <mergeCell ref="M90:M99"/>
    <mergeCell ref="B58:B60"/>
    <mergeCell ref="O58:O61"/>
    <mergeCell ref="R4:R23"/>
    <mergeCell ref="V4:V23"/>
    <mergeCell ref="Q84:Q86"/>
    <mergeCell ref="Q78:Q80"/>
    <mergeCell ref="S84:S86"/>
    <mergeCell ref="S78:S80"/>
    <mergeCell ref="Q100:Q107"/>
    <mergeCell ref="S100:S107"/>
    <mergeCell ref="W132:W138"/>
    <mergeCell ref="B99:C99"/>
    <mergeCell ref="Y70:Y73"/>
    <mergeCell ref="A62:A65"/>
    <mergeCell ref="M81:M83"/>
    <mergeCell ref="U125:U131"/>
    <mergeCell ref="W125:W131"/>
    <mergeCell ref="N90:N99"/>
    <mergeCell ref="A139:C139"/>
    <mergeCell ref="B77:C77"/>
    <mergeCell ref="M70:M73"/>
    <mergeCell ref="S81:S83"/>
    <mergeCell ref="Q132:Q138"/>
    <mergeCell ref="A70:A73"/>
    <mergeCell ref="T132:T138"/>
    <mergeCell ref="V132:V138"/>
    <mergeCell ref="N132:N138"/>
    <mergeCell ref="M132:M138"/>
    <mergeCell ref="O132:O138"/>
    <mergeCell ref="B117:B123"/>
    <mergeCell ref="V62:V65"/>
    <mergeCell ref="B131:C131"/>
    <mergeCell ref="A36:A41"/>
    <mergeCell ref="Y54:Y57"/>
    <mergeCell ref="V24:V29"/>
    <mergeCell ref="B53:C53"/>
    <mergeCell ref="X24:X29"/>
    <mergeCell ref="X58:X61"/>
    <mergeCell ref="U132:U138"/>
    <mergeCell ref="U62:U65"/>
    <mergeCell ref="O87:O89"/>
    <mergeCell ref="Q87:Q89"/>
    <mergeCell ref="Q42:Q53"/>
    <mergeCell ref="S42:S53"/>
    <mergeCell ref="B80:C80"/>
    <mergeCell ref="T90:T99"/>
    <mergeCell ref="X70:X73"/>
    <mergeCell ref="N87:N89"/>
    <mergeCell ref="R108:R116"/>
    <mergeCell ref="B125:B130"/>
    <mergeCell ref="P87:P89"/>
    <mergeCell ref="A81:A83"/>
    <mergeCell ref="U30:U35"/>
    <mergeCell ref="AA70:AA73"/>
    <mergeCell ref="V100:V107"/>
    <mergeCell ref="Q108:Q116"/>
    <mergeCell ref="S108:S116"/>
    <mergeCell ref="V36:V41"/>
    <mergeCell ref="M4:M23"/>
    <mergeCell ref="A84:A86"/>
    <mergeCell ref="Q74:Q77"/>
    <mergeCell ref="X30:X35"/>
    <mergeCell ref="S74:S77"/>
    <mergeCell ref="AA74:AA77"/>
    <mergeCell ref="V81:V83"/>
    <mergeCell ref="M36:M41"/>
    <mergeCell ref="Z58:Z61"/>
    <mergeCell ref="Z70:Z73"/>
    <mergeCell ref="T108:T116"/>
    <mergeCell ref="P42:P53"/>
    <mergeCell ref="U36:U41"/>
    <mergeCell ref="R74:R77"/>
    <mergeCell ref="B24:B28"/>
    <mergeCell ref="Y30:Y35"/>
    <mergeCell ref="A54:A57"/>
  </mergeCells>
  <phoneticPr fontId="3" type="noConversion"/>
  <pageMargins left="0.7" right="0.7" top="0.75" bottom="0.75" header="0.3" footer="0.3"/>
  <pageSetup paperSize="9" scale="6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"/>
  <sheetViews>
    <sheetView view="pageBreakPreview" zoomScaleNormal="100" workbookViewId="0">
      <selection activeCell="J30" sqref="J30"/>
    </sheetView>
  </sheetViews>
  <sheetFormatPr defaultColWidth="8.73046875" defaultRowHeight="13.5" x14ac:dyDescent="0.3"/>
  <cols>
    <col min="1" max="1" width="7.06640625" style="33" customWidth="1"/>
    <col min="2" max="2" width="7.19921875" style="33" customWidth="1"/>
    <col min="14" max="18" width="7.33203125" style="33" customWidth="1"/>
  </cols>
  <sheetData>
    <row r="1" spans="1:21" ht="26" customHeight="1" x14ac:dyDescent="0.3">
      <c r="A1" s="40"/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1" ht="24" customHeight="1" x14ac:dyDescent="0.3">
      <c r="A2" s="50" t="s">
        <v>18</v>
      </c>
      <c r="B2" s="50" t="s">
        <v>19</v>
      </c>
      <c r="C2" s="50" t="s">
        <v>20</v>
      </c>
      <c r="D2" s="50" t="s">
        <v>21</v>
      </c>
      <c r="E2" s="2" t="s">
        <v>22</v>
      </c>
      <c r="F2" s="2" t="s">
        <v>23</v>
      </c>
      <c r="G2" s="2" t="s">
        <v>24</v>
      </c>
      <c r="H2" s="2" t="s">
        <v>26</v>
      </c>
      <c r="I2" s="2" t="s">
        <v>25</v>
      </c>
      <c r="J2" s="50" t="s">
        <v>263</v>
      </c>
      <c r="K2" s="2" t="s">
        <v>27</v>
      </c>
      <c r="L2" s="50" t="s">
        <v>6</v>
      </c>
      <c r="M2" s="50" t="s">
        <v>18</v>
      </c>
      <c r="N2" s="50"/>
      <c r="O2" s="37"/>
      <c r="P2" s="37"/>
      <c r="Q2" s="37"/>
      <c r="R2" s="38"/>
      <c r="S2" s="50" t="s">
        <v>3</v>
      </c>
      <c r="T2" s="2" t="s">
        <v>5</v>
      </c>
      <c r="U2" s="2" t="s">
        <v>6</v>
      </c>
    </row>
    <row r="3" spans="1:21" ht="24" customHeight="1" x14ac:dyDescent="0.3">
      <c r="A3" s="39"/>
      <c r="B3" s="39"/>
      <c r="C3" s="39"/>
      <c r="D3" s="39"/>
      <c r="E3" s="2" t="s">
        <v>28</v>
      </c>
      <c r="F3" s="2" t="s">
        <v>28</v>
      </c>
      <c r="G3" s="2" t="s">
        <v>28</v>
      </c>
      <c r="H3" s="2"/>
      <c r="I3" s="2" t="s">
        <v>11</v>
      </c>
      <c r="J3" s="39"/>
      <c r="K3" s="2" t="s">
        <v>11</v>
      </c>
      <c r="L3" s="39"/>
      <c r="M3" s="39"/>
      <c r="N3" s="2">
        <v>16</v>
      </c>
      <c r="O3" s="2">
        <v>20</v>
      </c>
      <c r="P3" s="2">
        <v>24</v>
      </c>
      <c r="Q3" s="2">
        <v>28</v>
      </c>
      <c r="R3" s="2" t="s">
        <v>9</v>
      </c>
      <c r="S3" s="39"/>
      <c r="T3" s="2"/>
      <c r="U3" s="2"/>
    </row>
    <row r="4" spans="1:21" ht="23" customHeight="1" x14ac:dyDescent="0.3">
      <c r="A4" s="50" t="s">
        <v>314</v>
      </c>
      <c r="B4" s="53" t="s">
        <v>320</v>
      </c>
      <c r="C4" s="2" t="s">
        <v>266</v>
      </c>
      <c r="D4" s="2" t="s">
        <v>267</v>
      </c>
      <c r="E4" s="2">
        <v>600</v>
      </c>
      <c r="F4" s="2">
        <v>700</v>
      </c>
      <c r="G4" s="2">
        <v>20</v>
      </c>
      <c r="H4" s="2">
        <v>1</v>
      </c>
      <c r="I4" s="4">
        <f>(E4/1000)*(F4/1000)*(G4/1000)*7850*H4</f>
        <v>65.94</v>
      </c>
      <c r="J4" s="2">
        <v>32</v>
      </c>
      <c r="K4" s="4">
        <f>I4*J4</f>
        <v>2110.08</v>
      </c>
      <c r="L4" s="2"/>
      <c r="M4" s="51" t="str">
        <f>B4</f>
        <v>XJHL1</v>
      </c>
      <c r="N4" s="52"/>
      <c r="O4" s="52">
        <f>K6</f>
        <v>7639.68</v>
      </c>
      <c r="P4" s="52"/>
      <c r="Q4" s="52"/>
      <c r="R4" s="52">
        <f>SUM(N4:Q6)</f>
        <v>7639.68</v>
      </c>
      <c r="S4" s="51">
        <v>7638.4</v>
      </c>
      <c r="T4" s="52">
        <f>R4-S4</f>
        <v>1.2800000000006548</v>
      </c>
      <c r="U4" s="51"/>
    </row>
    <row r="5" spans="1:21" ht="23" customHeight="1" x14ac:dyDescent="0.3">
      <c r="A5" s="41"/>
      <c r="B5" s="41"/>
      <c r="C5" s="2" t="s">
        <v>268</v>
      </c>
      <c r="D5" s="2" t="s">
        <v>267</v>
      </c>
      <c r="E5" s="2"/>
      <c r="F5" s="2"/>
      <c r="G5" s="2">
        <v>20</v>
      </c>
      <c r="H5" s="2">
        <v>4</v>
      </c>
      <c r="I5" s="4">
        <v>172.8</v>
      </c>
      <c r="J5" s="2">
        <v>32</v>
      </c>
      <c r="K5" s="4">
        <f>I5*J5</f>
        <v>5529.6</v>
      </c>
      <c r="L5" s="2"/>
      <c r="M5" s="41"/>
      <c r="N5" s="41"/>
      <c r="O5" s="41"/>
      <c r="P5" s="41"/>
      <c r="Q5" s="41"/>
      <c r="R5" s="41"/>
      <c r="S5" s="41"/>
      <c r="T5" s="41"/>
      <c r="U5" s="41"/>
    </row>
    <row r="6" spans="1:21" ht="23" customHeight="1" x14ac:dyDescent="0.3">
      <c r="A6" s="39"/>
      <c r="B6" s="50" t="s">
        <v>65</v>
      </c>
      <c r="C6" s="38"/>
      <c r="D6" s="2"/>
      <c r="E6" s="2"/>
      <c r="F6" s="2"/>
      <c r="G6" s="2"/>
      <c r="H6" s="2"/>
      <c r="I6" s="7"/>
      <c r="J6" s="2"/>
      <c r="K6" s="4">
        <f>SUM(K4:K5)</f>
        <v>7639.68</v>
      </c>
      <c r="L6" s="2"/>
      <c r="M6" s="39"/>
      <c r="N6" s="39"/>
      <c r="O6" s="39"/>
      <c r="P6" s="39"/>
      <c r="Q6" s="39"/>
      <c r="R6" s="39"/>
      <c r="S6" s="39"/>
      <c r="T6" s="39"/>
      <c r="U6" s="39"/>
    </row>
    <row r="7" spans="1:21" ht="26" customHeight="1" x14ac:dyDescent="0.3">
      <c r="A7" s="54" t="s">
        <v>259</v>
      </c>
      <c r="B7" s="37"/>
      <c r="C7" s="38"/>
      <c r="D7" s="9" t="s">
        <v>21</v>
      </c>
      <c r="E7" s="9" t="s">
        <v>2</v>
      </c>
      <c r="F7" s="9" t="s">
        <v>4</v>
      </c>
      <c r="G7" s="9" t="s">
        <v>3</v>
      </c>
      <c r="H7" s="9"/>
      <c r="I7" s="9" t="s">
        <v>5</v>
      </c>
      <c r="J7" s="10"/>
      <c r="K7" s="10"/>
      <c r="L7" s="10"/>
    </row>
    <row r="8" spans="1:21" ht="26" customHeight="1" x14ac:dyDescent="0.3">
      <c r="A8" s="54" t="s">
        <v>9</v>
      </c>
      <c r="B8" s="37"/>
      <c r="C8" s="38"/>
      <c r="D8" s="9" t="str">
        <f>D5</f>
        <v>Q355MD</v>
      </c>
      <c r="E8" s="9" t="s">
        <v>11</v>
      </c>
      <c r="F8" s="11">
        <f>R4</f>
        <v>7639.68</v>
      </c>
      <c r="G8" s="11">
        <f>S4</f>
        <v>7638.4</v>
      </c>
      <c r="H8" s="11"/>
      <c r="I8" s="11">
        <f>F8-G8</f>
        <v>1.2800000000006548</v>
      </c>
      <c r="J8" s="10"/>
      <c r="K8" s="10"/>
      <c r="L8" s="10"/>
    </row>
  </sheetData>
  <mergeCells count="24">
    <mergeCell ref="A1:L1"/>
    <mergeCell ref="A7:C7"/>
    <mergeCell ref="S2:S3"/>
    <mergeCell ref="S4:S6"/>
    <mergeCell ref="U4:U6"/>
    <mergeCell ref="A8:C8"/>
    <mergeCell ref="N2:R2"/>
    <mergeCell ref="A2:A3"/>
    <mergeCell ref="C2:C3"/>
    <mergeCell ref="N4:N6"/>
    <mergeCell ref="P4:P6"/>
    <mergeCell ref="R4:R6"/>
    <mergeCell ref="T4:T6"/>
    <mergeCell ref="J2:J3"/>
    <mergeCell ref="L2:L3"/>
    <mergeCell ref="B6:C6"/>
    <mergeCell ref="B4:B5"/>
    <mergeCell ref="O4:O6"/>
    <mergeCell ref="Q4:Q6"/>
    <mergeCell ref="M2:M3"/>
    <mergeCell ref="B2:B3"/>
    <mergeCell ref="D2:D3"/>
    <mergeCell ref="A4:A6"/>
    <mergeCell ref="M4:M6"/>
  </mergeCells>
  <phoneticPr fontId="3" type="noConversion"/>
  <pageMargins left="0.75" right="0.75" top="1" bottom="1" header="0.5" footer="0.5"/>
  <pageSetup paperSize="9" scale="8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"/>
  <sheetViews>
    <sheetView view="pageBreakPreview" zoomScaleNormal="100" workbookViewId="0">
      <selection activeCell="I20" sqref="I20"/>
    </sheetView>
  </sheetViews>
  <sheetFormatPr defaultColWidth="8.73046875" defaultRowHeight="13.5" x14ac:dyDescent="0.3"/>
  <cols>
    <col min="1" max="1" width="7.06640625" style="33" customWidth="1"/>
    <col min="2" max="2" width="7.19921875" style="33" customWidth="1"/>
    <col min="14" max="18" width="7.33203125" style="33" customWidth="1"/>
  </cols>
  <sheetData>
    <row r="1" spans="1:21" ht="26" customHeight="1" x14ac:dyDescent="0.3">
      <c r="A1" s="40"/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1" ht="24" customHeight="1" x14ac:dyDescent="0.3">
      <c r="A2" s="50" t="s">
        <v>18</v>
      </c>
      <c r="B2" s="50" t="s">
        <v>19</v>
      </c>
      <c r="C2" s="50" t="s">
        <v>20</v>
      </c>
      <c r="D2" s="50" t="s">
        <v>21</v>
      </c>
      <c r="E2" s="2" t="s">
        <v>22</v>
      </c>
      <c r="F2" s="2" t="s">
        <v>23</v>
      </c>
      <c r="G2" s="2" t="s">
        <v>24</v>
      </c>
      <c r="H2" s="2" t="s">
        <v>26</v>
      </c>
      <c r="I2" s="2" t="s">
        <v>25</v>
      </c>
      <c r="J2" s="50" t="s">
        <v>263</v>
      </c>
      <c r="K2" s="2" t="s">
        <v>27</v>
      </c>
      <c r="L2" s="50" t="s">
        <v>6</v>
      </c>
      <c r="M2" s="50" t="s">
        <v>18</v>
      </c>
      <c r="N2" s="50"/>
      <c r="O2" s="37"/>
      <c r="P2" s="37"/>
      <c r="Q2" s="37"/>
      <c r="R2" s="38"/>
      <c r="S2" s="50" t="s">
        <v>3</v>
      </c>
      <c r="T2" s="2" t="s">
        <v>5</v>
      </c>
      <c r="U2" s="2" t="s">
        <v>6</v>
      </c>
    </row>
    <row r="3" spans="1:21" ht="24" customHeight="1" x14ac:dyDescent="0.3">
      <c r="A3" s="39"/>
      <c r="B3" s="39"/>
      <c r="C3" s="39"/>
      <c r="D3" s="39"/>
      <c r="E3" s="2" t="s">
        <v>28</v>
      </c>
      <c r="F3" s="2" t="s">
        <v>28</v>
      </c>
      <c r="G3" s="2" t="s">
        <v>28</v>
      </c>
      <c r="H3" s="2"/>
      <c r="I3" s="2" t="s">
        <v>11</v>
      </c>
      <c r="J3" s="39"/>
      <c r="K3" s="2" t="s">
        <v>11</v>
      </c>
      <c r="L3" s="39"/>
      <c r="M3" s="39"/>
      <c r="N3" s="2">
        <v>4</v>
      </c>
      <c r="O3" s="2">
        <v>12</v>
      </c>
      <c r="P3" s="2">
        <v>24</v>
      </c>
      <c r="Q3" s="2">
        <v>28</v>
      </c>
      <c r="R3" s="2" t="s">
        <v>9</v>
      </c>
      <c r="S3" s="39"/>
      <c r="T3" s="2"/>
      <c r="U3" s="2"/>
    </row>
    <row r="4" spans="1:21" ht="23" customHeight="1" x14ac:dyDescent="0.3">
      <c r="A4" s="50" t="s">
        <v>17</v>
      </c>
      <c r="B4" s="53" t="s">
        <v>320</v>
      </c>
      <c r="C4" s="2" t="s">
        <v>328</v>
      </c>
      <c r="D4" s="2" t="s">
        <v>329</v>
      </c>
      <c r="E4" s="2">
        <v>647</v>
      </c>
      <c r="F4" s="2">
        <v>280</v>
      </c>
      <c r="G4" s="2">
        <v>12</v>
      </c>
      <c r="H4" s="2">
        <v>1</v>
      </c>
      <c r="I4" s="4">
        <v>15.83</v>
      </c>
      <c r="J4" s="2">
        <v>200</v>
      </c>
      <c r="K4" s="4">
        <f>I4*J4</f>
        <v>3166</v>
      </c>
      <c r="L4" s="2"/>
      <c r="M4" s="51" t="str">
        <f>B4</f>
        <v>XJHL1</v>
      </c>
      <c r="N4" s="52">
        <f>K8</f>
        <v>668</v>
      </c>
      <c r="O4" s="52">
        <f>K4+K5+K6+K7</f>
        <v>7168</v>
      </c>
      <c r="P4" s="52"/>
      <c r="Q4" s="52"/>
      <c r="R4" s="52">
        <f>SUM(N4:Q9)</f>
        <v>7836</v>
      </c>
      <c r="S4" s="51">
        <v>7835.18</v>
      </c>
      <c r="T4" s="52">
        <f>R4-S4</f>
        <v>0.81999999999970896</v>
      </c>
      <c r="U4" s="51"/>
    </row>
    <row r="5" spans="1:21" ht="23" customHeight="1" x14ac:dyDescent="0.3">
      <c r="A5" s="41"/>
      <c r="B5" s="41"/>
      <c r="C5" s="2" t="s">
        <v>330</v>
      </c>
      <c r="D5" s="2" t="s">
        <v>329</v>
      </c>
      <c r="E5" s="2">
        <v>277</v>
      </c>
      <c r="F5" s="2">
        <v>280</v>
      </c>
      <c r="G5" s="2">
        <v>12</v>
      </c>
      <c r="H5" s="2">
        <v>1</v>
      </c>
      <c r="I5" s="4">
        <v>6.07</v>
      </c>
      <c r="J5" s="2">
        <v>200</v>
      </c>
      <c r="K5" s="4">
        <f>I5*J5</f>
        <v>1214</v>
      </c>
      <c r="L5" s="2"/>
      <c r="M5" s="41"/>
      <c r="N5" s="41"/>
      <c r="O5" s="41"/>
      <c r="P5" s="41"/>
      <c r="Q5" s="41"/>
      <c r="R5" s="41"/>
      <c r="S5" s="41"/>
      <c r="T5" s="41"/>
      <c r="U5" s="41"/>
    </row>
    <row r="6" spans="1:21" ht="23" customHeight="1" x14ac:dyDescent="0.3">
      <c r="A6" s="41"/>
      <c r="B6" s="41"/>
      <c r="C6" s="2" t="s">
        <v>331</v>
      </c>
      <c r="D6" s="2" t="s">
        <v>329</v>
      </c>
      <c r="E6" s="2">
        <v>530</v>
      </c>
      <c r="F6" s="2">
        <v>150</v>
      </c>
      <c r="G6" s="2">
        <v>12</v>
      </c>
      <c r="H6" s="2">
        <v>1</v>
      </c>
      <c r="I6" s="4">
        <v>5.23</v>
      </c>
      <c r="J6" s="2">
        <v>400</v>
      </c>
      <c r="K6" s="4">
        <f>I6*J6</f>
        <v>2092</v>
      </c>
      <c r="L6" s="2"/>
      <c r="M6" s="41"/>
      <c r="N6" s="41"/>
      <c r="O6" s="41"/>
      <c r="P6" s="41"/>
      <c r="Q6" s="41"/>
      <c r="R6" s="41"/>
      <c r="S6" s="41"/>
      <c r="T6" s="41"/>
      <c r="U6" s="41"/>
    </row>
    <row r="7" spans="1:21" ht="23" customHeight="1" x14ac:dyDescent="0.3">
      <c r="A7" s="41"/>
      <c r="B7" s="41"/>
      <c r="C7" s="2" t="s">
        <v>332</v>
      </c>
      <c r="D7" s="2" t="s">
        <v>329</v>
      </c>
      <c r="E7" s="2">
        <v>160</v>
      </c>
      <c r="F7" s="2">
        <v>150</v>
      </c>
      <c r="G7" s="2">
        <v>12</v>
      </c>
      <c r="H7" s="2">
        <v>1</v>
      </c>
      <c r="I7" s="4">
        <v>1.74</v>
      </c>
      <c r="J7" s="2">
        <v>400</v>
      </c>
      <c r="K7" s="4">
        <f>I7*J7</f>
        <v>696</v>
      </c>
      <c r="L7" s="2"/>
      <c r="M7" s="41"/>
      <c r="N7" s="41"/>
      <c r="O7" s="41"/>
      <c r="P7" s="41"/>
      <c r="Q7" s="41"/>
      <c r="R7" s="41"/>
      <c r="S7" s="41"/>
      <c r="T7" s="41"/>
      <c r="U7" s="41"/>
    </row>
    <row r="8" spans="1:21" ht="23" customHeight="1" x14ac:dyDescent="0.3">
      <c r="A8" s="41"/>
      <c r="B8" s="41"/>
      <c r="C8" s="2" t="s">
        <v>269</v>
      </c>
      <c r="D8" s="2" t="s">
        <v>329</v>
      </c>
      <c r="E8" s="2">
        <v>663</v>
      </c>
      <c r="F8" s="2">
        <v>80</v>
      </c>
      <c r="G8" s="2">
        <v>4</v>
      </c>
      <c r="H8" s="2">
        <v>1</v>
      </c>
      <c r="I8" s="4">
        <v>1.67</v>
      </c>
      <c r="J8" s="2">
        <v>400</v>
      </c>
      <c r="K8" s="4">
        <f>I8*J8</f>
        <v>668</v>
      </c>
      <c r="L8" s="2"/>
      <c r="M8" s="41"/>
      <c r="N8" s="41"/>
      <c r="O8" s="41"/>
      <c r="P8" s="41"/>
      <c r="Q8" s="41"/>
      <c r="R8" s="41"/>
      <c r="S8" s="41"/>
      <c r="T8" s="41"/>
      <c r="U8" s="41"/>
    </row>
    <row r="9" spans="1:21" ht="23" customHeight="1" x14ac:dyDescent="0.3">
      <c r="A9" s="39"/>
      <c r="B9" s="50" t="s">
        <v>65</v>
      </c>
      <c r="C9" s="38"/>
      <c r="D9" s="2"/>
      <c r="E9" s="2"/>
      <c r="F9" s="2"/>
      <c r="G9" s="2"/>
      <c r="H9" s="2"/>
      <c r="I9" s="7"/>
      <c r="J9" s="2"/>
      <c r="K9" s="4">
        <f>SUM(K4:K8)</f>
        <v>7836</v>
      </c>
      <c r="L9" s="2"/>
      <c r="M9" s="39"/>
      <c r="N9" s="39"/>
      <c r="O9" s="39"/>
      <c r="P9" s="39"/>
      <c r="Q9" s="39"/>
      <c r="R9" s="39"/>
      <c r="S9" s="39"/>
      <c r="T9" s="39"/>
      <c r="U9" s="39"/>
    </row>
    <row r="10" spans="1:21" ht="26" customHeight="1" x14ac:dyDescent="0.3">
      <c r="A10" s="54" t="s">
        <v>259</v>
      </c>
      <c r="B10" s="37"/>
      <c r="C10" s="38"/>
      <c r="D10" s="9" t="s">
        <v>21</v>
      </c>
      <c r="E10" s="9" t="s">
        <v>2</v>
      </c>
      <c r="F10" s="9" t="s">
        <v>4</v>
      </c>
      <c r="G10" s="9" t="s">
        <v>3</v>
      </c>
      <c r="H10" s="9"/>
      <c r="I10" s="9" t="s">
        <v>5</v>
      </c>
      <c r="J10" s="10"/>
      <c r="K10" s="10"/>
      <c r="L10" s="10"/>
    </row>
    <row r="11" spans="1:21" ht="26" customHeight="1" x14ac:dyDescent="0.3">
      <c r="A11" s="54" t="s">
        <v>9</v>
      </c>
      <c r="B11" s="37"/>
      <c r="C11" s="38"/>
      <c r="D11" s="9" t="str">
        <f>D8</f>
        <v>Q355C</v>
      </c>
      <c r="E11" s="9" t="s">
        <v>11</v>
      </c>
      <c r="F11" s="11">
        <f>R4</f>
        <v>7836</v>
      </c>
      <c r="G11" s="11">
        <f>S4</f>
        <v>7835.18</v>
      </c>
      <c r="H11" s="11"/>
      <c r="I11" s="11">
        <f>F11-G11</f>
        <v>0.81999999999970896</v>
      </c>
      <c r="J11" s="10"/>
      <c r="K11" s="10"/>
      <c r="L11" s="10"/>
    </row>
  </sheetData>
  <mergeCells count="24">
    <mergeCell ref="A11:C11"/>
    <mergeCell ref="A4:A9"/>
    <mergeCell ref="A1:L1"/>
    <mergeCell ref="S4:S9"/>
    <mergeCell ref="U4:U9"/>
    <mergeCell ref="S2:S3"/>
    <mergeCell ref="A2:A3"/>
    <mergeCell ref="C2:C3"/>
    <mergeCell ref="A10:C10"/>
    <mergeCell ref="Q4:Q9"/>
    <mergeCell ref="B9:C9"/>
    <mergeCell ref="J2:J3"/>
    <mergeCell ref="L2:L3"/>
    <mergeCell ref="R4:R9"/>
    <mergeCell ref="T4:T9"/>
    <mergeCell ref="B4:B8"/>
    <mergeCell ref="O4:O9"/>
    <mergeCell ref="N2:R2"/>
    <mergeCell ref="M4:M9"/>
    <mergeCell ref="N4:N9"/>
    <mergeCell ref="P4:P9"/>
    <mergeCell ref="M2:M3"/>
    <mergeCell ref="B2:B3"/>
    <mergeCell ref="D2:D3"/>
  </mergeCells>
  <phoneticPr fontId="3" type="noConversion"/>
  <pageMargins left="0.75" right="0.75" top="1" bottom="1" header="0.5" footer="0.5"/>
  <pageSetup paperSize="9" scale="8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"/>
  <sheetViews>
    <sheetView workbookViewId="0"/>
  </sheetViews>
  <sheetFormatPr defaultRowHeight="13.5" x14ac:dyDescent="0.3"/>
  <cols>
    <col min="1" max="1" width="7.06640625" style="33" customWidth="1"/>
    <col min="2" max="2" width="8.59765625" style="33" customWidth="1"/>
    <col min="5" max="5" width="9.73046875" style="33" customWidth="1"/>
    <col min="9" max="9" width="7.265625" style="33" customWidth="1"/>
    <col min="13" max="13" width="8.53125" style="33" customWidth="1"/>
  </cols>
  <sheetData>
    <row r="1" spans="1:26" ht="27" customHeight="1" x14ac:dyDescent="0.3">
      <c r="A1" s="40" t="s">
        <v>333</v>
      </c>
      <c r="B1" s="47"/>
      <c r="C1" s="48"/>
      <c r="D1" s="48"/>
      <c r="E1" s="47"/>
      <c r="F1" s="48"/>
      <c r="G1" s="48"/>
      <c r="H1" s="48"/>
      <c r="I1" s="47"/>
      <c r="J1" s="48"/>
      <c r="K1" s="48"/>
      <c r="L1" s="48"/>
    </row>
    <row r="2" spans="1:26" ht="20" customHeight="1" x14ac:dyDescent="0.3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334</v>
      </c>
      <c r="L2" s="19" t="s">
        <v>6</v>
      </c>
      <c r="M2" s="45" t="s">
        <v>335</v>
      </c>
      <c r="N2" s="48"/>
      <c r="O2" s="48"/>
      <c r="P2" s="48"/>
      <c r="Q2" s="48"/>
      <c r="R2" s="48"/>
      <c r="S2" s="48"/>
      <c r="T2" s="48"/>
      <c r="U2" s="48"/>
      <c r="V2" s="48"/>
      <c r="W2" s="19" t="s">
        <v>9</v>
      </c>
      <c r="X2" t="s">
        <v>3</v>
      </c>
      <c r="Y2" t="s">
        <v>5</v>
      </c>
      <c r="Z2" t="s">
        <v>6</v>
      </c>
    </row>
    <row r="3" spans="1:26" ht="20" customHeight="1" x14ac:dyDescent="0.3">
      <c r="E3" s="19" t="s">
        <v>28</v>
      </c>
      <c r="F3" s="19" t="s">
        <v>28</v>
      </c>
      <c r="G3" s="19" t="s">
        <v>28</v>
      </c>
      <c r="H3" s="19" t="s">
        <v>11</v>
      </c>
      <c r="J3" s="19" t="s">
        <v>11</v>
      </c>
      <c r="M3" s="20">
        <v>4</v>
      </c>
      <c r="N3" s="20">
        <v>14</v>
      </c>
      <c r="O3" s="20">
        <v>16</v>
      </c>
      <c r="P3" s="20">
        <v>20</v>
      </c>
      <c r="Q3" s="20">
        <v>24</v>
      </c>
      <c r="R3" s="20">
        <v>28</v>
      </c>
      <c r="S3" s="20">
        <v>32</v>
      </c>
      <c r="T3" s="20">
        <v>36</v>
      </c>
      <c r="U3" s="34">
        <v>40</v>
      </c>
      <c r="V3" s="19">
        <v>100</v>
      </c>
      <c r="W3" s="19" t="s">
        <v>9</v>
      </c>
    </row>
    <row r="4" spans="1:26" ht="20" customHeight="1" x14ac:dyDescent="0.3">
      <c r="A4" s="44" t="s">
        <v>336</v>
      </c>
      <c r="B4" s="44" t="s">
        <v>337</v>
      </c>
      <c r="C4" s="19" t="s">
        <v>338</v>
      </c>
      <c r="D4" s="19" t="s">
        <v>339</v>
      </c>
      <c r="E4" s="19"/>
      <c r="F4" s="19"/>
      <c r="G4" s="19">
        <v>20</v>
      </c>
      <c r="H4" s="21">
        <v>4239</v>
      </c>
      <c r="I4" s="19">
        <v>1</v>
      </c>
      <c r="J4" s="22">
        <f>H4*I4</f>
        <v>4239</v>
      </c>
      <c r="K4" s="19" t="s">
        <v>340</v>
      </c>
      <c r="L4" s="19" t="s">
        <v>341</v>
      </c>
    </row>
    <row r="5" spans="1:26" x14ac:dyDescent="0.3">
      <c r="A5" s="41"/>
      <c r="B5" s="44" t="s">
        <v>65</v>
      </c>
      <c r="C5" s="38"/>
      <c r="J5" s="22">
        <f>SUM(J4:J4)</f>
        <v>4239</v>
      </c>
    </row>
    <row r="6" spans="1:26" ht="20" customHeight="1" x14ac:dyDescent="0.3">
      <c r="A6" s="41"/>
      <c r="B6" s="44" t="s">
        <v>342</v>
      </c>
      <c r="C6" s="19" t="s">
        <v>343</v>
      </c>
      <c r="D6" s="19" t="s">
        <v>339</v>
      </c>
      <c r="E6" s="19">
        <v>13350</v>
      </c>
      <c r="F6" s="19">
        <v>1200</v>
      </c>
      <c r="G6" s="19">
        <v>20</v>
      </c>
      <c r="H6" s="21">
        <f>(E6/1000)*(F6/1000)*(G6/1000)*7850</f>
        <v>2515.1400000000003</v>
      </c>
      <c r="I6" s="19">
        <v>1</v>
      </c>
      <c r="J6" s="22">
        <f>H6*I6</f>
        <v>2515.1400000000003</v>
      </c>
      <c r="K6" s="19" t="s">
        <v>344</v>
      </c>
      <c r="L6" s="19"/>
    </row>
    <row r="7" spans="1:26" x14ac:dyDescent="0.3">
      <c r="A7" s="41"/>
      <c r="B7" s="44" t="s">
        <v>65</v>
      </c>
      <c r="C7" s="38"/>
      <c r="J7" s="22">
        <f>SUM(J6:J6)</f>
        <v>2515.1400000000003</v>
      </c>
    </row>
    <row r="8" spans="1:26" ht="20" customHeight="1" x14ac:dyDescent="0.3">
      <c r="A8" s="41"/>
      <c r="B8" s="44" t="s">
        <v>345</v>
      </c>
      <c r="C8" s="19" t="s">
        <v>346</v>
      </c>
      <c r="D8" s="19" t="s">
        <v>339</v>
      </c>
      <c r="E8" s="19"/>
      <c r="F8" s="19"/>
      <c r="G8" s="19">
        <v>28</v>
      </c>
      <c r="H8" s="21">
        <v>2868.4</v>
      </c>
      <c r="I8" s="19">
        <v>2</v>
      </c>
      <c r="J8" s="22">
        <f>H8*I8</f>
        <v>5736.8</v>
      </c>
      <c r="K8" s="19" t="s">
        <v>347</v>
      </c>
      <c r="L8" s="19" t="s">
        <v>348</v>
      </c>
    </row>
    <row r="9" spans="1:26" ht="20" customHeight="1" x14ac:dyDescent="0.3">
      <c r="A9" s="41"/>
      <c r="B9" s="39"/>
      <c r="C9" s="19" t="s">
        <v>349</v>
      </c>
      <c r="D9" s="19" t="s">
        <v>339</v>
      </c>
      <c r="E9" s="19"/>
      <c r="F9" s="19"/>
      <c r="G9" s="19">
        <v>40</v>
      </c>
      <c r="H9" s="21">
        <v>7850</v>
      </c>
      <c r="I9" s="19">
        <v>2</v>
      </c>
      <c r="J9" s="22">
        <f>H9*I9</f>
        <v>15700</v>
      </c>
      <c r="K9" s="19" t="s">
        <v>350</v>
      </c>
      <c r="L9" s="19" t="s">
        <v>351</v>
      </c>
    </row>
    <row r="10" spans="1:26" x14ac:dyDescent="0.3">
      <c r="A10" s="41"/>
      <c r="B10" s="44" t="s">
        <v>65</v>
      </c>
      <c r="C10" s="38"/>
      <c r="J10" s="22">
        <f>SUM(J8:J9)</f>
        <v>21436.799999999999</v>
      </c>
    </row>
    <row r="11" spans="1:26" ht="20" customHeight="1" x14ac:dyDescent="0.3">
      <c r="A11" s="41"/>
      <c r="B11" s="44" t="s">
        <v>352</v>
      </c>
      <c r="C11" s="19" t="s">
        <v>353</v>
      </c>
      <c r="D11" s="19" t="s">
        <v>339</v>
      </c>
      <c r="E11" s="19">
        <v>1980</v>
      </c>
      <c r="F11" s="19">
        <v>1200</v>
      </c>
      <c r="G11" s="19">
        <v>16</v>
      </c>
      <c r="H11" s="21">
        <f>(E11/1000)*(F11/1000)*(G11/1000)*7850</f>
        <v>298.42560000000003</v>
      </c>
      <c r="I11" s="19">
        <v>6</v>
      </c>
      <c r="J11" s="22">
        <f>H11*I11</f>
        <v>1790.5536000000002</v>
      </c>
      <c r="K11" s="19" t="s">
        <v>354</v>
      </c>
      <c r="L11" s="19"/>
    </row>
    <row r="12" spans="1:26" ht="20" customHeight="1" x14ac:dyDescent="0.3">
      <c r="A12" s="41"/>
      <c r="B12" s="41"/>
      <c r="C12" s="19" t="s">
        <v>355</v>
      </c>
      <c r="D12" s="19" t="s">
        <v>339</v>
      </c>
      <c r="E12" s="19">
        <v>2057</v>
      </c>
      <c r="F12" s="19">
        <v>200</v>
      </c>
      <c r="G12" s="19">
        <v>16</v>
      </c>
      <c r="H12" s="21">
        <f>(E12/1000)*(F12/1000)*(G12/1000)*7850</f>
        <v>51.671839999999996</v>
      </c>
      <c r="I12" s="19">
        <v>4</v>
      </c>
      <c r="J12" s="22">
        <f>H12*I12</f>
        <v>206.68735999999998</v>
      </c>
      <c r="K12" s="19" t="s">
        <v>356</v>
      </c>
      <c r="L12" s="19"/>
    </row>
    <row r="13" spans="1:26" ht="20" customHeight="1" x14ac:dyDescent="0.3">
      <c r="A13" s="41"/>
      <c r="B13" s="41"/>
      <c r="C13" s="19" t="s">
        <v>357</v>
      </c>
      <c r="D13" s="19" t="s">
        <v>358</v>
      </c>
      <c r="E13" s="19">
        <v>2057</v>
      </c>
      <c r="F13" s="19">
        <v>40</v>
      </c>
      <c r="G13" s="19">
        <v>4</v>
      </c>
      <c r="H13" s="21">
        <f>(E13/1000)*(F13/1000)*(G13/1000)*7850</f>
        <v>2.5835920000000003</v>
      </c>
      <c r="I13" s="19">
        <v>4</v>
      </c>
      <c r="J13" s="22">
        <f>H13*I13</f>
        <v>10.334368000000001</v>
      </c>
      <c r="K13" s="19" t="s">
        <v>359</v>
      </c>
      <c r="L13" s="19" t="s">
        <v>360</v>
      </c>
    </row>
    <row r="14" spans="1:26" ht="20" customHeight="1" x14ac:dyDescent="0.3">
      <c r="A14" s="41"/>
      <c r="B14" s="39"/>
      <c r="C14" s="19" t="s">
        <v>361</v>
      </c>
      <c r="D14" s="19" t="s">
        <v>339</v>
      </c>
      <c r="E14" s="19">
        <v>800</v>
      </c>
      <c r="F14" s="19">
        <v>400</v>
      </c>
      <c r="G14" s="19">
        <v>16</v>
      </c>
      <c r="H14" s="21">
        <f>(E14/1000)*(F14/1000)*(G14/1000)*7850</f>
        <v>40.192000000000007</v>
      </c>
      <c r="I14" s="19">
        <v>4</v>
      </c>
      <c r="J14" s="22">
        <f>H14*I14</f>
        <v>160.76800000000003</v>
      </c>
      <c r="K14" s="19" t="s">
        <v>362</v>
      </c>
      <c r="L14" s="19"/>
    </row>
    <row r="15" spans="1:26" x14ac:dyDescent="0.3">
      <c r="A15" s="41"/>
      <c r="B15" s="44" t="s">
        <v>65</v>
      </c>
      <c r="C15" s="38"/>
      <c r="J15" s="22">
        <f>SUM(J11:J14)</f>
        <v>2168.3433279999999</v>
      </c>
    </row>
    <row r="16" spans="1:26" ht="20" customHeight="1" x14ac:dyDescent="0.3">
      <c r="A16" s="41"/>
      <c r="B16" s="44" t="s">
        <v>363</v>
      </c>
      <c r="C16" s="19" t="s">
        <v>364</v>
      </c>
      <c r="D16" s="19" t="s">
        <v>339</v>
      </c>
      <c r="E16" s="19">
        <v>5651</v>
      </c>
      <c r="F16" s="19">
        <v>240</v>
      </c>
      <c r="G16" s="19">
        <v>20</v>
      </c>
      <c r="H16" s="21">
        <f>(E16/1000)*(F16/1000)*(G16/1000)*7850</f>
        <v>212.92967999999999</v>
      </c>
      <c r="I16" s="19">
        <v>4</v>
      </c>
      <c r="J16" s="22">
        <f>H16*I16</f>
        <v>851.71871999999996</v>
      </c>
      <c r="K16" s="19" t="s">
        <v>365</v>
      </c>
      <c r="L16" s="19"/>
    </row>
    <row r="17" spans="1:12" ht="20" customHeight="1" x14ac:dyDescent="0.3">
      <c r="A17" s="41"/>
      <c r="B17" s="41"/>
      <c r="C17" s="19" t="s">
        <v>366</v>
      </c>
      <c r="D17" s="19" t="s">
        <v>339</v>
      </c>
      <c r="E17" s="19">
        <v>7700</v>
      </c>
      <c r="F17" s="19">
        <v>240</v>
      </c>
      <c r="G17" s="19">
        <v>20</v>
      </c>
      <c r="H17" s="21">
        <f>(E17/1000)*(F17/1000)*(G17/1000)*7850</f>
        <v>290.13600000000002</v>
      </c>
      <c r="I17" s="19">
        <v>4</v>
      </c>
      <c r="J17" s="22">
        <f>H17*I17</f>
        <v>1160.5440000000001</v>
      </c>
      <c r="K17" s="19" t="s">
        <v>367</v>
      </c>
      <c r="L17" s="19"/>
    </row>
    <row r="18" spans="1:12" ht="20" customHeight="1" x14ac:dyDescent="0.3">
      <c r="A18" s="41"/>
      <c r="B18" s="41"/>
      <c r="C18" s="19" t="s">
        <v>368</v>
      </c>
      <c r="D18" s="19" t="s">
        <v>339</v>
      </c>
      <c r="E18" s="19">
        <v>7700</v>
      </c>
      <c r="F18" s="19">
        <v>240</v>
      </c>
      <c r="G18" s="19">
        <v>20</v>
      </c>
      <c r="H18" s="21">
        <f>(E18/1000)*(F18/1000)*(G18/1000)*7850</f>
        <v>290.13600000000002</v>
      </c>
      <c r="I18" s="19">
        <v>0</v>
      </c>
      <c r="J18" s="22">
        <f>H18*I18</f>
        <v>0</v>
      </c>
      <c r="K18" s="19" t="s">
        <v>367</v>
      </c>
      <c r="L18" s="19" t="s">
        <v>369</v>
      </c>
    </row>
    <row r="19" spans="1:12" ht="20" customHeight="1" x14ac:dyDescent="0.3">
      <c r="A19" s="41"/>
      <c r="B19" s="41"/>
      <c r="C19" s="19" t="s">
        <v>370</v>
      </c>
      <c r="D19" s="19" t="s">
        <v>339</v>
      </c>
      <c r="E19" s="19">
        <v>13300</v>
      </c>
      <c r="F19" s="19">
        <v>240</v>
      </c>
      <c r="G19" s="19">
        <v>20</v>
      </c>
      <c r="H19" s="21">
        <f>(E19/1000)*(F19/1000)*(G19/1000)*7850</f>
        <v>501.14400000000006</v>
      </c>
      <c r="I19" s="19">
        <v>1</v>
      </c>
      <c r="J19" s="22">
        <f>H19*I19</f>
        <v>501.14400000000006</v>
      </c>
      <c r="K19" s="19" t="s">
        <v>371</v>
      </c>
      <c r="L19" s="19"/>
    </row>
    <row r="20" spans="1:12" ht="20" customHeight="1" x14ac:dyDescent="0.3">
      <c r="A20" s="41"/>
      <c r="B20" s="39"/>
      <c r="C20" s="19" t="s">
        <v>372</v>
      </c>
      <c r="D20" s="19" t="s">
        <v>339</v>
      </c>
      <c r="E20" s="19">
        <v>13300</v>
      </c>
      <c r="F20" s="19">
        <v>240</v>
      </c>
      <c r="G20" s="19">
        <v>20</v>
      </c>
      <c r="H20" s="21">
        <f>(E20/1000)*(F20/1000)*(G20/1000)*7850</f>
        <v>501.14400000000006</v>
      </c>
      <c r="I20" s="19">
        <v>1</v>
      </c>
      <c r="J20" s="22">
        <f>H20*I20</f>
        <v>501.14400000000006</v>
      </c>
      <c r="K20" s="19" t="s">
        <v>371</v>
      </c>
      <c r="L20" s="19"/>
    </row>
    <row r="21" spans="1:12" x14ac:dyDescent="0.3">
      <c r="A21" s="41"/>
      <c r="B21" s="44" t="s">
        <v>65</v>
      </c>
      <c r="C21" s="38"/>
      <c r="J21" s="22">
        <f>SUM(J16:J20)</f>
        <v>3014.5507200000006</v>
      </c>
    </row>
    <row r="22" spans="1:12" ht="20" customHeight="1" x14ac:dyDescent="0.3">
      <c r="A22" s="41"/>
      <c r="B22" s="44" t="s">
        <v>373</v>
      </c>
      <c r="C22" s="19" t="s">
        <v>374</v>
      </c>
      <c r="D22" s="19" t="s">
        <v>339</v>
      </c>
      <c r="E22" s="19">
        <v>4790</v>
      </c>
      <c r="F22" s="19">
        <v>2500</v>
      </c>
      <c r="G22" s="19">
        <v>20</v>
      </c>
      <c r="H22" s="21">
        <f>(E22/1000)*(F22/1000)*(G22/1000)*7850</f>
        <v>1880.0749999999998</v>
      </c>
      <c r="I22" s="19">
        <v>1</v>
      </c>
      <c r="J22" s="22">
        <f>H22*I22</f>
        <v>1880.0749999999998</v>
      </c>
      <c r="K22" s="19" t="s">
        <v>375</v>
      </c>
      <c r="L22" s="19"/>
    </row>
    <row r="23" spans="1:12" ht="20" customHeight="1" x14ac:dyDescent="0.3">
      <c r="A23" s="41"/>
      <c r="B23" s="39"/>
      <c r="C23" s="19" t="s">
        <v>376</v>
      </c>
      <c r="D23" s="19" t="s">
        <v>339</v>
      </c>
      <c r="E23" s="19">
        <v>10105</v>
      </c>
      <c r="F23" s="19">
        <v>2500</v>
      </c>
      <c r="G23" s="19">
        <v>20</v>
      </c>
      <c r="H23" s="21">
        <f>(E23/1000)*(F23/1000)*(G23/1000)*7850</f>
        <v>3966.2125000000005</v>
      </c>
      <c r="I23" s="19">
        <v>1</v>
      </c>
      <c r="J23" s="22">
        <f>H23*I23</f>
        <v>3966.2125000000005</v>
      </c>
      <c r="K23" s="19" t="s">
        <v>377</v>
      </c>
      <c r="L23" s="19"/>
    </row>
    <row r="24" spans="1:12" x14ac:dyDescent="0.3">
      <c r="A24" s="41"/>
      <c r="B24" s="44" t="s">
        <v>65</v>
      </c>
      <c r="C24" s="38"/>
      <c r="J24" s="22">
        <f>SUM(J22:J23)</f>
        <v>5846.2875000000004</v>
      </c>
    </row>
    <row r="25" spans="1:12" ht="20" customHeight="1" x14ac:dyDescent="0.3">
      <c r="A25" s="41"/>
      <c r="B25" s="44" t="s">
        <v>378</v>
      </c>
      <c r="C25" s="19" t="s">
        <v>379</v>
      </c>
      <c r="D25" s="19" t="s">
        <v>339</v>
      </c>
      <c r="E25" s="19"/>
      <c r="F25" s="19"/>
      <c r="G25" s="19">
        <v>36</v>
      </c>
      <c r="H25" s="21">
        <v>2645.1</v>
      </c>
      <c r="I25" s="19">
        <v>1</v>
      </c>
      <c r="J25" s="22">
        <f>H25*I25</f>
        <v>2645.1</v>
      </c>
      <c r="K25" s="19" t="s">
        <v>380</v>
      </c>
      <c r="L25" s="19" t="s">
        <v>381</v>
      </c>
    </row>
    <row r="26" spans="1:12" ht="20" customHeight="1" x14ac:dyDescent="0.3">
      <c r="A26" s="41"/>
      <c r="B26" s="39"/>
      <c r="C26" s="19" t="s">
        <v>382</v>
      </c>
      <c r="D26" s="19" t="s">
        <v>339</v>
      </c>
      <c r="E26" s="19"/>
      <c r="F26" s="19"/>
      <c r="G26" s="19">
        <v>20</v>
      </c>
      <c r="H26" s="21">
        <v>2461.8000000000002</v>
      </c>
      <c r="I26" s="19">
        <v>1</v>
      </c>
      <c r="J26" s="22">
        <f>H26*I26</f>
        <v>2461.8000000000002</v>
      </c>
      <c r="K26" s="19" t="s">
        <v>383</v>
      </c>
      <c r="L26" s="19" t="s">
        <v>384</v>
      </c>
    </row>
    <row r="27" spans="1:12" x14ac:dyDescent="0.3">
      <c r="A27" s="41"/>
      <c r="B27" s="44" t="s">
        <v>65</v>
      </c>
      <c r="C27" s="38"/>
      <c r="J27" s="22">
        <f>SUM(J25:J26)</f>
        <v>5106.8999999999996</v>
      </c>
    </row>
    <row r="28" spans="1:12" ht="20" customHeight="1" x14ac:dyDescent="0.3">
      <c r="A28" s="41"/>
      <c r="B28" s="44" t="s">
        <v>385</v>
      </c>
      <c r="C28" s="19" t="s">
        <v>386</v>
      </c>
      <c r="D28" s="19" t="s">
        <v>339</v>
      </c>
      <c r="E28" s="19">
        <v>10105</v>
      </c>
      <c r="F28" s="19">
        <v>1880</v>
      </c>
      <c r="G28" s="19">
        <v>24</v>
      </c>
      <c r="H28" s="21">
        <f>(E28/1000)*(F28/1000)*(G28/1000)*7850</f>
        <v>3579.1101600000002</v>
      </c>
      <c r="I28" s="19">
        <v>2</v>
      </c>
      <c r="J28" s="22">
        <f>H28*I28</f>
        <v>7158.2203200000004</v>
      </c>
      <c r="K28" s="19" t="s">
        <v>387</v>
      </c>
      <c r="L28" s="19"/>
    </row>
    <row r="29" spans="1:12" x14ac:dyDescent="0.3">
      <c r="A29" s="41"/>
      <c r="B29" s="44" t="s">
        <v>65</v>
      </c>
      <c r="C29" s="38"/>
      <c r="J29" s="22">
        <f>SUM(J28:J28)</f>
        <v>7158.2203200000004</v>
      </c>
    </row>
    <row r="30" spans="1:12" ht="20" customHeight="1" x14ac:dyDescent="0.3">
      <c r="A30" s="41"/>
      <c r="B30" s="44" t="s">
        <v>388</v>
      </c>
      <c r="C30" s="19" t="s">
        <v>389</v>
      </c>
      <c r="D30" s="19" t="s">
        <v>339</v>
      </c>
      <c r="E30" s="19"/>
      <c r="F30" s="19"/>
      <c r="G30" s="19">
        <v>40</v>
      </c>
      <c r="H30" s="21">
        <v>5441.6</v>
      </c>
      <c r="I30" s="19">
        <v>2</v>
      </c>
      <c r="J30" s="22">
        <f>H30*I30</f>
        <v>10883.2</v>
      </c>
      <c r="K30" s="19" t="s">
        <v>390</v>
      </c>
      <c r="L30" s="19" t="s">
        <v>391</v>
      </c>
    </row>
    <row r="31" spans="1:12" x14ac:dyDescent="0.3">
      <c r="A31" s="41"/>
      <c r="B31" s="44" t="s">
        <v>65</v>
      </c>
      <c r="C31" s="38"/>
      <c r="J31" s="22">
        <f>SUM(J30:J30)</f>
        <v>10883.2</v>
      </c>
    </row>
    <row r="32" spans="1:12" ht="20" customHeight="1" x14ac:dyDescent="0.3">
      <c r="A32" s="41"/>
      <c r="B32" s="44" t="s">
        <v>392</v>
      </c>
      <c r="C32" s="19" t="s">
        <v>393</v>
      </c>
      <c r="D32" s="19" t="s">
        <v>339</v>
      </c>
      <c r="E32" s="19">
        <v>1800</v>
      </c>
      <c r="F32" s="19">
        <v>1200</v>
      </c>
      <c r="G32" s="19">
        <v>16</v>
      </c>
      <c r="H32" s="21">
        <f>(E32/1000)*(F32/1000)*(G32/1000)*7850</f>
        <v>271.29599999999999</v>
      </c>
      <c r="I32" s="19">
        <v>1</v>
      </c>
      <c r="J32" s="22">
        <f>H32*I32</f>
        <v>271.29599999999999</v>
      </c>
      <c r="K32" s="19" t="s">
        <v>394</v>
      </c>
      <c r="L32" s="19"/>
    </row>
    <row r="33" spans="1:12" ht="20" customHeight="1" x14ac:dyDescent="0.3">
      <c r="A33" s="41"/>
      <c r="B33" s="41"/>
      <c r="C33" s="19" t="s">
        <v>395</v>
      </c>
      <c r="D33" s="19" t="s">
        <v>339</v>
      </c>
      <c r="E33" s="19">
        <v>2057</v>
      </c>
      <c r="F33" s="19">
        <v>200</v>
      </c>
      <c r="G33" s="19">
        <v>16</v>
      </c>
      <c r="H33" s="21">
        <f>(E33/1000)*(F33/1000)*(G33/1000)*7850</f>
        <v>51.671839999999996</v>
      </c>
      <c r="I33" s="19">
        <v>3</v>
      </c>
      <c r="J33" s="22">
        <f>H33*I33</f>
        <v>155.01551999999998</v>
      </c>
      <c r="K33" s="19" t="s">
        <v>356</v>
      </c>
      <c r="L33" s="19"/>
    </row>
    <row r="34" spans="1:12" ht="20" customHeight="1" x14ac:dyDescent="0.3">
      <c r="A34" s="41"/>
      <c r="B34" s="39"/>
      <c r="C34" s="19" t="s">
        <v>396</v>
      </c>
      <c r="D34" s="19" t="s">
        <v>339</v>
      </c>
      <c r="E34" s="19">
        <v>1800</v>
      </c>
      <c r="F34" s="19">
        <v>1200</v>
      </c>
      <c r="G34" s="19">
        <v>16</v>
      </c>
      <c r="H34" s="21">
        <f>(E34/1000)*(F34/1000)*(G34/1000)*7850</f>
        <v>271.29599999999999</v>
      </c>
      <c r="I34" s="19">
        <v>3</v>
      </c>
      <c r="J34" s="22">
        <f>H34*I34</f>
        <v>813.88799999999992</v>
      </c>
      <c r="K34" s="19" t="s">
        <v>394</v>
      </c>
      <c r="L34" s="19"/>
    </row>
    <row r="35" spans="1:12" x14ac:dyDescent="0.3">
      <c r="A35" s="41"/>
      <c r="B35" s="44" t="s">
        <v>65</v>
      </c>
      <c r="C35" s="38"/>
      <c r="J35" s="22">
        <f>SUM(J32:J34)</f>
        <v>1240.1995199999999</v>
      </c>
    </row>
    <row r="36" spans="1:12" ht="20" customHeight="1" x14ac:dyDescent="0.3">
      <c r="A36" s="41"/>
      <c r="B36" s="44" t="s">
        <v>397</v>
      </c>
      <c r="C36" s="19" t="s">
        <v>398</v>
      </c>
      <c r="D36" s="19" t="s">
        <v>339</v>
      </c>
      <c r="E36" s="19">
        <v>2792</v>
      </c>
      <c r="F36" s="19">
        <v>240</v>
      </c>
      <c r="G36" s="19">
        <v>20</v>
      </c>
      <c r="H36" s="21">
        <f t="shared" ref="H36:H41" si="0">(E36/1000)*(F36/1000)*(G36/1000)*7850</f>
        <v>105.20255999999998</v>
      </c>
      <c r="I36" s="19">
        <v>2</v>
      </c>
      <c r="J36" s="22">
        <f t="shared" ref="J36:J41" si="1">H36*I36</f>
        <v>210.40511999999995</v>
      </c>
      <c r="K36" s="19" t="s">
        <v>399</v>
      </c>
      <c r="L36" s="19"/>
    </row>
    <row r="37" spans="1:12" ht="20" customHeight="1" x14ac:dyDescent="0.3">
      <c r="A37" s="41"/>
      <c r="B37" s="41"/>
      <c r="C37" s="19" t="s">
        <v>400</v>
      </c>
      <c r="D37" s="19" t="s">
        <v>339</v>
      </c>
      <c r="E37" s="19">
        <v>10105</v>
      </c>
      <c r="F37" s="19">
        <v>240</v>
      </c>
      <c r="G37" s="19">
        <v>20</v>
      </c>
      <c r="H37" s="21">
        <f t="shared" si="0"/>
        <v>380.75639999999999</v>
      </c>
      <c r="I37" s="19">
        <v>2</v>
      </c>
      <c r="J37" s="22">
        <f t="shared" si="1"/>
        <v>761.51279999999997</v>
      </c>
      <c r="K37" s="19" t="s">
        <v>401</v>
      </c>
      <c r="L37" s="19"/>
    </row>
    <row r="38" spans="1:12" ht="20" customHeight="1" x14ac:dyDescent="0.3">
      <c r="A38" s="41"/>
      <c r="B38" s="41"/>
      <c r="C38" s="19" t="s">
        <v>402</v>
      </c>
      <c r="D38" s="19" t="s">
        <v>339</v>
      </c>
      <c r="E38" s="19">
        <v>12897</v>
      </c>
      <c r="F38" s="19">
        <v>240</v>
      </c>
      <c r="G38" s="19">
        <v>20</v>
      </c>
      <c r="H38" s="21">
        <f t="shared" si="0"/>
        <v>485.95895999999999</v>
      </c>
      <c r="I38" s="19">
        <v>1</v>
      </c>
      <c r="J38" s="22">
        <f t="shared" si="1"/>
        <v>485.95895999999999</v>
      </c>
      <c r="K38" s="19" t="s">
        <v>403</v>
      </c>
      <c r="L38" s="19"/>
    </row>
    <row r="39" spans="1:12" ht="20" customHeight="1" x14ac:dyDescent="0.3">
      <c r="A39" s="41"/>
      <c r="B39" s="41"/>
      <c r="C39" s="19" t="s">
        <v>404</v>
      </c>
      <c r="D39" s="19" t="s">
        <v>339</v>
      </c>
      <c r="E39" s="19">
        <v>10105</v>
      </c>
      <c r="F39" s="19">
        <v>240</v>
      </c>
      <c r="G39" s="19">
        <v>20</v>
      </c>
      <c r="H39" s="21">
        <f t="shared" si="0"/>
        <v>380.75639999999999</v>
      </c>
      <c r="I39" s="19">
        <v>1</v>
      </c>
      <c r="J39" s="22">
        <f t="shared" si="1"/>
        <v>380.75639999999999</v>
      </c>
      <c r="K39" s="19" t="s">
        <v>401</v>
      </c>
      <c r="L39" s="19"/>
    </row>
    <row r="40" spans="1:12" ht="20" customHeight="1" x14ac:dyDescent="0.3">
      <c r="A40" s="41"/>
      <c r="B40" s="41"/>
      <c r="C40" s="19" t="s">
        <v>405</v>
      </c>
      <c r="D40" s="19" t="s">
        <v>339</v>
      </c>
      <c r="E40" s="19">
        <v>2792</v>
      </c>
      <c r="F40" s="19">
        <v>320</v>
      </c>
      <c r="G40" s="19">
        <v>32</v>
      </c>
      <c r="H40" s="21">
        <f t="shared" si="0"/>
        <v>224.43212800000001</v>
      </c>
      <c r="I40" s="19">
        <v>1</v>
      </c>
      <c r="J40" s="22">
        <f t="shared" si="1"/>
        <v>224.43212800000001</v>
      </c>
      <c r="K40" s="19" t="s">
        <v>406</v>
      </c>
      <c r="L40" s="19"/>
    </row>
    <row r="41" spans="1:12" ht="20" customHeight="1" x14ac:dyDescent="0.3">
      <c r="A41" s="41"/>
      <c r="B41" s="39"/>
      <c r="C41" s="19" t="s">
        <v>407</v>
      </c>
      <c r="D41" s="19" t="s">
        <v>339</v>
      </c>
      <c r="E41" s="19">
        <v>12897</v>
      </c>
      <c r="F41" s="19">
        <v>170</v>
      </c>
      <c r="G41" s="19">
        <v>14</v>
      </c>
      <c r="H41" s="21">
        <f t="shared" si="0"/>
        <v>240.95465100000004</v>
      </c>
      <c r="I41" s="19">
        <v>2</v>
      </c>
      <c r="J41" s="22">
        <f t="shared" si="1"/>
        <v>481.90930200000008</v>
      </c>
      <c r="K41" s="19" t="s">
        <v>408</v>
      </c>
      <c r="L41" s="19"/>
    </row>
    <row r="42" spans="1:12" x14ac:dyDescent="0.3">
      <c r="A42" s="41"/>
      <c r="B42" s="44" t="s">
        <v>65</v>
      </c>
      <c r="C42" s="38"/>
      <c r="J42" s="22">
        <f>SUM(J36:J41)</f>
        <v>2544.97471</v>
      </c>
    </row>
    <row r="43" spans="1:12" ht="20" customHeight="1" x14ac:dyDescent="0.3">
      <c r="A43" s="41"/>
      <c r="B43" s="44" t="s">
        <v>409</v>
      </c>
      <c r="C43" s="19" t="s">
        <v>410</v>
      </c>
      <c r="D43" s="19" t="s">
        <v>339</v>
      </c>
      <c r="E43" s="19">
        <v>14038</v>
      </c>
      <c r="F43" s="19">
        <v>1200</v>
      </c>
      <c r="G43" s="19">
        <v>36</v>
      </c>
      <c r="H43" s="21">
        <f t="shared" ref="H43:H56" si="2">(E43/1000)*(F43/1000)*(G43/1000)*7850</f>
        <v>4760.5665600000002</v>
      </c>
      <c r="I43" s="19">
        <v>1</v>
      </c>
      <c r="J43" s="22">
        <f t="shared" ref="J43:J56" si="3">H43*I43</f>
        <v>4760.5665600000002</v>
      </c>
      <c r="K43" s="19" t="s">
        <v>411</v>
      </c>
      <c r="L43" s="19"/>
    </row>
    <row r="44" spans="1:12" ht="20" customHeight="1" x14ac:dyDescent="0.3">
      <c r="A44" s="41"/>
      <c r="B44" s="41"/>
      <c r="C44" s="19" t="s">
        <v>412</v>
      </c>
      <c r="D44" s="19" t="s">
        <v>339</v>
      </c>
      <c r="E44" s="19">
        <v>14038</v>
      </c>
      <c r="F44" s="19">
        <v>1200</v>
      </c>
      <c r="G44" s="19">
        <v>36</v>
      </c>
      <c r="H44" s="21">
        <f t="shared" si="2"/>
        <v>4760.5665600000002</v>
      </c>
      <c r="I44" s="19">
        <v>1</v>
      </c>
      <c r="J44" s="22">
        <f t="shared" si="3"/>
        <v>4760.5665600000002</v>
      </c>
      <c r="K44" s="19" t="s">
        <v>411</v>
      </c>
      <c r="L44" s="19"/>
    </row>
    <row r="45" spans="1:12" ht="20" customHeight="1" x14ac:dyDescent="0.3">
      <c r="A45" s="41"/>
      <c r="B45" s="41"/>
      <c r="C45" s="19" t="s">
        <v>413</v>
      </c>
      <c r="D45" s="19" t="s">
        <v>339</v>
      </c>
      <c r="E45" s="19">
        <v>9838</v>
      </c>
      <c r="F45" s="19">
        <v>1360</v>
      </c>
      <c r="G45" s="19">
        <v>36</v>
      </c>
      <c r="H45" s="21">
        <f t="shared" si="2"/>
        <v>3781.0975679999997</v>
      </c>
      <c r="I45" s="19">
        <v>2</v>
      </c>
      <c r="J45" s="22">
        <f t="shared" si="3"/>
        <v>7562.1951359999994</v>
      </c>
      <c r="K45" s="19" t="s">
        <v>414</v>
      </c>
      <c r="L45" s="19"/>
    </row>
    <row r="46" spans="1:12" ht="20" customHeight="1" x14ac:dyDescent="0.3">
      <c r="A46" s="41"/>
      <c r="B46" s="41"/>
      <c r="C46" s="19" t="s">
        <v>415</v>
      </c>
      <c r="D46" s="19" t="s">
        <v>339</v>
      </c>
      <c r="E46" s="19">
        <v>9838</v>
      </c>
      <c r="F46" s="19">
        <v>320</v>
      </c>
      <c r="G46" s="19">
        <v>32</v>
      </c>
      <c r="H46" s="21">
        <f t="shared" si="2"/>
        <v>790.81779200000005</v>
      </c>
      <c r="I46" s="19">
        <v>2</v>
      </c>
      <c r="J46" s="22">
        <f t="shared" si="3"/>
        <v>1581.6355840000001</v>
      </c>
      <c r="K46" s="19" t="s">
        <v>416</v>
      </c>
      <c r="L46" s="19"/>
    </row>
    <row r="47" spans="1:12" ht="20" customHeight="1" x14ac:dyDescent="0.3">
      <c r="A47" s="41"/>
      <c r="B47" s="41"/>
      <c r="C47" s="19" t="s">
        <v>417</v>
      </c>
      <c r="D47" s="19" t="s">
        <v>339</v>
      </c>
      <c r="E47" s="19">
        <v>12638</v>
      </c>
      <c r="F47" s="19">
        <v>320</v>
      </c>
      <c r="G47" s="19">
        <v>32</v>
      </c>
      <c r="H47" s="21">
        <f t="shared" si="2"/>
        <v>1015.8929919999999</v>
      </c>
      <c r="I47" s="19">
        <v>1</v>
      </c>
      <c r="J47" s="22">
        <f t="shared" si="3"/>
        <v>1015.8929919999999</v>
      </c>
      <c r="K47" s="19" t="s">
        <v>418</v>
      </c>
      <c r="L47" s="19"/>
    </row>
    <row r="48" spans="1:12" ht="20" customHeight="1" x14ac:dyDescent="0.3">
      <c r="A48" s="41"/>
      <c r="B48" s="41"/>
      <c r="C48" s="19" t="s">
        <v>419</v>
      </c>
      <c r="D48" s="19" t="s">
        <v>339</v>
      </c>
      <c r="E48" s="19">
        <v>12638</v>
      </c>
      <c r="F48" s="19">
        <v>320</v>
      </c>
      <c r="G48" s="19">
        <v>32</v>
      </c>
      <c r="H48" s="21">
        <f t="shared" si="2"/>
        <v>1015.8929919999999</v>
      </c>
      <c r="I48" s="19">
        <v>1</v>
      </c>
      <c r="J48" s="22">
        <f t="shared" si="3"/>
        <v>1015.8929919999999</v>
      </c>
      <c r="K48" s="19" t="s">
        <v>418</v>
      </c>
      <c r="L48" s="19"/>
    </row>
    <row r="49" spans="1:12" ht="20" customHeight="1" x14ac:dyDescent="0.3">
      <c r="A49" s="41"/>
      <c r="B49" s="41"/>
      <c r="C49" s="19" t="s">
        <v>420</v>
      </c>
      <c r="D49" s="19" t="s">
        <v>339</v>
      </c>
      <c r="E49" s="19">
        <v>1200</v>
      </c>
      <c r="F49" s="19">
        <v>1200</v>
      </c>
      <c r="G49" s="19">
        <v>16</v>
      </c>
      <c r="H49" s="21">
        <f t="shared" si="2"/>
        <v>180.86399999999998</v>
      </c>
      <c r="I49" s="19">
        <v>4</v>
      </c>
      <c r="J49" s="22">
        <f t="shared" si="3"/>
        <v>723.4559999999999</v>
      </c>
      <c r="K49" s="19" t="s">
        <v>421</v>
      </c>
      <c r="L49" s="19"/>
    </row>
    <row r="50" spans="1:12" ht="20" customHeight="1" x14ac:dyDescent="0.3">
      <c r="A50" s="41"/>
      <c r="B50" s="41"/>
      <c r="C50" s="19" t="s">
        <v>422</v>
      </c>
      <c r="D50" s="19" t="s">
        <v>339</v>
      </c>
      <c r="E50" s="19">
        <v>6725</v>
      </c>
      <c r="F50" s="19">
        <v>1200</v>
      </c>
      <c r="G50" s="19">
        <v>36</v>
      </c>
      <c r="H50" s="21">
        <f t="shared" si="2"/>
        <v>2280.5819999999994</v>
      </c>
      <c r="I50" s="19">
        <v>1</v>
      </c>
      <c r="J50" s="22">
        <f t="shared" si="3"/>
        <v>2280.5819999999994</v>
      </c>
      <c r="K50" s="19" t="s">
        <v>423</v>
      </c>
      <c r="L50" s="19"/>
    </row>
    <row r="51" spans="1:12" ht="20" customHeight="1" x14ac:dyDescent="0.3">
      <c r="A51" s="41"/>
      <c r="B51" s="41"/>
      <c r="C51" s="19" t="s">
        <v>424</v>
      </c>
      <c r="D51" s="19" t="s">
        <v>339</v>
      </c>
      <c r="E51" s="19">
        <v>6925</v>
      </c>
      <c r="F51" s="19">
        <v>1200</v>
      </c>
      <c r="G51" s="19">
        <v>36</v>
      </c>
      <c r="H51" s="21">
        <f t="shared" si="2"/>
        <v>2348.4059999999995</v>
      </c>
      <c r="I51" s="19">
        <v>1</v>
      </c>
      <c r="J51" s="22">
        <f t="shared" si="3"/>
        <v>2348.4059999999995</v>
      </c>
      <c r="K51" s="19" t="s">
        <v>425</v>
      </c>
      <c r="L51" s="19"/>
    </row>
    <row r="52" spans="1:12" ht="20" customHeight="1" x14ac:dyDescent="0.3">
      <c r="A52" s="41"/>
      <c r="B52" s="41"/>
      <c r="C52" s="19" t="s">
        <v>426</v>
      </c>
      <c r="D52" s="19" t="s">
        <v>339</v>
      </c>
      <c r="E52" s="19">
        <v>4925</v>
      </c>
      <c r="F52" s="19">
        <v>1360</v>
      </c>
      <c r="G52" s="19">
        <v>36</v>
      </c>
      <c r="H52" s="21">
        <f t="shared" si="2"/>
        <v>1892.8548000000001</v>
      </c>
      <c r="I52" s="19">
        <v>2</v>
      </c>
      <c r="J52" s="22">
        <f t="shared" si="3"/>
        <v>3785.7096000000001</v>
      </c>
      <c r="K52" s="19" t="s">
        <v>427</v>
      </c>
      <c r="L52" s="19"/>
    </row>
    <row r="53" spans="1:12" ht="20" customHeight="1" x14ac:dyDescent="0.3">
      <c r="A53" s="41"/>
      <c r="B53" s="41"/>
      <c r="C53" s="19" t="s">
        <v>428</v>
      </c>
      <c r="D53" s="19" t="s">
        <v>339</v>
      </c>
      <c r="E53" s="19">
        <v>4925</v>
      </c>
      <c r="F53" s="19">
        <v>320</v>
      </c>
      <c r="G53" s="19">
        <v>32</v>
      </c>
      <c r="H53" s="21">
        <f t="shared" si="2"/>
        <v>395.89120000000003</v>
      </c>
      <c r="I53" s="19">
        <v>2</v>
      </c>
      <c r="J53" s="22">
        <f t="shared" si="3"/>
        <v>791.78240000000005</v>
      </c>
      <c r="K53" s="19" t="s">
        <v>429</v>
      </c>
      <c r="L53" s="19"/>
    </row>
    <row r="54" spans="1:12" ht="20" customHeight="1" x14ac:dyDescent="0.3">
      <c r="A54" s="41"/>
      <c r="B54" s="41"/>
      <c r="C54" s="19" t="s">
        <v>430</v>
      </c>
      <c r="D54" s="19" t="s">
        <v>339</v>
      </c>
      <c r="E54" s="19">
        <v>6025</v>
      </c>
      <c r="F54" s="19">
        <v>320</v>
      </c>
      <c r="G54" s="19">
        <v>32</v>
      </c>
      <c r="H54" s="21">
        <f t="shared" si="2"/>
        <v>484.31360000000006</v>
      </c>
      <c r="I54" s="19">
        <v>1</v>
      </c>
      <c r="J54" s="22">
        <f t="shared" si="3"/>
        <v>484.31360000000006</v>
      </c>
      <c r="K54" s="19" t="s">
        <v>431</v>
      </c>
      <c r="L54" s="19"/>
    </row>
    <row r="55" spans="1:12" ht="20" customHeight="1" x14ac:dyDescent="0.3">
      <c r="A55" s="41"/>
      <c r="B55" s="41"/>
      <c r="C55" s="19" t="s">
        <v>432</v>
      </c>
      <c r="D55" s="19" t="s">
        <v>339</v>
      </c>
      <c r="E55" s="19">
        <v>6225</v>
      </c>
      <c r="F55" s="19">
        <v>320</v>
      </c>
      <c r="G55" s="19">
        <v>32</v>
      </c>
      <c r="H55" s="21">
        <f t="shared" si="2"/>
        <v>500.39039999999994</v>
      </c>
      <c r="I55" s="19">
        <v>1</v>
      </c>
      <c r="J55" s="22">
        <f t="shared" si="3"/>
        <v>500.39039999999994</v>
      </c>
      <c r="K55" s="19" t="s">
        <v>433</v>
      </c>
      <c r="L55" s="19"/>
    </row>
    <row r="56" spans="1:12" ht="20" customHeight="1" x14ac:dyDescent="0.3">
      <c r="A56" s="41"/>
      <c r="B56" s="39"/>
      <c r="C56" s="19" t="s">
        <v>434</v>
      </c>
      <c r="D56" s="19" t="s">
        <v>339</v>
      </c>
      <c r="E56" s="19">
        <v>1200</v>
      </c>
      <c r="F56" s="19">
        <v>1200</v>
      </c>
      <c r="G56" s="19">
        <v>16</v>
      </c>
      <c r="H56" s="21">
        <f t="shared" si="2"/>
        <v>180.86399999999998</v>
      </c>
      <c r="I56" s="19">
        <v>2</v>
      </c>
      <c r="J56" s="22">
        <f t="shared" si="3"/>
        <v>361.72799999999995</v>
      </c>
      <c r="K56" s="19" t="s">
        <v>421</v>
      </c>
      <c r="L56" s="19"/>
    </row>
    <row r="57" spans="1:12" x14ac:dyDescent="0.3">
      <c r="A57" s="41"/>
      <c r="B57" s="44" t="s">
        <v>65</v>
      </c>
      <c r="C57" s="38"/>
      <c r="J57" s="22">
        <f>SUM(J43:J56)</f>
        <v>31973.117823999997</v>
      </c>
    </row>
    <row r="58" spans="1:12" ht="20" customHeight="1" x14ac:dyDescent="0.3">
      <c r="A58" s="41"/>
      <c r="B58" s="44" t="s">
        <v>435</v>
      </c>
      <c r="C58" s="19" t="s">
        <v>436</v>
      </c>
      <c r="D58" s="19" t="s">
        <v>339</v>
      </c>
      <c r="E58" s="19">
        <v>13418</v>
      </c>
      <c r="F58" s="19">
        <v>1200</v>
      </c>
      <c r="G58" s="19">
        <v>20</v>
      </c>
      <c r="H58" s="21">
        <f>(E58/1000)*(F58/1000)*(G58/1000)*7850</f>
        <v>2527.9512</v>
      </c>
      <c r="I58" s="19">
        <v>1</v>
      </c>
      <c r="J58" s="22">
        <f>H58*I58</f>
        <v>2527.9512</v>
      </c>
      <c r="K58" s="19" t="s">
        <v>437</v>
      </c>
      <c r="L58" s="19"/>
    </row>
    <row r="59" spans="1:12" ht="20" customHeight="1" x14ac:dyDescent="0.3">
      <c r="A59" s="41"/>
      <c r="B59" s="39"/>
      <c r="C59" s="19" t="s">
        <v>438</v>
      </c>
      <c r="D59" s="19" t="s">
        <v>339</v>
      </c>
      <c r="E59" s="19">
        <v>11818</v>
      </c>
      <c r="F59" s="19">
        <v>1200</v>
      </c>
      <c r="G59" s="19">
        <v>20</v>
      </c>
      <c r="H59" s="21">
        <f>(E59/1000)*(F59/1000)*(G59/1000)*7850</f>
        <v>2226.5111999999999</v>
      </c>
      <c r="I59" s="19">
        <v>1</v>
      </c>
      <c r="J59" s="22">
        <f>H59*I59</f>
        <v>2226.5111999999999</v>
      </c>
      <c r="K59" s="19" t="s">
        <v>439</v>
      </c>
      <c r="L59" s="19"/>
    </row>
    <row r="60" spans="1:12" x14ac:dyDescent="0.3">
      <c r="A60" s="41"/>
      <c r="B60" s="44" t="s">
        <v>65</v>
      </c>
      <c r="C60" s="38"/>
      <c r="J60" s="22">
        <f>SUM(J58:J59)</f>
        <v>4754.4624000000003</v>
      </c>
    </row>
    <row r="61" spans="1:12" ht="20" customHeight="1" x14ac:dyDescent="0.3">
      <c r="A61" s="41"/>
      <c r="B61" s="44" t="s">
        <v>440</v>
      </c>
      <c r="C61" s="19" t="s">
        <v>441</v>
      </c>
      <c r="D61" s="19" t="s">
        <v>339</v>
      </c>
      <c r="E61" s="19">
        <v>9133</v>
      </c>
      <c r="F61" s="19">
        <v>1500</v>
      </c>
      <c r="G61" s="19">
        <v>20</v>
      </c>
      <c r="H61" s="21">
        <f>(E61/1000)*(F61/1000)*(G61/1000)*7850</f>
        <v>2150.8214999999996</v>
      </c>
      <c r="I61" s="19">
        <v>2</v>
      </c>
      <c r="J61" s="22">
        <f>H61*I61</f>
        <v>4301.6429999999991</v>
      </c>
      <c r="K61" s="19" t="s">
        <v>442</v>
      </c>
      <c r="L61" s="19"/>
    </row>
    <row r="62" spans="1:12" x14ac:dyDescent="0.3">
      <c r="A62" s="41"/>
      <c r="B62" s="44" t="s">
        <v>65</v>
      </c>
      <c r="C62" s="38"/>
      <c r="J62" s="22">
        <f>SUM(J61:J61)</f>
        <v>4301.6429999999991</v>
      </c>
    </row>
    <row r="63" spans="1:12" ht="20" customHeight="1" x14ac:dyDescent="0.3">
      <c r="A63" s="41"/>
      <c r="B63" s="44" t="s">
        <v>443</v>
      </c>
      <c r="C63" s="19" t="s">
        <v>444</v>
      </c>
      <c r="D63" s="19" t="s">
        <v>339</v>
      </c>
      <c r="E63" s="19">
        <v>1400</v>
      </c>
      <c r="F63" s="19">
        <v>1200</v>
      </c>
      <c r="G63" s="19">
        <v>16</v>
      </c>
      <c r="H63" s="21">
        <f>(E63/1000)*(F63/1000)*(G63/1000)*7850</f>
        <v>211.00800000000001</v>
      </c>
      <c r="I63" s="19">
        <v>3</v>
      </c>
      <c r="J63" s="22">
        <f>H63*I63</f>
        <v>633.024</v>
      </c>
      <c r="K63" s="19" t="s">
        <v>445</v>
      </c>
      <c r="L63" s="19"/>
    </row>
    <row r="64" spans="1:12" x14ac:dyDescent="0.3">
      <c r="A64" s="41"/>
      <c r="B64" s="44" t="s">
        <v>65</v>
      </c>
      <c r="C64" s="38"/>
      <c r="J64" s="22">
        <f>SUM(J63:J63)</f>
        <v>633.024</v>
      </c>
    </row>
    <row r="65" spans="1:12" ht="20" customHeight="1" x14ac:dyDescent="0.3">
      <c r="A65" s="41"/>
      <c r="B65" s="44" t="s">
        <v>446</v>
      </c>
      <c r="C65" s="19" t="s">
        <v>447</v>
      </c>
      <c r="D65" s="19" t="s">
        <v>339</v>
      </c>
      <c r="E65" s="19">
        <v>9133</v>
      </c>
      <c r="F65" s="19">
        <v>190</v>
      </c>
      <c r="G65" s="19">
        <v>16</v>
      </c>
      <c r="H65" s="21">
        <f>(E65/1000)*(F65/1000)*(G65/1000)*7850</f>
        <v>217.94991199999998</v>
      </c>
      <c r="I65" s="19">
        <v>2</v>
      </c>
      <c r="J65" s="22">
        <f>H65*I65</f>
        <v>435.89982399999997</v>
      </c>
      <c r="K65" s="19" t="s">
        <v>448</v>
      </c>
      <c r="L65" s="19"/>
    </row>
    <row r="66" spans="1:12" ht="20" customHeight="1" x14ac:dyDescent="0.3">
      <c r="A66" s="41"/>
      <c r="B66" s="41"/>
      <c r="C66" s="19" t="s">
        <v>449</v>
      </c>
      <c r="D66" s="19" t="s">
        <v>339</v>
      </c>
      <c r="E66" s="19">
        <v>12018</v>
      </c>
      <c r="F66" s="19">
        <v>190</v>
      </c>
      <c r="G66" s="19">
        <v>16</v>
      </c>
      <c r="H66" s="21">
        <f>(E66/1000)*(F66/1000)*(G66/1000)*7850</f>
        <v>286.797552</v>
      </c>
      <c r="I66" s="19">
        <v>1</v>
      </c>
      <c r="J66" s="22">
        <f>H66*I66</f>
        <v>286.797552</v>
      </c>
      <c r="K66" s="19" t="s">
        <v>450</v>
      </c>
      <c r="L66" s="19"/>
    </row>
    <row r="67" spans="1:12" ht="20" customHeight="1" x14ac:dyDescent="0.3">
      <c r="A67" s="41"/>
      <c r="B67" s="39"/>
      <c r="C67" s="19" t="s">
        <v>451</v>
      </c>
      <c r="D67" s="19" t="s">
        <v>339</v>
      </c>
      <c r="E67" s="19">
        <v>10418</v>
      </c>
      <c r="F67" s="19">
        <v>190</v>
      </c>
      <c r="G67" s="19">
        <v>16</v>
      </c>
      <c r="H67" s="21">
        <f>(E67/1000)*(F67/1000)*(G67/1000)*7850</f>
        <v>248.61515199999999</v>
      </c>
      <c r="I67" s="19">
        <v>1</v>
      </c>
      <c r="J67" s="22">
        <f>H67*I67</f>
        <v>248.61515199999999</v>
      </c>
      <c r="K67" s="19" t="s">
        <v>452</v>
      </c>
      <c r="L67" s="19"/>
    </row>
    <row r="68" spans="1:12" x14ac:dyDescent="0.3">
      <c r="A68" s="41"/>
      <c r="B68" s="44" t="s">
        <v>65</v>
      </c>
      <c r="C68" s="38"/>
      <c r="J68" s="22">
        <f>SUM(J65:J67)</f>
        <v>971.31252799999993</v>
      </c>
    </row>
    <row r="69" spans="1:12" ht="20" customHeight="1" x14ac:dyDescent="0.3">
      <c r="A69" s="41"/>
      <c r="B69" s="44" t="s">
        <v>453</v>
      </c>
      <c r="C69" s="19" t="s">
        <v>454</v>
      </c>
      <c r="D69" s="19" t="s">
        <v>339</v>
      </c>
      <c r="E69" s="19">
        <v>2800</v>
      </c>
      <c r="F69" s="19">
        <v>320</v>
      </c>
      <c r="G69" s="19">
        <v>32</v>
      </c>
      <c r="H69" s="21">
        <f>(E69/1000)*(F69/1000)*(G69/1000)*7850</f>
        <v>225.07519999999997</v>
      </c>
      <c r="I69" s="19">
        <v>2</v>
      </c>
      <c r="J69" s="22">
        <f>H69*I69</f>
        <v>450.15039999999993</v>
      </c>
      <c r="K69" s="19" t="s">
        <v>455</v>
      </c>
      <c r="L69" s="19"/>
    </row>
    <row r="70" spans="1:12" ht="20" customHeight="1" x14ac:dyDescent="0.3">
      <c r="A70" s="41"/>
      <c r="B70" s="41"/>
      <c r="C70" s="19" t="s">
        <v>456</v>
      </c>
      <c r="D70" s="19" t="s">
        <v>339</v>
      </c>
      <c r="E70" s="19">
        <v>2600</v>
      </c>
      <c r="F70" s="19">
        <v>320</v>
      </c>
      <c r="G70" s="19">
        <v>32</v>
      </c>
      <c r="H70" s="21">
        <f>(E70/1000)*(F70/1000)*(G70/1000)*7850</f>
        <v>208.9984</v>
      </c>
      <c r="I70" s="19">
        <v>2</v>
      </c>
      <c r="J70" s="22">
        <f>H70*I70</f>
        <v>417.99680000000001</v>
      </c>
      <c r="K70" s="19" t="s">
        <v>457</v>
      </c>
      <c r="L70" s="19"/>
    </row>
    <row r="71" spans="1:12" ht="20" customHeight="1" x14ac:dyDescent="0.3">
      <c r="A71" s="41"/>
      <c r="B71" s="41"/>
      <c r="C71" s="19" t="s">
        <v>458</v>
      </c>
      <c r="D71" s="19" t="s">
        <v>339</v>
      </c>
      <c r="E71" s="19">
        <v>750</v>
      </c>
      <c r="F71" s="19">
        <v>320</v>
      </c>
      <c r="G71" s="19">
        <v>28</v>
      </c>
      <c r="H71" s="21">
        <f>(E71/1000)*(F71/1000)*(G71/1000)*7850</f>
        <v>52.752000000000002</v>
      </c>
      <c r="I71" s="19">
        <v>2</v>
      </c>
      <c r="J71" s="22">
        <f>H71*I71</f>
        <v>105.504</v>
      </c>
      <c r="K71" s="19" t="s">
        <v>459</v>
      </c>
      <c r="L71" s="19"/>
    </row>
    <row r="72" spans="1:12" ht="20" customHeight="1" x14ac:dyDescent="0.3">
      <c r="A72" s="41"/>
      <c r="B72" s="41"/>
      <c r="C72" s="19" t="s">
        <v>460</v>
      </c>
      <c r="D72" s="19" t="s">
        <v>339</v>
      </c>
      <c r="E72" s="19">
        <v>2100</v>
      </c>
      <c r="F72" s="19">
        <v>320</v>
      </c>
      <c r="G72" s="19">
        <v>32</v>
      </c>
      <c r="H72" s="21">
        <f>(E72/1000)*(F72/1000)*(G72/1000)*7850</f>
        <v>168.80640000000002</v>
      </c>
      <c r="I72" s="19">
        <v>2</v>
      </c>
      <c r="J72" s="22">
        <f>H72*I72</f>
        <v>337.61280000000005</v>
      </c>
      <c r="K72" s="19" t="s">
        <v>461</v>
      </c>
      <c r="L72" s="19"/>
    </row>
    <row r="73" spans="1:12" ht="20" customHeight="1" x14ac:dyDescent="0.3">
      <c r="A73" s="41"/>
      <c r="B73" s="39"/>
      <c r="C73" s="19" t="s">
        <v>462</v>
      </c>
      <c r="D73" s="19" t="s">
        <v>339</v>
      </c>
      <c r="E73" s="19">
        <v>2100</v>
      </c>
      <c r="F73" s="19">
        <v>320</v>
      </c>
      <c r="G73" s="19">
        <v>32</v>
      </c>
      <c r="H73" s="21">
        <f>(E73/1000)*(F73/1000)*(G73/1000)*7850</f>
        <v>168.80640000000002</v>
      </c>
      <c r="I73" s="19">
        <v>2</v>
      </c>
      <c r="J73" s="22">
        <f>H73*I73</f>
        <v>337.61280000000005</v>
      </c>
      <c r="K73" s="19" t="s">
        <v>461</v>
      </c>
      <c r="L73" s="19"/>
    </row>
    <row r="74" spans="1:12" x14ac:dyDescent="0.3">
      <c r="A74" s="41"/>
      <c r="B74" s="44" t="s">
        <v>65</v>
      </c>
      <c r="C74" s="38"/>
      <c r="J74" s="22">
        <f>SUM(J69:J73)</f>
        <v>1648.8768</v>
      </c>
    </row>
    <row r="75" spans="1:12" ht="20" customHeight="1" x14ac:dyDescent="0.3">
      <c r="A75" s="41"/>
      <c r="B75" s="44" t="s">
        <v>463</v>
      </c>
      <c r="C75" s="19" t="s">
        <v>464</v>
      </c>
      <c r="D75" s="19" t="s">
        <v>339</v>
      </c>
      <c r="E75" s="19">
        <v>1980</v>
      </c>
      <c r="F75" s="19">
        <v>610</v>
      </c>
      <c r="G75" s="19">
        <v>16</v>
      </c>
      <c r="H75" s="21">
        <f>(E75/1000)*(F75/1000)*(G75/1000)*7850</f>
        <v>151.69968</v>
      </c>
      <c r="I75" s="19">
        <v>6</v>
      </c>
      <c r="J75" s="22">
        <f t="shared" ref="J75:J83" si="4">H75*I75</f>
        <v>910.19808</v>
      </c>
      <c r="K75" s="19" t="s">
        <v>465</v>
      </c>
      <c r="L75" s="19"/>
    </row>
    <row r="76" spans="1:12" ht="20" customHeight="1" x14ac:dyDescent="0.3">
      <c r="A76" s="41"/>
      <c r="B76" s="41"/>
      <c r="C76" s="19" t="s">
        <v>466</v>
      </c>
      <c r="D76" s="19" t="s">
        <v>339</v>
      </c>
      <c r="E76" s="19">
        <v>1980</v>
      </c>
      <c r="F76" s="19">
        <v>650</v>
      </c>
      <c r="G76" s="19">
        <v>16</v>
      </c>
      <c r="H76" s="21">
        <f>(E76/1000)*(F76/1000)*(G76/1000)*7850</f>
        <v>161.6472</v>
      </c>
      <c r="I76" s="19">
        <v>2</v>
      </c>
      <c r="J76" s="22">
        <f t="shared" si="4"/>
        <v>323.2944</v>
      </c>
      <c r="K76" s="19" t="s">
        <v>467</v>
      </c>
      <c r="L76" s="19"/>
    </row>
    <row r="77" spans="1:12" ht="20" customHeight="1" x14ac:dyDescent="0.3">
      <c r="A77" s="41"/>
      <c r="B77" s="41"/>
      <c r="C77" s="19" t="s">
        <v>468</v>
      </c>
      <c r="D77" s="19" t="s">
        <v>339</v>
      </c>
      <c r="E77" s="19">
        <v>1980</v>
      </c>
      <c r="F77" s="19">
        <v>622</v>
      </c>
      <c r="G77" s="19">
        <v>16</v>
      </c>
      <c r="H77" s="21">
        <f>(E77/1000)*(F77/1000)*(G77/1000)*7850</f>
        <v>154.68393600000002</v>
      </c>
      <c r="I77" s="19">
        <v>4</v>
      </c>
      <c r="J77" s="22">
        <f t="shared" si="4"/>
        <v>618.73574400000007</v>
      </c>
      <c r="K77" s="19" t="s">
        <v>469</v>
      </c>
      <c r="L77" s="19"/>
    </row>
    <row r="78" spans="1:12" ht="20" customHeight="1" x14ac:dyDescent="0.3">
      <c r="A78" s="41"/>
      <c r="B78" s="41"/>
      <c r="C78" s="19" t="s">
        <v>470</v>
      </c>
      <c r="D78" s="19" t="s">
        <v>339</v>
      </c>
      <c r="E78" s="19"/>
      <c r="F78" s="19"/>
      <c r="G78" s="19">
        <v>24</v>
      </c>
      <c r="H78" s="21">
        <v>88.4</v>
      </c>
      <c r="I78" s="19">
        <v>6</v>
      </c>
      <c r="J78" s="22">
        <f t="shared" si="4"/>
        <v>530.40000000000009</v>
      </c>
      <c r="K78" s="19" t="s">
        <v>471</v>
      </c>
      <c r="L78" s="19" t="s">
        <v>472</v>
      </c>
    </row>
    <row r="79" spans="1:12" ht="20" customHeight="1" x14ac:dyDescent="0.3">
      <c r="A79" s="41"/>
      <c r="B79" s="41"/>
      <c r="C79" s="19" t="s">
        <v>473</v>
      </c>
      <c r="D79" s="19" t="s">
        <v>339</v>
      </c>
      <c r="E79" s="19"/>
      <c r="F79" s="19"/>
      <c r="G79" s="19">
        <v>24</v>
      </c>
      <c r="H79" s="21">
        <v>90.4</v>
      </c>
      <c r="I79" s="19">
        <v>6</v>
      </c>
      <c r="J79" s="22">
        <f t="shared" si="4"/>
        <v>542.40000000000009</v>
      </c>
      <c r="K79" s="19" t="s">
        <v>474</v>
      </c>
      <c r="L79" s="19" t="s">
        <v>475</v>
      </c>
    </row>
    <row r="80" spans="1:12" ht="20" customHeight="1" x14ac:dyDescent="0.3">
      <c r="A80" s="41"/>
      <c r="B80" s="41"/>
      <c r="C80" s="19" t="s">
        <v>476</v>
      </c>
      <c r="D80" s="19" t="s">
        <v>339</v>
      </c>
      <c r="E80" s="19"/>
      <c r="F80" s="19"/>
      <c r="G80" s="19">
        <v>24</v>
      </c>
      <c r="H80" s="21">
        <v>182</v>
      </c>
      <c r="I80" s="19">
        <v>2</v>
      </c>
      <c r="J80" s="22">
        <f t="shared" si="4"/>
        <v>364</v>
      </c>
      <c r="K80" s="19" t="s">
        <v>477</v>
      </c>
      <c r="L80" s="19" t="s">
        <v>478</v>
      </c>
    </row>
    <row r="81" spans="1:25" ht="20" customHeight="1" x14ac:dyDescent="0.3">
      <c r="A81" s="41"/>
      <c r="B81" s="41"/>
      <c r="C81" s="19" t="s">
        <v>479</v>
      </c>
      <c r="D81" s="19" t="s">
        <v>339</v>
      </c>
      <c r="E81" s="19"/>
      <c r="F81" s="19"/>
      <c r="G81" s="19">
        <v>24</v>
      </c>
      <c r="H81" s="21">
        <v>90</v>
      </c>
      <c r="I81" s="19">
        <v>2</v>
      </c>
      <c r="J81" s="22">
        <f t="shared" si="4"/>
        <v>180</v>
      </c>
      <c r="K81" s="19" t="s">
        <v>474</v>
      </c>
      <c r="L81" s="19" t="s">
        <v>475</v>
      </c>
    </row>
    <row r="82" spans="1:25" ht="20" customHeight="1" x14ac:dyDescent="0.3">
      <c r="A82" s="41"/>
      <c r="B82" s="41"/>
      <c r="C82" s="19" t="s">
        <v>480</v>
      </c>
      <c r="D82" s="19" t="s">
        <v>339</v>
      </c>
      <c r="E82" s="19">
        <v>1800</v>
      </c>
      <c r="F82" s="19">
        <v>626</v>
      </c>
      <c r="G82" s="19">
        <v>16</v>
      </c>
      <c r="H82" s="21">
        <f>(E82/1000)*(F82/1000)*(G82/1000)*7850</f>
        <v>141.52608000000001</v>
      </c>
      <c r="I82" s="19">
        <v>8</v>
      </c>
      <c r="J82" s="22">
        <f t="shared" si="4"/>
        <v>1132.2086400000001</v>
      </c>
      <c r="K82" s="19" t="s">
        <v>481</v>
      </c>
      <c r="L82" s="19"/>
    </row>
    <row r="83" spans="1:25" ht="20" customHeight="1" x14ac:dyDescent="0.3">
      <c r="A83" s="41"/>
      <c r="B83" s="39"/>
      <c r="C83" s="19" t="s">
        <v>482</v>
      </c>
      <c r="D83" s="19" t="s">
        <v>339</v>
      </c>
      <c r="E83" s="19">
        <v>1800</v>
      </c>
      <c r="F83" s="19">
        <v>610</v>
      </c>
      <c r="G83" s="19">
        <v>28</v>
      </c>
      <c r="H83" s="21">
        <f>(E83/1000)*(F83/1000)*(G83/1000)*7850</f>
        <v>241.34040000000005</v>
      </c>
      <c r="I83" s="19">
        <v>4</v>
      </c>
      <c r="J83" s="22">
        <f t="shared" si="4"/>
        <v>965.36160000000018</v>
      </c>
      <c r="K83" s="19" t="s">
        <v>483</v>
      </c>
      <c r="L83" s="19"/>
    </row>
    <row r="84" spans="1:25" x14ac:dyDescent="0.3">
      <c r="A84" s="41"/>
      <c r="B84" s="44" t="s">
        <v>65</v>
      </c>
      <c r="C84" s="38"/>
      <c r="J84" s="22">
        <f>SUM(J75:J83)</f>
        <v>5566.5984640000006</v>
      </c>
    </row>
    <row r="85" spans="1:25" ht="20" customHeight="1" x14ac:dyDescent="0.3">
      <c r="A85" s="41"/>
      <c r="B85" s="44" t="s">
        <v>484</v>
      </c>
      <c r="C85" s="19" t="s">
        <v>485</v>
      </c>
      <c r="D85" s="19" t="s">
        <v>339</v>
      </c>
      <c r="E85" s="19">
        <v>1800</v>
      </c>
      <c r="F85" s="19">
        <v>1200</v>
      </c>
      <c r="G85" s="19">
        <v>32</v>
      </c>
      <c r="H85" s="21">
        <f>(E85/1000)*(F85/1000)*(G85/1000)*7850</f>
        <v>542.59199999999998</v>
      </c>
      <c r="I85" s="19">
        <v>4</v>
      </c>
      <c r="J85" s="22">
        <f>H85*I85</f>
        <v>2170.3679999999999</v>
      </c>
      <c r="K85" s="19" t="s">
        <v>486</v>
      </c>
      <c r="L85" s="19"/>
    </row>
    <row r="86" spans="1:25" ht="20" customHeight="1" x14ac:dyDescent="0.3">
      <c r="A86" s="41"/>
      <c r="B86" s="41"/>
      <c r="C86" s="19" t="s">
        <v>487</v>
      </c>
      <c r="D86" s="19" t="s">
        <v>339</v>
      </c>
      <c r="E86" s="19">
        <v>502</v>
      </c>
      <c r="F86" s="19">
        <v>240</v>
      </c>
      <c r="G86" s="19">
        <v>20</v>
      </c>
      <c r="H86" s="21">
        <f>(E86/1000)*(F86/1000)*(G86/1000)*7850</f>
        <v>18.91536</v>
      </c>
      <c r="I86" s="19">
        <v>2</v>
      </c>
      <c r="J86" s="22">
        <f>H86*I86</f>
        <v>37.830719999999999</v>
      </c>
      <c r="K86" s="19" t="s">
        <v>488</v>
      </c>
      <c r="L86" s="19"/>
    </row>
    <row r="87" spans="1:25" ht="20" customHeight="1" x14ac:dyDescent="0.3">
      <c r="A87" s="41"/>
      <c r="B87" s="41"/>
      <c r="C87" s="19" t="s">
        <v>489</v>
      </c>
      <c r="D87" s="19" t="s">
        <v>339</v>
      </c>
      <c r="E87" s="19">
        <v>1800</v>
      </c>
      <c r="F87" s="19">
        <v>1800</v>
      </c>
      <c r="G87" s="19">
        <v>100</v>
      </c>
      <c r="H87" s="21">
        <f>(E87/1000)*(F87/1000)*(G87/1000)*7850</f>
        <v>2543.4000000000005</v>
      </c>
      <c r="I87" s="19">
        <v>1</v>
      </c>
      <c r="J87" s="22">
        <f>H87*I87</f>
        <v>2543.4000000000005</v>
      </c>
      <c r="K87" s="19" t="s">
        <v>490</v>
      </c>
      <c r="L87" s="19"/>
    </row>
    <row r="88" spans="1:25" ht="20" customHeight="1" x14ac:dyDescent="0.3">
      <c r="A88" s="41"/>
      <c r="B88" s="41"/>
      <c r="C88" s="19" t="s">
        <v>491</v>
      </c>
      <c r="D88" s="19" t="s">
        <v>339</v>
      </c>
      <c r="E88" s="19">
        <v>1000</v>
      </c>
      <c r="F88" s="19">
        <v>568</v>
      </c>
      <c r="G88" s="19">
        <v>32</v>
      </c>
      <c r="H88" s="21">
        <f>(E88/1000)*(F88/1000)*(G88/1000)*7850</f>
        <v>142.68159999999997</v>
      </c>
      <c r="I88" s="19">
        <v>3</v>
      </c>
      <c r="J88" s="22">
        <f>H88*I88</f>
        <v>428.0447999999999</v>
      </c>
      <c r="K88" s="19" t="s">
        <v>492</v>
      </c>
      <c r="L88" s="19"/>
    </row>
    <row r="89" spans="1:25" ht="20" customHeight="1" x14ac:dyDescent="0.3">
      <c r="A89" s="41"/>
      <c r="B89" s="39"/>
      <c r="C89" s="19" t="s">
        <v>493</v>
      </c>
      <c r="D89" s="19" t="s">
        <v>339</v>
      </c>
      <c r="E89" s="19">
        <v>1350</v>
      </c>
      <c r="F89" s="19">
        <v>570</v>
      </c>
      <c r="G89" s="19">
        <v>32</v>
      </c>
      <c r="H89" s="21">
        <f>(E89/1000)*(F89/1000)*(G89/1000)*7850</f>
        <v>193.29839999999999</v>
      </c>
      <c r="I89" s="19">
        <v>4</v>
      </c>
      <c r="J89" s="22">
        <f>H89*I89</f>
        <v>773.19359999999995</v>
      </c>
      <c r="K89" s="19" t="s">
        <v>494</v>
      </c>
      <c r="L89" s="19"/>
    </row>
    <row r="90" spans="1:25" x14ac:dyDescent="0.3">
      <c r="A90" s="39"/>
      <c r="B90" s="44" t="s">
        <v>65</v>
      </c>
      <c r="C90" s="38"/>
      <c r="J90" s="22">
        <f>SUM(J85:J89)</f>
        <v>5952.8371199999992</v>
      </c>
    </row>
    <row r="91" spans="1:25" x14ac:dyDescent="0.3">
      <c r="B91" s="44" t="s">
        <v>495</v>
      </c>
      <c r="C91" s="38"/>
      <c r="J91" s="22">
        <f>J5+J7+J10+J15+J21+J24+J27+J29+J31+J35+J42+J57+J60+J62+J64+J68+J74+J84+J90</f>
        <v>121955.48823399999</v>
      </c>
    </row>
    <row r="93" spans="1:25" x14ac:dyDescent="0.3">
      <c r="B93" s="41" t="s">
        <v>496</v>
      </c>
      <c r="C93" s="48"/>
      <c r="D93" s="48"/>
      <c r="E93" s="47"/>
      <c r="F93" s="48"/>
      <c r="G93" s="48"/>
      <c r="H93" s="48"/>
      <c r="I93" s="58"/>
      <c r="M93" s="35">
        <f t="shared" ref="M93:V93" si="5">SUMIF($G$4:$G$90,M$3,$J$4:$J$90)</f>
        <v>10.334368000000001</v>
      </c>
      <c r="N93" s="35">
        <f t="shared" si="5"/>
        <v>481.90930200000008</v>
      </c>
      <c r="O93" s="35">
        <f t="shared" si="5"/>
        <v>9072.1658720000014</v>
      </c>
      <c r="P93" s="35">
        <f t="shared" si="5"/>
        <v>29009.34762</v>
      </c>
      <c r="Q93" s="35">
        <f t="shared" si="5"/>
        <v>8775.0203199999996</v>
      </c>
      <c r="R93" s="35">
        <f t="shared" si="5"/>
        <v>6807.6656000000003</v>
      </c>
      <c r="S93" s="35">
        <f t="shared" si="5"/>
        <v>10529.319296</v>
      </c>
      <c r="T93" s="35">
        <f t="shared" si="5"/>
        <v>28143.125855999999</v>
      </c>
      <c r="U93" s="35">
        <f t="shared" si="5"/>
        <v>26583.200000000001</v>
      </c>
      <c r="V93" s="35">
        <f t="shared" si="5"/>
        <v>2543.4000000000005</v>
      </c>
      <c r="W93">
        <f>SUM(M93:V93)</f>
        <v>121955.488234</v>
      </c>
    </row>
    <row r="94" spans="1:25" x14ac:dyDescent="0.3">
      <c r="B94" s="41" t="s">
        <v>497</v>
      </c>
      <c r="C94" s="48"/>
      <c r="D94" s="48"/>
      <c r="E94" s="47"/>
      <c r="F94" s="48"/>
      <c r="G94" s="48"/>
      <c r="H94" s="48"/>
      <c r="I94" s="58"/>
      <c r="M94" s="35">
        <v>10</v>
      </c>
      <c r="N94" s="35">
        <v>481.4</v>
      </c>
      <c r="O94" s="35">
        <v>9079.6</v>
      </c>
      <c r="P94" s="35">
        <v>29015.200000000001</v>
      </c>
      <c r="Q94" s="35">
        <v>8776</v>
      </c>
      <c r="R94" s="35">
        <v>6809.6</v>
      </c>
      <c r="S94" s="35">
        <v>10530.3</v>
      </c>
      <c r="T94" s="35">
        <v>28146.9</v>
      </c>
      <c r="U94" s="35">
        <v>26583.200000000001</v>
      </c>
      <c r="V94" s="35">
        <v>2543.4</v>
      </c>
      <c r="W94">
        <f>SUM(M94:V94)</f>
        <v>121975.59999999999</v>
      </c>
    </row>
    <row r="95" spans="1:25" x14ac:dyDescent="0.3">
      <c r="B95" s="41" t="s">
        <v>498</v>
      </c>
      <c r="C95" s="48"/>
      <c r="D95" s="48"/>
      <c r="E95" s="47"/>
      <c r="F95" s="48"/>
      <c r="G95" s="48"/>
      <c r="H95" s="48"/>
      <c r="I95" s="58"/>
      <c r="M95" s="35">
        <f t="shared" ref="M95:W95" si="6">M93-M94</f>
        <v>0.33436800000000133</v>
      </c>
      <c r="N95" s="35">
        <f t="shared" si="6"/>
        <v>0.50930200000010473</v>
      </c>
      <c r="O95" s="35">
        <f t="shared" si="6"/>
        <v>-7.4341279999989638</v>
      </c>
      <c r="P95" s="35">
        <f t="shared" si="6"/>
        <v>-5.8523800000002666</v>
      </c>
      <c r="Q95" s="35">
        <f t="shared" si="6"/>
        <v>-0.97968000000037136</v>
      </c>
      <c r="R95" s="35">
        <f t="shared" si="6"/>
        <v>-1.934400000000096</v>
      </c>
      <c r="S95" s="35">
        <f t="shared" si="6"/>
        <v>-0.980703999999605</v>
      </c>
      <c r="T95" s="35">
        <f t="shared" si="6"/>
        <v>-3.7741440000027069</v>
      </c>
      <c r="U95" s="35">
        <f t="shared" si="6"/>
        <v>0</v>
      </c>
      <c r="V95" s="35">
        <f t="shared" si="6"/>
        <v>0</v>
      </c>
      <c r="W95">
        <f t="shared" si="6"/>
        <v>-20.111765999987256</v>
      </c>
    </row>
    <row r="96" spans="1:25" x14ac:dyDescent="0.3">
      <c r="B96" s="41" t="s">
        <v>499</v>
      </c>
      <c r="C96" s="48"/>
      <c r="D96" s="48"/>
      <c r="E96" s="47"/>
      <c r="F96" s="48"/>
      <c r="G96" s="48"/>
      <c r="H96" s="48"/>
      <c r="I96" s="58"/>
      <c r="W96">
        <f>ROUND(W93*0.015,1)</f>
        <v>1829.3</v>
      </c>
      <c r="X96">
        <v>1829.6</v>
      </c>
      <c r="Y96">
        <f>W96-X96</f>
        <v>-0.29999999999995453</v>
      </c>
    </row>
    <row r="97" spans="1:25" x14ac:dyDescent="0.3">
      <c r="B97" s="41" t="s">
        <v>500</v>
      </c>
      <c r="C97" s="48"/>
      <c r="D97" s="48"/>
      <c r="E97" s="47"/>
      <c r="F97" s="48"/>
      <c r="G97" s="48"/>
      <c r="H97" s="48"/>
      <c r="I97" s="58"/>
      <c r="W97">
        <f>W93+W96</f>
        <v>123784.78823400001</v>
      </c>
      <c r="X97">
        <v>123805.2</v>
      </c>
      <c r="Y97">
        <f>W97-X97</f>
        <v>-20.411765999990166</v>
      </c>
    </row>
    <row r="99" spans="1:25" x14ac:dyDescent="0.3">
      <c r="A99" t="s">
        <v>501</v>
      </c>
    </row>
  </sheetData>
  <mergeCells count="47">
    <mergeCell ref="A1:L1"/>
    <mergeCell ref="B95:I95"/>
    <mergeCell ref="B25:B26"/>
    <mergeCell ref="B28"/>
    <mergeCell ref="B94:I94"/>
    <mergeCell ref="B69:B73"/>
    <mergeCell ref="B35:C35"/>
    <mergeCell ref="M2:V2"/>
    <mergeCell ref="B61"/>
    <mergeCell ref="B74:C74"/>
    <mergeCell ref="B24:C24"/>
    <mergeCell ref="B68:C68"/>
    <mergeCell ref="B64:C64"/>
    <mergeCell ref="B15:C15"/>
    <mergeCell ref="B36:B41"/>
    <mergeCell ref="B43:B56"/>
    <mergeCell ref="B22:B23"/>
    <mergeCell ref="B5:C5"/>
    <mergeCell ref="B96:I96"/>
    <mergeCell ref="B21:C21"/>
    <mergeCell ref="B4"/>
    <mergeCell ref="B42:C42"/>
    <mergeCell ref="B60:C60"/>
    <mergeCell ref="B57:C57"/>
    <mergeCell ref="B32:B34"/>
    <mergeCell ref="B85:B89"/>
    <mergeCell ref="B16:B20"/>
    <mergeCell ref="B29:C29"/>
    <mergeCell ref="B10:C10"/>
    <mergeCell ref="B84:C84"/>
    <mergeCell ref="B75:B83"/>
    <mergeCell ref="B91:C91"/>
    <mergeCell ref="B97:I97"/>
    <mergeCell ref="B62:C62"/>
    <mergeCell ref="A4:A90"/>
    <mergeCell ref="B7:C7"/>
    <mergeCell ref="B90:C90"/>
    <mergeCell ref="B30"/>
    <mergeCell ref="B65:B67"/>
    <mergeCell ref="B6"/>
    <mergeCell ref="B8:B9"/>
    <mergeCell ref="B31:C31"/>
    <mergeCell ref="B11:B14"/>
    <mergeCell ref="B27:C27"/>
    <mergeCell ref="B58:B59"/>
    <mergeCell ref="B93:I93"/>
    <mergeCell ref="B63"/>
  </mergeCells>
  <phoneticPr fontId="3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/>
  </sheetViews>
  <sheetFormatPr defaultRowHeight="13.5" x14ac:dyDescent="0.3"/>
  <cols>
    <col min="1" max="1" width="16.265625" style="33" customWidth="1"/>
    <col min="2" max="2" width="9" style="33" customWidth="1"/>
    <col min="5" max="5" width="9.53125" style="33" customWidth="1"/>
    <col min="6" max="6" width="10.53125" style="33" customWidth="1"/>
    <col min="7" max="7" width="12.9296875" style="33" customWidth="1"/>
    <col min="8" max="8" width="9.53125" style="33" customWidth="1"/>
    <col min="9" max="9" width="53.1328125" style="33" customWidth="1"/>
  </cols>
  <sheetData>
    <row r="1" spans="1:9" x14ac:dyDescent="0.3">
      <c r="A1" s="48" t="s">
        <v>502</v>
      </c>
      <c r="B1" s="47"/>
      <c r="C1" s="48"/>
      <c r="D1" s="48"/>
      <c r="E1" s="47"/>
      <c r="F1" s="47"/>
      <c r="G1" s="47"/>
      <c r="H1" s="47"/>
      <c r="I1" s="47"/>
    </row>
    <row r="2" spans="1:9" x14ac:dyDescent="0.3">
      <c r="A2" s="27" t="s">
        <v>0</v>
      </c>
      <c r="B2" s="27" t="s">
        <v>1</v>
      </c>
      <c r="C2" s="27" t="s">
        <v>2</v>
      </c>
      <c r="D2" s="36" t="s">
        <v>3</v>
      </c>
      <c r="E2" s="37"/>
      <c r="F2" s="38"/>
      <c r="G2" s="27" t="s">
        <v>4</v>
      </c>
      <c r="H2" s="27" t="s">
        <v>5</v>
      </c>
      <c r="I2" s="27" t="s">
        <v>6</v>
      </c>
    </row>
    <row r="3" spans="1:9" x14ac:dyDescent="0.3">
      <c r="D3" s="27" t="s">
        <v>11</v>
      </c>
    </row>
    <row r="4" spans="1:9" x14ac:dyDescent="0.3">
      <c r="A4" s="27" t="s">
        <v>336</v>
      </c>
      <c r="B4" s="27">
        <v>4</v>
      </c>
      <c r="C4" s="27" t="s">
        <v>11</v>
      </c>
      <c r="D4" s="27">
        <v>10</v>
      </c>
      <c r="E4" s="27"/>
      <c r="F4" s="27"/>
      <c r="G4" s="28">
        <f>'主梁数量-节段01'!M93</f>
        <v>10.334368000000001</v>
      </c>
      <c r="H4" s="28">
        <f t="shared" ref="H4:H15" si="0">G4-D4</f>
        <v>0.33436800000000133</v>
      </c>
      <c r="I4" s="27" t="s">
        <v>503</v>
      </c>
    </row>
    <row r="5" spans="1:9" x14ac:dyDescent="0.3">
      <c r="A5" s="27" t="s">
        <v>336</v>
      </c>
      <c r="B5" s="27">
        <v>14</v>
      </c>
      <c r="C5" s="27" t="s">
        <v>11</v>
      </c>
      <c r="D5" s="27">
        <v>481.4</v>
      </c>
      <c r="E5" s="27"/>
      <c r="F5" s="27"/>
      <c r="G5" s="28">
        <f>'主梁数量-节段01'!N93</f>
        <v>481.90930200000008</v>
      </c>
      <c r="H5" s="28">
        <f t="shared" si="0"/>
        <v>0.50930200000010473</v>
      </c>
      <c r="I5" s="27"/>
    </row>
    <row r="6" spans="1:9" x14ac:dyDescent="0.3">
      <c r="A6" s="27" t="s">
        <v>336</v>
      </c>
      <c r="B6" s="27">
        <v>16</v>
      </c>
      <c r="C6" s="27" t="s">
        <v>11</v>
      </c>
      <c r="D6" s="27">
        <v>9079.6</v>
      </c>
      <c r="E6" s="27"/>
      <c r="F6" s="27"/>
      <c r="G6" s="28">
        <f>'主梁数量-节段01'!O93</f>
        <v>9072.1658720000014</v>
      </c>
      <c r="H6" s="28">
        <f t="shared" si="0"/>
        <v>-7.4341279999989638</v>
      </c>
      <c r="I6" s="27"/>
    </row>
    <row r="7" spans="1:9" x14ac:dyDescent="0.3">
      <c r="A7" s="27" t="s">
        <v>336</v>
      </c>
      <c r="B7" s="27">
        <v>20</v>
      </c>
      <c r="C7" s="27" t="s">
        <v>11</v>
      </c>
      <c r="D7" s="27">
        <v>29015.200000000001</v>
      </c>
      <c r="E7" s="27"/>
      <c r="F7" s="27"/>
      <c r="G7" s="28">
        <f>'主梁数量-节段01'!P93</f>
        <v>29009.34762</v>
      </c>
      <c r="H7" s="28">
        <f t="shared" si="0"/>
        <v>-5.8523800000002666</v>
      </c>
      <c r="I7" s="27"/>
    </row>
    <row r="8" spans="1:9" x14ac:dyDescent="0.3">
      <c r="A8" s="27" t="s">
        <v>336</v>
      </c>
      <c r="B8" s="27">
        <v>24</v>
      </c>
      <c r="C8" s="27" t="s">
        <v>11</v>
      </c>
      <c r="D8" s="27">
        <v>8776</v>
      </c>
      <c r="E8" s="27"/>
      <c r="F8" s="27"/>
      <c r="G8" s="28">
        <f>'主梁数量-节段01'!Q93</f>
        <v>8775.0203199999996</v>
      </c>
      <c r="H8" s="28">
        <f t="shared" si="0"/>
        <v>-0.97968000000037136</v>
      </c>
      <c r="I8" s="27"/>
    </row>
    <row r="9" spans="1:9" x14ac:dyDescent="0.3">
      <c r="A9" s="27" t="s">
        <v>336</v>
      </c>
      <c r="B9" s="27">
        <v>28</v>
      </c>
      <c r="C9" s="27" t="s">
        <v>11</v>
      </c>
      <c r="D9" s="27">
        <v>6809.6</v>
      </c>
      <c r="E9" s="27"/>
      <c r="F9" s="27"/>
      <c r="G9" s="28">
        <f>'主梁数量-节段01'!R93</f>
        <v>6807.6656000000003</v>
      </c>
      <c r="H9" s="28">
        <f t="shared" si="0"/>
        <v>-1.934400000000096</v>
      </c>
      <c r="I9" s="27"/>
    </row>
    <row r="10" spans="1:9" x14ac:dyDescent="0.3">
      <c r="A10" s="27" t="s">
        <v>336</v>
      </c>
      <c r="B10" s="27">
        <v>32</v>
      </c>
      <c r="C10" s="27" t="s">
        <v>11</v>
      </c>
      <c r="D10" s="27">
        <v>10530.3</v>
      </c>
      <c r="E10" s="27"/>
      <c r="F10" s="27"/>
      <c r="G10" s="28">
        <f>'主梁数量-节段01'!S93</f>
        <v>10529.319296</v>
      </c>
      <c r="H10" s="28">
        <f t="shared" si="0"/>
        <v>-0.980703999999605</v>
      </c>
      <c r="I10" s="27"/>
    </row>
    <row r="11" spans="1:9" x14ac:dyDescent="0.3">
      <c r="A11" s="27" t="s">
        <v>336</v>
      </c>
      <c r="B11" s="27">
        <v>36</v>
      </c>
      <c r="C11" s="27" t="s">
        <v>11</v>
      </c>
      <c r="D11" s="27">
        <v>28146.9</v>
      </c>
      <c r="E11" s="27"/>
      <c r="F11" s="27"/>
      <c r="G11" s="28">
        <f>'主梁数量-节段01'!T93</f>
        <v>28143.125855999999</v>
      </c>
      <c r="H11" s="28">
        <f t="shared" si="0"/>
        <v>-3.7741440000027069</v>
      </c>
      <c r="I11" s="27"/>
    </row>
    <row r="12" spans="1:9" x14ac:dyDescent="0.3">
      <c r="A12" s="27" t="s">
        <v>336</v>
      </c>
      <c r="B12" s="27">
        <v>40</v>
      </c>
      <c r="C12" s="27" t="s">
        <v>11</v>
      </c>
      <c r="D12" s="27">
        <v>26583.200000000001</v>
      </c>
      <c r="E12" s="27"/>
      <c r="F12" s="27"/>
      <c r="G12" s="28">
        <f>'主梁数量-节段01'!U93</f>
        <v>26583.200000000001</v>
      </c>
      <c r="H12" s="28">
        <f t="shared" si="0"/>
        <v>0</v>
      </c>
      <c r="I12" s="27"/>
    </row>
    <row r="13" spans="1:9" x14ac:dyDescent="0.3">
      <c r="A13" s="27" t="s">
        <v>336</v>
      </c>
      <c r="B13" s="27">
        <v>100</v>
      </c>
      <c r="C13" s="27" t="s">
        <v>11</v>
      </c>
      <c r="D13" s="27">
        <v>2543.4</v>
      </c>
      <c r="E13" s="27"/>
      <c r="F13" s="27"/>
      <c r="G13" s="28">
        <f>'主梁数量-节段01'!V93</f>
        <v>2543.4000000000005</v>
      </c>
      <c r="H13" s="28">
        <f t="shared" si="0"/>
        <v>0</v>
      </c>
      <c r="I13" s="27"/>
    </row>
    <row r="14" spans="1:9" x14ac:dyDescent="0.3">
      <c r="A14" s="27"/>
      <c r="B14" s="27" t="s">
        <v>499</v>
      </c>
      <c r="C14" s="27"/>
      <c r="D14" s="27">
        <v>1829.6</v>
      </c>
      <c r="E14" s="27"/>
      <c r="F14" s="27"/>
      <c r="G14" s="28">
        <f>'主梁数量-节段01'!W96</f>
        <v>1829.3</v>
      </c>
      <c r="H14" s="28">
        <f t="shared" si="0"/>
        <v>-0.29999999999995453</v>
      </c>
      <c r="I14" s="27"/>
    </row>
    <row r="15" spans="1:9" x14ac:dyDescent="0.3">
      <c r="A15" s="31" t="s">
        <v>13</v>
      </c>
      <c r="B15" s="27" t="s">
        <v>9</v>
      </c>
      <c r="C15" s="27" t="s">
        <v>11</v>
      </c>
      <c r="D15" s="27">
        <f>SUM(D4:D14)</f>
        <v>123805.2</v>
      </c>
      <c r="E15" s="27"/>
      <c r="F15" s="28"/>
      <c r="G15" s="28">
        <f>SUM(G4:G14)</f>
        <v>123784.78823400001</v>
      </c>
      <c r="H15" s="30">
        <f t="shared" si="0"/>
        <v>-20.411765999990166</v>
      </c>
      <c r="I15" s="27"/>
    </row>
    <row r="17" spans="1:1" x14ac:dyDescent="0.3">
      <c r="A17" t="s">
        <v>504</v>
      </c>
    </row>
    <row r="18" spans="1:1" x14ac:dyDescent="0.3">
      <c r="A18" t="s">
        <v>505</v>
      </c>
    </row>
  </sheetData>
  <mergeCells count="2">
    <mergeCell ref="A1:I1"/>
    <mergeCell ref="D2:F2"/>
  </mergeCells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</vt:i4>
      </vt:variant>
    </vt:vector>
  </HeadingPairs>
  <TitlesOfParts>
    <vt:vector size="11" baseType="lpstr">
      <vt:lpstr>合计数量</vt:lpstr>
      <vt:lpstr>主梁数量</vt:lpstr>
      <vt:lpstr>横隔板</vt:lpstr>
      <vt:lpstr>梁底挡块</vt:lpstr>
      <vt:lpstr>附属预埋件</vt:lpstr>
      <vt:lpstr>主梁数量-节段01</vt:lpstr>
      <vt:lpstr>合计数量-节段01</vt:lpstr>
      <vt:lpstr>附属预埋件!Print_Area</vt:lpstr>
      <vt:lpstr>横隔板!Print_Area</vt:lpstr>
      <vt:lpstr>梁底挡块!Print_Area</vt:lpstr>
      <vt:lpstr>主梁数量!Print_Area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曹毅</dc:creator>
  <cp:lastModifiedBy>wier Zhang</cp:lastModifiedBy>
  <dcterms:created xsi:type="dcterms:W3CDTF">2023-05-12T11:15:00Z</dcterms:created>
  <dcterms:modified xsi:type="dcterms:W3CDTF">2026-10-18T14:56:00Z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KSOReadingLayout">
    <vt:bool>true</vt:bool>
  </property>
  <property fmtid="{D5CDD505-2E9C-101B-9397-08002B2CF9AE}" pid="4" name="ICV">
    <vt:lpwstr>465ABB43A53C453B8E57A7E9BA2456AD_13</vt:lpwstr>
  </property>
  <property fmtid="{D5CDD505-2E9C-101B-9397-08002B2CF9AE}" pid="5" name="CalculationRule">
    <vt:i4>0</vt:i4>
  </property>
</Properties>
</file>