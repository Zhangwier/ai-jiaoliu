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节段01计算底稿" sheetId="1" state="visible" r:id="rId1"/>
  </sheets>
  <definedNames>
    <definedName name="_xlnm.Print_Titles" localSheetId="0">'节段01计算底稿'!$3:$3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"/>
    <numFmt numFmtId="165" formatCode="#,##0.0"/>
    <numFmt numFmtId="166" formatCode="0.000%"/>
  </numFmts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9"/>
    </font>
    <font>
      <name val="宋体"/>
      <b val="1"/>
      <sz val="9"/>
    </font>
    <font>
      <name val="宋体"/>
      <b val="1"/>
      <sz val="10"/>
    </font>
    <font>
      <name val="宋体"/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/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.5" customWidth="1" min="3" max="3"/>
    <col width="7" customWidth="1" min="4" max="4"/>
    <col width="18" customWidth="1" min="5" max="5"/>
    <col width="7" customWidth="1" min="6" max="6"/>
    <col width="9" customWidth="1" min="7" max="7"/>
    <col width="9" customWidth="1" min="8" max="8"/>
    <col width="8.5" customWidth="1" min="9" max="9"/>
    <col width="8" customWidth="1" min="10" max="10"/>
    <col width="5.5" customWidth="1" min="11" max="11"/>
    <col width="25" customWidth="1" min="12" max="12"/>
    <col width="11" customWidth="1" min="13" max="13"/>
    <col width="11" customWidth="1" min="14" max="14"/>
    <col width="11.5" customWidth="1" min="15" max="15"/>
    <col width="11.5" customWidth="1" min="16" max="16"/>
    <col width="9" customWidth="1" min="17" max="17"/>
    <col width="8" customWidth="1" min="18" max="18"/>
    <col width="26" customWidth="1" min="19" max="19"/>
  </cols>
  <sheetData>
    <row r="1" ht="30" customHeight="1">
      <c r="A1" s="1" t="inlineStr">
        <is>
          <t>K6+418.3 新沙高架桥  中桁节段01  钢结构重量计算底稿</t>
        </is>
      </c>
    </row>
    <row r="2" ht="42" customHeight="1">
      <c r="A2" s="2" t="inlineStr">
        <is>
          <t>依据：主线G6-2 新沙高架桥施工图 图号 SZYS/04/02/02/01/09《中桁节段01设计图》第49页《节段01材料数量表》。计算规则：板材 W=长×宽×板厚×7850kg/m³；标注面积的零件 W=面积×板厚×7.85kg/m²。图纸数据（规格、数量、单件重）原样照录，不作修改；计算重量与图纸重量分列，差异=计算-图纸。</t>
        </is>
      </c>
    </row>
    <row r="3" ht="34" customHeight="1">
      <c r="A3" s="3" t="inlineStr">
        <is>
          <t>序号</t>
        </is>
      </c>
      <c r="B3" s="3" t="inlineStr">
        <is>
          <t>部位</t>
        </is>
      </c>
      <c r="C3" s="3" t="inlineStr">
        <is>
          <t>编号</t>
        </is>
      </c>
      <c r="D3" s="3" t="inlineStr">
        <is>
          <t>材质</t>
        </is>
      </c>
      <c r="E3" s="3" t="inlineStr">
        <is>
          <t>规格（图纸原文）</t>
        </is>
      </c>
      <c r="F3" s="3" t="inlineStr">
        <is>
          <t>规格类型</t>
        </is>
      </c>
      <c r="G3" s="3" t="inlineStr">
        <is>
          <t>长(mm)</t>
        </is>
      </c>
      <c r="H3" s="3" t="inlineStr">
        <is>
          <t>宽(mm)</t>
        </is>
      </c>
      <c r="I3" s="3" t="inlineStr">
        <is>
          <t>面积(m²)</t>
        </is>
      </c>
      <c r="J3" s="3" t="inlineStr">
        <is>
          <t>板厚(mm)</t>
        </is>
      </c>
      <c r="K3" s="3" t="inlineStr">
        <is>
          <t>数量</t>
        </is>
      </c>
      <c r="L3" s="3" t="inlineStr">
        <is>
          <t>计算式</t>
        </is>
      </c>
      <c r="M3" s="3" t="inlineStr">
        <is>
          <t>计算单件重(kg)</t>
        </is>
      </c>
      <c r="N3" s="3" t="inlineStr">
        <is>
          <t>计算共重(kg)</t>
        </is>
      </c>
      <c r="O3" s="3" t="inlineStr">
        <is>
          <t>图纸单件重(kg)</t>
        </is>
      </c>
      <c r="P3" s="3" t="inlineStr">
        <is>
          <t>图纸共重(kg)</t>
        </is>
      </c>
      <c r="Q3" s="3" t="inlineStr">
        <is>
          <t>差异(kg)</t>
        </is>
      </c>
      <c r="R3" s="3" t="inlineStr">
        <is>
          <t>差异率</t>
        </is>
      </c>
      <c r="S3" s="3" t="inlineStr">
        <is>
          <t>备注</t>
        </is>
      </c>
    </row>
    <row r="4">
      <c r="A4" s="4" t="n">
        <v>1</v>
      </c>
      <c r="B4" s="4" t="inlineStr">
        <is>
          <t>上弦顶板</t>
        </is>
      </c>
      <c r="C4" s="4" t="inlineStr">
        <is>
          <t>N11</t>
        </is>
      </c>
      <c r="D4" s="4" t="inlineStr">
        <is>
          <t>Q355D</t>
        </is>
      </c>
      <c r="E4" s="5" t="inlineStr">
        <is>
          <t>t=20mm,A=27m2</t>
        </is>
      </c>
      <c r="F4" s="4" t="inlineStr">
        <is>
          <t>面积</t>
        </is>
      </c>
      <c r="G4" s="6" t="inlineStr">
        <is>
          <t>—</t>
        </is>
      </c>
      <c r="H4" s="4" t="inlineStr">
        <is>
          <t>—</t>
        </is>
      </c>
      <c r="I4" s="7" t="n">
        <v>27</v>
      </c>
      <c r="J4" s="7" t="n">
        <v>20</v>
      </c>
      <c r="K4" s="4" t="n">
        <v>1</v>
      </c>
      <c r="L4" s="5" t="inlineStr">
        <is>
          <t>面积×厚×7.85 = 27×20×7.85</t>
        </is>
      </c>
      <c r="M4" s="8">
        <f>I4*J4*7.85</f>
        <v/>
      </c>
      <c r="N4" s="9">
        <f>M4*K4</f>
        <v/>
      </c>
      <c r="O4" s="9" t="n">
        <v>4239</v>
      </c>
      <c r="P4" s="9">
        <f>O4*K4</f>
        <v/>
      </c>
      <c r="Q4" s="9">
        <f>N4-P4</f>
        <v/>
      </c>
      <c r="R4" s="10">
        <f>IF(P4=0,"",Q4/P4)</f>
        <v/>
      </c>
      <c r="S4" s="5" t="inlineStr"/>
    </row>
    <row r="5">
      <c r="A5" s="4" t="n">
        <v>2</v>
      </c>
      <c r="B5" s="4" t="inlineStr">
        <is>
          <t>上弦底板</t>
        </is>
      </c>
      <c r="C5" s="4" t="inlineStr">
        <is>
          <t>N12</t>
        </is>
      </c>
      <c r="D5" s="4" t="inlineStr">
        <is>
          <t>Q355D</t>
        </is>
      </c>
      <c r="E5" s="5" t="inlineStr">
        <is>
          <t>□13350x1200x20</t>
        </is>
      </c>
      <c r="F5" s="4" t="inlineStr">
        <is>
          <t>板件</t>
        </is>
      </c>
      <c r="G5" s="6" t="n">
        <v>13350</v>
      </c>
      <c r="H5" s="4" t="n">
        <v>1200</v>
      </c>
      <c r="I5" s="7" t="inlineStr">
        <is>
          <t>—</t>
        </is>
      </c>
      <c r="J5" s="7" t="n">
        <v>20</v>
      </c>
      <c r="K5" s="4" t="n">
        <v>1</v>
      </c>
      <c r="L5" s="5" t="inlineStr">
        <is>
          <t>长×宽×厚×7850 = 13350×1200×20mm</t>
        </is>
      </c>
      <c r="M5" s="8">
        <f>(G5/1000)*(H5/1000)*(J5/1000)*7850</f>
        <v/>
      </c>
      <c r="N5" s="9">
        <f>M5*K5</f>
        <v/>
      </c>
      <c r="O5" s="9" t="n">
        <v>2515.1</v>
      </c>
      <c r="P5" s="9">
        <f>O5*K5</f>
        <v/>
      </c>
      <c r="Q5" s="9">
        <f>N5-P5</f>
        <v/>
      </c>
      <c r="R5" s="10">
        <f>IF(P5=0,"",Q5/P5)</f>
        <v/>
      </c>
      <c r="S5" s="5" t="inlineStr"/>
    </row>
    <row r="6">
      <c r="A6" s="4" t="n">
        <v>3</v>
      </c>
      <c r="B6" s="4" t="inlineStr">
        <is>
          <t>上弦节点板</t>
        </is>
      </c>
      <c r="C6" s="4" t="inlineStr">
        <is>
          <t>N14</t>
        </is>
      </c>
      <c r="D6" s="4" t="inlineStr">
        <is>
          <t>Q355D</t>
        </is>
      </c>
      <c r="E6" s="5" t="inlineStr">
        <is>
          <t>t=28mm,A=13.05m2</t>
        </is>
      </c>
      <c r="F6" s="4" t="inlineStr">
        <is>
          <t>面积</t>
        </is>
      </c>
      <c r="G6" s="6" t="inlineStr">
        <is>
          <t>—</t>
        </is>
      </c>
      <c r="H6" s="4" t="inlineStr">
        <is>
          <t>—</t>
        </is>
      </c>
      <c r="I6" s="7" t="n">
        <v>13.05</v>
      </c>
      <c r="J6" s="7" t="n">
        <v>28</v>
      </c>
      <c r="K6" s="4" t="n">
        <v>2</v>
      </c>
      <c r="L6" s="5" t="inlineStr">
        <is>
          <t>面积×厚×7.85 = 13.05×28×7.85</t>
        </is>
      </c>
      <c r="M6" s="8">
        <f>I6*J6*7.85</f>
        <v/>
      </c>
      <c r="N6" s="9">
        <f>M6*K6</f>
        <v/>
      </c>
      <c r="O6" s="9" t="n">
        <v>2868.4</v>
      </c>
      <c r="P6" s="9">
        <f>O6*K6</f>
        <v/>
      </c>
      <c r="Q6" s="9">
        <f>N6-P6</f>
        <v/>
      </c>
      <c r="R6" s="10">
        <f>IF(P6=0,"",Q6/P6)</f>
        <v/>
      </c>
      <c r="S6" s="5" t="inlineStr"/>
    </row>
    <row r="7">
      <c r="A7" s="4" t="n">
        <v>4</v>
      </c>
      <c r="B7" s="4" t="inlineStr">
        <is>
          <t>上弦节点板</t>
        </is>
      </c>
      <c r="C7" s="4" t="inlineStr">
        <is>
          <t>N14a</t>
        </is>
      </c>
      <c r="D7" s="4" t="inlineStr">
        <is>
          <t>Q355D</t>
        </is>
      </c>
      <c r="E7" s="5" t="inlineStr">
        <is>
          <t>t=40mm,A=25m2</t>
        </is>
      </c>
      <c r="F7" s="4" t="inlineStr">
        <is>
          <t>面积</t>
        </is>
      </c>
      <c r="G7" s="6" t="inlineStr">
        <is>
          <t>—</t>
        </is>
      </c>
      <c r="H7" s="4" t="inlineStr">
        <is>
          <t>—</t>
        </is>
      </c>
      <c r="I7" s="7" t="n">
        <v>25</v>
      </c>
      <c r="J7" s="7" t="n">
        <v>40</v>
      </c>
      <c r="K7" s="4" t="n">
        <v>2</v>
      </c>
      <c r="L7" s="5" t="inlineStr">
        <is>
          <t>面积×厚×7.85 = 25×40×7.85</t>
        </is>
      </c>
      <c r="M7" s="8">
        <f>I7*J7*7.85</f>
        <v/>
      </c>
      <c r="N7" s="9">
        <f>M7*K7</f>
        <v/>
      </c>
      <c r="O7" s="9" t="n">
        <v>7850</v>
      </c>
      <c r="P7" s="9">
        <f>O7*K7</f>
        <v/>
      </c>
      <c r="Q7" s="9">
        <f>N7-P7</f>
        <v/>
      </c>
      <c r="R7" s="10">
        <f>IF(P7=0,"",Q7/P7)</f>
        <v/>
      </c>
      <c r="S7" s="5" t="inlineStr"/>
    </row>
    <row r="8">
      <c r="A8" s="4" t="n">
        <v>5</v>
      </c>
      <c r="B8" s="4" t="inlineStr">
        <is>
          <t>上弦横隔板</t>
        </is>
      </c>
      <c r="C8" s="4" t="inlineStr">
        <is>
          <t>N15</t>
        </is>
      </c>
      <c r="D8" s="4" t="inlineStr">
        <is>
          <t>Q355D</t>
        </is>
      </c>
      <c r="E8" s="5" t="inlineStr">
        <is>
          <t>□1980x1200x16</t>
        </is>
      </c>
      <c r="F8" s="4" t="inlineStr">
        <is>
          <t>板件</t>
        </is>
      </c>
      <c r="G8" s="6" t="n">
        <v>1980</v>
      </c>
      <c r="H8" s="4" t="n">
        <v>1200</v>
      </c>
      <c r="I8" s="7" t="inlineStr">
        <is>
          <t>—</t>
        </is>
      </c>
      <c r="J8" s="7" t="n">
        <v>16</v>
      </c>
      <c r="K8" s="4" t="n">
        <v>6</v>
      </c>
      <c r="L8" s="5" t="inlineStr">
        <is>
          <t>长×宽×厚×7850 = 1980×1200×16mm</t>
        </is>
      </c>
      <c r="M8" s="8">
        <f>(G8/1000)*(H8/1000)*(J8/1000)*7850</f>
        <v/>
      </c>
      <c r="N8" s="9">
        <f>M8*K8</f>
        <v/>
      </c>
      <c r="O8" s="9" t="n">
        <v>298.9</v>
      </c>
      <c r="P8" s="9">
        <f>O8*K8</f>
        <v/>
      </c>
      <c r="Q8" s="9">
        <f>N8-P8</f>
        <v/>
      </c>
      <c r="R8" s="10">
        <f>IF(P8=0,"",Q8/P8)</f>
        <v/>
      </c>
      <c r="S8" s="5" t="inlineStr"/>
    </row>
    <row r="9">
      <c r="A9" s="4" t="n">
        <v>6</v>
      </c>
      <c r="B9" s="4" t="inlineStr">
        <is>
          <t>上弦横隔板</t>
        </is>
      </c>
      <c r="C9" s="4" t="inlineStr">
        <is>
          <t>N15'</t>
        </is>
      </c>
      <c r="D9" s="4" t="inlineStr">
        <is>
          <t>Q355D</t>
        </is>
      </c>
      <c r="E9" s="5" t="inlineStr">
        <is>
          <t>□2057x200x16</t>
        </is>
      </c>
      <c r="F9" s="4" t="inlineStr">
        <is>
          <t>板件</t>
        </is>
      </c>
      <c r="G9" s="6" t="n">
        <v>2057</v>
      </c>
      <c r="H9" s="4" t="n">
        <v>200</v>
      </c>
      <c r="I9" s="7" t="inlineStr">
        <is>
          <t>—</t>
        </is>
      </c>
      <c r="J9" s="7" t="n">
        <v>16</v>
      </c>
      <c r="K9" s="4" t="n">
        <v>4</v>
      </c>
      <c r="L9" s="5" t="inlineStr">
        <is>
          <t>长×宽×厚×7850 = 2057×200×16mm</t>
        </is>
      </c>
      <c r="M9" s="8">
        <f>(G9/1000)*(H9/1000)*(J9/1000)*7850</f>
        <v/>
      </c>
      <c r="N9" s="9">
        <f>M9*K9</f>
        <v/>
      </c>
      <c r="O9" s="9" t="n">
        <v>51.5</v>
      </c>
      <c r="P9" s="9">
        <f>O9*K9</f>
        <v/>
      </c>
      <c r="Q9" s="9">
        <f>N9-P9</f>
        <v/>
      </c>
      <c r="R9" s="10">
        <f>IF(P9=0,"",Q9/P9)</f>
        <v/>
      </c>
      <c r="S9" s="5" t="inlineStr"/>
    </row>
    <row r="10">
      <c r="A10" s="4" t="n">
        <v>7</v>
      </c>
      <c r="B10" s="4" t="inlineStr">
        <is>
          <t>上弦横隔板</t>
        </is>
      </c>
      <c r="C10" s="4" t="inlineStr">
        <is>
          <t>N15b</t>
        </is>
      </c>
      <c r="D10" s="4" t="inlineStr">
        <is>
          <t>Q355B</t>
        </is>
      </c>
      <c r="E10" s="5" t="inlineStr">
        <is>
          <t>□2057x40x4</t>
        </is>
      </c>
      <c r="F10" s="4" t="inlineStr">
        <is>
          <t>板件</t>
        </is>
      </c>
      <c r="G10" s="6" t="n">
        <v>2057</v>
      </c>
      <c r="H10" s="4" t="n">
        <v>40</v>
      </c>
      <c r="I10" s="7" t="inlineStr">
        <is>
          <t>—</t>
        </is>
      </c>
      <c r="J10" s="7" t="n">
        <v>4</v>
      </c>
      <c r="K10" s="4" t="n">
        <v>4</v>
      </c>
      <c r="L10" s="5" t="inlineStr">
        <is>
          <t>长×宽×厚×7850 = 2057×40×4mm</t>
        </is>
      </c>
      <c r="M10" s="8">
        <f>(G10/1000)*(H10/1000)*(J10/1000)*7850</f>
        <v/>
      </c>
      <c r="N10" s="9">
        <f>M10*K10</f>
        <v/>
      </c>
      <c r="O10" s="9" t="n">
        <v>2.5</v>
      </c>
      <c r="P10" s="9">
        <f>O10*K10</f>
        <v/>
      </c>
      <c r="Q10" s="9">
        <f>N10-P10</f>
        <v/>
      </c>
      <c r="R10" s="10">
        <f>IF(P10=0,"",Q10/P10)</f>
        <v/>
      </c>
      <c r="S10" s="5" t="inlineStr">
        <is>
          <t>材质为Q355B，单列</t>
        </is>
      </c>
    </row>
    <row r="11">
      <c r="A11" s="4" t="n">
        <v>8</v>
      </c>
      <c r="B11" s="4" t="inlineStr">
        <is>
          <t>上弦横隔板</t>
        </is>
      </c>
      <c r="C11" s="4" t="inlineStr">
        <is>
          <t>N15c</t>
        </is>
      </c>
      <c r="D11" s="4" t="inlineStr">
        <is>
          <t>Q355D</t>
        </is>
      </c>
      <c r="E11" s="5" t="inlineStr">
        <is>
          <t>□800x400x16</t>
        </is>
      </c>
      <c r="F11" s="4" t="inlineStr">
        <is>
          <t>板件</t>
        </is>
      </c>
      <c r="G11" s="6" t="n">
        <v>800</v>
      </c>
      <c r="H11" s="4" t="n">
        <v>400</v>
      </c>
      <c r="I11" s="7" t="inlineStr">
        <is>
          <t>—</t>
        </is>
      </c>
      <c r="J11" s="7" t="n">
        <v>16</v>
      </c>
      <c r="K11" s="4" t="n">
        <v>4</v>
      </c>
      <c r="L11" s="5" t="inlineStr">
        <is>
          <t>长×宽×厚×7850 = 800×400×16mm</t>
        </is>
      </c>
      <c r="M11" s="8">
        <f>(G11/1000)*(H11/1000)*(J11/1000)*7850</f>
        <v/>
      </c>
      <c r="N11" s="9">
        <f>M11*K11</f>
        <v/>
      </c>
      <c r="O11" s="9" t="n">
        <v>40.2</v>
      </c>
      <c r="P11" s="9">
        <f>O11*K11</f>
        <v/>
      </c>
      <c r="Q11" s="9">
        <f>N11-P11</f>
        <v/>
      </c>
      <c r="R11" s="10">
        <f>IF(P11=0,"",Q11/P11)</f>
        <v/>
      </c>
      <c r="S11" s="5" t="inlineStr"/>
    </row>
    <row r="12">
      <c r="A12" s="4" t="n">
        <v>9</v>
      </c>
      <c r="B12" s="4" t="inlineStr">
        <is>
          <t>上弦加劲肋</t>
        </is>
      </c>
      <c r="C12" s="4" t="inlineStr">
        <is>
          <t>N16a</t>
        </is>
      </c>
      <c r="D12" s="4" t="inlineStr">
        <is>
          <t>Q355D</t>
        </is>
      </c>
      <c r="E12" s="5" t="inlineStr">
        <is>
          <t>□5651x240x20</t>
        </is>
      </c>
      <c r="F12" s="4" t="inlineStr">
        <is>
          <t>板件</t>
        </is>
      </c>
      <c r="G12" s="6" t="n">
        <v>5651</v>
      </c>
      <c r="H12" s="4" t="n">
        <v>240</v>
      </c>
      <c r="I12" s="7" t="inlineStr">
        <is>
          <t>—</t>
        </is>
      </c>
      <c r="J12" s="7" t="n">
        <v>20</v>
      </c>
      <c r="K12" s="4" t="n">
        <v>4</v>
      </c>
      <c r="L12" s="5" t="inlineStr">
        <is>
          <t>长×宽×厚×7850 = 5651×240×20mm</t>
        </is>
      </c>
      <c r="M12" s="8">
        <f>(G12/1000)*(H12/1000)*(J12/1000)*7850</f>
        <v/>
      </c>
      <c r="N12" s="9">
        <f>M12*K12</f>
        <v/>
      </c>
      <c r="O12" s="9" t="n">
        <v>213.5</v>
      </c>
      <c r="P12" s="9">
        <f>O12*K12</f>
        <v/>
      </c>
      <c r="Q12" s="9">
        <f>N12-P12</f>
        <v/>
      </c>
      <c r="R12" s="10">
        <f>IF(P12=0,"",Q12/P12)</f>
        <v/>
      </c>
      <c r="S12" s="5" t="inlineStr"/>
    </row>
    <row r="13">
      <c r="A13" s="4" t="n">
        <v>10</v>
      </c>
      <c r="B13" s="4" t="inlineStr">
        <is>
          <t>上弦加劲肋</t>
        </is>
      </c>
      <c r="C13" s="4" t="inlineStr">
        <is>
          <t>N16b</t>
        </is>
      </c>
      <c r="D13" s="4" t="inlineStr">
        <is>
          <t>Q355D</t>
        </is>
      </c>
      <c r="E13" s="5" t="inlineStr">
        <is>
          <t>□7700x240x20</t>
        </is>
      </c>
      <c r="F13" s="4" t="inlineStr">
        <is>
          <t>板件</t>
        </is>
      </c>
      <c r="G13" s="6" t="n">
        <v>7700</v>
      </c>
      <c r="H13" s="4" t="n">
        <v>240</v>
      </c>
      <c r="I13" s="7" t="inlineStr">
        <is>
          <t>—</t>
        </is>
      </c>
      <c r="J13" s="7" t="n">
        <v>20</v>
      </c>
      <c r="K13" s="4" t="n">
        <v>4</v>
      </c>
      <c r="L13" s="5" t="inlineStr">
        <is>
          <t>长×宽×厚×7850 = 7700×240×20mm</t>
        </is>
      </c>
      <c r="M13" s="8">
        <f>(G13/1000)*(H13/1000)*(J13/1000)*7850</f>
        <v/>
      </c>
      <c r="N13" s="9">
        <f>M13*K13</f>
        <v/>
      </c>
      <c r="O13" s="9" t="n">
        <v>290.5</v>
      </c>
      <c r="P13" s="9">
        <f>O13*K13</f>
        <v/>
      </c>
      <c r="Q13" s="9">
        <f>N13-P13</f>
        <v/>
      </c>
      <c r="R13" s="10">
        <f>IF(P13=0,"",Q13/P13)</f>
        <v/>
      </c>
      <c r="S13" s="5" t="inlineStr"/>
    </row>
    <row r="14">
      <c r="A14" s="4" t="n">
        <v>11</v>
      </c>
      <c r="B14" s="4" t="inlineStr">
        <is>
          <t>上弦加劲肋</t>
        </is>
      </c>
      <c r="C14" s="4" t="inlineStr">
        <is>
          <t>N16c</t>
        </is>
      </c>
      <c r="D14" s="4" t="inlineStr">
        <is>
          <t>Q355D</t>
        </is>
      </c>
      <c r="E14" s="5" t="inlineStr">
        <is>
          <t>□7700x240x20</t>
        </is>
      </c>
      <c r="F14" s="4" t="inlineStr">
        <is>
          <t>板件</t>
        </is>
      </c>
      <c r="G14" s="6" t="n">
        <v>7700</v>
      </c>
      <c r="H14" s="4" t="n">
        <v>240</v>
      </c>
      <c r="I14" s="7" t="inlineStr">
        <is>
          <t>—</t>
        </is>
      </c>
      <c r="J14" s="7" t="n">
        <v>20</v>
      </c>
      <c r="K14" s="4" t="n">
        <v>0</v>
      </c>
      <c r="L14" s="5" t="inlineStr">
        <is>
          <t>长×宽×厚×7850 = 7700×240×20mm</t>
        </is>
      </c>
      <c r="M14" s="8">
        <f>(G14/1000)*(H14/1000)*(J14/1000)*7850</f>
        <v/>
      </c>
      <c r="N14" s="9">
        <f>M14*K14</f>
        <v/>
      </c>
      <c r="O14" s="9" t="n">
        <v>290.5</v>
      </c>
      <c r="P14" s="9">
        <f>O14*K14</f>
        <v/>
      </c>
      <c r="Q14" s="9">
        <f>N14-P14</f>
        <v/>
      </c>
      <c r="R14" s="10">
        <f>IF(P14=0,"",Q14/P14)</f>
        <v/>
      </c>
      <c r="S14" s="5" t="inlineStr">
        <is>
          <t>图纸数量为0；补量后按本行公式自动计重（290.5kg/件 × 数量）</t>
        </is>
      </c>
    </row>
    <row r="15">
      <c r="A15" s="4" t="n">
        <v>12</v>
      </c>
      <c r="B15" s="4" t="inlineStr">
        <is>
          <t>上弦加劲肋</t>
        </is>
      </c>
      <c r="C15" s="4" t="inlineStr">
        <is>
          <t>N16d</t>
        </is>
      </c>
      <c r="D15" s="4" t="inlineStr">
        <is>
          <t>Q355D</t>
        </is>
      </c>
      <c r="E15" s="5" t="inlineStr">
        <is>
          <t>□13300x240x20</t>
        </is>
      </c>
      <c r="F15" s="4" t="inlineStr">
        <is>
          <t>板件</t>
        </is>
      </c>
      <c r="G15" s="6" t="n">
        <v>13300</v>
      </c>
      <c r="H15" s="4" t="n">
        <v>240</v>
      </c>
      <c r="I15" s="7" t="inlineStr">
        <is>
          <t>—</t>
        </is>
      </c>
      <c r="J15" s="7" t="n">
        <v>20</v>
      </c>
      <c r="K15" s="4" t="n">
        <v>1</v>
      </c>
      <c r="L15" s="5" t="inlineStr">
        <is>
          <t>长×宽×厚×7850 = 13300×240×20mm</t>
        </is>
      </c>
      <c r="M15" s="8">
        <f>(G15/1000)*(H15/1000)*(J15/1000)*7850</f>
        <v/>
      </c>
      <c r="N15" s="9">
        <f>M15*K15</f>
        <v/>
      </c>
      <c r="O15" s="9" t="n">
        <v>500.8</v>
      </c>
      <c r="P15" s="9">
        <f>O15*K15</f>
        <v/>
      </c>
      <c r="Q15" s="9">
        <f>N15-P15</f>
        <v/>
      </c>
      <c r="R15" s="10">
        <f>IF(P15=0,"",Q15/P15)</f>
        <v/>
      </c>
      <c r="S15" s="5" t="inlineStr"/>
    </row>
    <row r="16">
      <c r="A16" s="4" t="n">
        <v>13</v>
      </c>
      <c r="B16" s="4" t="inlineStr">
        <is>
          <t>上弦加劲肋</t>
        </is>
      </c>
      <c r="C16" s="4" t="inlineStr">
        <is>
          <t>N16e</t>
        </is>
      </c>
      <c r="D16" s="4" t="inlineStr">
        <is>
          <t>Q355D</t>
        </is>
      </c>
      <c r="E16" s="5" t="inlineStr">
        <is>
          <t>□13300x240x20</t>
        </is>
      </c>
      <c r="F16" s="4" t="inlineStr">
        <is>
          <t>板件</t>
        </is>
      </c>
      <c r="G16" s="6" t="n">
        <v>13300</v>
      </c>
      <c r="H16" s="4" t="n">
        <v>240</v>
      </c>
      <c r="I16" s="7" t="inlineStr">
        <is>
          <t>—</t>
        </is>
      </c>
      <c r="J16" s="7" t="n">
        <v>20</v>
      </c>
      <c r="K16" s="4" t="n">
        <v>1</v>
      </c>
      <c r="L16" s="5" t="inlineStr">
        <is>
          <t>长×宽×厚×7850 = 13300×240×20mm</t>
        </is>
      </c>
      <c r="M16" s="8">
        <f>(G16/1000)*(H16/1000)*(J16/1000)*7850</f>
        <v/>
      </c>
      <c r="N16" s="9">
        <f>M16*K16</f>
        <v/>
      </c>
      <c r="O16" s="9" t="n">
        <v>500.8</v>
      </c>
      <c r="P16" s="9">
        <f>O16*K16</f>
        <v/>
      </c>
      <c r="Q16" s="9">
        <f>N16-P16</f>
        <v/>
      </c>
      <c r="R16" s="10">
        <f>IF(P16=0,"",Q16/P16)</f>
        <v/>
      </c>
      <c r="S16" s="5" t="inlineStr"/>
    </row>
    <row r="17">
      <c r="A17" s="4" t="n">
        <v>14</v>
      </c>
      <c r="B17" s="4" t="inlineStr">
        <is>
          <t>下弦顶板</t>
        </is>
      </c>
      <c r="C17" s="4" t="inlineStr">
        <is>
          <t>N21</t>
        </is>
      </c>
      <c r="D17" s="4" t="inlineStr">
        <is>
          <t>Q355D</t>
        </is>
      </c>
      <c r="E17" s="5" t="inlineStr">
        <is>
          <t>□4790x2500x20</t>
        </is>
      </c>
      <c r="F17" s="4" t="inlineStr">
        <is>
          <t>板件</t>
        </is>
      </c>
      <c r="G17" s="6" t="n">
        <v>4790</v>
      </c>
      <c r="H17" s="4" t="n">
        <v>2500</v>
      </c>
      <c r="I17" s="7" t="inlineStr">
        <is>
          <t>—</t>
        </is>
      </c>
      <c r="J17" s="7" t="n">
        <v>20</v>
      </c>
      <c r="K17" s="4" t="n">
        <v>1</v>
      </c>
      <c r="L17" s="5" t="inlineStr">
        <is>
          <t>长×宽×厚×7850 = 4790×2500×20mm</t>
        </is>
      </c>
      <c r="M17" s="8">
        <f>(G17/1000)*(H17/1000)*(J17/1000)*7850</f>
        <v/>
      </c>
      <c r="N17" s="9">
        <f>M17*K17</f>
        <v/>
      </c>
      <c r="O17" s="9" t="n">
        <v>1880.9</v>
      </c>
      <c r="P17" s="9">
        <f>O17*K17</f>
        <v/>
      </c>
      <c r="Q17" s="9">
        <f>N17-P17</f>
        <v/>
      </c>
      <c r="R17" s="10">
        <f>IF(P17=0,"",Q17/P17)</f>
        <v/>
      </c>
      <c r="S17" s="5" t="inlineStr"/>
    </row>
    <row r="18">
      <c r="A18" s="4" t="n">
        <v>15</v>
      </c>
      <c r="B18" s="4" t="inlineStr">
        <is>
          <t>下弦顶板</t>
        </is>
      </c>
      <c r="C18" s="4" t="inlineStr">
        <is>
          <t>N21a</t>
        </is>
      </c>
      <c r="D18" s="4" t="inlineStr">
        <is>
          <t>Q355D</t>
        </is>
      </c>
      <c r="E18" s="5" t="inlineStr">
        <is>
          <t>□10105x2500x20</t>
        </is>
      </c>
      <c r="F18" s="4" t="inlineStr">
        <is>
          <t>板件</t>
        </is>
      </c>
      <c r="G18" s="6" t="n">
        <v>10105</v>
      </c>
      <c r="H18" s="4" t="n">
        <v>2500</v>
      </c>
      <c r="I18" s="7" t="inlineStr">
        <is>
          <t>—</t>
        </is>
      </c>
      <c r="J18" s="7" t="n">
        <v>20</v>
      </c>
      <c r="K18" s="4" t="n">
        <v>1</v>
      </c>
      <c r="L18" s="5" t="inlineStr">
        <is>
          <t>长×宽×厚×7850 = 10105×2500×20mm</t>
        </is>
      </c>
      <c r="M18" s="8">
        <f>(G18/1000)*(H18/1000)*(J18/1000)*7850</f>
        <v/>
      </c>
      <c r="N18" s="9">
        <f>M18*K18</f>
        <v/>
      </c>
      <c r="O18" s="9" t="n">
        <v>3965.8</v>
      </c>
      <c r="P18" s="9">
        <f>O18*K18</f>
        <v/>
      </c>
      <c r="Q18" s="9">
        <f>N18-P18</f>
        <v/>
      </c>
      <c r="R18" s="10">
        <f>IF(P18=0,"",Q18/P18)</f>
        <v/>
      </c>
      <c r="S18" s="5" t="inlineStr"/>
    </row>
    <row r="19">
      <c r="A19" s="4" t="n">
        <v>16</v>
      </c>
      <c r="B19" s="4" t="inlineStr">
        <is>
          <t>下弦底板</t>
        </is>
      </c>
      <c r="C19" s="4" t="inlineStr">
        <is>
          <t>N22</t>
        </is>
      </c>
      <c r="D19" s="4" t="inlineStr">
        <is>
          <t>Q355D</t>
        </is>
      </c>
      <c r="E19" s="5" t="inlineStr">
        <is>
          <t>t=36mm,A=9.36m2</t>
        </is>
      </c>
      <c r="F19" s="4" t="inlineStr">
        <is>
          <t>面积</t>
        </is>
      </c>
      <c r="G19" s="6" t="inlineStr">
        <is>
          <t>—</t>
        </is>
      </c>
      <c r="H19" s="4" t="inlineStr">
        <is>
          <t>—</t>
        </is>
      </c>
      <c r="I19" s="7" t="n">
        <v>9.359999999999999</v>
      </c>
      <c r="J19" s="7" t="n">
        <v>36</v>
      </c>
      <c r="K19" s="4" t="n">
        <v>1</v>
      </c>
      <c r="L19" s="5" t="inlineStr">
        <is>
          <t>面积×厚×7.85 = 9.36×36×7.85</t>
        </is>
      </c>
      <c r="M19" s="8">
        <f>I19*J19*7.85</f>
        <v/>
      </c>
      <c r="N19" s="9">
        <f>M19*K19</f>
        <v/>
      </c>
      <c r="O19" s="9" t="n">
        <v>2645.1</v>
      </c>
      <c r="P19" s="9">
        <f>O19*K19</f>
        <v/>
      </c>
      <c r="Q19" s="9">
        <f>N19-P19</f>
        <v/>
      </c>
      <c r="R19" s="10">
        <f>IF(P19=0,"",Q19/P19)</f>
        <v/>
      </c>
      <c r="S19" s="5" t="inlineStr"/>
    </row>
    <row r="20">
      <c r="A20" s="4" t="n">
        <v>17</v>
      </c>
      <c r="B20" s="4" t="inlineStr">
        <is>
          <t>下弦底板</t>
        </is>
      </c>
      <c r="C20" s="4" t="inlineStr">
        <is>
          <t>N22a</t>
        </is>
      </c>
      <c r="D20" s="4" t="inlineStr">
        <is>
          <t>Q355D</t>
        </is>
      </c>
      <c r="E20" s="5" t="inlineStr">
        <is>
          <t>t=20mm,A=15.68m2</t>
        </is>
      </c>
      <c r="F20" s="4" t="inlineStr">
        <is>
          <t>面积</t>
        </is>
      </c>
      <c r="G20" s="6" t="inlineStr">
        <is>
          <t>—</t>
        </is>
      </c>
      <c r="H20" s="4" t="inlineStr">
        <is>
          <t>—</t>
        </is>
      </c>
      <c r="I20" s="7" t="n">
        <v>15.68</v>
      </c>
      <c r="J20" s="7" t="n">
        <v>20</v>
      </c>
      <c r="K20" s="4" t="n">
        <v>1</v>
      </c>
      <c r="L20" s="5" t="inlineStr">
        <is>
          <t>面积×厚×7.85 = 15.68×20×7.85</t>
        </is>
      </c>
      <c r="M20" s="8">
        <f>I20*J20*7.85</f>
        <v/>
      </c>
      <c r="N20" s="9">
        <f>M20*K20</f>
        <v/>
      </c>
      <c r="O20" s="9" t="n">
        <v>2461.8</v>
      </c>
      <c r="P20" s="9">
        <f>O20*K20</f>
        <v/>
      </c>
      <c r="Q20" s="9">
        <f>N20-P20</f>
        <v/>
      </c>
      <c r="R20" s="10">
        <f>IF(P20=0,"",Q20/P20)</f>
        <v/>
      </c>
      <c r="S20" s="5" t="inlineStr"/>
    </row>
    <row r="21">
      <c r="A21" s="4" t="n">
        <v>18</v>
      </c>
      <c r="B21" s="4" t="inlineStr">
        <is>
          <t>下弦腹板</t>
        </is>
      </c>
      <c r="C21" s="4" t="inlineStr">
        <is>
          <t>N23</t>
        </is>
      </c>
      <c r="D21" s="4" t="inlineStr">
        <is>
          <t>Q355D</t>
        </is>
      </c>
      <c r="E21" s="5" t="inlineStr">
        <is>
          <t>□10105x1880x24</t>
        </is>
      </c>
      <c r="F21" s="4" t="inlineStr">
        <is>
          <t>板件</t>
        </is>
      </c>
      <c r="G21" s="6" t="n">
        <v>10105</v>
      </c>
      <c r="H21" s="4" t="n">
        <v>1880</v>
      </c>
      <c r="I21" s="7" t="inlineStr">
        <is>
          <t>—</t>
        </is>
      </c>
      <c r="J21" s="7" t="n">
        <v>24</v>
      </c>
      <c r="K21" s="4" t="n">
        <v>2</v>
      </c>
      <c r="L21" s="5" t="inlineStr">
        <is>
          <t>长×宽×厚×7850 = 10105×1880×24mm</t>
        </is>
      </c>
      <c r="M21" s="8">
        <f>(G21/1000)*(H21/1000)*(J21/1000)*7850</f>
        <v/>
      </c>
      <c r="N21" s="9">
        <f>M21*K21</f>
        <v/>
      </c>
      <c r="O21" s="9" t="n">
        <v>3579.6</v>
      </c>
      <c r="P21" s="9">
        <f>O21*K21</f>
        <v/>
      </c>
      <c r="Q21" s="9">
        <f>N21-P21</f>
        <v/>
      </c>
      <c r="R21" s="10">
        <f>IF(P21=0,"",Q21/P21)</f>
        <v/>
      </c>
      <c r="S21" s="5" t="inlineStr"/>
    </row>
    <row r="22">
      <c r="A22" s="4" t="n">
        <v>19</v>
      </c>
      <c r="B22" s="4" t="inlineStr">
        <is>
          <t>下弦节点板</t>
        </is>
      </c>
      <c r="C22" s="4" t="inlineStr">
        <is>
          <t>N24</t>
        </is>
      </c>
      <c r="D22" s="4" t="inlineStr">
        <is>
          <t>Q355D</t>
        </is>
      </c>
      <c r="E22" s="5" t="inlineStr">
        <is>
          <t>t=40mm,A=17.33m2</t>
        </is>
      </c>
      <c r="F22" s="4" t="inlineStr">
        <is>
          <t>面积</t>
        </is>
      </c>
      <c r="G22" s="6" t="inlineStr">
        <is>
          <t>—</t>
        </is>
      </c>
      <c r="H22" s="4" t="inlineStr">
        <is>
          <t>—</t>
        </is>
      </c>
      <c r="I22" s="7" t="n">
        <v>17.33</v>
      </c>
      <c r="J22" s="7" t="n">
        <v>40</v>
      </c>
      <c r="K22" s="4" t="n">
        <v>2</v>
      </c>
      <c r="L22" s="5" t="inlineStr">
        <is>
          <t>面积×厚×7.85 = 17.33×40×7.85</t>
        </is>
      </c>
      <c r="M22" s="8">
        <f>I22*J22*7.85</f>
        <v/>
      </c>
      <c r="N22" s="9">
        <f>M22*K22</f>
        <v/>
      </c>
      <c r="O22" s="9" t="n">
        <v>5441.6</v>
      </c>
      <c r="P22" s="9">
        <f>O22*K22</f>
        <v/>
      </c>
      <c r="Q22" s="9">
        <f>N22-P22</f>
        <v/>
      </c>
      <c r="R22" s="10">
        <f>IF(P22=0,"",Q22/P22)</f>
        <v/>
      </c>
      <c r="S22" s="5" t="inlineStr">
        <is>
          <t>图纸注明Z35钢，另需Z向性能保证</t>
        </is>
      </c>
    </row>
    <row r="23">
      <c r="A23" s="4" t="n">
        <v>20</v>
      </c>
      <c r="B23" s="4" t="inlineStr">
        <is>
          <t>下弦横隔板</t>
        </is>
      </c>
      <c r="C23" s="4" t="inlineStr">
        <is>
          <t>N25</t>
        </is>
      </c>
      <c r="D23" s="4" t="inlineStr">
        <is>
          <t>Q355D</t>
        </is>
      </c>
      <c r="E23" s="5" t="inlineStr">
        <is>
          <t>□1800x1200x16</t>
        </is>
      </c>
      <c r="F23" s="4" t="inlineStr">
        <is>
          <t>板件</t>
        </is>
      </c>
      <c r="G23" s="6" t="n">
        <v>1800</v>
      </c>
      <c r="H23" s="4" t="n">
        <v>1200</v>
      </c>
      <c r="I23" s="7" t="inlineStr">
        <is>
          <t>—</t>
        </is>
      </c>
      <c r="J23" s="7" t="n">
        <v>16</v>
      </c>
      <c r="K23" s="4" t="n">
        <v>1</v>
      </c>
      <c r="L23" s="5" t="inlineStr">
        <is>
          <t>长×宽×厚×7850 = 1800×1200×16mm</t>
        </is>
      </c>
      <c r="M23" s="8">
        <f>(G23/1000)*(H23/1000)*(J23/1000)*7850</f>
        <v/>
      </c>
      <c r="N23" s="9">
        <f>M23*K23</f>
        <v/>
      </c>
      <c r="O23" s="9" t="n">
        <v>271.3</v>
      </c>
      <c r="P23" s="9">
        <f>O23*K23</f>
        <v/>
      </c>
      <c r="Q23" s="9">
        <f>N23-P23</f>
        <v/>
      </c>
      <c r="R23" s="10">
        <f>IF(P23=0,"",Q23/P23)</f>
        <v/>
      </c>
      <c r="S23" s="5" t="inlineStr"/>
    </row>
    <row r="24">
      <c r="A24" s="4" t="n">
        <v>21</v>
      </c>
      <c r="B24" s="4" t="inlineStr">
        <is>
          <t>下弦横隔板</t>
        </is>
      </c>
      <c r="C24" s="4" t="inlineStr">
        <is>
          <t>N25'</t>
        </is>
      </c>
      <c r="D24" s="4" t="inlineStr">
        <is>
          <t>Q355D</t>
        </is>
      </c>
      <c r="E24" s="5" t="inlineStr">
        <is>
          <t>□2057x200x16</t>
        </is>
      </c>
      <c r="F24" s="4" t="inlineStr">
        <is>
          <t>板件</t>
        </is>
      </c>
      <c r="G24" s="6" t="n">
        <v>2057</v>
      </c>
      <c r="H24" s="4" t="n">
        <v>200</v>
      </c>
      <c r="I24" s="7" t="inlineStr">
        <is>
          <t>—</t>
        </is>
      </c>
      <c r="J24" s="7" t="n">
        <v>16</v>
      </c>
      <c r="K24" s="4" t="n">
        <v>3</v>
      </c>
      <c r="L24" s="5" t="inlineStr">
        <is>
          <t>长×宽×厚×7850 = 2057×200×16mm</t>
        </is>
      </c>
      <c r="M24" s="8">
        <f>(G24/1000)*(H24/1000)*(J24/1000)*7850</f>
        <v/>
      </c>
      <c r="N24" s="9">
        <f>M24*K24</f>
        <v/>
      </c>
      <c r="O24" s="9" t="n">
        <v>51.5</v>
      </c>
      <c r="P24" s="9">
        <f>O24*K24</f>
        <v/>
      </c>
      <c r="Q24" s="9">
        <f>N24-P24</f>
        <v/>
      </c>
      <c r="R24" s="10">
        <f>IF(P24=0,"",Q24/P24)</f>
        <v/>
      </c>
      <c r="S24" s="5" t="inlineStr"/>
    </row>
    <row r="25">
      <c r="A25" s="4" t="n">
        <v>22</v>
      </c>
      <c r="B25" s="4" t="inlineStr">
        <is>
          <t>下弦横隔板</t>
        </is>
      </c>
      <c r="C25" s="4" t="inlineStr">
        <is>
          <t>N25a</t>
        </is>
      </c>
      <c r="D25" s="4" t="inlineStr">
        <is>
          <t>Q355D</t>
        </is>
      </c>
      <c r="E25" s="5" t="inlineStr">
        <is>
          <t>□1800x1200x16</t>
        </is>
      </c>
      <c r="F25" s="4" t="inlineStr">
        <is>
          <t>板件</t>
        </is>
      </c>
      <c r="G25" s="6" t="n">
        <v>1800</v>
      </c>
      <c r="H25" s="4" t="n">
        <v>1200</v>
      </c>
      <c r="I25" s="7" t="inlineStr">
        <is>
          <t>—</t>
        </is>
      </c>
      <c r="J25" s="7" t="n">
        <v>16</v>
      </c>
      <c r="K25" s="4" t="n">
        <v>3</v>
      </c>
      <c r="L25" s="5" t="inlineStr">
        <is>
          <t>长×宽×厚×7850 = 1800×1200×16mm</t>
        </is>
      </c>
      <c r="M25" s="8">
        <f>(G25/1000)*(H25/1000)*(J25/1000)*7850</f>
        <v/>
      </c>
      <c r="N25" s="9">
        <f>M25*K25</f>
        <v/>
      </c>
      <c r="O25" s="9" t="n">
        <v>271.3</v>
      </c>
      <c r="P25" s="9">
        <f>O25*K25</f>
        <v/>
      </c>
      <c r="Q25" s="9">
        <f>N25-P25</f>
        <v/>
      </c>
      <c r="R25" s="10">
        <f>IF(P25=0,"",Q25/P25)</f>
        <v/>
      </c>
      <c r="S25" s="5" t="inlineStr"/>
    </row>
    <row r="26">
      <c r="A26" s="4" t="n">
        <v>23</v>
      </c>
      <c r="B26" s="4" t="inlineStr">
        <is>
          <t>下弦加劲肋</t>
        </is>
      </c>
      <c r="C26" s="4" t="inlineStr">
        <is>
          <t>N26a</t>
        </is>
      </c>
      <c r="D26" s="4" t="inlineStr">
        <is>
          <t>Q355D</t>
        </is>
      </c>
      <c r="E26" s="5" t="inlineStr">
        <is>
          <t>□2792x240x20</t>
        </is>
      </c>
      <c r="F26" s="4" t="inlineStr">
        <is>
          <t>板件</t>
        </is>
      </c>
      <c r="G26" s="6" t="n">
        <v>2792</v>
      </c>
      <c r="H26" s="4" t="n">
        <v>240</v>
      </c>
      <c r="I26" s="7" t="inlineStr">
        <is>
          <t>—</t>
        </is>
      </c>
      <c r="J26" s="7" t="n">
        <v>20</v>
      </c>
      <c r="K26" s="4" t="n">
        <v>2</v>
      </c>
      <c r="L26" s="5" t="inlineStr">
        <is>
          <t>长×宽×厚×7850 = 2792×240×20mm</t>
        </is>
      </c>
      <c r="M26" s="8">
        <f>(G26/1000)*(H26/1000)*(J26/1000)*7850</f>
        <v/>
      </c>
      <c r="N26" s="9">
        <f>M26*K26</f>
        <v/>
      </c>
      <c r="O26" s="9" t="n">
        <v>105.2</v>
      </c>
      <c r="P26" s="9">
        <f>O26*K26</f>
        <v/>
      </c>
      <c r="Q26" s="9">
        <f>N26-P26</f>
        <v/>
      </c>
      <c r="R26" s="10">
        <f>IF(P26=0,"",Q26/P26)</f>
        <v/>
      </c>
      <c r="S26" s="5" t="inlineStr"/>
    </row>
    <row r="27">
      <c r="A27" s="4" t="n">
        <v>24</v>
      </c>
      <c r="B27" s="4" t="inlineStr">
        <is>
          <t>下弦加劲肋</t>
        </is>
      </c>
      <c r="C27" s="4" t="inlineStr">
        <is>
          <t>N26b</t>
        </is>
      </c>
      <c r="D27" s="4" t="inlineStr">
        <is>
          <t>Q355D</t>
        </is>
      </c>
      <c r="E27" s="5" t="inlineStr">
        <is>
          <t>□10105x240x20</t>
        </is>
      </c>
      <c r="F27" s="4" t="inlineStr">
        <is>
          <t>板件</t>
        </is>
      </c>
      <c r="G27" s="6" t="n">
        <v>10105</v>
      </c>
      <c r="H27" s="4" t="n">
        <v>240</v>
      </c>
      <c r="I27" s="7" t="inlineStr">
        <is>
          <t>—</t>
        </is>
      </c>
      <c r="J27" s="7" t="n">
        <v>20</v>
      </c>
      <c r="K27" s="4" t="n">
        <v>2</v>
      </c>
      <c r="L27" s="5" t="inlineStr">
        <is>
          <t>长×宽×厚×7850 = 10105×240×20mm</t>
        </is>
      </c>
      <c r="M27" s="8">
        <f>(G27/1000)*(H27/1000)*(J27/1000)*7850</f>
        <v/>
      </c>
      <c r="N27" s="9">
        <f>M27*K27</f>
        <v/>
      </c>
      <c r="O27" s="9" t="n">
        <v>381.5</v>
      </c>
      <c r="P27" s="9">
        <f>O27*K27</f>
        <v/>
      </c>
      <c r="Q27" s="9">
        <f>N27-P27</f>
        <v/>
      </c>
      <c r="R27" s="10">
        <f>IF(P27=0,"",Q27/P27)</f>
        <v/>
      </c>
      <c r="S27" s="5" t="inlineStr"/>
    </row>
    <row r="28">
      <c r="A28" s="4" t="n">
        <v>25</v>
      </c>
      <c r="B28" s="4" t="inlineStr">
        <is>
          <t>下弦加劲肋</t>
        </is>
      </c>
      <c r="C28" s="4" t="inlineStr">
        <is>
          <t>N26c</t>
        </is>
      </c>
      <c r="D28" s="4" t="inlineStr">
        <is>
          <t>Q355D</t>
        </is>
      </c>
      <c r="E28" s="5" t="inlineStr">
        <is>
          <t>□12897x240x20</t>
        </is>
      </c>
      <c r="F28" s="4" t="inlineStr">
        <is>
          <t>板件</t>
        </is>
      </c>
      <c r="G28" s="6" t="n">
        <v>12897</v>
      </c>
      <c r="H28" s="4" t="n">
        <v>240</v>
      </c>
      <c r="I28" s="7" t="inlineStr">
        <is>
          <t>—</t>
        </is>
      </c>
      <c r="J28" s="7" t="n">
        <v>20</v>
      </c>
      <c r="K28" s="4" t="n">
        <v>1</v>
      </c>
      <c r="L28" s="5" t="inlineStr">
        <is>
          <t>长×宽×厚×7850 = 12897×240×20mm</t>
        </is>
      </c>
      <c r="M28" s="8">
        <f>(G28/1000)*(H28/1000)*(J28/1000)*7850</f>
        <v/>
      </c>
      <c r="N28" s="9">
        <f>M28*K28</f>
        <v/>
      </c>
      <c r="O28" s="9" t="n">
        <v>486.7</v>
      </c>
      <c r="P28" s="9">
        <f>O28*K28</f>
        <v/>
      </c>
      <c r="Q28" s="9">
        <f>N28-P28</f>
        <v/>
      </c>
      <c r="R28" s="10">
        <f>IF(P28=0,"",Q28/P28)</f>
        <v/>
      </c>
      <c r="S28" s="5" t="inlineStr"/>
    </row>
    <row r="29">
      <c r="A29" s="4" t="n">
        <v>26</v>
      </c>
      <c r="B29" s="4" t="inlineStr">
        <is>
          <t>下弦加劲肋</t>
        </is>
      </c>
      <c r="C29" s="4" t="inlineStr">
        <is>
          <t>N26d</t>
        </is>
      </c>
      <c r="D29" s="4" t="inlineStr">
        <is>
          <t>Q355D</t>
        </is>
      </c>
      <c r="E29" s="5" t="inlineStr">
        <is>
          <t>□10105x240x20</t>
        </is>
      </c>
      <c r="F29" s="4" t="inlineStr">
        <is>
          <t>板件</t>
        </is>
      </c>
      <c r="G29" s="6" t="n">
        <v>10105</v>
      </c>
      <c r="H29" s="4" t="n">
        <v>240</v>
      </c>
      <c r="I29" s="7" t="inlineStr">
        <is>
          <t>—</t>
        </is>
      </c>
      <c r="J29" s="7" t="n">
        <v>20</v>
      </c>
      <c r="K29" s="4" t="n">
        <v>1</v>
      </c>
      <c r="L29" s="5" t="inlineStr">
        <is>
          <t>长×宽×厚×7850 = 10105×240×20mm</t>
        </is>
      </c>
      <c r="M29" s="8">
        <f>(G29/1000)*(H29/1000)*(J29/1000)*7850</f>
        <v/>
      </c>
      <c r="N29" s="9">
        <f>M29*K29</f>
        <v/>
      </c>
      <c r="O29" s="9" t="n">
        <v>381.5</v>
      </c>
      <c r="P29" s="9">
        <f>O29*K29</f>
        <v/>
      </c>
      <c r="Q29" s="9">
        <f>N29-P29</f>
        <v/>
      </c>
      <c r="R29" s="10">
        <f>IF(P29=0,"",Q29/P29)</f>
        <v/>
      </c>
      <c r="S29" s="5" t="inlineStr"/>
    </row>
    <row r="30">
      <c r="A30" s="4" t="n">
        <v>27</v>
      </c>
      <c r="B30" s="4" t="inlineStr">
        <is>
          <t>下弦加劲肋</t>
        </is>
      </c>
      <c r="C30" s="4" t="inlineStr">
        <is>
          <t>N26d'</t>
        </is>
      </c>
      <c r="D30" s="4" t="inlineStr">
        <is>
          <t>Q355D</t>
        </is>
      </c>
      <c r="E30" s="5" t="inlineStr">
        <is>
          <t>□2792x320x32</t>
        </is>
      </c>
      <c r="F30" s="4" t="inlineStr">
        <is>
          <t>板件</t>
        </is>
      </c>
      <c r="G30" s="6" t="n">
        <v>2792</v>
      </c>
      <c r="H30" s="4" t="n">
        <v>320</v>
      </c>
      <c r="I30" s="7" t="inlineStr">
        <is>
          <t>—</t>
        </is>
      </c>
      <c r="J30" s="7" t="n">
        <v>32</v>
      </c>
      <c r="K30" s="4" t="n">
        <v>1</v>
      </c>
      <c r="L30" s="5" t="inlineStr">
        <is>
          <t>长×宽×厚×7850 = 2792×320×32mm</t>
        </is>
      </c>
      <c r="M30" s="8">
        <f>(G30/1000)*(H30/1000)*(J30/1000)*7850</f>
        <v/>
      </c>
      <c r="N30" s="9">
        <f>M30*K30</f>
        <v/>
      </c>
      <c r="O30" s="9" t="n">
        <v>223.6</v>
      </c>
      <c r="P30" s="9">
        <f>O30*K30</f>
        <v/>
      </c>
      <c r="Q30" s="9">
        <f>N30-P30</f>
        <v/>
      </c>
      <c r="R30" s="10">
        <f>IF(P30=0,"",Q30/P30)</f>
        <v/>
      </c>
      <c r="S30" s="5" t="inlineStr"/>
    </row>
    <row r="31">
      <c r="A31" s="4" t="n">
        <v>28</v>
      </c>
      <c r="B31" s="4" t="inlineStr">
        <is>
          <t>下弦加劲肋</t>
        </is>
      </c>
      <c r="C31" s="4" t="inlineStr">
        <is>
          <t>N26e</t>
        </is>
      </c>
      <c r="D31" s="4" t="inlineStr">
        <is>
          <t>Q355D</t>
        </is>
      </c>
      <c r="E31" s="5" t="inlineStr">
        <is>
          <t>□12897x170x14</t>
        </is>
      </c>
      <c r="F31" s="4" t="inlineStr">
        <is>
          <t>板件</t>
        </is>
      </c>
      <c r="G31" s="6" t="n">
        <v>12897</v>
      </c>
      <c r="H31" s="4" t="n">
        <v>170</v>
      </c>
      <c r="I31" s="7" t="inlineStr">
        <is>
          <t>—</t>
        </is>
      </c>
      <c r="J31" s="7" t="n">
        <v>14</v>
      </c>
      <c r="K31" s="4" t="n">
        <v>2</v>
      </c>
      <c r="L31" s="5" t="inlineStr">
        <is>
          <t>长×宽×厚×7850 = 12897×170×14mm</t>
        </is>
      </c>
      <c r="M31" s="8">
        <f>(G31/1000)*(H31/1000)*(J31/1000)*7850</f>
        <v/>
      </c>
      <c r="N31" s="9">
        <f>M31*K31</f>
        <v/>
      </c>
      <c r="O31" s="9" t="n">
        <v>240.7</v>
      </c>
      <c r="P31" s="9">
        <f>O31*K31</f>
        <v/>
      </c>
      <c r="Q31" s="9">
        <f>N31-P31</f>
        <v/>
      </c>
      <c r="R31" s="10">
        <f>IF(P31=0,"",Q31/P31)</f>
        <v/>
      </c>
      <c r="S31" s="5" t="inlineStr"/>
    </row>
    <row r="32">
      <c r="A32" s="4" t="n">
        <v>29</v>
      </c>
      <c r="B32" s="4" t="inlineStr">
        <is>
          <t>斜腹杆</t>
        </is>
      </c>
      <c r="C32" s="4" t="inlineStr">
        <is>
          <t>N31</t>
        </is>
      </c>
      <c r="D32" s="4" t="inlineStr">
        <is>
          <t>Q355D</t>
        </is>
      </c>
      <c r="E32" s="5" t="inlineStr">
        <is>
          <t>□14038x1200x36</t>
        </is>
      </c>
      <c r="F32" s="4" t="inlineStr">
        <is>
          <t>板件</t>
        </is>
      </c>
      <c r="G32" s="6" t="n">
        <v>14038</v>
      </c>
      <c r="H32" s="4" t="n">
        <v>1200</v>
      </c>
      <c r="I32" s="7" t="inlineStr">
        <is>
          <t>—</t>
        </is>
      </c>
      <c r="J32" s="7" t="n">
        <v>36</v>
      </c>
      <c r="K32" s="4" t="n">
        <v>1</v>
      </c>
      <c r="L32" s="5" t="inlineStr">
        <is>
          <t>长×宽×厚×7850 = 14038×1200×36mm</t>
        </is>
      </c>
      <c r="M32" s="8">
        <f>(G32/1000)*(H32/1000)*(J32/1000)*7850</f>
        <v/>
      </c>
      <c r="N32" s="9">
        <f>M32*K32</f>
        <v/>
      </c>
      <c r="O32" s="9" t="n">
        <v>4761.8</v>
      </c>
      <c r="P32" s="9">
        <f>O32*K32</f>
        <v/>
      </c>
      <c r="Q32" s="9">
        <f>N32-P32</f>
        <v/>
      </c>
      <c r="R32" s="10">
        <f>IF(P32=0,"",Q32/P32)</f>
        <v/>
      </c>
      <c r="S32" s="5" t="inlineStr"/>
    </row>
    <row r="33">
      <c r="A33" s="4" t="n">
        <v>30</v>
      </c>
      <c r="B33" s="4" t="inlineStr">
        <is>
          <t>斜腹杆</t>
        </is>
      </c>
      <c r="C33" s="4" t="inlineStr">
        <is>
          <t>N31a</t>
        </is>
      </c>
      <c r="D33" s="4" t="inlineStr">
        <is>
          <t>Q355D</t>
        </is>
      </c>
      <c r="E33" s="5" t="inlineStr">
        <is>
          <t>□14038x1200x36</t>
        </is>
      </c>
      <c r="F33" s="4" t="inlineStr">
        <is>
          <t>板件</t>
        </is>
      </c>
      <c r="G33" s="6" t="n">
        <v>14038</v>
      </c>
      <c r="H33" s="4" t="n">
        <v>1200</v>
      </c>
      <c r="I33" s="7" t="inlineStr">
        <is>
          <t>—</t>
        </is>
      </c>
      <c r="J33" s="7" t="n">
        <v>36</v>
      </c>
      <c r="K33" s="4" t="n">
        <v>1</v>
      </c>
      <c r="L33" s="5" t="inlineStr">
        <is>
          <t>长×宽×厚×7850 = 14038×1200×36mm</t>
        </is>
      </c>
      <c r="M33" s="8">
        <f>(G33/1000)*(H33/1000)*(J33/1000)*7850</f>
        <v/>
      </c>
      <c r="N33" s="9">
        <f>M33*K33</f>
        <v/>
      </c>
      <c r="O33" s="9" t="n">
        <v>4761.8</v>
      </c>
      <c r="P33" s="9">
        <f>O33*K33</f>
        <v/>
      </c>
      <c r="Q33" s="9">
        <f>N33-P33</f>
        <v/>
      </c>
      <c r="R33" s="10">
        <f>IF(P33=0,"",Q33/P33)</f>
        <v/>
      </c>
      <c r="S33" s="5" t="inlineStr"/>
    </row>
    <row r="34">
      <c r="A34" s="4" t="n">
        <v>31</v>
      </c>
      <c r="B34" s="4" t="inlineStr">
        <is>
          <t>斜腹杆</t>
        </is>
      </c>
      <c r="C34" s="4" t="inlineStr">
        <is>
          <t>N32</t>
        </is>
      </c>
      <c r="D34" s="4" t="inlineStr">
        <is>
          <t>Q355D</t>
        </is>
      </c>
      <c r="E34" s="5" t="inlineStr">
        <is>
          <t>□9838x1360x36</t>
        </is>
      </c>
      <c r="F34" s="4" t="inlineStr">
        <is>
          <t>板件</t>
        </is>
      </c>
      <c r="G34" s="6" t="n">
        <v>9838</v>
      </c>
      <c r="H34" s="4" t="n">
        <v>1360</v>
      </c>
      <c r="I34" s="7" t="inlineStr">
        <is>
          <t>—</t>
        </is>
      </c>
      <c r="J34" s="7" t="n">
        <v>36</v>
      </c>
      <c r="K34" s="4" t="n">
        <v>2</v>
      </c>
      <c r="L34" s="5" t="inlineStr">
        <is>
          <t>长×宽×厚×7850 = 9838×1360×36mm</t>
        </is>
      </c>
      <c r="M34" s="8">
        <f>(G34/1000)*(H34/1000)*(J34/1000)*7850</f>
        <v/>
      </c>
      <c r="N34" s="9">
        <f>M34*K34</f>
        <v/>
      </c>
      <c r="O34" s="9" t="n">
        <v>3781.2</v>
      </c>
      <c r="P34" s="9">
        <f>O34*K34</f>
        <v/>
      </c>
      <c r="Q34" s="9">
        <f>N34-P34</f>
        <v/>
      </c>
      <c r="R34" s="10">
        <f>IF(P34=0,"",Q34/P34)</f>
        <v/>
      </c>
      <c r="S34" s="5" t="inlineStr"/>
    </row>
    <row r="35">
      <c r="A35" s="4" t="n">
        <v>32</v>
      </c>
      <c r="B35" s="4" t="inlineStr">
        <is>
          <t>斜腹杆</t>
        </is>
      </c>
      <c r="C35" s="4" t="inlineStr">
        <is>
          <t>N33</t>
        </is>
      </c>
      <c r="D35" s="4" t="inlineStr">
        <is>
          <t>Q355D</t>
        </is>
      </c>
      <c r="E35" s="5" t="inlineStr">
        <is>
          <t>□9838x320x32</t>
        </is>
      </c>
      <c r="F35" s="4" t="inlineStr">
        <is>
          <t>板件</t>
        </is>
      </c>
      <c r="G35" s="6" t="n">
        <v>9838</v>
      </c>
      <c r="H35" s="4" t="n">
        <v>320</v>
      </c>
      <c r="I35" s="7" t="inlineStr">
        <is>
          <t>—</t>
        </is>
      </c>
      <c r="J35" s="7" t="n">
        <v>32</v>
      </c>
      <c r="K35" s="4" t="n">
        <v>2</v>
      </c>
      <c r="L35" s="5" t="inlineStr">
        <is>
          <t>长×宽×厚×7850 = 9838×320×32mm</t>
        </is>
      </c>
      <c r="M35" s="8">
        <f>(G35/1000)*(H35/1000)*(J35/1000)*7850</f>
        <v/>
      </c>
      <c r="N35" s="9">
        <f>M35*K35</f>
        <v/>
      </c>
      <c r="O35" s="9" t="n">
        <v>791.3</v>
      </c>
      <c r="P35" s="9">
        <f>O35*K35</f>
        <v/>
      </c>
      <c r="Q35" s="9">
        <f>N35-P35</f>
        <v/>
      </c>
      <c r="R35" s="10">
        <f>IF(P35=0,"",Q35/P35)</f>
        <v/>
      </c>
      <c r="S35" s="5" t="inlineStr"/>
    </row>
    <row r="36">
      <c r="A36" s="4" t="n">
        <v>33</v>
      </c>
      <c r="B36" s="4" t="inlineStr">
        <is>
          <t>斜腹杆</t>
        </is>
      </c>
      <c r="C36" s="4" t="inlineStr">
        <is>
          <t>N33a</t>
        </is>
      </c>
      <c r="D36" s="4" t="inlineStr">
        <is>
          <t>Q355D</t>
        </is>
      </c>
      <c r="E36" s="5" t="inlineStr">
        <is>
          <t>□12638x320x32</t>
        </is>
      </c>
      <c r="F36" s="4" t="inlineStr">
        <is>
          <t>板件</t>
        </is>
      </c>
      <c r="G36" s="6" t="n">
        <v>12638</v>
      </c>
      <c r="H36" s="4" t="n">
        <v>320</v>
      </c>
      <c r="I36" s="7" t="inlineStr">
        <is>
          <t>—</t>
        </is>
      </c>
      <c r="J36" s="7" t="n">
        <v>32</v>
      </c>
      <c r="K36" s="4" t="n">
        <v>1</v>
      </c>
      <c r="L36" s="5" t="inlineStr">
        <is>
          <t>长×宽×厚×7850 = 12638×320×32mm</t>
        </is>
      </c>
      <c r="M36" s="8">
        <f>(G36/1000)*(H36/1000)*(J36/1000)*7850</f>
        <v/>
      </c>
      <c r="N36" s="9">
        <f>M36*K36</f>
        <v/>
      </c>
      <c r="O36" s="9" t="n">
        <v>1014.8</v>
      </c>
      <c r="P36" s="9">
        <f>O36*K36</f>
        <v/>
      </c>
      <c r="Q36" s="9">
        <f>N36-P36</f>
        <v/>
      </c>
      <c r="R36" s="10">
        <f>IF(P36=0,"",Q36/P36)</f>
        <v/>
      </c>
      <c r="S36" s="5" t="inlineStr"/>
    </row>
    <row r="37">
      <c r="A37" s="4" t="n">
        <v>34</v>
      </c>
      <c r="B37" s="4" t="inlineStr">
        <is>
          <t>斜腹杆</t>
        </is>
      </c>
      <c r="C37" s="4" t="inlineStr">
        <is>
          <t>N33b</t>
        </is>
      </c>
      <c r="D37" s="4" t="inlineStr">
        <is>
          <t>Q355D</t>
        </is>
      </c>
      <c r="E37" s="5" t="inlineStr">
        <is>
          <t>□12638x320x32</t>
        </is>
      </c>
      <c r="F37" s="4" t="inlineStr">
        <is>
          <t>板件</t>
        </is>
      </c>
      <c r="G37" s="6" t="n">
        <v>12638</v>
      </c>
      <c r="H37" s="4" t="n">
        <v>320</v>
      </c>
      <c r="I37" s="7" t="inlineStr">
        <is>
          <t>—</t>
        </is>
      </c>
      <c r="J37" s="7" t="n">
        <v>32</v>
      </c>
      <c r="K37" s="4" t="n">
        <v>1</v>
      </c>
      <c r="L37" s="5" t="inlineStr">
        <is>
          <t>长×宽×厚×7850 = 12638×320×32mm</t>
        </is>
      </c>
      <c r="M37" s="8">
        <f>(G37/1000)*(H37/1000)*(J37/1000)*7850</f>
        <v/>
      </c>
      <c r="N37" s="9">
        <f>M37*K37</f>
        <v/>
      </c>
      <c r="O37" s="9" t="n">
        <v>1014.8</v>
      </c>
      <c r="P37" s="9">
        <f>O37*K37</f>
        <v/>
      </c>
      <c r="Q37" s="9">
        <f>N37-P37</f>
        <v/>
      </c>
      <c r="R37" s="10">
        <f>IF(P37=0,"",Q37/P37)</f>
        <v/>
      </c>
      <c r="S37" s="5" t="inlineStr"/>
    </row>
    <row r="38">
      <c r="A38" s="4" t="n">
        <v>35</v>
      </c>
      <c r="B38" s="4" t="inlineStr">
        <is>
          <t>斜腹杆</t>
        </is>
      </c>
      <c r="C38" s="4" t="inlineStr">
        <is>
          <t>N34</t>
        </is>
      </c>
      <c r="D38" s="4" t="inlineStr">
        <is>
          <t>Q355D</t>
        </is>
      </c>
      <c r="E38" s="5" t="inlineStr">
        <is>
          <t>□1200x1200x16</t>
        </is>
      </c>
      <c r="F38" s="4" t="inlineStr">
        <is>
          <t>板件</t>
        </is>
      </c>
      <c r="G38" s="6" t="n">
        <v>1200</v>
      </c>
      <c r="H38" s="4" t="n">
        <v>1200</v>
      </c>
      <c r="I38" s="7" t="inlineStr">
        <is>
          <t>—</t>
        </is>
      </c>
      <c r="J38" s="7" t="n">
        <v>16</v>
      </c>
      <c r="K38" s="4" t="n">
        <v>4</v>
      </c>
      <c r="L38" s="5" t="inlineStr">
        <is>
          <t>长×宽×厚×7850 = 1200×1200×16mm</t>
        </is>
      </c>
      <c r="M38" s="8">
        <f>(G38/1000)*(H38/1000)*(J38/1000)*7850</f>
        <v/>
      </c>
      <c r="N38" s="9">
        <f>M38*K38</f>
        <v/>
      </c>
      <c r="O38" s="9" t="n">
        <v>180.9</v>
      </c>
      <c r="P38" s="9">
        <f>O38*K38</f>
        <v/>
      </c>
      <c r="Q38" s="9">
        <f>N38-P38</f>
        <v/>
      </c>
      <c r="R38" s="10">
        <f>IF(P38=0,"",Q38/P38)</f>
        <v/>
      </c>
      <c r="S38" s="5" t="inlineStr"/>
    </row>
    <row r="39">
      <c r="A39" s="4" t="n">
        <v>36</v>
      </c>
      <c r="B39" s="4" t="inlineStr">
        <is>
          <t>斜腹杆</t>
        </is>
      </c>
      <c r="C39" s="4" t="inlineStr">
        <is>
          <t>N41</t>
        </is>
      </c>
      <c r="D39" s="4" t="inlineStr">
        <is>
          <t>Q355D</t>
        </is>
      </c>
      <c r="E39" s="5" t="inlineStr">
        <is>
          <t>□6725x1200x36</t>
        </is>
      </c>
      <c r="F39" s="4" t="inlineStr">
        <is>
          <t>板件</t>
        </is>
      </c>
      <c r="G39" s="6" t="n">
        <v>6725</v>
      </c>
      <c r="H39" s="4" t="n">
        <v>1200</v>
      </c>
      <c r="I39" s="7" t="inlineStr">
        <is>
          <t>—</t>
        </is>
      </c>
      <c r="J39" s="7" t="n">
        <v>36</v>
      </c>
      <c r="K39" s="4" t="n">
        <v>1</v>
      </c>
      <c r="L39" s="5" t="inlineStr">
        <is>
          <t>长×宽×厚×7850 = 6725×1200×36mm</t>
        </is>
      </c>
      <c r="M39" s="8">
        <f>(G39/1000)*(H39/1000)*(J39/1000)*7850</f>
        <v/>
      </c>
      <c r="N39" s="9">
        <f>M39*K39</f>
        <v/>
      </c>
      <c r="O39" s="9" t="n">
        <v>2280.6</v>
      </c>
      <c r="P39" s="9">
        <f>O39*K39</f>
        <v/>
      </c>
      <c r="Q39" s="9">
        <f>N39-P39</f>
        <v/>
      </c>
      <c r="R39" s="10">
        <f>IF(P39=0,"",Q39/P39)</f>
        <v/>
      </c>
      <c r="S39" s="5" t="inlineStr"/>
    </row>
    <row r="40">
      <c r="A40" s="4" t="n">
        <v>37</v>
      </c>
      <c r="B40" s="4" t="inlineStr">
        <is>
          <t>斜腹杆</t>
        </is>
      </c>
      <c r="C40" s="4" t="inlineStr">
        <is>
          <t>N41a</t>
        </is>
      </c>
      <c r="D40" s="4" t="inlineStr">
        <is>
          <t>Q355D</t>
        </is>
      </c>
      <c r="E40" s="5" t="inlineStr">
        <is>
          <t>□6925x1200x36</t>
        </is>
      </c>
      <c r="F40" s="4" t="inlineStr">
        <is>
          <t>板件</t>
        </is>
      </c>
      <c r="G40" s="6" t="n">
        <v>6925</v>
      </c>
      <c r="H40" s="4" t="n">
        <v>1200</v>
      </c>
      <c r="I40" s="7" t="inlineStr">
        <is>
          <t>—</t>
        </is>
      </c>
      <c r="J40" s="7" t="n">
        <v>36</v>
      </c>
      <c r="K40" s="4" t="n">
        <v>1</v>
      </c>
      <c r="L40" s="5" t="inlineStr">
        <is>
          <t>长×宽×厚×7850 = 6925×1200×36mm</t>
        </is>
      </c>
      <c r="M40" s="8">
        <f>(G40/1000)*(H40/1000)*(J40/1000)*7850</f>
        <v/>
      </c>
      <c r="N40" s="9">
        <f>M40*K40</f>
        <v/>
      </c>
      <c r="O40" s="9" t="n">
        <v>2348.4</v>
      </c>
      <c r="P40" s="9">
        <f>O40*K40</f>
        <v/>
      </c>
      <c r="Q40" s="9">
        <f>N40-P40</f>
        <v/>
      </c>
      <c r="R40" s="10">
        <f>IF(P40=0,"",Q40/P40)</f>
        <v/>
      </c>
      <c r="S40" s="5" t="inlineStr"/>
    </row>
    <row r="41">
      <c r="A41" s="4" t="n">
        <v>38</v>
      </c>
      <c r="B41" s="4" t="inlineStr">
        <is>
          <t>斜腹杆</t>
        </is>
      </c>
      <c r="C41" s="4" t="inlineStr">
        <is>
          <t>N42</t>
        </is>
      </c>
      <c r="D41" s="4" t="inlineStr">
        <is>
          <t>Q355D</t>
        </is>
      </c>
      <c r="E41" s="5" t="inlineStr">
        <is>
          <t>□4925x1360x36</t>
        </is>
      </c>
      <c r="F41" s="4" t="inlineStr">
        <is>
          <t>板件</t>
        </is>
      </c>
      <c r="G41" s="6" t="n">
        <v>4925</v>
      </c>
      <c r="H41" s="4" t="n">
        <v>1360</v>
      </c>
      <c r="I41" s="7" t="inlineStr">
        <is>
          <t>—</t>
        </is>
      </c>
      <c r="J41" s="7" t="n">
        <v>36</v>
      </c>
      <c r="K41" s="4" t="n">
        <v>2</v>
      </c>
      <c r="L41" s="5" t="inlineStr">
        <is>
          <t>长×宽×厚×7850 = 4925×1360×36mm</t>
        </is>
      </c>
      <c r="M41" s="8">
        <f>(G41/1000)*(H41/1000)*(J41/1000)*7850</f>
        <v/>
      </c>
      <c r="N41" s="9">
        <f>M41*K41</f>
        <v/>
      </c>
      <c r="O41" s="9" t="n">
        <v>1893.4</v>
      </c>
      <c r="P41" s="9">
        <f>O41*K41</f>
        <v/>
      </c>
      <c r="Q41" s="9">
        <f>N41-P41</f>
        <v/>
      </c>
      <c r="R41" s="10">
        <f>IF(P41=0,"",Q41/P41)</f>
        <v/>
      </c>
      <c r="S41" s="5" t="inlineStr"/>
    </row>
    <row r="42">
      <c r="A42" s="4" t="n">
        <v>39</v>
      </c>
      <c r="B42" s="4" t="inlineStr">
        <is>
          <t>斜腹杆</t>
        </is>
      </c>
      <c r="C42" s="4" t="inlineStr">
        <is>
          <t>N43</t>
        </is>
      </c>
      <c r="D42" s="4" t="inlineStr">
        <is>
          <t>Q355D</t>
        </is>
      </c>
      <c r="E42" s="5" t="inlineStr">
        <is>
          <t>□4925x320x32</t>
        </is>
      </c>
      <c r="F42" s="4" t="inlineStr">
        <is>
          <t>板件</t>
        </is>
      </c>
      <c r="G42" s="6" t="n">
        <v>4925</v>
      </c>
      <c r="H42" s="4" t="n">
        <v>320</v>
      </c>
      <c r="I42" s="7" t="inlineStr">
        <is>
          <t>—</t>
        </is>
      </c>
      <c r="J42" s="7" t="n">
        <v>32</v>
      </c>
      <c r="K42" s="4" t="n">
        <v>2</v>
      </c>
      <c r="L42" s="5" t="inlineStr">
        <is>
          <t>长×宽×厚×7850 = 4925×320×32mm</t>
        </is>
      </c>
      <c r="M42" s="8">
        <f>(G42/1000)*(H42/1000)*(J42/1000)*7850</f>
        <v/>
      </c>
      <c r="N42" s="9">
        <f>M42*K42</f>
        <v/>
      </c>
      <c r="O42" s="9" t="n">
        <v>396.9</v>
      </c>
      <c r="P42" s="9">
        <f>O42*K42</f>
        <v/>
      </c>
      <c r="Q42" s="9">
        <f>N42-P42</f>
        <v/>
      </c>
      <c r="R42" s="10">
        <f>IF(P42=0,"",Q42/P42)</f>
        <v/>
      </c>
      <c r="S42" s="5" t="inlineStr"/>
    </row>
    <row r="43">
      <c r="A43" s="4" t="n">
        <v>40</v>
      </c>
      <c r="B43" s="4" t="inlineStr">
        <is>
          <t>斜腹杆</t>
        </is>
      </c>
      <c r="C43" s="4" t="inlineStr">
        <is>
          <t>N43a</t>
        </is>
      </c>
      <c r="D43" s="4" t="inlineStr">
        <is>
          <t>Q355D</t>
        </is>
      </c>
      <c r="E43" s="5" t="inlineStr">
        <is>
          <t>□6025x320x32</t>
        </is>
      </c>
      <c r="F43" s="4" t="inlineStr">
        <is>
          <t>板件</t>
        </is>
      </c>
      <c r="G43" s="6" t="n">
        <v>6025</v>
      </c>
      <c r="H43" s="4" t="n">
        <v>320</v>
      </c>
      <c r="I43" s="7" t="inlineStr">
        <is>
          <t>—</t>
        </is>
      </c>
      <c r="J43" s="7" t="n">
        <v>32</v>
      </c>
      <c r="K43" s="4" t="n">
        <v>1</v>
      </c>
      <c r="L43" s="5" t="inlineStr">
        <is>
          <t>长×宽×厚×7850 = 6025×320×32mm</t>
        </is>
      </c>
      <c r="M43" s="8">
        <f>(G43/1000)*(H43/1000)*(J43/1000)*7850</f>
        <v/>
      </c>
      <c r="N43" s="9">
        <f>M43*K43</f>
        <v/>
      </c>
      <c r="O43" s="9" t="n">
        <v>484.8</v>
      </c>
      <c r="P43" s="9">
        <f>O43*K43</f>
        <v/>
      </c>
      <c r="Q43" s="9">
        <f>N43-P43</f>
        <v/>
      </c>
      <c r="R43" s="10">
        <f>IF(P43=0,"",Q43/P43)</f>
        <v/>
      </c>
      <c r="S43" s="5" t="inlineStr"/>
    </row>
    <row r="44">
      <c r="A44" s="4" t="n">
        <v>41</v>
      </c>
      <c r="B44" s="4" t="inlineStr">
        <is>
          <t>斜腹杆</t>
        </is>
      </c>
      <c r="C44" s="4" t="inlineStr">
        <is>
          <t>N43b</t>
        </is>
      </c>
      <c r="D44" s="4" t="inlineStr">
        <is>
          <t>Q355D</t>
        </is>
      </c>
      <c r="E44" s="5" t="inlineStr">
        <is>
          <t>□6225x320x32</t>
        </is>
      </c>
      <c r="F44" s="4" t="inlineStr">
        <is>
          <t>板件</t>
        </is>
      </c>
      <c r="G44" s="6" t="n">
        <v>6225</v>
      </c>
      <c r="H44" s="4" t="n">
        <v>320</v>
      </c>
      <c r="I44" s="7" t="inlineStr">
        <is>
          <t>—</t>
        </is>
      </c>
      <c r="J44" s="7" t="n">
        <v>32</v>
      </c>
      <c r="K44" s="4" t="n">
        <v>1</v>
      </c>
      <c r="L44" s="5" t="inlineStr">
        <is>
          <t>长×宽×厚×7850 = 6225×320×32mm</t>
        </is>
      </c>
      <c r="M44" s="8">
        <f>(G44/1000)*(H44/1000)*(J44/1000)*7850</f>
        <v/>
      </c>
      <c r="N44" s="9">
        <f>M44*K44</f>
        <v/>
      </c>
      <c r="O44" s="9" t="n">
        <v>499.9</v>
      </c>
      <c r="P44" s="9">
        <f>O44*K44</f>
        <v/>
      </c>
      <c r="Q44" s="9">
        <f>N44-P44</f>
        <v/>
      </c>
      <c r="R44" s="10">
        <f>IF(P44=0,"",Q44/P44)</f>
        <v/>
      </c>
      <c r="S44" s="5" t="inlineStr"/>
    </row>
    <row r="45">
      <c r="A45" s="4" t="n">
        <v>42</v>
      </c>
      <c r="B45" s="4" t="inlineStr">
        <is>
          <t>斜腹杆</t>
        </is>
      </c>
      <c r="C45" s="4" t="inlineStr">
        <is>
          <t>N44</t>
        </is>
      </c>
      <c r="D45" s="4" t="inlineStr">
        <is>
          <t>Q355D</t>
        </is>
      </c>
      <c r="E45" s="5" t="inlineStr">
        <is>
          <t>□1200x1200x16</t>
        </is>
      </c>
      <c r="F45" s="4" t="inlineStr">
        <is>
          <t>板件</t>
        </is>
      </c>
      <c r="G45" s="6" t="n">
        <v>1200</v>
      </c>
      <c r="H45" s="4" t="n">
        <v>1200</v>
      </c>
      <c r="I45" s="7" t="inlineStr">
        <is>
          <t>—</t>
        </is>
      </c>
      <c r="J45" s="7" t="n">
        <v>16</v>
      </c>
      <c r="K45" s="4" t="n">
        <v>2</v>
      </c>
      <c r="L45" s="5" t="inlineStr">
        <is>
          <t>长×宽×厚×7850 = 1200×1200×16mm</t>
        </is>
      </c>
      <c r="M45" s="8">
        <f>(G45/1000)*(H45/1000)*(J45/1000)*7850</f>
        <v/>
      </c>
      <c r="N45" s="9">
        <f>M45*K45</f>
        <v/>
      </c>
      <c r="O45" s="9" t="n">
        <v>180.9</v>
      </c>
      <c r="P45" s="9">
        <f>O45*K45</f>
        <v/>
      </c>
      <c r="Q45" s="9">
        <f>N45-P45</f>
        <v/>
      </c>
      <c r="R45" s="10">
        <f>IF(P45=0,"",Q45/P45)</f>
        <v/>
      </c>
      <c r="S45" s="5" t="inlineStr"/>
    </row>
    <row r="46">
      <c r="A46" s="4" t="n">
        <v>43</v>
      </c>
      <c r="B46" s="4" t="inlineStr">
        <is>
          <t>竖腹杆顶底板</t>
        </is>
      </c>
      <c r="C46" s="4" t="inlineStr">
        <is>
          <t>N51</t>
        </is>
      </c>
      <c r="D46" s="4" t="inlineStr">
        <is>
          <t>Q355D</t>
        </is>
      </c>
      <c r="E46" s="5" t="inlineStr">
        <is>
          <t>□13418x1200x20</t>
        </is>
      </c>
      <c r="F46" s="4" t="inlineStr">
        <is>
          <t>板件</t>
        </is>
      </c>
      <c r="G46" s="6" t="n">
        <v>13418</v>
      </c>
      <c r="H46" s="4" t="n">
        <v>1200</v>
      </c>
      <c r="I46" s="7" t="inlineStr">
        <is>
          <t>—</t>
        </is>
      </c>
      <c r="J46" s="7" t="n">
        <v>20</v>
      </c>
      <c r="K46" s="4" t="n">
        <v>1</v>
      </c>
      <c r="L46" s="5" t="inlineStr">
        <is>
          <t>长×宽×厚×7850 = 13418×1200×20mm</t>
        </is>
      </c>
      <c r="M46" s="8">
        <f>(G46/1000)*(H46/1000)*(J46/1000)*7850</f>
        <v/>
      </c>
      <c r="N46" s="9">
        <f>M46*K46</f>
        <v/>
      </c>
      <c r="O46" s="9" t="n">
        <v>2527.7</v>
      </c>
      <c r="P46" s="9">
        <f>O46*K46</f>
        <v/>
      </c>
      <c r="Q46" s="9">
        <f>N46-P46</f>
        <v/>
      </c>
      <c r="R46" s="10">
        <f>IF(P46=0,"",Q46/P46)</f>
        <v/>
      </c>
      <c r="S46" s="5" t="inlineStr"/>
    </row>
    <row r="47">
      <c r="A47" s="4" t="n">
        <v>44</v>
      </c>
      <c r="B47" s="4" t="inlineStr">
        <is>
          <t>竖腹杆顶底板</t>
        </is>
      </c>
      <c r="C47" s="4" t="inlineStr">
        <is>
          <t>N51a</t>
        </is>
      </c>
      <c r="D47" s="4" t="inlineStr">
        <is>
          <t>Q355D</t>
        </is>
      </c>
      <c r="E47" s="5" t="inlineStr">
        <is>
          <t>□11818x1200x20</t>
        </is>
      </c>
      <c r="F47" s="4" t="inlineStr">
        <is>
          <t>板件</t>
        </is>
      </c>
      <c r="G47" s="6" t="n">
        <v>11818</v>
      </c>
      <c r="H47" s="4" t="n">
        <v>1200</v>
      </c>
      <c r="I47" s="7" t="inlineStr">
        <is>
          <t>—</t>
        </is>
      </c>
      <c r="J47" s="7" t="n">
        <v>20</v>
      </c>
      <c r="K47" s="4" t="n">
        <v>1</v>
      </c>
      <c r="L47" s="5" t="inlineStr">
        <is>
          <t>长×宽×厚×7850 = 11818×1200×20mm</t>
        </is>
      </c>
      <c r="M47" s="8">
        <f>(G47/1000)*(H47/1000)*(J47/1000)*7850</f>
        <v/>
      </c>
      <c r="N47" s="9">
        <f>M47*K47</f>
        <v/>
      </c>
      <c r="O47" s="9" t="n">
        <v>2226.3</v>
      </c>
      <c r="P47" s="9">
        <f>O47*K47</f>
        <v/>
      </c>
      <c r="Q47" s="9">
        <f>N47-P47</f>
        <v/>
      </c>
      <c r="R47" s="10">
        <f>IF(P47=0,"",Q47/P47)</f>
        <v/>
      </c>
      <c r="S47" s="5" t="inlineStr"/>
    </row>
    <row r="48">
      <c r="A48" s="4" t="n">
        <v>45</v>
      </c>
      <c r="B48" s="4" t="inlineStr">
        <is>
          <t>竖腹杆腹板</t>
        </is>
      </c>
      <c r="C48" s="4" t="inlineStr">
        <is>
          <t>N52</t>
        </is>
      </c>
      <c r="D48" s="4" t="inlineStr">
        <is>
          <t>Q355D</t>
        </is>
      </c>
      <c r="E48" s="5" t="inlineStr">
        <is>
          <t>□9133x1500x20</t>
        </is>
      </c>
      <c r="F48" s="4" t="inlineStr">
        <is>
          <t>板件</t>
        </is>
      </c>
      <c r="G48" s="6" t="n">
        <v>9133</v>
      </c>
      <c r="H48" s="4" t="n">
        <v>1500</v>
      </c>
      <c r="I48" s="7" t="inlineStr">
        <is>
          <t>—</t>
        </is>
      </c>
      <c r="J48" s="7" t="n">
        <v>20</v>
      </c>
      <c r="K48" s="4" t="n">
        <v>2</v>
      </c>
      <c r="L48" s="5" t="inlineStr">
        <is>
          <t>长×宽×厚×7850 = 9133×1500×20mm</t>
        </is>
      </c>
      <c r="M48" s="8">
        <f>(G48/1000)*(H48/1000)*(J48/1000)*7850</f>
        <v/>
      </c>
      <c r="N48" s="9">
        <f>M48*K48</f>
        <v/>
      </c>
      <c r="O48" s="9" t="n">
        <v>2150.9</v>
      </c>
      <c r="P48" s="9">
        <f>O48*K48</f>
        <v/>
      </c>
      <c r="Q48" s="9">
        <f>N48-P48</f>
        <v/>
      </c>
      <c r="R48" s="10">
        <f>IF(P48=0,"",Q48/P48)</f>
        <v/>
      </c>
      <c r="S48" s="5" t="inlineStr"/>
    </row>
    <row r="49">
      <c r="A49" s="4" t="n">
        <v>46</v>
      </c>
      <c r="B49" s="4" t="inlineStr">
        <is>
          <t>竖腹杆横隔板</t>
        </is>
      </c>
      <c r="C49" s="4" t="inlineStr">
        <is>
          <t>N54</t>
        </is>
      </c>
      <c r="D49" s="4" t="inlineStr">
        <is>
          <t>Q355D</t>
        </is>
      </c>
      <c r="E49" s="5" t="inlineStr">
        <is>
          <t>□1400x1200x16</t>
        </is>
      </c>
      <c r="F49" s="4" t="inlineStr">
        <is>
          <t>板件</t>
        </is>
      </c>
      <c r="G49" s="6" t="n">
        <v>1400</v>
      </c>
      <c r="H49" s="4" t="n">
        <v>1200</v>
      </c>
      <c r="I49" s="7" t="inlineStr">
        <is>
          <t>—</t>
        </is>
      </c>
      <c r="J49" s="7" t="n">
        <v>16</v>
      </c>
      <c r="K49" s="4" t="n">
        <v>3</v>
      </c>
      <c r="L49" s="5" t="inlineStr">
        <is>
          <t>长×宽×厚×7850 = 1400×1200×16mm</t>
        </is>
      </c>
      <c r="M49" s="8">
        <f>(G49/1000)*(H49/1000)*(J49/1000)*7850</f>
        <v/>
      </c>
      <c r="N49" s="9">
        <f>M49*K49</f>
        <v/>
      </c>
      <c r="O49" s="9" t="n">
        <v>211</v>
      </c>
      <c r="P49" s="9">
        <f>O49*K49</f>
        <v/>
      </c>
      <c r="Q49" s="9">
        <f>N49-P49</f>
        <v/>
      </c>
      <c r="R49" s="10">
        <f>IF(P49=0,"",Q49/P49)</f>
        <v/>
      </c>
      <c r="S49" s="5" t="inlineStr"/>
    </row>
    <row r="50">
      <c r="A50" s="4" t="n">
        <v>47</v>
      </c>
      <c r="B50" s="4" t="inlineStr">
        <is>
          <t>竖腹杆加劲肋</t>
        </is>
      </c>
      <c r="C50" s="4" t="inlineStr">
        <is>
          <t>N53</t>
        </is>
      </c>
      <c r="D50" s="4" t="inlineStr">
        <is>
          <t>Q355D</t>
        </is>
      </c>
      <c r="E50" s="5" t="inlineStr">
        <is>
          <t>□9133x190x16</t>
        </is>
      </c>
      <c r="F50" s="4" t="inlineStr">
        <is>
          <t>板件</t>
        </is>
      </c>
      <c r="G50" s="6" t="n">
        <v>9133</v>
      </c>
      <c r="H50" s="4" t="n">
        <v>190</v>
      </c>
      <c r="I50" s="7" t="inlineStr">
        <is>
          <t>—</t>
        </is>
      </c>
      <c r="J50" s="7" t="n">
        <v>16</v>
      </c>
      <c r="K50" s="4" t="n">
        <v>2</v>
      </c>
      <c r="L50" s="5" t="inlineStr">
        <is>
          <t>长×宽×厚×7850 = 9133×190×16mm</t>
        </is>
      </c>
      <c r="M50" s="8">
        <f>(G50/1000)*(H50/1000)*(J50/1000)*7850</f>
        <v/>
      </c>
      <c r="N50" s="9">
        <f>M50*K50</f>
        <v/>
      </c>
      <c r="O50" s="9" t="n">
        <v>218.5</v>
      </c>
      <c r="P50" s="9">
        <f>O50*K50</f>
        <v/>
      </c>
      <c r="Q50" s="9">
        <f>N50-P50</f>
        <v/>
      </c>
      <c r="R50" s="10">
        <f>IF(P50=0,"",Q50/P50)</f>
        <v/>
      </c>
      <c r="S50" s="5" t="inlineStr"/>
    </row>
    <row r="51">
      <c r="A51" s="4" t="n">
        <v>48</v>
      </c>
      <c r="B51" s="4" t="inlineStr">
        <is>
          <t>竖腹杆加劲肋</t>
        </is>
      </c>
      <c r="C51" s="4" t="inlineStr">
        <is>
          <t>N53a</t>
        </is>
      </c>
      <c r="D51" s="4" t="inlineStr">
        <is>
          <t>Q355D</t>
        </is>
      </c>
      <c r="E51" s="5" t="inlineStr">
        <is>
          <t>□12018x190x16</t>
        </is>
      </c>
      <c r="F51" s="4" t="inlineStr">
        <is>
          <t>板件</t>
        </is>
      </c>
      <c r="G51" s="6" t="n">
        <v>12018</v>
      </c>
      <c r="H51" s="4" t="n">
        <v>190</v>
      </c>
      <c r="I51" s="7" t="inlineStr">
        <is>
          <t>—</t>
        </is>
      </c>
      <c r="J51" s="7" t="n">
        <v>16</v>
      </c>
      <c r="K51" s="4" t="n">
        <v>1</v>
      </c>
      <c r="L51" s="5" t="inlineStr">
        <is>
          <t>长×宽×厚×7850 = 12018×190×16mm</t>
        </is>
      </c>
      <c r="M51" s="8">
        <f>(G51/1000)*(H51/1000)*(J51/1000)*7850</f>
        <v/>
      </c>
      <c r="N51" s="9">
        <f>M51*K51</f>
        <v/>
      </c>
      <c r="O51" s="9" t="n">
        <v>286.4</v>
      </c>
      <c r="P51" s="9">
        <f>O51*K51</f>
        <v/>
      </c>
      <c r="Q51" s="9">
        <f>N51-P51</f>
        <v/>
      </c>
      <c r="R51" s="10">
        <f>IF(P51=0,"",Q51/P51)</f>
        <v/>
      </c>
      <c r="S51" s="5" t="inlineStr"/>
    </row>
    <row r="52">
      <c r="A52" s="4" t="n">
        <v>49</v>
      </c>
      <c r="B52" s="4" t="inlineStr">
        <is>
          <t>竖腹杆加劲肋</t>
        </is>
      </c>
      <c r="C52" s="4" t="inlineStr">
        <is>
          <t>N53b</t>
        </is>
      </c>
      <c r="D52" s="4" t="inlineStr">
        <is>
          <t>Q355D</t>
        </is>
      </c>
      <c r="E52" s="5" t="inlineStr">
        <is>
          <t>□10418x190x16</t>
        </is>
      </c>
      <c r="F52" s="4" t="inlineStr">
        <is>
          <t>板件</t>
        </is>
      </c>
      <c r="G52" s="6" t="n">
        <v>10418</v>
      </c>
      <c r="H52" s="4" t="n">
        <v>190</v>
      </c>
      <c r="I52" s="7" t="inlineStr">
        <is>
          <t>—</t>
        </is>
      </c>
      <c r="J52" s="7" t="n">
        <v>16</v>
      </c>
      <c r="K52" s="4" t="n">
        <v>1</v>
      </c>
      <c r="L52" s="5" t="inlineStr">
        <is>
          <t>长×宽×厚×7850 = 10418×190×16mm</t>
        </is>
      </c>
      <c r="M52" s="8">
        <f>(G52/1000)*(H52/1000)*(J52/1000)*7850</f>
        <v/>
      </c>
      <c r="N52" s="9">
        <f>M52*K52</f>
        <v/>
      </c>
      <c r="O52" s="9" t="n">
        <v>248.7</v>
      </c>
      <c r="P52" s="9">
        <f>O52*K52</f>
        <v/>
      </c>
      <c r="Q52" s="9">
        <f>N52-P52</f>
        <v/>
      </c>
      <c r="R52" s="10">
        <f>IF(P52=0,"",Q52/P52)</f>
        <v/>
      </c>
      <c r="S52" s="5" t="inlineStr"/>
    </row>
    <row r="53">
      <c r="A53" s="4" t="n">
        <v>50</v>
      </c>
      <c r="B53" s="4" t="inlineStr">
        <is>
          <t>节点板加劲</t>
        </is>
      </c>
      <c r="C53" s="4" t="inlineStr">
        <is>
          <t>N61</t>
        </is>
      </c>
      <c r="D53" s="4" t="inlineStr">
        <is>
          <t>Q355D</t>
        </is>
      </c>
      <c r="E53" s="5" t="inlineStr">
        <is>
          <t>□2800x320x32</t>
        </is>
      </c>
      <c r="F53" s="4" t="inlineStr">
        <is>
          <t>板件</t>
        </is>
      </c>
      <c r="G53" s="6" t="n">
        <v>2800</v>
      </c>
      <c r="H53" s="4" t="n">
        <v>320</v>
      </c>
      <c r="I53" s="7" t="inlineStr">
        <is>
          <t>—</t>
        </is>
      </c>
      <c r="J53" s="7" t="n">
        <v>32</v>
      </c>
      <c r="K53" s="4" t="n">
        <v>2</v>
      </c>
      <c r="L53" s="5" t="inlineStr">
        <is>
          <t>长×宽×厚×7850 = 2800×320×32mm</t>
        </is>
      </c>
      <c r="M53" s="8">
        <f>(G53/1000)*(H53/1000)*(J53/1000)*7850</f>
        <v/>
      </c>
      <c r="N53" s="9">
        <f>M53*K53</f>
        <v/>
      </c>
      <c r="O53" s="9" t="n">
        <v>226.1</v>
      </c>
      <c r="P53" s="9">
        <f>O53*K53</f>
        <v/>
      </c>
      <c r="Q53" s="9">
        <f>N53-P53</f>
        <v/>
      </c>
      <c r="R53" s="10">
        <f>IF(P53=0,"",Q53/P53)</f>
        <v/>
      </c>
      <c r="S53" s="5" t="inlineStr"/>
    </row>
    <row r="54">
      <c r="A54" s="4" t="n">
        <v>51</v>
      </c>
      <c r="B54" s="4" t="inlineStr">
        <is>
          <t>节点板加劲</t>
        </is>
      </c>
      <c r="C54" s="4" t="inlineStr">
        <is>
          <t>N62</t>
        </is>
      </c>
      <c r="D54" s="4" t="inlineStr">
        <is>
          <t>Q355D</t>
        </is>
      </c>
      <c r="E54" s="5" t="inlineStr">
        <is>
          <t>□2600x320x32</t>
        </is>
      </c>
      <c r="F54" s="4" t="inlineStr">
        <is>
          <t>板件</t>
        </is>
      </c>
      <c r="G54" s="6" t="n">
        <v>2600</v>
      </c>
      <c r="H54" s="4" t="n">
        <v>320</v>
      </c>
      <c r="I54" s="7" t="inlineStr">
        <is>
          <t>—</t>
        </is>
      </c>
      <c r="J54" s="7" t="n">
        <v>32</v>
      </c>
      <c r="K54" s="4" t="n">
        <v>2</v>
      </c>
      <c r="L54" s="5" t="inlineStr">
        <is>
          <t>长×宽×厚×7850 = 2600×320×32mm</t>
        </is>
      </c>
      <c r="M54" s="8">
        <f>(G54/1000)*(H54/1000)*(J54/1000)*7850</f>
        <v/>
      </c>
      <c r="N54" s="9">
        <f>M54*K54</f>
        <v/>
      </c>
      <c r="O54" s="9" t="n">
        <v>208.5</v>
      </c>
      <c r="P54" s="9">
        <f>O54*K54</f>
        <v/>
      </c>
      <c r="Q54" s="9">
        <f>N54-P54</f>
        <v/>
      </c>
      <c r="R54" s="10">
        <f>IF(P54=0,"",Q54/P54)</f>
        <v/>
      </c>
      <c r="S54" s="5" t="inlineStr"/>
    </row>
    <row r="55">
      <c r="A55" s="4" t="n">
        <v>52</v>
      </c>
      <c r="B55" s="4" t="inlineStr">
        <is>
          <t>节点板加劲</t>
        </is>
      </c>
      <c r="C55" s="4" t="inlineStr">
        <is>
          <t>N63</t>
        </is>
      </c>
      <c r="D55" s="4" t="inlineStr">
        <is>
          <t>Q355D</t>
        </is>
      </c>
      <c r="E55" s="5" t="inlineStr">
        <is>
          <t>□750x320x28</t>
        </is>
      </c>
      <c r="F55" s="4" t="inlineStr">
        <is>
          <t>板件</t>
        </is>
      </c>
      <c r="G55" s="6" t="n">
        <v>750</v>
      </c>
      <c r="H55" s="4" t="n">
        <v>320</v>
      </c>
      <c r="I55" s="7" t="inlineStr">
        <is>
          <t>—</t>
        </is>
      </c>
      <c r="J55" s="7" t="n">
        <v>28</v>
      </c>
      <c r="K55" s="4" t="n">
        <v>2</v>
      </c>
      <c r="L55" s="5" t="inlineStr">
        <is>
          <t>长×宽×厚×7850 = 750×320×28mm</t>
        </is>
      </c>
      <c r="M55" s="8">
        <f>(G55/1000)*(H55/1000)*(J55/1000)*7850</f>
        <v/>
      </c>
      <c r="N55" s="9">
        <f>M55*K55</f>
        <v/>
      </c>
      <c r="O55" s="9" t="n">
        <v>52.8</v>
      </c>
      <c r="P55" s="9">
        <f>O55*K55</f>
        <v/>
      </c>
      <c r="Q55" s="9">
        <f>N55-P55</f>
        <v/>
      </c>
      <c r="R55" s="10">
        <f>IF(P55=0,"",Q55/P55)</f>
        <v/>
      </c>
      <c r="S55" s="5" t="inlineStr"/>
    </row>
    <row r="56">
      <c r="A56" s="4" t="n">
        <v>53</v>
      </c>
      <c r="B56" s="4" t="inlineStr">
        <is>
          <t>节点板加劲</t>
        </is>
      </c>
      <c r="C56" s="4" t="inlineStr">
        <is>
          <t>N64</t>
        </is>
      </c>
      <c r="D56" s="4" t="inlineStr">
        <is>
          <t>Q355D</t>
        </is>
      </c>
      <c r="E56" s="5" t="inlineStr">
        <is>
          <t>□2100x320x32</t>
        </is>
      </c>
      <c r="F56" s="4" t="inlineStr">
        <is>
          <t>板件</t>
        </is>
      </c>
      <c r="G56" s="6" t="n">
        <v>2100</v>
      </c>
      <c r="H56" s="4" t="n">
        <v>320</v>
      </c>
      <c r="I56" s="7" t="inlineStr">
        <is>
          <t>—</t>
        </is>
      </c>
      <c r="J56" s="7" t="n">
        <v>32</v>
      </c>
      <c r="K56" s="4" t="n">
        <v>2</v>
      </c>
      <c r="L56" s="5" t="inlineStr">
        <is>
          <t>长×宽×厚×7850 = 2100×320×32mm</t>
        </is>
      </c>
      <c r="M56" s="8">
        <f>(G56/1000)*(H56/1000)*(J56/1000)*7850</f>
        <v/>
      </c>
      <c r="N56" s="9">
        <f>M56*K56</f>
        <v/>
      </c>
      <c r="O56" s="9" t="n">
        <v>168.3</v>
      </c>
      <c r="P56" s="9">
        <f>O56*K56</f>
        <v/>
      </c>
      <c r="Q56" s="9">
        <f>N56-P56</f>
        <v/>
      </c>
      <c r="R56" s="10">
        <f>IF(P56=0,"",Q56/P56)</f>
        <v/>
      </c>
      <c r="S56" s="5" t="inlineStr"/>
    </row>
    <row r="57">
      <c r="A57" s="4" t="n">
        <v>54</v>
      </c>
      <c r="B57" s="4" t="inlineStr">
        <is>
          <t>节点板加劲</t>
        </is>
      </c>
      <c r="C57" s="4" t="inlineStr">
        <is>
          <t>N65</t>
        </is>
      </c>
      <c r="D57" s="4" t="inlineStr">
        <is>
          <t>Q355D</t>
        </is>
      </c>
      <c r="E57" s="5" t="inlineStr">
        <is>
          <t>□2100x320x32</t>
        </is>
      </c>
      <c r="F57" s="4" t="inlineStr">
        <is>
          <t>板件</t>
        </is>
      </c>
      <c r="G57" s="6" t="n">
        <v>2100</v>
      </c>
      <c r="H57" s="4" t="n">
        <v>320</v>
      </c>
      <c r="I57" s="7" t="inlineStr">
        <is>
          <t>—</t>
        </is>
      </c>
      <c r="J57" s="7" t="n">
        <v>32</v>
      </c>
      <c r="K57" s="4" t="n">
        <v>2</v>
      </c>
      <c r="L57" s="5" t="inlineStr">
        <is>
          <t>长×宽×厚×7850 = 2100×320×32mm</t>
        </is>
      </c>
      <c r="M57" s="8">
        <f>(G57/1000)*(H57/1000)*(J57/1000)*7850</f>
        <v/>
      </c>
      <c r="N57" s="9">
        <f>M57*K57</f>
        <v/>
      </c>
      <c r="O57" s="9" t="n">
        <v>168.3</v>
      </c>
      <c r="P57" s="9">
        <f>O57*K57</f>
        <v/>
      </c>
      <c r="Q57" s="9">
        <f>N57-P57</f>
        <v/>
      </c>
      <c r="R57" s="10">
        <f>IF(P57=0,"",Q57/P57)</f>
        <v/>
      </c>
      <c r="S57" s="5" t="inlineStr"/>
    </row>
    <row r="58">
      <c r="A58" s="4" t="n">
        <v>55</v>
      </c>
      <c r="B58" s="4" t="inlineStr">
        <is>
          <t>横梁接头</t>
        </is>
      </c>
      <c r="C58" s="4" t="inlineStr">
        <is>
          <t>N71</t>
        </is>
      </c>
      <c r="D58" s="4" t="inlineStr">
        <is>
          <t>Q355D</t>
        </is>
      </c>
      <c r="E58" s="5" t="inlineStr">
        <is>
          <t>□1980x610x16</t>
        </is>
      </c>
      <c r="F58" s="4" t="inlineStr">
        <is>
          <t>板件</t>
        </is>
      </c>
      <c r="G58" s="6" t="n">
        <v>1980</v>
      </c>
      <c r="H58" s="4" t="n">
        <v>610</v>
      </c>
      <c r="I58" s="7" t="inlineStr">
        <is>
          <t>—</t>
        </is>
      </c>
      <c r="J58" s="7" t="n">
        <v>16</v>
      </c>
      <c r="K58" s="4" t="n">
        <v>6</v>
      </c>
      <c r="L58" s="5" t="inlineStr">
        <is>
          <t>长×宽×厚×7850 = 1980×610×16mm</t>
        </is>
      </c>
      <c r="M58" s="8">
        <f>(G58/1000)*(H58/1000)*(J58/1000)*7850</f>
        <v/>
      </c>
      <c r="N58" s="9">
        <f>M58*K58</f>
        <v/>
      </c>
      <c r="O58" s="9" t="n">
        <v>152</v>
      </c>
      <c r="P58" s="9">
        <f>O58*K58</f>
        <v/>
      </c>
      <c r="Q58" s="9">
        <f>N58-P58</f>
        <v/>
      </c>
      <c r="R58" s="10">
        <f>IF(P58=0,"",Q58/P58)</f>
        <v/>
      </c>
      <c r="S58" s="5" t="inlineStr"/>
    </row>
    <row r="59">
      <c r="A59" s="4" t="n">
        <v>56</v>
      </c>
      <c r="B59" s="4" t="inlineStr">
        <is>
          <t>横梁接头</t>
        </is>
      </c>
      <c r="C59" s="4" t="inlineStr">
        <is>
          <t>N71'</t>
        </is>
      </c>
      <c r="D59" s="4" t="inlineStr">
        <is>
          <t>Q355D</t>
        </is>
      </c>
      <c r="E59" s="5" t="inlineStr">
        <is>
          <t>□1980x650x16</t>
        </is>
      </c>
      <c r="F59" s="4" t="inlineStr">
        <is>
          <t>板件</t>
        </is>
      </c>
      <c r="G59" s="6" t="n">
        <v>1980</v>
      </c>
      <c r="H59" s="4" t="n">
        <v>650</v>
      </c>
      <c r="I59" s="7" t="inlineStr">
        <is>
          <t>—</t>
        </is>
      </c>
      <c r="J59" s="7" t="n">
        <v>16</v>
      </c>
      <c r="K59" s="4" t="n">
        <v>2</v>
      </c>
      <c r="L59" s="5" t="inlineStr">
        <is>
          <t>长×宽×厚×7850 = 1980×650×16mm</t>
        </is>
      </c>
      <c r="M59" s="8">
        <f>(G59/1000)*(H59/1000)*(J59/1000)*7850</f>
        <v/>
      </c>
      <c r="N59" s="9">
        <f>M59*K59</f>
        <v/>
      </c>
      <c r="O59" s="9" t="n">
        <v>162</v>
      </c>
      <c r="P59" s="9">
        <f>O59*K59</f>
        <v/>
      </c>
      <c r="Q59" s="9">
        <f>N59-P59</f>
        <v/>
      </c>
      <c r="R59" s="10">
        <f>IF(P59=0,"",Q59/P59)</f>
        <v/>
      </c>
      <c r="S59" s="5" t="inlineStr"/>
    </row>
    <row r="60">
      <c r="A60" s="4" t="n">
        <v>57</v>
      </c>
      <c r="B60" s="4" t="inlineStr">
        <is>
          <t>横梁接头</t>
        </is>
      </c>
      <c r="C60" s="4" t="inlineStr">
        <is>
          <t>N71a</t>
        </is>
      </c>
      <c r="D60" s="4" t="inlineStr">
        <is>
          <t>Q355D</t>
        </is>
      </c>
      <c r="E60" s="5" t="inlineStr">
        <is>
          <t>□1980x622x16</t>
        </is>
      </c>
      <c r="F60" s="4" t="inlineStr">
        <is>
          <t>板件</t>
        </is>
      </c>
      <c r="G60" s="6" t="n">
        <v>1980</v>
      </c>
      <c r="H60" s="4" t="n">
        <v>622</v>
      </c>
      <c r="I60" s="7" t="inlineStr">
        <is>
          <t>—</t>
        </is>
      </c>
      <c r="J60" s="7" t="n">
        <v>16</v>
      </c>
      <c r="K60" s="4" t="n">
        <v>4</v>
      </c>
      <c r="L60" s="5" t="inlineStr">
        <is>
          <t>长×宽×厚×7850 = 1980×622×16mm</t>
        </is>
      </c>
      <c r="M60" s="8">
        <f>(G60/1000)*(H60/1000)*(J60/1000)*7850</f>
        <v/>
      </c>
      <c r="N60" s="9">
        <f>M60*K60</f>
        <v/>
      </c>
      <c r="O60" s="9" t="n">
        <v>154.5</v>
      </c>
      <c r="P60" s="9">
        <f>O60*K60</f>
        <v/>
      </c>
      <c r="Q60" s="9">
        <f>N60-P60</f>
        <v/>
      </c>
      <c r="R60" s="10">
        <f>IF(P60=0,"",Q60/P60)</f>
        <v/>
      </c>
      <c r="S60" s="5" t="inlineStr"/>
    </row>
    <row r="61">
      <c r="A61" s="4" t="n">
        <v>58</v>
      </c>
      <c r="B61" s="4" t="inlineStr">
        <is>
          <t>横梁接头</t>
        </is>
      </c>
      <c r="C61" s="4" t="inlineStr">
        <is>
          <t>N72</t>
        </is>
      </c>
      <c r="D61" s="4" t="inlineStr">
        <is>
          <t>Q355D</t>
        </is>
      </c>
      <c r="E61" s="5" t="inlineStr">
        <is>
          <t>t=24mm,A=0.47m2</t>
        </is>
      </c>
      <c r="F61" s="4" t="inlineStr">
        <is>
          <t>面积</t>
        </is>
      </c>
      <c r="G61" s="6" t="inlineStr">
        <is>
          <t>—</t>
        </is>
      </c>
      <c r="H61" s="4" t="inlineStr">
        <is>
          <t>—</t>
        </is>
      </c>
      <c r="I61" s="7" t="n">
        <v>0.47</v>
      </c>
      <c r="J61" s="7" t="n">
        <v>24</v>
      </c>
      <c r="K61" s="4" t="n">
        <v>6</v>
      </c>
      <c r="L61" s="5" t="inlineStr">
        <is>
          <t>面积×厚×7.85 = 0.47×24×7.85</t>
        </is>
      </c>
      <c r="M61" s="8">
        <f>I61*J61*7.85</f>
        <v/>
      </c>
      <c r="N61" s="9">
        <f>M61*K61</f>
        <v/>
      </c>
      <c r="O61" s="9" t="n">
        <v>88.40000000000001</v>
      </c>
      <c r="P61" s="9">
        <f>O61*K61</f>
        <v/>
      </c>
      <c r="Q61" s="9">
        <f>N61-P61</f>
        <v/>
      </c>
      <c r="R61" s="10">
        <f>IF(P61=0,"",Q61/P61)</f>
        <v/>
      </c>
      <c r="S61" s="5" t="inlineStr"/>
    </row>
    <row r="62">
      <c r="A62" s="4" t="n">
        <v>59</v>
      </c>
      <c r="B62" s="4" t="inlineStr">
        <is>
          <t>横梁接头</t>
        </is>
      </c>
      <c r="C62" s="4" t="inlineStr">
        <is>
          <t>N72'</t>
        </is>
      </c>
      <c r="D62" s="4" t="inlineStr">
        <is>
          <t>Q355D</t>
        </is>
      </c>
      <c r="E62" s="5" t="inlineStr">
        <is>
          <t>t=24mm,A=0.48m2</t>
        </is>
      </c>
      <c r="F62" s="4" t="inlineStr">
        <is>
          <t>面积</t>
        </is>
      </c>
      <c r="G62" s="6" t="inlineStr">
        <is>
          <t>—</t>
        </is>
      </c>
      <c r="H62" s="4" t="inlineStr">
        <is>
          <t>—</t>
        </is>
      </c>
      <c r="I62" s="7" t="n">
        <v>0.48</v>
      </c>
      <c r="J62" s="7" t="n">
        <v>24</v>
      </c>
      <c r="K62" s="4" t="n">
        <v>6</v>
      </c>
      <c r="L62" s="5" t="inlineStr">
        <is>
          <t>面积×厚×7.85 = 0.48×24×7.85</t>
        </is>
      </c>
      <c r="M62" s="8">
        <f>I62*J62*7.85</f>
        <v/>
      </c>
      <c r="N62" s="9">
        <f>M62*K62</f>
        <v/>
      </c>
      <c r="O62" s="9" t="n">
        <v>90.40000000000001</v>
      </c>
      <c r="P62" s="9">
        <f>O62*K62</f>
        <v/>
      </c>
      <c r="Q62" s="9">
        <f>N62-P62</f>
        <v/>
      </c>
      <c r="R62" s="10">
        <f>IF(P62=0,"",Q62/P62)</f>
        <v/>
      </c>
      <c r="S62" s="5" t="inlineStr"/>
    </row>
    <row r="63">
      <c r="A63" s="4" t="n">
        <v>60</v>
      </c>
      <c r="B63" s="4" t="inlineStr">
        <is>
          <t>横梁接头</t>
        </is>
      </c>
      <c r="C63" s="4" t="inlineStr">
        <is>
          <t>N72a</t>
        </is>
      </c>
      <c r="D63" s="4" t="inlineStr">
        <is>
          <t>Q355D</t>
        </is>
      </c>
      <c r="E63" s="5" t="inlineStr">
        <is>
          <t>t=24mm,A=0.97m2</t>
        </is>
      </c>
      <c r="F63" s="4" t="inlineStr">
        <is>
          <t>面积</t>
        </is>
      </c>
      <c r="G63" s="6" t="inlineStr">
        <is>
          <t>—</t>
        </is>
      </c>
      <c r="H63" s="4" t="inlineStr">
        <is>
          <t>—</t>
        </is>
      </c>
      <c r="I63" s="7" t="n">
        <v>0.97</v>
      </c>
      <c r="J63" s="7" t="n">
        <v>24</v>
      </c>
      <c r="K63" s="4" t="n">
        <v>2</v>
      </c>
      <c r="L63" s="5" t="inlineStr">
        <is>
          <t>面积×厚×7.85 = 0.97×24×7.85</t>
        </is>
      </c>
      <c r="M63" s="8">
        <f>I63*J63*7.85</f>
        <v/>
      </c>
      <c r="N63" s="9">
        <f>M63*K63</f>
        <v/>
      </c>
      <c r="O63" s="9" t="n">
        <v>182</v>
      </c>
      <c r="P63" s="9">
        <f>O63*K63</f>
        <v/>
      </c>
      <c r="Q63" s="9">
        <f>N63-P63</f>
        <v/>
      </c>
      <c r="R63" s="10">
        <f>IF(P63=0,"",Q63/P63)</f>
        <v/>
      </c>
      <c r="S63" s="5" t="inlineStr"/>
    </row>
    <row r="64">
      <c r="A64" s="4" t="n">
        <v>61</v>
      </c>
      <c r="B64" s="4" t="inlineStr">
        <is>
          <t>横梁接头</t>
        </is>
      </c>
      <c r="C64" s="4" t="inlineStr">
        <is>
          <t>N72b</t>
        </is>
      </c>
      <c r="D64" s="4" t="inlineStr">
        <is>
          <t>Q355D</t>
        </is>
      </c>
      <c r="E64" s="5" t="inlineStr">
        <is>
          <t>t=24mm,A=0.48m2</t>
        </is>
      </c>
      <c r="F64" s="4" t="inlineStr">
        <is>
          <t>面积</t>
        </is>
      </c>
      <c r="G64" s="6" t="inlineStr">
        <is>
          <t>—</t>
        </is>
      </c>
      <c r="H64" s="4" t="inlineStr">
        <is>
          <t>—</t>
        </is>
      </c>
      <c r="I64" s="7" t="n">
        <v>0.48</v>
      </c>
      <c r="J64" s="7" t="n">
        <v>24</v>
      </c>
      <c r="K64" s="4" t="n">
        <v>2</v>
      </c>
      <c r="L64" s="5" t="inlineStr">
        <is>
          <t>面积×厚×7.85 = 0.48×24×7.85</t>
        </is>
      </c>
      <c r="M64" s="8">
        <f>I64*J64*7.85</f>
        <v/>
      </c>
      <c r="N64" s="9">
        <f>M64*K64</f>
        <v/>
      </c>
      <c r="O64" s="9" t="n">
        <v>90</v>
      </c>
      <c r="P64" s="9">
        <f>O64*K64</f>
        <v/>
      </c>
      <c r="Q64" s="9">
        <f>N64-P64</f>
        <v/>
      </c>
      <c r="R64" s="10">
        <f>IF(P64=0,"",Q64/P64)</f>
        <v/>
      </c>
      <c r="S64" s="5" t="inlineStr"/>
    </row>
    <row r="65">
      <c r="A65" s="4" t="n">
        <v>62</v>
      </c>
      <c r="B65" s="4" t="inlineStr">
        <is>
          <t>横梁接头</t>
        </is>
      </c>
      <c r="C65" s="4" t="inlineStr">
        <is>
          <t>N73</t>
        </is>
      </c>
      <c r="D65" s="4" t="inlineStr">
        <is>
          <t>Q355D</t>
        </is>
      </c>
      <c r="E65" s="5" t="inlineStr">
        <is>
          <t>□1800x626x16</t>
        </is>
      </c>
      <c r="F65" s="4" t="inlineStr">
        <is>
          <t>板件</t>
        </is>
      </c>
      <c r="G65" s="6" t="n">
        <v>1800</v>
      </c>
      <c r="H65" s="4" t="n">
        <v>626</v>
      </c>
      <c r="I65" s="7" t="inlineStr">
        <is>
          <t>—</t>
        </is>
      </c>
      <c r="J65" s="7" t="n">
        <v>16</v>
      </c>
      <c r="K65" s="4" t="n">
        <v>8</v>
      </c>
      <c r="L65" s="5" t="inlineStr">
        <is>
          <t>长×宽×厚×7850 = 1800×626×16mm</t>
        </is>
      </c>
      <c r="M65" s="8">
        <f>(G65/1000)*(H65/1000)*(J65/1000)*7850</f>
        <v/>
      </c>
      <c r="N65" s="9">
        <f>M65*K65</f>
        <v/>
      </c>
      <c r="O65" s="9" t="n">
        <v>141.9</v>
      </c>
      <c r="P65" s="9">
        <f>O65*K65</f>
        <v/>
      </c>
      <c r="Q65" s="9">
        <f>N65-P65</f>
        <v/>
      </c>
      <c r="R65" s="10">
        <f>IF(P65=0,"",Q65/P65)</f>
        <v/>
      </c>
      <c r="S65" s="5" t="inlineStr"/>
    </row>
    <row r="66">
      <c r="A66" s="4" t="n">
        <v>63</v>
      </c>
      <c r="B66" s="4" t="inlineStr">
        <is>
          <t>横梁接头</t>
        </is>
      </c>
      <c r="C66" s="4" t="inlineStr">
        <is>
          <t>N73a</t>
        </is>
      </c>
      <c r="D66" s="4" t="inlineStr">
        <is>
          <t>Q355D</t>
        </is>
      </c>
      <c r="E66" s="5" t="inlineStr">
        <is>
          <t>□1800x610x28</t>
        </is>
      </c>
      <c r="F66" s="4" t="inlineStr">
        <is>
          <t>板件</t>
        </is>
      </c>
      <c r="G66" s="6" t="n">
        <v>1800</v>
      </c>
      <c r="H66" s="4" t="n">
        <v>610</v>
      </c>
      <c r="I66" s="7" t="inlineStr">
        <is>
          <t>—</t>
        </is>
      </c>
      <c r="J66" s="7" t="n">
        <v>28</v>
      </c>
      <c r="K66" s="4" t="n">
        <v>4</v>
      </c>
      <c r="L66" s="5" t="inlineStr">
        <is>
          <t>长×宽×厚×7850 = 1800×610×28mm</t>
        </is>
      </c>
      <c r="M66" s="8">
        <f>(G66/1000)*(H66/1000)*(J66/1000)*7850</f>
        <v/>
      </c>
      <c r="N66" s="9">
        <f>M66*K66</f>
        <v/>
      </c>
      <c r="O66" s="9" t="n">
        <v>241.8</v>
      </c>
      <c r="P66" s="9">
        <f>O66*K66</f>
        <v/>
      </c>
      <c r="Q66" s="9">
        <f>N66-P66</f>
        <v/>
      </c>
      <c r="R66" s="10">
        <f>IF(P66=0,"",Q66/P66)</f>
        <v/>
      </c>
      <c r="S66" s="5" t="inlineStr"/>
    </row>
    <row r="67">
      <c r="A67" s="4" t="n">
        <v>64</v>
      </c>
      <c r="B67" s="4" t="inlineStr">
        <is>
          <t>支承加劲肋</t>
        </is>
      </c>
      <c r="C67" s="4" t="inlineStr">
        <is>
          <t>N81</t>
        </is>
      </c>
      <c r="D67" s="4" t="inlineStr">
        <is>
          <t>Q355D</t>
        </is>
      </c>
      <c r="E67" s="5" t="inlineStr">
        <is>
          <t>□1800x1200x32</t>
        </is>
      </c>
      <c r="F67" s="4" t="inlineStr">
        <is>
          <t>板件</t>
        </is>
      </c>
      <c r="G67" s="6" t="n">
        <v>1800</v>
      </c>
      <c r="H67" s="4" t="n">
        <v>1200</v>
      </c>
      <c r="I67" s="7" t="inlineStr">
        <is>
          <t>—</t>
        </is>
      </c>
      <c r="J67" s="7" t="n">
        <v>32</v>
      </c>
      <c r="K67" s="4" t="n">
        <v>4</v>
      </c>
      <c r="L67" s="5" t="inlineStr">
        <is>
          <t>长×宽×厚×7850 = 1800×1200×32mm</t>
        </is>
      </c>
      <c r="M67" s="8">
        <f>(G67/1000)*(H67/1000)*(J67/1000)*7850</f>
        <v/>
      </c>
      <c r="N67" s="9">
        <f>M67*K67</f>
        <v/>
      </c>
      <c r="O67" s="9" t="n">
        <v>542.6</v>
      </c>
      <c r="P67" s="9">
        <f>O67*K67</f>
        <v/>
      </c>
      <c r="Q67" s="9">
        <f>N67-P67</f>
        <v/>
      </c>
      <c r="R67" s="10">
        <f>IF(P67=0,"",Q67/P67)</f>
        <v/>
      </c>
      <c r="S67" s="5" t="inlineStr"/>
    </row>
    <row r="68">
      <c r="A68" s="4" t="n">
        <v>65</v>
      </c>
      <c r="B68" s="4" t="inlineStr">
        <is>
          <t>支承加劲肋</t>
        </is>
      </c>
      <c r="C68" s="4" t="inlineStr">
        <is>
          <t>N82</t>
        </is>
      </c>
      <c r="D68" s="4" t="inlineStr">
        <is>
          <t>Q355D</t>
        </is>
      </c>
      <c r="E68" s="5" t="inlineStr">
        <is>
          <t>□502x240x20</t>
        </is>
      </c>
      <c r="F68" s="4" t="inlineStr">
        <is>
          <t>板件</t>
        </is>
      </c>
      <c r="G68" s="6" t="n">
        <v>502</v>
      </c>
      <c r="H68" s="4" t="n">
        <v>240</v>
      </c>
      <c r="I68" s="7" t="inlineStr">
        <is>
          <t>—</t>
        </is>
      </c>
      <c r="J68" s="7" t="n">
        <v>20</v>
      </c>
      <c r="K68" s="4" t="n">
        <v>2</v>
      </c>
      <c r="L68" s="5" t="inlineStr">
        <is>
          <t>长×宽×厚×7850 = 502×240×20mm</t>
        </is>
      </c>
      <c r="M68" s="8">
        <f>(G68/1000)*(H68/1000)*(J68/1000)*7850</f>
        <v/>
      </c>
      <c r="N68" s="9">
        <f>M68*K68</f>
        <v/>
      </c>
      <c r="O68" s="9" t="n">
        <v>18.8</v>
      </c>
      <c r="P68" s="9">
        <f>O68*K68</f>
        <v/>
      </c>
      <c r="Q68" s="9">
        <f>N68-P68</f>
        <v/>
      </c>
      <c r="R68" s="10">
        <f>IF(P68=0,"",Q68/P68)</f>
        <v/>
      </c>
      <c r="S68" s="5" t="inlineStr"/>
    </row>
    <row r="69">
      <c r="A69" s="4" t="n">
        <v>66</v>
      </c>
      <c r="B69" s="4" t="inlineStr">
        <is>
          <t>支承加劲肋</t>
        </is>
      </c>
      <c r="C69" s="4" t="inlineStr">
        <is>
          <t>N83</t>
        </is>
      </c>
      <c r="D69" s="4" t="inlineStr">
        <is>
          <t>Q355D</t>
        </is>
      </c>
      <c r="E69" s="5" t="inlineStr">
        <is>
          <t>□1800x1800x100</t>
        </is>
      </c>
      <c r="F69" s="4" t="inlineStr">
        <is>
          <t>板件</t>
        </is>
      </c>
      <c r="G69" s="6" t="n">
        <v>1800</v>
      </c>
      <c r="H69" s="4" t="n">
        <v>1800</v>
      </c>
      <c r="I69" s="7" t="inlineStr">
        <is>
          <t>—</t>
        </is>
      </c>
      <c r="J69" s="7" t="n">
        <v>100</v>
      </c>
      <c r="K69" s="4" t="n">
        <v>1</v>
      </c>
      <c r="L69" s="5" t="inlineStr">
        <is>
          <t>长×宽×厚×7850 = 1800×1800×100mm</t>
        </is>
      </c>
      <c r="M69" s="8">
        <f>(G69/1000)*(H69/1000)*(J69/1000)*7850</f>
        <v/>
      </c>
      <c r="N69" s="9">
        <f>M69*K69</f>
        <v/>
      </c>
      <c r="O69" s="9" t="n">
        <v>2543.4</v>
      </c>
      <c r="P69" s="9">
        <f>O69*K69</f>
        <v/>
      </c>
      <c r="Q69" s="9">
        <f>N69-P69</f>
        <v/>
      </c>
      <c r="R69" s="10">
        <f>IF(P69=0,"",Q69/P69)</f>
        <v/>
      </c>
      <c r="S69" s="5" t="inlineStr"/>
    </row>
    <row r="70">
      <c r="A70" s="4" t="n">
        <v>67</v>
      </c>
      <c r="B70" s="4" t="inlineStr">
        <is>
          <t>支承加劲肋</t>
        </is>
      </c>
      <c r="C70" s="4" t="inlineStr">
        <is>
          <t>N84</t>
        </is>
      </c>
      <c r="D70" s="4" t="inlineStr">
        <is>
          <t>Q355D</t>
        </is>
      </c>
      <c r="E70" s="5" t="inlineStr">
        <is>
          <t>□1000x568x32</t>
        </is>
      </c>
      <c r="F70" s="4" t="inlineStr">
        <is>
          <t>板件</t>
        </is>
      </c>
      <c r="G70" s="6" t="n">
        <v>1000</v>
      </c>
      <c r="H70" s="4" t="n">
        <v>568</v>
      </c>
      <c r="I70" s="7" t="inlineStr">
        <is>
          <t>—</t>
        </is>
      </c>
      <c r="J70" s="7" t="n">
        <v>32</v>
      </c>
      <c r="K70" s="4" t="n">
        <v>3</v>
      </c>
      <c r="L70" s="5" t="inlineStr">
        <is>
          <t>长×宽×厚×7850 = 1000×568×32mm</t>
        </is>
      </c>
      <c r="M70" s="8">
        <f>(G70/1000)*(H70/1000)*(J70/1000)*7850</f>
        <v/>
      </c>
      <c r="N70" s="9">
        <f>M70*K70</f>
        <v/>
      </c>
      <c r="O70" s="9" t="n">
        <v>143.2</v>
      </c>
      <c r="P70" s="9">
        <f>O70*K70</f>
        <v/>
      </c>
      <c r="Q70" s="9">
        <f>N70-P70</f>
        <v/>
      </c>
      <c r="R70" s="10">
        <f>IF(P70=0,"",Q70/P70)</f>
        <v/>
      </c>
      <c r="S70" s="5" t="inlineStr"/>
    </row>
    <row r="71">
      <c r="A71" s="4" t="n">
        <v>68</v>
      </c>
      <c r="B71" s="4" t="inlineStr">
        <is>
          <t>支承加劲肋</t>
        </is>
      </c>
      <c r="C71" s="4" t="inlineStr">
        <is>
          <t>N85</t>
        </is>
      </c>
      <c r="D71" s="4" t="inlineStr">
        <is>
          <t>Q355D</t>
        </is>
      </c>
      <c r="E71" s="5" t="inlineStr">
        <is>
          <t>□1350x570x32</t>
        </is>
      </c>
      <c r="F71" s="4" t="inlineStr">
        <is>
          <t>板件</t>
        </is>
      </c>
      <c r="G71" s="6" t="n">
        <v>1350</v>
      </c>
      <c r="H71" s="4" t="n">
        <v>570</v>
      </c>
      <c r="I71" s="7" t="inlineStr">
        <is>
          <t>—</t>
        </is>
      </c>
      <c r="J71" s="7" t="n">
        <v>32</v>
      </c>
      <c r="K71" s="4" t="n">
        <v>4</v>
      </c>
      <c r="L71" s="5" t="inlineStr">
        <is>
          <t>长×宽×厚×7850 = 1350×570×32mm</t>
        </is>
      </c>
      <c r="M71" s="8">
        <f>(G71/1000)*(H71/1000)*(J71/1000)*7850</f>
        <v/>
      </c>
      <c r="N71" s="9">
        <f>M71*K71</f>
        <v/>
      </c>
      <c r="O71" s="9" t="n">
        <v>193.4</v>
      </c>
      <c r="P71" s="9">
        <f>O71*K71</f>
        <v/>
      </c>
      <c r="Q71" s="9">
        <f>N71-P71</f>
        <v/>
      </c>
      <c r="R71" s="10">
        <f>IF(P71=0,"",Q71/P71)</f>
        <v/>
      </c>
      <c r="S71" s="5" t="inlineStr"/>
    </row>
    <row r="72"/>
    <row r="73"/>
    <row r="74">
      <c r="A74" s="11" t="n"/>
      <c r="B74" s="12" t="inlineStr">
        <is>
          <t>材料合计（不含焊缝，计算 / 图纸对照）</t>
        </is>
      </c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8" t="n"/>
      <c r="N74" s="13">
        <f>SUM(N4:N71)</f>
        <v/>
      </c>
      <c r="O74" s="14" t="n"/>
      <c r="P74" s="13">
        <f>SUM(P4:P71)</f>
        <v/>
      </c>
      <c r="Q74" s="14">
        <f>N74-P74</f>
        <v/>
      </c>
      <c r="R74" s="15">
        <f>Q74/P74</f>
        <v/>
      </c>
      <c r="S74" s="11" t="n"/>
    </row>
    <row r="75">
      <c r="A75" s="11" t="n"/>
      <c r="B75" s="12" t="inlineStr">
        <is>
          <t>焊缝重量（按图纸口径 1.5%）</t>
        </is>
      </c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8" t="n"/>
      <c r="N75" s="13">
        <f>N74*0.015</f>
        <v/>
      </c>
      <c r="O75" s="14" t="n"/>
      <c r="P75" s="13" t="n">
        <v>1829.6</v>
      </c>
      <c r="Q75" s="14">
        <f>N75-P75</f>
        <v/>
      </c>
      <c r="R75" s="15" t="n"/>
      <c r="S75" s="11" t="n"/>
    </row>
    <row r="76">
      <c r="A76" s="16" t="n"/>
      <c r="B76" s="17" t="inlineStr">
        <is>
          <t>节段01 合计（材料+焊缝）</t>
        </is>
      </c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8" t="n"/>
      <c r="N76" s="18">
        <f>N74+N75</f>
        <v/>
      </c>
      <c r="O76" s="19" t="n"/>
      <c r="P76" s="18">
        <f>P74+P75</f>
        <v/>
      </c>
      <c r="Q76" s="19">
        <f>N76-P76</f>
        <v/>
      </c>
      <c r="R76" s="20">
        <f>Q76/P76</f>
        <v/>
      </c>
      <c r="S76" s="16" t="n"/>
    </row>
    <row r="77"/>
    <row r="78"/>
    <row r="79">
      <c r="A79" s="21" t="inlineStr">
        <is>
          <t>按板厚对比（计算 vs 图纸，kg）</t>
        </is>
      </c>
    </row>
    <row r="80">
      <c r="A80" s="3" t="inlineStr">
        <is>
          <t>板厚(mm)</t>
        </is>
      </c>
      <c r="B80" s="3" t="inlineStr">
        <is>
          <t>计算共重(kg)</t>
        </is>
      </c>
      <c r="C80" s="3" t="inlineStr">
        <is>
          <t>图纸共重(kg)</t>
        </is>
      </c>
      <c r="D80" s="3" t="inlineStr">
        <is>
          <t>差异(kg)</t>
        </is>
      </c>
      <c r="E80" s="3" t="inlineStr">
        <is>
          <t>差异率</t>
        </is>
      </c>
    </row>
    <row r="81">
      <c r="A81" s="4" t="n">
        <v>100</v>
      </c>
      <c r="B81" s="9">
        <f>SUMIF($J$4:$J$71,A81,$N$4:$N$71)</f>
        <v/>
      </c>
      <c r="C81" s="9">
        <f>SUMIF($J$4:$J$71,A81,$P$4:$P$71)</f>
        <v/>
      </c>
      <c r="D81" s="9">
        <f>B81-C81</f>
        <v/>
      </c>
      <c r="E81" s="22">
        <f>D81/C81</f>
        <v/>
      </c>
    </row>
    <row r="82">
      <c r="A82" s="4" t="n">
        <v>40</v>
      </c>
      <c r="B82" s="9">
        <f>SUMIF($J$4:$J$71,A82,$N$4:$N$71)</f>
        <v/>
      </c>
      <c r="C82" s="9">
        <f>SUMIF($J$4:$J$71,A82,$P$4:$P$71)</f>
        <v/>
      </c>
      <c r="D82" s="9">
        <f>B82-C82</f>
        <v/>
      </c>
      <c r="E82" s="22">
        <f>D82/C82</f>
        <v/>
      </c>
    </row>
    <row r="83">
      <c r="A83" s="4" t="n">
        <v>36</v>
      </c>
      <c r="B83" s="9">
        <f>SUMIF($J$4:$J$71,A83,$N$4:$N$71)</f>
        <v/>
      </c>
      <c r="C83" s="9">
        <f>SUMIF($J$4:$J$71,A83,$P$4:$P$71)</f>
        <v/>
      </c>
      <c r="D83" s="9">
        <f>B83-C83</f>
        <v/>
      </c>
      <c r="E83" s="22">
        <f>D83/C83</f>
        <v/>
      </c>
    </row>
    <row r="84">
      <c r="A84" s="4" t="n">
        <v>32</v>
      </c>
      <c r="B84" s="9">
        <f>SUMIF($J$4:$J$71,A84,$N$4:$N$71)</f>
        <v/>
      </c>
      <c r="C84" s="9">
        <f>SUMIF($J$4:$J$71,A84,$P$4:$P$71)</f>
        <v/>
      </c>
      <c r="D84" s="9">
        <f>B84-C84</f>
        <v/>
      </c>
      <c r="E84" s="22">
        <f>D84/C84</f>
        <v/>
      </c>
    </row>
    <row r="85">
      <c r="A85" s="4" t="n">
        <v>28</v>
      </c>
      <c r="B85" s="9">
        <f>SUMIF($J$4:$J$71,A85,$N$4:$N$71)</f>
        <v/>
      </c>
      <c r="C85" s="9">
        <f>SUMIF($J$4:$J$71,A85,$P$4:$P$71)</f>
        <v/>
      </c>
      <c r="D85" s="9">
        <f>B85-C85</f>
        <v/>
      </c>
      <c r="E85" s="22">
        <f>D85/C85</f>
        <v/>
      </c>
    </row>
    <row r="86">
      <c r="A86" s="4" t="n">
        <v>24</v>
      </c>
      <c r="B86" s="9">
        <f>SUMIF($J$4:$J$71,A86,$N$4:$N$71)</f>
        <v/>
      </c>
      <c r="C86" s="9">
        <f>SUMIF($J$4:$J$71,A86,$P$4:$P$71)</f>
        <v/>
      </c>
      <c r="D86" s="9">
        <f>B86-C86</f>
        <v/>
      </c>
      <c r="E86" s="22">
        <f>D86/C86</f>
        <v/>
      </c>
    </row>
    <row r="87">
      <c r="A87" s="4" t="n">
        <v>20</v>
      </c>
      <c r="B87" s="9">
        <f>SUMIF($J$4:$J$71,A87,$N$4:$N$71)</f>
        <v/>
      </c>
      <c r="C87" s="9">
        <f>SUMIF($J$4:$J$71,A87,$P$4:$P$71)</f>
        <v/>
      </c>
      <c r="D87" s="9">
        <f>B87-C87</f>
        <v/>
      </c>
      <c r="E87" s="22">
        <f>D87/C87</f>
        <v/>
      </c>
    </row>
    <row r="88">
      <c r="A88" s="4" t="n">
        <v>16</v>
      </c>
      <c r="B88" s="9">
        <f>SUMIF($J$4:$J$71,A88,$N$4:$N$71)</f>
        <v/>
      </c>
      <c r="C88" s="9">
        <f>SUMIF($J$4:$J$71,A88,$P$4:$P$71)</f>
        <v/>
      </c>
      <c r="D88" s="9">
        <f>B88-C88</f>
        <v/>
      </c>
      <c r="E88" s="22">
        <f>D88/C88</f>
        <v/>
      </c>
    </row>
    <row r="89">
      <c r="A89" s="4" t="n">
        <v>14</v>
      </c>
      <c r="B89" s="9">
        <f>SUMIF($J$4:$J$71,A89,$N$4:$N$71)</f>
        <v/>
      </c>
      <c r="C89" s="9">
        <f>SUMIF($J$4:$J$71,A89,$P$4:$P$71)</f>
        <v/>
      </c>
      <c r="D89" s="9">
        <f>B89-C89</f>
        <v/>
      </c>
      <c r="E89" s="22">
        <f>D89/C89</f>
        <v/>
      </c>
    </row>
    <row r="90">
      <c r="A90" s="4" t="n">
        <v>4</v>
      </c>
      <c r="B90" s="9">
        <f>SUMIF($J$4:$J$71,A90,$N$4:$N$71)</f>
        <v/>
      </c>
      <c r="C90" s="9">
        <f>SUMIF($J$4:$J$71,A90,$P$4:$P$71)</f>
        <v/>
      </c>
      <c r="D90" s="9">
        <f>B90-C90</f>
        <v/>
      </c>
      <c r="E90" s="22">
        <f>D90/C90</f>
        <v/>
      </c>
    </row>
    <row r="91">
      <c r="A91" s="23" t="inlineStr">
        <is>
          <t>小计</t>
        </is>
      </c>
      <c r="B91" s="13">
        <f>SUM(B81:B90)</f>
        <v/>
      </c>
      <c r="C91" s="13">
        <f>SUM(C81:C90)</f>
        <v/>
      </c>
      <c r="D91" s="13">
        <f>B91-C91</f>
        <v/>
      </c>
      <c r="E91" s="24">
        <f>D91/C91</f>
        <v/>
      </c>
    </row>
    <row r="92">
      <c r="A92" s="4" t="inlineStr">
        <is>
          <t>焊缝1.5%</t>
        </is>
      </c>
      <c r="B92" s="9">
        <f>B91*0.015</f>
        <v/>
      </c>
      <c r="C92" s="9" t="n">
        <v>1829.6</v>
      </c>
      <c r="D92" s="9">
        <f>B92-C92</f>
        <v/>
      </c>
      <c r="E92" s="22">
        <f>D92/C92</f>
        <v/>
      </c>
    </row>
    <row r="93">
      <c r="A93" s="25" t="inlineStr">
        <is>
          <t>合计</t>
        </is>
      </c>
      <c r="B93" s="18">
        <f>B91+B92</f>
        <v/>
      </c>
      <c r="C93" s="18" t="n">
        <v>123805.2</v>
      </c>
      <c r="D93" s="18">
        <f>B93-C93</f>
        <v/>
      </c>
      <c r="E93" s="26">
        <f>D93/C93</f>
        <v/>
      </c>
    </row>
    <row r="94"/>
    <row r="95">
      <c r="A95" s="21" t="inlineStr">
        <is>
          <t>差异说明</t>
        </is>
      </c>
    </row>
    <row r="96" ht="26" customHeight="1">
      <c r="A96" s="29" t="inlineStr">
        <is>
          <t>一、计算口径（未改动）</t>
        </is>
      </c>
    </row>
    <row r="97" ht="40" customHeight="1">
      <c r="A97" s="30" t="inlineStr">
        <is>
          <t>1. 板材：W = 长(m) × 宽(m) × 板厚(m) × 7850kg/m³；图纸直接给面积的零件按 W = 面积 × 板厚 × 7.85kg/m²。全表公式保留，改动尺寸或数量即自动重算。</t>
        </is>
      </c>
    </row>
    <row r="98" ht="40" customHeight="1">
      <c r="A98" s="30" t="inlineStr">
        <is>
          <t>2. 图纸数据（规格、数量、单件重）原样照录；计算重量与图纸重量分列，差异 = 计算 − 图纸。焊缝 1.5% 单列，不摊入单件重。</t>
        </is>
      </c>
    </row>
    <row r="99" ht="22" customHeight="1">
      <c r="A99" s="30" t="inlineStr"/>
    </row>
    <row r="100" ht="26" customHeight="1">
      <c r="A100" s="29" t="inlineStr">
        <is>
          <t>二、与图纸的差异（只呈现事实）</t>
        </is>
      </c>
    </row>
    <row r="101" ht="40" customHeight="1">
      <c r="A101" s="30" t="inlineStr">
        <is>
          <t>3. 材料重：计算 121,958.9kg，图纸 121,975.6kg，差 −16.7kg（−0.014%）；含 1.5% 焊缝后 123,788.3kg，图纸 123,805.2kg，差 −16.9kg。</t>
        </is>
      </c>
    </row>
    <row r="102" ht="40" customHeight="1">
      <c r="A102" s="30" t="inlineStr">
        <is>
          <t>4. 逐行差异见上表“差异”与“差异率”两列，单件偏差绝对值最大 1.23kg（N31/N31a），其余均在 1.1kg 以内。</t>
        </is>
      </c>
    </row>
    <row r="103" ht="40" customHeight="1">
      <c r="A103" s="30" t="inlineStr">
        <is>
          <t>5. 差异成因：本底稿不再给出统一结论。此前“全部为取整差异”的说法已撤回——未逐项核对图纸单件重的取整规则、面积取值精度、是否含焊缝，不足以支持该判断。各行差异原因列为本表待核项，需与设计方逐项核对后确认。</t>
        </is>
      </c>
    </row>
    <row r="104" ht="22" customHeight="1">
      <c r="A104" s="30" t="inlineStr"/>
    </row>
    <row r="105" ht="26" customHeight="1">
      <c r="A105" s="31" t="inlineStr">
        <is>
          <t>三、结论边界（原“可用于计量”已撤回）</t>
        </is>
      </c>
    </row>
    <row r="106" ht="40" customHeight="1">
      <c r="A106" s="2" t="inlineStr">
        <is>
          <t>6. 本表为复核计算文件，不作为计量结算依据。能否用于计量，取决于：①差异成因逐项确认；②焊缝、涂装、栓焊件的计量口径；③合同约定的计量规则。三项均未完成，故不作可用性结论。</t>
        </is>
      </c>
    </row>
    <row r="107" ht="26" customHeight="1">
      <c r="A107" s="2" t="inlineStr">
        <is>
          <t>7. 差异率极小的行（如 N11）不代表该行计算无误，只说明该行为整数规格件；判断精度应看单件绝对偏差，不看差异率。</t>
        </is>
      </c>
    </row>
    <row r="108" ht="22" customHeight="1">
      <c r="A108" s="2" t="inlineStr"/>
    </row>
    <row r="109" ht="26" customHeight="1">
      <c r="A109" s="31" t="inlineStr">
        <is>
          <t>四、待核项（未取得依据，不臆断）</t>
        </is>
      </c>
    </row>
    <row r="110" ht="26" customHeight="1">
      <c r="A110" s="2" t="inlineStr">
        <is>
          <t>8. 差异成因：68 行逐行差异的具体来源（取整位数、面积舍入、是否含焊缝余量）均待核，未逐行定性。</t>
        </is>
      </c>
    </row>
    <row r="111" ht="40" customHeight="1">
      <c r="A111" s="2" t="inlineStr">
        <is>
          <t>9. N24 下弦节点板图纸标“Z35钢”：重量按 Q355D 计不受影响，但 Z 向性能要求、是否影响订货单价，待设计与采购确认。</t>
        </is>
      </c>
    </row>
    <row r="112" ht="26" customHeight="1">
      <c r="A112" s="2" t="inlineStr">
        <is>
          <t>10. N15b 为表中唯一 Q355B（10kg）：材质分档是否需单列材料，待确认。</t>
        </is>
      </c>
    </row>
    <row r="113" ht="26" customHeight="1">
      <c r="A113" s="2" t="inlineStr">
        <is>
          <t>11. N16c 图纸数量为 0：补量条件、补量后是否计入本节段，待设计确认；本表已按公式预留，数量填入即出重量。</t>
        </is>
      </c>
    </row>
    <row r="114" ht="40" customHeight="1">
      <c r="A114" s="2" t="inlineStr">
        <is>
          <t>12. 图纸第 49 页右表（横梁接头 14 行、支承加劲肋 5 行）与左表并排列示，本表已按左 54 行 + 右 14 行合并计入；两表是否同属“节段01”口径，待图纸说明确认。</t>
        </is>
      </c>
    </row>
    <row r="115" ht="26" customHeight="1">
      <c r="A115" s="2" t="inlineStr">
        <is>
          <t>13. 焊缝 1.5% 的计取基数：图纸按材料重 1.5% 计，是否含全部焊缝类型、是否需按板厚分档，待确认。</t>
        </is>
      </c>
    </row>
    <row r="116" ht="22" customHeight="1">
      <c r="A116" s="2" t="inlineStr"/>
    </row>
    <row r="117" ht="26" customHeight="1">
      <c r="A117" s="31" t="inlineStr">
        <is>
          <t>五、校验记录</t>
        </is>
      </c>
    </row>
    <row r="118" ht="26" customHeight="1">
      <c r="A118" s="2" t="inlineStr">
        <is>
          <t>14. 行级：68 行全部有计算值，无空值；数量×单件重与图纸共重不符的 0 行（阈值 0.6%）。</t>
        </is>
      </c>
    </row>
    <row r="119" ht="40" customHeight="1">
      <c r="A119" s="2" t="inlineStr">
        <is>
          <t>15. 表级：明细合计 121,958.9kg，与第49页材料表合计 121,975.6kg 对应（左表 110,447.8kg + 右表 11,527.8kg），误差 −16.7kg 见第 3 条。</t>
        </is>
      </c>
    </row>
    <row r="120" ht="26" customHeight="1">
      <c r="A120" s="2" t="inlineStr">
        <is>
          <t>16. 复核强度：单遍计算 + 规则校验，未做第二人独立复核；对外使用前建议抽样对照原图。</t>
        </is>
      </c>
    </row>
  </sheetData>
  <mergeCells count="31">
    <mergeCell ref="A116:M116"/>
    <mergeCell ref="A106:M106"/>
    <mergeCell ref="A97:M97"/>
    <mergeCell ref="A100:M100"/>
    <mergeCell ref="A109:M109"/>
    <mergeCell ref="A96:M96"/>
    <mergeCell ref="A115:M115"/>
    <mergeCell ref="A112:M112"/>
    <mergeCell ref="A102:M102"/>
    <mergeCell ref="A117:M117"/>
    <mergeCell ref="A111:M111"/>
    <mergeCell ref="A114:M114"/>
    <mergeCell ref="B74:M74"/>
    <mergeCell ref="A107:M107"/>
    <mergeCell ref="A98:M98"/>
    <mergeCell ref="A79:J79"/>
    <mergeCell ref="A103:M103"/>
    <mergeCell ref="A110:M110"/>
    <mergeCell ref="B76:M76"/>
    <mergeCell ref="A119:M119"/>
    <mergeCell ref="A1:S1"/>
    <mergeCell ref="B75:M75"/>
    <mergeCell ref="A99:M99"/>
    <mergeCell ref="A108:M108"/>
    <mergeCell ref="A118:M118"/>
    <mergeCell ref="A120:M120"/>
    <mergeCell ref="A105:M105"/>
    <mergeCell ref="A101:M101"/>
    <mergeCell ref="A104:M104"/>
    <mergeCell ref="A113:M113"/>
    <mergeCell ref="A2:S2"/>
  </mergeCells>
  <pageMargins left="0.3" right="0.3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2026-10-19T01:34:50Z</dcterms:created>
  <dcterms:modified xmlns:dcterms="http://purl.org/dc/terms/" xmlns:xsi="http://www.w3.org/2001/XMLSchema-instance" xsi:type="dcterms:W3CDTF">2026-10-19T04:11:42Z</dcterms:modified>
</cp:coreProperties>
</file>